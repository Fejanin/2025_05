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2026\ЗАВОДЫ\ПОКОМ\заказы на завод\01,26\29,01,26 на 01,02,26 КИ\"/>
    </mc:Choice>
  </mc:AlternateContent>
  <xr:revisionPtr revIDLastSave="0" documentId="13_ncr:1_{963715F0-4694-4FA2-81D8-C6C9C0C23A7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заказа'!$A$18:$AF$492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заказа'!$X$488:$X$488</definedName>
    <definedName name="GrossWeightTotalR">'Бланк заказа'!$Y$488:$Y$488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заказа'!$X$489:$X$489</definedName>
    <definedName name="PalletQtyTotalR">'Бланк заказа'!$Y$489:$Y$489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заказа'!$B$225:$B$225</definedName>
    <definedName name="ProductId105">'Бланк заказа'!$B$226:$B$226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заказа'!$B$243:$B$243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заказа'!$B$277:$B$277</definedName>
    <definedName name="ProductId132">'Бланк заказа'!$B$278:$B$278</definedName>
    <definedName name="ProductId133">'Бланк заказа'!$B$279:$B$279</definedName>
    <definedName name="ProductId134">'Бланк заказа'!$B$284:$B$284</definedName>
    <definedName name="ProductId135">'Бланк заказа'!$B$285:$B$285</definedName>
    <definedName name="ProductId136">'Бланк заказа'!$B$289:$B$289</definedName>
    <definedName name="ProductId137">'Бланк заказа'!$B$290:$B$290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заказа'!$B$402:$B$402</definedName>
    <definedName name="ProductId195">'Бланк заказа'!$B$403:$B$403</definedName>
    <definedName name="ProductId196">'Бланк заказа'!$B$408:$B$408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заказа'!$B$420:$B$420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заказа'!$B$441:$B$441</definedName>
    <definedName name="ProductId215">'Бланк заказа'!$B$442:$B$442</definedName>
    <definedName name="ProductId216">'Бланк заказа'!$B$443:$B$443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заказа'!$B$70:$B$70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заказа'!$B$458:$B$458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заказа'!$B$71:$B$71</definedName>
    <definedName name="ProductId230">'Бланк заказа'!$B$474:$B$474</definedName>
    <definedName name="ProductId231">'Бланк заказа'!$B$478:$B$478</definedName>
    <definedName name="ProductId232">'Бланк заказа'!$B$479:$B$479</definedName>
    <definedName name="ProductId233">'Бланк заказа'!$B$484:$B$484</definedName>
    <definedName name="ProductId24">'Бланк заказа'!$B$72:$B$72</definedName>
    <definedName name="ProductId25">'Бланк заказа'!$B$73:$B$73</definedName>
    <definedName name="ProductId26">'Бланк заказа'!$B$77:$B$77</definedName>
    <definedName name="ProductId27">'Бланк заказа'!$B$78:$B$78</definedName>
    <definedName name="ProductId28">'Бланк заказа'!$B$83:$B$83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заказа'!$B$90:$B$90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заказа'!$B$98:$B$98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заказа'!$B$154:$B$154</definedName>
    <definedName name="ProductId64">'Бланк заказа'!$B$160:$B$160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заказа'!$B$181:$B$181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заказа'!$B$187:$B$187</definedName>
    <definedName name="ProductId83">'Бланк заказа'!$B$192:$B$192</definedName>
    <definedName name="ProductId84">'Бланк заказа'!$B$193:$B$193</definedName>
    <definedName name="ProductId85">'Бланк заказа'!$B$197:$B$197</definedName>
    <definedName name="ProductId86">'Бланк заказа'!$B$198:$B$198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заказа'!$X$225:$X$225</definedName>
    <definedName name="SalesQty105">'Бланк заказа'!$X$226:$X$226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заказа'!$X$243:$X$243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заказа'!$X$277:$X$277</definedName>
    <definedName name="SalesQty132">'Бланк заказа'!$X$278:$X$278</definedName>
    <definedName name="SalesQty133">'Бланк заказа'!$X$279:$X$279</definedName>
    <definedName name="SalesQty134">'Бланк заказа'!$X$284:$X$284</definedName>
    <definedName name="SalesQty135">'Бланк заказа'!$X$285:$X$285</definedName>
    <definedName name="SalesQty136">'Бланк заказа'!$X$289:$X$289</definedName>
    <definedName name="SalesQty137">'Бланк заказа'!$X$290:$X$290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заказа'!$X$402:$X$402</definedName>
    <definedName name="SalesQty195">'Бланк заказа'!$X$403:$X$403</definedName>
    <definedName name="SalesQty196">'Бланк заказа'!$X$408:$X$408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заказа'!$X$420:$X$420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заказа'!$X$441:$X$441</definedName>
    <definedName name="SalesQty215">'Бланк заказа'!$X$442:$X$442</definedName>
    <definedName name="SalesQty216">'Бланк заказа'!$X$443:$X$443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заказа'!$X$70:$X$70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заказа'!$X$458:$X$458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заказа'!$X$71:$X$71</definedName>
    <definedName name="SalesQty230">'Бланк заказа'!$X$474:$X$474</definedName>
    <definedName name="SalesQty231">'Бланк заказа'!$X$478:$X$478</definedName>
    <definedName name="SalesQty232">'Бланк заказа'!$X$479:$X$479</definedName>
    <definedName name="SalesQty233">'Бланк заказа'!$X$484:$X$484</definedName>
    <definedName name="SalesQty24">'Бланк заказа'!$X$72:$X$72</definedName>
    <definedName name="SalesQty25">'Бланк заказа'!$X$73:$X$73</definedName>
    <definedName name="SalesQty26">'Бланк заказа'!$X$77:$X$77</definedName>
    <definedName name="SalesQty27">'Бланк заказа'!$X$78:$X$78</definedName>
    <definedName name="SalesQty28">'Бланк заказа'!$X$83:$X$83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заказа'!$X$90:$X$90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заказа'!$X$98:$X$98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заказа'!$X$154:$X$154</definedName>
    <definedName name="SalesQty64">'Бланк заказа'!$X$160:$X$160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заказа'!$X$181:$X$181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заказа'!$X$187:$X$187</definedName>
    <definedName name="SalesQty83">'Бланк заказа'!$X$192:$X$192</definedName>
    <definedName name="SalesQty84">'Бланк заказа'!$X$193:$X$193</definedName>
    <definedName name="SalesQty85">'Бланк заказа'!$X$197:$X$197</definedName>
    <definedName name="SalesQty86">'Бланк заказа'!$X$198:$X$198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заказа'!$Y$225:$Y$225</definedName>
    <definedName name="SalesRoundBox105">'Бланк заказа'!$Y$226:$Y$226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заказа'!$Y$243:$Y$243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заказа'!$Y$277:$Y$277</definedName>
    <definedName name="SalesRoundBox132">'Бланк заказа'!$Y$278:$Y$278</definedName>
    <definedName name="SalesRoundBox133">'Бланк заказа'!$Y$279:$Y$279</definedName>
    <definedName name="SalesRoundBox134">'Бланк заказа'!$Y$284:$Y$284</definedName>
    <definedName name="SalesRoundBox135">'Бланк заказа'!$Y$285:$Y$285</definedName>
    <definedName name="SalesRoundBox136">'Бланк заказа'!$Y$289:$Y$289</definedName>
    <definedName name="SalesRoundBox137">'Бланк заказа'!$Y$290:$Y$290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заказа'!$Y$402:$Y$402</definedName>
    <definedName name="SalesRoundBox195">'Бланк заказа'!$Y$403:$Y$403</definedName>
    <definedName name="SalesRoundBox196">'Бланк заказа'!$Y$408:$Y$408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заказа'!$Y$420:$Y$420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заказа'!$Y$441:$Y$441</definedName>
    <definedName name="SalesRoundBox215">'Бланк заказа'!$Y$442:$Y$442</definedName>
    <definedName name="SalesRoundBox216">'Бланк заказа'!$Y$443:$Y$443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заказа'!$Y$70:$Y$70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заказа'!$Y$458:$Y$458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заказа'!$Y$71:$Y$71</definedName>
    <definedName name="SalesRoundBox230">'Бланк заказа'!$Y$474:$Y$474</definedName>
    <definedName name="SalesRoundBox231">'Бланк заказа'!$Y$478:$Y$478</definedName>
    <definedName name="SalesRoundBox232">'Бланк заказа'!$Y$479:$Y$479</definedName>
    <definedName name="SalesRoundBox233">'Бланк заказа'!$Y$484:$Y$484</definedName>
    <definedName name="SalesRoundBox24">'Бланк заказа'!$Y$72:$Y$72</definedName>
    <definedName name="SalesRoundBox25">'Бланк заказа'!$Y$73:$Y$73</definedName>
    <definedName name="SalesRoundBox26">'Бланк заказа'!$Y$77:$Y$77</definedName>
    <definedName name="SalesRoundBox27">'Бланк заказа'!$Y$78:$Y$78</definedName>
    <definedName name="SalesRoundBox28">'Бланк заказа'!$Y$83:$Y$83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заказа'!$Y$90:$Y$90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заказа'!$Y$98:$Y$98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заказа'!$Y$154:$Y$154</definedName>
    <definedName name="SalesRoundBox64">'Бланк заказа'!$Y$160:$Y$160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заказа'!$Y$181:$Y$181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заказа'!$Y$187:$Y$187</definedName>
    <definedName name="SalesRoundBox83">'Бланк заказа'!$Y$192:$Y$192</definedName>
    <definedName name="SalesRoundBox84">'Бланк заказа'!$Y$193:$Y$193</definedName>
    <definedName name="SalesRoundBox85">'Бланк заказа'!$Y$197:$Y$197</definedName>
    <definedName name="SalesRoundBox86">'Бланк заказа'!$Y$198:$Y$198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заказа'!$W$225:$W$225</definedName>
    <definedName name="UnitOfMeasure105">'Бланк заказа'!$W$226:$W$226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заказа'!$W$243:$W$243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заказа'!$W$277:$W$277</definedName>
    <definedName name="UnitOfMeasure132">'Бланк заказа'!$W$278:$W$278</definedName>
    <definedName name="UnitOfMeasure133">'Бланк заказа'!$W$279:$W$279</definedName>
    <definedName name="UnitOfMeasure134">'Бланк заказа'!$W$284:$W$284</definedName>
    <definedName name="UnitOfMeasure135">'Бланк заказа'!$W$285:$W$285</definedName>
    <definedName name="UnitOfMeasure136">'Бланк заказа'!$W$289:$W$289</definedName>
    <definedName name="UnitOfMeasure137">'Бланк заказа'!$W$290:$W$290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заказа'!$W$402:$W$402</definedName>
    <definedName name="UnitOfMeasure195">'Бланк заказа'!$W$403:$W$403</definedName>
    <definedName name="UnitOfMeasure196">'Бланк заказа'!$W$408:$W$408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заказа'!$W$420:$W$420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заказа'!$W$441:$W$441</definedName>
    <definedName name="UnitOfMeasure215">'Бланк заказа'!$W$442:$W$442</definedName>
    <definedName name="UnitOfMeasure216">'Бланк заказа'!$W$443:$W$443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заказа'!$W$70:$W$70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заказа'!$W$458:$W$458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заказа'!$W$71:$W$71</definedName>
    <definedName name="UnitOfMeasure230">'Бланк заказа'!$W$474:$W$474</definedName>
    <definedName name="UnitOfMeasure231">'Бланк заказа'!$W$478:$W$478</definedName>
    <definedName name="UnitOfMeasure232">'Бланк заказа'!$W$479:$W$479</definedName>
    <definedName name="UnitOfMeasure233">'Бланк заказа'!$W$484:$W$484</definedName>
    <definedName name="UnitOfMeasure24">'Бланк заказа'!$W$72:$W$72</definedName>
    <definedName name="UnitOfMeasure25">'Бланк заказа'!$W$73:$W$73</definedName>
    <definedName name="UnitOfMeasure26">'Бланк заказа'!$W$77:$W$77</definedName>
    <definedName name="UnitOfMeasure27">'Бланк заказа'!$W$78:$W$78</definedName>
    <definedName name="UnitOfMeasure28">'Бланк заказа'!$W$83:$W$83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заказа'!$W$90:$W$90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заказа'!$W$98:$W$98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заказа'!$W$154:$W$154</definedName>
    <definedName name="UnitOfMeasure64">'Бланк заказа'!$W$160:$W$160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заказа'!$W$181:$W$181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заказа'!$W$187:$W$187</definedName>
    <definedName name="UnitOfMeasure83">'Бланк заказа'!$W$192:$W$192</definedName>
    <definedName name="UnitOfMeasure84">'Бланк заказа'!$W$193:$W$193</definedName>
    <definedName name="UnitOfMeasure85">'Бланк заказа'!$W$197:$W$197</definedName>
    <definedName name="UnitOfMeasure86">'Бланк заказа'!$W$198:$W$198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6" i="1" l="1"/>
  <c r="X485" i="1"/>
  <c r="BO484" i="1"/>
  <c r="BM484" i="1"/>
  <c r="Y484" i="1"/>
  <c r="Z497" i="1" s="1"/>
  <c r="P484" i="1"/>
  <c r="X481" i="1"/>
  <c r="X480" i="1"/>
  <c r="BO479" i="1"/>
  <c r="BM479" i="1"/>
  <c r="Y479" i="1"/>
  <c r="P479" i="1"/>
  <c r="BO478" i="1"/>
  <c r="BM478" i="1"/>
  <c r="Y478" i="1"/>
  <c r="P478" i="1"/>
  <c r="X476" i="1"/>
  <c r="X475" i="1"/>
  <c r="BO474" i="1"/>
  <c r="BM474" i="1"/>
  <c r="Y474" i="1"/>
  <c r="P474" i="1"/>
  <c r="X472" i="1"/>
  <c r="X471" i="1"/>
  <c r="BO470" i="1"/>
  <c r="BM470" i="1"/>
  <c r="Y470" i="1"/>
  <c r="P470" i="1"/>
  <c r="X468" i="1"/>
  <c r="X467" i="1"/>
  <c r="BO466" i="1"/>
  <c r="BM466" i="1"/>
  <c r="Y466" i="1"/>
  <c r="P466" i="1"/>
  <c r="BO465" i="1"/>
  <c r="BM465" i="1"/>
  <c r="Y465" i="1"/>
  <c r="Y467" i="1" s="1"/>
  <c r="P465" i="1"/>
  <c r="X463" i="1"/>
  <c r="X462" i="1"/>
  <c r="BO461" i="1"/>
  <c r="BM461" i="1"/>
  <c r="Y461" i="1"/>
  <c r="P461" i="1"/>
  <c r="BO460" i="1"/>
  <c r="BM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BO448" i="1"/>
  <c r="BM448" i="1"/>
  <c r="Y448" i="1"/>
  <c r="P448" i="1"/>
  <c r="BO447" i="1"/>
  <c r="BM447" i="1"/>
  <c r="Y447" i="1"/>
  <c r="P447" i="1"/>
  <c r="X445" i="1"/>
  <c r="X444" i="1"/>
  <c r="BO443" i="1"/>
  <c r="BM443" i="1"/>
  <c r="Y443" i="1"/>
  <c r="P443" i="1"/>
  <c r="BO442" i="1"/>
  <c r="BM442" i="1"/>
  <c r="Y442" i="1"/>
  <c r="P442" i="1"/>
  <c r="BO441" i="1"/>
  <c r="BM441" i="1"/>
  <c r="Y441" i="1"/>
  <c r="Y445" i="1" s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X422" i="1"/>
  <c r="X421" i="1"/>
  <c r="BO420" i="1"/>
  <c r="BM420" i="1"/>
  <c r="Y420" i="1"/>
  <c r="P420" i="1"/>
  <c r="X417" i="1"/>
  <c r="X416" i="1"/>
  <c r="BO415" i="1"/>
  <c r="BM415" i="1"/>
  <c r="Y415" i="1"/>
  <c r="P415" i="1"/>
  <c r="BO414" i="1"/>
  <c r="BM414" i="1"/>
  <c r="Y414" i="1"/>
  <c r="Z414" i="1" s="1"/>
  <c r="P414" i="1"/>
  <c r="BO413" i="1"/>
  <c r="BM413" i="1"/>
  <c r="Y413" i="1"/>
  <c r="BP413" i="1" s="1"/>
  <c r="P413" i="1"/>
  <c r="BP412" i="1"/>
  <c r="BO412" i="1"/>
  <c r="BN412" i="1"/>
  <c r="BM412" i="1"/>
  <c r="Z412" i="1"/>
  <c r="Y412" i="1"/>
  <c r="P412" i="1"/>
  <c r="X410" i="1"/>
  <c r="Y409" i="1"/>
  <c r="X409" i="1"/>
  <c r="BP408" i="1"/>
  <c r="BO408" i="1"/>
  <c r="BN408" i="1"/>
  <c r="BM408" i="1"/>
  <c r="Z408" i="1"/>
  <c r="Z409" i="1" s="1"/>
  <c r="Y408" i="1"/>
  <c r="P408" i="1"/>
  <c r="X405" i="1"/>
  <c r="X404" i="1"/>
  <c r="BO403" i="1"/>
  <c r="BM403" i="1"/>
  <c r="Y403" i="1"/>
  <c r="P403" i="1"/>
  <c r="BO402" i="1"/>
  <c r="BM402" i="1"/>
  <c r="Y402" i="1"/>
  <c r="Y404" i="1" s="1"/>
  <c r="P402" i="1"/>
  <c r="X400" i="1"/>
  <c r="X399" i="1"/>
  <c r="BO398" i="1"/>
  <c r="BM398" i="1"/>
  <c r="Y398" i="1"/>
  <c r="BP398" i="1" s="1"/>
  <c r="P398" i="1"/>
  <c r="BO397" i="1"/>
  <c r="BM397" i="1"/>
  <c r="Y397" i="1"/>
  <c r="P397" i="1"/>
  <c r="BO396" i="1"/>
  <c r="BM396" i="1"/>
  <c r="Y396" i="1"/>
  <c r="BP396" i="1" s="1"/>
  <c r="P396" i="1"/>
  <c r="BO395" i="1"/>
  <c r="BM395" i="1"/>
  <c r="Y395" i="1"/>
  <c r="P395" i="1"/>
  <c r="BO394" i="1"/>
  <c r="BM394" i="1"/>
  <c r="Y394" i="1"/>
  <c r="BP394" i="1" s="1"/>
  <c r="P394" i="1"/>
  <c r="BP393" i="1"/>
  <c r="BO393" i="1"/>
  <c r="BN393" i="1"/>
  <c r="BM393" i="1"/>
  <c r="Z393" i="1"/>
  <c r="Y393" i="1"/>
  <c r="P393" i="1"/>
  <c r="BO392" i="1"/>
  <c r="BM392" i="1"/>
  <c r="Y392" i="1"/>
  <c r="BP392" i="1" s="1"/>
  <c r="P392" i="1"/>
  <c r="BO391" i="1"/>
  <c r="BM391" i="1"/>
  <c r="Y391" i="1"/>
  <c r="P391" i="1"/>
  <c r="BO390" i="1"/>
  <c r="BM390" i="1"/>
  <c r="Y390" i="1"/>
  <c r="P390" i="1"/>
  <c r="X386" i="1"/>
  <c r="X385" i="1"/>
  <c r="BO384" i="1"/>
  <c r="BM384" i="1"/>
  <c r="Y384" i="1"/>
  <c r="BP384" i="1" s="1"/>
  <c r="P384" i="1"/>
  <c r="BO383" i="1"/>
  <c r="BM383" i="1"/>
  <c r="Y383" i="1"/>
  <c r="P383" i="1"/>
  <c r="BO382" i="1"/>
  <c r="BM382" i="1"/>
  <c r="Y382" i="1"/>
  <c r="P382" i="1"/>
  <c r="X380" i="1"/>
  <c r="X379" i="1"/>
  <c r="BO378" i="1"/>
  <c r="BM378" i="1"/>
  <c r="Y378" i="1"/>
  <c r="Y380" i="1" s="1"/>
  <c r="P378" i="1"/>
  <c r="X376" i="1"/>
  <c r="X375" i="1"/>
  <c r="BO374" i="1"/>
  <c r="BM374" i="1"/>
  <c r="Y374" i="1"/>
  <c r="P374" i="1"/>
  <c r="BO373" i="1"/>
  <c r="BM373" i="1"/>
  <c r="Y373" i="1"/>
  <c r="P373" i="1"/>
  <c r="X370" i="1"/>
  <c r="X369" i="1"/>
  <c r="BO368" i="1"/>
  <c r="BM368" i="1"/>
  <c r="Y368" i="1"/>
  <c r="P368" i="1"/>
  <c r="X366" i="1"/>
  <c r="X365" i="1"/>
  <c r="BP364" i="1"/>
  <c r="BO364" i="1"/>
  <c r="BN364" i="1"/>
  <c r="BM364" i="1"/>
  <c r="Z364" i="1"/>
  <c r="Y364" i="1"/>
  <c r="P364" i="1"/>
  <c r="BO363" i="1"/>
  <c r="BM363" i="1"/>
  <c r="Y363" i="1"/>
  <c r="Y365" i="1" s="1"/>
  <c r="P363" i="1"/>
  <c r="X361" i="1"/>
  <c r="X360" i="1"/>
  <c r="BO359" i="1"/>
  <c r="BM359" i="1"/>
  <c r="Y359" i="1"/>
  <c r="P359" i="1"/>
  <c r="BO358" i="1"/>
  <c r="BM358" i="1"/>
  <c r="Y358" i="1"/>
  <c r="P358" i="1"/>
  <c r="X356" i="1"/>
  <c r="X355" i="1"/>
  <c r="BO354" i="1"/>
  <c r="BM354" i="1"/>
  <c r="Y354" i="1"/>
  <c r="P354" i="1"/>
  <c r="BO353" i="1"/>
  <c r="BM353" i="1"/>
  <c r="Y353" i="1"/>
  <c r="BP353" i="1" s="1"/>
  <c r="P353" i="1"/>
  <c r="BO352" i="1"/>
  <c r="BM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O348" i="1"/>
  <c r="BM348" i="1"/>
  <c r="Y348" i="1"/>
  <c r="P348" i="1"/>
  <c r="X344" i="1"/>
  <c r="X343" i="1"/>
  <c r="BO342" i="1"/>
  <c r="BM342" i="1"/>
  <c r="Y342" i="1"/>
  <c r="P342" i="1"/>
  <c r="BO341" i="1"/>
  <c r="BM341" i="1"/>
  <c r="Y341" i="1"/>
  <c r="P341" i="1"/>
  <c r="BO340" i="1"/>
  <c r="BM340" i="1"/>
  <c r="Y340" i="1"/>
  <c r="P340" i="1"/>
  <c r="X337" i="1"/>
  <c r="X336" i="1"/>
  <c r="BP335" i="1"/>
  <c r="BO335" i="1"/>
  <c r="BN335" i="1"/>
  <c r="BM335" i="1"/>
  <c r="Z335" i="1"/>
  <c r="Y335" i="1"/>
  <c r="P335" i="1"/>
  <c r="BO334" i="1"/>
  <c r="BM334" i="1"/>
  <c r="Y334" i="1"/>
  <c r="BP334" i="1" s="1"/>
  <c r="P334" i="1"/>
  <c r="BO333" i="1"/>
  <c r="BM333" i="1"/>
  <c r="Y333" i="1"/>
  <c r="P333" i="1"/>
  <c r="X331" i="1"/>
  <c r="X330" i="1"/>
  <c r="BO329" i="1"/>
  <c r="BM329" i="1"/>
  <c r="Y329" i="1"/>
  <c r="P329" i="1"/>
  <c r="BO328" i="1"/>
  <c r="BM328" i="1"/>
  <c r="Y328" i="1"/>
  <c r="BP328" i="1" s="1"/>
  <c r="P328" i="1"/>
  <c r="BO327" i="1"/>
  <c r="BM327" i="1"/>
  <c r="Y327" i="1"/>
  <c r="P327" i="1"/>
  <c r="BO326" i="1"/>
  <c r="BM326" i="1"/>
  <c r="Y326" i="1"/>
  <c r="Y331" i="1" s="1"/>
  <c r="P326" i="1"/>
  <c r="X324" i="1"/>
  <c r="X323" i="1"/>
  <c r="BO322" i="1"/>
  <c r="BM322" i="1"/>
  <c r="Y322" i="1"/>
  <c r="BP322" i="1" s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X318" i="1"/>
  <c r="X317" i="1"/>
  <c r="BO316" i="1"/>
  <c r="BM316" i="1"/>
  <c r="Y316" i="1"/>
  <c r="BP316" i="1" s="1"/>
  <c r="P316" i="1"/>
  <c r="BO315" i="1"/>
  <c r="BM315" i="1"/>
  <c r="Y315" i="1"/>
  <c r="P315" i="1"/>
  <c r="BO314" i="1"/>
  <c r="BM314" i="1"/>
  <c r="Y314" i="1"/>
  <c r="BP314" i="1" s="1"/>
  <c r="P314" i="1"/>
  <c r="BO313" i="1"/>
  <c r="BM313" i="1"/>
  <c r="Y313" i="1"/>
  <c r="P313" i="1"/>
  <c r="X311" i="1"/>
  <c r="X310" i="1"/>
  <c r="BO309" i="1"/>
  <c r="BM309" i="1"/>
  <c r="Y309" i="1"/>
  <c r="P309" i="1"/>
  <c r="BO308" i="1"/>
  <c r="BM308" i="1"/>
  <c r="Y308" i="1"/>
  <c r="BP308" i="1" s="1"/>
  <c r="P308" i="1"/>
  <c r="BP307" i="1"/>
  <c r="BO307" i="1"/>
  <c r="BN307" i="1"/>
  <c r="BM307" i="1"/>
  <c r="Z307" i="1"/>
  <c r="Y307" i="1"/>
  <c r="P307" i="1"/>
  <c r="BO306" i="1"/>
  <c r="BM306" i="1"/>
  <c r="Y306" i="1"/>
  <c r="BP306" i="1" s="1"/>
  <c r="P306" i="1"/>
  <c r="BO305" i="1"/>
  <c r="BM305" i="1"/>
  <c r="Y305" i="1"/>
  <c r="P305" i="1"/>
  <c r="BO304" i="1"/>
  <c r="BM304" i="1"/>
  <c r="Y304" i="1"/>
  <c r="P304" i="1"/>
  <c r="X302" i="1"/>
  <c r="X301" i="1"/>
  <c r="BO300" i="1"/>
  <c r="BM300" i="1"/>
  <c r="Y300" i="1"/>
  <c r="BP300" i="1" s="1"/>
  <c r="P300" i="1"/>
  <c r="BO299" i="1"/>
  <c r="BM299" i="1"/>
  <c r="Y299" i="1"/>
  <c r="P299" i="1"/>
  <c r="BO298" i="1"/>
  <c r="BM298" i="1"/>
  <c r="Y298" i="1"/>
  <c r="BP298" i="1" s="1"/>
  <c r="P298" i="1"/>
  <c r="BO297" i="1"/>
  <c r="BM297" i="1"/>
  <c r="Y297" i="1"/>
  <c r="P297" i="1"/>
  <c r="BO296" i="1"/>
  <c r="BM296" i="1"/>
  <c r="Y296" i="1"/>
  <c r="BP296" i="1" s="1"/>
  <c r="P296" i="1"/>
  <c r="BP295" i="1"/>
  <c r="BO295" i="1"/>
  <c r="BN295" i="1"/>
  <c r="BM295" i="1"/>
  <c r="Z295" i="1"/>
  <c r="Y295" i="1"/>
  <c r="P295" i="1"/>
  <c r="X292" i="1"/>
  <c r="X291" i="1"/>
  <c r="BO290" i="1"/>
  <c r="BM290" i="1"/>
  <c r="Y290" i="1"/>
  <c r="P290" i="1"/>
  <c r="BO289" i="1"/>
  <c r="BM289" i="1"/>
  <c r="Y289" i="1"/>
  <c r="Y292" i="1" s="1"/>
  <c r="P289" i="1"/>
  <c r="X287" i="1"/>
  <c r="X286" i="1"/>
  <c r="BO285" i="1"/>
  <c r="BM285" i="1"/>
  <c r="Y285" i="1"/>
  <c r="BP285" i="1" s="1"/>
  <c r="P285" i="1"/>
  <c r="BO284" i="1"/>
  <c r="BM284" i="1"/>
  <c r="Y284" i="1"/>
  <c r="P284" i="1"/>
  <c r="X281" i="1"/>
  <c r="X280" i="1"/>
  <c r="BO279" i="1"/>
  <c r="BM279" i="1"/>
  <c r="Y279" i="1"/>
  <c r="P279" i="1"/>
  <c r="BO278" i="1"/>
  <c r="BM278" i="1"/>
  <c r="Y278" i="1"/>
  <c r="BP278" i="1" s="1"/>
  <c r="P278" i="1"/>
  <c r="BP277" i="1"/>
  <c r="BO277" i="1"/>
  <c r="BN277" i="1"/>
  <c r="BM277" i="1"/>
  <c r="Z277" i="1"/>
  <c r="Y277" i="1"/>
  <c r="P277" i="1"/>
  <c r="X274" i="1"/>
  <c r="X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P270" i="1"/>
  <c r="BO269" i="1"/>
  <c r="BM269" i="1"/>
  <c r="Y269" i="1"/>
  <c r="P269" i="1"/>
  <c r="X266" i="1"/>
  <c r="X265" i="1"/>
  <c r="BO264" i="1"/>
  <c r="BM264" i="1"/>
  <c r="Y264" i="1"/>
  <c r="BP264" i="1" s="1"/>
  <c r="P264" i="1"/>
  <c r="BO263" i="1"/>
  <c r="BM263" i="1"/>
  <c r="Y263" i="1"/>
  <c r="P263" i="1"/>
  <c r="BO262" i="1"/>
  <c r="BM262" i="1"/>
  <c r="Y262" i="1"/>
  <c r="BP262" i="1" s="1"/>
  <c r="P262" i="1"/>
  <c r="BP261" i="1"/>
  <c r="BO261" i="1"/>
  <c r="BN261" i="1"/>
  <c r="BM261" i="1"/>
  <c r="Z261" i="1"/>
  <c r="Y261" i="1"/>
  <c r="P261" i="1"/>
  <c r="BO260" i="1"/>
  <c r="BM260" i="1"/>
  <c r="Y260" i="1"/>
  <c r="P260" i="1"/>
  <c r="X257" i="1"/>
  <c r="X256" i="1"/>
  <c r="BO255" i="1"/>
  <c r="BM255" i="1"/>
  <c r="Y255" i="1"/>
  <c r="BP255" i="1" s="1"/>
  <c r="P255" i="1"/>
  <c r="BO254" i="1"/>
  <c r="BM254" i="1"/>
  <c r="Y254" i="1"/>
  <c r="P254" i="1"/>
  <c r="BO253" i="1"/>
  <c r="BM253" i="1"/>
  <c r="Y253" i="1"/>
  <c r="BP253" i="1" s="1"/>
  <c r="P253" i="1"/>
  <c r="BO252" i="1"/>
  <c r="BM252" i="1"/>
  <c r="Y252" i="1"/>
  <c r="P252" i="1"/>
  <c r="BO251" i="1"/>
  <c r="BM251" i="1"/>
  <c r="Y251" i="1"/>
  <c r="P251" i="1"/>
  <c r="X249" i="1"/>
  <c r="X248" i="1"/>
  <c r="BO247" i="1"/>
  <c r="BM247" i="1"/>
  <c r="Y247" i="1"/>
  <c r="Y248" i="1" s="1"/>
  <c r="P247" i="1"/>
  <c r="X245" i="1"/>
  <c r="X244" i="1"/>
  <c r="BO243" i="1"/>
  <c r="BM243" i="1"/>
  <c r="Y243" i="1"/>
  <c r="Y244" i="1" s="1"/>
  <c r="P243" i="1"/>
  <c r="X241" i="1"/>
  <c r="X240" i="1"/>
  <c r="BO239" i="1"/>
  <c r="BM239" i="1"/>
  <c r="Y239" i="1"/>
  <c r="BP239" i="1" s="1"/>
  <c r="P239" i="1"/>
  <c r="BO238" i="1"/>
  <c r="BM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P231" i="1"/>
  <c r="X228" i="1"/>
  <c r="X227" i="1"/>
  <c r="BO226" i="1"/>
  <c r="BM226" i="1"/>
  <c r="Y226" i="1"/>
  <c r="BP226" i="1" s="1"/>
  <c r="P226" i="1"/>
  <c r="BO225" i="1"/>
  <c r="BM225" i="1"/>
  <c r="Y225" i="1"/>
  <c r="P225" i="1"/>
  <c r="X223" i="1"/>
  <c r="X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BP216" i="1" s="1"/>
  <c r="P216" i="1"/>
  <c r="BO215" i="1"/>
  <c r="BM215" i="1"/>
  <c r="Y215" i="1"/>
  <c r="P215" i="1"/>
  <c r="BO214" i="1"/>
  <c r="BM214" i="1"/>
  <c r="Y214" i="1"/>
  <c r="BP214" i="1" s="1"/>
  <c r="P214" i="1"/>
  <c r="BP213" i="1"/>
  <c r="BO213" i="1"/>
  <c r="BN213" i="1"/>
  <c r="BM213" i="1"/>
  <c r="Z213" i="1"/>
  <c r="Y213" i="1"/>
  <c r="P213" i="1"/>
  <c r="X211" i="1"/>
  <c r="X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BP206" i="1" s="1"/>
  <c r="P206" i="1"/>
  <c r="BO205" i="1"/>
  <c r="BM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X200" i="1"/>
  <c r="X199" i="1"/>
  <c r="BO198" i="1"/>
  <c r="BM198" i="1"/>
  <c r="Y198" i="1"/>
  <c r="P198" i="1"/>
  <c r="BO197" i="1"/>
  <c r="BM197" i="1"/>
  <c r="Y197" i="1"/>
  <c r="P197" i="1"/>
  <c r="X195" i="1"/>
  <c r="X194" i="1"/>
  <c r="BO193" i="1"/>
  <c r="BM193" i="1"/>
  <c r="Y193" i="1"/>
  <c r="P193" i="1"/>
  <c r="BO192" i="1"/>
  <c r="BM192" i="1"/>
  <c r="Y192" i="1"/>
  <c r="Y194" i="1" s="1"/>
  <c r="P192" i="1"/>
  <c r="X189" i="1"/>
  <c r="X188" i="1"/>
  <c r="BO187" i="1"/>
  <c r="BM187" i="1"/>
  <c r="Y187" i="1"/>
  <c r="P187" i="1"/>
  <c r="X185" i="1"/>
  <c r="X184" i="1"/>
  <c r="BO183" i="1"/>
  <c r="BM183" i="1"/>
  <c r="Y183" i="1"/>
  <c r="Z183" i="1" s="1"/>
  <c r="P183" i="1"/>
  <c r="BO182" i="1"/>
  <c r="BM182" i="1"/>
  <c r="Y182" i="1"/>
  <c r="P182" i="1"/>
  <c r="BO181" i="1"/>
  <c r="BM181" i="1"/>
  <c r="Y181" i="1"/>
  <c r="P181" i="1"/>
  <c r="X179" i="1"/>
  <c r="X178" i="1"/>
  <c r="BO177" i="1"/>
  <c r="BM177" i="1"/>
  <c r="Y177" i="1"/>
  <c r="BP177" i="1" s="1"/>
  <c r="P177" i="1"/>
  <c r="BO176" i="1"/>
  <c r="BM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O164" i="1"/>
  <c r="BM164" i="1"/>
  <c r="Y164" i="1"/>
  <c r="P164" i="1"/>
  <c r="X162" i="1"/>
  <c r="X161" i="1"/>
  <c r="BO160" i="1"/>
  <c r="BM160" i="1"/>
  <c r="Y160" i="1"/>
  <c r="P160" i="1"/>
  <c r="X156" i="1"/>
  <c r="X155" i="1"/>
  <c r="BO154" i="1"/>
  <c r="BM154" i="1"/>
  <c r="Y154" i="1"/>
  <c r="P154" i="1"/>
  <c r="X152" i="1"/>
  <c r="X151" i="1"/>
  <c r="BO150" i="1"/>
  <c r="BM150" i="1"/>
  <c r="Y150" i="1"/>
  <c r="P150" i="1"/>
  <c r="BO149" i="1"/>
  <c r="BM149" i="1"/>
  <c r="Y149" i="1"/>
  <c r="BP149" i="1" s="1"/>
  <c r="P149" i="1"/>
  <c r="BO148" i="1"/>
  <c r="BM148" i="1"/>
  <c r="Y148" i="1"/>
  <c r="P148" i="1"/>
  <c r="BO147" i="1"/>
  <c r="BM147" i="1"/>
  <c r="Y147" i="1"/>
  <c r="Y151" i="1" s="1"/>
  <c r="P147" i="1"/>
  <c r="BP146" i="1"/>
  <c r="BO146" i="1"/>
  <c r="BN146" i="1"/>
  <c r="BM146" i="1"/>
  <c r="Z146" i="1"/>
  <c r="Y146" i="1"/>
  <c r="P146" i="1"/>
  <c r="X144" i="1"/>
  <c r="X143" i="1"/>
  <c r="BO142" i="1"/>
  <c r="BM142" i="1"/>
  <c r="Y142" i="1"/>
  <c r="P142" i="1"/>
  <c r="BO141" i="1"/>
  <c r="BM141" i="1"/>
  <c r="Y141" i="1"/>
  <c r="P141" i="1"/>
  <c r="X138" i="1"/>
  <c r="X137" i="1"/>
  <c r="BO136" i="1"/>
  <c r="BM136" i="1"/>
  <c r="Y136" i="1"/>
  <c r="P136" i="1"/>
  <c r="BO135" i="1"/>
  <c r="BM135" i="1"/>
  <c r="Y135" i="1"/>
  <c r="P135" i="1"/>
  <c r="X133" i="1"/>
  <c r="X132" i="1"/>
  <c r="BO131" i="1"/>
  <c r="BM131" i="1"/>
  <c r="Y131" i="1"/>
  <c r="BP131" i="1" s="1"/>
  <c r="P131" i="1"/>
  <c r="BO130" i="1"/>
  <c r="BM130" i="1"/>
  <c r="Y130" i="1"/>
  <c r="Y132" i="1" s="1"/>
  <c r="P130" i="1"/>
  <c r="X128" i="1"/>
  <c r="X127" i="1"/>
  <c r="BO126" i="1"/>
  <c r="BM126" i="1"/>
  <c r="Y126" i="1"/>
  <c r="Y128" i="1" s="1"/>
  <c r="P126" i="1"/>
  <c r="BP125" i="1"/>
  <c r="BO125" i="1"/>
  <c r="BN125" i="1"/>
  <c r="BM125" i="1"/>
  <c r="Z125" i="1"/>
  <c r="Y125" i="1"/>
  <c r="P125" i="1"/>
  <c r="X122" i="1"/>
  <c r="Y121" i="1"/>
  <c r="X121" i="1"/>
  <c r="BP120" i="1"/>
  <c r="BO120" i="1"/>
  <c r="BN120" i="1"/>
  <c r="BM120" i="1"/>
  <c r="Z120" i="1"/>
  <c r="Z121" i="1" s="1"/>
  <c r="Y120" i="1"/>
  <c r="Y122" i="1" s="1"/>
  <c r="P120" i="1"/>
  <c r="X118" i="1"/>
  <c r="X117" i="1"/>
  <c r="BO116" i="1"/>
  <c r="BM116" i="1"/>
  <c r="Y116" i="1"/>
  <c r="BP116" i="1" s="1"/>
  <c r="P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P113" i="1"/>
  <c r="X111" i="1"/>
  <c r="X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Y111" i="1" s="1"/>
  <c r="P107" i="1"/>
  <c r="BP106" i="1"/>
  <c r="BO106" i="1"/>
  <c r="BN106" i="1"/>
  <c r="BM106" i="1"/>
  <c r="Z106" i="1"/>
  <c r="Y106" i="1"/>
  <c r="P106" i="1"/>
  <c r="X104" i="1"/>
  <c r="X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P99" i="1"/>
  <c r="BO98" i="1"/>
  <c r="BM98" i="1"/>
  <c r="Y98" i="1"/>
  <c r="BP98" i="1" s="1"/>
  <c r="P98" i="1"/>
  <c r="X95" i="1"/>
  <c r="X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O91" i="1"/>
  <c r="BM91" i="1"/>
  <c r="Y91" i="1"/>
  <c r="BP91" i="1" s="1"/>
  <c r="P91" i="1"/>
  <c r="BO90" i="1"/>
  <c r="BM90" i="1"/>
  <c r="Y90" i="1"/>
  <c r="Y94" i="1" s="1"/>
  <c r="P90" i="1"/>
  <c r="X88" i="1"/>
  <c r="X87" i="1"/>
  <c r="BO86" i="1"/>
  <c r="BM86" i="1"/>
  <c r="Y86" i="1"/>
  <c r="BP86" i="1" s="1"/>
  <c r="P86" i="1"/>
  <c r="BO85" i="1"/>
  <c r="BM85" i="1"/>
  <c r="Y85" i="1"/>
  <c r="P85" i="1"/>
  <c r="BO84" i="1"/>
  <c r="BM84" i="1"/>
  <c r="Y84" i="1"/>
  <c r="P84" i="1"/>
  <c r="BO83" i="1"/>
  <c r="BM83" i="1"/>
  <c r="Y83" i="1"/>
  <c r="BP83" i="1" s="1"/>
  <c r="P83" i="1"/>
  <c r="X80" i="1"/>
  <c r="X79" i="1"/>
  <c r="BP78" i="1"/>
  <c r="BO78" i="1"/>
  <c r="BN78" i="1"/>
  <c r="BM78" i="1"/>
  <c r="Z78" i="1"/>
  <c r="Y78" i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P71" i="1"/>
  <c r="BO70" i="1"/>
  <c r="BM70" i="1"/>
  <c r="Y70" i="1"/>
  <c r="P70" i="1"/>
  <c r="X68" i="1"/>
  <c r="X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Y63" i="1" s="1"/>
  <c r="P61" i="1"/>
  <c r="BP60" i="1"/>
  <c r="BO60" i="1"/>
  <c r="BN60" i="1"/>
  <c r="BM60" i="1"/>
  <c r="Z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P46" i="1"/>
  <c r="X44" i="1"/>
  <c r="X43" i="1"/>
  <c r="BO42" i="1"/>
  <c r="BM42" i="1"/>
  <c r="Y42" i="1"/>
  <c r="P42" i="1"/>
  <c r="BP41" i="1"/>
  <c r="BO41" i="1"/>
  <c r="BN41" i="1"/>
  <c r="BM41" i="1"/>
  <c r="Z41" i="1"/>
  <c r="Y41" i="1"/>
  <c r="P41" i="1"/>
  <c r="BO40" i="1"/>
  <c r="BM40" i="1"/>
  <c r="Y40" i="1"/>
  <c r="P40" i="1"/>
  <c r="X36" i="1"/>
  <c r="X35" i="1"/>
  <c r="BO34" i="1"/>
  <c r="BM34" i="1"/>
  <c r="Y34" i="1"/>
  <c r="P34" i="1"/>
  <c r="X32" i="1"/>
  <c r="X31" i="1"/>
  <c r="BO30" i="1"/>
  <c r="BM30" i="1"/>
  <c r="Y30" i="1"/>
  <c r="P30" i="1"/>
  <c r="BO29" i="1"/>
  <c r="BM29" i="1"/>
  <c r="Y29" i="1"/>
  <c r="BP29" i="1" s="1"/>
  <c r="P29" i="1"/>
  <c r="BO28" i="1"/>
  <c r="BM28" i="1"/>
  <c r="Y28" i="1"/>
  <c r="P28" i="1"/>
  <c r="BO27" i="1"/>
  <c r="BM27" i="1"/>
  <c r="Y27" i="1"/>
  <c r="BP27" i="1" s="1"/>
  <c r="P27" i="1"/>
  <c r="X25" i="1"/>
  <c r="X24" i="1"/>
  <c r="BO23" i="1"/>
  <c r="BM23" i="1"/>
  <c r="Y23" i="1"/>
  <c r="BP23" i="1" s="1"/>
  <c r="P23" i="1"/>
  <c r="BO22" i="1"/>
  <c r="X489" i="1" s="1"/>
  <c r="BM22" i="1"/>
  <c r="Y22" i="1"/>
  <c r="Y24" i="1" s="1"/>
  <c r="P22" i="1"/>
  <c r="H10" i="1"/>
  <c r="A9" i="1"/>
  <c r="F10" i="1" s="1"/>
  <c r="D7" i="1"/>
  <c r="Q6" i="1"/>
  <c r="P2" i="1"/>
  <c r="BP85" i="1" l="1"/>
  <c r="BN85" i="1"/>
  <c r="Z85" i="1"/>
  <c r="BP114" i="1"/>
  <c r="BN114" i="1"/>
  <c r="Z114" i="1"/>
  <c r="BP150" i="1"/>
  <c r="BN150" i="1"/>
  <c r="Z150" i="1"/>
  <c r="BP182" i="1"/>
  <c r="BN182" i="1"/>
  <c r="Z182" i="1"/>
  <c r="BP217" i="1"/>
  <c r="BN217" i="1"/>
  <c r="Z217" i="1"/>
  <c r="BP252" i="1"/>
  <c r="BN252" i="1"/>
  <c r="Z252" i="1"/>
  <c r="BP284" i="1"/>
  <c r="BN284" i="1"/>
  <c r="Z284" i="1"/>
  <c r="BP313" i="1"/>
  <c r="BN313" i="1"/>
  <c r="Z313" i="1"/>
  <c r="BP342" i="1"/>
  <c r="BN342" i="1"/>
  <c r="Z342" i="1"/>
  <c r="BP383" i="1"/>
  <c r="BN383" i="1"/>
  <c r="Z383" i="1"/>
  <c r="BP415" i="1"/>
  <c r="BN415" i="1"/>
  <c r="Z415" i="1"/>
  <c r="BP448" i="1"/>
  <c r="BN448" i="1"/>
  <c r="Z448" i="1"/>
  <c r="Z27" i="1"/>
  <c r="BN27" i="1"/>
  <c r="Z54" i="1"/>
  <c r="BN54" i="1"/>
  <c r="Y68" i="1"/>
  <c r="Y67" i="1"/>
  <c r="BP66" i="1"/>
  <c r="BN66" i="1"/>
  <c r="Z66" i="1"/>
  <c r="Z67" i="1" s="1"/>
  <c r="BP70" i="1"/>
  <c r="BN70" i="1"/>
  <c r="Z70" i="1"/>
  <c r="BP100" i="1"/>
  <c r="BN100" i="1"/>
  <c r="Z100" i="1"/>
  <c r="BP135" i="1"/>
  <c r="BN135" i="1"/>
  <c r="Z135" i="1"/>
  <c r="BP170" i="1"/>
  <c r="BN170" i="1"/>
  <c r="Z170" i="1"/>
  <c r="BP207" i="1"/>
  <c r="BN207" i="1"/>
  <c r="Z207" i="1"/>
  <c r="BP232" i="1"/>
  <c r="BN232" i="1"/>
  <c r="Z232" i="1"/>
  <c r="BP270" i="1"/>
  <c r="BN270" i="1"/>
  <c r="Z270" i="1"/>
  <c r="BP299" i="1"/>
  <c r="BN299" i="1"/>
  <c r="Z299" i="1"/>
  <c r="BP329" i="1"/>
  <c r="BN329" i="1"/>
  <c r="Z329" i="1"/>
  <c r="BP354" i="1"/>
  <c r="BN354" i="1"/>
  <c r="Z354" i="1"/>
  <c r="BP397" i="1"/>
  <c r="BN397" i="1"/>
  <c r="Z397" i="1"/>
  <c r="BP432" i="1"/>
  <c r="BN432" i="1"/>
  <c r="Z432" i="1"/>
  <c r="BP460" i="1"/>
  <c r="BN460" i="1"/>
  <c r="Z460" i="1"/>
  <c r="Y75" i="1"/>
  <c r="Y138" i="1"/>
  <c r="H497" i="1"/>
  <c r="Y311" i="1"/>
  <c r="U497" i="1"/>
  <c r="X488" i="1"/>
  <c r="X490" i="1" s="1"/>
  <c r="Z23" i="1"/>
  <c r="BN23" i="1"/>
  <c r="X487" i="1"/>
  <c r="Z29" i="1"/>
  <c r="BN29" i="1"/>
  <c r="Z52" i="1"/>
  <c r="BN52" i="1"/>
  <c r="Z56" i="1"/>
  <c r="BN56" i="1"/>
  <c r="Y64" i="1"/>
  <c r="Z62" i="1"/>
  <c r="BN62" i="1"/>
  <c r="Y74" i="1"/>
  <c r="Z72" i="1"/>
  <c r="BN72" i="1"/>
  <c r="Z83" i="1"/>
  <c r="BN83" i="1"/>
  <c r="Y88" i="1"/>
  <c r="Z91" i="1"/>
  <c r="BN91" i="1"/>
  <c r="Z98" i="1"/>
  <c r="BN98" i="1"/>
  <c r="Y103" i="1"/>
  <c r="Z102" i="1"/>
  <c r="BN102" i="1"/>
  <c r="Y110" i="1"/>
  <c r="Z108" i="1"/>
  <c r="BN108" i="1"/>
  <c r="Y117" i="1"/>
  <c r="Z116" i="1"/>
  <c r="BN116" i="1"/>
  <c r="Z131" i="1"/>
  <c r="BN131" i="1"/>
  <c r="Y137" i="1"/>
  <c r="BP148" i="1"/>
  <c r="BN148" i="1"/>
  <c r="Z148" i="1"/>
  <c r="BP168" i="1"/>
  <c r="BN168" i="1"/>
  <c r="Z168" i="1"/>
  <c r="BP176" i="1"/>
  <c r="BN176" i="1"/>
  <c r="Z176" i="1"/>
  <c r="BP205" i="1"/>
  <c r="BN205" i="1"/>
  <c r="Z205" i="1"/>
  <c r="BP215" i="1"/>
  <c r="BN215" i="1"/>
  <c r="Z215" i="1"/>
  <c r="Y227" i="1"/>
  <c r="BP225" i="1"/>
  <c r="BN225" i="1"/>
  <c r="Z225" i="1"/>
  <c r="BP238" i="1"/>
  <c r="BN238" i="1"/>
  <c r="Z238" i="1"/>
  <c r="BP263" i="1"/>
  <c r="BN263" i="1"/>
  <c r="Z263" i="1"/>
  <c r="BP279" i="1"/>
  <c r="BN279" i="1"/>
  <c r="Z279" i="1"/>
  <c r="BP297" i="1"/>
  <c r="BN297" i="1"/>
  <c r="Z297" i="1"/>
  <c r="BP142" i="1"/>
  <c r="BN142" i="1"/>
  <c r="Z142" i="1"/>
  <c r="Y156" i="1"/>
  <c r="Y155" i="1"/>
  <c r="BP154" i="1"/>
  <c r="BN154" i="1"/>
  <c r="Z154" i="1"/>
  <c r="Z155" i="1" s="1"/>
  <c r="Y161" i="1"/>
  <c r="BP160" i="1"/>
  <c r="BN160" i="1"/>
  <c r="Z160" i="1"/>
  <c r="Z161" i="1" s="1"/>
  <c r="Y179" i="1"/>
  <c r="BP164" i="1"/>
  <c r="BN164" i="1"/>
  <c r="Z164" i="1"/>
  <c r="BP172" i="1"/>
  <c r="BN172" i="1"/>
  <c r="Z172" i="1"/>
  <c r="BP193" i="1"/>
  <c r="BN193" i="1"/>
  <c r="Z193" i="1"/>
  <c r="BP197" i="1"/>
  <c r="BN197" i="1"/>
  <c r="Z197" i="1"/>
  <c r="BP209" i="1"/>
  <c r="BN209" i="1"/>
  <c r="Z209" i="1"/>
  <c r="BP219" i="1"/>
  <c r="BN219" i="1"/>
  <c r="Z219" i="1"/>
  <c r="BP234" i="1"/>
  <c r="BN234" i="1"/>
  <c r="Z234" i="1"/>
  <c r="BP254" i="1"/>
  <c r="BN254" i="1"/>
  <c r="Z254" i="1"/>
  <c r="BP272" i="1"/>
  <c r="BN272" i="1"/>
  <c r="Z272" i="1"/>
  <c r="BP290" i="1"/>
  <c r="BN290" i="1"/>
  <c r="Z290" i="1"/>
  <c r="BP305" i="1"/>
  <c r="BN305" i="1"/>
  <c r="Z305" i="1"/>
  <c r="BP315" i="1"/>
  <c r="BN315" i="1"/>
  <c r="Z315" i="1"/>
  <c r="Y336" i="1"/>
  <c r="BP333" i="1"/>
  <c r="BN333" i="1"/>
  <c r="Z333" i="1"/>
  <c r="BP348" i="1"/>
  <c r="BN348" i="1"/>
  <c r="Z348" i="1"/>
  <c r="Y360" i="1"/>
  <c r="BP358" i="1"/>
  <c r="BN358" i="1"/>
  <c r="Z358" i="1"/>
  <c r="BP391" i="1"/>
  <c r="BN391" i="1"/>
  <c r="Z391" i="1"/>
  <c r="BP403" i="1"/>
  <c r="BN403" i="1"/>
  <c r="Z403" i="1"/>
  <c r="Y422" i="1"/>
  <c r="Y421" i="1"/>
  <c r="BP420" i="1"/>
  <c r="BN420" i="1"/>
  <c r="Z420" i="1"/>
  <c r="Z421" i="1" s="1"/>
  <c r="X497" i="1"/>
  <c r="BP426" i="1"/>
  <c r="BN426" i="1"/>
  <c r="Z426" i="1"/>
  <c r="BP434" i="1"/>
  <c r="BN434" i="1"/>
  <c r="Z434" i="1"/>
  <c r="BP450" i="1"/>
  <c r="BN450" i="1"/>
  <c r="Z450" i="1"/>
  <c r="Y152" i="1"/>
  <c r="Y184" i="1"/>
  <c r="Y223" i="1"/>
  <c r="K497" i="1"/>
  <c r="Y256" i="1"/>
  <c r="L497" i="1"/>
  <c r="M497" i="1"/>
  <c r="Y302" i="1"/>
  <c r="BP309" i="1"/>
  <c r="BN309" i="1"/>
  <c r="Z309" i="1"/>
  <c r="BP327" i="1"/>
  <c r="BN327" i="1"/>
  <c r="Z327" i="1"/>
  <c r="BP340" i="1"/>
  <c r="BN340" i="1"/>
  <c r="Z340" i="1"/>
  <c r="BP352" i="1"/>
  <c r="BN352" i="1"/>
  <c r="Z352" i="1"/>
  <c r="Y370" i="1"/>
  <c r="Y369" i="1"/>
  <c r="BP368" i="1"/>
  <c r="BN368" i="1"/>
  <c r="Z368" i="1"/>
  <c r="Z369" i="1" s="1"/>
  <c r="BP373" i="1"/>
  <c r="BN373" i="1"/>
  <c r="Z373" i="1"/>
  <c r="BP395" i="1"/>
  <c r="BN395" i="1"/>
  <c r="Z395" i="1"/>
  <c r="BP430" i="1"/>
  <c r="BN430" i="1"/>
  <c r="Z430" i="1"/>
  <c r="BP442" i="1"/>
  <c r="BN442" i="1"/>
  <c r="Z442" i="1"/>
  <c r="BP458" i="1"/>
  <c r="BN458" i="1"/>
  <c r="Z458" i="1"/>
  <c r="BP466" i="1"/>
  <c r="BN466" i="1"/>
  <c r="Z466" i="1"/>
  <c r="Y472" i="1"/>
  <c r="Y471" i="1"/>
  <c r="BP470" i="1"/>
  <c r="BN470" i="1"/>
  <c r="Z470" i="1"/>
  <c r="Z471" i="1" s="1"/>
  <c r="Y476" i="1"/>
  <c r="Y475" i="1"/>
  <c r="BP474" i="1"/>
  <c r="BN474" i="1"/>
  <c r="Z474" i="1"/>
  <c r="Z475" i="1" s="1"/>
  <c r="BP478" i="1"/>
  <c r="BN478" i="1"/>
  <c r="Z478" i="1"/>
  <c r="Y317" i="1"/>
  <c r="Y323" i="1"/>
  <c r="Y361" i="1"/>
  <c r="Y376" i="1"/>
  <c r="Y386" i="1"/>
  <c r="Y463" i="1"/>
  <c r="H9" i="1"/>
  <c r="A10" i="1"/>
  <c r="BP28" i="1"/>
  <c r="BN28" i="1"/>
  <c r="Z28" i="1"/>
  <c r="BP42" i="1"/>
  <c r="BN42" i="1"/>
  <c r="Z42" i="1"/>
  <c r="Y44" i="1"/>
  <c r="Y47" i="1"/>
  <c r="BP46" i="1"/>
  <c r="BN46" i="1"/>
  <c r="Z46" i="1"/>
  <c r="Z47" i="1" s="1"/>
  <c r="Y48" i="1"/>
  <c r="D497" i="1"/>
  <c r="Y57" i="1"/>
  <c r="Y58" i="1"/>
  <c r="BP51" i="1"/>
  <c r="BN51" i="1"/>
  <c r="Z51" i="1"/>
  <c r="BP55" i="1"/>
  <c r="BN55" i="1"/>
  <c r="Z55" i="1"/>
  <c r="F9" i="1"/>
  <c r="J9" i="1"/>
  <c r="B497" i="1"/>
  <c r="Y25" i="1"/>
  <c r="BP22" i="1"/>
  <c r="BN22" i="1"/>
  <c r="Z22" i="1"/>
  <c r="Z24" i="1" s="1"/>
  <c r="Y31" i="1"/>
  <c r="BP30" i="1"/>
  <c r="BN30" i="1"/>
  <c r="Z30" i="1"/>
  <c r="Y32" i="1"/>
  <c r="Y35" i="1"/>
  <c r="BP34" i="1"/>
  <c r="BN34" i="1"/>
  <c r="Z34" i="1"/>
  <c r="Z35" i="1" s="1"/>
  <c r="Y36" i="1"/>
  <c r="C497" i="1"/>
  <c r="Y43" i="1"/>
  <c r="BP40" i="1"/>
  <c r="BN40" i="1"/>
  <c r="Z40" i="1"/>
  <c r="BP53" i="1"/>
  <c r="BN53" i="1"/>
  <c r="Z53" i="1"/>
  <c r="X491" i="1"/>
  <c r="Z61" i="1"/>
  <c r="Z63" i="1" s="1"/>
  <c r="BN61" i="1"/>
  <c r="BP61" i="1"/>
  <c r="Z71" i="1"/>
  <c r="BN71" i="1"/>
  <c r="BP71" i="1"/>
  <c r="Z73" i="1"/>
  <c r="BN73" i="1"/>
  <c r="Z77" i="1"/>
  <c r="Z79" i="1" s="1"/>
  <c r="BN77" i="1"/>
  <c r="BP77" i="1"/>
  <c r="Y80" i="1"/>
  <c r="E497" i="1"/>
  <c r="Z84" i="1"/>
  <c r="BN84" i="1"/>
  <c r="BP84" i="1"/>
  <c r="Z86" i="1"/>
  <c r="BN86" i="1"/>
  <c r="Y87" i="1"/>
  <c r="Z90" i="1"/>
  <c r="BN90" i="1"/>
  <c r="BP90" i="1"/>
  <c r="Z92" i="1"/>
  <c r="BN92" i="1"/>
  <c r="Y95" i="1"/>
  <c r="F497" i="1"/>
  <c r="Z99" i="1"/>
  <c r="Z103" i="1" s="1"/>
  <c r="BN99" i="1"/>
  <c r="BP99" i="1"/>
  <c r="Z101" i="1"/>
  <c r="BN101" i="1"/>
  <c r="Y104" i="1"/>
  <c r="Z107" i="1"/>
  <c r="Z110" i="1" s="1"/>
  <c r="BN107" i="1"/>
  <c r="BP107" i="1"/>
  <c r="Z109" i="1"/>
  <c r="BN109" i="1"/>
  <c r="Z113" i="1"/>
  <c r="BN113" i="1"/>
  <c r="BP113" i="1"/>
  <c r="Z115" i="1"/>
  <c r="BN115" i="1"/>
  <c r="Y118" i="1"/>
  <c r="G497" i="1"/>
  <c r="Z126" i="1"/>
  <c r="Z127" i="1" s="1"/>
  <c r="BN126" i="1"/>
  <c r="BP126" i="1"/>
  <c r="Y127" i="1"/>
  <c r="Z130" i="1"/>
  <c r="Z132" i="1" s="1"/>
  <c r="BN130" i="1"/>
  <c r="BP130" i="1"/>
  <c r="Y133" i="1"/>
  <c r="Z136" i="1"/>
  <c r="Z137" i="1" s="1"/>
  <c r="BN136" i="1"/>
  <c r="BP136" i="1"/>
  <c r="Z141" i="1"/>
  <c r="BN141" i="1"/>
  <c r="BP141" i="1"/>
  <c r="Y144" i="1"/>
  <c r="Z147" i="1"/>
  <c r="BN147" i="1"/>
  <c r="BP147" i="1"/>
  <c r="Z149" i="1"/>
  <c r="BN149" i="1"/>
  <c r="I497" i="1"/>
  <c r="Y162" i="1"/>
  <c r="Z165" i="1"/>
  <c r="BN165" i="1"/>
  <c r="Z167" i="1"/>
  <c r="BN167" i="1"/>
  <c r="Z169" i="1"/>
  <c r="BN169" i="1"/>
  <c r="Z171" i="1"/>
  <c r="BN171" i="1"/>
  <c r="Z173" i="1"/>
  <c r="BN173" i="1"/>
  <c r="Z175" i="1"/>
  <c r="BN175" i="1"/>
  <c r="Z177" i="1"/>
  <c r="BN177" i="1"/>
  <c r="Y178" i="1"/>
  <c r="Z181" i="1"/>
  <c r="BN181" i="1"/>
  <c r="BP181" i="1"/>
  <c r="Y185" i="1"/>
  <c r="Y188" i="1"/>
  <c r="BP187" i="1"/>
  <c r="BN187" i="1"/>
  <c r="Z187" i="1"/>
  <c r="Z188" i="1" s="1"/>
  <c r="Y189" i="1"/>
  <c r="J497" i="1"/>
  <c r="Y195" i="1"/>
  <c r="BP192" i="1"/>
  <c r="BN192" i="1"/>
  <c r="Z192" i="1"/>
  <c r="Z194" i="1" s="1"/>
  <c r="Y199" i="1"/>
  <c r="BP204" i="1"/>
  <c r="BN204" i="1"/>
  <c r="Z204" i="1"/>
  <c r="Y143" i="1"/>
  <c r="BP183" i="1"/>
  <c r="BN183" i="1"/>
  <c r="BP198" i="1"/>
  <c r="BN198" i="1"/>
  <c r="Z198" i="1"/>
  <c r="Z199" i="1" s="1"/>
  <c r="Y200" i="1"/>
  <c r="Y211" i="1"/>
  <c r="BP202" i="1"/>
  <c r="BN202" i="1"/>
  <c r="Z202" i="1"/>
  <c r="Y210" i="1"/>
  <c r="Y222" i="1"/>
  <c r="Y228" i="1"/>
  <c r="Y241" i="1"/>
  <c r="Y245" i="1"/>
  <c r="Y249" i="1"/>
  <c r="Y257" i="1"/>
  <c r="Y266" i="1"/>
  <c r="Y273" i="1"/>
  <c r="Y280" i="1"/>
  <c r="Y287" i="1"/>
  <c r="Y291" i="1"/>
  <c r="Y310" i="1"/>
  <c r="Y318" i="1"/>
  <c r="Y324" i="1"/>
  <c r="Y330" i="1"/>
  <c r="Z343" i="1"/>
  <c r="BP341" i="1"/>
  <c r="BN341" i="1"/>
  <c r="Z341" i="1"/>
  <c r="BP351" i="1"/>
  <c r="BN351" i="1"/>
  <c r="Z351" i="1"/>
  <c r="Z206" i="1"/>
  <c r="BN206" i="1"/>
  <c r="Z208" i="1"/>
  <c r="BN208" i="1"/>
  <c r="Z214" i="1"/>
  <c r="BN214" i="1"/>
  <c r="Z216" i="1"/>
  <c r="BN216" i="1"/>
  <c r="Z218" i="1"/>
  <c r="BN218" i="1"/>
  <c r="Z220" i="1"/>
  <c r="BN220" i="1"/>
  <c r="Z226" i="1"/>
  <c r="Z227" i="1" s="1"/>
  <c r="BN226" i="1"/>
  <c r="Z231" i="1"/>
  <c r="BN231" i="1"/>
  <c r="BP231" i="1"/>
  <c r="Z233" i="1"/>
  <c r="BN233" i="1"/>
  <c r="Z235" i="1"/>
  <c r="BN235" i="1"/>
  <c r="Z237" i="1"/>
  <c r="BN237" i="1"/>
  <c r="Z239" i="1"/>
  <c r="BN239" i="1"/>
  <c r="Y240" i="1"/>
  <c r="Z243" i="1"/>
  <c r="Z244" i="1" s="1"/>
  <c r="BN243" i="1"/>
  <c r="BP243" i="1"/>
  <c r="Z247" i="1"/>
  <c r="Z248" i="1" s="1"/>
  <c r="BN247" i="1"/>
  <c r="BP247" i="1"/>
  <c r="Z251" i="1"/>
  <c r="BN251" i="1"/>
  <c r="BP251" i="1"/>
  <c r="Z253" i="1"/>
  <c r="BN253" i="1"/>
  <c r="Z255" i="1"/>
  <c r="BN255" i="1"/>
  <c r="Z260" i="1"/>
  <c r="Z265" i="1" s="1"/>
  <c r="BN260" i="1"/>
  <c r="BP260" i="1"/>
  <c r="Z262" i="1"/>
  <c r="BN262" i="1"/>
  <c r="Z264" i="1"/>
  <c r="BN264" i="1"/>
  <c r="Y265" i="1"/>
  <c r="Z269" i="1"/>
  <c r="Z273" i="1" s="1"/>
  <c r="BN269" i="1"/>
  <c r="BP269" i="1"/>
  <c r="Z271" i="1"/>
  <c r="BN271" i="1"/>
  <c r="Y274" i="1"/>
  <c r="O497" i="1"/>
  <c r="Z278" i="1"/>
  <c r="BN278" i="1"/>
  <c r="Y281" i="1"/>
  <c r="P497" i="1"/>
  <c r="Z285" i="1"/>
  <c r="Z286" i="1" s="1"/>
  <c r="BN285" i="1"/>
  <c r="Y286" i="1"/>
  <c r="Z289" i="1"/>
  <c r="Z291" i="1" s="1"/>
  <c r="BN289" i="1"/>
  <c r="BP289" i="1"/>
  <c r="Q497" i="1"/>
  <c r="Z296" i="1"/>
  <c r="BN296" i="1"/>
  <c r="Z298" i="1"/>
  <c r="BN298" i="1"/>
  <c r="Z300" i="1"/>
  <c r="BN300" i="1"/>
  <c r="Y301" i="1"/>
  <c r="Z304" i="1"/>
  <c r="BN304" i="1"/>
  <c r="BP304" i="1"/>
  <c r="Z306" i="1"/>
  <c r="BN306" i="1"/>
  <c r="Z308" i="1"/>
  <c r="BN308" i="1"/>
  <c r="Z314" i="1"/>
  <c r="BN314" i="1"/>
  <c r="Z316" i="1"/>
  <c r="BN316" i="1"/>
  <c r="Z320" i="1"/>
  <c r="Z323" i="1" s="1"/>
  <c r="BN320" i="1"/>
  <c r="BP320" i="1"/>
  <c r="Z322" i="1"/>
  <c r="BN322" i="1"/>
  <c r="Z326" i="1"/>
  <c r="BN326" i="1"/>
  <c r="BP326" i="1"/>
  <c r="Z328" i="1"/>
  <c r="BN328" i="1"/>
  <c r="Y337" i="1"/>
  <c r="Z334" i="1"/>
  <c r="BN334" i="1"/>
  <c r="Y343" i="1"/>
  <c r="Y355" i="1"/>
  <c r="BP349" i="1"/>
  <c r="BN349" i="1"/>
  <c r="Z349" i="1"/>
  <c r="R497" i="1"/>
  <c r="Y344" i="1"/>
  <c r="S497" i="1"/>
  <c r="Z353" i="1"/>
  <c r="BN353" i="1"/>
  <c r="Y356" i="1"/>
  <c r="Z359" i="1"/>
  <c r="Z360" i="1" s="1"/>
  <c r="BN359" i="1"/>
  <c r="BP359" i="1"/>
  <c r="Z363" i="1"/>
  <c r="Z365" i="1" s="1"/>
  <c r="BN363" i="1"/>
  <c r="BP363" i="1"/>
  <c r="Y366" i="1"/>
  <c r="T497" i="1"/>
  <c r="Z374" i="1"/>
  <c r="Z375" i="1" s="1"/>
  <c r="BN374" i="1"/>
  <c r="BP374" i="1"/>
  <c r="Y375" i="1"/>
  <c r="Z378" i="1"/>
  <c r="Z379" i="1" s="1"/>
  <c r="BN378" i="1"/>
  <c r="BP378" i="1"/>
  <c r="Y379" i="1"/>
  <c r="Z382" i="1"/>
  <c r="BN382" i="1"/>
  <c r="BP382" i="1"/>
  <c r="Z384" i="1"/>
  <c r="BN384" i="1"/>
  <c r="Y385" i="1"/>
  <c r="Z390" i="1"/>
  <c r="BN390" i="1"/>
  <c r="BP390" i="1"/>
  <c r="Z392" i="1"/>
  <c r="BN392" i="1"/>
  <c r="Z394" i="1"/>
  <c r="BN394" i="1"/>
  <c r="Z396" i="1"/>
  <c r="BN396" i="1"/>
  <c r="Z398" i="1"/>
  <c r="BN398" i="1"/>
  <c r="Y399" i="1"/>
  <c r="Z402" i="1"/>
  <c r="Z404" i="1" s="1"/>
  <c r="BN402" i="1"/>
  <c r="BP402" i="1"/>
  <c r="Y405" i="1"/>
  <c r="V497" i="1"/>
  <c r="Y410" i="1"/>
  <c r="Y417" i="1"/>
  <c r="Z413" i="1"/>
  <c r="BN413" i="1"/>
  <c r="BP414" i="1"/>
  <c r="BN414" i="1"/>
  <c r="Y416" i="1"/>
  <c r="BP427" i="1"/>
  <c r="BN427" i="1"/>
  <c r="Z427" i="1"/>
  <c r="BP431" i="1"/>
  <c r="BN431" i="1"/>
  <c r="Z431" i="1"/>
  <c r="BP435" i="1"/>
  <c r="BN435" i="1"/>
  <c r="Z435" i="1"/>
  <c r="BP443" i="1"/>
  <c r="BN443" i="1"/>
  <c r="Z443" i="1"/>
  <c r="Y454" i="1"/>
  <c r="BP447" i="1"/>
  <c r="BN447" i="1"/>
  <c r="Z447" i="1"/>
  <c r="BP451" i="1"/>
  <c r="BN451" i="1"/>
  <c r="Z451" i="1"/>
  <c r="Y462" i="1"/>
  <c r="BP461" i="1"/>
  <c r="BN461" i="1"/>
  <c r="Z461" i="1"/>
  <c r="Y468" i="1"/>
  <c r="BP465" i="1"/>
  <c r="BN465" i="1"/>
  <c r="Z465" i="1"/>
  <c r="Z467" i="1" s="1"/>
  <c r="Y480" i="1"/>
  <c r="Y400" i="1"/>
  <c r="Z416" i="1"/>
  <c r="BP429" i="1"/>
  <c r="BN429" i="1"/>
  <c r="Z429" i="1"/>
  <c r="BP433" i="1"/>
  <c r="BN433" i="1"/>
  <c r="Z433" i="1"/>
  <c r="BP437" i="1"/>
  <c r="BN437" i="1"/>
  <c r="Z437" i="1"/>
  <c r="Y439" i="1"/>
  <c r="Y444" i="1"/>
  <c r="BP441" i="1"/>
  <c r="BN441" i="1"/>
  <c r="Z441" i="1"/>
  <c r="Z444" i="1" s="1"/>
  <c r="BP449" i="1"/>
  <c r="BN449" i="1"/>
  <c r="Z449" i="1"/>
  <c r="Y453" i="1"/>
  <c r="BP459" i="1"/>
  <c r="BN459" i="1"/>
  <c r="Z459" i="1"/>
  <c r="Z462" i="1" s="1"/>
  <c r="BP479" i="1"/>
  <c r="BN479" i="1"/>
  <c r="Z479" i="1"/>
  <c r="Y481" i="1"/>
  <c r="Y486" i="1"/>
  <c r="W497" i="1"/>
  <c r="Y497" i="1"/>
  <c r="Y438" i="1"/>
  <c r="Z484" i="1"/>
  <c r="Z485" i="1" s="1"/>
  <c r="BN484" i="1"/>
  <c r="BP484" i="1"/>
  <c r="Y485" i="1"/>
  <c r="Z480" i="1" l="1"/>
  <c r="Z336" i="1"/>
  <c r="Z280" i="1"/>
  <c r="Z184" i="1"/>
  <c r="Z143" i="1"/>
  <c r="Z43" i="1"/>
  <c r="Z355" i="1"/>
  <c r="Z222" i="1"/>
  <c r="Z151" i="1"/>
  <c r="Z117" i="1"/>
  <c r="Z94" i="1"/>
  <c r="Z87" i="1"/>
  <c r="Z74" i="1"/>
  <c r="Y491" i="1"/>
  <c r="Z31" i="1"/>
  <c r="Z317" i="1"/>
  <c r="Z301" i="1"/>
  <c r="Z178" i="1"/>
  <c r="Z438" i="1"/>
  <c r="Z399" i="1"/>
  <c r="Z385" i="1"/>
  <c r="Z330" i="1"/>
  <c r="Z310" i="1"/>
  <c r="Z256" i="1"/>
  <c r="Z240" i="1"/>
  <c r="Z210" i="1"/>
  <c r="Y489" i="1"/>
  <c r="Z57" i="1"/>
  <c r="Z453" i="1"/>
  <c r="Y488" i="1"/>
  <c r="Y490" i="1" s="1"/>
  <c r="Y487" i="1"/>
  <c r="Z492" i="1" l="1"/>
</calcChain>
</file>

<file path=xl/sharedStrings.xml><?xml version="1.0" encoding="utf-8"?>
<sst xmlns="http://schemas.openxmlformats.org/spreadsheetml/2006/main" count="2227" uniqueCount="766">
  <si>
    <t xml:space="preserve">  БЛАНК ЗАКАЗА </t>
  </si>
  <si>
    <t>КИ</t>
  </si>
  <si>
    <t>на отгрузку продукции с ООО Трейд-Сервис с</t>
  </si>
  <si>
    <t>02.02.2026</t>
  </si>
  <si>
    <t>бланк создан</t>
  </si>
  <si>
    <t>28.01.2026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</si>
  <si>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</si>
  <si>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</si>
  <si>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</si>
  <si>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</si>
  <si>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</si>
  <si>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</si>
  <si>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</si>
  <si>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</si>
  <si>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Крым Респ, Симферополь г, Данилова ул, 43В, лит В, офис 4,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</si>
  <si>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</si>
  <si>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</si>
  <si>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</si>
  <si>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</si>
  <si>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295021Российская Федерация, Крым Респ, Симферополь г, Данилова ул, 43В, лит В, офис 4,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</si>
  <si>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</si>
  <si>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</si>
  <si>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</si>
  <si>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</si>
  <si>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</si>
  <si>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</si>
  <si>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</si>
  <si>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</si>
  <si>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</si>
  <si>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</si>
  <si>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</si>
  <si>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</si>
  <si>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</si>
  <si>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</si>
  <si>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</si>
  <si>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</si>
  <si>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</si>
  <si>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</si>
  <si>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</si>
  <si>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</si>
  <si>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</si>
  <si>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</si>
  <si>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</si>
  <si>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</si>
  <si>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</si>
  <si>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</si>
  <si>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</si>
  <si>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</si>
  <si>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</si>
  <si>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</si>
  <si>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</si>
  <si>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</si>
  <si>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</si>
  <si>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</si>
  <si>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</si>
  <si>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</si>
  <si>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</si>
  <si>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</si>
  <si>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</si>
  <si>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</si>
  <si>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</si>
  <si>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</si>
  <si>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</si>
  <si>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</si>
  <si>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</si>
  <si>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</si>
  <si>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</si>
  <si>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</si>
  <si>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</si>
  <si>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</si>
  <si>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</si>
  <si>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</si>
  <si>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</si>
  <si>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</si>
  <si>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</si>
  <si>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</si>
  <si>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</si>
  <si>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</si>
  <si>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</si>
  <si>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</si>
  <si>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Короб, мин. 14</t>
  </si>
  <si>
    <t>СК3</t>
  </si>
  <si>
    <t>ЕАЭС N RU Д-RU.РА10.В.84355/25, ЕАЭС N RU Д-RU.РА11.В.72353/25</t>
  </si>
  <si>
    <t>Короб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</si>
  <si>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</si>
  <si>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</si>
  <si>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</si>
  <si>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</si>
  <si>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</si>
  <si>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</si>
  <si>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</si>
  <si>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</si>
  <si>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</si>
  <si>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</si>
  <si>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</si>
  <si>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</si>
  <si>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</si>
  <si>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</si>
  <si>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</si>
  <si>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</si>
  <si>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</si>
  <si>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</si>
  <si>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</si>
  <si>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</si>
  <si>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</si>
  <si>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</si>
  <si>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</si>
  <si>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</si>
  <si>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</si>
  <si>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</si>
  <si>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</si>
  <si>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</si>
  <si>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</si>
  <si>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</si>
  <si>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</si>
  <si>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</si>
  <si>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</si>
  <si>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</si>
  <si>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</si>
  <si>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</si>
  <si>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</si>
  <si>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</si>
  <si>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</si>
  <si>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</si>
  <si>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</si>
  <si>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</si>
  <si>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</si>
  <si>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</si>
  <si>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</si>
  <si>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</si>
  <si>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</si>
  <si>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</si>
  <si>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</si>
  <si>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</si>
  <si>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</si>
  <si>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</si>
  <si>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</si>
  <si>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</si>
  <si>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</si>
  <si>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</si>
  <si>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</si>
  <si>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</si>
  <si>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</si>
  <si>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</si>
  <si>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</si>
  <si>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</si>
  <si>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</si>
  <si>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</si>
  <si>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</si>
  <si>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</si>
  <si>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</si>
  <si>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</si>
  <si>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</si>
  <si>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</si>
  <si>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</si>
  <si>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</si>
  <si>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</si>
  <si>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</si>
  <si>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</si>
  <si>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</si>
  <si>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</si>
  <si>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</si>
  <si>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</si>
  <si>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</si>
  <si>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</si>
  <si>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</si>
  <si>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</si>
  <si>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</si>
  <si>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</si>
  <si>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</si>
  <si>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</si>
  <si>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</si>
  <si>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</si>
  <si>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</si>
  <si>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</si>
  <si>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</si>
  <si>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</si>
  <si>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</si>
  <si>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</si>
  <si>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</si>
  <si>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</si>
  <si>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</si>
  <si>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</si>
  <si>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</si>
  <si>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</si>
  <si>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</si>
  <si>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</si>
  <si>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</si>
  <si>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</si>
  <si>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</si>
  <si>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</si>
  <si>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</si>
  <si>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</si>
  <si>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</si>
  <si>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</si>
  <si>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</si>
  <si>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</si>
  <si>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</si>
  <si>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</si>
  <si>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</si>
  <si>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</si>
  <si>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</si>
  <si>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</si>
  <si>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</si>
  <si>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</si>
  <si>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</si>
  <si>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</si>
  <si>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</si>
  <si>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</si>
  <si>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</si>
  <si>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</si>
  <si>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</si>
  <si>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</si>
  <si>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</si>
  <si>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</si>
  <si>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</si>
  <si>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</si>
  <si>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</si>
  <si>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</si>
  <si>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</si>
  <si>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</si>
  <si>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</si>
  <si>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</si>
  <si>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</si>
  <si>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</si>
  <si>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</si>
  <si>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</si>
  <si>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</si>
  <si>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</si>
  <si>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</si>
  <si>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</si>
  <si>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</si>
  <si>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</si>
  <si>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</si>
  <si>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</si>
  <si>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</si>
  <si>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</si>
  <si>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</si>
  <si>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</si>
  <si>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</si>
  <si>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</si>
  <si>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</si>
  <si>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</si>
  <si>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</si>
  <si>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</si>
  <si>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</si>
  <si>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</si>
  <si>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</si>
  <si>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</si>
  <si>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</si>
  <si>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</si>
  <si>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</si>
  <si>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</si>
  <si>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</si>
  <si>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</si>
  <si>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</si>
  <si>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</si>
  <si>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</si>
  <si>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</si>
  <si>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</si>
  <si>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</si>
  <si>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</si>
  <si>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</si>
  <si>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</si>
  <si>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</si>
  <si>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</si>
  <si>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</si>
  <si>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</si>
  <si>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</si>
  <si>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</si>
  <si>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</si>
  <si>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</si>
  <si>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</si>
  <si>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</si>
  <si>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</si>
  <si>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</si>
  <si>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</si>
  <si>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</si>
  <si>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</si>
  <si>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</si>
  <si>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</si>
  <si>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</si>
  <si>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</si>
  <si>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</si>
  <si>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Короб, мин. 18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</si>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</sst>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8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5" fillId="0" borderId="0" xfId="0" applyFont="1" applyProtection="1">
      <protection hidden="1"/>
    </xf>
    <xf numFmtId="0" fontId="0" fillId="0" borderId="0" xfId="0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77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8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3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413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64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16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26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1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37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54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6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0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7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801" t="s">
        <v>0</v>
      </c>
      <c r="E1" s="555"/>
      <c r="F1" s="555"/>
      <c r="G1" s="12" t="s">
        <v>1</v>
      </c>
      <c r="H1" s="801" t="s">
        <v>2</v>
      </c>
      <c r="I1" s="555"/>
      <c r="J1" s="555"/>
      <c r="K1" s="555"/>
      <c r="L1" s="555"/>
      <c r="M1" s="555"/>
      <c r="N1" s="555"/>
      <c r="O1" s="555"/>
      <c r="P1" s="555"/>
      <c r="Q1" s="555"/>
      <c r="R1" s="842" t="s">
        <v>3</v>
      </c>
      <c r="S1" s="555"/>
      <c r="T1" s="55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2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6"/>
      <c r="R2" s="556"/>
      <c r="S2" s="556"/>
      <c r="T2" s="556"/>
      <c r="U2" s="556"/>
      <c r="V2" s="556"/>
      <c r="W2" s="556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6"/>
      <c r="Q3" s="556"/>
      <c r="R3" s="556"/>
      <c r="S3" s="556"/>
      <c r="T3" s="556"/>
      <c r="U3" s="556"/>
      <c r="V3" s="556"/>
      <c r="W3" s="556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766" t="s">
        <v>8</v>
      </c>
      <c r="B5" s="635"/>
      <c r="C5" s="562"/>
      <c r="D5" s="661"/>
      <c r="E5" s="663"/>
      <c r="F5" s="618" t="s">
        <v>9</v>
      </c>
      <c r="G5" s="562"/>
      <c r="H5" s="661" t="s">
        <v>765</v>
      </c>
      <c r="I5" s="662"/>
      <c r="J5" s="662"/>
      <c r="K5" s="662"/>
      <c r="L5" s="662"/>
      <c r="M5" s="663"/>
      <c r="N5" s="58"/>
      <c r="P5" s="24" t="s">
        <v>10</v>
      </c>
      <c r="Q5" s="589">
        <v>46054</v>
      </c>
      <c r="R5" s="590"/>
      <c r="T5" s="736" t="s">
        <v>11</v>
      </c>
      <c r="U5" s="658"/>
      <c r="V5" s="737" t="s">
        <v>12</v>
      </c>
      <c r="W5" s="590"/>
      <c r="AB5" s="51"/>
      <c r="AC5" s="51"/>
      <c r="AD5" s="51"/>
      <c r="AE5" s="51"/>
    </row>
    <row r="6" spans="1:32" s="537" customFormat="1" ht="24" customHeight="1" x14ac:dyDescent="0.2">
      <c r="A6" s="766" t="s">
        <v>13</v>
      </c>
      <c r="B6" s="635"/>
      <c r="C6" s="562"/>
      <c r="D6" s="667" t="s">
        <v>14</v>
      </c>
      <c r="E6" s="668"/>
      <c r="F6" s="668"/>
      <c r="G6" s="668"/>
      <c r="H6" s="668"/>
      <c r="I6" s="668"/>
      <c r="J6" s="668"/>
      <c r="K6" s="668"/>
      <c r="L6" s="668"/>
      <c r="M6" s="590"/>
      <c r="N6" s="59"/>
      <c r="P6" s="24" t="s">
        <v>15</v>
      </c>
      <c r="Q6" s="598" t="str">
        <f>IF(Q5=0," ",CHOOSE(WEEKDAY(Q5,2),"Понедельник","Вторник","Среда","Четверг","Пятница","Суббота","Воскресенье"))</f>
        <v>Воскресенье</v>
      </c>
      <c r="R6" s="554"/>
      <c r="T6" s="742" t="s">
        <v>16</v>
      </c>
      <c r="U6" s="658"/>
      <c r="V6" s="575" t="s">
        <v>17</v>
      </c>
      <c r="W6" s="576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816" t="str">
        <f>IFERROR(VLOOKUP(DeliveryAddress,Table,3,0),1)</f>
        <v>1</v>
      </c>
      <c r="E7" s="817"/>
      <c r="F7" s="817"/>
      <c r="G7" s="817"/>
      <c r="H7" s="817"/>
      <c r="I7" s="817"/>
      <c r="J7" s="817"/>
      <c r="K7" s="817"/>
      <c r="L7" s="817"/>
      <c r="M7" s="741"/>
      <c r="N7" s="60"/>
      <c r="P7" s="24"/>
      <c r="Q7" s="42"/>
      <c r="R7" s="42"/>
      <c r="T7" s="556"/>
      <c r="U7" s="658"/>
      <c r="V7" s="577"/>
      <c r="W7" s="578"/>
      <c r="AB7" s="51"/>
      <c r="AC7" s="51"/>
      <c r="AD7" s="51"/>
      <c r="AE7" s="51"/>
    </row>
    <row r="8" spans="1:32" s="537" customFormat="1" ht="25.5" customHeight="1" x14ac:dyDescent="0.2">
      <c r="A8" s="566" t="s">
        <v>18</v>
      </c>
      <c r="B8" s="564"/>
      <c r="C8" s="565"/>
      <c r="D8" s="826" t="s">
        <v>19</v>
      </c>
      <c r="E8" s="827"/>
      <c r="F8" s="827"/>
      <c r="G8" s="827"/>
      <c r="H8" s="827"/>
      <c r="I8" s="827"/>
      <c r="J8" s="827"/>
      <c r="K8" s="827"/>
      <c r="L8" s="827"/>
      <c r="M8" s="828"/>
      <c r="N8" s="61"/>
      <c r="P8" s="24" t="s">
        <v>20</v>
      </c>
      <c r="Q8" s="740">
        <v>0.375</v>
      </c>
      <c r="R8" s="741"/>
      <c r="T8" s="556"/>
      <c r="U8" s="658"/>
      <c r="V8" s="577"/>
      <c r="W8" s="578"/>
      <c r="AB8" s="51"/>
      <c r="AC8" s="51"/>
      <c r="AD8" s="51"/>
      <c r="AE8" s="51"/>
    </row>
    <row r="9" spans="1:32" s="537" customFormat="1" ht="39.950000000000003" customHeight="1" x14ac:dyDescent="0.2">
      <c r="A9" s="5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6"/>
      <c r="C9" s="556"/>
      <c r="D9" s="629"/>
      <c r="E9" s="630"/>
      <c r="F9" s="5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6"/>
      <c r="H9" s="709" t="str">
        <f>IF(AND($A$9="Тип доверенности/получателя при получении в адресе перегруза:",$D$9="Разовая доверенность"),"Введите ФИО","")</f>
        <v/>
      </c>
      <c r="I9" s="630"/>
      <c r="J9" s="70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0"/>
      <c r="L9" s="630"/>
      <c r="M9" s="630"/>
      <c r="N9" s="535"/>
      <c r="P9" s="26" t="s">
        <v>21</v>
      </c>
      <c r="Q9" s="712"/>
      <c r="R9" s="573"/>
      <c r="T9" s="556"/>
      <c r="U9" s="658"/>
      <c r="V9" s="579"/>
      <c r="W9" s="580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5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6"/>
      <c r="C10" s="556"/>
      <c r="D10" s="629"/>
      <c r="E10" s="630"/>
      <c r="F10" s="5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6"/>
      <c r="H10" s="686" t="str">
        <f>IFERROR(VLOOKUP($D$10,Proxy,2,FALSE),"")</f>
        <v/>
      </c>
      <c r="I10" s="556"/>
      <c r="J10" s="556"/>
      <c r="K10" s="556"/>
      <c r="L10" s="556"/>
      <c r="M10" s="556"/>
      <c r="N10" s="536"/>
      <c r="P10" s="26" t="s">
        <v>22</v>
      </c>
      <c r="Q10" s="743"/>
      <c r="R10" s="744"/>
      <c r="U10" s="24" t="s">
        <v>23</v>
      </c>
      <c r="V10" s="852" t="s">
        <v>24</v>
      </c>
      <c r="W10" s="576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5"/>
      <c r="R11" s="590"/>
      <c r="U11" s="24" t="s">
        <v>27</v>
      </c>
      <c r="V11" s="572" t="s">
        <v>28</v>
      </c>
      <c r="W11" s="573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10" t="s">
        <v>29</v>
      </c>
      <c r="B12" s="635"/>
      <c r="C12" s="635"/>
      <c r="D12" s="635"/>
      <c r="E12" s="635"/>
      <c r="F12" s="635"/>
      <c r="G12" s="635"/>
      <c r="H12" s="635"/>
      <c r="I12" s="635"/>
      <c r="J12" s="635"/>
      <c r="K12" s="635"/>
      <c r="L12" s="635"/>
      <c r="M12" s="562"/>
      <c r="N12" s="62"/>
      <c r="P12" s="24" t="s">
        <v>30</v>
      </c>
      <c r="Q12" s="740"/>
      <c r="R12" s="741"/>
      <c r="S12" s="23"/>
      <c r="U12" s="24"/>
      <c r="V12" s="555"/>
      <c r="W12" s="556"/>
      <c r="AB12" s="51"/>
      <c r="AC12" s="51"/>
      <c r="AD12" s="51"/>
      <c r="AE12" s="51"/>
    </row>
    <row r="13" spans="1:32" s="537" customFormat="1" ht="23.25" customHeight="1" x14ac:dyDescent="0.2">
      <c r="A13" s="710" t="s">
        <v>31</v>
      </c>
      <c r="B13" s="635"/>
      <c r="C13" s="635"/>
      <c r="D13" s="635"/>
      <c r="E13" s="635"/>
      <c r="F13" s="635"/>
      <c r="G13" s="635"/>
      <c r="H13" s="635"/>
      <c r="I13" s="635"/>
      <c r="J13" s="635"/>
      <c r="K13" s="635"/>
      <c r="L13" s="635"/>
      <c r="M13" s="562"/>
      <c r="N13" s="62"/>
      <c r="O13" s="26"/>
      <c r="P13" s="26" t="s">
        <v>32</v>
      </c>
      <c r="Q13" s="572"/>
      <c r="R13" s="5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10" t="s">
        <v>33</v>
      </c>
      <c r="B14" s="635"/>
      <c r="C14" s="635"/>
      <c r="D14" s="635"/>
      <c r="E14" s="635"/>
      <c r="F14" s="635"/>
      <c r="G14" s="635"/>
      <c r="H14" s="635"/>
      <c r="I14" s="635"/>
      <c r="J14" s="635"/>
      <c r="K14" s="635"/>
      <c r="L14" s="635"/>
      <c r="M14" s="56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11" t="s">
        <v>34</v>
      </c>
      <c r="B15" s="635"/>
      <c r="C15" s="635"/>
      <c r="D15" s="635"/>
      <c r="E15" s="635"/>
      <c r="F15" s="635"/>
      <c r="G15" s="635"/>
      <c r="H15" s="635"/>
      <c r="I15" s="635"/>
      <c r="J15" s="635"/>
      <c r="K15" s="635"/>
      <c r="L15" s="635"/>
      <c r="M15" s="562"/>
      <c r="N15" s="63"/>
      <c r="P15" s="769" t="s">
        <v>35</v>
      </c>
      <c r="Q15" s="555"/>
      <c r="R15" s="555"/>
      <c r="S15" s="555"/>
      <c r="T15" s="55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0"/>
      <c r="Q16" s="770"/>
      <c r="R16" s="770"/>
      <c r="S16" s="770"/>
      <c r="T16" s="77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57" t="s">
        <v>36</v>
      </c>
      <c r="B17" s="557" t="s">
        <v>37</v>
      </c>
      <c r="C17" s="754" t="s">
        <v>38</v>
      </c>
      <c r="D17" s="557" t="s">
        <v>39</v>
      </c>
      <c r="E17" s="715"/>
      <c r="F17" s="557" t="s">
        <v>40</v>
      </c>
      <c r="G17" s="557" t="s">
        <v>41</v>
      </c>
      <c r="H17" s="557" t="s">
        <v>42</v>
      </c>
      <c r="I17" s="557" t="s">
        <v>43</v>
      </c>
      <c r="J17" s="557" t="s">
        <v>44</v>
      </c>
      <c r="K17" s="557" t="s">
        <v>45</v>
      </c>
      <c r="L17" s="557" t="s">
        <v>46</v>
      </c>
      <c r="M17" s="557" t="s">
        <v>47</v>
      </c>
      <c r="N17" s="557" t="s">
        <v>48</v>
      </c>
      <c r="O17" s="557" t="s">
        <v>49</v>
      </c>
      <c r="P17" s="557" t="s">
        <v>50</v>
      </c>
      <c r="Q17" s="803"/>
      <c r="R17" s="803"/>
      <c r="S17" s="803"/>
      <c r="T17" s="715"/>
      <c r="U17" s="561" t="s">
        <v>51</v>
      </c>
      <c r="V17" s="562"/>
      <c r="W17" s="557" t="s">
        <v>52</v>
      </c>
      <c r="X17" s="557" t="s">
        <v>53</v>
      </c>
      <c r="Y17" s="559" t="s">
        <v>54</v>
      </c>
      <c r="Z17" s="700" t="s">
        <v>55</v>
      </c>
      <c r="AA17" s="612" t="s">
        <v>56</v>
      </c>
      <c r="AB17" s="612" t="s">
        <v>57</v>
      </c>
      <c r="AC17" s="612" t="s">
        <v>58</v>
      </c>
      <c r="AD17" s="612" t="s">
        <v>59</v>
      </c>
      <c r="AE17" s="613"/>
      <c r="AF17" s="614"/>
      <c r="AG17" s="66"/>
      <c r="BD17" s="65" t="s">
        <v>60</v>
      </c>
    </row>
    <row r="18" spans="1:68" ht="14.25" customHeight="1" x14ac:dyDescent="0.2">
      <c r="A18" s="558"/>
      <c r="B18" s="558"/>
      <c r="C18" s="558"/>
      <c r="D18" s="716"/>
      <c r="E18" s="717"/>
      <c r="F18" s="558"/>
      <c r="G18" s="558"/>
      <c r="H18" s="558"/>
      <c r="I18" s="558"/>
      <c r="J18" s="558"/>
      <c r="K18" s="558"/>
      <c r="L18" s="558"/>
      <c r="M18" s="558"/>
      <c r="N18" s="558"/>
      <c r="O18" s="558"/>
      <c r="P18" s="716"/>
      <c r="Q18" s="804"/>
      <c r="R18" s="804"/>
      <c r="S18" s="804"/>
      <c r="T18" s="717"/>
      <c r="U18" s="67" t="s">
        <v>61</v>
      </c>
      <c r="V18" s="67" t="s">
        <v>62</v>
      </c>
      <c r="W18" s="558"/>
      <c r="X18" s="558"/>
      <c r="Y18" s="560"/>
      <c r="Z18" s="701"/>
      <c r="AA18" s="685"/>
      <c r="AB18" s="685"/>
      <c r="AC18" s="685"/>
      <c r="AD18" s="615"/>
      <c r="AE18" s="616"/>
      <c r="AF18" s="617"/>
      <c r="AG18" s="66"/>
      <c r="BD18" s="65"/>
    </row>
    <row r="19" spans="1:68" ht="27.75" hidden="1" customHeight="1" x14ac:dyDescent="0.2">
      <c r="A19" s="697" t="s">
        <v>63</v>
      </c>
      <c r="B19" s="698"/>
      <c r="C19" s="698"/>
      <c r="D19" s="698"/>
      <c r="E19" s="698"/>
      <c r="F19" s="698"/>
      <c r="G19" s="698"/>
      <c r="H19" s="698"/>
      <c r="I19" s="698"/>
      <c r="J19" s="698"/>
      <c r="K19" s="698"/>
      <c r="L19" s="698"/>
      <c r="M19" s="698"/>
      <c r="N19" s="698"/>
      <c r="O19" s="698"/>
      <c r="P19" s="698"/>
      <c r="Q19" s="698"/>
      <c r="R19" s="698"/>
      <c r="S19" s="698"/>
      <c r="T19" s="698"/>
      <c r="U19" s="698"/>
      <c r="V19" s="698"/>
      <c r="W19" s="698"/>
      <c r="X19" s="698"/>
      <c r="Y19" s="698"/>
      <c r="Z19" s="698"/>
      <c r="AA19" s="48"/>
      <c r="AB19" s="48"/>
      <c r="AC19" s="48"/>
    </row>
    <row r="20" spans="1:68" ht="16.5" hidden="1" customHeight="1" x14ac:dyDescent="0.25">
      <c r="A20" s="599" t="s">
        <v>63</v>
      </c>
      <c r="B20" s="556"/>
      <c r="C20" s="556"/>
      <c r="D20" s="556"/>
      <c r="E20" s="556"/>
      <c r="F20" s="556"/>
      <c r="G20" s="556"/>
      <c r="H20" s="556"/>
      <c r="I20" s="556"/>
      <c r="J20" s="556"/>
      <c r="K20" s="556"/>
      <c r="L20" s="556"/>
      <c r="M20" s="556"/>
      <c r="N20" s="556"/>
      <c r="O20" s="556"/>
      <c r="P20" s="556"/>
      <c r="Q20" s="556"/>
      <c r="R20" s="556"/>
      <c r="S20" s="556"/>
      <c r="T20" s="556"/>
      <c r="U20" s="556"/>
      <c r="V20" s="556"/>
      <c r="W20" s="556"/>
      <c r="X20" s="556"/>
      <c r="Y20" s="556"/>
      <c r="Z20" s="556"/>
      <c r="AA20" s="538"/>
      <c r="AB20" s="538"/>
      <c r="AC20" s="538"/>
    </row>
    <row r="21" spans="1:68" ht="14.25" hidden="1" customHeight="1" x14ac:dyDescent="0.25">
      <c r="A21" s="567" t="s">
        <v>64</v>
      </c>
      <c r="B21" s="556"/>
      <c r="C21" s="556"/>
      <c r="D21" s="556"/>
      <c r="E21" s="556"/>
      <c r="F21" s="556"/>
      <c r="G21" s="556"/>
      <c r="H21" s="556"/>
      <c r="I21" s="556"/>
      <c r="J21" s="556"/>
      <c r="K21" s="556"/>
      <c r="L21" s="556"/>
      <c r="M21" s="556"/>
      <c r="N21" s="556"/>
      <c r="O21" s="556"/>
      <c r="P21" s="556"/>
      <c r="Q21" s="556"/>
      <c r="R21" s="556"/>
      <c r="S21" s="556"/>
      <c r="T21" s="556"/>
      <c r="U21" s="556"/>
      <c r="V21" s="556"/>
      <c r="W21" s="556"/>
      <c r="X21" s="556"/>
      <c r="Y21" s="556"/>
      <c r="Z21" s="556"/>
      <c r="AA21" s="539"/>
      <c r="AB21" s="539"/>
      <c r="AC21" s="53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3">
        <v>4680115887510</v>
      </c>
      <c r="E22" s="554"/>
      <c r="F22" s="542">
        <v>0.2</v>
      </c>
      <c r="G22" s="32">
        <v>6</v>
      </c>
      <c r="H22" s="542">
        <v>1.2</v>
      </c>
      <c r="I22" s="54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55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3">
        <v>4680115886643</v>
      </c>
      <c r="E23" s="554"/>
      <c r="F23" s="542">
        <v>0.19</v>
      </c>
      <c r="G23" s="32">
        <v>10</v>
      </c>
      <c r="H23" s="542">
        <v>1.9</v>
      </c>
      <c r="I23" s="54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7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48"/>
      <c r="R23" s="548"/>
      <c r="S23" s="548"/>
      <c r="T23" s="549"/>
      <c r="U23" s="34"/>
      <c r="V23" s="34"/>
      <c r="W23" s="35" t="s">
        <v>69</v>
      </c>
      <c r="X23" s="543">
        <v>0</v>
      </c>
      <c r="Y23" s="5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8"/>
      <c r="B24" s="556"/>
      <c r="C24" s="556"/>
      <c r="D24" s="556"/>
      <c r="E24" s="556"/>
      <c r="F24" s="556"/>
      <c r="G24" s="556"/>
      <c r="H24" s="556"/>
      <c r="I24" s="556"/>
      <c r="J24" s="556"/>
      <c r="K24" s="556"/>
      <c r="L24" s="556"/>
      <c r="M24" s="556"/>
      <c r="N24" s="556"/>
      <c r="O24" s="569"/>
      <c r="P24" s="563" t="s">
        <v>75</v>
      </c>
      <c r="Q24" s="564"/>
      <c r="R24" s="564"/>
      <c r="S24" s="564"/>
      <c r="T24" s="564"/>
      <c r="U24" s="564"/>
      <c r="V24" s="565"/>
      <c r="W24" s="37" t="s">
        <v>76</v>
      </c>
      <c r="X24" s="545">
        <f>IFERROR(X22/H22,"0")+IFERROR(X23/H23,"0")</f>
        <v>0</v>
      </c>
      <c r="Y24" s="545">
        <f>IFERROR(Y22/H22,"0")+IFERROR(Y23/H23,"0")</f>
        <v>0</v>
      </c>
      <c r="Z24" s="545">
        <f>IFERROR(IF(Z22="",0,Z22),"0")+IFERROR(IF(Z23="",0,Z23),"0")</f>
        <v>0</v>
      </c>
      <c r="AA24" s="546"/>
      <c r="AB24" s="546"/>
      <c r="AC24" s="546"/>
    </row>
    <row r="25" spans="1:68" hidden="1" x14ac:dyDescent="0.2">
      <c r="A25" s="556"/>
      <c r="B25" s="556"/>
      <c r="C25" s="556"/>
      <c r="D25" s="556"/>
      <c r="E25" s="556"/>
      <c r="F25" s="556"/>
      <c r="G25" s="556"/>
      <c r="H25" s="556"/>
      <c r="I25" s="556"/>
      <c r="J25" s="556"/>
      <c r="K25" s="556"/>
      <c r="L25" s="556"/>
      <c r="M25" s="556"/>
      <c r="N25" s="556"/>
      <c r="O25" s="569"/>
      <c r="P25" s="563" t="s">
        <v>75</v>
      </c>
      <c r="Q25" s="564"/>
      <c r="R25" s="564"/>
      <c r="S25" s="564"/>
      <c r="T25" s="564"/>
      <c r="U25" s="564"/>
      <c r="V25" s="565"/>
      <c r="W25" s="37" t="s">
        <v>69</v>
      </c>
      <c r="X25" s="545">
        <f>IFERROR(SUM(X22:X23),"0")</f>
        <v>0</v>
      </c>
      <c r="Y25" s="545">
        <f>IFERROR(SUM(Y22:Y23),"0")</f>
        <v>0</v>
      </c>
      <c r="Z25" s="37"/>
      <c r="AA25" s="546"/>
      <c r="AB25" s="546"/>
      <c r="AC25" s="546"/>
    </row>
    <row r="26" spans="1:68" ht="14.25" hidden="1" customHeight="1" x14ac:dyDescent="0.25">
      <c r="A26" s="567" t="s">
        <v>77</v>
      </c>
      <c r="B26" s="556"/>
      <c r="C26" s="556"/>
      <c r="D26" s="556"/>
      <c r="E26" s="556"/>
      <c r="F26" s="556"/>
      <c r="G26" s="556"/>
      <c r="H26" s="556"/>
      <c r="I26" s="556"/>
      <c r="J26" s="556"/>
      <c r="K26" s="556"/>
      <c r="L26" s="556"/>
      <c r="M26" s="556"/>
      <c r="N26" s="556"/>
      <c r="O26" s="556"/>
      <c r="P26" s="556"/>
      <c r="Q26" s="556"/>
      <c r="R26" s="556"/>
      <c r="S26" s="556"/>
      <c r="T26" s="556"/>
      <c r="U26" s="556"/>
      <c r="V26" s="556"/>
      <c r="W26" s="556"/>
      <c r="X26" s="556"/>
      <c r="Y26" s="556"/>
      <c r="Z26" s="556"/>
      <c r="AA26" s="539"/>
      <c r="AB26" s="539"/>
      <c r="AC26" s="53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3">
        <v>4680115885912</v>
      </c>
      <c r="E27" s="554"/>
      <c r="F27" s="542">
        <v>0.3</v>
      </c>
      <c r="G27" s="32">
        <v>6</v>
      </c>
      <c r="H27" s="542">
        <v>1.8</v>
      </c>
      <c r="I27" s="542">
        <v>3.18</v>
      </c>
      <c r="J27" s="32">
        <v>182</v>
      </c>
      <c r="K27" s="32" t="s">
        <v>67</v>
      </c>
      <c r="L27" s="32" t="s">
        <v>80</v>
      </c>
      <c r="M27" s="33" t="s">
        <v>81</v>
      </c>
      <c r="N27" s="33"/>
      <c r="O27" s="32">
        <v>40</v>
      </c>
      <c r="P27" s="70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48"/>
      <c r="R27" s="548"/>
      <c r="S27" s="548"/>
      <c r="T27" s="549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 t="s">
        <v>83</v>
      </c>
      <c r="AK27" s="68">
        <v>25.2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84</v>
      </c>
      <c r="B28" s="54" t="s">
        <v>85</v>
      </c>
      <c r="C28" s="31">
        <v>4301051776</v>
      </c>
      <c r="D28" s="553">
        <v>4607091388237</v>
      </c>
      <c r="E28" s="554"/>
      <c r="F28" s="542">
        <v>0.42</v>
      </c>
      <c r="G28" s="32">
        <v>6</v>
      </c>
      <c r="H28" s="542">
        <v>2.52</v>
      </c>
      <c r="I28" s="542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84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48"/>
      <c r="R28" s="548"/>
      <c r="S28" s="548"/>
      <c r="T28" s="549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4301052063</v>
      </c>
      <c r="D29" s="553">
        <v>4680115887350</v>
      </c>
      <c r="E29" s="554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82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90</v>
      </c>
      <c r="B30" s="54" t="s">
        <v>91</v>
      </c>
      <c r="C30" s="31">
        <v>4301051863</v>
      </c>
      <c r="D30" s="553">
        <v>4680115885905</v>
      </c>
      <c r="E30" s="554"/>
      <c r="F30" s="542">
        <v>0.3</v>
      </c>
      <c r="G30" s="32">
        <v>6</v>
      </c>
      <c r="H30" s="542">
        <v>1.8</v>
      </c>
      <c r="I30" s="542">
        <v>3.18</v>
      </c>
      <c r="J30" s="32">
        <v>182</v>
      </c>
      <c r="K30" s="32" t="s">
        <v>67</v>
      </c>
      <c r="L30" s="32"/>
      <c r="M30" s="33" t="s">
        <v>88</v>
      </c>
      <c r="N30" s="33"/>
      <c r="O30" s="32">
        <v>40</v>
      </c>
      <c r="P30" s="85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48"/>
      <c r="R30" s="548"/>
      <c r="S30" s="548"/>
      <c r="T30" s="549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92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8"/>
      <c r="B31" s="556"/>
      <c r="C31" s="556"/>
      <c r="D31" s="556"/>
      <c r="E31" s="556"/>
      <c r="F31" s="556"/>
      <c r="G31" s="556"/>
      <c r="H31" s="556"/>
      <c r="I31" s="556"/>
      <c r="J31" s="556"/>
      <c r="K31" s="556"/>
      <c r="L31" s="556"/>
      <c r="M31" s="556"/>
      <c r="N31" s="556"/>
      <c r="O31" s="569"/>
      <c r="P31" s="563" t="s">
        <v>75</v>
      </c>
      <c r="Q31" s="564"/>
      <c r="R31" s="564"/>
      <c r="S31" s="564"/>
      <c r="T31" s="564"/>
      <c r="U31" s="564"/>
      <c r="V31" s="565"/>
      <c r="W31" s="37" t="s">
        <v>76</v>
      </c>
      <c r="X31" s="545">
        <f>IFERROR(X27/H27,"0")+IFERROR(X28/H28,"0")+IFERROR(X29/H29,"0")+IFERROR(X30/H30,"0")</f>
        <v>0</v>
      </c>
      <c r="Y31" s="545">
        <f>IFERROR(Y27/H27,"0")+IFERROR(Y28/H28,"0")+IFERROR(Y29/H29,"0")+IFERROR(Y30/H30,"0")</f>
        <v>0</v>
      </c>
      <c r="Z31" s="545">
        <f>IFERROR(IF(Z27="",0,Z27),"0")+IFERROR(IF(Z28="",0,Z28),"0")+IFERROR(IF(Z29="",0,Z29),"0")+IFERROR(IF(Z30="",0,Z30),"0")</f>
        <v>0</v>
      </c>
      <c r="AA31" s="546"/>
      <c r="AB31" s="546"/>
      <c r="AC31" s="546"/>
    </row>
    <row r="32" spans="1:68" hidden="1" x14ac:dyDescent="0.2">
      <c r="A32" s="556"/>
      <c r="B32" s="556"/>
      <c r="C32" s="556"/>
      <c r="D32" s="556"/>
      <c r="E32" s="556"/>
      <c r="F32" s="556"/>
      <c r="G32" s="556"/>
      <c r="H32" s="556"/>
      <c r="I32" s="556"/>
      <c r="J32" s="556"/>
      <c r="K32" s="556"/>
      <c r="L32" s="556"/>
      <c r="M32" s="556"/>
      <c r="N32" s="556"/>
      <c r="O32" s="569"/>
      <c r="P32" s="563" t="s">
        <v>75</v>
      </c>
      <c r="Q32" s="564"/>
      <c r="R32" s="564"/>
      <c r="S32" s="564"/>
      <c r="T32" s="564"/>
      <c r="U32" s="564"/>
      <c r="V32" s="565"/>
      <c r="W32" s="37" t="s">
        <v>69</v>
      </c>
      <c r="X32" s="545">
        <f>IFERROR(SUM(X27:X30),"0")</f>
        <v>0</v>
      </c>
      <c r="Y32" s="545">
        <f>IFERROR(SUM(Y27:Y30),"0")</f>
        <v>0</v>
      </c>
      <c r="Z32" s="37"/>
      <c r="AA32" s="546"/>
      <c r="AB32" s="546"/>
      <c r="AC32" s="546"/>
    </row>
    <row r="33" spans="1:68" ht="14.25" hidden="1" customHeight="1" x14ac:dyDescent="0.25">
      <c r="A33" s="567" t="s">
        <v>93</v>
      </c>
      <c r="B33" s="556"/>
      <c r="C33" s="556"/>
      <c r="D33" s="556"/>
      <c r="E33" s="556"/>
      <c r="F33" s="556"/>
      <c r="G33" s="556"/>
      <c r="H33" s="556"/>
      <c r="I33" s="556"/>
      <c r="J33" s="556"/>
      <c r="K33" s="556"/>
      <c r="L33" s="556"/>
      <c r="M33" s="556"/>
      <c r="N33" s="556"/>
      <c r="O33" s="556"/>
      <c r="P33" s="556"/>
      <c r="Q33" s="556"/>
      <c r="R33" s="556"/>
      <c r="S33" s="556"/>
      <c r="T33" s="556"/>
      <c r="U33" s="556"/>
      <c r="V33" s="556"/>
      <c r="W33" s="556"/>
      <c r="X33" s="556"/>
      <c r="Y33" s="556"/>
      <c r="Z33" s="556"/>
      <c r="AA33" s="539"/>
      <c r="AB33" s="539"/>
      <c r="AC33" s="539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53">
        <v>4607091388503</v>
      </c>
      <c r="E34" s="554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57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8"/>
      <c r="B35" s="556"/>
      <c r="C35" s="556"/>
      <c r="D35" s="556"/>
      <c r="E35" s="556"/>
      <c r="F35" s="556"/>
      <c r="G35" s="556"/>
      <c r="H35" s="556"/>
      <c r="I35" s="556"/>
      <c r="J35" s="556"/>
      <c r="K35" s="556"/>
      <c r="L35" s="556"/>
      <c r="M35" s="556"/>
      <c r="N35" s="556"/>
      <c r="O35" s="569"/>
      <c r="P35" s="563" t="s">
        <v>75</v>
      </c>
      <c r="Q35" s="564"/>
      <c r="R35" s="564"/>
      <c r="S35" s="564"/>
      <c r="T35" s="564"/>
      <c r="U35" s="564"/>
      <c r="V35" s="565"/>
      <c r="W35" s="37" t="s">
        <v>76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hidden="1" x14ac:dyDescent="0.2">
      <c r="A36" s="556"/>
      <c r="B36" s="556"/>
      <c r="C36" s="556"/>
      <c r="D36" s="556"/>
      <c r="E36" s="556"/>
      <c r="F36" s="556"/>
      <c r="G36" s="556"/>
      <c r="H36" s="556"/>
      <c r="I36" s="556"/>
      <c r="J36" s="556"/>
      <c r="K36" s="556"/>
      <c r="L36" s="556"/>
      <c r="M36" s="556"/>
      <c r="N36" s="556"/>
      <c r="O36" s="569"/>
      <c r="P36" s="563" t="s">
        <v>75</v>
      </c>
      <c r="Q36" s="564"/>
      <c r="R36" s="564"/>
      <c r="S36" s="564"/>
      <c r="T36" s="564"/>
      <c r="U36" s="564"/>
      <c r="V36" s="565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hidden="1" customHeight="1" x14ac:dyDescent="0.2">
      <c r="A37" s="697" t="s">
        <v>99</v>
      </c>
      <c r="B37" s="698"/>
      <c r="C37" s="698"/>
      <c r="D37" s="698"/>
      <c r="E37" s="698"/>
      <c r="F37" s="698"/>
      <c r="G37" s="698"/>
      <c r="H37" s="698"/>
      <c r="I37" s="698"/>
      <c r="J37" s="698"/>
      <c r="K37" s="698"/>
      <c r="L37" s="698"/>
      <c r="M37" s="698"/>
      <c r="N37" s="698"/>
      <c r="O37" s="698"/>
      <c r="P37" s="698"/>
      <c r="Q37" s="698"/>
      <c r="R37" s="698"/>
      <c r="S37" s="698"/>
      <c r="T37" s="698"/>
      <c r="U37" s="698"/>
      <c r="V37" s="698"/>
      <c r="W37" s="698"/>
      <c r="X37" s="698"/>
      <c r="Y37" s="698"/>
      <c r="Z37" s="698"/>
      <c r="AA37" s="48"/>
      <c r="AB37" s="48"/>
      <c r="AC37" s="48"/>
    </row>
    <row r="38" spans="1:68" ht="16.5" hidden="1" customHeight="1" x14ac:dyDescent="0.25">
      <c r="A38" s="599" t="s">
        <v>100</v>
      </c>
      <c r="B38" s="556"/>
      <c r="C38" s="556"/>
      <c r="D38" s="556"/>
      <c r="E38" s="556"/>
      <c r="F38" s="556"/>
      <c r="G38" s="556"/>
      <c r="H38" s="556"/>
      <c r="I38" s="556"/>
      <c r="J38" s="556"/>
      <c r="K38" s="556"/>
      <c r="L38" s="556"/>
      <c r="M38" s="556"/>
      <c r="N38" s="556"/>
      <c r="O38" s="556"/>
      <c r="P38" s="556"/>
      <c r="Q38" s="556"/>
      <c r="R38" s="556"/>
      <c r="S38" s="556"/>
      <c r="T38" s="556"/>
      <c r="U38" s="556"/>
      <c r="V38" s="556"/>
      <c r="W38" s="556"/>
      <c r="X38" s="556"/>
      <c r="Y38" s="556"/>
      <c r="Z38" s="556"/>
      <c r="AA38" s="538"/>
      <c r="AB38" s="538"/>
      <c r="AC38" s="538"/>
    </row>
    <row r="39" spans="1:68" ht="14.25" hidden="1" customHeight="1" x14ac:dyDescent="0.25">
      <c r="A39" s="567" t="s">
        <v>101</v>
      </c>
      <c r="B39" s="556"/>
      <c r="C39" s="556"/>
      <c r="D39" s="556"/>
      <c r="E39" s="556"/>
      <c r="F39" s="556"/>
      <c r="G39" s="556"/>
      <c r="H39" s="556"/>
      <c r="I39" s="556"/>
      <c r="J39" s="556"/>
      <c r="K39" s="556"/>
      <c r="L39" s="556"/>
      <c r="M39" s="556"/>
      <c r="N39" s="556"/>
      <c r="O39" s="556"/>
      <c r="P39" s="556"/>
      <c r="Q39" s="556"/>
      <c r="R39" s="556"/>
      <c r="S39" s="556"/>
      <c r="T39" s="556"/>
      <c r="U39" s="556"/>
      <c r="V39" s="556"/>
      <c r="W39" s="556"/>
      <c r="X39" s="556"/>
      <c r="Y39" s="556"/>
      <c r="Z39" s="556"/>
      <c r="AA39" s="539"/>
      <c r="AB39" s="539"/>
      <c r="AC39" s="539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3">
        <v>4607091385670</v>
      </c>
      <c r="E40" s="554"/>
      <c r="F40" s="542">
        <v>1.35</v>
      </c>
      <c r="G40" s="32">
        <v>8</v>
      </c>
      <c r="H40" s="542">
        <v>10.8</v>
      </c>
      <c r="I40" s="542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55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3">
        <v>30</v>
      </c>
      <c r="Y40" s="544">
        <f>IFERROR(IF(X40="",0,CEILING((X40/$H40),1)*$H40),"")</f>
        <v>32.400000000000006</v>
      </c>
      <c r="Z40" s="36">
        <f>IFERROR(IF(Y40=0,"",ROUNDUP(Y40/H40,0)*0.01898),"")</f>
        <v>5.6940000000000004E-2</v>
      </c>
      <c r="AA40" s="56"/>
      <c r="AB40" s="57"/>
      <c r="AC40" s="83" t="s">
        <v>107</v>
      </c>
      <c r="AG40" s="64"/>
      <c r="AJ40" s="68" t="s">
        <v>83</v>
      </c>
      <c r="AK40" s="68">
        <v>86.4</v>
      </c>
      <c r="BB40" s="84" t="s">
        <v>1</v>
      </c>
      <c r="BM40" s="64">
        <f>IFERROR(X40*I40/H40,"0")</f>
        <v>31.138888888888889</v>
      </c>
      <c r="BN40" s="64">
        <f>IFERROR(Y40*I40/H40,"0")</f>
        <v>33.630000000000003</v>
      </c>
      <c r="BO40" s="64">
        <f>IFERROR(1/J40*(X40/H40),"0")</f>
        <v>4.3402777777777776E-2</v>
      </c>
      <c r="BP40" s="64">
        <f>IFERROR(1/J40*(Y40/H40),"0")</f>
        <v>4.6875000000000007E-2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4301011382</v>
      </c>
      <c r="D41" s="553">
        <v>4607091385687</v>
      </c>
      <c r="E41" s="554"/>
      <c r="F41" s="542">
        <v>0.4</v>
      </c>
      <c r="G41" s="32">
        <v>10</v>
      </c>
      <c r="H41" s="542">
        <v>4</v>
      </c>
      <c r="I41" s="542">
        <v>4.1900000000000004</v>
      </c>
      <c r="J41" s="32">
        <v>132</v>
      </c>
      <c r="K41" s="32" t="s">
        <v>110</v>
      </c>
      <c r="L41" s="32" t="s">
        <v>111</v>
      </c>
      <c r="M41" s="33" t="s">
        <v>81</v>
      </c>
      <c r="N41" s="33"/>
      <c r="O41" s="32">
        <v>50</v>
      </c>
      <c r="P41" s="57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3">
        <v>0</v>
      </c>
      <c r="Y41" s="544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83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53">
        <v>4680115882539</v>
      </c>
      <c r="E42" s="554"/>
      <c r="F42" s="542">
        <v>0.37</v>
      </c>
      <c r="G42" s="32">
        <v>10</v>
      </c>
      <c r="H42" s="542">
        <v>3.7</v>
      </c>
      <c r="I42" s="542">
        <v>3.89</v>
      </c>
      <c r="J42" s="32">
        <v>132</v>
      </c>
      <c r="K42" s="32" t="s">
        <v>110</v>
      </c>
      <c r="L42" s="32"/>
      <c r="M42" s="33" t="s">
        <v>81</v>
      </c>
      <c r="N42" s="33"/>
      <c r="O42" s="32">
        <v>50</v>
      </c>
      <c r="P42" s="8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8"/>
      <c r="B43" s="556"/>
      <c r="C43" s="556"/>
      <c r="D43" s="556"/>
      <c r="E43" s="556"/>
      <c r="F43" s="556"/>
      <c r="G43" s="556"/>
      <c r="H43" s="556"/>
      <c r="I43" s="556"/>
      <c r="J43" s="556"/>
      <c r="K43" s="556"/>
      <c r="L43" s="556"/>
      <c r="M43" s="556"/>
      <c r="N43" s="556"/>
      <c r="O43" s="569"/>
      <c r="P43" s="563" t="s">
        <v>75</v>
      </c>
      <c r="Q43" s="564"/>
      <c r="R43" s="564"/>
      <c r="S43" s="564"/>
      <c r="T43" s="564"/>
      <c r="U43" s="564"/>
      <c r="V43" s="565"/>
      <c r="W43" s="37" t="s">
        <v>76</v>
      </c>
      <c r="X43" s="545">
        <f>IFERROR(X40/H40,"0")+IFERROR(X41/H41,"0")+IFERROR(X42/H42,"0")</f>
        <v>2.7777777777777777</v>
      </c>
      <c r="Y43" s="545">
        <f>IFERROR(Y40/H40,"0")+IFERROR(Y41/H41,"0")+IFERROR(Y42/H42,"0")</f>
        <v>3.0000000000000004</v>
      </c>
      <c r="Z43" s="545">
        <f>IFERROR(IF(Z40="",0,Z40),"0")+IFERROR(IF(Z41="",0,Z41),"0")+IFERROR(IF(Z42="",0,Z42),"0")</f>
        <v>5.6940000000000004E-2</v>
      </c>
      <c r="AA43" s="546"/>
      <c r="AB43" s="546"/>
      <c r="AC43" s="546"/>
    </row>
    <row r="44" spans="1:68" x14ac:dyDescent="0.2">
      <c r="A44" s="556"/>
      <c r="B44" s="556"/>
      <c r="C44" s="556"/>
      <c r="D44" s="556"/>
      <c r="E44" s="556"/>
      <c r="F44" s="556"/>
      <c r="G44" s="556"/>
      <c r="H44" s="556"/>
      <c r="I44" s="556"/>
      <c r="J44" s="556"/>
      <c r="K44" s="556"/>
      <c r="L44" s="556"/>
      <c r="M44" s="556"/>
      <c r="N44" s="556"/>
      <c r="O44" s="569"/>
      <c r="P44" s="563" t="s">
        <v>75</v>
      </c>
      <c r="Q44" s="564"/>
      <c r="R44" s="564"/>
      <c r="S44" s="564"/>
      <c r="T44" s="564"/>
      <c r="U44" s="564"/>
      <c r="V44" s="565"/>
      <c r="W44" s="37" t="s">
        <v>69</v>
      </c>
      <c r="X44" s="545">
        <f>IFERROR(SUM(X40:X42),"0")</f>
        <v>30</v>
      </c>
      <c r="Y44" s="545">
        <f>IFERROR(SUM(Y40:Y42),"0")</f>
        <v>32.400000000000006</v>
      </c>
      <c r="Z44" s="37"/>
      <c r="AA44" s="546"/>
      <c r="AB44" s="546"/>
      <c r="AC44" s="546"/>
    </row>
    <row r="45" spans="1:68" ht="14.25" hidden="1" customHeight="1" x14ac:dyDescent="0.25">
      <c r="A45" s="567" t="s">
        <v>77</v>
      </c>
      <c r="B45" s="556"/>
      <c r="C45" s="556"/>
      <c r="D45" s="556"/>
      <c r="E45" s="556"/>
      <c r="F45" s="556"/>
      <c r="G45" s="556"/>
      <c r="H45" s="556"/>
      <c r="I45" s="556"/>
      <c r="J45" s="556"/>
      <c r="K45" s="556"/>
      <c r="L45" s="556"/>
      <c r="M45" s="556"/>
      <c r="N45" s="556"/>
      <c r="O45" s="556"/>
      <c r="P45" s="556"/>
      <c r="Q45" s="556"/>
      <c r="R45" s="556"/>
      <c r="S45" s="556"/>
      <c r="T45" s="556"/>
      <c r="U45" s="556"/>
      <c r="V45" s="556"/>
      <c r="W45" s="556"/>
      <c r="X45" s="556"/>
      <c r="Y45" s="556"/>
      <c r="Z45" s="556"/>
      <c r="AA45" s="539"/>
      <c r="AB45" s="539"/>
      <c r="AC45" s="539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53">
        <v>4680115884915</v>
      </c>
      <c r="E46" s="554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67</v>
      </c>
      <c r="L46" s="32"/>
      <c r="M46" s="33" t="s">
        <v>81</v>
      </c>
      <c r="N46" s="33"/>
      <c r="O46" s="32">
        <v>40</v>
      </c>
      <c r="P46" s="69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8"/>
      <c r="B47" s="556"/>
      <c r="C47" s="556"/>
      <c r="D47" s="556"/>
      <c r="E47" s="556"/>
      <c r="F47" s="556"/>
      <c r="G47" s="556"/>
      <c r="H47" s="556"/>
      <c r="I47" s="556"/>
      <c r="J47" s="556"/>
      <c r="K47" s="556"/>
      <c r="L47" s="556"/>
      <c r="M47" s="556"/>
      <c r="N47" s="556"/>
      <c r="O47" s="569"/>
      <c r="P47" s="563" t="s">
        <v>75</v>
      </c>
      <c r="Q47" s="564"/>
      <c r="R47" s="564"/>
      <c r="S47" s="564"/>
      <c r="T47" s="564"/>
      <c r="U47" s="564"/>
      <c r="V47" s="565"/>
      <c r="W47" s="37" t="s">
        <v>76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hidden="1" x14ac:dyDescent="0.2">
      <c r="A48" s="556"/>
      <c r="B48" s="556"/>
      <c r="C48" s="556"/>
      <c r="D48" s="556"/>
      <c r="E48" s="556"/>
      <c r="F48" s="556"/>
      <c r="G48" s="556"/>
      <c r="H48" s="556"/>
      <c r="I48" s="556"/>
      <c r="J48" s="556"/>
      <c r="K48" s="556"/>
      <c r="L48" s="556"/>
      <c r="M48" s="556"/>
      <c r="N48" s="556"/>
      <c r="O48" s="569"/>
      <c r="P48" s="563" t="s">
        <v>75</v>
      </c>
      <c r="Q48" s="564"/>
      <c r="R48" s="564"/>
      <c r="S48" s="564"/>
      <c r="T48" s="564"/>
      <c r="U48" s="564"/>
      <c r="V48" s="565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hidden="1" customHeight="1" x14ac:dyDescent="0.25">
      <c r="A49" s="599" t="s">
        <v>117</v>
      </c>
      <c r="B49" s="556"/>
      <c r="C49" s="556"/>
      <c r="D49" s="556"/>
      <c r="E49" s="556"/>
      <c r="F49" s="556"/>
      <c r="G49" s="556"/>
      <c r="H49" s="556"/>
      <c r="I49" s="556"/>
      <c r="J49" s="556"/>
      <c r="K49" s="556"/>
      <c r="L49" s="556"/>
      <c r="M49" s="556"/>
      <c r="N49" s="556"/>
      <c r="O49" s="556"/>
      <c r="P49" s="556"/>
      <c r="Q49" s="556"/>
      <c r="R49" s="556"/>
      <c r="S49" s="556"/>
      <c r="T49" s="556"/>
      <c r="U49" s="556"/>
      <c r="V49" s="556"/>
      <c r="W49" s="556"/>
      <c r="X49" s="556"/>
      <c r="Y49" s="556"/>
      <c r="Z49" s="556"/>
      <c r="AA49" s="538"/>
      <c r="AB49" s="538"/>
      <c r="AC49" s="538"/>
    </row>
    <row r="50" spans="1:68" ht="14.25" hidden="1" customHeight="1" x14ac:dyDescent="0.25">
      <c r="A50" s="567" t="s">
        <v>101</v>
      </c>
      <c r="B50" s="556"/>
      <c r="C50" s="556"/>
      <c r="D50" s="556"/>
      <c r="E50" s="556"/>
      <c r="F50" s="556"/>
      <c r="G50" s="556"/>
      <c r="H50" s="556"/>
      <c r="I50" s="556"/>
      <c r="J50" s="556"/>
      <c r="K50" s="556"/>
      <c r="L50" s="556"/>
      <c r="M50" s="556"/>
      <c r="N50" s="556"/>
      <c r="O50" s="556"/>
      <c r="P50" s="556"/>
      <c r="Q50" s="556"/>
      <c r="R50" s="556"/>
      <c r="S50" s="556"/>
      <c r="T50" s="556"/>
      <c r="U50" s="556"/>
      <c r="V50" s="556"/>
      <c r="W50" s="556"/>
      <c r="X50" s="556"/>
      <c r="Y50" s="556"/>
      <c r="Z50" s="556"/>
      <c r="AA50" s="539"/>
      <c r="AB50" s="539"/>
      <c r="AC50" s="539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53">
        <v>4680115885882</v>
      </c>
      <c r="E51" s="554"/>
      <c r="F51" s="542">
        <v>1.4</v>
      </c>
      <c r="G51" s="32">
        <v>8</v>
      </c>
      <c r="H51" s="542">
        <v>11.2</v>
      </c>
      <c r="I51" s="542">
        <v>11.61</v>
      </c>
      <c r="J51" s="32">
        <v>64</v>
      </c>
      <c r="K51" s="32" t="s">
        <v>104</v>
      </c>
      <c r="L51" s="32"/>
      <c r="M51" s="33" t="s">
        <v>81</v>
      </c>
      <c r="N51" s="33"/>
      <c r="O51" s="32">
        <v>50</v>
      </c>
      <c r="P51" s="78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3">
        <v>4680115881426</v>
      </c>
      <c r="E52" s="554"/>
      <c r="F52" s="542">
        <v>1.35</v>
      </c>
      <c r="G52" s="32">
        <v>8</v>
      </c>
      <c r="H52" s="542">
        <v>10.8</v>
      </c>
      <c r="I52" s="542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80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3">
        <v>100</v>
      </c>
      <c r="Y52" s="544">
        <f t="shared" si="0"/>
        <v>108</v>
      </c>
      <c r="Z52" s="36">
        <f>IFERROR(IF(Y52=0,"",ROUNDUP(Y52/H52,0)*0.01898),"")</f>
        <v>0.1898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103.79629629629629</v>
      </c>
      <c r="BN52" s="64">
        <f t="shared" si="2"/>
        <v>112.1</v>
      </c>
      <c r="BO52" s="64">
        <f t="shared" si="3"/>
        <v>0.14467592592592593</v>
      </c>
      <c r="BP52" s="64">
        <f t="shared" si="4"/>
        <v>0.15625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53">
        <v>4680115880283</v>
      </c>
      <c r="E53" s="554"/>
      <c r="F53" s="542">
        <v>0.6</v>
      </c>
      <c r="G53" s="32">
        <v>8</v>
      </c>
      <c r="H53" s="542">
        <v>4.8</v>
      </c>
      <c r="I53" s="542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76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127</v>
      </c>
      <c r="B54" s="54" t="s">
        <v>128</v>
      </c>
      <c r="C54" s="31">
        <v>4301011806</v>
      </c>
      <c r="D54" s="553">
        <v>4680115881525</v>
      </c>
      <c r="E54" s="554"/>
      <c r="F54" s="542">
        <v>0.4</v>
      </c>
      <c r="G54" s="32">
        <v>10</v>
      </c>
      <c r="H54" s="542">
        <v>4</v>
      </c>
      <c r="I54" s="542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62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53">
        <v>4680115885899</v>
      </c>
      <c r="E55" s="554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67</v>
      </c>
      <c r="L55" s="32"/>
      <c r="M55" s="33" t="s">
        <v>88</v>
      </c>
      <c r="N55" s="33"/>
      <c r="O55" s="32">
        <v>50</v>
      </c>
      <c r="P55" s="77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133</v>
      </c>
      <c r="B56" s="54" t="s">
        <v>134</v>
      </c>
      <c r="C56" s="31">
        <v>4301011801</v>
      </c>
      <c r="D56" s="553">
        <v>4680115881419</v>
      </c>
      <c r="E56" s="554"/>
      <c r="F56" s="542">
        <v>0.45</v>
      </c>
      <c r="G56" s="32">
        <v>10</v>
      </c>
      <c r="H56" s="542">
        <v>4.5</v>
      </c>
      <c r="I56" s="542">
        <v>4.6900000000000004</v>
      </c>
      <c r="J56" s="32">
        <v>132</v>
      </c>
      <c r="K56" s="32" t="s">
        <v>110</v>
      </c>
      <c r="L56" s="32" t="s">
        <v>111</v>
      </c>
      <c r="M56" s="33" t="s">
        <v>106</v>
      </c>
      <c r="N56" s="33"/>
      <c r="O56" s="32">
        <v>50</v>
      </c>
      <c r="P56" s="83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3">
        <v>58.5</v>
      </c>
      <c r="Y56" s="544">
        <f t="shared" si="0"/>
        <v>58.5</v>
      </c>
      <c r="Z56" s="36">
        <f>IFERROR(IF(Y56=0,"",ROUNDUP(Y56/H56,0)*0.00902),"")</f>
        <v>0.11726</v>
      </c>
      <c r="AA56" s="56"/>
      <c r="AB56" s="57"/>
      <c r="AC56" s="101" t="s">
        <v>135</v>
      </c>
      <c r="AG56" s="64"/>
      <c r="AJ56" s="68" t="s">
        <v>83</v>
      </c>
      <c r="AK56" s="68">
        <v>54</v>
      </c>
      <c r="BB56" s="102" t="s">
        <v>1</v>
      </c>
      <c r="BM56" s="64">
        <f t="shared" si="1"/>
        <v>60.97</v>
      </c>
      <c r="BN56" s="64">
        <f t="shared" si="2"/>
        <v>60.97</v>
      </c>
      <c r="BO56" s="64">
        <f t="shared" si="3"/>
        <v>9.8484848484848481E-2</v>
      </c>
      <c r="BP56" s="64">
        <f t="shared" si="4"/>
        <v>9.8484848484848481E-2</v>
      </c>
    </row>
    <row r="57" spans="1:68" x14ac:dyDescent="0.2">
      <c r="A57" s="568"/>
      <c r="B57" s="556"/>
      <c r="C57" s="556"/>
      <c r="D57" s="556"/>
      <c r="E57" s="556"/>
      <c r="F57" s="556"/>
      <c r="G57" s="556"/>
      <c r="H57" s="556"/>
      <c r="I57" s="556"/>
      <c r="J57" s="556"/>
      <c r="K57" s="556"/>
      <c r="L57" s="556"/>
      <c r="M57" s="556"/>
      <c r="N57" s="556"/>
      <c r="O57" s="569"/>
      <c r="P57" s="563" t="s">
        <v>75</v>
      </c>
      <c r="Q57" s="564"/>
      <c r="R57" s="564"/>
      <c r="S57" s="564"/>
      <c r="T57" s="564"/>
      <c r="U57" s="564"/>
      <c r="V57" s="565"/>
      <c r="W57" s="37" t="s">
        <v>76</v>
      </c>
      <c r="X57" s="545">
        <f>IFERROR(X51/H51,"0")+IFERROR(X52/H52,"0")+IFERROR(X53/H53,"0")+IFERROR(X54/H54,"0")+IFERROR(X55/H55,"0")+IFERROR(X56/H56,"0")</f>
        <v>22.25925925925926</v>
      </c>
      <c r="Y57" s="545">
        <f>IFERROR(Y51/H51,"0")+IFERROR(Y52/H52,"0")+IFERROR(Y53/H53,"0")+IFERROR(Y54/H54,"0")+IFERROR(Y55/H55,"0")+IFERROR(Y56/H56,"0")</f>
        <v>23</v>
      </c>
      <c r="Z57" s="545">
        <f>IFERROR(IF(Z51="",0,Z51),"0")+IFERROR(IF(Z52="",0,Z52),"0")+IFERROR(IF(Z53="",0,Z53),"0")+IFERROR(IF(Z54="",0,Z54),"0")+IFERROR(IF(Z55="",0,Z55),"0")+IFERROR(IF(Z56="",0,Z56),"0")</f>
        <v>0.30706</v>
      </c>
      <c r="AA57" s="546"/>
      <c r="AB57" s="546"/>
      <c r="AC57" s="546"/>
    </row>
    <row r="58" spans="1:68" x14ac:dyDescent="0.2">
      <c r="A58" s="556"/>
      <c r="B58" s="556"/>
      <c r="C58" s="556"/>
      <c r="D58" s="556"/>
      <c r="E58" s="556"/>
      <c r="F58" s="556"/>
      <c r="G58" s="556"/>
      <c r="H58" s="556"/>
      <c r="I58" s="556"/>
      <c r="J58" s="556"/>
      <c r="K58" s="556"/>
      <c r="L58" s="556"/>
      <c r="M58" s="556"/>
      <c r="N58" s="556"/>
      <c r="O58" s="569"/>
      <c r="P58" s="563" t="s">
        <v>75</v>
      </c>
      <c r="Q58" s="564"/>
      <c r="R58" s="564"/>
      <c r="S58" s="564"/>
      <c r="T58" s="564"/>
      <c r="U58" s="564"/>
      <c r="V58" s="565"/>
      <c r="W58" s="37" t="s">
        <v>69</v>
      </c>
      <c r="X58" s="545">
        <f>IFERROR(SUM(X51:X56),"0")</f>
        <v>158.5</v>
      </c>
      <c r="Y58" s="545">
        <f>IFERROR(SUM(Y51:Y56),"0")</f>
        <v>166.5</v>
      </c>
      <c r="Z58" s="37"/>
      <c r="AA58" s="546"/>
      <c r="AB58" s="546"/>
      <c r="AC58" s="546"/>
    </row>
    <row r="59" spans="1:68" ht="14.25" hidden="1" customHeight="1" x14ac:dyDescent="0.25">
      <c r="A59" s="567" t="s">
        <v>136</v>
      </c>
      <c r="B59" s="556"/>
      <c r="C59" s="556"/>
      <c r="D59" s="556"/>
      <c r="E59" s="556"/>
      <c r="F59" s="556"/>
      <c r="G59" s="556"/>
      <c r="H59" s="556"/>
      <c r="I59" s="556"/>
      <c r="J59" s="556"/>
      <c r="K59" s="556"/>
      <c r="L59" s="556"/>
      <c r="M59" s="556"/>
      <c r="N59" s="556"/>
      <c r="O59" s="556"/>
      <c r="P59" s="556"/>
      <c r="Q59" s="556"/>
      <c r="R59" s="556"/>
      <c r="S59" s="556"/>
      <c r="T59" s="556"/>
      <c r="U59" s="556"/>
      <c r="V59" s="556"/>
      <c r="W59" s="556"/>
      <c r="X59" s="556"/>
      <c r="Y59" s="556"/>
      <c r="Z59" s="556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3">
        <v>4680115881440</v>
      </c>
      <c r="E60" s="554"/>
      <c r="F60" s="542">
        <v>1.35</v>
      </c>
      <c r="G60" s="32">
        <v>8</v>
      </c>
      <c r="H60" s="542">
        <v>10.8</v>
      </c>
      <c r="I60" s="542">
        <v>11.21</v>
      </c>
      <c r="J60" s="32">
        <v>64</v>
      </c>
      <c r="K60" s="32" t="s">
        <v>104</v>
      </c>
      <c r="L60" s="32"/>
      <c r="M60" s="33" t="s">
        <v>106</v>
      </c>
      <c r="N60" s="33"/>
      <c r="O60" s="32">
        <v>50</v>
      </c>
      <c r="P60" s="7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3">
        <v>40</v>
      </c>
      <c r="Y60" s="544">
        <f>IFERROR(IF(X60="",0,CEILING((X60/$H60),1)*$H60),"")</f>
        <v>43.2</v>
      </c>
      <c r="Z60" s="36">
        <f>IFERROR(IF(Y60=0,"",ROUNDUP(Y60/H60,0)*0.01898),"")</f>
        <v>7.5920000000000001E-2</v>
      </c>
      <c r="AA60" s="56"/>
      <c r="AB60" s="57"/>
      <c r="AC60" s="103" t="s">
        <v>139</v>
      </c>
      <c r="AG60" s="64"/>
      <c r="AJ60" s="68"/>
      <c r="AK60" s="68">
        <v>0</v>
      </c>
      <c r="BB60" s="104" t="s">
        <v>1</v>
      </c>
      <c r="BM60" s="64">
        <f>IFERROR(X60*I60/H60,"0")</f>
        <v>41.518518518518519</v>
      </c>
      <c r="BN60" s="64">
        <f>IFERROR(Y60*I60/H60,"0")</f>
        <v>44.84</v>
      </c>
      <c r="BO60" s="64">
        <f>IFERROR(1/J60*(X60/H60),"0")</f>
        <v>5.7870370370370364E-2</v>
      </c>
      <c r="BP60" s="64">
        <f>IFERROR(1/J60*(Y60/H60),"0")</f>
        <v>6.25E-2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53">
        <v>4680115885950</v>
      </c>
      <c r="E61" s="554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67</v>
      </c>
      <c r="L61" s="32"/>
      <c r="M61" s="33" t="s">
        <v>81</v>
      </c>
      <c r="N61" s="33"/>
      <c r="O61" s="32">
        <v>50</v>
      </c>
      <c r="P61" s="69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53">
        <v>4680115881433</v>
      </c>
      <c r="E62" s="554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67</v>
      </c>
      <c r="L62" s="32" t="s">
        <v>80</v>
      </c>
      <c r="M62" s="33" t="s">
        <v>106</v>
      </c>
      <c r="N62" s="33"/>
      <c r="O62" s="32">
        <v>50</v>
      </c>
      <c r="P62" s="7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 t="s">
        <v>83</v>
      </c>
      <c r="AK62" s="68">
        <v>37.799999999999997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8"/>
      <c r="B63" s="556"/>
      <c r="C63" s="556"/>
      <c r="D63" s="556"/>
      <c r="E63" s="556"/>
      <c r="F63" s="556"/>
      <c r="G63" s="556"/>
      <c r="H63" s="556"/>
      <c r="I63" s="556"/>
      <c r="J63" s="556"/>
      <c r="K63" s="556"/>
      <c r="L63" s="556"/>
      <c r="M63" s="556"/>
      <c r="N63" s="556"/>
      <c r="O63" s="569"/>
      <c r="P63" s="563" t="s">
        <v>75</v>
      </c>
      <c r="Q63" s="564"/>
      <c r="R63" s="564"/>
      <c r="S63" s="564"/>
      <c r="T63" s="564"/>
      <c r="U63" s="564"/>
      <c r="V63" s="565"/>
      <c r="W63" s="37" t="s">
        <v>76</v>
      </c>
      <c r="X63" s="545">
        <f>IFERROR(X60/H60,"0")+IFERROR(X61/H61,"0")+IFERROR(X62/H62,"0")</f>
        <v>3.7037037037037033</v>
      </c>
      <c r="Y63" s="545">
        <f>IFERROR(Y60/H60,"0")+IFERROR(Y61/H61,"0")+IFERROR(Y62/H62,"0")</f>
        <v>4</v>
      </c>
      <c r="Z63" s="545">
        <f>IFERROR(IF(Z60="",0,Z60),"0")+IFERROR(IF(Z61="",0,Z61),"0")+IFERROR(IF(Z62="",0,Z62),"0")</f>
        <v>7.5920000000000001E-2</v>
      </c>
      <c r="AA63" s="546"/>
      <c r="AB63" s="546"/>
      <c r="AC63" s="546"/>
    </row>
    <row r="64" spans="1:68" x14ac:dyDescent="0.2">
      <c r="A64" s="556"/>
      <c r="B64" s="556"/>
      <c r="C64" s="556"/>
      <c r="D64" s="556"/>
      <c r="E64" s="556"/>
      <c r="F64" s="556"/>
      <c r="G64" s="556"/>
      <c r="H64" s="556"/>
      <c r="I64" s="556"/>
      <c r="J64" s="556"/>
      <c r="K64" s="556"/>
      <c r="L64" s="556"/>
      <c r="M64" s="556"/>
      <c r="N64" s="556"/>
      <c r="O64" s="569"/>
      <c r="P64" s="563" t="s">
        <v>75</v>
      </c>
      <c r="Q64" s="564"/>
      <c r="R64" s="564"/>
      <c r="S64" s="564"/>
      <c r="T64" s="564"/>
      <c r="U64" s="564"/>
      <c r="V64" s="565"/>
      <c r="W64" s="37" t="s">
        <v>69</v>
      </c>
      <c r="X64" s="545">
        <f>IFERROR(SUM(X60:X62),"0")</f>
        <v>40</v>
      </c>
      <c r="Y64" s="545">
        <f>IFERROR(SUM(Y60:Y62),"0")</f>
        <v>43.2</v>
      </c>
      <c r="Z64" s="37"/>
      <c r="AA64" s="546"/>
      <c r="AB64" s="546"/>
      <c r="AC64" s="546"/>
    </row>
    <row r="65" spans="1:68" ht="14.25" hidden="1" customHeight="1" x14ac:dyDescent="0.25">
      <c r="A65" s="567" t="s">
        <v>64</v>
      </c>
      <c r="B65" s="556"/>
      <c r="C65" s="556"/>
      <c r="D65" s="556"/>
      <c r="E65" s="556"/>
      <c r="F65" s="556"/>
      <c r="G65" s="556"/>
      <c r="H65" s="556"/>
      <c r="I65" s="556"/>
      <c r="J65" s="556"/>
      <c r="K65" s="556"/>
      <c r="L65" s="556"/>
      <c r="M65" s="556"/>
      <c r="N65" s="556"/>
      <c r="O65" s="556"/>
      <c r="P65" s="556"/>
      <c r="Q65" s="556"/>
      <c r="R65" s="556"/>
      <c r="S65" s="556"/>
      <c r="T65" s="556"/>
      <c r="U65" s="556"/>
      <c r="V65" s="556"/>
      <c r="W65" s="556"/>
      <c r="X65" s="556"/>
      <c r="Y65" s="556"/>
      <c r="Z65" s="556"/>
      <c r="AA65" s="539"/>
      <c r="AB65" s="539"/>
      <c r="AC65" s="539"/>
    </row>
    <row r="66" spans="1:68" ht="27" hidden="1" customHeight="1" x14ac:dyDescent="0.25">
      <c r="A66" s="54" t="s">
        <v>144</v>
      </c>
      <c r="B66" s="54" t="s">
        <v>145</v>
      </c>
      <c r="C66" s="31">
        <v>4301031316</v>
      </c>
      <c r="D66" s="553">
        <v>4680115885097</v>
      </c>
      <c r="E66" s="554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75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idden="1" x14ac:dyDescent="0.2">
      <c r="A67" s="568"/>
      <c r="B67" s="556"/>
      <c r="C67" s="556"/>
      <c r="D67" s="556"/>
      <c r="E67" s="556"/>
      <c r="F67" s="556"/>
      <c r="G67" s="556"/>
      <c r="H67" s="556"/>
      <c r="I67" s="556"/>
      <c r="J67" s="556"/>
      <c r="K67" s="556"/>
      <c r="L67" s="556"/>
      <c r="M67" s="556"/>
      <c r="N67" s="556"/>
      <c r="O67" s="569"/>
      <c r="P67" s="563" t="s">
        <v>75</v>
      </c>
      <c r="Q67" s="564"/>
      <c r="R67" s="564"/>
      <c r="S67" s="564"/>
      <c r="T67" s="564"/>
      <c r="U67" s="564"/>
      <c r="V67" s="565"/>
      <c r="W67" s="37" t="s">
        <v>76</v>
      </c>
      <c r="X67" s="545">
        <f>IFERROR(X66/H66,"0")</f>
        <v>0</v>
      </c>
      <c r="Y67" s="545">
        <f>IFERROR(Y66/H66,"0")</f>
        <v>0</v>
      </c>
      <c r="Z67" s="545">
        <f>IFERROR(IF(Z66="",0,Z66),"0")</f>
        <v>0</v>
      </c>
      <c r="AA67" s="546"/>
      <c r="AB67" s="546"/>
      <c r="AC67" s="546"/>
    </row>
    <row r="68" spans="1:68" hidden="1" x14ac:dyDescent="0.2">
      <c r="A68" s="556"/>
      <c r="B68" s="556"/>
      <c r="C68" s="556"/>
      <c r="D68" s="556"/>
      <c r="E68" s="556"/>
      <c r="F68" s="556"/>
      <c r="G68" s="556"/>
      <c r="H68" s="556"/>
      <c r="I68" s="556"/>
      <c r="J68" s="556"/>
      <c r="K68" s="556"/>
      <c r="L68" s="556"/>
      <c r="M68" s="556"/>
      <c r="N68" s="556"/>
      <c r="O68" s="569"/>
      <c r="P68" s="563" t="s">
        <v>75</v>
      </c>
      <c r="Q68" s="564"/>
      <c r="R68" s="564"/>
      <c r="S68" s="564"/>
      <c r="T68" s="564"/>
      <c r="U68" s="564"/>
      <c r="V68" s="565"/>
      <c r="W68" s="37" t="s">
        <v>69</v>
      </c>
      <c r="X68" s="545">
        <f>IFERROR(SUM(X66:X66),"0")</f>
        <v>0</v>
      </c>
      <c r="Y68" s="545">
        <f>IFERROR(SUM(Y66:Y66),"0")</f>
        <v>0</v>
      </c>
      <c r="Z68" s="37"/>
      <c r="AA68" s="546"/>
      <c r="AB68" s="546"/>
      <c r="AC68" s="546"/>
    </row>
    <row r="69" spans="1:68" ht="14.25" hidden="1" customHeight="1" x14ac:dyDescent="0.25">
      <c r="A69" s="567" t="s">
        <v>77</v>
      </c>
      <c r="B69" s="556"/>
      <c r="C69" s="556"/>
      <c r="D69" s="556"/>
      <c r="E69" s="556"/>
      <c r="F69" s="556"/>
      <c r="G69" s="556"/>
      <c r="H69" s="556"/>
      <c r="I69" s="556"/>
      <c r="J69" s="556"/>
      <c r="K69" s="556"/>
      <c r="L69" s="556"/>
      <c r="M69" s="556"/>
      <c r="N69" s="556"/>
      <c r="O69" s="556"/>
      <c r="P69" s="556"/>
      <c r="Q69" s="556"/>
      <c r="R69" s="556"/>
      <c r="S69" s="556"/>
      <c r="T69" s="556"/>
      <c r="U69" s="556"/>
      <c r="V69" s="556"/>
      <c r="W69" s="556"/>
      <c r="X69" s="556"/>
      <c r="Y69" s="556"/>
      <c r="Z69" s="556"/>
      <c r="AA69" s="539"/>
      <c r="AB69" s="539"/>
      <c r="AC69" s="539"/>
    </row>
    <row r="70" spans="1:68" ht="27" hidden="1" customHeight="1" x14ac:dyDescent="0.25">
      <c r="A70" s="54" t="s">
        <v>147</v>
      </c>
      <c r="B70" s="54" t="s">
        <v>148</v>
      </c>
      <c r="C70" s="31">
        <v>4301051846</v>
      </c>
      <c r="D70" s="553">
        <v>4680115885769</v>
      </c>
      <c r="E70" s="554"/>
      <c r="F70" s="542">
        <v>1.4</v>
      </c>
      <c r="G70" s="32">
        <v>6</v>
      </c>
      <c r="H70" s="542">
        <v>8.4</v>
      </c>
      <c r="I70" s="542">
        <v>8.81</v>
      </c>
      <c r="J70" s="32">
        <v>64</v>
      </c>
      <c r="K70" s="32" t="s">
        <v>104</v>
      </c>
      <c r="L70" s="32"/>
      <c r="M70" s="33" t="s">
        <v>81</v>
      </c>
      <c r="N70" s="33"/>
      <c r="O70" s="32">
        <v>45</v>
      </c>
      <c r="P70" s="59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0" s="548"/>
      <c r="R70" s="548"/>
      <c r="S70" s="548"/>
      <c r="T70" s="549"/>
      <c r="U70" s="34"/>
      <c r="V70" s="34"/>
      <c r="W70" s="35" t="s">
        <v>69</v>
      </c>
      <c r="X70" s="543">
        <v>0</v>
      </c>
      <c r="Y70" s="544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1" t="s">
        <v>149</v>
      </c>
      <c r="AG70" s="64"/>
      <c r="AJ70" s="68"/>
      <c r="AK70" s="68">
        <v>0</v>
      </c>
      <c r="BB70" s="112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hidden="1" customHeight="1" x14ac:dyDescent="0.25">
      <c r="A71" s="54" t="s">
        <v>150</v>
      </c>
      <c r="B71" s="54" t="s">
        <v>151</v>
      </c>
      <c r="C71" s="31">
        <v>4301051837</v>
      </c>
      <c r="D71" s="553">
        <v>4680115884311</v>
      </c>
      <c r="E71" s="554"/>
      <c r="F71" s="542">
        <v>0.3</v>
      </c>
      <c r="G71" s="32">
        <v>6</v>
      </c>
      <c r="H71" s="542">
        <v>1.8</v>
      </c>
      <c r="I71" s="542">
        <v>2.0459999999999998</v>
      </c>
      <c r="J71" s="32">
        <v>182</v>
      </c>
      <c r="K71" s="32" t="s">
        <v>67</v>
      </c>
      <c r="L71" s="32"/>
      <c r="M71" s="33" t="s">
        <v>81</v>
      </c>
      <c r="N71" s="33"/>
      <c r="O71" s="32">
        <v>40</v>
      </c>
      <c r="P71" s="71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548"/>
      <c r="R71" s="548"/>
      <c r="S71" s="548"/>
      <c r="T71" s="549"/>
      <c r="U71" s="34"/>
      <c r="V71" s="34"/>
      <c r="W71" s="35" t="s">
        <v>69</v>
      </c>
      <c r="X71" s="543">
        <v>0</v>
      </c>
      <c r="Y71" s="544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27" hidden="1" customHeight="1" x14ac:dyDescent="0.25">
      <c r="A72" s="54" t="s">
        <v>153</v>
      </c>
      <c r="B72" s="54" t="s">
        <v>154</v>
      </c>
      <c r="C72" s="31">
        <v>4301051844</v>
      </c>
      <c r="D72" s="553">
        <v>4680115885929</v>
      </c>
      <c r="E72" s="554"/>
      <c r="F72" s="542">
        <v>0.42</v>
      </c>
      <c r="G72" s="32">
        <v>6</v>
      </c>
      <c r="H72" s="542">
        <v>2.52</v>
      </c>
      <c r="I72" s="542">
        <v>2.7</v>
      </c>
      <c r="J72" s="32">
        <v>182</v>
      </c>
      <c r="K72" s="32" t="s">
        <v>67</v>
      </c>
      <c r="L72" s="32"/>
      <c r="M72" s="33" t="s">
        <v>81</v>
      </c>
      <c r="N72" s="33"/>
      <c r="O72" s="32">
        <v>45</v>
      </c>
      <c r="P72" s="60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149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4301051929</v>
      </c>
      <c r="D73" s="553">
        <v>4680115884403</v>
      </c>
      <c r="E73" s="554"/>
      <c r="F73" s="542">
        <v>0.3</v>
      </c>
      <c r="G73" s="32">
        <v>6</v>
      </c>
      <c r="H73" s="542">
        <v>1.8</v>
      </c>
      <c r="I73" s="542">
        <v>1.98</v>
      </c>
      <c r="J73" s="32">
        <v>182</v>
      </c>
      <c r="K73" s="32" t="s">
        <v>67</v>
      </c>
      <c r="L73" s="32"/>
      <c r="M73" s="33" t="s">
        <v>81</v>
      </c>
      <c r="N73" s="33"/>
      <c r="O73" s="32">
        <v>40</v>
      </c>
      <c r="P73" s="86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568"/>
      <c r="B74" s="556"/>
      <c r="C74" s="556"/>
      <c r="D74" s="556"/>
      <c r="E74" s="556"/>
      <c r="F74" s="556"/>
      <c r="G74" s="556"/>
      <c r="H74" s="556"/>
      <c r="I74" s="556"/>
      <c r="J74" s="556"/>
      <c r="K74" s="556"/>
      <c r="L74" s="556"/>
      <c r="M74" s="556"/>
      <c r="N74" s="556"/>
      <c r="O74" s="569"/>
      <c r="P74" s="563" t="s">
        <v>75</v>
      </c>
      <c r="Q74" s="564"/>
      <c r="R74" s="564"/>
      <c r="S74" s="564"/>
      <c r="T74" s="564"/>
      <c r="U74" s="564"/>
      <c r="V74" s="565"/>
      <c r="W74" s="37" t="s">
        <v>76</v>
      </c>
      <c r="X74" s="545">
        <f>IFERROR(X70/H70,"0")+IFERROR(X71/H71,"0")+IFERROR(X72/H72,"0")+IFERROR(X73/H73,"0")</f>
        <v>0</v>
      </c>
      <c r="Y74" s="545">
        <f>IFERROR(Y70/H70,"0")+IFERROR(Y71/H71,"0")+IFERROR(Y72/H72,"0")+IFERROR(Y73/H73,"0")</f>
        <v>0</v>
      </c>
      <c r="Z74" s="545">
        <f>IFERROR(IF(Z70="",0,Z70),"0")+IFERROR(IF(Z71="",0,Z71),"0")+IFERROR(IF(Z72="",0,Z72),"0")+IFERROR(IF(Z73="",0,Z73),"0")</f>
        <v>0</v>
      </c>
      <c r="AA74" s="546"/>
      <c r="AB74" s="546"/>
      <c r="AC74" s="546"/>
    </row>
    <row r="75" spans="1:68" hidden="1" x14ac:dyDescent="0.2">
      <c r="A75" s="556"/>
      <c r="B75" s="556"/>
      <c r="C75" s="556"/>
      <c r="D75" s="556"/>
      <c r="E75" s="556"/>
      <c r="F75" s="556"/>
      <c r="G75" s="556"/>
      <c r="H75" s="556"/>
      <c r="I75" s="556"/>
      <c r="J75" s="556"/>
      <c r="K75" s="556"/>
      <c r="L75" s="556"/>
      <c r="M75" s="556"/>
      <c r="N75" s="556"/>
      <c r="O75" s="569"/>
      <c r="P75" s="563" t="s">
        <v>75</v>
      </c>
      <c r="Q75" s="564"/>
      <c r="R75" s="564"/>
      <c r="S75" s="564"/>
      <c r="T75" s="564"/>
      <c r="U75" s="564"/>
      <c r="V75" s="565"/>
      <c r="W75" s="37" t="s">
        <v>69</v>
      </c>
      <c r="X75" s="545">
        <f>IFERROR(SUM(X70:X73),"0")</f>
        <v>0</v>
      </c>
      <c r="Y75" s="545">
        <f>IFERROR(SUM(Y70:Y73),"0")</f>
        <v>0</v>
      </c>
      <c r="Z75" s="37"/>
      <c r="AA75" s="546"/>
      <c r="AB75" s="546"/>
      <c r="AC75" s="546"/>
    </row>
    <row r="76" spans="1:68" ht="14.25" hidden="1" customHeight="1" x14ac:dyDescent="0.25">
      <c r="A76" s="567" t="s">
        <v>158</v>
      </c>
      <c r="B76" s="556"/>
      <c r="C76" s="556"/>
      <c r="D76" s="556"/>
      <c r="E76" s="556"/>
      <c r="F76" s="556"/>
      <c r="G76" s="556"/>
      <c r="H76" s="556"/>
      <c r="I76" s="556"/>
      <c r="J76" s="556"/>
      <c r="K76" s="556"/>
      <c r="L76" s="556"/>
      <c r="M76" s="556"/>
      <c r="N76" s="556"/>
      <c r="O76" s="556"/>
      <c r="P76" s="556"/>
      <c r="Q76" s="556"/>
      <c r="R76" s="556"/>
      <c r="S76" s="556"/>
      <c r="T76" s="556"/>
      <c r="U76" s="556"/>
      <c r="V76" s="556"/>
      <c r="W76" s="556"/>
      <c r="X76" s="556"/>
      <c r="Y76" s="556"/>
      <c r="Z76" s="556"/>
      <c r="AA76" s="539"/>
      <c r="AB76" s="539"/>
      <c r="AC76" s="539"/>
    </row>
    <row r="77" spans="1:68" ht="27" hidden="1" customHeight="1" x14ac:dyDescent="0.25">
      <c r="A77" s="54" t="s">
        <v>159</v>
      </c>
      <c r="B77" s="54" t="s">
        <v>160</v>
      </c>
      <c r="C77" s="31">
        <v>4301060455</v>
      </c>
      <c r="D77" s="553">
        <v>4680115881532</v>
      </c>
      <c r="E77" s="554"/>
      <c r="F77" s="542">
        <v>1.3</v>
      </c>
      <c r="G77" s="32">
        <v>6</v>
      </c>
      <c r="H77" s="542">
        <v>7.8</v>
      </c>
      <c r="I77" s="542">
        <v>8.2100000000000009</v>
      </c>
      <c r="J77" s="32">
        <v>64</v>
      </c>
      <c r="K77" s="32" t="s">
        <v>104</v>
      </c>
      <c r="L77" s="32"/>
      <c r="M77" s="33" t="s">
        <v>88</v>
      </c>
      <c r="N77" s="33"/>
      <c r="O77" s="32">
        <v>30</v>
      </c>
      <c r="P77" s="73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548"/>
      <c r="R77" s="548"/>
      <c r="S77" s="548"/>
      <c r="T77" s="549"/>
      <c r="U77" s="34"/>
      <c r="V77" s="34"/>
      <c r="W77" s="35" t="s">
        <v>69</v>
      </c>
      <c r="X77" s="543">
        <v>0</v>
      </c>
      <c r="Y77" s="544">
        <f>IFERROR(IF(X77="",0,CEILING((X77/$H77),1)*$H77),"")</f>
        <v>0</v>
      </c>
      <c r="Z77" s="36" t="str">
        <f>IFERROR(IF(Y77=0,"",ROUNDUP(Y77/H77,0)*0.01898),"")</f>
        <v/>
      </c>
      <c r="AA77" s="56"/>
      <c r="AB77" s="57"/>
      <c r="AC77" s="119" t="s">
        <v>161</v>
      </c>
      <c r="AG77" s="64"/>
      <c r="AJ77" s="68"/>
      <c r="AK77" s="68">
        <v>0</v>
      </c>
      <c r="BB77" s="120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162</v>
      </c>
      <c r="B78" s="54" t="s">
        <v>163</v>
      </c>
      <c r="C78" s="31">
        <v>4301060351</v>
      </c>
      <c r="D78" s="553">
        <v>4680115881464</v>
      </c>
      <c r="E78" s="554"/>
      <c r="F78" s="542">
        <v>0.4</v>
      </c>
      <c r="G78" s="32">
        <v>6</v>
      </c>
      <c r="H78" s="542">
        <v>2.4</v>
      </c>
      <c r="I78" s="542">
        <v>2.59</v>
      </c>
      <c r="J78" s="32">
        <v>132</v>
      </c>
      <c r="K78" s="32" t="s">
        <v>110</v>
      </c>
      <c r="L78" s="32"/>
      <c r="M78" s="33" t="s">
        <v>81</v>
      </c>
      <c r="N78" s="33"/>
      <c r="O78" s="32">
        <v>30</v>
      </c>
      <c r="P78" s="78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548"/>
      <c r="R78" s="548"/>
      <c r="S78" s="548"/>
      <c r="T78" s="549"/>
      <c r="U78" s="34"/>
      <c r="V78" s="34"/>
      <c r="W78" s="35" t="s">
        <v>69</v>
      </c>
      <c r="X78" s="543">
        <v>0</v>
      </c>
      <c r="Y78" s="544">
        <f>IFERROR(IF(X78="",0,CEILING((X78/$H78),1)*$H78),"")</f>
        <v>0</v>
      </c>
      <c r="Z78" s="36" t="str">
        <f>IFERROR(IF(Y78=0,"",ROUNDUP(Y78/H78,0)*0.00902),"")</f>
        <v/>
      </c>
      <c r="AA78" s="56"/>
      <c r="AB78" s="57"/>
      <c r="AC78" s="121" t="s">
        <v>164</v>
      </c>
      <c r="AG78" s="64"/>
      <c r="AJ78" s="68"/>
      <c r="AK78" s="68">
        <v>0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568"/>
      <c r="B79" s="556"/>
      <c r="C79" s="556"/>
      <c r="D79" s="556"/>
      <c r="E79" s="556"/>
      <c r="F79" s="556"/>
      <c r="G79" s="556"/>
      <c r="H79" s="556"/>
      <c r="I79" s="556"/>
      <c r="J79" s="556"/>
      <c r="K79" s="556"/>
      <c r="L79" s="556"/>
      <c r="M79" s="556"/>
      <c r="N79" s="556"/>
      <c r="O79" s="569"/>
      <c r="P79" s="563" t="s">
        <v>75</v>
      </c>
      <c r="Q79" s="564"/>
      <c r="R79" s="564"/>
      <c r="S79" s="564"/>
      <c r="T79" s="564"/>
      <c r="U79" s="564"/>
      <c r="V79" s="565"/>
      <c r="W79" s="37" t="s">
        <v>76</v>
      </c>
      <c r="X79" s="545">
        <f>IFERROR(X77/H77,"0")+IFERROR(X78/H78,"0")</f>
        <v>0</v>
      </c>
      <c r="Y79" s="545">
        <f>IFERROR(Y77/H77,"0")+IFERROR(Y78/H78,"0")</f>
        <v>0</v>
      </c>
      <c r="Z79" s="545">
        <f>IFERROR(IF(Z77="",0,Z77),"0")+IFERROR(IF(Z78="",0,Z78),"0")</f>
        <v>0</v>
      </c>
      <c r="AA79" s="546"/>
      <c r="AB79" s="546"/>
      <c r="AC79" s="546"/>
    </row>
    <row r="80" spans="1:68" hidden="1" x14ac:dyDescent="0.2">
      <c r="A80" s="556"/>
      <c r="B80" s="556"/>
      <c r="C80" s="556"/>
      <c r="D80" s="556"/>
      <c r="E80" s="556"/>
      <c r="F80" s="556"/>
      <c r="G80" s="556"/>
      <c r="H80" s="556"/>
      <c r="I80" s="556"/>
      <c r="J80" s="556"/>
      <c r="K80" s="556"/>
      <c r="L80" s="556"/>
      <c r="M80" s="556"/>
      <c r="N80" s="556"/>
      <c r="O80" s="569"/>
      <c r="P80" s="563" t="s">
        <v>75</v>
      </c>
      <c r="Q80" s="564"/>
      <c r="R80" s="564"/>
      <c r="S80" s="564"/>
      <c r="T80" s="564"/>
      <c r="U80" s="564"/>
      <c r="V80" s="565"/>
      <c r="W80" s="37" t="s">
        <v>69</v>
      </c>
      <c r="X80" s="545">
        <f>IFERROR(SUM(X77:X78),"0")</f>
        <v>0</v>
      </c>
      <c r="Y80" s="545">
        <f>IFERROR(SUM(Y77:Y78),"0")</f>
        <v>0</v>
      </c>
      <c r="Z80" s="37"/>
      <c r="AA80" s="546"/>
      <c r="AB80" s="546"/>
      <c r="AC80" s="546"/>
    </row>
    <row r="81" spans="1:68" ht="16.5" hidden="1" customHeight="1" x14ac:dyDescent="0.25">
      <c r="A81" s="599" t="s">
        <v>165</v>
      </c>
      <c r="B81" s="556"/>
      <c r="C81" s="556"/>
      <c r="D81" s="556"/>
      <c r="E81" s="556"/>
      <c r="F81" s="556"/>
      <c r="G81" s="556"/>
      <c r="H81" s="556"/>
      <c r="I81" s="556"/>
      <c r="J81" s="556"/>
      <c r="K81" s="556"/>
      <c r="L81" s="556"/>
      <c r="M81" s="556"/>
      <c r="N81" s="556"/>
      <c r="O81" s="556"/>
      <c r="P81" s="556"/>
      <c r="Q81" s="556"/>
      <c r="R81" s="556"/>
      <c r="S81" s="556"/>
      <c r="T81" s="556"/>
      <c r="U81" s="556"/>
      <c r="V81" s="556"/>
      <c r="W81" s="556"/>
      <c r="X81" s="556"/>
      <c r="Y81" s="556"/>
      <c r="Z81" s="556"/>
      <c r="AA81" s="538"/>
      <c r="AB81" s="538"/>
      <c r="AC81" s="538"/>
    </row>
    <row r="82" spans="1:68" ht="14.25" hidden="1" customHeight="1" x14ac:dyDescent="0.25">
      <c r="A82" s="567" t="s">
        <v>101</v>
      </c>
      <c r="B82" s="556"/>
      <c r="C82" s="556"/>
      <c r="D82" s="556"/>
      <c r="E82" s="556"/>
      <c r="F82" s="556"/>
      <c r="G82" s="556"/>
      <c r="H82" s="556"/>
      <c r="I82" s="556"/>
      <c r="J82" s="556"/>
      <c r="K82" s="556"/>
      <c r="L82" s="556"/>
      <c r="M82" s="556"/>
      <c r="N82" s="556"/>
      <c r="O82" s="556"/>
      <c r="P82" s="556"/>
      <c r="Q82" s="556"/>
      <c r="R82" s="556"/>
      <c r="S82" s="556"/>
      <c r="T82" s="556"/>
      <c r="U82" s="556"/>
      <c r="V82" s="556"/>
      <c r="W82" s="556"/>
      <c r="X82" s="556"/>
      <c r="Y82" s="556"/>
      <c r="Z82" s="556"/>
      <c r="AA82" s="539"/>
      <c r="AB82" s="539"/>
      <c r="AC82" s="539"/>
    </row>
    <row r="83" spans="1:68" ht="27" hidden="1" customHeight="1" x14ac:dyDescent="0.25">
      <c r="A83" s="54" t="s">
        <v>166</v>
      </c>
      <c r="B83" s="54" t="s">
        <v>167</v>
      </c>
      <c r="C83" s="31">
        <v>4301011468</v>
      </c>
      <c r="D83" s="553">
        <v>4680115881327</v>
      </c>
      <c r="E83" s="554"/>
      <c r="F83" s="542">
        <v>1.35</v>
      </c>
      <c r="G83" s="32">
        <v>8</v>
      </c>
      <c r="H83" s="542">
        <v>10.8</v>
      </c>
      <c r="I83" s="542">
        <v>11.21</v>
      </c>
      <c r="J83" s="32">
        <v>64</v>
      </c>
      <c r="K83" s="32" t="s">
        <v>104</v>
      </c>
      <c r="L83" s="32" t="s">
        <v>105</v>
      </c>
      <c r="M83" s="33" t="s">
        <v>88</v>
      </c>
      <c r="N83" s="33"/>
      <c r="O83" s="32">
        <v>50</v>
      </c>
      <c r="P83" s="55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548"/>
      <c r="R83" s="548"/>
      <c r="S83" s="548"/>
      <c r="T83" s="549"/>
      <c r="U83" s="34"/>
      <c r="V83" s="34"/>
      <c r="W83" s="35" t="s">
        <v>69</v>
      </c>
      <c r="X83" s="543">
        <v>0</v>
      </c>
      <c r="Y83" s="544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23" t="s">
        <v>168</v>
      </c>
      <c r="AG83" s="64"/>
      <c r="AJ83" s="68" t="s">
        <v>83</v>
      </c>
      <c r="AK83" s="68">
        <v>86.4</v>
      </c>
      <c r="BB83" s="12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169</v>
      </c>
      <c r="B84" s="54" t="s">
        <v>170</v>
      </c>
      <c r="C84" s="31">
        <v>4301011261</v>
      </c>
      <c r="D84" s="553">
        <v>4680115887732</v>
      </c>
      <c r="E84" s="554"/>
      <c r="F84" s="542">
        <v>0.17</v>
      </c>
      <c r="G84" s="32">
        <v>10</v>
      </c>
      <c r="H84" s="542">
        <v>1.7</v>
      </c>
      <c r="I84" s="542">
        <v>1.8</v>
      </c>
      <c r="J84" s="32">
        <v>192</v>
      </c>
      <c r="K84" s="32" t="s">
        <v>171</v>
      </c>
      <c r="L84" s="32"/>
      <c r="M84" s="33" t="s">
        <v>68</v>
      </c>
      <c r="N84" s="33"/>
      <c r="O84" s="32">
        <v>30</v>
      </c>
      <c r="P84" s="6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548"/>
      <c r="R84" s="548"/>
      <c r="S84" s="548"/>
      <c r="T84" s="549"/>
      <c r="U84" s="34"/>
      <c r="V84" s="34"/>
      <c r="W84" s="35" t="s">
        <v>69</v>
      </c>
      <c r="X84" s="543">
        <v>0</v>
      </c>
      <c r="Y84" s="544">
        <f>IFERROR(IF(X84="",0,CEILING((X84/$H84),1)*$H84),"")</f>
        <v>0</v>
      </c>
      <c r="Z84" s="36" t="str">
        <f>IFERROR(IF(Y84=0,"",ROUNDUP(Y84/H84,0)*0.00726),"")</f>
        <v/>
      </c>
      <c r="AA84" s="56"/>
      <c r="AB84" s="57"/>
      <c r="AC84" s="125" t="s">
        <v>172</v>
      </c>
      <c r="AG84" s="64"/>
      <c r="AJ84" s="68"/>
      <c r="AK84" s="68">
        <v>0</v>
      </c>
      <c r="BB84" s="12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173</v>
      </c>
      <c r="B85" s="54" t="s">
        <v>174</v>
      </c>
      <c r="C85" s="31">
        <v>4301011476</v>
      </c>
      <c r="D85" s="553">
        <v>4680115881518</v>
      </c>
      <c r="E85" s="554"/>
      <c r="F85" s="542">
        <v>0.4</v>
      </c>
      <c r="G85" s="32">
        <v>10</v>
      </c>
      <c r="H85" s="542">
        <v>4</v>
      </c>
      <c r="I85" s="542">
        <v>4.1900000000000004</v>
      </c>
      <c r="J85" s="32">
        <v>132</v>
      </c>
      <c r="K85" s="32" t="s">
        <v>110</v>
      </c>
      <c r="L85" s="32"/>
      <c r="M85" s="33" t="s">
        <v>81</v>
      </c>
      <c r="N85" s="33"/>
      <c r="O85" s="32">
        <v>50</v>
      </c>
      <c r="P85" s="61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548"/>
      <c r="R85" s="548"/>
      <c r="S85" s="548"/>
      <c r="T85" s="549"/>
      <c r="U85" s="34"/>
      <c r="V85" s="34"/>
      <c r="W85" s="35" t="s">
        <v>69</v>
      </c>
      <c r="X85" s="543">
        <v>0</v>
      </c>
      <c r="Y85" s="544">
        <f>IFERROR(IF(X85="",0,CEILING((X85/$H85),1)*$H85),"")</f>
        <v>0</v>
      </c>
      <c r="Z85" s="36" t="str">
        <f>IFERROR(IF(Y85=0,"",ROUNDUP(Y85/H85,0)*0.00902),"")</f>
        <v/>
      </c>
      <c r="AA85" s="56"/>
      <c r="AB85" s="57"/>
      <c r="AC85" s="127" t="s">
        <v>168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4301011443</v>
      </c>
      <c r="D86" s="553">
        <v>4680115881303</v>
      </c>
      <c r="E86" s="554"/>
      <c r="F86" s="542">
        <v>0.45</v>
      </c>
      <c r="G86" s="32">
        <v>10</v>
      </c>
      <c r="H86" s="542">
        <v>4.5</v>
      </c>
      <c r="I86" s="542">
        <v>4.6900000000000004</v>
      </c>
      <c r="J86" s="32">
        <v>132</v>
      </c>
      <c r="K86" s="32" t="s">
        <v>110</v>
      </c>
      <c r="L86" s="32" t="s">
        <v>111</v>
      </c>
      <c r="M86" s="33" t="s">
        <v>88</v>
      </c>
      <c r="N86" s="33"/>
      <c r="O86" s="32">
        <v>50</v>
      </c>
      <c r="P86" s="85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548"/>
      <c r="R86" s="548"/>
      <c r="S86" s="548"/>
      <c r="T86" s="549"/>
      <c r="U86" s="34"/>
      <c r="V86" s="34"/>
      <c r="W86" s="35" t="s">
        <v>69</v>
      </c>
      <c r="X86" s="543">
        <v>22.5</v>
      </c>
      <c r="Y86" s="544">
        <f>IFERROR(IF(X86="",0,CEILING((X86/$H86),1)*$H86),"")</f>
        <v>22.5</v>
      </c>
      <c r="Z86" s="36">
        <f>IFERROR(IF(Y86=0,"",ROUNDUP(Y86/H86,0)*0.00902),"")</f>
        <v>4.5100000000000001E-2</v>
      </c>
      <c r="AA86" s="56"/>
      <c r="AB86" s="57"/>
      <c r="AC86" s="129" t="s">
        <v>168</v>
      </c>
      <c r="AG86" s="64"/>
      <c r="AJ86" s="68" t="s">
        <v>83</v>
      </c>
      <c r="AK86" s="68">
        <v>54</v>
      </c>
      <c r="BB86" s="130" t="s">
        <v>1</v>
      </c>
      <c r="BM86" s="64">
        <f>IFERROR(X86*I86/H86,"0")</f>
        <v>23.450000000000003</v>
      </c>
      <c r="BN86" s="64">
        <f>IFERROR(Y86*I86/H86,"0")</f>
        <v>23.450000000000003</v>
      </c>
      <c r="BO86" s="64">
        <f>IFERROR(1/J86*(X86/H86),"0")</f>
        <v>3.787878787878788E-2</v>
      </c>
      <c r="BP86" s="64">
        <f>IFERROR(1/J86*(Y86/H86),"0")</f>
        <v>3.787878787878788E-2</v>
      </c>
    </row>
    <row r="87" spans="1:68" x14ac:dyDescent="0.2">
      <c r="A87" s="568"/>
      <c r="B87" s="556"/>
      <c r="C87" s="556"/>
      <c r="D87" s="556"/>
      <c r="E87" s="556"/>
      <c r="F87" s="556"/>
      <c r="G87" s="556"/>
      <c r="H87" s="556"/>
      <c r="I87" s="556"/>
      <c r="J87" s="556"/>
      <c r="K87" s="556"/>
      <c r="L87" s="556"/>
      <c r="M87" s="556"/>
      <c r="N87" s="556"/>
      <c r="O87" s="569"/>
      <c r="P87" s="563" t="s">
        <v>75</v>
      </c>
      <c r="Q87" s="564"/>
      <c r="R87" s="564"/>
      <c r="S87" s="564"/>
      <c r="T87" s="564"/>
      <c r="U87" s="564"/>
      <c r="V87" s="565"/>
      <c r="W87" s="37" t="s">
        <v>76</v>
      </c>
      <c r="X87" s="545">
        <f>IFERROR(X83/H83,"0")+IFERROR(X84/H84,"0")+IFERROR(X85/H85,"0")+IFERROR(X86/H86,"0")</f>
        <v>5</v>
      </c>
      <c r="Y87" s="545">
        <f>IFERROR(Y83/H83,"0")+IFERROR(Y84/H84,"0")+IFERROR(Y85/H85,"0")+IFERROR(Y86/H86,"0")</f>
        <v>5</v>
      </c>
      <c r="Z87" s="545">
        <f>IFERROR(IF(Z83="",0,Z83),"0")+IFERROR(IF(Z84="",0,Z84),"0")+IFERROR(IF(Z85="",0,Z85),"0")+IFERROR(IF(Z86="",0,Z86),"0")</f>
        <v>4.5100000000000001E-2</v>
      </c>
      <c r="AA87" s="546"/>
      <c r="AB87" s="546"/>
      <c r="AC87" s="546"/>
    </row>
    <row r="88" spans="1:68" x14ac:dyDescent="0.2">
      <c r="A88" s="556"/>
      <c r="B88" s="556"/>
      <c r="C88" s="556"/>
      <c r="D88" s="556"/>
      <c r="E88" s="556"/>
      <c r="F88" s="556"/>
      <c r="G88" s="556"/>
      <c r="H88" s="556"/>
      <c r="I88" s="556"/>
      <c r="J88" s="556"/>
      <c r="K88" s="556"/>
      <c r="L88" s="556"/>
      <c r="M88" s="556"/>
      <c r="N88" s="556"/>
      <c r="O88" s="569"/>
      <c r="P88" s="563" t="s">
        <v>75</v>
      </c>
      <c r="Q88" s="564"/>
      <c r="R88" s="564"/>
      <c r="S88" s="564"/>
      <c r="T88" s="564"/>
      <c r="U88" s="564"/>
      <c r="V88" s="565"/>
      <c r="W88" s="37" t="s">
        <v>69</v>
      </c>
      <c r="X88" s="545">
        <f>IFERROR(SUM(X83:X86),"0")</f>
        <v>22.5</v>
      </c>
      <c r="Y88" s="545">
        <f>IFERROR(SUM(Y83:Y86),"0")</f>
        <v>22.5</v>
      </c>
      <c r="Z88" s="37"/>
      <c r="AA88" s="546"/>
      <c r="AB88" s="546"/>
      <c r="AC88" s="546"/>
    </row>
    <row r="89" spans="1:68" ht="14.25" hidden="1" customHeight="1" x14ac:dyDescent="0.25">
      <c r="A89" s="567" t="s">
        <v>77</v>
      </c>
      <c r="B89" s="556"/>
      <c r="C89" s="556"/>
      <c r="D89" s="556"/>
      <c r="E89" s="556"/>
      <c r="F89" s="556"/>
      <c r="G89" s="556"/>
      <c r="H89" s="556"/>
      <c r="I89" s="556"/>
      <c r="J89" s="556"/>
      <c r="K89" s="556"/>
      <c r="L89" s="556"/>
      <c r="M89" s="556"/>
      <c r="N89" s="556"/>
      <c r="O89" s="556"/>
      <c r="P89" s="556"/>
      <c r="Q89" s="556"/>
      <c r="R89" s="556"/>
      <c r="S89" s="556"/>
      <c r="T89" s="556"/>
      <c r="U89" s="556"/>
      <c r="V89" s="556"/>
      <c r="W89" s="556"/>
      <c r="X89" s="556"/>
      <c r="Y89" s="556"/>
      <c r="Z89" s="556"/>
      <c r="AA89" s="539"/>
      <c r="AB89" s="539"/>
      <c r="AC89" s="539"/>
    </row>
    <row r="90" spans="1:68" ht="27" customHeight="1" x14ac:dyDescent="0.25">
      <c r="A90" s="54" t="s">
        <v>177</v>
      </c>
      <c r="B90" s="54" t="s">
        <v>178</v>
      </c>
      <c r="C90" s="31">
        <v>4301051712</v>
      </c>
      <c r="D90" s="553">
        <v>4607091386967</v>
      </c>
      <c r="E90" s="554"/>
      <c r="F90" s="542">
        <v>1.35</v>
      </c>
      <c r="G90" s="32">
        <v>6</v>
      </c>
      <c r="H90" s="542">
        <v>8.1</v>
      </c>
      <c r="I90" s="542">
        <v>8.5939999999999994</v>
      </c>
      <c r="J90" s="32">
        <v>64</v>
      </c>
      <c r="K90" s="32" t="s">
        <v>104</v>
      </c>
      <c r="L90" s="32"/>
      <c r="M90" s="33" t="s">
        <v>88</v>
      </c>
      <c r="N90" s="33"/>
      <c r="O90" s="32">
        <v>45</v>
      </c>
      <c r="P90" s="62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548"/>
      <c r="R90" s="548"/>
      <c r="S90" s="548"/>
      <c r="T90" s="549"/>
      <c r="U90" s="34"/>
      <c r="V90" s="34"/>
      <c r="W90" s="35" t="s">
        <v>69</v>
      </c>
      <c r="X90" s="543">
        <v>15</v>
      </c>
      <c r="Y90" s="544">
        <f>IFERROR(IF(X90="",0,CEILING((X90/$H90),1)*$H90),"")</f>
        <v>16.2</v>
      </c>
      <c r="Z90" s="36">
        <f>IFERROR(IF(Y90=0,"",ROUNDUP(Y90/H90,0)*0.01898),"")</f>
        <v>3.7960000000000001E-2</v>
      </c>
      <c r="AA90" s="56"/>
      <c r="AB90" s="57"/>
      <c r="AC90" s="131" t="s">
        <v>179</v>
      </c>
      <c r="AG90" s="64"/>
      <c r="AJ90" s="68"/>
      <c r="AK90" s="68">
        <v>0</v>
      </c>
      <c r="BB90" s="132" t="s">
        <v>1</v>
      </c>
      <c r="BM90" s="64">
        <f>IFERROR(X90*I90/H90,"0")</f>
        <v>15.914814814814815</v>
      </c>
      <c r="BN90" s="64">
        <f>IFERROR(Y90*I90/H90,"0")</f>
        <v>17.187999999999999</v>
      </c>
      <c r="BO90" s="64">
        <f>IFERROR(1/J90*(X90/H90),"0")</f>
        <v>2.8935185185185185E-2</v>
      </c>
      <c r="BP90" s="64">
        <f>IFERROR(1/J90*(Y90/H90),"0")</f>
        <v>3.125E-2</v>
      </c>
    </row>
    <row r="91" spans="1:68" ht="27" hidden="1" customHeight="1" x14ac:dyDescent="0.25">
      <c r="A91" s="54" t="s">
        <v>180</v>
      </c>
      <c r="B91" s="54" t="s">
        <v>181</v>
      </c>
      <c r="C91" s="31">
        <v>4301051788</v>
      </c>
      <c r="D91" s="553">
        <v>4680115884953</v>
      </c>
      <c r="E91" s="554"/>
      <c r="F91" s="542">
        <v>0.37</v>
      </c>
      <c r="G91" s="32">
        <v>6</v>
      </c>
      <c r="H91" s="542">
        <v>2.2200000000000002</v>
      </c>
      <c r="I91" s="542">
        <v>2.472</v>
      </c>
      <c r="J91" s="32">
        <v>182</v>
      </c>
      <c r="K91" s="32" t="s">
        <v>67</v>
      </c>
      <c r="L91" s="32"/>
      <c r="M91" s="33" t="s">
        <v>81</v>
      </c>
      <c r="N91" s="33"/>
      <c r="O91" s="32">
        <v>45</v>
      </c>
      <c r="P91" s="68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3">
        <v>0</v>
      </c>
      <c r="Y91" s="544">
        <f>IFERROR(IF(X91="",0,CEILING((X91/$H91),1)*$H91),"")</f>
        <v>0</v>
      </c>
      <c r="Z91" s="36" t="str">
        <f>IFERROR(IF(Y91=0,"",ROUNDUP(Y91/H91,0)*0.00651),"")</f>
        <v/>
      </c>
      <c r="AA91" s="56"/>
      <c r="AB91" s="57"/>
      <c r="AC91" s="133" t="s">
        <v>179</v>
      </c>
      <c r="AG91" s="64"/>
      <c r="AJ91" s="68"/>
      <c r="AK91" s="68">
        <v>0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182</v>
      </c>
      <c r="B92" s="54" t="s">
        <v>183</v>
      </c>
      <c r="C92" s="31">
        <v>4301051718</v>
      </c>
      <c r="D92" s="553">
        <v>4607091385731</v>
      </c>
      <c r="E92" s="554"/>
      <c r="F92" s="542">
        <v>0.45</v>
      </c>
      <c r="G92" s="32">
        <v>6</v>
      </c>
      <c r="H92" s="542">
        <v>2.7</v>
      </c>
      <c r="I92" s="542">
        <v>2.952</v>
      </c>
      <c r="J92" s="32">
        <v>182</v>
      </c>
      <c r="K92" s="32" t="s">
        <v>67</v>
      </c>
      <c r="L92" s="32"/>
      <c r="M92" s="33" t="s">
        <v>88</v>
      </c>
      <c r="N92" s="33"/>
      <c r="O92" s="32">
        <v>45</v>
      </c>
      <c r="P92" s="81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3">
        <v>8.1</v>
      </c>
      <c r="Y92" s="544">
        <f>IFERROR(IF(X92="",0,CEILING((X92/$H92),1)*$H92),"")</f>
        <v>8.1000000000000014</v>
      </c>
      <c r="Z92" s="36">
        <f>IFERROR(IF(Y92=0,"",ROUNDUP(Y92/H92,0)*0.00651),"")</f>
        <v>1.9529999999999999E-2</v>
      </c>
      <c r="AA92" s="56"/>
      <c r="AB92" s="57"/>
      <c r="AC92" s="135" t="s">
        <v>179</v>
      </c>
      <c r="AG92" s="64"/>
      <c r="AJ92" s="68"/>
      <c r="AK92" s="68">
        <v>0</v>
      </c>
      <c r="BB92" s="136" t="s">
        <v>1</v>
      </c>
      <c r="BM92" s="64">
        <f>IFERROR(X92*I92/H92,"0")</f>
        <v>8.8559999999999981</v>
      </c>
      <c r="BN92" s="64">
        <f>IFERROR(Y92*I92/H92,"0")</f>
        <v>8.8560000000000016</v>
      </c>
      <c r="BO92" s="64">
        <f>IFERROR(1/J92*(X92/H92),"0")</f>
        <v>1.6483516483516484E-2</v>
      </c>
      <c r="BP92" s="64">
        <f>IFERROR(1/J92*(Y92/H92),"0")</f>
        <v>1.6483516483516487E-2</v>
      </c>
    </row>
    <row r="93" spans="1:68" ht="16.5" hidden="1" customHeight="1" x14ac:dyDescent="0.25">
      <c r="A93" s="54" t="s">
        <v>184</v>
      </c>
      <c r="B93" s="54" t="s">
        <v>185</v>
      </c>
      <c r="C93" s="31">
        <v>4301051438</v>
      </c>
      <c r="D93" s="553">
        <v>4680115880894</v>
      </c>
      <c r="E93" s="554"/>
      <c r="F93" s="542">
        <v>0.33</v>
      </c>
      <c r="G93" s="32">
        <v>6</v>
      </c>
      <c r="H93" s="542">
        <v>1.98</v>
      </c>
      <c r="I93" s="542">
        <v>2.238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69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3" s="548"/>
      <c r="R93" s="548"/>
      <c r="S93" s="548"/>
      <c r="T93" s="549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x14ac:dyDescent="0.2">
      <c r="A94" s="568"/>
      <c r="B94" s="556"/>
      <c r="C94" s="556"/>
      <c r="D94" s="556"/>
      <c r="E94" s="556"/>
      <c r="F94" s="556"/>
      <c r="G94" s="556"/>
      <c r="H94" s="556"/>
      <c r="I94" s="556"/>
      <c r="J94" s="556"/>
      <c r="K94" s="556"/>
      <c r="L94" s="556"/>
      <c r="M94" s="556"/>
      <c r="N94" s="556"/>
      <c r="O94" s="569"/>
      <c r="P94" s="563" t="s">
        <v>75</v>
      </c>
      <c r="Q94" s="564"/>
      <c r="R94" s="564"/>
      <c r="S94" s="564"/>
      <c r="T94" s="564"/>
      <c r="U94" s="564"/>
      <c r="V94" s="565"/>
      <c r="W94" s="37" t="s">
        <v>76</v>
      </c>
      <c r="X94" s="545">
        <f>IFERROR(X90/H90,"0")+IFERROR(X91/H91,"0")+IFERROR(X92/H92,"0")+IFERROR(X93/H93,"0")</f>
        <v>4.8518518518518512</v>
      </c>
      <c r="Y94" s="545">
        <f>IFERROR(Y90/H90,"0")+IFERROR(Y91/H91,"0")+IFERROR(Y92/H92,"0")+IFERROR(Y93/H93,"0")</f>
        <v>5</v>
      </c>
      <c r="Z94" s="545">
        <f>IFERROR(IF(Z90="",0,Z90),"0")+IFERROR(IF(Z91="",0,Z91),"0")+IFERROR(IF(Z92="",0,Z92),"0")+IFERROR(IF(Z93="",0,Z93),"0")</f>
        <v>5.7489999999999999E-2</v>
      </c>
      <c r="AA94" s="546"/>
      <c r="AB94" s="546"/>
      <c r="AC94" s="546"/>
    </row>
    <row r="95" spans="1:68" x14ac:dyDescent="0.2">
      <c r="A95" s="556"/>
      <c r="B95" s="556"/>
      <c r="C95" s="556"/>
      <c r="D95" s="556"/>
      <c r="E95" s="556"/>
      <c r="F95" s="556"/>
      <c r="G95" s="556"/>
      <c r="H95" s="556"/>
      <c r="I95" s="556"/>
      <c r="J95" s="556"/>
      <c r="K95" s="556"/>
      <c r="L95" s="556"/>
      <c r="M95" s="556"/>
      <c r="N95" s="556"/>
      <c r="O95" s="569"/>
      <c r="P95" s="563" t="s">
        <v>75</v>
      </c>
      <c r="Q95" s="564"/>
      <c r="R95" s="564"/>
      <c r="S95" s="564"/>
      <c r="T95" s="564"/>
      <c r="U95" s="564"/>
      <c r="V95" s="565"/>
      <c r="W95" s="37" t="s">
        <v>69</v>
      </c>
      <c r="X95" s="545">
        <f>IFERROR(SUM(X90:X93),"0")</f>
        <v>23.1</v>
      </c>
      <c r="Y95" s="545">
        <f>IFERROR(SUM(Y90:Y93),"0")</f>
        <v>24.3</v>
      </c>
      <c r="Z95" s="37"/>
      <c r="AA95" s="546"/>
      <c r="AB95" s="546"/>
      <c r="AC95" s="546"/>
    </row>
    <row r="96" spans="1:68" ht="16.5" hidden="1" customHeight="1" x14ac:dyDescent="0.25">
      <c r="A96" s="599" t="s">
        <v>187</v>
      </c>
      <c r="B96" s="556"/>
      <c r="C96" s="556"/>
      <c r="D96" s="556"/>
      <c r="E96" s="556"/>
      <c r="F96" s="556"/>
      <c r="G96" s="556"/>
      <c r="H96" s="556"/>
      <c r="I96" s="556"/>
      <c r="J96" s="556"/>
      <c r="K96" s="556"/>
      <c r="L96" s="556"/>
      <c r="M96" s="556"/>
      <c r="N96" s="556"/>
      <c r="O96" s="556"/>
      <c r="P96" s="556"/>
      <c r="Q96" s="556"/>
      <c r="R96" s="556"/>
      <c r="S96" s="556"/>
      <c r="T96" s="556"/>
      <c r="U96" s="556"/>
      <c r="V96" s="556"/>
      <c r="W96" s="556"/>
      <c r="X96" s="556"/>
      <c r="Y96" s="556"/>
      <c r="Z96" s="556"/>
      <c r="AA96" s="538"/>
      <c r="AB96" s="538"/>
      <c r="AC96" s="538"/>
    </row>
    <row r="97" spans="1:68" ht="14.25" hidden="1" customHeight="1" x14ac:dyDescent="0.25">
      <c r="A97" s="567" t="s">
        <v>101</v>
      </c>
      <c r="B97" s="556"/>
      <c r="C97" s="556"/>
      <c r="D97" s="556"/>
      <c r="E97" s="556"/>
      <c r="F97" s="556"/>
      <c r="G97" s="556"/>
      <c r="H97" s="556"/>
      <c r="I97" s="556"/>
      <c r="J97" s="556"/>
      <c r="K97" s="556"/>
      <c r="L97" s="556"/>
      <c r="M97" s="556"/>
      <c r="N97" s="556"/>
      <c r="O97" s="556"/>
      <c r="P97" s="556"/>
      <c r="Q97" s="556"/>
      <c r="R97" s="556"/>
      <c r="S97" s="556"/>
      <c r="T97" s="556"/>
      <c r="U97" s="556"/>
      <c r="V97" s="556"/>
      <c r="W97" s="556"/>
      <c r="X97" s="556"/>
      <c r="Y97" s="556"/>
      <c r="Z97" s="556"/>
      <c r="AA97" s="539"/>
      <c r="AB97" s="539"/>
      <c r="AC97" s="539"/>
    </row>
    <row r="98" spans="1:68" ht="37.5" customHeight="1" x14ac:dyDescent="0.25">
      <c r="A98" s="54" t="s">
        <v>188</v>
      </c>
      <c r="B98" s="54" t="s">
        <v>189</v>
      </c>
      <c r="C98" s="31">
        <v>4301011514</v>
      </c>
      <c r="D98" s="553">
        <v>4680115882133</v>
      </c>
      <c r="E98" s="554"/>
      <c r="F98" s="542">
        <v>1.35</v>
      </c>
      <c r="G98" s="32">
        <v>8</v>
      </c>
      <c r="H98" s="542">
        <v>10.8</v>
      </c>
      <c r="I98" s="542">
        <v>11.21</v>
      </c>
      <c r="J98" s="32">
        <v>64</v>
      </c>
      <c r="K98" s="32" t="s">
        <v>104</v>
      </c>
      <c r="L98" s="32" t="s">
        <v>105</v>
      </c>
      <c r="M98" s="33" t="s">
        <v>106</v>
      </c>
      <c r="N98" s="33"/>
      <c r="O98" s="32">
        <v>50</v>
      </c>
      <c r="P98" s="6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548"/>
      <c r="R98" s="548"/>
      <c r="S98" s="548"/>
      <c r="T98" s="549"/>
      <c r="U98" s="34"/>
      <c r="V98" s="34"/>
      <c r="W98" s="35" t="s">
        <v>69</v>
      </c>
      <c r="X98" s="543">
        <v>40</v>
      </c>
      <c r="Y98" s="544">
        <f>IFERROR(IF(X98="",0,CEILING((X98/$H98),1)*$H98),"")</f>
        <v>43.2</v>
      </c>
      <c r="Z98" s="36">
        <f>IFERROR(IF(Y98=0,"",ROUNDUP(Y98/H98,0)*0.01898),"")</f>
        <v>7.5920000000000001E-2</v>
      </c>
      <c r="AA98" s="56"/>
      <c r="AB98" s="57"/>
      <c r="AC98" s="139" t="s">
        <v>190</v>
      </c>
      <c r="AG98" s="64"/>
      <c r="AJ98" s="68" t="s">
        <v>83</v>
      </c>
      <c r="AK98" s="68">
        <v>86.4</v>
      </c>
      <c r="BB98" s="140" t="s">
        <v>1</v>
      </c>
      <c r="BM98" s="64">
        <f>IFERROR(X98*I98/H98,"0")</f>
        <v>41.518518518518519</v>
      </c>
      <c r="BN98" s="64">
        <f>IFERROR(Y98*I98/H98,"0")</f>
        <v>44.84</v>
      </c>
      <c r="BO98" s="64">
        <f>IFERROR(1/J98*(X98/H98),"0")</f>
        <v>5.7870370370370364E-2</v>
      </c>
      <c r="BP98" s="64">
        <f>IFERROR(1/J98*(Y98/H98),"0")</f>
        <v>6.25E-2</v>
      </c>
    </row>
    <row r="99" spans="1:68" ht="27" hidden="1" customHeight="1" x14ac:dyDescent="0.25">
      <c r="A99" s="54" t="s">
        <v>191</v>
      </c>
      <c r="B99" s="54" t="s">
        <v>192</v>
      </c>
      <c r="C99" s="31">
        <v>4301012051</v>
      </c>
      <c r="D99" s="553">
        <v>4680115887718</v>
      </c>
      <c r="E99" s="554"/>
      <c r="F99" s="542">
        <v>0.11</v>
      </c>
      <c r="G99" s="32">
        <v>10</v>
      </c>
      <c r="H99" s="542">
        <v>1.1000000000000001</v>
      </c>
      <c r="I99" s="542">
        <v>1.31</v>
      </c>
      <c r="J99" s="32">
        <v>192</v>
      </c>
      <c r="K99" s="32" t="s">
        <v>171</v>
      </c>
      <c r="L99" s="32"/>
      <c r="M99" s="33" t="s">
        <v>68</v>
      </c>
      <c r="N99" s="33"/>
      <c r="O99" s="32">
        <v>30</v>
      </c>
      <c r="P99" s="83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3">
        <v>0</v>
      </c>
      <c r="Y99" s="544">
        <f>IFERROR(IF(X99="",0,CEILING((X99/$H99),1)*$H99),"")</f>
        <v>0</v>
      </c>
      <c r="Z99" s="36" t="str">
        <f>IFERROR(IF(Y99=0,"",ROUNDUP(Y99/H99,0)*0.00726),"")</f>
        <v/>
      </c>
      <c r="AA99" s="56"/>
      <c r="AB99" s="57"/>
      <c r="AC99" s="141" t="s">
        <v>193</v>
      </c>
      <c r="AG99" s="64"/>
      <c r="AJ99" s="68"/>
      <c r="AK99" s="68">
        <v>0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53">
        <v>4680115880269</v>
      </c>
      <c r="E100" s="554"/>
      <c r="F100" s="542">
        <v>0.375</v>
      </c>
      <c r="G100" s="32">
        <v>10</v>
      </c>
      <c r="H100" s="542">
        <v>3.75</v>
      </c>
      <c r="I100" s="542">
        <v>3.94</v>
      </c>
      <c r="J100" s="32">
        <v>132</v>
      </c>
      <c r="K100" s="32" t="s">
        <v>110</v>
      </c>
      <c r="L100" s="32"/>
      <c r="M100" s="33" t="s">
        <v>81</v>
      </c>
      <c r="N100" s="33"/>
      <c r="O100" s="32">
        <v>50</v>
      </c>
      <c r="P100" s="82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190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53">
        <v>4680115880429</v>
      </c>
      <c r="E101" s="554"/>
      <c r="F101" s="542">
        <v>0.45</v>
      </c>
      <c r="G101" s="32">
        <v>10</v>
      </c>
      <c r="H101" s="542">
        <v>4.5</v>
      </c>
      <c r="I101" s="542">
        <v>4.6900000000000004</v>
      </c>
      <c r="J101" s="32">
        <v>132</v>
      </c>
      <c r="K101" s="32" t="s">
        <v>110</v>
      </c>
      <c r="L101" s="32" t="s">
        <v>111</v>
      </c>
      <c r="M101" s="33" t="s">
        <v>81</v>
      </c>
      <c r="N101" s="33"/>
      <c r="O101" s="32">
        <v>50</v>
      </c>
      <c r="P101" s="7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190</v>
      </c>
      <c r="AG101" s="64"/>
      <c r="AJ101" s="68" t="s">
        <v>83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53">
        <v>4680115881457</v>
      </c>
      <c r="E102" s="554"/>
      <c r="F102" s="542">
        <v>0.75</v>
      </c>
      <c r="G102" s="32">
        <v>6</v>
      </c>
      <c r="H102" s="542">
        <v>4.5</v>
      </c>
      <c r="I102" s="542">
        <v>4.6900000000000004</v>
      </c>
      <c r="J102" s="32">
        <v>132</v>
      </c>
      <c r="K102" s="32" t="s">
        <v>110</v>
      </c>
      <c r="L102" s="32"/>
      <c r="M102" s="33" t="s">
        <v>81</v>
      </c>
      <c r="N102" s="33"/>
      <c r="O102" s="32">
        <v>50</v>
      </c>
      <c r="P102" s="63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190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8"/>
      <c r="B103" s="556"/>
      <c r="C103" s="556"/>
      <c r="D103" s="556"/>
      <c r="E103" s="556"/>
      <c r="F103" s="556"/>
      <c r="G103" s="556"/>
      <c r="H103" s="556"/>
      <c r="I103" s="556"/>
      <c r="J103" s="556"/>
      <c r="K103" s="556"/>
      <c r="L103" s="556"/>
      <c r="M103" s="556"/>
      <c r="N103" s="556"/>
      <c r="O103" s="569"/>
      <c r="P103" s="563" t="s">
        <v>75</v>
      </c>
      <c r="Q103" s="564"/>
      <c r="R103" s="564"/>
      <c r="S103" s="564"/>
      <c r="T103" s="564"/>
      <c r="U103" s="564"/>
      <c r="V103" s="565"/>
      <c r="W103" s="37" t="s">
        <v>76</v>
      </c>
      <c r="X103" s="545">
        <f>IFERROR(X98/H98,"0")+IFERROR(X99/H99,"0")+IFERROR(X100/H100,"0")+IFERROR(X101/H101,"0")+IFERROR(X102/H102,"0")</f>
        <v>3.7037037037037033</v>
      </c>
      <c r="Y103" s="545">
        <f>IFERROR(Y98/H98,"0")+IFERROR(Y99/H99,"0")+IFERROR(Y100/H100,"0")+IFERROR(Y101/H101,"0")+IFERROR(Y102/H102,"0")</f>
        <v>4</v>
      </c>
      <c r="Z103" s="545">
        <f>IFERROR(IF(Z98="",0,Z98),"0")+IFERROR(IF(Z99="",0,Z99),"0")+IFERROR(IF(Z100="",0,Z100),"0")+IFERROR(IF(Z101="",0,Z101),"0")+IFERROR(IF(Z102="",0,Z102),"0")</f>
        <v>7.5920000000000001E-2</v>
      </c>
      <c r="AA103" s="546"/>
      <c r="AB103" s="546"/>
      <c r="AC103" s="546"/>
    </row>
    <row r="104" spans="1:68" x14ac:dyDescent="0.2">
      <c r="A104" s="556"/>
      <c r="B104" s="556"/>
      <c r="C104" s="556"/>
      <c r="D104" s="556"/>
      <c r="E104" s="556"/>
      <c r="F104" s="556"/>
      <c r="G104" s="556"/>
      <c r="H104" s="556"/>
      <c r="I104" s="556"/>
      <c r="J104" s="556"/>
      <c r="K104" s="556"/>
      <c r="L104" s="556"/>
      <c r="M104" s="556"/>
      <c r="N104" s="556"/>
      <c r="O104" s="569"/>
      <c r="P104" s="563" t="s">
        <v>75</v>
      </c>
      <c r="Q104" s="564"/>
      <c r="R104" s="564"/>
      <c r="S104" s="564"/>
      <c r="T104" s="564"/>
      <c r="U104" s="564"/>
      <c r="V104" s="565"/>
      <c r="W104" s="37" t="s">
        <v>69</v>
      </c>
      <c r="X104" s="545">
        <f>IFERROR(SUM(X98:X102),"0")</f>
        <v>40</v>
      </c>
      <c r="Y104" s="545">
        <f>IFERROR(SUM(Y98:Y102),"0")</f>
        <v>43.2</v>
      </c>
      <c r="Z104" s="37"/>
      <c r="AA104" s="546"/>
      <c r="AB104" s="546"/>
      <c r="AC104" s="546"/>
    </row>
    <row r="105" spans="1:68" ht="14.25" hidden="1" customHeight="1" x14ac:dyDescent="0.25">
      <c r="A105" s="567" t="s">
        <v>136</v>
      </c>
      <c r="B105" s="556"/>
      <c r="C105" s="556"/>
      <c r="D105" s="556"/>
      <c r="E105" s="556"/>
      <c r="F105" s="556"/>
      <c r="G105" s="556"/>
      <c r="H105" s="556"/>
      <c r="I105" s="556"/>
      <c r="J105" s="556"/>
      <c r="K105" s="556"/>
      <c r="L105" s="556"/>
      <c r="M105" s="556"/>
      <c r="N105" s="556"/>
      <c r="O105" s="556"/>
      <c r="P105" s="556"/>
      <c r="Q105" s="556"/>
      <c r="R105" s="556"/>
      <c r="S105" s="556"/>
      <c r="T105" s="556"/>
      <c r="U105" s="556"/>
      <c r="V105" s="556"/>
      <c r="W105" s="556"/>
      <c r="X105" s="556"/>
      <c r="Y105" s="556"/>
      <c r="Z105" s="556"/>
      <c r="AA105" s="539"/>
      <c r="AB105" s="539"/>
      <c r="AC105" s="539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53">
        <v>4680115881488</v>
      </c>
      <c r="E106" s="554"/>
      <c r="F106" s="542">
        <v>1.35</v>
      </c>
      <c r="G106" s="32">
        <v>8</v>
      </c>
      <c r="H106" s="542">
        <v>10.8</v>
      </c>
      <c r="I106" s="542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6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3">
        <v>0</v>
      </c>
      <c r="Y106" s="54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27" hidden="1" customHeight="1" x14ac:dyDescent="0.25">
      <c r="A107" s="54" t="s">
        <v>203</v>
      </c>
      <c r="B107" s="54" t="s">
        <v>204</v>
      </c>
      <c r="C107" s="31">
        <v>4301020186</v>
      </c>
      <c r="D107" s="553">
        <v>4680115887664</v>
      </c>
      <c r="E107" s="554"/>
      <c r="F107" s="542">
        <v>0.1</v>
      </c>
      <c r="G107" s="32">
        <v>10</v>
      </c>
      <c r="H107" s="542">
        <v>1</v>
      </c>
      <c r="I107" s="542">
        <v>1.21</v>
      </c>
      <c r="J107" s="32">
        <v>392</v>
      </c>
      <c r="K107" s="32" t="s">
        <v>205</v>
      </c>
      <c r="L107" s="32"/>
      <c r="M107" s="33" t="s">
        <v>68</v>
      </c>
      <c r="N107" s="33"/>
      <c r="O107" s="32">
        <v>30</v>
      </c>
      <c r="P107" s="72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IFERROR(IF(Y107=0,"",ROUNDUP(Y107/H107,0)*0.00358),"")</f>
        <v/>
      </c>
      <c r="AA107" s="56"/>
      <c r="AB107" s="57"/>
      <c r="AC107" s="151" t="s">
        <v>206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207</v>
      </c>
      <c r="B108" s="54" t="s">
        <v>208</v>
      </c>
      <c r="C108" s="31">
        <v>4301020346</v>
      </c>
      <c r="D108" s="553">
        <v>4680115882775</v>
      </c>
      <c r="E108" s="554"/>
      <c r="F108" s="542">
        <v>0.3</v>
      </c>
      <c r="G108" s="32">
        <v>8</v>
      </c>
      <c r="H108" s="542">
        <v>2.4</v>
      </c>
      <c r="I108" s="542">
        <v>2.5</v>
      </c>
      <c r="J108" s="32">
        <v>234</v>
      </c>
      <c r="K108" s="32" t="s">
        <v>73</v>
      </c>
      <c r="L108" s="32"/>
      <c r="M108" s="33" t="s">
        <v>106</v>
      </c>
      <c r="N108" s="33"/>
      <c r="O108" s="32">
        <v>55</v>
      </c>
      <c r="P108" s="68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4301020344</v>
      </c>
      <c r="D109" s="553">
        <v>4680115880658</v>
      </c>
      <c r="E109" s="554"/>
      <c r="F109" s="542">
        <v>0.4</v>
      </c>
      <c r="G109" s="32">
        <v>6</v>
      </c>
      <c r="H109" s="542">
        <v>2.4</v>
      </c>
      <c r="I109" s="542">
        <v>2.58</v>
      </c>
      <c r="J109" s="32">
        <v>182</v>
      </c>
      <c r="K109" s="32" t="s">
        <v>67</v>
      </c>
      <c r="L109" s="32"/>
      <c r="M109" s="33" t="s">
        <v>106</v>
      </c>
      <c r="N109" s="33"/>
      <c r="O109" s="32">
        <v>55</v>
      </c>
      <c r="P109" s="54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48"/>
      <c r="R109" s="548"/>
      <c r="S109" s="548"/>
      <c r="T109" s="549"/>
      <c r="U109" s="34"/>
      <c r="V109" s="34"/>
      <c r="W109" s="35" t="s">
        <v>69</v>
      </c>
      <c r="X109" s="543">
        <v>0</v>
      </c>
      <c r="Y109" s="544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202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568"/>
      <c r="B110" s="556"/>
      <c r="C110" s="556"/>
      <c r="D110" s="556"/>
      <c r="E110" s="556"/>
      <c r="F110" s="556"/>
      <c r="G110" s="556"/>
      <c r="H110" s="556"/>
      <c r="I110" s="556"/>
      <c r="J110" s="556"/>
      <c r="K110" s="556"/>
      <c r="L110" s="556"/>
      <c r="M110" s="556"/>
      <c r="N110" s="556"/>
      <c r="O110" s="569"/>
      <c r="P110" s="563" t="s">
        <v>75</v>
      </c>
      <c r="Q110" s="564"/>
      <c r="R110" s="564"/>
      <c r="S110" s="564"/>
      <c r="T110" s="564"/>
      <c r="U110" s="564"/>
      <c r="V110" s="565"/>
      <c r="W110" s="37" t="s">
        <v>76</v>
      </c>
      <c r="X110" s="545">
        <f>IFERROR(X106/H106,"0")+IFERROR(X107/H107,"0")+IFERROR(X108/H108,"0")+IFERROR(X109/H109,"0")</f>
        <v>0</v>
      </c>
      <c r="Y110" s="545">
        <f>IFERROR(Y106/H106,"0")+IFERROR(Y107/H107,"0")+IFERROR(Y108/H108,"0")+IFERROR(Y109/H109,"0")</f>
        <v>0</v>
      </c>
      <c r="Z110" s="545">
        <f>IFERROR(IF(Z106="",0,Z106),"0")+IFERROR(IF(Z107="",0,Z107),"0")+IFERROR(IF(Z108="",0,Z108),"0")+IFERROR(IF(Z109="",0,Z109),"0")</f>
        <v>0</v>
      </c>
      <c r="AA110" s="546"/>
      <c r="AB110" s="546"/>
      <c r="AC110" s="546"/>
    </row>
    <row r="111" spans="1:68" hidden="1" x14ac:dyDescent="0.2">
      <c r="A111" s="556"/>
      <c r="B111" s="556"/>
      <c r="C111" s="556"/>
      <c r="D111" s="556"/>
      <c r="E111" s="556"/>
      <c r="F111" s="556"/>
      <c r="G111" s="556"/>
      <c r="H111" s="556"/>
      <c r="I111" s="556"/>
      <c r="J111" s="556"/>
      <c r="K111" s="556"/>
      <c r="L111" s="556"/>
      <c r="M111" s="556"/>
      <c r="N111" s="556"/>
      <c r="O111" s="569"/>
      <c r="P111" s="563" t="s">
        <v>75</v>
      </c>
      <c r="Q111" s="564"/>
      <c r="R111" s="564"/>
      <c r="S111" s="564"/>
      <c r="T111" s="564"/>
      <c r="U111" s="564"/>
      <c r="V111" s="565"/>
      <c r="W111" s="37" t="s">
        <v>69</v>
      </c>
      <c r="X111" s="545">
        <f>IFERROR(SUM(X106:X109),"0")</f>
        <v>0</v>
      </c>
      <c r="Y111" s="545">
        <f>IFERROR(SUM(Y106:Y109),"0")</f>
        <v>0</v>
      </c>
      <c r="Z111" s="37"/>
      <c r="AA111" s="546"/>
      <c r="AB111" s="546"/>
      <c r="AC111" s="546"/>
    </row>
    <row r="112" spans="1:68" ht="14.25" hidden="1" customHeight="1" x14ac:dyDescent="0.25">
      <c r="A112" s="567" t="s">
        <v>77</v>
      </c>
      <c r="B112" s="556"/>
      <c r="C112" s="556"/>
      <c r="D112" s="556"/>
      <c r="E112" s="556"/>
      <c r="F112" s="556"/>
      <c r="G112" s="556"/>
      <c r="H112" s="556"/>
      <c r="I112" s="556"/>
      <c r="J112" s="556"/>
      <c r="K112" s="556"/>
      <c r="L112" s="556"/>
      <c r="M112" s="556"/>
      <c r="N112" s="556"/>
      <c r="O112" s="556"/>
      <c r="P112" s="556"/>
      <c r="Q112" s="556"/>
      <c r="R112" s="556"/>
      <c r="S112" s="556"/>
      <c r="T112" s="556"/>
      <c r="U112" s="556"/>
      <c r="V112" s="556"/>
      <c r="W112" s="556"/>
      <c r="X112" s="556"/>
      <c r="Y112" s="556"/>
      <c r="Z112" s="556"/>
      <c r="AA112" s="539"/>
      <c r="AB112" s="539"/>
      <c r="AC112" s="539"/>
    </row>
    <row r="113" spans="1:68" ht="27" customHeight="1" x14ac:dyDescent="0.25">
      <c r="A113" s="54" t="s">
        <v>211</v>
      </c>
      <c r="B113" s="54" t="s">
        <v>212</v>
      </c>
      <c r="C113" s="31">
        <v>4301051724</v>
      </c>
      <c r="D113" s="553">
        <v>4607091385168</v>
      </c>
      <c r="E113" s="554"/>
      <c r="F113" s="542">
        <v>1.35</v>
      </c>
      <c r="G113" s="32">
        <v>6</v>
      </c>
      <c r="H113" s="542">
        <v>8.1</v>
      </c>
      <c r="I113" s="542">
        <v>8.5879999999999992</v>
      </c>
      <c r="J113" s="32">
        <v>64</v>
      </c>
      <c r="K113" s="32" t="s">
        <v>104</v>
      </c>
      <c r="L113" s="32"/>
      <c r="M113" s="33" t="s">
        <v>88</v>
      </c>
      <c r="N113" s="33"/>
      <c r="O113" s="32">
        <v>45</v>
      </c>
      <c r="P113" s="79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3">
        <v>50</v>
      </c>
      <c r="Y113" s="544">
        <f>IFERROR(IF(X113="",0,CEILING((X113/$H113),1)*$H113),"")</f>
        <v>56.699999999999996</v>
      </c>
      <c r="Z113" s="36">
        <f>IFERROR(IF(Y113=0,"",ROUNDUP(Y113/H113,0)*0.01898),"")</f>
        <v>0.13286000000000001</v>
      </c>
      <c r="AA113" s="56"/>
      <c r="AB113" s="57"/>
      <c r="AC113" s="157" t="s">
        <v>213</v>
      </c>
      <c r="AG113" s="64"/>
      <c r="AJ113" s="68"/>
      <c r="AK113" s="68">
        <v>0</v>
      </c>
      <c r="BB113" s="158" t="s">
        <v>1</v>
      </c>
      <c r="BM113" s="64">
        <f>IFERROR(X113*I113/H113,"0")</f>
        <v>53.012345679012348</v>
      </c>
      <c r="BN113" s="64">
        <f>IFERROR(Y113*I113/H113,"0")</f>
        <v>60.115999999999993</v>
      </c>
      <c r="BO113" s="64">
        <f>IFERROR(1/J113*(X113/H113),"0")</f>
        <v>9.6450617283950615E-2</v>
      </c>
      <c r="BP113" s="64">
        <f>IFERROR(1/J113*(Y113/H113),"0")</f>
        <v>0.109375</v>
      </c>
    </row>
    <row r="114" spans="1:68" ht="27" hidden="1" customHeight="1" x14ac:dyDescent="0.25">
      <c r="A114" s="54" t="s">
        <v>214</v>
      </c>
      <c r="B114" s="54" t="s">
        <v>215</v>
      </c>
      <c r="C114" s="31">
        <v>4301051730</v>
      </c>
      <c r="D114" s="553">
        <v>4607091383256</v>
      </c>
      <c r="E114" s="554"/>
      <c r="F114" s="542">
        <v>0.33</v>
      </c>
      <c r="G114" s="32">
        <v>6</v>
      </c>
      <c r="H114" s="542">
        <v>1.98</v>
      </c>
      <c r="I114" s="542">
        <v>2.226</v>
      </c>
      <c r="J114" s="32">
        <v>182</v>
      </c>
      <c r="K114" s="32" t="s">
        <v>67</v>
      </c>
      <c r="L114" s="32"/>
      <c r="M114" s="33" t="s">
        <v>88</v>
      </c>
      <c r="N114" s="33"/>
      <c r="O114" s="32">
        <v>45</v>
      </c>
      <c r="P114" s="6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213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216</v>
      </c>
      <c r="B115" s="54" t="s">
        <v>217</v>
      </c>
      <c r="C115" s="31">
        <v>4301051721</v>
      </c>
      <c r="D115" s="553">
        <v>4607091385748</v>
      </c>
      <c r="E115" s="554"/>
      <c r="F115" s="542">
        <v>0.45</v>
      </c>
      <c r="G115" s="32">
        <v>6</v>
      </c>
      <c r="H115" s="542">
        <v>2.7</v>
      </c>
      <c r="I115" s="542">
        <v>2.952</v>
      </c>
      <c r="J115" s="32">
        <v>182</v>
      </c>
      <c r="K115" s="32" t="s">
        <v>67</v>
      </c>
      <c r="L115" s="32"/>
      <c r="M115" s="33" t="s">
        <v>88</v>
      </c>
      <c r="N115" s="33"/>
      <c r="O115" s="32">
        <v>45</v>
      </c>
      <c r="P115" s="72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3">
        <v>13.5</v>
      </c>
      <c r="Y115" s="544">
        <f>IFERROR(IF(X115="",0,CEILING((X115/$H115),1)*$H115),"")</f>
        <v>13.5</v>
      </c>
      <c r="Z115" s="36">
        <f>IFERROR(IF(Y115=0,"",ROUNDUP(Y115/H115,0)*0.00651),"")</f>
        <v>3.2550000000000003E-2</v>
      </c>
      <c r="AA115" s="56"/>
      <c r="AB115" s="57"/>
      <c r="AC115" s="161" t="s">
        <v>213</v>
      </c>
      <c r="AG115" s="64"/>
      <c r="AJ115" s="68"/>
      <c r="AK115" s="68">
        <v>0</v>
      </c>
      <c r="BB115" s="162" t="s">
        <v>1</v>
      </c>
      <c r="BM115" s="64">
        <f>IFERROR(X115*I115/H115,"0")</f>
        <v>14.759999999999998</v>
      </c>
      <c r="BN115" s="64">
        <f>IFERROR(Y115*I115/H115,"0")</f>
        <v>14.759999999999998</v>
      </c>
      <c r="BO115" s="64">
        <f>IFERROR(1/J115*(X115/H115),"0")</f>
        <v>2.7472527472527476E-2</v>
      </c>
      <c r="BP115" s="64">
        <f>IFERROR(1/J115*(Y115/H115),"0")</f>
        <v>2.7472527472527476E-2</v>
      </c>
    </row>
    <row r="116" spans="1:68" ht="16.5" hidden="1" customHeight="1" x14ac:dyDescent="0.25">
      <c r="A116" s="54" t="s">
        <v>218</v>
      </c>
      <c r="B116" s="54" t="s">
        <v>219</v>
      </c>
      <c r="C116" s="31">
        <v>4301051740</v>
      </c>
      <c r="D116" s="553">
        <v>4680115884533</v>
      </c>
      <c r="E116" s="554"/>
      <c r="F116" s="542">
        <v>0.3</v>
      </c>
      <c r="G116" s="32">
        <v>6</v>
      </c>
      <c r="H116" s="542">
        <v>1.8</v>
      </c>
      <c r="I116" s="542">
        <v>1.98</v>
      </c>
      <c r="J116" s="32">
        <v>182</v>
      </c>
      <c r="K116" s="32" t="s">
        <v>67</v>
      </c>
      <c r="L116" s="32" t="s">
        <v>80</v>
      </c>
      <c r="M116" s="33" t="s">
        <v>81</v>
      </c>
      <c r="N116" s="33"/>
      <c r="O116" s="32">
        <v>45</v>
      </c>
      <c r="P116" s="81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48"/>
      <c r="R116" s="548"/>
      <c r="S116" s="548"/>
      <c r="T116" s="549"/>
      <c r="U116" s="34"/>
      <c r="V116" s="34"/>
      <c r="W116" s="35" t="s">
        <v>69</v>
      </c>
      <c r="X116" s="543">
        <v>0</v>
      </c>
      <c r="Y116" s="54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220</v>
      </c>
      <c r="AG116" s="64"/>
      <c r="AJ116" s="68" t="s">
        <v>83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68"/>
      <c r="B117" s="556"/>
      <c r="C117" s="556"/>
      <c r="D117" s="556"/>
      <c r="E117" s="556"/>
      <c r="F117" s="556"/>
      <c r="G117" s="556"/>
      <c r="H117" s="556"/>
      <c r="I117" s="556"/>
      <c r="J117" s="556"/>
      <c r="K117" s="556"/>
      <c r="L117" s="556"/>
      <c r="M117" s="556"/>
      <c r="N117" s="556"/>
      <c r="O117" s="569"/>
      <c r="P117" s="563" t="s">
        <v>75</v>
      </c>
      <c r="Q117" s="564"/>
      <c r="R117" s="564"/>
      <c r="S117" s="564"/>
      <c r="T117" s="564"/>
      <c r="U117" s="564"/>
      <c r="V117" s="565"/>
      <c r="W117" s="37" t="s">
        <v>76</v>
      </c>
      <c r="X117" s="545">
        <f>IFERROR(X113/H113,"0")+IFERROR(X114/H114,"0")+IFERROR(X115/H115,"0")+IFERROR(X116/H116,"0")</f>
        <v>11.172839506172838</v>
      </c>
      <c r="Y117" s="545">
        <f>IFERROR(Y113/H113,"0")+IFERROR(Y114/H114,"0")+IFERROR(Y115/H115,"0")+IFERROR(Y116/H116,"0")</f>
        <v>12</v>
      </c>
      <c r="Z117" s="545">
        <f>IFERROR(IF(Z113="",0,Z113),"0")+IFERROR(IF(Z114="",0,Z114),"0")+IFERROR(IF(Z115="",0,Z115),"0")+IFERROR(IF(Z116="",0,Z116),"0")</f>
        <v>0.16541</v>
      </c>
      <c r="AA117" s="546"/>
      <c r="AB117" s="546"/>
      <c r="AC117" s="546"/>
    </row>
    <row r="118" spans="1:68" x14ac:dyDescent="0.2">
      <c r="A118" s="556"/>
      <c r="B118" s="556"/>
      <c r="C118" s="556"/>
      <c r="D118" s="556"/>
      <c r="E118" s="556"/>
      <c r="F118" s="556"/>
      <c r="G118" s="556"/>
      <c r="H118" s="556"/>
      <c r="I118" s="556"/>
      <c r="J118" s="556"/>
      <c r="K118" s="556"/>
      <c r="L118" s="556"/>
      <c r="M118" s="556"/>
      <c r="N118" s="556"/>
      <c r="O118" s="569"/>
      <c r="P118" s="563" t="s">
        <v>75</v>
      </c>
      <c r="Q118" s="564"/>
      <c r="R118" s="564"/>
      <c r="S118" s="564"/>
      <c r="T118" s="564"/>
      <c r="U118" s="564"/>
      <c r="V118" s="565"/>
      <c r="W118" s="37" t="s">
        <v>69</v>
      </c>
      <c r="X118" s="545">
        <f>IFERROR(SUM(X113:X116),"0")</f>
        <v>63.5</v>
      </c>
      <c r="Y118" s="545">
        <f>IFERROR(SUM(Y113:Y116),"0")</f>
        <v>70.199999999999989</v>
      </c>
      <c r="Z118" s="37"/>
      <c r="AA118" s="546"/>
      <c r="AB118" s="546"/>
      <c r="AC118" s="546"/>
    </row>
    <row r="119" spans="1:68" ht="14.25" hidden="1" customHeight="1" x14ac:dyDescent="0.25">
      <c r="A119" s="567" t="s">
        <v>158</v>
      </c>
      <c r="B119" s="556"/>
      <c r="C119" s="556"/>
      <c r="D119" s="556"/>
      <c r="E119" s="556"/>
      <c r="F119" s="556"/>
      <c r="G119" s="556"/>
      <c r="H119" s="556"/>
      <c r="I119" s="556"/>
      <c r="J119" s="556"/>
      <c r="K119" s="556"/>
      <c r="L119" s="556"/>
      <c r="M119" s="556"/>
      <c r="N119" s="556"/>
      <c r="O119" s="556"/>
      <c r="P119" s="556"/>
      <c r="Q119" s="556"/>
      <c r="R119" s="556"/>
      <c r="S119" s="556"/>
      <c r="T119" s="556"/>
      <c r="U119" s="556"/>
      <c r="V119" s="556"/>
      <c r="W119" s="556"/>
      <c r="X119" s="556"/>
      <c r="Y119" s="556"/>
      <c r="Z119" s="556"/>
      <c r="AA119" s="539"/>
      <c r="AB119" s="539"/>
      <c r="AC119" s="539"/>
    </row>
    <row r="120" spans="1:68" ht="16.5" hidden="1" customHeight="1" x14ac:dyDescent="0.25">
      <c r="A120" s="54" t="s">
        <v>221</v>
      </c>
      <c r="B120" s="54" t="s">
        <v>222</v>
      </c>
      <c r="C120" s="31">
        <v>4301060317</v>
      </c>
      <c r="D120" s="553">
        <v>4680115880238</v>
      </c>
      <c r="E120" s="554"/>
      <c r="F120" s="542">
        <v>0.33</v>
      </c>
      <c r="G120" s="32">
        <v>6</v>
      </c>
      <c r="H120" s="542">
        <v>1.98</v>
      </c>
      <c r="I120" s="542">
        <v>2.238</v>
      </c>
      <c r="J120" s="32">
        <v>182</v>
      </c>
      <c r="K120" s="32" t="s">
        <v>67</v>
      </c>
      <c r="L120" s="32" t="s">
        <v>80</v>
      </c>
      <c r="M120" s="33" t="s">
        <v>81</v>
      </c>
      <c r="N120" s="33"/>
      <c r="O120" s="32">
        <v>40</v>
      </c>
      <c r="P120" s="81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48"/>
      <c r="R120" s="548"/>
      <c r="S120" s="548"/>
      <c r="T120" s="549"/>
      <c r="U120" s="34"/>
      <c r="V120" s="34"/>
      <c r="W120" s="35" t="s">
        <v>69</v>
      </c>
      <c r="X120" s="543">
        <v>0</v>
      </c>
      <c r="Y120" s="54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 t="s">
        <v>83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568"/>
      <c r="B121" s="556"/>
      <c r="C121" s="556"/>
      <c r="D121" s="556"/>
      <c r="E121" s="556"/>
      <c r="F121" s="556"/>
      <c r="G121" s="556"/>
      <c r="H121" s="556"/>
      <c r="I121" s="556"/>
      <c r="J121" s="556"/>
      <c r="K121" s="556"/>
      <c r="L121" s="556"/>
      <c r="M121" s="556"/>
      <c r="N121" s="556"/>
      <c r="O121" s="569"/>
      <c r="P121" s="563" t="s">
        <v>75</v>
      </c>
      <c r="Q121" s="564"/>
      <c r="R121" s="564"/>
      <c r="S121" s="564"/>
      <c r="T121" s="564"/>
      <c r="U121" s="564"/>
      <c r="V121" s="565"/>
      <c r="W121" s="37" t="s">
        <v>76</v>
      </c>
      <c r="X121" s="545">
        <f>IFERROR(X120/H120,"0")</f>
        <v>0</v>
      </c>
      <c r="Y121" s="545">
        <f>IFERROR(Y120/H120,"0")</f>
        <v>0</v>
      </c>
      <c r="Z121" s="545">
        <f>IFERROR(IF(Z120="",0,Z120),"0")</f>
        <v>0</v>
      </c>
      <c r="AA121" s="546"/>
      <c r="AB121" s="546"/>
      <c r="AC121" s="546"/>
    </row>
    <row r="122" spans="1:68" hidden="1" x14ac:dyDescent="0.2">
      <c r="A122" s="556"/>
      <c r="B122" s="556"/>
      <c r="C122" s="556"/>
      <c r="D122" s="556"/>
      <c r="E122" s="556"/>
      <c r="F122" s="556"/>
      <c r="G122" s="556"/>
      <c r="H122" s="556"/>
      <c r="I122" s="556"/>
      <c r="J122" s="556"/>
      <c r="K122" s="556"/>
      <c r="L122" s="556"/>
      <c r="M122" s="556"/>
      <c r="N122" s="556"/>
      <c r="O122" s="569"/>
      <c r="P122" s="563" t="s">
        <v>75</v>
      </c>
      <c r="Q122" s="564"/>
      <c r="R122" s="564"/>
      <c r="S122" s="564"/>
      <c r="T122" s="564"/>
      <c r="U122" s="564"/>
      <c r="V122" s="565"/>
      <c r="W122" s="37" t="s">
        <v>69</v>
      </c>
      <c r="X122" s="545">
        <f>IFERROR(SUM(X120:X120),"0")</f>
        <v>0</v>
      </c>
      <c r="Y122" s="545">
        <f>IFERROR(SUM(Y120:Y120),"0")</f>
        <v>0</v>
      </c>
      <c r="Z122" s="37"/>
      <c r="AA122" s="546"/>
      <c r="AB122" s="546"/>
      <c r="AC122" s="546"/>
    </row>
    <row r="123" spans="1:68" ht="16.5" hidden="1" customHeight="1" x14ac:dyDescent="0.25">
      <c r="A123" s="599" t="s">
        <v>224</v>
      </c>
      <c r="B123" s="556"/>
      <c r="C123" s="556"/>
      <c r="D123" s="556"/>
      <c r="E123" s="556"/>
      <c r="F123" s="556"/>
      <c r="G123" s="556"/>
      <c r="H123" s="556"/>
      <c r="I123" s="556"/>
      <c r="J123" s="556"/>
      <c r="K123" s="556"/>
      <c r="L123" s="556"/>
      <c r="M123" s="556"/>
      <c r="N123" s="556"/>
      <c r="O123" s="556"/>
      <c r="P123" s="556"/>
      <c r="Q123" s="556"/>
      <c r="R123" s="556"/>
      <c r="S123" s="556"/>
      <c r="T123" s="556"/>
      <c r="U123" s="556"/>
      <c r="V123" s="556"/>
      <c r="W123" s="556"/>
      <c r="X123" s="556"/>
      <c r="Y123" s="556"/>
      <c r="Z123" s="556"/>
      <c r="AA123" s="538"/>
      <c r="AB123" s="538"/>
      <c r="AC123" s="538"/>
    </row>
    <row r="124" spans="1:68" ht="14.25" hidden="1" customHeight="1" x14ac:dyDescent="0.25">
      <c r="A124" s="567" t="s">
        <v>101</v>
      </c>
      <c r="B124" s="556"/>
      <c r="C124" s="556"/>
      <c r="D124" s="556"/>
      <c r="E124" s="556"/>
      <c r="F124" s="556"/>
      <c r="G124" s="556"/>
      <c r="H124" s="556"/>
      <c r="I124" s="556"/>
      <c r="J124" s="556"/>
      <c r="K124" s="556"/>
      <c r="L124" s="556"/>
      <c r="M124" s="556"/>
      <c r="N124" s="556"/>
      <c r="O124" s="556"/>
      <c r="P124" s="556"/>
      <c r="Q124" s="556"/>
      <c r="R124" s="556"/>
      <c r="S124" s="556"/>
      <c r="T124" s="556"/>
      <c r="U124" s="556"/>
      <c r="V124" s="556"/>
      <c r="W124" s="556"/>
      <c r="X124" s="556"/>
      <c r="Y124" s="556"/>
      <c r="Z124" s="556"/>
      <c r="AA124" s="539"/>
      <c r="AB124" s="539"/>
      <c r="AC124" s="539"/>
    </row>
    <row r="125" spans="1:68" ht="27" hidden="1" customHeight="1" x14ac:dyDescent="0.25">
      <c r="A125" s="54" t="s">
        <v>225</v>
      </c>
      <c r="B125" s="54" t="s">
        <v>226</v>
      </c>
      <c r="C125" s="31">
        <v>4301011564</v>
      </c>
      <c r="D125" s="553">
        <v>4680115882577</v>
      </c>
      <c r="E125" s="554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67</v>
      </c>
      <c r="L125" s="32"/>
      <c r="M125" s="33" t="s">
        <v>96</v>
      </c>
      <c r="N125" s="33"/>
      <c r="O125" s="32">
        <v>90</v>
      </c>
      <c r="P125" s="65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227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hidden="1" customHeight="1" x14ac:dyDescent="0.25">
      <c r="A126" s="54" t="s">
        <v>225</v>
      </c>
      <c r="B126" s="54" t="s">
        <v>228</v>
      </c>
      <c r="C126" s="31">
        <v>4301011562</v>
      </c>
      <c r="D126" s="553">
        <v>4680115882577</v>
      </c>
      <c r="E126" s="554"/>
      <c r="F126" s="542">
        <v>0.4</v>
      </c>
      <c r="G126" s="32">
        <v>8</v>
      </c>
      <c r="H126" s="542">
        <v>3.2</v>
      </c>
      <c r="I126" s="542">
        <v>3.38</v>
      </c>
      <c r="J126" s="32">
        <v>182</v>
      </c>
      <c r="K126" s="32" t="s">
        <v>67</v>
      </c>
      <c r="L126" s="32"/>
      <c r="M126" s="33" t="s">
        <v>96</v>
      </c>
      <c r="N126" s="33"/>
      <c r="O126" s="32">
        <v>90</v>
      </c>
      <c r="P126" s="58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6" s="548"/>
      <c r="R126" s="548"/>
      <c r="S126" s="548"/>
      <c r="T126" s="549"/>
      <c r="U126" s="34"/>
      <c r="V126" s="34"/>
      <c r="W126" s="35" t="s">
        <v>69</v>
      </c>
      <c r="X126" s="543">
        <v>0</v>
      </c>
      <c r="Y126" s="54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568"/>
      <c r="B127" s="556"/>
      <c r="C127" s="556"/>
      <c r="D127" s="556"/>
      <c r="E127" s="556"/>
      <c r="F127" s="556"/>
      <c r="G127" s="556"/>
      <c r="H127" s="556"/>
      <c r="I127" s="556"/>
      <c r="J127" s="556"/>
      <c r="K127" s="556"/>
      <c r="L127" s="556"/>
      <c r="M127" s="556"/>
      <c r="N127" s="556"/>
      <c r="O127" s="569"/>
      <c r="P127" s="563" t="s">
        <v>75</v>
      </c>
      <c r="Q127" s="564"/>
      <c r="R127" s="564"/>
      <c r="S127" s="564"/>
      <c r="T127" s="564"/>
      <c r="U127" s="564"/>
      <c r="V127" s="565"/>
      <c r="W127" s="37" t="s">
        <v>76</v>
      </c>
      <c r="X127" s="545">
        <f>IFERROR(X125/H125,"0")+IFERROR(X126/H126,"0")</f>
        <v>0</v>
      </c>
      <c r="Y127" s="545">
        <f>IFERROR(Y125/H125,"0")+IFERROR(Y126/H126,"0")</f>
        <v>0</v>
      </c>
      <c r="Z127" s="545">
        <f>IFERROR(IF(Z125="",0,Z125),"0")+IFERROR(IF(Z126="",0,Z126),"0")</f>
        <v>0</v>
      </c>
      <c r="AA127" s="546"/>
      <c r="AB127" s="546"/>
      <c r="AC127" s="546"/>
    </row>
    <row r="128" spans="1:68" hidden="1" x14ac:dyDescent="0.2">
      <c r="A128" s="556"/>
      <c r="B128" s="556"/>
      <c r="C128" s="556"/>
      <c r="D128" s="556"/>
      <c r="E128" s="556"/>
      <c r="F128" s="556"/>
      <c r="G128" s="556"/>
      <c r="H128" s="556"/>
      <c r="I128" s="556"/>
      <c r="J128" s="556"/>
      <c r="K128" s="556"/>
      <c r="L128" s="556"/>
      <c r="M128" s="556"/>
      <c r="N128" s="556"/>
      <c r="O128" s="569"/>
      <c r="P128" s="563" t="s">
        <v>75</v>
      </c>
      <c r="Q128" s="564"/>
      <c r="R128" s="564"/>
      <c r="S128" s="564"/>
      <c r="T128" s="564"/>
      <c r="U128" s="564"/>
      <c r="V128" s="565"/>
      <c r="W128" s="37" t="s">
        <v>69</v>
      </c>
      <c r="X128" s="545">
        <f>IFERROR(SUM(X125:X126),"0")</f>
        <v>0</v>
      </c>
      <c r="Y128" s="545">
        <f>IFERROR(SUM(Y125:Y126),"0")</f>
        <v>0</v>
      </c>
      <c r="Z128" s="37"/>
      <c r="AA128" s="546"/>
      <c r="AB128" s="546"/>
      <c r="AC128" s="546"/>
    </row>
    <row r="129" spans="1:68" ht="14.25" hidden="1" customHeight="1" x14ac:dyDescent="0.25">
      <c r="A129" s="567" t="s">
        <v>64</v>
      </c>
      <c r="B129" s="556"/>
      <c r="C129" s="556"/>
      <c r="D129" s="556"/>
      <c r="E129" s="556"/>
      <c r="F129" s="556"/>
      <c r="G129" s="556"/>
      <c r="H129" s="556"/>
      <c r="I129" s="556"/>
      <c r="J129" s="556"/>
      <c r="K129" s="556"/>
      <c r="L129" s="556"/>
      <c r="M129" s="556"/>
      <c r="N129" s="556"/>
      <c r="O129" s="556"/>
      <c r="P129" s="556"/>
      <c r="Q129" s="556"/>
      <c r="R129" s="556"/>
      <c r="S129" s="556"/>
      <c r="T129" s="556"/>
      <c r="U129" s="556"/>
      <c r="V129" s="556"/>
      <c r="W129" s="556"/>
      <c r="X129" s="556"/>
      <c r="Y129" s="556"/>
      <c r="Z129" s="556"/>
      <c r="AA129" s="539"/>
      <c r="AB129" s="539"/>
      <c r="AC129" s="539"/>
    </row>
    <row r="130" spans="1:68" ht="27" hidden="1" customHeight="1" x14ac:dyDescent="0.25">
      <c r="A130" s="54" t="s">
        <v>229</v>
      </c>
      <c r="B130" s="54" t="s">
        <v>230</v>
      </c>
      <c r="C130" s="31">
        <v>4301031234</v>
      </c>
      <c r="D130" s="553">
        <v>4680115883444</v>
      </c>
      <c r="E130" s="554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67</v>
      </c>
      <c r="L130" s="32"/>
      <c r="M130" s="33" t="s">
        <v>96</v>
      </c>
      <c r="N130" s="33"/>
      <c r="O130" s="32">
        <v>90</v>
      </c>
      <c r="P130" s="66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231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229</v>
      </c>
      <c r="B131" s="54" t="s">
        <v>232</v>
      </c>
      <c r="C131" s="31">
        <v>4301031235</v>
      </c>
      <c r="D131" s="553">
        <v>4680115883444</v>
      </c>
      <c r="E131" s="554"/>
      <c r="F131" s="542">
        <v>0.35</v>
      </c>
      <c r="G131" s="32">
        <v>8</v>
      </c>
      <c r="H131" s="542">
        <v>2.8</v>
      </c>
      <c r="I131" s="542">
        <v>3.0680000000000001</v>
      </c>
      <c r="J131" s="32">
        <v>182</v>
      </c>
      <c r="K131" s="32" t="s">
        <v>67</v>
      </c>
      <c r="L131" s="32"/>
      <c r="M131" s="33" t="s">
        <v>96</v>
      </c>
      <c r="N131" s="33"/>
      <c r="O131" s="32">
        <v>90</v>
      </c>
      <c r="P131" s="7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1" s="548"/>
      <c r="R131" s="548"/>
      <c r="S131" s="548"/>
      <c r="T131" s="549"/>
      <c r="U131" s="34"/>
      <c r="V131" s="34"/>
      <c r="W131" s="35" t="s">
        <v>69</v>
      </c>
      <c r="X131" s="543">
        <v>0</v>
      </c>
      <c r="Y131" s="54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231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568"/>
      <c r="B132" s="556"/>
      <c r="C132" s="556"/>
      <c r="D132" s="556"/>
      <c r="E132" s="556"/>
      <c r="F132" s="556"/>
      <c r="G132" s="556"/>
      <c r="H132" s="556"/>
      <c r="I132" s="556"/>
      <c r="J132" s="556"/>
      <c r="K132" s="556"/>
      <c r="L132" s="556"/>
      <c r="M132" s="556"/>
      <c r="N132" s="556"/>
      <c r="O132" s="569"/>
      <c r="P132" s="563" t="s">
        <v>75</v>
      </c>
      <c r="Q132" s="564"/>
      <c r="R132" s="564"/>
      <c r="S132" s="564"/>
      <c r="T132" s="564"/>
      <c r="U132" s="564"/>
      <c r="V132" s="565"/>
      <c r="W132" s="37" t="s">
        <v>76</v>
      </c>
      <c r="X132" s="545">
        <f>IFERROR(X130/H130,"0")+IFERROR(X131/H131,"0")</f>
        <v>0</v>
      </c>
      <c r="Y132" s="545">
        <f>IFERROR(Y130/H130,"0")+IFERROR(Y131/H131,"0")</f>
        <v>0</v>
      </c>
      <c r="Z132" s="545">
        <f>IFERROR(IF(Z130="",0,Z130),"0")+IFERROR(IF(Z131="",0,Z131),"0")</f>
        <v>0</v>
      </c>
      <c r="AA132" s="546"/>
      <c r="AB132" s="546"/>
      <c r="AC132" s="546"/>
    </row>
    <row r="133" spans="1:68" hidden="1" x14ac:dyDescent="0.2">
      <c r="A133" s="556"/>
      <c r="B133" s="556"/>
      <c r="C133" s="556"/>
      <c r="D133" s="556"/>
      <c r="E133" s="556"/>
      <c r="F133" s="556"/>
      <c r="G133" s="556"/>
      <c r="H133" s="556"/>
      <c r="I133" s="556"/>
      <c r="J133" s="556"/>
      <c r="K133" s="556"/>
      <c r="L133" s="556"/>
      <c r="M133" s="556"/>
      <c r="N133" s="556"/>
      <c r="O133" s="569"/>
      <c r="P133" s="563" t="s">
        <v>75</v>
      </c>
      <c r="Q133" s="564"/>
      <c r="R133" s="564"/>
      <c r="S133" s="564"/>
      <c r="T133" s="564"/>
      <c r="U133" s="564"/>
      <c r="V133" s="565"/>
      <c r="W133" s="37" t="s">
        <v>69</v>
      </c>
      <c r="X133" s="545">
        <f>IFERROR(SUM(X130:X131),"0")</f>
        <v>0</v>
      </c>
      <c r="Y133" s="545">
        <f>IFERROR(SUM(Y130:Y131),"0")</f>
        <v>0</v>
      </c>
      <c r="Z133" s="37"/>
      <c r="AA133" s="546"/>
      <c r="AB133" s="546"/>
      <c r="AC133" s="546"/>
    </row>
    <row r="134" spans="1:68" ht="14.25" hidden="1" customHeight="1" x14ac:dyDescent="0.25">
      <c r="A134" s="567" t="s">
        <v>77</v>
      </c>
      <c r="B134" s="556"/>
      <c r="C134" s="556"/>
      <c r="D134" s="556"/>
      <c r="E134" s="556"/>
      <c r="F134" s="556"/>
      <c r="G134" s="556"/>
      <c r="H134" s="556"/>
      <c r="I134" s="556"/>
      <c r="J134" s="556"/>
      <c r="K134" s="556"/>
      <c r="L134" s="556"/>
      <c r="M134" s="556"/>
      <c r="N134" s="556"/>
      <c r="O134" s="556"/>
      <c r="P134" s="556"/>
      <c r="Q134" s="556"/>
      <c r="R134" s="556"/>
      <c r="S134" s="556"/>
      <c r="T134" s="556"/>
      <c r="U134" s="556"/>
      <c r="V134" s="556"/>
      <c r="W134" s="556"/>
      <c r="X134" s="556"/>
      <c r="Y134" s="556"/>
      <c r="Z134" s="556"/>
      <c r="AA134" s="539"/>
      <c r="AB134" s="539"/>
      <c r="AC134" s="539"/>
    </row>
    <row r="135" spans="1:68" ht="16.5" hidden="1" customHeight="1" x14ac:dyDescent="0.25">
      <c r="A135" s="54" t="s">
        <v>233</v>
      </c>
      <c r="B135" s="54" t="s">
        <v>234</v>
      </c>
      <c r="C135" s="31">
        <v>4301051477</v>
      </c>
      <c r="D135" s="553">
        <v>4680115882584</v>
      </c>
      <c r="E135" s="554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67</v>
      </c>
      <c r="L135" s="32"/>
      <c r="M135" s="33" t="s">
        <v>96</v>
      </c>
      <c r="N135" s="33"/>
      <c r="O135" s="32">
        <v>60</v>
      </c>
      <c r="P135" s="63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48"/>
      <c r="R135" s="548"/>
      <c r="S135" s="548"/>
      <c r="T135" s="549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hidden="1" customHeight="1" x14ac:dyDescent="0.25">
      <c r="A136" s="54" t="s">
        <v>233</v>
      </c>
      <c r="B136" s="54" t="s">
        <v>235</v>
      </c>
      <c r="C136" s="31">
        <v>4301051476</v>
      </c>
      <c r="D136" s="553">
        <v>4680115882584</v>
      </c>
      <c r="E136" s="554"/>
      <c r="F136" s="542">
        <v>0.33</v>
      </c>
      <c r="G136" s="32">
        <v>8</v>
      </c>
      <c r="H136" s="542">
        <v>2.64</v>
      </c>
      <c r="I136" s="542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59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48"/>
      <c r="R136" s="548"/>
      <c r="S136" s="548"/>
      <c r="T136" s="549"/>
      <c r="U136" s="34"/>
      <c r="V136" s="34"/>
      <c r="W136" s="35" t="s">
        <v>69</v>
      </c>
      <c r="X136" s="543">
        <v>0</v>
      </c>
      <c r="Y136" s="54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227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568"/>
      <c r="B137" s="556"/>
      <c r="C137" s="556"/>
      <c r="D137" s="556"/>
      <c r="E137" s="556"/>
      <c r="F137" s="556"/>
      <c r="G137" s="556"/>
      <c r="H137" s="556"/>
      <c r="I137" s="556"/>
      <c r="J137" s="556"/>
      <c r="K137" s="556"/>
      <c r="L137" s="556"/>
      <c r="M137" s="556"/>
      <c r="N137" s="556"/>
      <c r="O137" s="569"/>
      <c r="P137" s="563" t="s">
        <v>75</v>
      </c>
      <c r="Q137" s="564"/>
      <c r="R137" s="564"/>
      <c r="S137" s="564"/>
      <c r="T137" s="564"/>
      <c r="U137" s="564"/>
      <c r="V137" s="565"/>
      <c r="W137" s="37" t="s">
        <v>76</v>
      </c>
      <c r="X137" s="545">
        <f>IFERROR(X135/H135,"0")+IFERROR(X136/H136,"0")</f>
        <v>0</v>
      </c>
      <c r="Y137" s="545">
        <f>IFERROR(Y135/H135,"0")+IFERROR(Y136/H136,"0")</f>
        <v>0</v>
      </c>
      <c r="Z137" s="545">
        <f>IFERROR(IF(Z135="",0,Z135),"0")+IFERROR(IF(Z136="",0,Z136),"0")</f>
        <v>0</v>
      </c>
      <c r="AA137" s="546"/>
      <c r="AB137" s="546"/>
      <c r="AC137" s="546"/>
    </row>
    <row r="138" spans="1:68" hidden="1" x14ac:dyDescent="0.2">
      <c r="A138" s="556"/>
      <c r="B138" s="556"/>
      <c r="C138" s="556"/>
      <c r="D138" s="556"/>
      <c r="E138" s="556"/>
      <c r="F138" s="556"/>
      <c r="G138" s="556"/>
      <c r="H138" s="556"/>
      <c r="I138" s="556"/>
      <c r="J138" s="556"/>
      <c r="K138" s="556"/>
      <c r="L138" s="556"/>
      <c r="M138" s="556"/>
      <c r="N138" s="556"/>
      <c r="O138" s="569"/>
      <c r="P138" s="563" t="s">
        <v>75</v>
      </c>
      <c r="Q138" s="564"/>
      <c r="R138" s="564"/>
      <c r="S138" s="564"/>
      <c r="T138" s="564"/>
      <c r="U138" s="564"/>
      <c r="V138" s="565"/>
      <c r="W138" s="37" t="s">
        <v>69</v>
      </c>
      <c r="X138" s="545">
        <f>IFERROR(SUM(X135:X136),"0")</f>
        <v>0</v>
      </c>
      <c r="Y138" s="545">
        <f>IFERROR(SUM(Y135:Y136),"0")</f>
        <v>0</v>
      </c>
      <c r="Z138" s="37"/>
      <c r="AA138" s="546"/>
      <c r="AB138" s="546"/>
      <c r="AC138" s="546"/>
    </row>
    <row r="139" spans="1:68" ht="16.5" hidden="1" customHeight="1" x14ac:dyDescent="0.25">
      <c r="A139" s="599" t="s">
        <v>99</v>
      </c>
      <c r="B139" s="556"/>
      <c r="C139" s="556"/>
      <c r="D139" s="556"/>
      <c r="E139" s="556"/>
      <c r="F139" s="556"/>
      <c r="G139" s="556"/>
      <c r="H139" s="556"/>
      <c r="I139" s="556"/>
      <c r="J139" s="556"/>
      <c r="K139" s="556"/>
      <c r="L139" s="556"/>
      <c r="M139" s="556"/>
      <c r="N139" s="556"/>
      <c r="O139" s="556"/>
      <c r="P139" s="556"/>
      <c r="Q139" s="556"/>
      <c r="R139" s="556"/>
      <c r="S139" s="556"/>
      <c r="T139" s="556"/>
      <c r="U139" s="556"/>
      <c r="V139" s="556"/>
      <c r="W139" s="556"/>
      <c r="X139" s="556"/>
      <c r="Y139" s="556"/>
      <c r="Z139" s="556"/>
      <c r="AA139" s="538"/>
      <c r="AB139" s="538"/>
      <c r="AC139" s="538"/>
    </row>
    <row r="140" spans="1:68" ht="14.25" hidden="1" customHeight="1" x14ac:dyDescent="0.25">
      <c r="A140" s="567" t="s">
        <v>101</v>
      </c>
      <c r="B140" s="556"/>
      <c r="C140" s="556"/>
      <c r="D140" s="556"/>
      <c r="E140" s="556"/>
      <c r="F140" s="556"/>
      <c r="G140" s="556"/>
      <c r="H140" s="556"/>
      <c r="I140" s="556"/>
      <c r="J140" s="556"/>
      <c r="K140" s="556"/>
      <c r="L140" s="556"/>
      <c r="M140" s="556"/>
      <c r="N140" s="556"/>
      <c r="O140" s="556"/>
      <c r="P140" s="556"/>
      <c r="Q140" s="556"/>
      <c r="R140" s="556"/>
      <c r="S140" s="556"/>
      <c r="T140" s="556"/>
      <c r="U140" s="556"/>
      <c r="V140" s="556"/>
      <c r="W140" s="556"/>
      <c r="X140" s="556"/>
      <c r="Y140" s="556"/>
      <c r="Z140" s="556"/>
      <c r="AA140" s="539"/>
      <c r="AB140" s="539"/>
      <c r="AC140" s="539"/>
    </row>
    <row r="141" spans="1:68" ht="27" hidden="1" customHeight="1" x14ac:dyDescent="0.25">
      <c r="A141" s="54" t="s">
        <v>236</v>
      </c>
      <c r="B141" s="54" t="s">
        <v>237</v>
      </c>
      <c r="C141" s="31">
        <v>4301012244</v>
      </c>
      <c r="D141" s="553">
        <v>4680115887374</v>
      </c>
      <c r="E141" s="554"/>
      <c r="F141" s="542">
        <v>1.6</v>
      </c>
      <c r="G141" s="32">
        <v>8</v>
      </c>
      <c r="H141" s="542">
        <v>12.8</v>
      </c>
      <c r="I141" s="542">
        <v>13.21</v>
      </c>
      <c r="J141" s="32">
        <v>64</v>
      </c>
      <c r="K141" s="32" t="s">
        <v>104</v>
      </c>
      <c r="L141" s="32"/>
      <c r="M141" s="33" t="s">
        <v>106</v>
      </c>
      <c r="N141" s="33"/>
      <c r="O141" s="32">
        <v>55</v>
      </c>
      <c r="P141" s="72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239</v>
      </c>
      <c r="B142" s="54" t="s">
        <v>240</v>
      </c>
      <c r="C142" s="31">
        <v>4301011705</v>
      </c>
      <c r="D142" s="553">
        <v>4607091384604</v>
      </c>
      <c r="E142" s="554"/>
      <c r="F142" s="542">
        <v>0.4</v>
      </c>
      <c r="G142" s="32">
        <v>10</v>
      </c>
      <c r="H142" s="542">
        <v>4</v>
      </c>
      <c r="I142" s="542">
        <v>4.1900000000000004</v>
      </c>
      <c r="J142" s="32">
        <v>132</v>
      </c>
      <c r="K142" s="32" t="s">
        <v>110</v>
      </c>
      <c r="L142" s="32"/>
      <c r="M142" s="33" t="s">
        <v>106</v>
      </c>
      <c r="N142" s="33"/>
      <c r="O142" s="32">
        <v>50</v>
      </c>
      <c r="P142" s="7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48"/>
      <c r="R142" s="548"/>
      <c r="S142" s="548"/>
      <c r="T142" s="549"/>
      <c r="U142" s="34"/>
      <c r="V142" s="34"/>
      <c r="W142" s="35" t="s">
        <v>69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68"/>
      <c r="B143" s="556"/>
      <c r="C143" s="556"/>
      <c r="D143" s="556"/>
      <c r="E143" s="556"/>
      <c r="F143" s="556"/>
      <c r="G143" s="556"/>
      <c r="H143" s="556"/>
      <c r="I143" s="556"/>
      <c r="J143" s="556"/>
      <c r="K143" s="556"/>
      <c r="L143" s="556"/>
      <c r="M143" s="556"/>
      <c r="N143" s="556"/>
      <c r="O143" s="569"/>
      <c r="P143" s="563" t="s">
        <v>75</v>
      </c>
      <c r="Q143" s="564"/>
      <c r="R143" s="564"/>
      <c r="S143" s="564"/>
      <c r="T143" s="564"/>
      <c r="U143" s="564"/>
      <c r="V143" s="565"/>
      <c r="W143" s="37" t="s">
        <v>76</v>
      </c>
      <c r="X143" s="545">
        <f>IFERROR(X141/H141,"0")+IFERROR(X142/H142,"0")</f>
        <v>0</v>
      </c>
      <c r="Y143" s="545">
        <f>IFERROR(Y141/H141,"0")+IFERROR(Y142/H142,"0")</f>
        <v>0</v>
      </c>
      <c r="Z143" s="545">
        <f>IFERROR(IF(Z141="",0,Z141),"0")+IFERROR(IF(Z142="",0,Z142),"0")</f>
        <v>0</v>
      </c>
      <c r="AA143" s="546"/>
      <c r="AB143" s="546"/>
      <c r="AC143" s="546"/>
    </row>
    <row r="144" spans="1:68" hidden="1" x14ac:dyDescent="0.2">
      <c r="A144" s="556"/>
      <c r="B144" s="556"/>
      <c r="C144" s="556"/>
      <c r="D144" s="556"/>
      <c r="E144" s="556"/>
      <c r="F144" s="556"/>
      <c r="G144" s="556"/>
      <c r="H144" s="556"/>
      <c r="I144" s="556"/>
      <c r="J144" s="556"/>
      <c r="K144" s="556"/>
      <c r="L144" s="556"/>
      <c r="M144" s="556"/>
      <c r="N144" s="556"/>
      <c r="O144" s="569"/>
      <c r="P144" s="563" t="s">
        <v>75</v>
      </c>
      <c r="Q144" s="564"/>
      <c r="R144" s="564"/>
      <c r="S144" s="564"/>
      <c r="T144" s="564"/>
      <c r="U144" s="564"/>
      <c r="V144" s="565"/>
      <c r="W144" s="37" t="s">
        <v>69</v>
      </c>
      <c r="X144" s="545">
        <f>IFERROR(SUM(X141:X142),"0")</f>
        <v>0</v>
      </c>
      <c r="Y144" s="545">
        <f>IFERROR(SUM(Y141:Y142),"0")</f>
        <v>0</v>
      </c>
      <c r="Z144" s="37"/>
      <c r="AA144" s="546"/>
      <c r="AB144" s="546"/>
      <c r="AC144" s="546"/>
    </row>
    <row r="145" spans="1:68" ht="14.25" hidden="1" customHeight="1" x14ac:dyDescent="0.25">
      <c r="A145" s="567" t="s">
        <v>64</v>
      </c>
      <c r="B145" s="556"/>
      <c r="C145" s="556"/>
      <c r="D145" s="556"/>
      <c r="E145" s="556"/>
      <c r="F145" s="556"/>
      <c r="G145" s="556"/>
      <c r="H145" s="556"/>
      <c r="I145" s="556"/>
      <c r="J145" s="556"/>
      <c r="K145" s="556"/>
      <c r="L145" s="556"/>
      <c r="M145" s="556"/>
      <c r="N145" s="556"/>
      <c r="O145" s="556"/>
      <c r="P145" s="556"/>
      <c r="Q145" s="556"/>
      <c r="R145" s="556"/>
      <c r="S145" s="556"/>
      <c r="T145" s="556"/>
      <c r="U145" s="556"/>
      <c r="V145" s="556"/>
      <c r="W145" s="556"/>
      <c r="X145" s="556"/>
      <c r="Y145" s="556"/>
      <c r="Z145" s="556"/>
      <c r="AA145" s="539"/>
      <c r="AB145" s="539"/>
      <c r="AC145" s="539"/>
    </row>
    <row r="146" spans="1:68" ht="16.5" hidden="1" customHeight="1" x14ac:dyDescent="0.25">
      <c r="A146" s="54" t="s">
        <v>242</v>
      </c>
      <c r="B146" s="54" t="s">
        <v>243</v>
      </c>
      <c r="C146" s="31">
        <v>4301031450</v>
      </c>
      <c r="D146" s="553">
        <v>4680115887428</v>
      </c>
      <c r="E146" s="554"/>
      <c r="F146" s="542">
        <v>0.7</v>
      </c>
      <c r="G146" s="32">
        <v>6</v>
      </c>
      <c r="H146" s="542">
        <v>4.2</v>
      </c>
      <c r="I146" s="542">
        <v>4.3899999999999997</v>
      </c>
      <c r="J146" s="32">
        <v>132</v>
      </c>
      <c r="K146" s="32" t="s">
        <v>110</v>
      </c>
      <c r="L146" s="32"/>
      <c r="M146" s="33" t="s">
        <v>68</v>
      </c>
      <c r="N146" s="33"/>
      <c r="O146" s="32">
        <v>40</v>
      </c>
      <c r="P146" s="621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6" s="548"/>
      <c r="R146" s="548"/>
      <c r="S146" s="548"/>
      <c r="T146" s="549"/>
      <c r="U146" s="34"/>
      <c r="V146" s="34"/>
      <c r="W146" s="35" t="s">
        <v>69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IFERROR(IF(Y146=0,"",ROUNDUP(Y146/H146,0)*0.00902),"")</f>
        <v/>
      </c>
      <c r="AA146" s="56"/>
      <c r="AB146" s="57"/>
      <c r="AC146" s="183" t="s">
        <v>244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245</v>
      </c>
      <c r="B147" s="54" t="s">
        <v>246</v>
      </c>
      <c r="C147" s="31">
        <v>4301030961</v>
      </c>
      <c r="D147" s="553">
        <v>4607091387636</v>
      </c>
      <c r="E147" s="554"/>
      <c r="F147" s="542">
        <v>0.7</v>
      </c>
      <c r="G147" s="32">
        <v>6</v>
      </c>
      <c r="H147" s="542">
        <v>4.2</v>
      </c>
      <c r="I147" s="542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86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248</v>
      </c>
      <c r="B148" s="54" t="s">
        <v>249</v>
      </c>
      <c r="C148" s="31">
        <v>4301031453</v>
      </c>
      <c r="D148" s="553">
        <v>4680115887336</v>
      </c>
      <c r="E148" s="554"/>
      <c r="F148" s="542">
        <v>0.7</v>
      </c>
      <c r="G148" s="32">
        <v>6</v>
      </c>
      <c r="H148" s="542">
        <v>4.2</v>
      </c>
      <c r="I148" s="542">
        <v>4.3899999999999997</v>
      </c>
      <c r="J148" s="32">
        <v>132</v>
      </c>
      <c r="K148" s="32" t="s">
        <v>110</v>
      </c>
      <c r="L148" s="32"/>
      <c r="M148" s="33" t="s">
        <v>68</v>
      </c>
      <c r="N148" s="33"/>
      <c r="O148" s="32">
        <v>40</v>
      </c>
      <c r="P148" s="810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8" s="548"/>
      <c r="R148" s="548"/>
      <c r="S148" s="548"/>
      <c r="T148" s="549"/>
      <c r="U148" s="34"/>
      <c r="V148" s="34"/>
      <c r="W148" s="35" t="s">
        <v>69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251</v>
      </c>
      <c r="B149" s="54" t="s">
        <v>252</v>
      </c>
      <c r="C149" s="31">
        <v>4301030963</v>
      </c>
      <c r="D149" s="553">
        <v>4607091382426</v>
      </c>
      <c r="E149" s="554"/>
      <c r="F149" s="542">
        <v>0.9</v>
      </c>
      <c r="G149" s="32">
        <v>10</v>
      </c>
      <c r="H149" s="542">
        <v>9</v>
      </c>
      <c r="I149" s="542">
        <v>9.56</v>
      </c>
      <c r="J149" s="32">
        <v>64</v>
      </c>
      <c r="K149" s="32" t="s">
        <v>104</v>
      </c>
      <c r="L149" s="32"/>
      <c r="M149" s="33" t="s">
        <v>68</v>
      </c>
      <c r="N149" s="33"/>
      <c r="O149" s="32">
        <v>40</v>
      </c>
      <c r="P149" s="58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48"/>
      <c r="R149" s="548"/>
      <c r="S149" s="548"/>
      <c r="T149" s="549"/>
      <c r="U149" s="34"/>
      <c r="V149" s="34"/>
      <c r="W149" s="35" t="s">
        <v>69</v>
      </c>
      <c r="X149" s="543">
        <v>0</v>
      </c>
      <c r="Y149" s="544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4301031456</v>
      </c>
      <c r="D150" s="553">
        <v>4680115887398</v>
      </c>
      <c r="E150" s="554"/>
      <c r="F150" s="542">
        <v>0.7</v>
      </c>
      <c r="G150" s="32">
        <v>6</v>
      </c>
      <c r="H150" s="542">
        <v>4.2</v>
      </c>
      <c r="I150" s="542">
        <v>4.3899999999999997</v>
      </c>
      <c r="J150" s="32">
        <v>132</v>
      </c>
      <c r="K150" s="32" t="s">
        <v>110</v>
      </c>
      <c r="L150" s="32"/>
      <c r="M150" s="33" t="s">
        <v>68</v>
      </c>
      <c r="N150" s="33"/>
      <c r="O150" s="32">
        <v>40</v>
      </c>
      <c r="P150" s="84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0" s="548"/>
      <c r="R150" s="548"/>
      <c r="S150" s="548"/>
      <c r="T150" s="549"/>
      <c r="U150" s="34"/>
      <c r="V150" s="34"/>
      <c r="W150" s="35" t="s">
        <v>69</v>
      </c>
      <c r="X150" s="543">
        <v>0</v>
      </c>
      <c r="Y150" s="544">
        <f>IFERROR(IF(X150="",0,CEILING((X150/$H150),1)*$H150),"")</f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idden="1" x14ac:dyDescent="0.2">
      <c r="A151" s="568"/>
      <c r="B151" s="556"/>
      <c r="C151" s="556"/>
      <c r="D151" s="556"/>
      <c r="E151" s="556"/>
      <c r="F151" s="556"/>
      <c r="G151" s="556"/>
      <c r="H151" s="556"/>
      <c r="I151" s="556"/>
      <c r="J151" s="556"/>
      <c r="K151" s="556"/>
      <c r="L151" s="556"/>
      <c r="M151" s="556"/>
      <c r="N151" s="556"/>
      <c r="O151" s="569"/>
      <c r="P151" s="563" t="s">
        <v>75</v>
      </c>
      <c r="Q151" s="564"/>
      <c r="R151" s="564"/>
      <c r="S151" s="564"/>
      <c r="T151" s="564"/>
      <c r="U151" s="564"/>
      <c r="V151" s="565"/>
      <c r="W151" s="37" t="s">
        <v>76</v>
      </c>
      <c r="X151" s="545">
        <f>IFERROR(X146/H146,"0")+IFERROR(X147/H147,"0")+IFERROR(X148/H148,"0")+IFERROR(X149/H149,"0")+IFERROR(X150/H150,"0")</f>
        <v>0</v>
      </c>
      <c r="Y151" s="545">
        <f>IFERROR(Y146/H146,"0")+IFERROR(Y147/H147,"0")+IFERROR(Y148/H148,"0")+IFERROR(Y149/H149,"0")+IFERROR(Y150/H150,"0")</f>
        <v>0</v>
      </c>
      <c r="Z151" s="545">
        <f>IFERROR(IF(Z146="",0,Z146),"0")+IFERROR(IF(Z147="",0,Z147),"0")+IFERROR(IF(Z148="",0,Z148),"0")+IFERROR(IF(Z149="",0,Z149),"0")+IFERROR(IF(Z150="",0,Z150),"0")</f>
        <v>0</v>
      </c>
      <c r="AA151" s="546"/>
      <c r="AB151" s="546"/>
      <c r="AC151" s="546"/>
    </row>
    <row r="152" spans="1:68" hidden="1" x14ac:dyDescent="0.2">
      <c r="A152" s="556"/>
      <c r="B152" s="556"/>
      <c r="C152" s="556"/>
      <c r="D152" s="556"/>
      <c r="E152" s="556"/>
      <c r="F152" s="556"/>
      <c r="G152" s="556"/>
      <c r="H152" s="556"/>
      <c r="I152" s="556"/>
      <c r="J152" s="556"/>
      <c r="K152" s="556"/>
      <c r="L152" s="556"/>
      <c r="M152" s="556"/>
      <c r="N152" s="556"/>
      <c r="O152" s="569"/>
      <c r="P152" s="563" t="s">
        <v>75</v>
      </c>
      <c r="Q152" s="564"/>
      <c r="R152" s="564"/>
      <c r="S152" s="564"/>
      <c r="T152" s="564"/>
      <c r="U152" s="564"/>
      <c r="V152" s="565"/>
      <c r="W152" s="37" t="s">
        <v>69</v>
      </c>
      <c r="X152" s="545">
        <f>IFERROR(SUM(X146:X150),"0")</f>
        <v>0</v>
      </c>
      <c r="Y152" s="545">
        <f>IFERROR(SUM(Y146:Y150),"0")</f>
        <v>0</v>
      </c>
      <c r="Z152" s="37"/>
      <c r="AA152" s="546"/>
      <c r="AB152" s="546"/>
      <c r="AC152" s="546"/>
    </row>
    <row r="153" spans="1:68" ht="14.25" hidden="1" customHeight="1" x14ac:dyDescent="0.25">
      <c r="A153" s="567" t="s">
        <v>77</v>
      </c>
      <c r="B153" s="556"/>
      <c r="C153" s="556"/>
      <c r="D153" s="556"/>
      <c r="E153" s="556"/>
      <c r="F153" s="556"/>
      <c r="G153" s="556"/>
      <c r="H153" s="556"/>
      <c r="I153" s="556"/>
      <c r="J153" s="556"/>
      <c r="K153" s="556"/>
      <c r="L153" s="556"/>
      <c r="M153" s="556"/>
      <c r="N153" s="556"/>
      <c r="O153" s="556"/>
      <c r="P153" s="556"/>
      <c r="Q153" s="556"/>
      <c r="R153" s="556"/>
      <c r="S153" s="556"/>
      <c r="T153" s="556"/>
      <c r="U153" s="556"/>
      <c r="V153" s="556"/>
      <c r="W153" s="556"/>
      <c r="X153" s="556"/>
      <c r="Y153" s="556"/>
      <c r="Z153" s="556"/>
      <c r="AA153" s="539"/>
      <c r="AB153" s="539"/>
      <c r="AC153" s="539"/>
    </row>
    <row r="154" spans="1:68" ht="27" hidden="1" customHeight="1" x14ac:dyDescent="0.25">
      <c r="A154" s="54" t="s">
        <v>257</v>
      </c>
      <c r="B154" s="54" t="s">
        <v>258</v>
      </c>
      <c r="C154" s="31">
        <v>4301052064</v>
      </c>
      <c r="D154" s="553">
        <v>4680115887459</v>
      </c>
      <c r="E154" s="554"/>
      <c r="F154" s="542">
        <v>0.3</v>
      </c>
      <c r="G154" s="32">
        <v>6</v>
      </c>
      <c r="H154" s="542">
        <v>1.8</v>
      </c>
      <c r="I154" s="542">
        <v>2.0579999999999998</v>
      </c>
      <c r="J154" s="32">
        <v>182</v>
      </c>
      <c r="K154" s="32" t="s">
        <v>67</v>
      </c>
      <c r="L154" s="32"/>
      <c r="M154" s="33" t="s">
        <v>81</v>
      </c>
      <c r="N154" s="33"/>
      <c r="O154" s="32">
        <v>45</v>
      </c>
      <c r="P154" s="70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4" s="548"/>
      <c r="R154" s="548"/>
      <c r="S154" s="548"/>
      <c r="T154" s="549"/>
      <c r="U154" s="34"/>
      <c r="V154" s="34"/>
      <c r="W154" s="35" t="s">
        <v>69</v>
      </c>
      <c r="X154" s="543">
        <v>0</v>
      </c>
      <c r="Y154" s="544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193" t="s">
        <v>259</v>
      </c>
      <c r="AG154" s="64"/>
      <c r="AJ154" s="68"/>
      <c r="AK154" s="68">
        <v>0</v>
      </c>
      <c r="BB154" s="194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568"/>
      <c r="B155" s="556"/>
      <c r="C155" s="556"/>
      <c r="D155" s="556"/>
      <c r="E155" s="556"/>
      <c r="F155" s="556"/>
      <c r="G155" s="556"/>
      <c r="H155" s="556"/>
      <c r="I155" s="556"/>
      <c r="J155" s="556"/>
      <c r="K155" s="556"/>
      <c r="L155" s="556"/>
      <c r="M155" s="556"/>
      <c r="N155" s="556"/>
      <c r="O155" s="569"/>
      <c r="P155" s="563" t="s">
        <v>75</v>
      </c>
      <c r="Q155" s="564"/>
      <c r="R155" s="564"/>
      <c r="S155" s="564"/>
      <c r="T155" s="564"/>
      <c r="U155" s="564"/>
      <c r="V155" s="565"/>
      <c r="W155" s="37" t="s">
        <v>76</v>
      </c>
      <c r="X155" s="545">
        <f>IFERROR(X154/H154,"0")</f>
        <v>0</v>
      </c>
      <c r="Y155" s="545">
        <f>IFERROR(Y154/H154,"0")</f>
        <v>0</v>
      </c>
      <c r="Z155" s="545">
        <f>IFERROR(IF(Z154="",0,Z154),"0")</f>
        <v>0</v>
      </c>
      <c r="AA155" s="546"/>
      <c r="AB155" s="546"/>
      <c r="AC155" s="546"/>
    </row>
    <row r="156" spans="1:68" hidden="1" x14ac:dyDescent="0.2">
      <c r="A156" s="556"/>
      <c r="B156" s="556"/>
      <c r="C156" s="556"/>
      <c r="D156" s="556"/>
      <c r="E156" s="556"/>
      <c r="F156" s="556"/>
      <c r="G156" s="556"/>
      <c r="H156" s="556"/>
      <c r="I156" s="556"/>
      <c r="J156" s="556"/>
      <c r="K156" s="556"/>
      <c r="L156" s="556"/>
      <c r="M156" s="556"/>
      <c r="N156" s="556"/>
      <c r="O156" s="569"/>
      <c r="P156" s="563" t="s">
        <v>75</v>
      </c>
      <c r="Q156" s="564"/>
      <c r="R156" s="564"/>
      <c r="S156" s="564"/>
      <c r="T156" s="564"/>
      <c r="U156" s="564"/>
      <c r="V156" s="565"/>
      <c r="W156" s="37" t="s">
        <v>69</v>
      </c>
      <c r="X156" s="545">
        <f>IFERROR(SUM(X154:X154),"0")</f>
        <v>0</v>
      </c>
      <c r="Y156" s="545">
        <f>IFERROR(SUM(Y154:Y154),"0")</f>
        <v>0</v>
      </c>
      <c r="Z156" s="37"/>
      <c r="AA156" s="546"/>
      <c r="AB156" s="546"/>
      <c r="AC156" s="546"/>
    </row>
    <row r="157" spans="1:68" ht="27.75" hidden="1" customHeight="1" x14ac:dyDescent="0.2">
      <c r="A157" s="697" t="s">
        <v>260</v>
      </c>
      <c r="B157" s="698"/>
      <c r="C157" s="698"/>
      <c r="D157" s="698"/>
      <c r="E157" s="698"/>
      <c r="F157" s="698"/>
      <c r="G157" s="698"/>
      <c r="H157" s="698"/>
      <c r="I157" s="698"/>
      <c r="J157" s="698"/>
      <c r="K157" s="698"/>
      <c r="L157" s="698"/>
      <c r="M157" s="698"/>
      <c r="N157" s="698"/>
      <c r="O157" s="698"/>
      <c r="P157" s="698"/>
      <c r="Q157" s="698"/>
      <c r="R157" s="698"/>
      <c r="S157" s="698"/>
      <c r="T157" s="698"/>
      <c r="U157" s="698"/>
      <c r="V157" s="698"/>
      <c r="W157" s="698"/>
      <c r="X157" s="698"/>
      <c r="Y157" s="698"/>
      <c r="Z157" s="698"/>
      <c r="AA157" s="48"/>
      <c r="AB157" s="48"/>
      <c r="AC157" s="48"/>
    </row>
    <row r="158" spans="1:68" ht="16.5" hidden="1" customHeight="1" x14ac:dyDescent="0.25">
      <c r="A158" s="599" t="s">
        <v>261</v>
      </c>
      <c r="B158" s="556"/>
      <c r="C158" s="556"/>
      <c r="D158" s="556"/>
      <c r="E158" s="556"/>
      <c r="F158" s="556"/>
      <c r="G158" s="556"/>
      <c r="H158" s="556"/>
      <c r="I158" s="556"/>
      <c r="J158" s="556"/>
      <c r="K158" s="556"/>
      <c r="L158" s="556"/>
      <c r="M158" s="556"/>
      <c r="N158" s="556"/>
      <c r="O158" s="556"/>
      <c r="P158" s="556"/>
      <c r="Q158" s="556"/>
      <c r="R158" s="556"/>
      <c r="S158" s="556"/>
      <c r="T158" s="556"/>
      <c r="U158" s="556"/>
      <c r="V158" s="556"/>
      <c r="W158" s="556"/>
      <c r="X158" s="556"/>
      <c r="Y158" s="556"/>
      <c r="Z158" s="556"/>
      <c r="AA158" s="538"/>
      <c r="AB158" s="538"/>
      <c r="AC158" s="538"/>
    </row>
    <row r="159" spans="1:68" ht="14.25" hidden="1" customHeight="1" x14ac:dyDescent="0.25">
      <c r="A159" s="567" t="s">
        <v>136</v>
      </c>
      <c r="B159" s="556"/>
      <c r="C159" s="556"/>
      <c r="D159" s="556"/>
      <c r="E159" s="556"/>
      <c r="F159" s="556"/>
      <c r="G159" s="556"/>
      <c r="H159" s="556"/>
      <c r="I159" s="556"/>
      <c r="J159" s="556"/>
      <c r="K159" s="556"/>
      <c r="L159" s="556"/>
      <c r="M159" s="556"/>
      <c r="N159" s="556"/>
      <c r="O159" s="556"/>
      <c r="P159" s="556"/>
      <c r="Q159" s="556"/>
      <c r="R159" s="556"/>
      <c r="S159" s="556"/>
      <c r="T159" s="556"/>
      <c r="U159" s="556"/>
      <c r="V159" s="556"/>
      <c r="W159" s="556"/>
      <c r="X159" s="556"/>
      <c r="Y159" s="556"/>
      <c r="Z159" s="556"/>
      <c r="AA159" s="539"/>
      <c r="AB159" s="539"/>
      <c r="AC159" s="539"/>
    </row>
    <row r="160" spans="1:68" ht="27" hidden="1" customHeight="1" x14ac:dyDescent="0.25">
      <c r="A160" s="54" t="s">
        <v>262</v>
      </c>
      <c r="B160" s="54" t="s">
        <v>263</v>
      </c>
      <c r="C160" s="31">
        <v>4301020323</v>
      </c>
      <c r="D160" s="553">
        <v>4680115886223</v>
      </c>
      <c r="E160" s="554"/>
      <c r="F160" s="542">
        <v>0.33</v>
      </c>
      <c r="G160" s="32">
        <v>6</v>
      </c>
      <c r="H160" s="542">
        <v>1.98</v>
      </c>
      <c r="I160" s="542">
        <v>2.08</v>
      </c>
      <c r="J160" s="32">
        <v>234</v>
      </c>
      <c r="K160" s="32" t="s">
        <v>73</v>
      </c>
      <c r="L160" s="32"/>
      <c r="M160" s="33" t="s">
        <v>68</v>
      </c>
      <c r="N160" s="33"/>
      <c r="O160" s="32">
        <v>40</v>
      </c>
      <c r="P160" s="85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0" s="548"/>
      <c r="R160" s="548"/>
      <c r="S160" s="548"/>
      <c r="T160" s="549"/>
      <c r="U160" s="34"/>
      <c r="V160" s="34"/>
      <c r="W160" s="35" t="s">
        <v>69</v>
      </c>
      <c r="X160" s="543">
        <v>0</v>
      </c>
      <c r="Y160" s="54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195" t="s">
        <v>264</v>
      </c>
      <c r="AG160" s="64"/>
      <c r="AJ160" s="68"/>
      <c r="AK160" s="68">
        <v>0</v>
      </c>
      <c r="BB160" s="196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idden="1" x14ac:dyDescent="0.2">
      <c r="A161" s="568"/>
      <c r="B161" s="556"/>
      <c r="C161" s="556"/>
      <c r="D161" s="556"/>
      <c r="E161" s="556"/>
      <c r="F161" s="556"/>
      <c r="G161" s="556"/>
      <c r="H161" s="556"/>
      <c r="I161" s="556"/>
      <c r="J161" s="556"/>
      <c r="K161" s="556"/>
      <c r="L161" s="556"/>
      <c r="M161" s="556"/>
      <c r="N161" s="556"/>
      <c r="O161" s="569"/>
      <c r="P161" s="563" t="s">
        <v>75</v>
      </c>
      <c r="Q161" s="564"/>
      <c r="R161" s="564"/>
      <c r="S161" s="564"/>
      <c r="T161" s="564"/>
      <c r="U161" s="564"/>
      <c r="V161" s="565"/>
      <c r="W161" s="37" t="s">
        <v>76</v>
      </c>
      <c r="X161" s="545">
        <f>IFERROR(X160/H160,"0")</f>
        <v>0</v>
      </c>
      <c r="Y161" s="545">
        <f>IFERROR(Y160/H160,"0")</f>
        <v>0</v>
      </c>
      <c r="Z161" s="545">
        <f>IFERROR(IF(Z160="",0,Z160),"0")</f>
        <v>0</v>
      </c>
      <c r="AA161" s="546"/>
      <c r="AB161" s="546"/>
      <c r="AC161" s="546"/>
    </row>
    <row r="162" spans="1:68" hidden="1" x14ac:dyDescent="0.2">
      <c r="A162" s="556"/>
      <c r="B162" s="556"/>
      <c r="C162" s="556"/>
      <c r="D162" s="556"/>
      <c r="E162" s="556"/>
      <c r="F162" s="556"/>
      <c r="G162" s="556"/>
      <c r="H162" s="556"/>
      <c r="I162" s="556"/>
      <c r="J162" s="556"/>
      <c r="K162" s="556"/>
      <c r="L162" s="556"/>
      <c r="M162" s="556"/>
      <c r="N162" s="556"/>
      <c r="O162" s="569"/>
      <c r="P162" s="563" t="s">
        <v>75</v>
      </c>
      <c r="Q162" s="564"/>
      <c r="R162" s="564"/>
      <c r="S162" s="564"/>
      <c r="T162" s="564"/>
      <c r="U162" s="564"/>
      <c r="V162" s="565"/>
      <c r="W162" s="37" t="s">
        <v>69</v>
      </c>
      <c r="X162" s="545">
        <f>IFERROR(SUM(X160:X160),"0")</f>
        <v>0</v>
      </c>
      <c r="Y162" s="545">
        <f>IFERROR(SUM(Y160:Y160),"0")</f>
        <v>0</v>
      </c>
      <c r="Z162" s="37"/>
      <c r="AA162" s="546"/>
      <c r="AB162" s="546"/>
      <c r="AC162" s="546"/>
    </row>
    <row r="163" spans="1:68" ht="14.25" hidden="1" customHeight="1" x14ac:dyDescent="0.25">
      <c r="A163" s="567" t="s">
        <v>64</v>
      </c>
      <c r="B163" s="556"/>
      <c r="C163" s="556"/>
      <c r="D163" s="556"/>
      <c r="E163" s="556"/>
      <c r="F163" s="556"/>
      <c r="G163" s="556"/>
      <c r="H163" s="556"/>
      <c r="I163" s="556"/>
      <c r="J163" s="556"/>
      <c r="K163" s="556"/>
      <c r="L163" s="556"/>
      <c r="M163" s="556"/>
      <c r="N163" s="556"/>
      <c r="O163" s="556"/>
      <c r="P163" s="556"/>
      <c r="Q163" s="556"/>
      <c r="R163" s="556"/>
      <c r="S163" s="556"/>
      <c r="T163" s="556"/>
      <c r="U163" s="556"/>
      <c r="V163" s="556"/>
      <c r="W163" s="556"/>
      <c r="X163" s="556"/>
      <c r="Y163" s="556"/>
      <c r="Z163" s="556"/>
      <c r="AA163" s="539"/>
      <c r="AB163" s="539"/>
      <c r="AC163" s="539"/>
    </row>
    <row r="164" spans="1:68" ht="27" hidden="1" customHeight="1" x14ac:dyDescent="0.25">
      <c r="A164" s="54" t="s">
        <v>265</v>
      </c>
      <c r="B164" s="54" t="s">
        <v>266</v>
      </c>
      <c r="C164" s="31">
        <v>4301031191</v>
      </c>
      <c r="D164" s="553">
        <v>4680115880993</v>
      </c>
      <c r="E164" s="554"/>
      <c r="F164" s="542">
        <v>0.7</v>
      </c>
      <c r="G164" s="32">
        <v>6</v>
      </c>
      <c r="H164" s="542">
        <v>4.2</v>
      </c>
      <c r="I164" s="542">
        <v>4.45</v>
      </c>
      <c r="J164" s="32">
        <v>132</v>
      </c>
      <c r="K164" s="32" t="s">
        <v>110</v>
      </c>
      <c r="L164" s="32" t="s">
        <v>111</v>
      </c>
      <c r="M164" s="33" t="s">
        <v>68</v>
      </c>
      <c r="N164" s="33"/>
      <c r="O164" s="32">
        <v>40</v>
      </c>
      <c r="P164" s="68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4" s="548"/>
      <c r="R164" s="548"/>
      <c r="S164" s="548"/>
      <c r="T164" s="549"/>
      <c r="U164" s="34"/>
      <c r="V164" s="34"/>
      <c r="W164" s="35" t="s">
        <v>69</v>
      </c>
      <c r="X164" s="543">
        <v>0</v>
      </c>
      <c r="Y164" s="544">
        <f t="shared" ref="Y164:Y177" si="5"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 t="s">
        <v>83</v>
      </c>
      <c r="AK164" s="68">
        <v>50.4</v>
      </c>
      <c r="BB164" s="198" t="s">
        <v>1</v>
      </c>
      <c r="BM164" s="64">
        <f t="shared" ref="BM164:BM177" si="6">IFERROR(X164*I164/H164,"0")</f>
        <v>0</v>
      </c>
      <c r="BN164" s="64">
        <f t="shared" ref="BN164:BN177" si="7">IFERROR(Y164*I164/H164,"0")</f>
        <v>0</v>
      </c>
      <c r="BO164" s="64">
        <f t="shared" ref="BO164:BO177" si="8">IFERROR(1/J164*(X164/H164),"0")</f>
        <v>0</v>
      </c>
      <c r="BP164" s="64">
        <f t="shared" ref="BP164:BP177" si="9">IFERROR(1/J164*(Y164/H164),"0")</f>
        <v>0</v>
      </c>
    </row>
    <row r="165" spans="1:68" ht="27" hidden="1" customHeight="1" x14ac:dyDescent="0.25">
      <c r="A165" s="54" t="s">
        <v>268</v>
      </c>
      <c r="B165" s="54" t="s">
        <v>269</v>
      </c>
      <c r="C165" s="31">
        <v>4301031204</v>
      </c>
      <c r="D165" s="553">
        <v>4680115881761</v>
      </c>
      <c r="E165" s="554"/>
      <c r="F165" s="542">
        <v>0.7</v>
      </c>
      <c r="G165" s="32">
        <v>6</v>
      </c>
      <c r="H165" s="542">
        <v>4.2</v>
      </c>
      <c r="I165" s="542">
        <v>4.45</v>
      </c>
      <c r="J165" s="32">
        <v>132</v>
      </c>
      <c r="K165" s="32" t="s">
        <v>110</v>
      </c>
      <c r="L165" s="32"/>
      <c r="M165" s="33" t="s">
        <v>68</v>
      </c>
      <c r="N165" s="33"/>
      <c r="O165" s="32">
        <v>40</v>
      </c>
      <c r="P165" s="84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5" s="548"/>
      <c r="R165" s="548"/>
      <c r="S165" s="548"/>
      <c r="T165" s="549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4301031201</v>
      </c>
      <c r="D166" s="553">
        <v>4680115881563</v>
      </c>
      <c r="E166" s="554"/>
      <c r="F166" s="542">
        <v>0.7</v>
      </c>
      <c r="G166" s="32">
        <v>6</v>
      </c>
      <c r="H166" s="542">
        <v>4.2</v>
      </c>
      <c r="I166" s="542">
        <v>4.3899999999999997</v>
      </c>
      <c r="J166" s="32">
        <v>132</v>
      </c>
      <c r="K166" s="32" t="s">
        <v>110</v>
      </c>
      <c r="L166" s="32" t="s">
        <v>111</v>
      </c>
      <c r="M166" s="33" t="s">
        <v>68</v>
      </c>
      <c r="N166" s="33"/>
      <c r="O166" s="32">
        <v>40</v>
      </c>
      <c r="P166" s="81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6" s="548"/>
      <c r="R166" s="548"/>
      <c r="S166" s="548"/>
      <c r="T166" s="549"/>
      <c r="U166" s="34"/>
      <c r="V166" s="34"/>
      <c r="W166" s="35" t="s">
        <v>69</v>
      </c>
      <c r="X166" s="543">
        <v>10</v>
      </c>
      <c r="Y166" s="544">
        <f t="shared" si="5"/>
        <v>12.600000000000001</v>
      </c>
      <c r="Z166" s="36">
        <f>IFERROR(IF(Y166=0,"",ROUNDUP(Y166/H166,0)*0.00902),"")</f>
        <v>2.7060000000000001E-2</v>
      </c>
      <c r="AA166" s="56"/>
      <c r="AB166" s="57"/>
      <c r="AC166" s="201" t="s">
        <v>273</v>
      </c>
      <c r="AG166" s="64"/>
      <c r="AJ166" s="68" t="s">
        <v>83</v>
      </c>
      <c r="AK166" s="68">
        <v>50.4</v>
      </c>
      <c r="BB166" s="202" t="s">
        <v>1</v>
      </c>
      <c r="BM166" s="64">
        <f t="shared" si="6"/>
        <v>10.452380952380951</v>
      </c>
      <c r="BN166" s="64">
        <f t="shared" si="7"/>
        <v>13.17</v>
      </c>
      <c r="BO166" s="64">
        <f t="shared" si="8"/>
        <v>1.8037518037518036E-2</v>
      </c>
      <c r="BP166" s="64">
        <f t="shared" si="9"/>
        <v>2.2727272727272728E-2</v>
      </c>
    </row>
    <row r="167" spans="1:68" ht="37.5" hidden="1" customHeight="1" x14ac:dyDescent="0.25">
      <c r="A167" s="54" t="s">
        <v>274</v>
      </c>
      <c r="B167" s="54" t="s">
        <v>275</v>
      </c>
      <c r="C167" s="31">
        <v>4301031447</v>
      </c>
      <c r="D167" s="553">
        <v>4680115887565</v>
      </c>
      <c r="E167" s="554"/>
      <c r="F167" s="542">
        <v>0.08</v>
      </c>
      <c r="G167" s="32">
        <v>10</v>
      </c>
      <c r="H167" s="542">
        <v>0.8</v>
      </c>
      <c r="I167" s="542">
        <v>0.93</v>
      </c>
      <c r="J167" s="32">
        <v>216</v>
      </c>
      <c r="K167" s="32" t="s">
        <v>73</v>
      </c>
      <c r="L167" s="32"/>
      <c r="M167" s="33" t="s">
        <v>68</v>
      </c>
      <c r="N167" s="33"/>
      <c r="O167" s="32">
        <v>45</v>
      </c>
      <c r="P167" s="77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7" s="548"/>
      <c r="R167" s="548"/>
      <c r="S167" s="548"/>
      <c r="T167" s="549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IFERROR(IF(Y167=0,"",ROUNDUP(Y167/H167,0)*0.00556),"")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277</v>
      </c>
      <c r="B168" s="54" t="s">
        <v>278</v>
      </c>
      <c r="C168" s="31">
        <v>4301031199</v>
      </c>
      <c r="D168" s="553">
        <v>4680115880986</v>
      </c>
      <c r="E168" s="554"/>
      <c r="F168" s="542">
        <v>0.35</v>
      </c>
      <c r="G168" s="32">
        <v>6</v>
      </c>
      <c r="H168" s="542">
        <v>2.1</v>
      </c>
      <c r="I168" s="542">
        <v>2.23</v>
      </c>
      <c r="J168" s="32">
        <v>234</v>
      </c>
      <c r="K168" s="32" t="s">
        <v>73</v>
      </c>
      <c r="L168" s="32"/>
      <c r="M168" s="33" t="s">
        <v>68</v>
      </c>
      <c r="N168" s="33"/>
      <c r="O168" s="32">
        <v>40</v>
      </c>
      <c r="P168" s="8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8" s="548"/>
      <c r="R168" s="548"/>
      <c r="S168" s="548"/>
      <c r="T168" s="549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267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4301031443</v>
      </c>
      <c r="D169" s="553">
        <v>4680115887213</v>
      </c>
      <c r="E169" s="554"/>
      <c r="F169" s="542">
        <v>0.3</v>
      </c>
      <c r="G169" s="32">
        <v>6</v>
      </c>
      <c r="H169" s="542">
        <v>1.8</v>
      </c>
      <c r="I169" s="542">
        <v>1.9</v>
      </c>
      <c r="J169" s="32">
        <v>234</v>
      </c>
      <c r="K169" s="32" t="s">
        <v>73</v>
      </c>
      <c r="L169" s="32"/>
      <c r="M169" s="33" t="s">
        <v>68</v>
      </c>
      <c r="N169" s="33"/>
      <c r="O169" s="32">
        <v>45</v>
      </c>
      <c r="P169" s="77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9" s="548"/>
      <c r="R169" s="548"/>
      <c r="S169" s="548"/>
      <c r="T169" s="549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281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282</v>
      </c>
      <c r="B170" s="54" t="s">
        <v>283</v>
      </c>
      <c r="C170" s="31">
        <v>4301031205</v>
      </c>
      <c r="D170" s="553">
        <v>4680115881785</v>
      </c>
      <c r="E170" s="554"/>
      <c r="F170" s="542">
        <v>0.35</v>
      </c>
      <c r="G170" s="32">
        <v>6</v>
      </c>
      <c r="H170" s="542">
        <v>2.1</v>
      </c>
      <c r="I170" s="542">
        <v>2.23</v>
      </c>
      <c r="J170" s="32">
        <v>234</v>
      </c>
      <c r="K170" s="32" t="s">
        <v>73</v>
      </c>
      <c r="L170" s="32" t="s">
        <v>284</v>
      </c>
      <c r="M170" s="33" t="s">
        <v>68</v>
      </c>
      <c r="N170" s="33"/>
      <c r="O170" s="32">
        <v>40</v>
      </c>
      <c r="P170" s="83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0" s="548"/>
      <c r="R170" s="548"/>
      <c r="S170" s="548"/>
      <c r="T170" s="549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270</v>
      </c>
      <c r="AG170" s="64"/>
      <c r="AJ170" s="68" t="s">
        <v>83</v>
      </c>
      <c r="AK170" s="68">
        <v>37.799999999999997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285</v>
      </c>
      <c r="B171" s="54" t="s">
        <v>286</v>
      </c>
      <c r="C171" s="31">
        <v>4301031463</v>
      </c>
      <c r="D171" s="553">
        <v>4680115887824</v>
      </c>
      <c r="E171" s="554"/>
      <c r="F171" s="542">
        <v>0.15</v>
      </c>
      <c r="G171" s="32">
        <v>16</v>
      </c>
      <c r="H171" s="542">
        <v>2.4</v>
      </c>
      <c r="I171" s="542">
        <v>2.58</v>
      </c>
      <c r="J171" s="32">
        <v>182</v>
      </c>
      <c r="K171" s="32" t="s">
        <v>67</v>
      </c>
      <c r="L171" s="32"/>
      <c r="M171" s="33" t="s">
        <v>287</v>
      </c>
      <c r="N171" s="33"/>
      <c r="O171" s="32">
        <v>45</v>
      </c>
      <c r="P171" s="814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1" s="548"/>
      <c r="R171" s="548"/>
      <c r="S171" s="548"/>
      <c r="T171" s="549"/>
      <c r="U171" s="34"/>
      <c r="V171" s="34"/>
      <c r="W171" s="35" t="s">
        <v>69</v>
      </c>
      <c r="X171" s="543">
        <v>0</v>
      </c>
      <c r="Y171" s="544">
        <f t="shared" si="5"/>
        <v>0</v>
      </c>
      <c r="Z171" s="36" t="str">
        <f>IFERROR(IF(Y171=0,"",ROUNDUP(Y171/H171,0)*0.00651),"")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4301031464</v>
      </c>
      <c r="D172" s="553">
        <v>4680115887701</v>
      </c>
      <c r="E172" s="554"/>
      <c r="F172" s="542">
        <v>0.3</v>
      </c>
      <c r="G172" s="32">
        <v>8</v>
      </c>
      <c r="H172" s="542">
        <v>2.4</v>
      </c>
      <c r="I172" s="542">
        <v>2.58</v>
      </c>
      <c r="J172" s="32">
        <v>182</v>
      </c>
      <c r="K172" s="32" t="s">
        <v>67</v>
      </c>
      <c r="L172" s="32"/>
      <c r="M172" s="33" t="s">
        <v>287</v>
      </c>
      <c r="N172" s="33"/>
      <c r="O172" s="32">
        <v>60</v>
      </c>
      <c r="P172" s="864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2" s="548"/>
      <c r="R172" s="548"/>
      <c r="S172" s="548"/>
      <c r="T172" s="549"/>
      <c r="U172" s="34"/>
      <c r="V172" s="34"/>
      <c r="W172" s="35" t="s">
        <v>69</v>
      </c>
      <c r="X172" s="543">
        <v>0</v>
      </c>
      <c r="Y172" s="544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288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291</v>
      </c>
      <c r="B173" s="54" t="s">
        <v>292</v>
      </c>
      <c r="C173" s="31">
        <v>4301031399</v>
      </c>
      <c r="D173" s="553">
        <v>4680115886537</v>
      </c>
      <c r="E173" s="554"/>
      <c r="F173" s="542">
        <v>0.3</v>
      </c>
      <c r="G173" s="32">
        <v>6</v>
      </c>
      <c r="H173" s="542">
        <v>1.8</v>
      </c>
      <c r="I173" s="542">
        <v>1.93</v>
      </c>
      <c r="J173" s="32">
        <v>234</v>
      </c>
      <c r="K173" s="32" t="s">
        <v>73</v>
      </c>
      <c r="L173" s="32"/>
      <c r="M173" s="33" t="s">
        <v>68</v>
      </c>
      <c r="N173" s="33"/>
      <c r="O173" s="32">
        <v>40</v>
      </c>
      <c r="P173" s="82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3" s="548"/>
      <c r="R173" s="548"/>
      <c r="S173" s="548"/>
      <c r="T173" s="549"/>
      <c r="U173" s="34"/>
      <c r="V173" s="34"/>
      <c r="W173" s="35" t="s">
        <v>69</v>
      </c>
      <c r="X173" s="543">
        <v>0</v>
      </c>
      <c r="Y173" s="544">
        <f t="shared" si="5"/>
        <v>0</v>
      </c>
      <c r="Z173" s="36" t="str">
        <f>IFERROR(IF(Y173=0,"",ROUNDUP(Y173/H173,0)*0.00502),"")</f>
        <v/>
      </c>
      <c r="AA173" s="56"/>
      <c r="AB173" s="57"/>
      <c r="AC173" s="215" t="s">
        <v>293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hidden="1" customHeight="1" x14ac:dyDescent="0.25">
      <c r="A174" s="54" t="s">
        <v>294</v>
      </c>
      <c r="B174" s="54" t="s">
        <v>295</v>
      </c>
      <c r="C174" s="31">
        <v>4301031279</v>
      </c>
      <c r="D174" s="553">
        <v>4680115887596</v>
      </c>
      <c r="E174" s="554"/>
      <c r="F174" s="542">
        <v>0.08</v>
      </c>
      <c r="G174" s="32">
        <v>10</v>
      </c>
      <c r="H174" s="542">
        <v>0.8</v>
      </c>
      <c r="I174" s="542">
        <v>1.01</v>
      </c>
      <c r="J174" s="32">
        <v>336</v>
      </c>
      <c r="K174" s="32" t="s">
        <v>171</v>
      </c>
      <c r="L174" s="32"/>
      <c r="M174" s="33" t="s">
        <v>68</v>
      </c>
      <c r="N174" s="33"/>
      <c r="O174" s="32">
        <v>45</v>
      </c>
      <c r="P174" s="64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4" s="548"/>
      <c r="R174" s="548"/>
      <c r="S174" s="548"/>
      <c r="T174" s="549"/>
      <c r="U174" s="34"/>
      <c r="V174" s="34"/>
      <c r="W174" s="35" t="s">
        <v>69</v>
      </c>
      <c r="X174" s="543">
        <v>0</v>
      </c>
      <c r="Y174" s="544">
        <f t="shared" si="5"/>
        <v>0</v>
      </c>
      <c r="Z174" s="36" t="str">
        <f>IFERROR(IF(Y174=0,"",ROUNDUP(Y174/H174,0)*0.00417),"")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37.5" hidden="1" customHeight="1" x14ac:dyDescent="0.25">
      <c r="A175" s="54" t="s">
        <v>297</v>
      </c>
      <c r="B175" s="54" t="s">
        <v>298</v>
      </c>
      <c r="C175" s="31">
        <v>4301031202</v>
      </c>
      <c r="D175" s="553">
        <v>4680115881679</v>
      </c>
      <c r="E175" s="554"/>
      <c r="F175" s="542">
        <v>0.35</v>
      </c>
      <c r="G175" s="32">
        <v>6</v>
      </c>
      <c r="H175" s="542">
        <v>2.1</v>
      </c>
      <c r="I175" s="542">
        <v>2.2000000000000002</v>
      </c>
      <c r="J175" s="32">
        <v>234</v>
      </c>
      <c r="K175" s="32" t="s">
        <v>73</v>
      </c>
      <c r="L175" s="32" t="s">
        <v>284</v>
      </c>
      <c r="M175" s="33" t="s">
        <v>68</v>
      </c>
      <c r="N175" s="33"/>
      <c r="O175" s="32">
        <v>40</v>
      </c>
      <c r="P175" s="67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5" s="548"/>
      <c r="R175" s="548"/>
      <c r="S175" s="548"/>
      <c r="T175" s="549"/>
      <c r="U175" s="34"/>
      <c r="V175" s="34"/>
      <c r="W175" s="35" t="s">
        <v>69</v>
      </c>
      <c r="X175" s="543">
        <v>0</v>
      </c>
      <c r="Y175" s="544">
        <f t="shared" si="5"/>
        <v>0</v>
      </c>
      <c r="Z175" s="36" t="str">
        <f>IFERROR(IF(Y175=0,"",ROUNDUP(Y175/H175,0)*0.00502),"")</f>
        <v/>
      </c>
      <c r="AA175" s="56"/>
      <c r="AB175" s="57"/>
      <c r="AC175" s="219" t="s">
        <v>273</v>
      </c>
      <c r="AG175" s="64"/>
      <c r="AJ175" s="68" t="s">
        <v>83</v>
      </c>
      <c r="AK175" s="68">
        <v>37.799999999999997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hidden="1" customHeight="1" x14ac:dyDescent="0.25">
      <c r="A176" s="54" t="s">
        <v>299</v>
      </c>
      <c r="B176" s="54" t="s">
        <v>300</v>
      </c>
      <c r="C176" s="31">
        <v>4301031158</v>
      </c>
      <c r="D176" s="553">
        <v>4680115880191</v>
      </c>
      <c r="E176" s="554"/>
      <c r="F176" s="542">
        <v>0.4</v>
      </c>
      <c r="G176" s="32">
        <v>6</v>
      </c>
      <c r="H176" s="542">
        <v>2.4</v>
      </c>
      <c r="I176" s="542">
        <v>2.58</v>
      </c>
      <c r="J176" s="32">
        <v>182</v>
      </c>
      <c r="K176" s="32" t="s">
        <v>67</v>
      </c>
      <c r="L176" s="32"/>
      <c r="M176" s="33" t="s">
        <v>68</v>
      </c>
      <c r="N176" s="33"/>
      <c r="O176" s="32">
        <v>40</v>
      </c>
      <c r="P176" s="65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6" s="548"/>
      <c r="R176" s="548"/>
      <c r="S176" s="548"/>
      <c r="T176" s="549"/>
      <c r="U176" s="34"/>
      <c r="V176" s="34"/>
      <c r="W176" s="35" t="s">
        <v>69</v>
      </c>
      <c r="X176" s="543">
        <v>0</v>
      </c>
      <c r="Y176" s="544">
        <f t="shared" si="5"/>
        <v>0</v>
      </c>
      <c r="Z176" s="36" t="str">
        <f>IFERROR(IF(Y176=0,"",ROUNDUP(Y176/H176,0)*0.00651),"")</f>
        <v/>
      </c>
      <c r="AA176" s="56"/>
      <c r="AB176" s="57"/>
      <c r="AC176" s="221" t="s">
        <v>273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hidden="1" customHeight="1" x14ac:dyDescent="0.25">
      <c r="A177" s="54" t="s">
        <v>301</v>
      </c>
      <c r="B177" s="54" t="s">
        <v>302</v>
      </c>
      <c r="C177" s="31">
        <v>4301031245</v>
      </c>
      <c r="D177" s="553">
        <v>4680115883963</v>
      </c>
      <c r="E177" s="554"/>
      <c r="F177" s="542">
        <v>0.28000000000000003</v>
      </c>
      <c r="G177" s="32">
        <v>6</v>
      </c>
      <c r="H177" s="542">
        <v>1.68</v>
      </c>
      <c r="I177" s="542">
        <v>1.78</v>
      </c>
      <c r="J177" s="32">
        <v>234</v>
      </c>
      <c r="K177" s="32" t="s">
        <v>73</v>
      </c>
      <c r="L177" s="32"/>
      <c r="M177" s="33" t="s">
        <v>68</v>
      </c>
      <c r="N177" s="33"/>
      <c r="O177" s="32">
        <v>40</v>
      </c>
      <c r="P177" s="67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7" s="548"/>
      <c r="R177" s="548"/>
      <c r="S177" s="548"/>
      <c r="T177" s="549"/>
      <c r="U177" s="34"/>
      <c r="V177" s="34"/>
      <c r="W177" s="35" t="s">
        <v>69</v>
      </c>
      <c r="X177" s="543">
        <v>0</v>
      </c>
      <c r="Y177" s="544">
        <f t="shared" si="5"/>
        <v>0</v>
      </c>
      <c r="Z177" s="36" t="str">
        <f>IFERROR(IF(Y177=0,"",ROUNDUP(Y177/H177,0)*0.00502),"")</f>
        <v/>
      </c>
      <c r="AA177" s="56"/>
      <c r="AB177" s="57"/>
      <c r="AC177" s="223" t="s">
        <v>303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x14ac:dyDescent="0.2">
      <c r="A178" s="568"/>
      <c r="B178" s="556"/>
      <c r="C178" s="556"/>
      <c r="D178" s="556"/>
      <c r="E178" s="556"/>
      <c r="F178" s="556"/>
      <c r="G178" s="556"/>
      <c r="H178" s="556"/>
      <c r="I178" s="556"/>
      <c r="J178" s="556"/>
      <c r="K178" s="556"/>
      <c r="L178" s="556"/>
      <c r="M178" s="556"/>
      <c r="N178" s="556"/>
      <c r="O178" s="569"/>
      <c r="P178" s="563" t="s">
        <v>75</v>
      </c>
      <c r="Q178" s="564"/>
      <c r="R178" s="564"/>
      <c r="S178" s="564"/>
      <c r="T178" s="564"/>
      <c r="U178" s="564"/>
      <c r="V178" s="565"/>
      <c r="W178" s="37" t="s">
        <v>76</v>
      </c>
      <c r="X178" s="545">
        <f>IFERROR(X164/H164,"0")+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2.3809523809523809</v>
      </c>
      <c r="Y178" s="545">
        <f>IFERROR(Y164/H164,"0")+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3</v>
      </c>
      <c r="Z178" s="545">
        <f>IFERROR(IF(Z164="",0,Z164),"0")+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2.7060000000000001E-2</v>
      </c>
      <c r="AA178" s="546"/>
      <c r="AB178" s="546"/>
      <c r="AC178" s="546"/>
    </row>
    <row r="179" spans="1:68" x14ac:dyDescent="0.2">
      <c r="A179" s="556"/>
      <c r="B179" s="556"/>
      <c r="C179" s="556"/>
      <c r="D179" s="556"/>
      <c r="E179" s="556"/>
      <c r="F179" s="556"/>
      <c r="G179" s="556"/>
      <c r="H179" s="556"/>
      <c r="I179" s="556"/>
      <c r="J179" s="556"/>
      <c r="K179" s="556"/>
      <c r="L179" s="556"/>
      <c r="M179" s="556"/>
      <c r="N179" s="556"/>
      <c r="O179" s="569"/>
      <c r="P179" s="563" t="s">
        <v>75</v>
      </c>
      <c r="Q179" s="564"/>
      <c r="R179" s="564"/>
      <c r="S179" s="564"/>
      <c r="T179" s="564"/>
      <c r="U179" s="564"/>
      <c r="V179" s="565"/>
      <c r="W179" s="37" t="s">
        <v>69</v>
      </c>
      <c r="X179" s="545">
        <f>IFERROR(SUM(X164:X177),"0")</f>
        <v>10</v>
      </c>
      <c r="Y179" s="545">
        <f>IFERROR(SUM(Y164:Y177),"0")</f>
        <v>12.600000000000001</v>
      </c>
      <c r="Z179" s="37"/>
      <c r="AA179" s="546"/>
      <c r="AB179" s="546"/>
      <c r="AC179" s="546"/>
    </row>
    <row r="180" spans="1:68" ht="14.25" hidden="1" customHeight="1" x14ac:dyDescent="0.25">
      <c r="A180" s="567" t="s">
        <v>93</v>
      </c>
      <c r="B180" s="556"/>
      <c r="C180" s="556"/>
      <c r="D180" s="556"/>
      <c r="E180" s="556"/>
      <c r="F180" s="556"/>
      <c r="G180" s="556"/>
      <c r="H180" s="556"/>
      <c r="I180" s="556"/>
      <c r="J180" s="556"/>
      <c r="K180" s="556"/>
      <c r="L180" s="556"/>
      <c r="M180" s="556"/>
      <c r="N180" s="556"/>
      <c r="O180" s="556"/>
      <c r="P180" s="556"/>
      <c r="Q180" s="556"/>
      <c r="R180" s="556"/>
      <c r="S180" s="556"/>
      <c r="T180" s="556"/>
      <c r="U180" s="556"/>
      <c r="V180" s="556"/>
      <c r="W180" s="556"/>
      <c r="X180" s="556"/>
      <c r="Y180" s="556"/>
      <c r="Z180" s="556"/>
      <c r="AA180" s="539"/>
      <c r="AB180" s="539"/>
      <c r="AC180" s="539"/>
    </row>
    <row r="181" spans="1:68" ht="27" hidden="1" customHeight="1" x14ac:dyDescent="0.25">
      <c r="A181" s="54" t="s">
        <v>304</v>
      </c>
      <c r="B181" s="54" t="s">
        <v>305</v>
      </c>
      <c r="C181" s="31">
        <v>4301032053</v>
      </c>
      <c r="D181" s="553">
        <v>4680115886780</v>
      </c>
      <c r="E181" s="554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306</v>
      </c>
      <c r="L181" s="32"/>
      <c r="M181" s="33" t="s">
        <v>287</v>
      </c>
      <c r="N181" s="33"/>
      <c r="O181" s="32">
        <v>60</v>
      </c>
      <c r="P181" s="6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1" s="548"/>
      <c r="R181" s="548"/>
      <c r="S181" s="548"/>
      <c r="T181" s="549"/>
      <c r="U181" s="34"/>
      <c r="V181" s="34"/>
      <c r="W181" s="35" t="s">
        <v>69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307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hidden="1" customHeight="1" x14ac:dyDescent="0.25">
      <c r="A182" s="54" t="s">
        <v>308</v>
      </c>
      <c r="B182" s="54" t="s">
        <v>309</v>
      </c>
      <c r="C182" s="31">
        <v>4301032051</v>
      </c>
      <c r="D182" s="553">
        <v>4680115886742</v>
      </c>
      <c r="E182" s="554"/>
      <c r="F182" s="542">
        <v>7.0000000000000007E-2</v>
      </c>
      <c r="G182" s="32">
        <v>18</v>
      </c>
      <c r="H182" s="542">
        <v>1.26</v>
      </c>
      <c r="I182" s="542">
        <v>1.45</v>
      </c>
      <c r="J182" s="32">
        <v>216</v>
      </c>
      <c r="K182" s="32" t="s">
        <v>306</v>
      </c>
      <c r="L182" s="32"/>
      <c r="M182" s="33" t="s">
        <v>287</v>
      </c>
      <c r="N182" s="33"/>
      <c r="O182" s="32">
        <v>90</v>
      </c>
      <c r="P182" s="77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2" s="548"/>
      <c r="R182" s="548"/>
      <c r="S182" s="548"/>
      <c r="T182" s="549"/>
      <c r="U182" s="34"/>
      <c r="V182" s="34"/>
      <c r="W182" s="35" t="s">
        <v>69</v>
      </c>
      <c r="X182" s="543">
        <v>0</v>
      </c>
      <c r="Y182" s="544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311</v>
      </c>
      <c r="B183" s="54" t="s">
        <v>312</v>
      </c>
      <c r="C183" s="31">
        <v>4301032052</v>
      </c>
      <c r="D183" s="553">
        <v>4680115886766</v>
      </c>
      <c r="E183" s="554"/>
      <c r="F183" s="542">
        <v>7.0000000000000007E-2</v>
      </c>
      <c r="G183" s="32">
        <v>18</v>
      </c>
      <c r="H183" s="542">
        <v>1.26</v>
      </c>
      <c r="I183" s="542">
        <v>1.45</v>
      </c>
      <c r="J183" s="32">
        <v>216</v>
      </c>
      <c r="K183" s="32" t="s">
        <v>306</v>
      </c>
      <c r="L183" s="32"/>
      <c r="M183" s="33" t="s">
        <v>287</v>
      </c>
      <c r="N183" s="33"/>
      <c r="O183" s="32">
        <v>90</v>
      </c>
      <c r="P183" s="64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3" s="548"/>
      <c r="R183" s="548"/>
      <c r="S183" s="548"/>
      <c r="T183" s="549"/>
      <c r="U183" s="34"/>
      <c r="V183" s="34"/>
      <c r="W183" s="35" t="s">
        <v>69</v>
      </c>
      <c r="X183" s="543">
        <v>0</v>
      </c>
      <c r="Y183" s="544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310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idden="1" x14ac:dyDescent="0.2">
      <c r="A184" s="568"/>
      <c r="B184" s="556"/>
      <c r="C184" s="556"/>
      <c r="D184" s="556"/>
      <c r="E184" s="556"/>
      <c r="F184" s="556"/>
      <c r="G184" s="556"/>
      <c r="H184" s="556"/>
      <c r="I184" s="556"/>
      <c r="J184" s="556"/>
      <c r="K184" s="556"/>
      <c r="L184" s="556"/>
      <c r="M184" s="556"/>
      <c r="N184" s="556"/>
      <c r="O184" s="569"/>
      <c r="P184" s="563" t="s">
        <v>75</v>
      </c>
      <c r="Q184" s="564"/>
      <c r="R184" s="564"/>
      <c r="S184" s="564"/>
      <c r="T184" s="564"/>
      <c r="U184" s="564"/>
      <c r="V184" s="565"/>
      <c r="W184" s="37" t="s">
        <v>76</v>
      </c>
      <c r="X184" s="545">
        <f>IFERROR(X181/H181,"0")+IFERROR(X182/H182,"0")+IFERROR(X183/H183,"0")</f>
        <v>0</v>
      </c>
      <c r="Y184" s="545">
        <f>IFERROR(Y181/H181,"0")+IFERROR(Y182/H182,"0")+IFERROR(Y183/H183,"0")</f>
        <v>0</v>
      </c>
      <c r="Z184" s="545">
        <f>IFERROR(IF(Z181="",0,Z181),"0")+IFERROR(IF(Z182="",0,Z182),"0")+IFERROR(IF(Z183="",0,Z183),"0")</f>
        <v>0</v>
      </c>
      <c r="AA184" s="546"/>
      <c r="AB184" s="546"/>
      <c r="AC184" s="546"/>
    </row>
    <row r="185" spans="1:68" hidden="1" x14ac:dyDescent="0.2">
      <c r="A185" s="556"/>
      <c r="B185" s="556"/>
      <c r="C185" s="556"/>
      <c r="D185" s="556"/>
      <c r="E185" s="556"/>
      <c r="F185" s="556"/>
      <c r="G185" s="556"/>
      <c r="H185" s="556"/>
      <c r="I185" s="556"/>
      <c r="J185" s="556"/>
      <c r="K185" s="556"/>
      <c r="L185" s="556"/>
      <c r="M185" s="556"/>
      <c r="N185" s="556"/>
      <c r="O185" s="569"/>
      <c r="P185" s="563" t="s">
        <v>75</v>
      </c>
      <c r="Q185" s="564"/>
      <c r="R185" s="564"/>
      <c r="S185" s="564"/>
      <c r="T185" s="564"/>
      <c r="U185" s="564"/>
      <c r="V185" s="565"/>
      <c r="W185" s="37" t="s">
        <v>69</v>
      </c>
      <c r="X185" s="545">
        <f>IFERROR(SUM(X181:X183),"0")</f>
        <v>0</v>
      </c>
      <c r="Y185" s="545">
        <f>IFERROR(SUM(Y181:Y183),"0")</f>
        <v>0</v>
      </c>
      <c r="Z185" s="37"/>
      <c r="AA185" s="546"/>
      <c r="AB185" s="546"/>
      <c r="AC185" s="546"/>
    </row>
    <row r="186" spans="1:68" ht="14.25" hidden="1" customHeight="1" x14ac:dyDescent="0.25">
      <c r="A186" s="567" t="s">
        <v>313</v>
      </c>
      <c r="B186" s="556"/>
      <c r="C186" s="556"/>
      <c r="D186" s="556"/>
      <c r="E186" s="556"/>
      <c r="F186" s="556"/>
      <c r="G186" s="556"/>
      <c r="H186" s="556"/>
      <c r="I186" s="556"/>
      <c r="J186" s="556"/>
      <c r="K186" s="556"/>
      <c r="L186" s="556"/>
      <c r="M186" s="556"/>
      <c r="N186" s="556"/>
      <c r="O186" s="556"/>
      <c r="P186" s="556"/>
      <c r="Q186" s="556"/>
      <c r="R186" s="556"/>
      <c r="S186" s="556"/>
      <c r="T186" s="556"/>
      <c r="U186" s="556"/>
      <c r="V186" s="556"/>
      <c r="W186" s="556"/>
      <c r="X186" s="556"/>
      <c r="Y186" s="556"/>
      <c r="Z186" s="556"/>
      <c r="AA186" s="539"/>
      <c r="AB186" s="539"/>
      <c r="AC186" s="539"/>
    </row>
    <row r="187" spans="1:68" ht="27" hidden="1" customHeight="1" x14ac:dyDescent="0.25">
      <c r="A187" s="54" t="s">
        <v>314</v>
      </c>
      <c r="B187" s="54" t="s">
        <v>315</v>
      </c>
      <c r="C187" s="31">
        <v>4301170013</v>
      </c>
      <c r="D187" s="553">
        <v>4680115886797</v>
      </c>
      <c r="E187" s="554"/>
      <c r="F187" s="542">
        <v>7.0000000000000007E-2</v>
      </c>
      <c r="G187" s="32">
        <v>18</v>
      </c>
      <c r="H187" s="542">
        <v>1.26</v>
      </c>
      <c r="I187" s="542">
        <v>1.45</v>
      </c>
      <c r="J187" s="32">
        <v>216</v>
      </c>
      <c r="K187" s="32" t="s">
        <v>306</v>
      </c>
      <c r="L187" s="32"/>
      <c r="M187" s="33" t="s">
        <v>287</v>
      </c>
      <c r="N187" s="33"/>
      <c r="O187" s="32">
        <v>90</v>
      </c>
      <c r="P187" s="79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7" s="548"/>
      <c r="R187" s="548"/>
      <c r="S187" s="548"/>
      <c r="T187" s="549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/>
      <c r="AC187" s="231" t="s">
        <v>310</v>
      </c>
      <c r="AG187" s="64"/>
      <c r="AJ187" s="68"/>
      <c r="AK187" s="68">
        <v>0</v>
      </c>
      <c r="BB187" s="232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68"/>
      <c r="B188" s="556"/>
      <c r="C188" s="556"/>
      <c r="D188" s="556"/>
      <c r="E188" s="556"/>
      <c r="F188" s="556"/>
      <c r="G188" s="556"/>
      <c r="H188" s="556"/>
      <c r="I188" s="556"/>
      <c r="J188" s="556"/>
      <c r="K188" s="556"/>
      <c r="L188" s="556"/>
      <c r="M188" s="556"/>
      <c r="N188" s="556"/>
      <c r="O188" s="569"/>
      <c r="P188" s="563" t="s">
        <v>75</v>
      </c>
      <c r="Q188" s="564"/>
      <c r="R188" s="564"/>
      <c r="S188" s="564"/>
      <c r="T188" s="564"/>
      <c r="U188" s="564"/>
      <c r="V188" s="565"/>
      <c r="W188" s="37" t="s">
        <v>76</v>
      </c>
      <c r="X188" s="545">
        <f>IFERROR(X187/H187,"0")</f>
        <v>0</v>
      </c>
      <c r="Y188" s="545">
        <f>IFERROR(Y187/H187,"0")</f>
        <v>0</v>
      </c>
      <c r="Z188" s="545">
        <f>IFERROR(IF(Z187="",0,Z187),"0")</f>
        <v>0</v>
      </c>
      <c r="AA188" s="546"/>
      <c r="AB188" s="546"/>
      <c r="AC188" s="546"/>
    </row>
    <row r="189" spans="1:68" hidden="1" x14ac:dyDescent="0.2">
      <c r="A189" s="556"/>
      <c r="B189" s="556"/>
      <c r="C189" s="556"/>
      <c r="D189" s="556"/>
      <c r="E189" s="556"/>
      <c r="F189" s="556"/>
      <c r="G189" s="556"/>
      <c r="H189" s="556"/>
      <c r="I189" s="556"/>
      <c r="J189" s="556"/>
      <c r="K189" s="556"/>
      <c r="L189" s="556"/>
      <c r="M189" s="556"/>
      <c r="N189" s="556"/>
      <c r="O189" s="569"/>
      <c r="P189" s="563" t="s">
        <v>75</v>
      </c>
      <c r="Q189" s="564"/>
      <c r="R189" s="564"/>
      <c r="S189" s="564"/>
      <c r="T189" s="564"/>
      <c r="U189" s="564"/>
      <c r="V189" s="565"/>
      <c r="W189" s="37" t="s">
        <v>69</v>
      </c>
      <c r="X189" s="545">
        <f>IFERROR(SUM(X187:X187),"0")</f>
        <v>0</v>
      </c>
      <c r="Y189" s="545">
        <f>IFERROR(SUM(Y187:Y187),"0")</f>
        <v>0</v>
      </c>
      <c r="Z189" s="37"/>
      <c r="AA189" s="546"/>
      <c r="AB189" s="546"/>
      <c r="AC189" s="546"/>
    </row>
    <row r="190" spans="1:68" ht="16.5" hidden="1" customHeight="1" x14ac:dyDescent="0.25">
      <c r="A190" s="599" t="s">
        <v>316</v>
      </c>
      <c r="B190" s="556"/>
      <c r="C190" s="556"/>
      <c r="D190" s="556"/>
      <c r="E190" s="556"/>
      <c r="F190" s="556"/>
      <c r="G190" s="556"/>
      <c r="H190" s="556"/>
      <c r="I190" s="556"/>
      <c r="J190" s="556"/>
      <c r="K190" s="556"/>
      <c r="L190" s="556"/>
      <c r="M190" s="556"/>
      <c r="N190" s="556"/>
      <c r="O190" s="556"/>
      <c r="P190" s="556"/>
      <c r="Q190" s="556"/>
      <c r="R190" s="556"/>
      <c r="S190" s="556"/>
      <c r="T190" s="556"/>
      <c r="U190" s="556"/>
      <c r="V190" s="556"/>
      <c r="W190" s="556"/>
      <c r="X190" s="556"/>
      <c r="Y190" s="556"/>
      <c r="Z190" s="556"/>
      <c r="AA190" s="538"/>
      <c r="AB190" s="538"/>
      <c r="AC190" s="538"/>
    </row>
    <row r="191" spans="1:68" ht="14.25" hidden="1" customHeight="1" x14ac:dyDescent="0.25">
      <c r="A191" s="567" t="s">
        <v>101</v>
      </c>
      <c r="B191" s="556"/>
      <c r="C191" s="556"/>
      <c r="D191" s="556"/>
      <c r="E191" s="556"/>
      <c r="F191" s="556"/>
      <c r="G191" s="556"/>
      <c r="H191" s="556"/>
      <c r="I191" s="556"/>
      <c r="J191" s="556"/>
      <c r="K191" s="556"/>
      <c r="L191" s="556"/>
      <c r="M191" s="556"/>
      <c r="N191" s="556"/>
      <c r="O191" s="556"/>
      <c r="P191" s="556"/>
      <c r="Q191" s="556"/>
      <c r="R191" s="556"/>
      <c r="S191" s="556"/>
      <c r="T191" s="556"/>
      <c r="U191" s="556"/>
      <c r="V191" s="556"/>
      <c r="W191" s="556"/>
      <c r="X191" s="556"/>
      <c r="Y191" s="556"/>
      <c r="Z191" s="556"/>
      <c r="AA191" s="539"/>
      <c r="AB191" s="539"/>
      <c r="AC191" s="539"/>
    </row>
    <row r="192" spans="1:68" ht="27" hidden="1" customHeight="1" x14ac:dyDescent="0.25">
      <c r="A192" s="54" t="s">
        <v>317</v>
      </c>
      <c r="B192" s="54" t="s">
        <v>318</v>
      </c>
      <c r="C192" s="31">
        <v>4301011450</v>
      </c>
      <c r="D192" s="553">
        <v>4680115881402</v>
      </c>
      <c r="E192" s="554"/>
      <c r="F192" s="542">
        <v>1.35</v>
      </c>
      <c r="G192" s="32">
        <v>8</v>
      </c>
      <c r="H192" s="542">
        <v>10.8</v>
      </c>
      <c r="I192" s="542">
        <v>11.21</v>
      </c>
      <c r="J192" s="32">
        <v>64</v>
      </c>
      <c r="K192" s="32" t="s">
        <v>104</v>
      </c>
      <c r="L192" s="32"/>
      <c r="M192" s="33" t="s">
        <v>106</v>
      </c>
      <c r="N192" s="33"/>
      <c r="O192" s="32">
        <v>55</v>
      </c>
      <c r="P192" s="79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2" s="548"/>
      <c r="R192" s="548"/>
      <c r="S192" s="548"/>
      <c r="T192" s="549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IFERROR(IF(Y192=0,"",ROUNDUP(Y192/H192,0)*0.01898),"")</f>
        <v/>
      </c>
      <c r="AA192" s="56"/>
      <c r="AB192" s="57"/>
      <c r="AC192" s="233" t="s">
        <v>319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hidden="1" customHeight="1" x14ac:dyDescent="0.25">
      <c r="A193" s="54" t="s">
        <v>320</v>
      </c>
      <c r="B193" s="54" t="s">
        <v>321</v>
      </c>
      <c r="C193" s="31">
        <v>4301011768</v>
      </c>
      <c r="D193" s="553">
        <v>4680115881396</v>
      </c>
      <c r="E193" s="554"/>
      <c r="F193" s="542">
        <v>0.45</v>
      </c>
      <c r="G193" s="32">
        <v>6</v>
      </c>
      <c r="H193" s="542">
        <v>2.7</v>
      </c>
      <c r="I193" s="542">
        <v>2.88</v>
      </c>
      <c r="J193" s="32">
        <v>182</v>
      </c>
      <c r="K193" s="32" t="s">
        <v>67</v>
      </c>
      <c r="L193" s="32"/>
      <c r="M193" s="33" t="s">
        <v>106</v>
      </c>
      <c r="N193" s="33"/>
      <c r="O193" s="32">
        <v>55</v>
      </c>
      <c r="P193" s="67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3" s="548"/>
      <c r="R193" s="548"/>
      <c r="S193" s="548"/>
      <c r="T193" s="549"/>
      <c r="U193" s="34"/>
      <c r="V193" s="34"/>
      <c r="W193" s="35" t="s">
        <v>69</v>
      </c>
      <c r="X193" s="543">
        <v>0</v>
      </c>
      <c r="Y193" s="544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35" t="s">
        <v>319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568"/>
      <c r="B194" s="556"/>
      <c r="C194" s="556"/>
      <c r="D194" s="556"/>
      <c r="E194" s="556"/>
      <c r="F194" s="556"/>
      <c r="G194" s="556"/>
      <c r="H194" s="556"/>
      <c r="I194" s="556"/>
      <c r="J194" s="556"/>
      <c r="K194" s="556"/>
      <c r="L194" s="556"/>
      <c r="M194" s="556"/>
      <c r="N194" s="556"/>
      <c r="O194" s="569"/>
      <c r="P194" s="563" t="s">
        <v>75</v>
      </c>
      <c r="Q194" s="564"/>
      <c r="R194" s="564"/>
      <c r="S194" s="564"/>
      <c r="T194" s="564"/>
      <c r="U194" s="564"/>
      <c r="V194" s="565"/>
      <c r="W194" s="37" t="s">
        <v>76</v>
      </c>
      <c r="X194" s="545">
        <f>IFERROR(X192/H192,"0")+IFERROR(X193/H193,"0")</f>
        <v>0</v>
      </c>
      <c r="Y194" s="545">
        <f>IFERROR(Y192/H192,"0")+IFERROR(Y193/H193,"0")</f>
        <v>0</v>
      </c>
      <c r="Z194" s="545">
        <f>IFERROR(IF(Z192="",0,Z192),"0")+IFERROR(IF(Z193="",0,Z193),"0")</f>
        <v>0</v>
      </c>
      <c r="AA194" s="546"/>
      <c r="AB194" s="546"/>
      <c r="AC194" s="546"/>
    </row>
    <row r="195" spans="1:68" hidden="1" x14ac:dyDescent="0.2">
      <c r="A195" s="556"/>
      <c r="B195" s="556"/>
      <c r="C195" s="556"/>
      <c r="D195" s="556"/>
      <c r="E195" s="556"/>
      <c r="F195" s="556"/>
      <c r="G195" s="556"/>
      <c r="H195" s="556"/>
      <c r="I195" s="556"/>
      <c r="J195" s="556"/>
      <c r="K195" s="556"/>
      <c r="L195" s="556"/>
      <c r="M195" s="556"/>
      <c r="N195" s="556"/>
      <c r="O195" s="569"/>
      <c r="P195" s="563" t="s">
        <v>75</v>
      </c>
      <c r="Q195" s="564"/>
      <c r="R195" s="564"/>
      <c r="S195" s="564"/>
      <c r="T195" s="564"/>
      <c r="U195" s="564"/>
      <c r="V195" s="565"/>
      <c r="W195" s="37" t="s">
        <v>69</v>
      </c>
      <c r="X195" s="545">
        <f>IFERROR(SUM(X192:X193),"0")</f>
        <v>0</v>
      </c>
      <c r="Y195" s="545">
        <f>IFERROR(SUM(Y192:Y193),"0")</f>
        <v>0</v>
      </c>
      <c r="Z195" s="37"/>
      <c r="AA195" s="546"/>
      <c r="AB195" s="546"/>
      <c r="AC195" s="546"/>
    </row>
    <row r="196" spans="1:68" ht="14.25" hidden="1" customHeight="1" x14ac:dyDescent="0.25">
      <c r="A196" s="567" t="s">
        <v>136</v>
      </c>
      <c r="B196" s="556"/>
      <c r="C196" s="556"/>
      <c r="D196" s="556"/>
      <c r="E196" s="556"/>
      <c r="F196" s="556"/>
      <c r="G196" s="556"/>
      <c r="H196" s="556"/>
      <c r="I196" s="556"/>
      <c r="J196" s="556"/>
      <c r="K196" s="556"/>
      <c r="L196" s="556"/>
      <c r="M196" s="556"/>
      <c r="N196" s="556"/>
      <c r="O196" s="556"/>
      <c r="P196" s="556"/>
      <c r="Q196" s="556"/>
      <c r="R196" s="556"/>
      <c r="S196" s="556"/>
      <c r="T196" s="556"/>
      <c r="U196" s="556"/>
      <c r="V196" s="556"/>
      <c r="W196" s="556"/>
      <c r="X196" s="556"/>
      <c r="Y196" s="556"/>
      <c r="Z196" s="556"/>
      <c r="AA196" s="539"/>
      <c r="AB196" s="539"/>
      <c r="AC196" s="539"/>
    </row>
    <row r="197" spans="1:68" ht="16.5" hidden="1" customHeight="1" x14ac:dyDescent="0.25">
      <c r="A197" s="54" t="s">
        <v>322</v>
      </c>
      <c r="B197" s="54" t="s">
        <v>323</v>
      </c>
      <c r="C197" s="31">
        <v>4301020261</v>
      </c>
      <c r="D197" s="553">
        <v>4680115882935</v>
      </c>
      <c r="E197" s="554"/>
      <c r="F197" s="542">
        <v>1.35</v>
      </c>
      <c r="G197" s="32">
        <v>8</v>
      </c>
      <c r="H197" s="542">
        <v>10.8</v>
      </c>
      <c r="I197" s="542">
        <v>11.21</v>
      </c>
      <c r="J197" s="32">
        <v>64</v>
      </c>
      <c r="K197" s="32" t="s">
        <v>104</v>
      </c>
      <c r="L197" s="32"/>
      <c r="M197" s="33" t="s">
        <v>106</v>
      </c>
      <c r="N197" s="33"/>
      <c r="O197" s="32">
        <v>50</v>
      </c>
      <c r="P197" s="76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3">
        <v>0</v>
      </c>
      <c r="Y197" s="544">
        <f>IFERROR(IF(X197="",0,CEILING((X197/$H197),1)*$H197),"")</f>
        <v>0</v>
      </c>
      <c r="Z197" s="36" t="str">
        <f>IFERROR(IF(Y197=0,"",ROUNDUP(Y197/H197,0)*0.01898),"")</f>
        <v/>
      </c>
      <c r="AA197" s="56"/>
      <c r="AB197" s="57"/>
      <c r="AC197" s="237" t="s">
        <v>324</v>
      </c>
      <c r="AG197" s="64"/>
      <c r="AJ197" s="68"/>
      <c r="AK197" s="68">
        <v>0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16.5" hidden="1" customHeight="1" x14ac:dyDescent="0.25">
      <c r="A198" s="54" t="s">
        <v>325</v>
      </c>
      <c r="B198" s="54" t="s">
        <v>326</v>
      </c>
      <c r="C198" s="31">
        <v>4301020220</v>
      </c>
      <c r="D198" s="553">
        <v>4680115880764</v>
      </c>
      <c r="E198" s="554"/>
      <c r="F198" s="542">
        <v>0.35</v>
      </c>
      <c r="G198" s="32">
        <v>6</v>
      </c>
      <c r="H198" s="542">
        <v>2.1</v>
      </c>
      <c r="I198" s="542">
        <v>2.2799999999999998</v>
      </c>
      <c r="J198" s="32">
        <v>182</v>
      </c>
      <c r="K198" s="32" t="s">
        <v>67</v>
      </c>
      <c r="L198" s="32"/>
      <c r="M198" s="33" t="s">
        <v>106</v>
      </c>
      <c r="N198" s="33"/>
      <c r="O198" s="32">
        <v>50</v>
      </c>
      <c r="P198" s="6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8" s="548"/>
      <c r="R198" s="548"/>
      <c r="S198" s="548"/>
      <c r="T198" s="549"/>
      <c r="U198" s="34"/>
      <c r="V198" s="34"/>
      <c r="W198" s="35" t="s">
        <v>69</v>
      </c>
      <c r="X198" s="543">
        <v>0</v>
      </c>
      <c r="Y198" s="544">
        <f>IFERROR(IF(X198="",0,CEILING((X198/$H198),1)*$H198),"")</f>
        <v>0</v>
      </c>
      <c r="Z198" s="36" t="str">
        <f>IFERROR(IF(Y198=0,"",ROUNDUP(Y198/H198,0)*0.00651),"")</f>
        <v/>
      </c>
      <c r="AA198" s="56"/>
      <c r="AB198" s="57"/>
      <c r="AC198" s="239" t="s">
        <v>324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568"/>
      <c r="B199" s="556"/>
      <c r="C199" s="556"/>
      <c r="D199" s="556"/>
      <c r="E199" s="556"/>
      <c r="F199" s="556"/>
      <c r="G199" s="556"/>
      <c r="H199" s="556"/>
      <c r="I199" s="556"/>
      <c r="J199" s="556"/>
      <c r="K199" s="556"/>
      <c r="L199" s="556"/>
      <c r="M199" s="556"/>
      <c r="N199" s="556"/>
      <c r="O199" s="569"/>
      <c r="P199" s="563" t="s">
        <v>75</v>
      </c>
      <c r="Q199" s="564"/>
      <c r="R199" s="564"/>
      <c r="S199" s="564"/>
      <c r="T199" s="564"/>
      <c r="U199" s="564"/>
      <c r="V199" s="565"/>
      <c r="W199" s="37" t="s">
        <v>76</v>
      </c>
      <c r="X199" s="545">
        <f>IFERROR(X197/H197,"0")+IFERROR(X198/H198,"0")</f>
        <v>0</v>
      </c>
      <c r="Y199" s="545">
        <f>IFERROR(Y197/H197,"0")+IFERROR(Y198/H198,"0")</f>
        <v>0</v>
      </c>
      <c r="Z199" s="545">
        <f>IFERROR(IF(Z197="",0,Z197),"0")+IFERROR(IF(Z198="",0,Z198),"0")</f>
        <v>0</v>
      </c>
      <c r="AA199" s="546"/>
      <c r="AB199" s="546"/>
      <c r="AC199" s="546"/>
    </row>
    <row r="200" spans="1:68" hidden="1" x14ac:dyDescent="0.2">
      <c r="A200" s="556"/>
      <c r="B200" s="556"/>
      <c r="C200" s="556"/>
      <c r="D200" s="556"/>
      <c r="E200" s="556"/>
      <c r="F200" s="556"/>
      <c r="G200" s="556"/>
      <c r="H200" s="556"/>
      <c r="I200" s="556"/>
      <c r="J200" s="556"/>
      <c r="K200" s="556"/>
      <c r="L200" s="556"/>
      <c r="M200" s="556"/>
      <c r="N200" s="556"/>
      <c r="O200" s="569"/>
      <c r="P200" s="563" t="s">
        <v>75</v>
      </c>
      <c r="Q200" s="564"/>
      <c r="R200" s="564"/>
      <c r="S200" s="564"/>
      <c r="T200" s="564"/>
      <c r="U200" s="564"/>
      <c r="V200" s="565"/>
      <c r="W200" s="37" t="s">
        <v>69</v>
      </c>
      <c r="X200" s="545">
        <f>IFERROR(SUM(X197:X198),"0")</f>
        <v>0</v>
      </c>
      <c r="Y200" s="545">
        <f>IFERROR(SUM(Y197:Y198),"0")</f>
        <v>0</v>
      </c>
      <c r="Z200" s="37"/>
      <c r="AA200" s="546"/>
      <c r="AB200" s="546"/>
      <c r="AC200" s="546"/>
    </row>
    <row r="201" spans="1:68" ht="14.25" hidden="1" customHeight="1" x14ac:dyDescent="0.25">
      <c r="A201" s="567" t="s">
        <v>64</v>
      </c>
      <c r="B201" s="556"/>
      <c r="C201" s="556"/>
      <c r="D201" s="556"/>
      <c r="E201" s="556"/>
      <c r="F201" s="556"/>
      <c r="G201" s="556"/>
      <c r="H201" s="556"/>
      <c r="I201" s="556"/>
      <c r="J201" s="556"/>
      <c r="K201" s="556"/>
      <c r="L201" s="556"/>
      <c r="M201" s="556"/>
      <c r="N201" s="556"/>
      <c r="O201" s="556"/>
      <c r="P201" s="556"/>
      <c r="Q201" s="556"/>
      <c r="R201" s="556"/>
      <c r="S201" s="556"/>
      <c r="T201" s="556"/>
      <c r="U201" s="556"/>
      <c r="V201" s="556"/>
      <c r="W201" s="556"/>
      <c r="X201" s="556"/>
      <c r="Y201" s="556"/>
      <c r="Z201" s="556"/>
      <c r="AA201" s="539"/>
      <c r="AB201" s="539"/>
      <c r="AC201" s="539"/>
    </row>
    <row r="202" spans="1:68" ht="27" customHeight="1" x14ac:dyDescent="0.25">
      <c r="A202" s="54" t="s">
        <v>327</v>
      </c>
      <c r="B202" s="54" t="s">
        <v>328</v>
      </c>
      <c r="C202" s="31">
        <v>4301031224</v>
      </c>
      <c r="D202" s="553">
        <v>4680115882683</v>
      </c>
      <c r="E202" s="554"/>
      <c r="F202" s="542">
        <v>0.9</v>
      </c>
      <c r="G202" s="32">
        <v>6</v>
      </c>
      <c r="H202" s="542">
        <v>5.4</v>
      </c>
      <c r="I202" s="542">
        <v>5.59</v>
      </c>
      <c r="J202" s="32">
        <v>132</v>
      </c>
      <c r="K202" s="32" t="s">
        <v>110</v>
      </c>
      <c r="L202" s="32" t="s">
        <v>111</v>
      </c>
      <c r="M202" s="33" t="s">
        <v>68</v>
      </c>
      <c r="N202" s="33"/>
      <c r="O202" s="32">
        <v>40</v>
      </c>
      <c r="P202" s="64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3">
        <v>60</v>
      </c>
      <c r="Y202" s="544">
        <f t="shared" ref="Y202:Y209" si="10">IFERROR(IF(X202="",0,CEILING((X202/$H202),1)*$H202),"")</f>
        <v>64.800000000000011</v>
      </c>
      <c r="Z202" s="36">
        <f>IFERROR(IF(Y202=0,"",ROUNDUP(Y202/H202,0)*0.00902),"")</f>
        <v>0.10824</v>
      </c>
      <c r="AA202" s="56"/>
      <c r="AB202" s="57"/>
      <c r="AC202" s="241" t="s">
        <v>329</v>
      </c>
      <c r="AG202" s="64"/>
      <c r="AJ202" s="68" t="s">
        <v>83</v>
      </c>
      <c r="AK202" s="68">
        <v>64.8</v>
      </c>
      <c r="BB202" s="242" t="s">
        <v>1</v>
      </c>
      <c r="BM202" s="64">
        <f t="shared" ref="BM202:BM209" si="11">IFERROR(X202*I202/H202,"0")</f>
        <v>62.1111111111111</v>
      </c>
      <c r="BN202" s="64">
        <f t="shared" ref="BN202:BN209" si="12">IFERROR(Y202*I202/H202,"0")</f>
        <v>67.08</v>
      </c>
      <c r="BO202" s="64">
        <f t="shared" ref="BO202:BO209" si="13">IFERROR(1/J202*(X202/H202),"0")</f>
        <v>8.4175084175084181E-2</v>
      </c>
      <c r="BP202" s="64">
        <f t="shared" ref="BP202:BP209" si="14">IFERROR(1/J202*(Y202/H202),"0")</f>
        <v>9.0909090909090925E-2</v>
      </c>
    </row>
    <row r="203" spans="1:68" ht="27" hidden="1" customHeight="1" x14ac:dyDescent="0.25">
      <c r="A203" s="54" t="s">
        <v>330</v>
      </c>
      <c r="B203" s="54" t="s">
        <v>331</v>
      </c>
      <c r="C203" s="31">
        <v>4301031230</v>
      </c>
      <c r="D203" s="553">
        <v>4680115882690</v>
      </c>
      <c r="E203" s="554"/>
      <c r="F203" s="542">
        <v>0.9</v>
      </c>
      <c r="G203" s="32">
        <v>6</v>
      </c>
      <c r="H203" s="542">
        <v>5.4</v>
      </c>
      <c r="I203" s="542">
        <v>5.59</v>
      </c>
      <c r="J203" s="32">
        <v>132</v>
      </c>
      <c r="K203" s="32" t="s">
        <v>110</v>
      </c>
      <c r="L203" s="32" t="s">
        <v>111</v>
      </c>
      <c r="M203" s="33" t="s">
        <v>68</v>
      </c>
      <c r="N203" s="33"/>
      <c r="O203" s="32">
        <v>40</v>
      </c>
      <c r="P203" s="73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3" s="548"/>
      <c r="R203" s="548"/>
      <c r="S203" s="548"/>
      <c r="T203" s="549"/>
      <c r="U203" s="34"/>
      <c r="V203" s="34"/>
      <c r="W203" s="35" t="s">
        <v>69</v>
      </c>
      <c r="X203" s="543">
        <v>0</v>
      </c>
      <c r="Y203" s="544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332</v>
      </c>
      <c r="AG203" s="64"/>
      <c r="AJ203" s="68" t="s">
        <v>83</v>
      </c>
      <c r="AK203" s="68">
        <v>64.8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customHeight="1" x14ac:dyDescent="0.25">
      <c r="A204" s="54" t="s">
        <v>333</v>
      </c>
      <c r="B204" s="54" t="s">
        <v>334</v>
      </c>
      <c r="C204" s="31">
        <v>4301031220</v>
      </c>
      <c r="D204" s="553">
        <v>4680115882669</v>
      </c>
      <c r="E204" s="554"/>
      <c r="F204" s="542">
        <v>0.9</v>
      </c>
      <c r="G204" s="32">
        <v>6</v>
      </c>
      <c r="H204" s="542">
        <v>5.4</v>
      </c>
      <c r="I204" s="542">
        <v>5.59</v>
      </c>
      <c r="J204" s="32">
        <v>132</v>
      </c>
      <c r="K204" s="32" t="s">
        <v>110</v>
      </c>
      <c r="L204" s="32" t="s">
        <v>111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4" s="548"/>
      <c r="R204" s="548"/>
      <c r="S204" s="548"/>
      <c r="T204" s="549"/>
      <c r="U204" s="34"/>
      <c r="V204" s="34"/>
      <c r="W204" s="35" t="s">
        <v>69</v>
      </c>
      <c r="X204" s="543">
        <v>60</v>
      </c>
      <c r="Y204" s="544">
        <f t="shared" si="10"/>
        <v>64.800000000000011</v>
      </c>
      <c r="Z204" s="36">
        <f>IFERROR(IF(Y204=0,"",ROUNDUP(Y204/H204,0)*0.00902),"")</f>
        <v>0.10824</v>
      </c>
      <c r="AA204" s="56"/>
      <c r="AB204" s="57"/>
      <c r="AC204" s="245" t="s">
        <v>335</v>
      </c>
      <c r="AG204" s="64"/>
      <c r="AJ204" s="68" t="s">
        <v>83</v>
      </c>
      <c r="AK204" s="68">
        <v>64.8</v>
      </c>
      <c r="BB204" s="246" t="s">
        <v>1</v>
      </c>
      <c r="BM204" s="64">
        <f t="shared" si="11"/>
        <v>62.1111111111111</v>
      </c>
      <c r="BN204" s="64">
        <f t="shared" si="12"/>
        <v>67.08</v>
      </c>
      <c r="BO204" s="64">
        <f t="shared" si="13"/>
        <v>8.4175084175084181E-2</v>
      </c>
      <c r="BP204" s="64">
        <f t="shared" si="14"/>
        <v>9.0909090909090925E-2</v>
      </c>
    </row>
    <row r="205" spans="1:68" ht="27" hidden="1" customHeight="1" x14ac:dyDescent="0.25">
      <c r="A205" s="54" t="s">
        <v>336</v>
      </c>
      <c r="B205" s="54" t="s">
        <v>337</v>
      </c>
      <c r="C205" s="31">
        <v>4301031221</v>
      </c>
      <c r="D205" s="553">
        <v>4680115882676</v>
      </c>
      <c r="E205" s="554"/>
      <c r="F205" s="542">
        <v>0.9</v>
      </c>
      <c r="G205" s="32">
        <v>6</v>
      </c>
      <c r="H205" s="542">
        <v>5.4</v>
      </c>
      <c r="I205" s="542">
        <v>5.59</v>
      </c>
      <c r="J205" s="32">
        <v>132</v>
      </c>
      <c r="K205" s="32" t="s">
        <v>110</v>
      </c>
      <c r="L205" s="32" t="s">
        <v>111</v>
      </c>
      <c r="M205" s="33" t="s">
        <v>68</v>
      </c>
      <c r="N205" s="33"/>
      <c r="O205" s="32">
        <v>40</v>
      </c>
      <c r="P205" s="7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5" s="548"/>
      <c r="R205" s="548"/>
      <c r="S205" s="548"/>
      <c r="T205" s="549"/>
      <c r="U205" s="34"/>
      <c r="V205" s="34"/>
      <c r="W205" s="35" t="s">
        <v>69</v>
      </c>
      <c r="X205" s="543">
        <v>0</v>
      </c>
      <c r="Y205" s="544">
        <f t="shared" si="10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83</v>
      </c>
      <c r="AK205" s="68">
        <v>64.8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hidden="1" customHeight="1" x14ac:dyDescent="0.25">
      <c r="A206" s="54" t="s">
        <v>339</v>
      </c>
      <c r="B206" s="54" t="s">
        <v>340</v>
      </c>
      <c r="C206" s="31">
        <v>4301031223</v>
      </c>
      <c r="D206" s="553">
        <v>4680115884014</v>
      </c>
      <c r="E206" s="554"/>
      <c r="F206" s="542">
        <v>0.3</v>
      </c>
      <c r="G206" s="32">
        <v>6</v>
      </c>
      <c r="H206" s="542">
        <v>1.8</v>
      </c>
      <c r="I206" s="542">
        <v>1.93</v>
      </c>
      <c r="J206" s="32">
        <v>234</v>
      </c>
      <c r="K206" s="32" t="s">
        <v>73</v>
      </c>
      <c r="L206" s="32"/>
      <c r="M206" s="33" t="s">
        <v>68</v>
      </c>
      <c r="N206" s="33"/>
      <c r="O206" s="32">
        <v>40</v>
      </c>
      <c r="P206" s="72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6" s="548"/>
      <c r="R206" s="548"/>
      <c r="S206" s="548"/>
      <c r="T206" s="549"/>
      <c r="U206" s="34"/>
      <c r="V206" s="34"/>
      <c r="W206" s="35" t="s">
        <v>69</v>
      </c>
      <c r="X206" s="543">
        <v>0</v>
      </c>
      <c r="Y206" s="544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329</v>
      </c>
      <c r="AG206" s="64"/>
      <c r="AJ206" s="68"/>
      <c r="AK206" s="68">
        <v>0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hidden="1" customHeight="1" x14ac:dyDescent="0.25">
      <c r="A207" s="54" t="s">
        <v>341</v>
      </c>
      <c r="B207" s="54" t="s">
        <v>342</v>
      </c>
      <c r="C207" s="31">
        <v>4301031222</v>
      </c>
      <c r="D207" s="553">
        <v>4680115884007</v>
      </c>
      <c r="E207" s="554"/>
      <c r="F207" s="542">
        <v>0.3</v>
      </c>
      <c r="G207" s="32">
        <v>6</v>
      </c>
      <c r="H207" s="542">
        <v>1.8</v>
      </c>
      <c r="I207" s="542">
        <v>1.9</v>
      </c>
      <c r="J207" s="32">
        <v>234</v>
      </c>
      <c r="K207" s="32" t="s">
        <v>73</v>
      </c>
      <c r="L207" s="32" t="s">
        <v>284</v>
      </c>
      <c r="M207" s="33" t="s">
        <v>68</v>
      </c>
      <c r="N207" s="33"/>
      <c r="O207" s="32">
        <v>40</v>
      </c>
      <c r="P207" s="73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7" s="548"/>
      <c r="R207" s="548"/>
      <c r="S207" s="548"/>
      <c r="T207" s="549"/>
      <c r="U207" s="34"/>
      <c r="V207" s="34"/>
      <c r="W207" s="35" t="s">
        <v>69</v>
      </c>
      <c r="X207" s="543">
        <v>0</v>
      </c>
      <c r="Y207" s="544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83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343</v>
      </c>
      <c r="B208" s="54" t="s">
        <v>344</v>
      </c>
      <c r="C208" s="31">
        <v>4301031229</v>
      </c>
      <c r="D208" s="553">
        <v>4680115884038</v>
      </c>
      <c r="E208" s="554"/>
      <c r="F208" s="542">
        <v>0.3</v>
      </c>
      <c r="G208" s="32">
        <v>6</v>
      </c>
      <c r="H208" s="542">
        <v>1.8</v>
      </c>
      <c r="I208" s="542">
        <v>1.9</v>
      </c>
      <c r="J208" s="32">
        <v>234</v>
      </c>
      <c r="K208" s="32" t="s">
        <v>73</v>
      </c>
      <c r="L208" s="32" t="s">
        <v>284</v>
      </c>
      <c r="M208" s="33" t="s">
        <v>68</v>
      </c>
      <c r="N208" s="33"/>
      <c r="O208" s="32">
        <v>40</v>
      </c>
      <c r="P208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8" s="548"/>
      <c r="R208" s="548"/>
      <c r="S208" s="548"/>
      <c r="T208" s="549"/>
      <c r="U208" s="34"/>
      <c r="V208" s="34"/>
      <c r="W208" s="35" t="s">
        <v>69</v>
      </c>
      <c r="X208" s="543">
        <v>0</v>
      </c>
      <c r="Y208" s="544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83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hidden="1" customHeight="1" x14ac:dyDescent="0.25">
      <c r="A209" s="54" t="s">
        <v>345</v>
      </c>
      <c r="B209" s="54" t="s">
        <v>346</v>
      </c>
      <c r="C209" s="31">
        <v>4301031225</v>
      </c>
      <c r="D209" s="553">
        <v>4680115884021</v>
      </c>
      <c r="E209" s="554"/>
      <c r="F209" s="542">
        <v>0.3</v>
      </c>
      <c r="G209" s="32">
        <v>6</v>
      </c>
      <c r="H209" s="542">
        <v>1.8</v>
      </c>
      <c r="I209" s="542">
        <v>1.9</v>
      </c>
      <c r="J209" s="32">
        <v>234</v>
      </c>
      <c r="K209" s="32" t="s">
        <v>73</v>
      </c>
      <c r="L209" s="32" t="s">
        <v>284</v>
      </c>
      <c r="M209" s="33" t="s">
        <v>68</v>
      </c>
      <c r="N209" s="33"/>
      <c r="O209" s="32">
        <v>40</v>
      </c>
      <c r="P209" s="86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3">
        <v>0</v>
      </c>
      <c r="Y209" s="544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 t="s">
        <v>83</v>
      </c>
      <c r="AK209" s="68">
        <v>32.4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x14ac:dyDescent="0.2">
      <c r="A210" s="568"/>
      <c r="B210" s="556"/>
      <c r="C210" s="556"/>
      <c r="D210" s="556"/>
      <c r="E210" s="556"/>
      <c r="F210" s="556"/>
      <c r="G210" s="556"/>
      <c r="H210" s="556"/>
      <c r="I210" s="556"/>
      <c r="J210" s="556"/>
      <c r="K210" s="556"/>
      <c r="L210" s="556"/>
      <c r="M210" s="556"/>
      <c r="N210" s="556"/>
      <c r="O210" s="569"/>
      <c r="P210" s="563" t="s">
        <v>75</v>
      </c>
      <c r="Q210" s="564"/>
      <c r="R210" s="564"/>
      <c r="S210" s="564"/>
      <c r="T210" s="564"/>
      <c r="U210" s="564"/>
      <c r="V210" s="565"/>
      <c r="W210" s="37" t="s">
        <v>76</v>
      </c>
      <c r="X210" s="545">
        <f>IFERROR(X202/H202,"0")+IFERROR(X203/H203,"0")+IFERROR(X204/H204,"0")+IFERROR(X205/H205,"0")+IFERROR(X206/H206,"0")+IFERROR(X207/H207,"0")+IFERROR(X208/H208,"0")+IFERROR(X209/H209,"0")</f>
        <v>22.222222222222221</v>
      </c>
      <c r="Y210" s="545">
        <f>IFERROR(Y202/H202,"0")+IFERROR(Y203/H203,"0")+IFERROR(Y204/H204,"0")+IFERROR(Y205/H205,"0")+IFERROR(Y206/H206,"0")+IFERROR(Y207/H207,"0")+IFERROR(Y208/H208,"0")+IFERROR(Y209/H209,"0")</f>
        <v>24.000000000000004</v>
      </c>
      <c r="Z210" s="545">
        <f>IFERROR(IF(Z202="",0,Z202),"0")+IFERROR(IF(Z203="",0,Z203),"0")+IFERROR(IF(Z204="",0,Z204),"0")+IFERROR(IF(Z205="",0,Z205),"0")+IFERROR(IF(Z206="",0,Z206),"0")+IFERROR(IF(Z207="",0,Z207),"0")+IFERROR(IF(Z208="",0,Z208),"0")+IFERROR(IF(Z209="",0,Z209),"0")</f>
        <v>0.21648000000000001</v>
      </c>
      <c r="AA210" s="546"/>
      <c r="AB210" s="546"/>
      <c r="AC210" s="546"/>
    </row>
    <row r="211" spans="1:68" x14ac:dyDescent="0.2">
      <c r="A211" s="556"/>
      <c r="B211" s="556"/>
      <c r="C211" s="556"/>
      <c r="D211" s="556"/>
      <c r="E211" s="556"/>
      <c r="F211" s="556"/>
      <c r="G211" s="556"/>
      <c r="H211" s="556"/>
      <c r="I211" s="556"/>
      <c r="J211" s="556"/>
      <c r="K211" s="556"/>
      <c r="L211" s="556"/>
      <c r="M211" s="556"/>
      <c r="N211" s="556"/>
      <c r="O211" s="569"/>
      <c r="P211" s="563" t="s">
        <v>75</v>
      </c>
      <c r="Q211" s="564"/>
      <c r="R211" s="564"/>
      <c r="S211" s="564"/>
      <c r="T211" s="564"/>
      <c r="U211" s="564"/>
      <c r="V211" s="565"/>
      <c r="W211" s="37" t="s">
        <v>69</v>
      </c>
      <c r="X211" s="545">
        <f>IFERROR(SUM(X202:X209),"0")</f>
        <v>120</v>
      </c>
      <c r="Y211" s="545">
        <f>IFERROR(SUM(Y202:Y209),"0")</f>
        <v>129.60000000000002</v>
      </c>
      <c r="Z211" s="37"/>
      <c r="AA211" s="546"/>
      <c r="AB211" s="546"/>
      <c r="AC211" s="546"/>
    </row>
    <row r="212" spans="1:68" ht="14.25" hidden="1" customHeight="1" x14ac:dyDescent="0.25">
      <c r="A212" s="567" t="s">
        <v>77</v>
      </c>
      <c r="B212" s="556"/>
      <c r="C212" s="556"/>
      <c r="D212" s="556"/>
      <c r="E212" s="556"/>
      <c r="F212" s="556"/>
      <c r="G212" s="556"/>
      <c r="H212" s="556"/>
      <c r="I212" s="556"/>
      <c r="J212" s="556"/>
      <c r="K212" s="556"/>
      <c r="L212" s="556"/>
      <c r="M212" s="556"/>
      <c r="N212" s="556"/>
      <c r="O212" s="556"/>
      <c r="P212" s="556"/>
      <c r="Q212" s="556"/>
      <c r="R212" s="556"/>
      <c r="S212" s="556"/>
      <c r="T212" s="556"/>
      <c r="U212" s="556"/>
      <c r="V212" s="556"/>
      <c r="W212" s="556"/>
      <c r="X212" s="556"/>
      <c r="Y212" s="556"/>
      <c r="Z212" s="556"/>
      <c r="AA212" s="539"/>
      <c r="AB212" s="539"/>
      <c r="AC212" s="539"/>
    </row>
    <row r="213" spans="1:68" ht="27" customHeight="1" x14ac:dyDescent="0.25">
      <c r="A213" s="54" t="s">
        <v>347</v>
      </c>
      <c r="B213" s="54" t="s">
        <v>348</v>
      </c>
      <c r="C213" s="31">
        <v>4301051408</v>
      </c>
      <c r="D213" s="553">
        <v>4680115881594</v>
      </c>
      <c r="E213" s="554"/>
      <c r="F213" s="542">
        <v>1.35</v>
      </c>
      <c r="G213" s="32">
        <v>6</v>
      </c>
      <c r="H213" s="542">
        <v>8.1</v>
      </c>
      <c r="I213" s="542">
        <v>8.5939999999999994</v>
      </c>
      <c r="J213" s="32">
        <v>64</v>
      </c>
      <c r="K213" s="32" t="s">
        <v>104</v>
      </c>
      <c r="L213" s="32"/>
      <c r="M213" s="33" t="s">
        <v>81</v>
      </c>
      <c r="N213" s="33"/>
      <c r="O213" s="32">
        <v>40</v>
      </c>
      <c r="P213" s="85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3" s="548"/>
      <c r="R213" s="548"/>
      <c r="S213" s="548"/>
      <c r="T213" s="549"/>
      <c r="U213" s="34"/>
      <c r="V213" s="34"/>
      <c r="W213" s="35" t="s">
        <v>69</v>
      </c>
      <c r="X213" s="543">
        <v>20</v>
      </c>
      <c r="Y213" s="544">
        <f t="shared" ref="Y213:Y221" si="15">IFERROR(IF(X213="",0,CEILING((X213/$H213),1)*$H213),"")</f>
        <v>24.299999999999997</v>
      </c>
      <c r="Z213" s="36">
        <f>IFERROR(IF(Y213=0,"",ROUNDUP(Y213/H213,0)*0.01898),"")</f>
        <v>5.6940000000000004E-2</v>
      </c>
      <c r="AA213" s="56"/>
      <c r="AB213" s="57"/>
      <c r="AC213" s="257" t="s">
        <v>349</v>
      </c>
      <c r="AG213" s="64"/>
      <c r="AJ213" s="68"/>
      <c r="AK213" s="68">
        <v>0</v>
      </c>
      <c r="BB213" s="258" t="s">
        <v>1</v>
      </c>
      <c r="BM213" s="64">
        <f t="shared" ref="BM213:BM221" si="16">IFERROR(X213*I213/H213,"0")</f>
        <v>21.219753086419754</v>
      </c>
      <c r="BN213" s="64">
        <f t="shared" ref="BN213:BN221" si="17">IFERROR(Y213*I213/H213,"0")</f>
        <v>25.781999999999996</v>
      </c>
      <c r="BO213" s="64">
        <f t="shared" ref="BO213:BO221" si="18">IFERROR(1/J213*(X213/H213),"0")</f>
        <v>3.8580246913580252E-2</v>
      </c>
      <c r="BP213" s="64">
        <f t="shared" ref="BP213:BP221" si="19">IFERROR(1/J213*(Y213/H213),"0")</f>
        <v>4.6875E-2</v>
      </c>
    </row>
    <row r="214" spans="1:68" ht="27" customHeight="1" x14ac:dyDescent="0.25">
      <c r="A214" s="54" t="s">
        <v>350</v>
      </c>
      <c r="B214" s="54" t="s">
        <v>351</v>
      </c>
      <c r="C214" s="31">
        <v>4301051411</v>
      </c>
      <c r="D214" s="553">
        <v>4680115881617</v>
      </c>
      <c r="E214" s="554"/>
      <c r="F214" s="542">
        <v>1.35</v>
      </c>
      <c r="G214" s="32">
        <v>6</v>
      </c>
      <c r="H214" s="542">
        <v>8.1</v>
      </c>
      <c r="I214" s="542">
        <v>8.5760000000000005</v>
      </c>
      <c r="J214" s="32">
        <v>64</v>
      </c>
      <c r="K214" s="32" t="s">
        <v>104</v>
      </c>
      <c r="L214" s="32"/>
      <c r="M214" s="33" t="s">
        <v>81</v>
      </c>
      <c r="N214" s="33"/>
      <c r="O214" s="32">
        <v>40</v>
      </c>
      <c r="P214" s="60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4" s="548"/>
      <c r="R214" s="548"/>
      <c r="S214" s="548"/>
      <c r="T214" s="549"/>
      <c r="U214" s="34"/>
      <c r="V214" s="34"/>
      <c r="W214" s="35" t="s">
        <v>69</v>
      </c>
      <c r="X214" s="543">
        <v>15</v>
      </c>
      <c r="Y214" s="544">
        <f t="shared" si="15"/>
        <v>16.2</v>
      </c>
      <c r="Z214" s="36">
        <f>IFERROR(IF(Y214=0,"",ROUNDUP(Y214/H214,0)*0.01898),"")</f>
        <v>3.7960000000000001E-2</v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si="16"/>
        <v>15.881481481481485</v>
      </c>
      <c r="BN214" s="64">
        <f t="shared" si="17"/>
        <v>17.152000000000001</v>
      </c>
      <c r="BO214" s="64">
        <f t="shared" si="18"/>
        <v>2.8935185185185185E-2</v>
      </c>
      <c r="BP214" s="64">
        <f t="shared" si="19"/>
        <v>3.125E-2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4301051656</v>
      </c>
      <c r="D215" s="553">
        <v>4680115880573</v>
      </c>
      <c r="E215" s="554"/>
      <c r="F215" s="542">
        <v>1.45</v>
      </c>
      <c r="G215" s="32">
        <v>6</v>
      </c>
      <c r="H215" s="542">
        <v>8.6999999999999993</v>
      </c>
      <c r="I215" s="542">
        <v>9.1940000000000008</v>
      </c>
      <c r="J215" s="32">
        <v>64</v>
      </c>
      <c r="K215" s="32" t="s">
        <v>104</v>
      </c>
      <c r="L215" s="32" t="s">
        <v>105</v>
      </c>
      <c r="M215" s="33" t="s">
        <v>81</v>
      </c>
      <c r="N215" s="33"/>
      <c r="O215" s="32">
        <v>45</v>
      </c>
      <c r="P215" s="84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5" s="548"/>
      <c r="R215" s="548"/>
      <c r="S215" s="548"/>
      <c r="T215" s="549"/>
      <c r="U215" s="34"/>
      <c r="V215" s="34"/>
      <c r="W215" s="35" t="s">
        <v>69</v>
      </c>
      <c r="X215" s="543">
        <v>0</v>
      </c>
      <c r="Y215" s="544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 t="s">
        <v>83</v>
      </c>
      <c r="AK215" s="68">
        <v>69.599999999999994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37.5" hidden="1" customHeight="1" x14ac:dyDescent="0.25">
      <c r="A216" s="54" t="s">
        <v>356</v>
      </c>
      <c r="B216" s="54" t="s">
        <v>357</v>
      </c>
      <c r="C216" s="31">
        <v>4301051407</v>
      </c>
      <c r="D216" s="553">
        <v>4680115882195</v>
      </c>
      <c r="E216" s="554"/>
      <c r="F216" s="542">
        <v>0.4</v>
      </c>
      <c r="G216" s="32">
        <v>6</v>
      </c>
      <c r="H216" s="542">
        <v>2.4</v>
      </c>
      <c r="I216" s="542">
        <v>2.67</v>
      </c>
      <c r="J216" s="32">
        <v>182</v>
      </c>
      <c r="K216" s="32" t="s">
        <v>67</v>
      </c>
      <c r="L216" s="32" t="s">
        <v>80</v>
      </c>
      <c r="M216" s="33" t="s">
        <v>81</v>
      </c>
      <c r="N216" s="33"/>
      <c r="O216" s="32">
        <v>40</v>
      </c>
      <c r="P216" s="77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6" s="548"/>
      <c r="R216" s="548"/>
      <c r="S216" s="548"/>
      <c r="T216" s="549"/>
      <c r="U216" s="34"/>
      <c r="V216" s="34"/>
      <c r="W216" s="35" t="s">
        <v>69</v>
      </c>
      <c r="X216" s="543">
        <v>0</v>
      </c>
      <c r="Y216" s="544">
        <f t="shared" si="15"/>
        <v>0</v>
      </c>
      <c r="Z216" s="36" t="str">
        <f t="shared" ref="Z216:Z221" si="20">IFERROR(IF(Y216=0,"",ROUNDUP(Y216/H216,0)*0.00651),"")</f>
        <v/>
      </c>
      <c r="AA216" s="56"/>
      <c r="AB216" s="57"/>
      <c r="AC216" s="263" t="s">
        <v>358</v>
      </c>
      <c r="AG216" s="64"/>
      <c r="AJ216" s="68" t="s">
        <v>83</v>
      </c>
      <c r="AK216" s="68">
        <v>33.6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hidden="1" customHeight="1" x14ac:dyDescent="0.25">
      <c r="A217" s="54" t="s">
        <v>359</v>
      </c>
      <c r="B217" s="54" t="s">
        <v>360</v>
      </c>
      <c r="C217" s="31">
        <v>4301051752</v>
      </c>
      <c r="D217" s="553">
        <v>4680115882607</v>
      </c>
      <c r="E217" s="554"/>
      <c r="F217" s="542">
        <v>0.3</v>
      </c>
      <c r="G217" s="32">
        <v>6</v>
      </c>
      <c r="H217" s="542">
        <v>1.8</v>
      </c>
      <c r="I217" s="542">
        <v>2.052</v>
      </c>
      <c r="J217" s="32">
        <v>182</v>
      </c>
      <c r="K217" s="32" t="s">
        <v>67</v>
      </c>
      <c r="L217" s="32"/>
      <c r="M217" s="33" t="s">
        <v>88</v>
      </c>
      <c r="N217" s="33"/>
      <c r="O217" s="32">
        <v>45</v>
      </c>
      <c r="P217" s="70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7" s="548"/>
      <c r="R217" s="548"/>
      <c r="S217" s="548"/>
      <c r="T217" s="549"/>
      <c r="U217" s="34"/>
      <c r="V217" s="34"/>
      <c r="W217" s="35" t="s">
        <v>69</v>
      </c>
      <c r="X217" s="543">
        <v>0</v>
      </c>
      <c r="Y217" s="544">
        <f t="shared" si="15"/>
        <v>0</v>
      </c>
      <c r="Z217" s="36" t="str">
        <f t="shared" si="20"/>
        <v/>
      </c>
      <c r="AA217" s="56"/>
      <c r="AB217" s="57"/>
      <c r="AC217" s="265" t="s">
        <v>355</v>
      </c>
      <c r="AG217" s="64"/>
      <c r="AJ217" s="68"/>
      <c r="AK217" s="68">
        <v>0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hidden="1" customHeight="1" x14ac:dyDescent="0.25">
      <c r="A218" s="54" t="s">
        <v>361</v>
      </c>
      <c r="B218" s="54" t="s">
        <v>362</v>
      </c>
      <c r="C218" s="31">
        <v>4301051666</v>
      </c>
      <c r="D218" s="553">
        <v>4680115880092</v>
      </c>
      <c r="E218" s="554"/>
      <c r="F218" s="542">
        <v>0.4</v>
      </c>
      <c r="G218" s="32">
        <v>6</v>
      </c>
      <c r="H218" s="542">
        <v>2.4</v>
      </c>
      <c r="I218" s="542">
        <v>2.6520000000000001</v>
      </c>
      <c r="J218" s="32">
        <v>182</v>
      </c>
      <c r="K218" s="32" t="s">
        <v>67</v>
      </c>
      <c r="L218" s="32" t="s">
        <v>80</v>
      </c>
      <c r="M218" s="33" t="s">
        <v>81</v>
      </c>
      <c r="N218" s="33"/>
      <c r="O218" s="32">
        <v>45</v>
      </c>
      <c r="P218" s="5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8" s="548"/>
      <c r="R218" s="548"/>
      <c r="S218" s="548"/>
      <c r="T218" s="549"/>
      <c r="U218" s="34"/>
      <c r="V218" s="34"/>
      <c r="W218" s="35" t="s">
        <v>69</v>
      </c>
      <c r="X218" s="543">
        <v>0</v>
      </c>
      <c r="Y218" s="544">
        <f t="shared" si="15"/>
        <v>0</v>
      </c>
      <c r="Z218" s="36" t="str">
        <f t="shared" si="20"/>
        <v/>
      </c>
      <c r="AA218" s="56"/>
      <c r="AB218" s="57"/>
      <c r="AC218" s="267" t="s">
        <v>355</v>
      </c>
      <c r="AG218" s="64"/>
      <c r="AJ218" s="68" t="s">
        <v>83</v>
      </c>
      <c r="AK218" s="68">
        <v>33.6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hidden="1" customHeight="1" x14ac:dyDescent="0.25">
      <c r="A219" s="54" t="s">
        <v>363</v>
      </c>
      <c r="B219" s="54" t="s">
        <v>364</v>
      </c>
      <c r="C219" s="31">
        <v>4301051668</v>
      </c>
      <c r="D219" s="553">
        <v>4680115880221</v>
      </c>
      <c r="E219" s="554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67</v>
      </c>
      <c r="L219" s="32"/>
      <c r="M219" s="33" t="s">
        <v>81</v>
      </c>
      <c r="N219" s="33"/>
      <c r="O219" s="32">
        <v>45</v>
      </c>
      <c r="P219" s="75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3">
        <v>0</v>
      </c>
      <c r="Y219" s="544">
        <f t="shared" si="15"/>
        <v>0</v>
      </c>
      <c r="Z219" s="36" t="str">
        <f t="shared" si="20"/>
        <v/>
      </c>
      <c r="AA219" s="56"/>
      <c r="AB219" s="57"/>
      <c r="AC219" s="269" t="s">
        <v>355</v>
      </c>
      <c r="AG219" s="64"/>
      <c r="AJ219" s="68"/>
      <c r="AK219" s="68">
        <v>0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hidden="1" customHeight="1" x14ac:dyDescent="0.25">
      <c r="A220" s="54" t="s">
        <v>365</v>
      </c>
      <c r="B220" s="54" t="s">
        <v>366</v>
      </c>
      <c r="C220" s="31">
        <v>4301051945</v>
      </c>
      <c r="D220" s="553">
        <v>4680115880504</v>
      </c>
      <c r="E220" s="554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67</v>
      </c>
      <c r="L220" s="32" t="s">
        <v>80</v>
      </c>
      <c r="M220" s="33" t="s">
        <v>88</v>
      </c>
      <c r="N220" s="33"/>
      <c r="O220" s="32">
        <v>40</v>
      </c>
      <c r="P220" s="85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0" s="548"/>
      <c r="R220" s="548"/>
      <c r="S220" s="548"/>
      <c r="T220" s="549"/>
      <c r="U220" s="34"/>
      <c r="V220" s="34"/>
      <c r="W220" s="35" t="s">
        <v>69</v>
      </c>
      <c r="X220" s="543">
        <v>0</v>
      </c>
      <c r="Y220" s="544">
        <f t="shared" si="15"/>
        <v>0</v>
      </c>
      <c r="Z220" s="36" t="str">
        <f t="shared" si="20"/>
        <v/>
      </c>
      <c r="AA220" s="56"/>
      <c r="AB220" s="57"/>
      <c r="AC220" s="271" t="s">
        <v>367</v>
      </c>
      <c r="AG220" s="64"/>
      <c r="AJ220" s="68" t="s">
        <v>83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ht="27" hidden="1" customHeight="1" x14ac:dyDescent="0.25">
      <c r="A221" s="54" t="s">
        <v>368</v>
      </c>
      <c r="B221" s="54" t="s">
        <v>369</v>
      </c>
      <c r="C221" s="31">
        <v>4301051410</v>
      </c>
      <c r="D221" s="553">
        <v>4680115882164</v>
      </c>
      <c r="E221" s="554"/>
      <c r="F221" s="542">
        <v>0.4</v>
      </c>
      <c r="G221" s="32">
        <v>6</v>
      </c>
      <c r="H221" s="542">
        <v>2.4</v>
      </c>
      <c r="I221" s="542">
        <v>2.6579999999999999</v>
      </c>
      <c r="J221" s="32">
        <v>182</v>
      </c>
      <c r="K221" s="32" t="s">
        <v>67</v>
      </c>
      <c r="L221" s="32" t="s">
        <v>80</v>
      </c>
      <c r="M221" s="33" t="s">
        <v>81</v>
      </c>
      <c r="N221" s="33"/>
      <c r="O221" s="32">
        <v>40</v>
      </c>
      <c r="P221" s="84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1" s="548"/>
      <c r="R221" s="548"/>
      <c r="S221" s="548"/>
      <c r="T221" s="549"/>
      <c r="U221" s="34"/>
      <c r="V221" s="34"/>
      <c r="W221" s="35" t="s">
        <v>69</v>
      </c>
      <c r="X221" s="543">
        <v>0</v>
      </c>
      <c r="Y221" s="544">
        <f t="shared" si="15"/>
        <v>0</v>
      </c>
      <c r="Z221" s="36" t="str">
        <f t="shared" si="20"/>
        <v/>
      </c>
      <c r="AA221" s="56"/>
      <c r="AB221" s="57"/>
      <c r="AC221" s="273" t="s">
        <v>352</v>
      </c>
      <c r="AG221" s="64"/>
      <c r="AJ221" s="68" t="s">
        <v>83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x14ac:dyDescent="0.2">
      <c r="A222" s="568"/>
      <c r="B222" s="556"/>
      <c r="C222" s="556"/>
      <c r="D222" s="556"/>
      <c r="E222" s="556"/>
      <c r="F222" s="556"/>
      <c r="G222" s="556"/>
      <c r="H222" s="556"/>
      <c r="I222" s="556"/>
      <c r="J222" s="556"/>
      <c r="K222" s="556"/>
      <c r="L222" s="556"/>
      <c r="M222" s="556"/>
      <c r="N222" s="556"/>
      <c r="O222" s="569"/>
      <c r="P222" s="563" t="s">
        <v>75</v>
      </c>
      <c r="Q222" s="564"/>
      <c r="R222" s="564"/>
      <c r="S222" s="564"/>
      <c r="T222" s="564"/>
      <c r="U222" s="564"/>
      <c r="V222" s="565"/>
      <c r="W222" s="37" t="s">
        <v>76</v>
      </c>
      <c r="X222" s="545">
        <f>IFERROR(X213/H213,"0")+IFERROR(X214/H214,"0")+IFERROR(X215/H215,"0")+IFERROR(X216/H216,"0")+IFERROR(X217/H217,"0")+IFERROR(X218/H218,"0")+IFERROR(X219/H219,"0")+IFERROR(X220/H220,"0")+IFERROR(X221/H221,"0")</f>
        <v>4.3209876543209882</v>
      </c>
      <c r="Y222" s="545">
        <f>IFERROR(Y213/H213,"0")+IFERROR(Y214/H214,"0")+IFERROR(Y215/H215,"0")+IFERROR(Y216/H216,"0")+IFERROR(Y217/H217,"0")+IFERROR(Y218/H218,"0")+IFERROR(Y219/H219,"0")+IFERROR(Y220/H220,"0")+IFERROR(Y221/H221,"0")</f>
        <v>5</v>
      </c>
      <c r="Z222" s="545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9.4900000000000012E-2</v>
      </c>
      <c r="AA222" s="546"/>
      <c r="AB222" s="546"/>
      <c r="AC222" s="546"/>
    </row>
    <row r="223" spans="1:68" x14ac:dyDescent="0.2">
      <c r="A223" s="556"/>
      <c r="B223" s="556"/>
      <c r="C223" s="556"/>
      <c r="D223" s="556"/>
      <c r="E223" s="556"/>
      <c r="F223" s="556"/>
      <c r="G223" s="556"/>
      <c r="H223" s="556"/>
      <c r="I223" s="556"/>
      <c r="J223" s="556"/>
      <c r="K223" s="556"/>
      <c r="L223" s="556"/>
      <c r="M223" s="556"/>
      <c r="N223" s="556"/>
      <c r="O223" s="569"/>
      <c r="P223" s="563" t="s">
        <v>75</v>
      </c>
      <c r="Q223" s="564"/>
      <c r="R223" s="564"/>
      <c r="S223" s="564"/>
      <c r="T223" s="564"/>
      <c r="U223" s="564"/>
      <c r="V223" s="565"/>
      <c r="W223" s="37" t="s">
        <v>69</v>
      </c>
      <c r="X223" s="545">
        <f>IFERROR(SUM(X213:X221),"0")</f>
        <v>35</v>
      </c>
      <c r="Y223" s="545">
        <f>IFERROR(SUM(Y213:Y221),"0")</f>
        <v>40.5</v>
      </c>
      <c r="Z223" s="37"/>
      <c r="AA223" s="546"/>
      <c r="AB223" s="546"/>
      <c r="AC223" s="546"/>
    </row>
    <row r="224" spans="1:68" ht="14.25" hidden="1" customHeight="1" x14ac:dyDescent="0.25">
      <c r="A224" s="567" t="s">
        <v>158</v>
      </c>
      <c r="B224" s="556"/>
      <c r="C224" s="556"/>
      <c r="D224" s="556"/>
      <c r="E224" s="556"/>
      <c r="F224" s="556"/>
      <c r="G224" s="556"/>
      <c r="H224" s="556"/>
      <c r="I224" s="556"/>
      <c r="J224" s="556"/>
      <c r="K224" s="556"/>
      <c r="L224" s="556"/>
      <c r="M224" s="556"/>
      <c r="N224" s="556"/>
      <c r="O224" s="556"/>
      <c r="P224" s="556"/>
      <c r="Q224" s="556"/>
      <c r="R224" s="556"/>
      <c r="S224" s="556"/>
      <c r="T224" s="556"/>
      <c r="U224" s="556"/>
      <c r="V224" s="556"/>
      <c r="W224" s="556"/>
      <c r="X224" s="556"/>
      <c r="Y224" s="556"/>
      <c r="Z224" s="556"/>
      <c r="AA224" s="539"/>
      <c r="AB224" s="539"/>
      <c r="AC224" s="539"/>
    </row>
    <row r="225" spans="1:68" ht="27" hidden="1" customHeight="1" x14ac:dyDescent="0.25">
      <c r="A225" s="54" t="s">
        <v>370</v>
      </c>
      <c r="B225" s="54" t="s">
        <v>371</v>
      </c>
      <c r="C225" s="31">
        <v>4301060463</v>
      </c>
      <c r="D225" s="553">
        <v>4680115880818</v>
      </c>
      <c r="E225" s="554"/>
      <c r="F225" s="542">
        <v>0.4</v>
      </c>
      <c r="G225" s="32">
        <v>6</v>
      </c>
      <c r="H225" s="542">
        <v>2.4</v>
      </c>
      <c r="I225" s="542">
        <v>2.6520000000000001</v>
      </c>
      <c r="J225" s="32">
        <v>182</v>
      </c>
      <c r="K225" s="32" t="s">
        <v>67</v>
      </c>
      <c r="L225" s="32" t="s">
        <v>80</v>
      </c>
      <c r="M225" s="33" t="s">
        <v>88</v>
      </c>
      <c r="N225" s="33"/>
      <c r="O225" s="32">
        <v>40</v>
      </c>
      <c r="P225" s="6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3">
        <v>0</v>
      </c>
      <c r="Y225" s="54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372</v>
      </c>
      <c r="AG225" s="64"/>
      <c r="AJ225" s="68" t="s">
        <v>83</v>
      </c>
      <c r="AK225" s="68">
        <v>33.6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t="37.5" hidden="1" customHeight="1" x14ac:dyDescent="0.25">
      <c r="A226" s="54" t="s">
        <v>373</v>
      </c>
      <c r="B226" s="54" t="s">
        <v>374</v>
      </c>
      <c r="C226" s="31">
        <v>4301060389</v>
      </c>
      <c r="D226" s="553">
        <v>4680115880801</v>
      </c>
      <c r="E226" s="554"/>
      <c r="F226" s="542">
        <v>0.4</v>
      </c>
      <c r="G226" s="32">
        <v>6</v>
      </c>
      <c r="H226" s="542">
        <v>2.4</v>
      </c>
      <c r="I226" s="542">
        <v>2.6520000000000001</v>
      </c>
      <c r="J226" s="32">
        <v>182</v>
      </c>
      <c r="K226" s="32" t="s">
        <v>67</v>
      </c>
      <c r="L226" s="32" t="s">
        <v>80</v>
      </c>
      <c r="M226" s="33" t="s">
        <v>81</v>
      </c>
      <c r="N226" s="33"/>
      <c r="O226" s="32">
        <v>40</v>
      </c>
      <c r="P226" s="67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3">
        <v>0</v>
      </c>
      <c r="Y226" s="544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 t="s">
        <v>83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idden="1" x14ac:dyDescent="0.2">
      <c r="A227" s="568"/>
      <c r="B227" s="556"/>
      <c r="C227" s="556"/>
      <c r="D227" s="556"/>
      <c r="E227" s="556"/>
      <c r="F227" s="556"/>
      <c r="G227" s="556"/>
      <c r="H227" s="556"/>
      <c r="I227" s="556"/>
      <c r="J227" s="556"/>
      <c r="K227" s="556"/>
      <c r="L227" s="556"/>
      <c r="M227" s="556"/>
      <c r="N227" s="556"/>
      <c r="O227" s="569"/>
      <c r="P227" s="563" t="s">
        <v>75</v>
      </c>
      <c r="Q227" s="564"/>
      <c r="R227" s="564"/>
      <c r="S227" s="564"/>
      <c r="T227" s="564"/>
      <c r="U227" s="564"/>
      <c r="V227" s="565"/>
      <c r="W227" s="37" t="s">
        <v>76</v>
      </c>
      <c r="X227" s="545">
        <f>IFERROR(X225/H225,"0")+IFERROR(X226/H226,"0")</f>
        <v>0</v>
      </c>
      <c r="Y227" s="545">
        <f>IFERROR(Y225/H225,"0")+IFERROR(Y226/H226,"0")</f>
        <v>0</v>
      </c>
      <c r="Z227" s="545">
        <f>IFERROR(IF(Z225="",0,Z225),"0")+IFERROR(IF(Z226="",0,Z226),"0")</f>
        <v>0</v>
      </c>
      <c r="AA227" s="546"/>
      <c r="AB227" s="546"/>
      <c r="AC227" s="546"/>
    </row>
    <row r="228" spans="1:68" hidden="1" x14ac:dyDescent="0.2">
      <c r="A228" s="556"/>
      <c r="B228" s="556"/>
      <c r="C228" s="556"/>
      <c r="D228" s="556"/>
      <c r="E228" s="556"/>
      <c r="F228" s="556"/>
      <c r="G228" s="556"/>
      <c r="H228" s="556"/>
      <c r="I228" s="556"/>
      <c r="J228" s="556"/>
      <c r="K228" s="556"/>
      <c r="L228" s="556"/>
      <c r="M228" s="556"/>
      <c r="N228" s="556"/>
      <c r="O228" s="569"/>
      <c r="P228" s="563" t="s">
        <v>75</v>
      </c>
      <c r="Q228" s="564"/>
      <c r="R228" s="564"/>
      <c r="S228" s="564"/>
      <c r="T228" s="564"/>
      <c r="U228" s="564"/>
      <c r="V228" s="565"/>
      <c r="W228" s="37" t="s">
        <v>69</v>
      </c>
      <c r="X228" s="545">
        <f>IFERROR(SUM(X225:X226),"0")</f>
        <v>0</v>
      </c>
      <c r="Y228" s="545">
        <f>IFERROR(SUM(Y225:Y226),"0")</f>
        <v>0</v>
      </c>
      <c r="Z228" s="37"/>
      <c r="AA228" s="546"/>
      <c r="AB228" s="546"/>
      <c r="AC228" s="546"/>
    </row>
    <row r="229" spans="1:68" ht="16.5" hidden="1" customHeight="1" x14ac:dyDescent="0.25">
      <c r="A229" s="599" t="s">
        <v>376</v>
      </c>
      <c r="B229" s="556"/>
      <c r="C229" s="556"/>
      <c r="D229" s="556"/>
      <c r="E229" s="556"/>
      <c r="F229" s="556"/>
      <c r="G229" s="556"/>
      <c r="H229" s="556"/>
      <c r="I229" s="556"/>
      <c r="J229" s="556"/>
      <c r="K229" s="556"/>
      <c r="L229" s="556"/>
      <c r="M229" s="556"/>
      <c r="N229" s="556"/>
      <c r="O229" s="556"/>
      <c r="P229" s="556"/>
      <c r="Q229" s="556"/>
      <c r="R229" s="556"/>
      <c r="S229" s="556"/>
      <c r="T229" s="556"/>
      <c r="U229" s="556"/>
      <c r="V229" s="556"/>
      <c r="W229" s="556"/>
      <c r="X229" s="556"/>
      <c r="Y229" s="556"/>
      <c r="Z229" s="556"/>
      <c r="AA229" s="538"/>
      <c r="AB229" s="538"/>
      <c r="AC229" s="538"/>
    </row>
    <row r="230" spans="1:68" ht="14.25" hidden="1" customHeight="1" x14ac:dyDescent="0.25">
      <c r="A230" s="567" t="s">
        <v>101</v>
      </c>
      <c r="B230" s="556"/>
      <c r="C230" s="556"/>
      <c r="D230" s="556"/>
      <c r="E230" s="556"/>
      <c r="F230" s="556"/>
      <c r="G230" s="556"/>
      <c r="H230" s="556"/>
      <c r="I230" s="556"/>
      <c r="J230" s="556"/>
      <c r="K230" s="556"/>
      <c r="L230" s="556"/>
      <c r="M230" s="556"/>
      <c r="N230" s="556"/>
      <c r="O230" s="556"/>
      <c r="P230" s="556"/>
      <c r="Q230" s="556"/>
      <c r="R230" s="556"/>
      <c r="S230" s="556"/>
      <c r="T230" s="556"/>
      <c r="U230" s="556"/>
      <c r="V230" s="556"/>
      <c r="W230" s="556"/>
      <c r="X230" s="556"/>
      <c r="Y230" s="556"/>
      <c r="Z230" s="556"/>
      <c r="AA230" s="539"/>
      <c r="AB230" s="539"/>
      <c r="AC230" s="539"/>
    </row>
    <row r="231" spans="1:68" ht="27" hidden="1" customHeight="1" x14ac:dyDescent="0.25">
      <c r="A231" s="54" t="s">
        <v>377</v>
      </c>
      <c r="B231" s="54" t="s">
        <v>378</v>
      </c>
      <c r="C231" s="31">
        <v>4301011826</v>
      </c>
      <c r="D231" s="553">
        <v>4680115884137</v>
      </c>
      <c r="E231" s="554"/>
      <c r="F231" s="542">
        <v>1.45</v>
      </c>
      <c r="G231" s="32">
        <v>8</v>
      </c>
      <c r="H231" s="542">
        <v>11.6</v>
      </c>
      <c r="I231" s="542">
        <v>12.01</v>
      </c>
      <c r="J231" s="32">
        <v>64</v>
      </c>
      <c r="K231" s="32" t="s">
        <v>104</v>
      </c>
      <c r="L231" s="32"/>
      <c r="M231" s="33" t="s">
        <v>106</v>
      </c>
      <c r="N231" s="33"/>
      <c r="O231" s="32">
        <v>55</v>
      </c>
      <c r="P231" s="86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3">
        <v>0</v>
      </c>
      <c r="Y231" s="544">
        <f t="shared" ref="Y231:Y239" si="21">IFERROR(IF(X231="",0,CEILING((X231/$H231),1)*$H231),"")</f>
        <v>0</v>
      </c>
      <c r="Z231" s="36" t="str">
        <f>IFERROR(IF(Y231=0,"",ROUNDUP(Y231/H231,0)*0.01898),"")</f>
        <v/>
      </c>
      <c r="AA231" s="56"/>
      <c r="AB231" s="57"/>
      <c r="AC231" s="279" t="s">
        <v>379</v>
      </c>
      <c r="AG231" s="64"/>
      <c r="AJ231" s="68"/>
      <c r="AK231" s="68">
        <v>0</v>
      </c>
      <c r="BB231" s="280" t="s">
        <v>1</v>
      </c>
      <c r="BM231" s="64">
        <f t="shared" ref="BM231:BM239" si="22">IFERROR(X231*I231/H231,"0")</f>
        <v>0</v>
      </c>
      <c r="BN231" s="64">
        <f t="shared" ref="BN231:BN239" si="23">IFERROR(Y231*I231/H231,"0")</f>
        <v>0</v>
      </c>
      <c r="BO231" s="64">
        <f t="shared" ref="BO231:BO239" si="24">IFERROR(1/J231*(X231/H231),"0")</f>
        <v>0</v>
      </c>
      <c r="BP231" s="64">
        <f t="shared" ref="BP231:BP239" si="25">IFERROR(1/J231*(Y231/H231),"0")</f>
        <v>0</v>
      </c>
    </row>
    <row r="232" spans="1:68" ht="27" hidden="1" customHeight="1" x14ac:dyDescent="0.25">
      <c r="A232" s="54" t="s">
        <v>380</v>
      </c>
      <c r="B232" s="54" t="s">
        <v>381</v>
      </c>
      <c r="C232" s="31">
        <v>4301011724</v>
      </c>
      <c r="D232" s="553">
        <v>4680115884236</v>
      </c>
      <c r="E232" s="554"/>
      <c r="F232" s="542">
        <v>1.45</v>
      </c>
      <c r="G232" s="32">
        <v>8</v>
      </c>
      <c r="H232" s="542">
        <v>11.6</v>
      </c>
      <c r="I232" s="542">
        <v>12.01</v>
      </c>
      <c r="J232" s="32">
        <v>64</v>
      </c>
      <c r="K232" s="32" t="s">
        <v>104</v>
      </c>
      <c r="L232" s="32"/>
      <c r="M232" s="33" t="s">
        <v>106</v>
      </c>
      <c r="N232" s="33"/>
      <c r="O232" s="32">
        <v>55</v>
      </c>
      <c r="P232" s="71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383</v>
      </c>
      <c r="B233" s="54" t="s">
        <v>384</v>
      </c>
      <c r="C233" s="31">
        <v>4301011721</v>
      </c>
      <c r="D233" s="553">
        <v>4680115884175</v>
      </c>
      <c r="E233" s="554"/>
      <c r="F233" s="542">
        <v>1.45</v>
      </c>
      <c r="G233" s="32">
        <v>8</v>
      </c>
      <c r="H233" s="542">
        <v>11.6</v>
      </c>
      <c r="I233" s="542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2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4301011824</v>
      </c>
      <c r="D234" s="553">
        <v>4680115884144</v>
      </c>
      <c r="E234" s="554"/>
      <c r="F234" s="542">
        <v>0.4</v>
      </c>
      <c r="G234" s="32">
        <v>10</v>
      </c>
      <c r="H234" s="542">
        <v>4</v>
      </c>
      <c r="I234" s="542">
        <v>4.1900000000000004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83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4" s="548"/>
      <c r="R234" s="548"/>
      <c r="S234" s="548"/>
      <c r="T234" s="549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379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386</v>
      </c>
      <c r="B235" s="54" t="s">
        <v>388</v>
      </c>
      <c r="C235" s="31">
        <v>4301012196</v>
      </c>
      <c r="D235" s="553">
        <v>4680115884144</v>
      </c>
      <c r="E235" s="554"/>
      <c r="F235" s="542">
        <v>0.4</v>
      </c>
      <c r="G235" s="32">
        <v>10</v>
      </c>
      <c r="H235" s="542">
        <v>4</v>
      </c>
      <c r="I235" s="542">
        <v>4.1900000000000004</v>
      </c>
      <c r="J235" s="32">
        <v>132</v>
      </c>
      <c r="K235" s="32" t="s">
        <v>110</v>
      </c>
      <c r="L235" s="32"/>
      <c r="M235" s="33" t="s">
        <v>106</v>
      </c>
      <c r="N235" s="33"/>
      <c r="O235" s="32">
        <v>55</v>
      </c>
      <c r="P235" s="728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5" s="548"/>
      <c r="R235" s="548"/>
      <c r="S235" s="548"/>
      <c r="T235" s="549"/>
      <c r="U235" s="34"/>
      <c r="V235" s="34"/>
      <c r="W235" s="35" t="s">
        <v>69</v>
      </c>
      <c r="X235" s="543">
        <v>0</v>
      </c>
      <c r="Y235" s="544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379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389</v>
      </c>
      <c r="B236" s="54" t="s">
        <v>390</v>
      </c>
      <c r="C236" s="31">
        <v>4301012149</v>
      </c>
      <c r="D236" s="553">
        <v>4680115886551</v>
      </c>
      <c r="E236" s="554"/>
      <c r="F236" s="542">
        <v>0.4</v>
      </c>
      <c r="G236" s="32">
        <v>10</v>
      </c>
      <c r="H236" s="542">
        <v>4</v>
      </c>
      <c r="I236" s="542">
        <v>4.1900000000000004</v>
      </c>
      <c r="J236" s="32">
        <v>132</v>
      </c>
      <c r="K236" s="32" t="s">
        <v>110</v>
      </c>
      <c r="L236" s="32"/>
      <c r="M236" s="33" t="s">
        <v>106</v>
      </c>
      <c r="N236" s="33"/>
      <c r="O236" s="32">
        <v>55</v>
      </c>
      <c r="P236" s="81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6" s="548"/>
      <c r="R236" s="548"/>
      <c r="S236" s="548"/>
      <c r="T236" s="549"/>
      <c r="U236" s="34"/>
      <c r="V236" s="34"/>
      <c r="W236" s="35" t="s">
        <v>69</v>
      </c>
      <c r="X236" s="543">
        <v>0</v>
      </c>
      <c r="Y236" s="544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391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392</v>
      </c>
      <c r="B237" s="54" t="s">
        <v>393</v>
      </c>
      <c r="C237" s="31">
        <v>4301012228</v>
      </c>
      <c r="D237" s="553">
        <v>4680115887282</v>
      </c>
      <c r="E237" s="554"/>
      <c r="F237" s="542">
        <v>0.4</v>
      </c>
      <c r="G237" s="32">
        <v>6</v>
      </c>
      <c r="H237" s="542">
        <v>2.4</v>
      </c>
      <c r="I237" s="542">
        <v>2.58</v>
      </c>
      <c r="J237" s="32">
        <v>182</v>
      </c>
      <c r="K237" s="32" t="s">
        <v>67</v>
      </c>
      <c r="L237" s="32"/>
      <c r="M237" s="33" t="s">
        <v>106</v>
      </c>
      <c r="N237" s="33"/>
      <c r="O237" s="32">
        <v>55</v>
      </c>
      <c r="P237" s="82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7" s="548"/>
      <c r="R237" s="548"/>
      <c r="S237" s="548"/>
      <c r="T237" s="549"/>
      <c r="U237" s="34"/>
      <c r="V237" s="34"/>
      <c r="W237" s="35" t="s">
        <v>69</v>
      </c>
      <c r="X237" s="543">
        <v>0</v>
      </c>
      <c r="Y237" s="544">
        <f t="shared" si="21"/>
        <v>0</v>
      </c>
      <c r="Z237" s="36" t="str">
        <f>IFERROR(IF(Y237=0,"",ROUNDUP(Y237/H237,0)*0.00651),"")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4301011722</v>
      </c>
      <c r="D238" s="553">
        <v>4680115884205</v>
      </c>
      <c r="E238" s="554"/>
      <c r="F238" s="542">
        <v>0.4</v>
      </c>
      <c r="G238" s="32">
        <v>10</v>
      </c>
      <c r="H238" s="542">
        <v>4</v>
      </c>
      <c r="I238" s="542">
        <v>4.1900000000000004</v>
      </c>
      <c r="J238" s="32">
        <v>132</v>
      </c>
      <c r="K238" s="32" t="s">
        <v>110</v>
      </c>
      <c r="L238" s="32" t="s">
        <v>111</v>
      </c>
      <c r="M238" s="33" t="s">
        <v>106</v>
      </c>
      <c r="N238" s="33"/>
      <c r="O238" s="32">
        <v>55</v>
      </c>
      <c r="P238" s="73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8" s="548"/>
      <c r="R238" s="548"/>
      <c r="S238" s="548"/>
      <c r="T238" s="549"/>
      <c r="U238" s="34"/>
      <c r="V238" s="34"/>
      <c r="W238" s="35" t="s">
        <v>69</v>
      </c>
      <c r="X238" s="543">
        <v>0</v>
      </c>
      <c r="Y238" s="544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385</v>
      </c>
      <c r="AG238" s="64"/>
      <c r="AJ238" s="68" t="s">
        <v>83</v>
      </c>
      <c r="AK238" s="68">
        <v>48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hidden="1" customHeight="1" x14ac:dyDescent="0.25">
      <c r="A239" s="54" t="s">
        <v>395</v>
      </c>
      <c r="B239" s="54" t="s">
        <v>397</v>
      </c>
      <c r="C239" s="31">
        <v>4301012195</v>
      </c>
      <c r="D239" s="553">
        <v>4680115884205</v>
      </c>
      <c r="E239" s="554"/>
      <c r="F239" s="542">
        <v>0.4</v>
      </c>
      <c r="G239" s="32">
        <v>10</v>
      </c>
      <c r="H239" s="542">
        <v>4</v>
      </c>
      <c r="I239" s="542">
        <v>4.1900000000000004</v>
      </c>
      <c r="J239" s="32">
        <v>132</v>
      </c>
      <c r="K239" s="32" t="s">
        <v>110</v>
      </c>
      <c r="L239" s="32"/>
      <c r="M239" s="33" t="s">
        <v>106</v>
      </c>
      <c r="N239" s="33"/>
      <c r="O239" s="32">
        <v>55</v>
      </c>
      <c r="P239" s="76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9" s="548"/>
      <c r="R239" s="548"/>
      <c r="S239" s="548"/>
      <c r="T239" s="549"/>
      <c r="U239" s="34"/>
      <c r="V239" s="34"/>
      <c r="W239" s="35" t="s">
        <v>69</v>
      </c>
      <c r="X239" s="543">
        <v>0</v>
      </c>
      <c r="Y239" s="544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385</v>
      </c>
      <c r="AG239" s="64"/>
      <c r="AJ239" s="68"/>
      <c r="AK239" s="68">
        <v>0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idden="1" x14ac:dyDescent="0.2">
      <c r="A240" s="568"/>
      <c r="B240" s="556"/>
      <c r="C240" s="556"/>
      <c r="D240" s="556"/>
      <c r="E240" s="556"/>
      <c r="F240" s="556"/>
      <c r="G240" s="556"/>
      <c r="H240" s="556"/>
      <c r="I240" s="556"/>
      <c r="J240" s="556"/>
      <c r="K240" s="556"/>
      <c r="L240" s="556"/>
      <c r="M240" s="556"/>
      <c r="N240" s="556"/>
      <c r="O240" s="569"/>
      <c r="P240" s="563" t="s">
        <v>75</v>
      </c>
      <c r="Q240" s="564"/>
      <c r="R240" s="564"/>
      <c r="S240" s="564"/>
      <c r="T240" s="564"/>
      <c r="U240" s="564"/>
      <c r="V240" s="565"/>
      <c r="W240" s="37" t="s">
        <v>76</v>
      </c>
      <c r="X240" s="545">
        <f>IFERROR(X231/H231,"0")+IFERROR(X232/H232,"0")+IFERROR(X233/H233,"0")+IFERROR(X234/H234,"0")+IFERROR(X235/H235,"0")+IFERROR(X236/H236,"0")+IFERROR(X237/H237,"0")+IFERROR(X238/H238,"0")+IFERROR(X239/H239,"0")</f>
        <v>0</v>
      </c>
      <c r="Y240" s="545">
        <f>IFERROR(Y231/H231,"0")+IFERROR(Y232/H232,"0")+IFERROR(Y233/H233,"0")+IFERROR(Y234/H234,"0")+IFERROR(Y235/H235,"0")+IFERROR(Y236/H236,"0")+IFERROR(Y237/H237,"0")+IFERROR(Y238/H238,"0")+IFERROR(Y239/H239,"0")</f>
        <v>0</v>
      </c>
      <c r="Z240" s="545">
        <f>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546"/>
      <c r="AB240" s="546"/>
      <c r="AC240" s="546"/>
    </row>
    <row r="241" spans="1:68" hidden="1" x14ac:dyDescent="0.2">
      <c r="A241" s="556"/>
      <c r="B241" s="556"/>
      <c r="C241" s="556"/>
      <c r="D241" s="556"/>
      <c r="E241" s="556"/>
      <c r="F241" s="556"/>
      <c r="G241" s="556"/>
      <c r="H241" s="556"/>
      <c r="I241" s="556"/>
      <c r="J241" s="556"/>
      <c r="K241" s="556"/>
      <c r="L241" s="556"/>
      <c r="M241" s="556"/>
      <c r="N241" s="556"/>
      <c r="O241" s="569"/>
      <c r="P241" s="563" t="s">
        <v>75</v>
      </c>
      <c r="Q241" s="564"/>
      <c r="R241" s="564"/>
      <c r="S241" s="564"/>
      <c r="T241" s="564"/>
      <c r="U241" s="564"/>
      <c r="V241" s="565"/>
      <c r="W241" s="37" t="s">
        <v>69</v>
      </c>
      <c r="X241" s="545">
        <f>IFERROR(SUM(X231:X239),"0")</f>
        <v>0</v>
      </c>
      <c r="Y241" s="545">
        <f>IFERROR(SUM(Y231:Y239),"0")</f>
        <v>0</v>
      </c>
      <c r="Z241" s="37"/>
      <c r="AA241" s="546"/>
      <c r="AB241" s="546"/>
      <c r="AC241" s="546"/>
    </row>
    <row r="242" spans="1:68" ht="14.25" hidden="1" customHeight="1" x14ac:dyDescent="0.25">
      <c r="A242" s="567" t="s">
        <v>136</v>
      </c>
      <c r="B242" s="556"/>
      <c r="C242" s="556"/>
      <c r="D242" s="556"/>
      <c r="E242" s="556"/>
      <c r="F242" s="556"/>
      <c r="G242" s="556"/>
      <c r="H242" s="556"/>
      <c r="I242" s="556"/>
      <c r="J242" s="556"/>
      <c r="K242" s="556"/>
      <c r="L242" s="556"/>
      <c r="M242" s="556"/>
      <c r="N242" s="556"/>
      <c r="O242" s="556"/>
      <c r="P242" s="556"/>
      <c r="Q242" s="556"/>
      <c r="R242" s="556"/>
      <c r="S242" s="556"/>
      <c r="T242" s="556"/>
      <c r="U242" s="556"/>
      <c r="V242" s="556"/>
      <c r="W242" s="556"/>
      <c r="X242" s="556"/>
      <c r="Y242" s="556"/>
      <c r="Z242" s="556"/>
      <c r="AA242" s="539"/>
      <c r="AB242" s="539"/>
      <c r="AC242" s="539"/>
    </row>
    <row r="243" spans="1:68" ht="27" hidden="1" customHeight="1" x14ac:dyDescent="0.25">
      <c r="A243" s="54" t="s">
        <v>398</v>
      </c>
      <c r="B243" s="54" t="s">
        <v>399</v>
      </c>
      <c r="C243" s="31">
        <v>4301020377</v>
      </c>
      <c r="D243" s="553">
        <v>4680115885981</v>
      </c>
      <c r="E243" s="554"/>
      <c r="F243" s="542">
        <v>0.33</v>
      </c>
      <c r="G243" s="32">
        <v>6</v>
      </c>
      <c r="H243" s="542">
        <v>1.98</v>
      </c>
      <c r="I243" s="542">
        <v>2.08</v>
      </c>
      <c r="J243" s="32">
        <v>234</v>
      </c>
      <c r="K243" s="32" t="s">
        <v>73</v>
      </c>
      <c r="L243" s="32"/>
      <c r="M243" s="33" t="s">
        <v>81</v>
      </c>
      <c r="N243" s="33"/>
      <c r="O243" s="32">
        <v>50</v>
      </c>
      <c r="P243" s="60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3" s="548"/>
      <c r="R243" s="548"/>
      <c r="S243" s="548"/>
      <c r="T243" s="549"/>
      <c r="U243" s="34"/>
      <c r="V243" s="34"/>
      <c r="W243" s="35" t="s">
        <v>69</v>
      </c>
      <c r="X243" s="543">
        <v>0</v>
      </c>
      <c r="Y243" s="544">
        <f>IFERROR(IF(X243="",0,CEILING((X243/$H243),1)*$H243),"")</f>
        <v>0</v>
      </c>
      <c r="Z243" s="36" t="str">
        <f>IFERROR(IF(Y243=0,"",ROUNDUP(Y243/H243,0)*0.00502),"")</f>
        <v/>
      </c>
      <c r="AA243" s="56"/>
      <c r="AB243" s="57"/>
      <c r="AC243" s="297" t="s">
        <v>400</v>
      </c>
      <c r="AG243" s="64"/>
      <c r="AJ243" s="68"/>
      <c r="AK243" s="68">
        <v>0</v>
      </c>
      <c r="BB243" s="298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idden="1" x14ac:dyDescent="0.2">
      <c r="A244" s="568"/>
      <c r="B244" s="556"/>
      <c r="C244" s="556"/>
      <c r="D244" s="556"/>
      <c r="E244" s="556"/>
      <c r="F244" s="556"/>
      <c r="G244" s="556"/>
      <c r="H244" s="556"/>
      <c r="I244" s="556"/>
      <c r="J244" s="556"/>
      <c r="K244" s="556"/>
      <c r="L244" s="556"/>
      <c r="M244" s="556"/>
      <c r="N244" s="556"/>
      <c r="O244" s="569"/>
      <c r="P244" s="563" t="s">
        <v>75</v>
      </c>
      <c r="Q244" s="564"/>
      <c r="R244" s="564"/>
      <c r="S244" s="564"/>
      <c r="T244" s="564"/>
      <c r="U244" s="564"/>
      <c r="V244" s="565"/>
      <c r="W244" s="37" t="s">
        <v>76</v>
      </c>
      <c r="X244" s="545">
        <f>IFERROR(X243/H243,"0")</f>
        <v>0</v>
      </c>
      <c r="Y244" s="545">
        <f>IFERROR(Y243/H243,"0")</f>
        <v>0</v>
      </c>
      <c r="Z244" s="545">
        <f>IFERROR(IF(Z243="",0,Z243),"0")</f>
        <v>0</v>
      </c>
      <c r="AA244" s="546"/>
      <c r="AB244" s="546"/>
      <c r="AC244" s="546"/>
    </row>
    <row r="245" spans="1:68" hidden="1" x14ac:dyDescent="0.2">
      <c r="A245" s="556"/>
      <c r="B245" s="556"/>
      <c r="C245" s="556"/>
      <c r="D245" s="556"/>
      <c r="E245" s="556"/>
      <c r="F245" s="556"/>
      <c r="G245" s="556"/>
      <c r="H245" s="556"/>
      <c r="I245" s="556"/>
      <c r="J245" s="556"/>
      <c r="K245" s="556"/>
      <c r="L245" s="556"/>
      <c r="M245" s="556"/>
      <c r="N245" s="556"/>
      <c r="O245" s="569"/>
      <c r="P245" s="563" t="s">
        <v>75</v>
      </c>
      <c r="Q245" s="564"/>
      <c r="R245" s="564"/>
      <c r="S245" s="564"/>
      <c r="T245" s="564"/>
      <c r="U245" s="564"/>
      <c r="V245" s="565"/>
      <c r="W245" s="37" t="s">
        <v>69</v>
      </c>
      <c r="X245" s="545">
        <f>IFERROR(SUM(X243:X243),"0")</f>
        <v>0</v>
      </c>
      <c r="Y245" s="545">
        <f>IFERROR(SUM(Y243:Y243),"0")</f>
        <v>0</v>
      </c>
      <c r="Z245" s="37"/>
      <c r="AA245" s="546"/>
      <c r="AB245" s="546"/>
      <c r="AC245" s="546"/>
    </row>
    <row r="246" spans="1:68" ht="14.25" hidden="1" customHeight="1" x14ac:dyDescent="0.25">
      <c r="A246" s="567" t="s">
        <v>401</v>
      </c>
      <c r="B246" s="556"/>
      <c r="C246" s="556"/>
      <c r="D246" s="556"/>
      <c r="E246" s="556"/>
      <c r="F246" s="556"/>
      <c r="G246" s="556"/>
      <c r="H246" s="556"/>
      <c r="I246" s="556"/>
      <c r="J246" s="556"/>
      <c r="K246" s="556"/>
      <c r="L246" s="556"/>
      <c r="M246" s="556"/>
      <c r="N246" s="556"/>
      <c r="O246" s="556"/>
      <c r="P246" s="556"/>
      <c r="Q246" s="556"/>
      <c r="R246" s="556"/>
      <c r="S246" s="556"/>
      <c r="T246" s="556"/>
      <c r="U246" s="556"/>
      <c r="V246" s="556"/>
      <c r="W246" s="556"/>
      <c r="X246" s="556"/>
      <c r="Y246" s="556"/>
      <c r="Z246" s="556"/>
      <c r="AA246" s="539"/>
      <c r="AB246" s="539"/>
      <c r="AC246" s="539"/>
    </row>
    <row r="247" spans="1:68" ht="27" hidden="1" customHeight="1" x14ac:dyDescent="0.25">
      <c r="A247" s="54" t="s">
        <v>402</v>
      </c>
      <c r="B247" s="54" t="s">
        <v>403</v>
      </c>
      <c r="C247" s="31">
        <v>4301040362</v>
      </c>
      <c r="D247" s="553">
        <v>4680115886803</v>
      </c>
      <c r="E247" s="554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306</v>
      </c>
      <c r="L247" s="32"/>
      <c r="M247" s="33" t="s">
        <v>287</v>
      </c>
      <c r="N247" s="33"/>
      <c r="O247" s="32">
        <v>45</v>
      </c>
      <c r="P247" s="60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9" t="s">
        <v>404</v>
      </c>
      <c r="AG247" s="64"/>
      <c r="AJ247" s="68"/>
      <c r="AK247" s="68">
        <v>0</v>
      </c>
      <c r="BB247" s="30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idden="1" x14ac:dyDescent="0.2">
      <c r="A248" s="568"/>
      <c r="B248" s="556"/>
      <c r="C248" s="556"/>
      <c r="D248" s="556"/>
      <c r="E248" s="556"/>
      <c r="F248" s="556"/>
      <c r="G248" s="556"/>
      <c r="H248" s="556"/>
      <c r="I248" s="556"/>
      <c r="J248" s="556"/>
      <c r="K248" s="556"/>
      <c r="L248" s="556"/>
      <c r="M248" s="556"/>
      <c r="N248" s="556"/>
      <c r="O248" s="569"/>
      <c r="P248" s="563" t="s">
        <v>75</v>
      </c>
      <c r="Q248" s="564"/>
      <c r="R248" s="564"/>
      <c r="S248" s="564"/>
      <c r="T248" s="564"/>
      <c r="U248" s="564"/>
      <c r="V248" s="565"/>
      <c r="W248" s="37" t="s">
        <v>76</v>
      </c>
      <c r="X248" s="545">
        <f>IFERROR(X247/H247,"0")</f>
        <v>0</v>
      </c>
      <c r="Y248" s="545">
        <f>IFERROR(Y247/H247,"0")</f>
        <v>0</v>
      </c>
      <c r="Z248" s="545">
        <f>IFERROR(IF(Z247="",0,Z247),"0")</f>
        <v>0</v>
      </c>
      <c r="AA248" s="546"/>
      <c r="AB248" s="546"/>
      <c r="AC248" s="546"/>
    </row>
    <row r="249" spans="1:68" hidden="1" x14ac:dyDescent="0.2">
      <c r="A249" s="556"/>
      <c r="B249" s="556"/>
      <c r="C249" s="556"/>
      <c r="D249" s="556"/>
      <c r="E249" s="556"/>
      <c r="F249" s="556"/>
      <c r="G249" s="556"/>
      <c r="H249" s="556"/>
      <c r="I249" s="556"/>
      <c r="J249" s="556"/>
      <c r="K249" s="556"/>
      <c r="L249" s="556"/>
      <c r="M249" s="556"/>
      <c r="N249" s="556"/>
      <c r="O249" s="569"/>
      <c r="P249" s="563" t="s">
        <v>75</v>
      </c>
      <c r="Q249" s="564"/>
      <c r="R249" s="564"/>
      <c r="S249" s="564"/>
      <c r="T249" s="564"/>
      <c r="U249" s="564"/>
      <c r="V249" s="565"/>
      <c r="W249" s="37" t="s">
        <v>69</v>
      </c>
      <c r="X249" s="545">
        <f>IFERROR(SUM(X247:X247),"0")</f>
        <v>0</v>
      </c>
      <c r="Y249" s="545">
        <f>IFERROR(SUM(Y247:Y247),"0")</f>
        <v>0</v>
      </c>
      <c r="Z249" s="37"/>
      <c r="AA249" s="546"/>
      <c r="AB249" s="546"/>
      <c r="AC249" s="546"/>
    </row>
    <row r="250" spans="1:68" ht="14.25" hidden="1" customHeight="1" x14ac:dyDescent="0.25">
      <c r="A250" s="567" t="s">
        <v>405</v>
      </c>
      <c r="B250" s="556"/>
      <c r="C250" s="556"/>
      <c r="D250" s="556"/>
      <c r="E250" s="556"/>
      <c r="F250" s="556"/>
      <c r="G250" s="556"/>
      <c r="H250" s="556"/>
      <c r="I250" s="556"/>
      <c r="J250" s="556"/>
      <c r="K250" s="556"/>
      <c r="L250" s="556"/>
      <c r="M250" s="556"/>
      <c r="N250" s="556"/>
      <c r="O250" s="556"/>
      <c r="P250" s="556"/>
      <c r="Q250" s="556"/>
      <c r="R250" s="556"/>
      <c r="S250" s="556"/>
      <c r="T250" s="556"/>
      <c r="U250" s="556"/>
      <c r="V250" s="556"/>
      <c r="W250" s="556"/>
      <c r="X250" s="556"/>
      <c r="Y250" s="556"/>
      <c r="Z250" s="556"/>
      <c r="AA250" s="539"/>
      <c r="AB250" s="539"/>
      <c r="AC250" s="539"/>
    </row>
    <row r="251" spans="1:68" ht="27" hidden="1" customHeight="1" x14ac:dyDescent="0.25">
      <c r="A251" s="54" t="s">
        <v>406</v>
      </c>
      <c r="B251" s="54" t="s">
        <v>407</v>
      </c>
      <c r="C251" s="31">
        <v>4301041004</v>
      </c>
      <c r="D251" s="553">
        <v>4680115886704</v>
      </c>
      <c r="E251" s="554"/>
      <c r="F251" s="542">
        <v>5.5E-2</v>
      </c>
      <c r="G251" s="32">
        <v>18</v>
      </c>
      <c r="H251" s="542">
        <v>0.99</v>
      </c>
      <c r="I251" s="542">
        <v>1.18</v>
      </c>
      <c r="J251" s="32">
        <v>216</v>
      </c>
      <c r="K251" s="32" t="s">
        <v>306</v>
      </c>
      <c r="L251" s="32"/>
      <c r="M251" s="33" t="s">
        <v>287</v>
      </c>
      <c r="N251" s="33"/>
      <c r="O251" s="32">
        <v>90</v>
      </c>
      <c r="P251" s="69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1" s="548"/>
      <c r="R251" s="548"/>
      <c r="S251" s="548"/>
      <c r="T251" s="549"/>
      <c r="U251" s="34"/>
      <c r="V251" s="34"/>
      <c r="W251" s="35" t="s">
        <v>69</v>
      </c>
      <c r="X251" s="543">
        <v>0</v>
      </c>
      <c r="Y251" s="544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408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hidden="1" customHeight="1" x14ac:dyDescent="0.25">
      <c r="A252" s="54" t="s">
        <v>409</v>
      </c>
      <c r="B252" s="54" t="s">
        <v>410</v>
      </c>
      <c r="C252" s="31">
        <v>4301041008</v>
      </c>
      <c r="D252" s="553">
        <v>4680115886681</v>
      </c>
      <c r="E252" s="554"/>
      <c r="F252" s="542">
        <v>0.12</v>
      </c>
      <c r="G252" s="32">
        <v>15</v>
      </c>
      <c r="H252" s="542">
        <v>1.8</v>
      </c>
      <c r="I252" s="542">
        <v>1.9750000000000001</v>
      </c>
      <c r="J252" s="32">
        <v>216</v>
      </c>
      <c r="K252" s="32" t="s">
        <v>306</v>
      </c>
      <c r="L252" s="32"/>
      <c r="M252" s="33" t="s">
        <v>287</v>
      </c>
      <c r="N252" s="33"/>
      <c r="O252" s="32">
        <v>90</v>
      </c>
      <c r="P252" s="83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2" s="548"/>
      <c r="R252" s="548"/>
      <c r="S252" s="548"/>
      <c r="T252" s="549"/>
      <c r="U252" s="34"/>
      <c r="V252" s="34"/>
      <c r="W252" s="35" t="s">
        <v>69</v>
      </c>
      <c r="X252" s="543">
        <v>0</v>
      </c>
      <c r="Y252" s="54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408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411</v>
      </c>
      <c r="B253" s="54" t="s">
        <v>412</v>
      </c>
      <c r="C253" s="31">
        <v>4301041007</v>
      </c>
      <c r="D253" s="553">
        <v>4680115886735</v>
      </c>
      <c r="E253" s="554"/>
      <c r="F253" s="542">
        <v>0.05</v>
      </c>
      <c r="G253" s="32">
        <v>18</v>
      </c>
      <c r="H253" s="542">
        <v>0.9</v>
      </c>
      <c r="I253" s="542">
        <v>1.0900000000000001</v>
      </c>
      <c r="J253" s="32">
        <v>216</v>
      </c>
      <c r="K253" s="32" t="s">
        <v>306</v>
      </c>
      <c r="L253" s="32"/>
      <c r="M253" s="33" t="s">
        <v>287</v>
      </c>
      <c r="N253" s="33"/>
      <c r="O253" s="32">
        <v>90</v>
      </c>
      <c r="P253" s="61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3" s="548"/>
      <c r="R253" s="548"/>
      <c r="S253" s="548"/>
      <c r="T253" s="549"/>
      <c r="U253" s="34"/>
      <c r="V253" s="34"/>
      <c r="W253" s="35" t="s">
        <v>69</v>
      </c>
      <c r="X253" s="543">
        <v>0</v>
      </c>
      <c r="Y253" s="544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408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413</v>
      </c>
      <c r="B254" s="54" t="s">
        <v>414</v>
      </c>
      <c r="C254" s="31">
        <v>4301041006</v>
      </c>
      <c r="D254" s="553">
        <v>4680115886728</v>
      </c>
      <c r="E254" s="554"/>
      <c r="F254" s="542">
        <v>5.5E-2</v>
      </c>
      <c r="G254" s="32">
        <v>18</v>
      </c>
      <c r="H254" s="542">
        <v>0.99</v>
      </c>
      <c r="I254" s="542">
        <v>1.18</v>
      </c>
      <c r="J254" s="32">
        <v>216</v>
      </c>
      <c r="K254" s="32" t="s">
        <v>306</v>
      </c>
      <c r="L254" s="32"/>
      <c r="M254" s="33" t="s">
        <v>287</v>
      </c>
      <c r="N254" s="33"/>
      <c r="O254" s="32">
        <v>90</v>
      </c>
      <c r="P254" s="68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4" s="548"/>
      <c r="R254" s="548"/>
      <c r="S254" s="548"/>
      <c r="T254" s="549"/>
      <c r="U254" s="34"/>
      <c r="V254" s="34"/>
      <c r="W254" s="35" t="s">
        <v>69</v>
      </c>
      <c r="X254" s="543">
        <v>0</v>
      </c>
      <c r="Y254" s="54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408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415</v>
      </c>
      <c r="B255" s="54" t="s">
        <v>416</v>
      </c>
      <c r="C255" s="31">
        <v>4301041005</v>
      </c>
      <c r="D255" s="553">
        <v>4680115886711</v>
      </c>
      <c r="E255" s="554"/>
      <c r="F255" s="542">
        <v>5.5E-2</v>
      </c>
      <c r="G255" s="32">
        <v>18</v>
      </c>
      <c r="H255" s="542">
        <v>0.99</v>
      </c>
      <c r="I255" s="542">
        <v>1.18</v>
      </c>
      <c r="J255" s="32">
        <v>216</v>
      </c>
      <c r="K255" s="32" t="s">
        <v>306</v>
      </c>
      <c r="L255" s="32"/>
      <c r="M255" s="33" t="s">
        <v>287</v>
      </c>
      <c r="N255" s="33"/>
      <c r="O255" s="32">
        <v>90</v>
      </c>
      <c r="P255" s="79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408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568"/>
      <c r="B256" s="556"/>
      <c r="C256" s="556"/>
      <c r="D256" s="556"/>
      <c r="E256" s="556"/>
      <c r="F256" s="556"/>
      <c r="G256" s="556"/>
      <c r="H256" s="556"/>
      <c r="I256" s="556"/>
      <c r="J256" s="556"/>
      <c r="K256" s="556"/>
      <c r="L256" s="556"/>
      <c r="M256" s="556"/>
      <c r="N256" s="556"/>
      <c r="O256" s="569"/>
      <c r="P256" s="563" t="s">
        <v>75</v>
      </c>
      <c r="Q256" s="564"/>
      <c r="R256" s="564"/>
      <c r="S256" s="564"/>
      <c r="T256" s="564"/>
      <c r="U256" s="564"/>
      <c r="V256" s="565"/>
      <c r="W256" s="37" t="s">
        <v>76</v>
      </c>
      <c r="X256" s="545">
        <f>IFERROR(X251/H251,"0")+IFERROR(X252/H252,"0")+IFERROR(X253/H253,"0")+IFERROR(X254/H254,"0")+IFERROR(X255/H255,"0")</f>
        <v>0</v>
      </c>
      <c r="Y256" s="545">
        <f>IFERROR(Y251/H251,"0")+IFERROR(Y252/H252,"0")+IFERROR(Y253/H253,"0")+IFERROR(Y254/H254,"0")+IFERROR(Y255/H255,"0")</f>
        <v>0</v>
      </c>
      <c r="Z256" s="545">
        <f>IFERROR(IF(Z251="",0,Z251),"0")+IFERROR(IF(Z252="",0,Z252),"0")+IFERROR(IF(Z253="",0,Z253),"0")+IFERROR(IF(Z254="",0,Z254),"0")+IFERROR(IF(Z255="",0,Z255),"0")</f>
        <v>0</v>
      </c>
      <c r="AA256" s="546"/>
      <c r="AB256" s="546"/>
      <c r="AC256" s="546"/>
    </row>
    <row r="257" spans="1:68" hidden="1" x14ac:dyDescent="0.2">
      <c r="A257" s="556"/>
      <c r="B257" s="556"/>
      <c r="C257" s="556"/>
      <c r="D257" s="556"/>
      <c r="E257" s="556"/>
      <c r="F257" s="556"/>
      <c r="G257" s="556"/>
      <c r="H257" s="556"/>
      <c r="I257" s="556"/>
      <c r="J257" s="556"/>
      <c r="K257" s="556"/>
      <c r="L257" s="556"/>
      <c r="M257" s="556"/>
      <c r="N257" s="556"/>
      <c r="O257" s="569"/>
      <c r="P257" s="563" t="s">
        <v>75</v>
      </c>
      <c r="Q257" s="564"/>
      <c r="R257" s="564"/>
      <c r="S257" s="564"/>
      <c r="T257" s="564"/>
      <c r="U257" s="564"/>
      <c r="V257" s="565"/>
      <c r="W257" s="37" t="s">
        <v>69</v>
      </c>
      <c r="X257" s="545">
        <f>IFERROR(SUM(X251:X255),"0")</f>
        <v>0</v>
      </c>
      <c r="Y257" s="545">
        <f>IFERROR(SUM(Y251:Y255),"0")</f>
        <v>0</v>
      </c>
      <c r="Z257" s="37"/>
      <c r="AA257" s="546"/>
      <c r="AB257" s="546"/>
      <c r="AC257" s="546"/>
    </row>
    <row r="258" spans="1:68" ht="16.5" hidden="1" customHeight="1" x14ac:dyDescent="0.25">
      <c r="A258" s="599" t="s">
        <v>417</v>
      </c>
      <c r="B258" s="556"/>
      <c r="C258" s="556"/>
      <c r="D258" s="556"/>
      <c r="E258" s="556"/>
      <c r="F258" s="556"/>
      <c r="G258" s="556"/>
      <c r="H258" s="556"/>
      <c r="I258" s="556"/>
      <c r="J258" s="556"/>
      <c r="K258" s="556"/>
      <c r="L258" s="556"/>
      <c r="M258" s="556"/>
      <c r="N258" s="556"/>
      <c r="O258" s="556"/>
      <c r="P258" s="556"/>
      <c r="Q258" s="556"/>
      <c r="R258" s="556"/>
      <c r="S258" s="556"/>
      <c r="T258" s="556"/>
      <c r="U258" s="556"/>
      <c r="V258" s="556"/>
      <c r="W258" s="556"/>
      <c r="X258" s="556"/>
      <c r="Y258" s="556"/>
      <c r="Z258" s="556"/>
      <c r="AA258" s="538"/>
      <c r="AB258" s="538"/>
      <c r="AC258" s="538"/>
    </row>
    <row r="259" spans="1:68" ht="14.25" hidden="1" customHeight="1" x14ac:dyDescent="0.25">
      <c r="A259" s="567" t="s">
        <v>101</v>
      </c>
      <c r="B259" s="556"/>
      <c r="C259" s="556"/>
      <c r="D259" s="556"/>
      <c r="E259" s="556"/>
      <c r="F259" s="556"/>
      <c r="G259" s="556"/>
      <c r="H259" s="556"/>
      <c r="I259" s="556"/>
      <c r="J259" s="556"/>
      <c r="K259" s="556"/>
      <c r="L259" s="556"/>
      <c r="M259" s="556"/>
      <c r="N259" s="556"/>
      <c r="O259" s="556"/>
      <c r="P259" s="556"/>
      <c r="Q259" s="556"/>
      <c r="R259" s="556"/>
      <c r="S259" s="556"/>
      <c r="T259" s="556"/>
      <c r="U259" s="556"/>
      <c r="V259" s="556"/>
      <c r="W259" s="556"/>
      <c r="X259" s="556"/>
      <c r="Y259" s="556"/>
      <c r="Z259" s="556"/>
      <c r="AA259" s="539"/>
      <c r="AB259" s="539"/>
      <c r="AC259" s="539"/>
    </row>
    <row r="260" spans="1:68" ht="27" hidden="1" customHeight="1" x14ac:dyDescent="0.25">
      <c r="A260" s="54" t="s">
        <v>418</v>
      </c>
      <c r="B260" s="54" t="s">
        <v>419</v>
      </c>
      <c r="C260" s="31">
        <v>4301011855</v>
      </c>
      <c r="D260" s="553">
        <v>4680115885837</v>
      </c>
      <c r="E260" s="554"/>
      <c r="F260" s="542">
        <v>1.35</v>
      </c>
      <c r="G260" s="32">
        <v>8</v>
      </c>
      <c r="H260" s="542">
        <v>10.8</v>
      </c>
      <c r="I260" s="542">
        <v>11.21</v>
      </c>
      <c r="J260" s="32">
        <v>64</v>
      </c>
      <c r="K260" s="32" t="s">
        <v>104</v>
      </c>
      <c r="L260" s="32"/>
      <c r="M260" s="33" t="s">
        <v>106</v>
      </c>
      <c r="N260" s="33"/>
      <c r="O260" s="32">
        <v>55</v>
      </c>
      <c r="P260" s="78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0" s="548"/>
      <c r="R260" s="548"/>
      <c r="S260" s="548"/>
      <c r="T260" s="549"/>
      <c r="U260" s="34"/>
      <c r="V260" s="34"/>
      <c r="W260" s="35" t="s">
        <v>69</v>
      </c>
      <c r="X260" s="543">
        <v>0</v>
      </c>
      <c r="Y260" s="544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420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37.5" customHeight="1" x14ac:dyDescent="0.25">
      <c r="A261" s="54" t="s">
        <v>421</v>
      </c>
      <c r="B261" s="54" t="s">
        <v>422</v>
      </c>
      <c r="C261" s="31">
        <v>4301011853</v>
      </c>
      <c r="D261" s="553">
        <v>4680115885851</v>
      </c>
      <c r="E261" s="554"/>
      <c r="F261" s="542">
        <v>1.35</v>
      </c>
      <c r="G261" s="32">
        <v>8</v>
      </c>
      <c r="H261" s="542">
        <v>10.8</v>
      </c>
      <c r="I261" s="542">
        <v>11.21</v>
      </c>
      <c r="J261" s="32">
        <v>64</v>
      </c>
      <c r="K261" s="32" t="s">
        <v>104</v>
      </c>
      <c r="L261" s="32"/>
      <c r="M261" s="33" t="s">
        <v>106</v>
      </c>
      <c r="N261" s="33"/>
      <c r="O261" s="32">
        <v>55</v>
      </c>
      <c r="P261" s="70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1" s="548"/>
      <c r="R261" s="548"/>
      <c r="S261" s="548"/>
      <c r="T261" s="549"/>
      <c r="U261" s="34"/>
      <c r="V261" s="34"/>
      <c r="W261" s="35" t="s">
        <v>69</v>
      </c>
      <c r="X261" s="543">
        <v>10</v>
      </c>
      <c r="Y261" s="544">
        <f>IFERROR(IF(X261="",0,CEILING((X261/$H261),1)*$H261),"")</f>
        <v>10.8</v>
      </c>
      <c r="Z261" s="36">
        <f>IFERROR(IF(Y261=0,"",ROUNDUP(Y261/H261,0)*0.01898),"")</f>
        <v>1.898E-2</v>
      </c>
      <c r="AA261" s="56"/>
      <c r="AB261" s="57"/>
      <c r="AC261" s="313" t="s">
        <v>423</v>
      </c>
      <c r="AG261" s="64"/>
      <c r="AJ261" s="68"/>
      <c r="AK261" s="68">
        <v>0</v>
      </c>
      <c r="BB261" s="314" t="s">
        <v>1</v>
      </c>
      <c r="BM261" s="64">
        <f>IFERROR(X261*I261/H261,"0")</f>
        <v>10.37962962962963</v>
      </c>
      <c r="BN261" s="64">
        <f>IFERROR(Y261*I261/H261,"0")</f>
        <v>11.21</v>
      </c>
      <c r="BO261" s="64">
        <f>IFERROR(1/J261*(X261/H261),"0")</f>
        <v>1.4467592592592591E-2</v>
      </c>
      <c r="BP261" s="64">
        <f>IFERROR(1/J261*(Y261/H261),"0")</f>
        <v>1.5625E-2</v>
      </c>
    </row>
    <row r="262" spans="1:68" ht="27" hidden="1" customHeight="1" x14ac:dyDescent="0.25">
      <c r="A262" s="54" t="s">
        <v>424</v>
      </c>
      <c r="B262" s="54" t="s">
        <v>425</v>
      </c>
      <c r="C262" s="31">
        <v>4301011850</v>
      </c>
      <c r="D262" s="553">
        <v>4680115885806</v>
      </c>
      <c r="E262" s="554"/>
      <c r="F262" s="542">
        <v>1.35</v>
      </c>
      <c r="G262" s="32">
        <v>8</v>
      </c>
      <c r="H262" s="542">
        <v>10.8</v>
      </c>
      <c r="I262" s="542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64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2" s="548"/>
      <c r="R262" s="548"/>
      <c r="S262" s="548"/>
      <c r="T262" s="549"/>
      <c r="U262" s="34"/>
      <c r="V262" s="34"/>
      <c r="W262" s="35" t="s">
        <v>69</v>
      </c>
      <c r="X262" s="543">
        <v>0</v>
      </c>
      <c r="Y262" s="54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427</v>
      </c>
      <c r="B263" s="54" t="s">
        <v>428</v>
      </c>
      <c r="C263" s="31">
        <v>4301011852</v>
      </c>
      <c r="D263" s="553">
        <v>4680115885844</v>
      </c>
      <c r="E263" s="554"/>
      <c r="F263" s="542">
        <v>0.4</v>
      </c>
      <c r="G263" s="32">
        <v>10</v>
      </c>
      <c r="H263" s="542">
        <v>4</v>
      </c>
      <c r="I263" s="542">
        <v>4.1900000000000004</v>
      </c>
      <c r="J263" s="32">
        <v>132</v>
      </c>
      <c r="K263" s="32" t="s">
        <v>110</v>
      </c>
      <c r="L263" s="32"/>
      <c r="M263" s="33" t="s">
        <v>106</v>
      </c>
      <c r="N263" s="33"/>
      <c r="O263" s="32">
        <v>55</v>
      </c>
      <c r="P263" s="5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3" s="548"/>
      <c r="R263" s="548"/>
      <c r="S263" s="548"/>
      <c r="T263" s="549"/>
      <c r="U263" s="34"/>
      <c r="V263" s="34"/>
      <c r="W263" s="35" t="s">
        <v>69</v>
      </c>
      <c r="X263" s="543">
        <v>0</v>
      </c>
      <c r="Y263" s="544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430</v>
      </c>
      <c r="B264" s="54" t="s">
        <v>431</v>
      </c>
      <c r="C264" s="31">
        <v>4301011851</v>
      </c>
      <c r="D264" s="553">
        <v>4680115885820</v>
      </c>
      <c r="E264" s="554"/>
      <c r="F264" s="542">
        <v>0.4</v>
      </c>
      <c r="G264" s="32">
        <v>10</v>
      </c>
      <c r="H264" s="542">
        <v>4</v>
      </c>
      <c r="I264" s="542">
        <v>4.1900000000000004</v>
      </c>
      <c r="J264" s="32">
        <v>132</v>
      </c>
      <c r="K264" s="32" t="s">
        <v>110</v>
      </c>
      <c r="L264" s="32"/>
      <c r="M264" s="33" t="s">
        <v>106</v>
      </c>
      <c r="N264" s="33"/>
      <c r="O264" s="32">
        <v>55</v>
      </c>
      <c r="P264" s="76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4" s="548"/>
      <c r="R264" s="548"/>
      <c r="S264" s="548"/>
      <c r="T264" s="549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x14ac:dyDescent="0.2">
      <c r="A265" s="568"/>
      <c r="B265" s="556"/>
      <c r="C265" s="556"/>
      <c r="D265" s="556"/>
      <c r="E265" s="556"/>
      <c r="F265" s="556"/>
      <c r="G265" s="556"/>
      <c r="H265" s="556"/>
      <c r="I265" s="556"/>
      <c r="J265" s="556"/>
      <c r="K265" s="556"/>
      <c r="L265" s="556"/>
      <c r="M265" s="556"/>
      <c r="N265" s="556"/>
      <c r="O265" s="569"/>
      <c r="P265" s="563" t="s">
        <v>75</v>
      </c>
      <c r="Q265" s="564"/>
      <c r="R265" s="564"/>
      <c r="S265" s="564"/>
      <c r="T265" s="564"/>
      <c r="U265" s="564"/>
      <c r="V265" s="565"/>
      <c r="W265" s="37" t="s">
        <v>76</v>
      </c>
      <c r="X265" s="545">
        <f>IFERROR(X260/H260,"0")+IFERROR(X261/H261,"0")+IFERROR(X262/H262,"0")+IFERROR(X263/H263,"0")+IFERROR(X264/H264,"0")</f>
        <v>0.92592592592592582</v>
      </c>
      <c r="Y265" s="545">
        <f>IFERROR(Y260/H260,"0")+IFERROR(Y261/H261,"0")+IFERROR(Y262/H262,"0")+IFERROR(Y263/H263,"0")+IFERROR(Y264/H264,"0")</f>
        <v>1</v>
      </c>
      <c r="Z265" s="545">
        <f>IFERROR(IF(Z260="",0,Z260),"0")+IFERROR(IF(Z261="",0,Z261),"0")+IFERROR(IF(Z262="",0,Z262),"0")+IFERROR(IF(Z263="",0,Z263),"0")+IFERROR(IF(Z264="",0,Z264),"0")</f>
        <v>1.898E-2</v>
      </c>
      <c r="AA265" s="546"/>
      <c r="AB265" s="546"/>
      <c r="AC265" s="546"/>
    </row>
    <row r="266" spans="1:68" x14ac:dyDescent="0.2">
      <c r="A266" s="556"/>
      <c r="B266" s="556"/>
      <c r="C266" s="556"/>
      <c r="D266" s="556"/>
      <c r="E266" s="556"/>
      <c r="F266" s="556"/>
      <c r="G266" s="556"/>
      <c r="H266" s="556"/>
      <c r="I266" s="556"/>
      <c r="J266" s="556"/>
      <c r="K266" s="556"/>
      <c r="L266" s="556"/>
      <c r="M266" s="556"/>
      <c r="N266" s="556"/>
      <c r="O266" s="569"/>
      <c r="P266" s="563" t="s">
        <v>75</v>
      </c>
      <c r="Q266" s="564"/>
      <c r="R266" s="564"/>
      <c r="S266" s="564"/>
      <c r="T266" s="564"/>
      <c r="U266" s="564"/>
      <c r="V266" s="565"/>
      <c r="W266" s="37" t="s">
        <v>69</v>
      </c>
      <c r="X266" s="545">
        <f>IFERROR(SUM(X260:X264),"0")</f>
        <v>10</v>
      </c>
      <c r="Y266" s="545">
        <f>IFERROR(SUM(Y260:Y264),"0")</f>
        <v>10.8</v>
      </c>
      <c r="Z266" s="37"/>
      <c r="AA266" s="546"/>
      <c r="AB266" s="546"/>
      <c r="AC266" s="546"/>
    </row>
    <row r="267" spans="1:68" ht="16.5" hidden="1" customHeight="1" x14ac:dyDescent="0.25">
      <c r="A267" s="599" t="s">
        <v>433</v>
      </c>
      <c r="B267" s="556"/>
      <c r="C267" s="556"/>
      <c r="D267" s="556"/>
      <c r="E267" s="556"/>
      <c r="F267" s="556"/>
      <c r="G267" s="556"/>
      <c r="H267" s="556"/>
      <c r="I267" s="556"/>
      <c r="J267" s="556"/>
      <c r="K267" s="556"/>
      <c r="L267" s="556"/>
      <c r="M267" s="556"/>
      <c r="N267" s="556"/>
      <c r="O267" s="556"/>
      <c r="P267" s="556"/>
      <c r="Q267" s="556"/>
      <c r="R267" s="556"/>
      <c r="S267" s="556"/>
      <c r="T267" s="556"/>
      <c r="U267" s="556"/>
      <c r="V267" s="556"/>
      <c r="W267" s="556"/>
      <c r="X267" s="556"/>
      <c r="Y267" s="556"/>
      <c r="Z267" s="556"/>
      <c r="AA267" s="538"/>
      <c r="AB267" s="538"/>
      <c r="AC267" s="538"/>
    </row>
    <row r="268" spans="1:68" ht="14.25" hidden="1" customHeight="1" x14ac:dyDescent="0.25">
      <c r="A268" s="567" t="s">
        <v>101</v>
      </c>
      <c r="B268" s="556"/>
      <c r="C268" s="556"/>
      <c r="D268" s="556"/>
      <c r="E268" s="556"/>
      <c r="F268" s="556"/>
      <c r="G268" s="556"/>
      <c r="H268" s="556"/>
      <c r="I268" s="556"/>
      <c r="J268" s="556"/>
      <c r="K268" s="556"/>
      <c r="L268" s="556"/>
      <c r="M268" s="556"/>
      <c r="N268" s="556"/>
      <c r="O268" s="556"/>
      <c r="P268" s="556"/>
      <c r="Q268" s="556"/>
      <c r="R268" s="556"/>
      <c r="S268" s="556"/>
      <c r="T268" s="556"/>
      <c r="U268" s="556"/>
      <c r="V268" s="556"/>
      <c r="W268" s="556"/>
      <c r="X268" s="556"/>
      <c r="Y268" s="556"/>
      <c r="Z268" s="556"/>
      <c r="AA268" s="539"/>
      <c r="AB268" s="539"/>
      <c r="AC268" s="539"/>
    </row>
    <row r="269" spans="1:68" ht="27" hidden="1" customHeight="1" x14ac:dyDescent="0.25">
      <c r="A269" s="54" t="s">
        <v>434</v>
      </c>
      <c r="B269" s="54" t="s">
        <v>435</v>
      </c>
      <c r="C269" s="31">
        <v>4301011223</v>
      </c>
      <c r="D269" s="553">
        <v>4607091383423</v>
      </c>
      <c r="E269" s="554"/>
      <c r="F269" s="542">
        <v>1.35</v>
      </c>
      <c r="G269" s="32">
        <v>8</v>
      </c>
      <c r="H269" s="542">
        <v>10.8</v>
      </c>
      <c r="I269" s="542">
        <v>11.305999999999999</v>
      </c>
      <c r="J269" s="32">
        <v>64</v>
      </c>
      <c r="K269" s="32" t="s">
        <v>104</v>
      </c>
      <c r="L269" s="32"/>
      <c r="M269" s="33" t="s">
        <v>81</v>
      </c>
      <c r="N269" s="33"/>
      <c r="O269" s="32">
        <v>35</v>
      </c>
      <c r="P269" s="68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9" s="548"/>
      <c r="R269" s="548"/>
      <c r="S269" s="548"/>
      <c r="T269" s="549"/>
      <c r="U269" s="34"/>
      <c r="V269" s="34"/>
      <c r="W269" s="35" t="s">
        <v>69</v>
      </c>
      <c r="X269" s="543">
        <v>0</v>
      </c>
      <c r="Y269" s="544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107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37.5" hidden="1" customHeight="1" x14ac:dyDescent="0.25">
      <c r="A270" s="54" t="s">
        <v>436</v>
      </c>
      <c r="B270" s="54" t="s">
        <v>437</v>
      </c>
      <c r="C270" s="31">
        <v>4301012199</v>
      </c>
      <c r="D270" s="553">
        <v>4680115886957</v>
      </c>
      <c r="E270" s="554"/>
      <c r="F270" s="542">
        <v>1.35</v>
      </c>
      <c r="G270" s="32">
        <v>8</v>
      </c>
      <c r="H270" s="542">
        <v>10.8</v>
      </c>
      <c r="I270" s="542">
        <v>11.21</v>
      </c>
      <c r="J270" s="32">
        <v>64</v>
      </c>
      <c r="K270" s="32" t="s">
        <v>104</v>
      </c>
      <c r="L270" s="32"/>
      <c r="M270" s="33" t="s">
        <v>81</v>
      </c>
      <c r="N270" s="33"/>
      <c r="O270" s="32">
        <v>30</v>
      </c>
      <c r="P270" s="60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0" s="548"/>
      <c r="R270" s="548"/>
      <c r="S270" s="548"/>
      <c r="T270" s="549"/>
      <c r="U270" s="34"/>
      <c r="V270" s="34"/>
      <c r="W270" s="35" t="s">
        <v>69</v>
      </c>
      <c r="X270" s="543">
        <v>0</v>
      </c>
      <c r="Y270" s="54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438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27" hidden="1" customHeight="1" x14ac:dyDescent="0.25">
      <c r="A271" s="54" t="s">
        <v>439</v>
      </c>
      <c r="B271" s="54" t="s">
        <v>440</v>
      </c>
      <c r="C271" s="31">
        <v>4301012098</v>
      </c>
      <c r="D271" s="553">
        <v>4680115885660</v>
      </c>
      <c r="E271" s="554"/>
      <c r="F271" s="542">
        <v>1.35</v>
      </c>
      <c r="G271" s="32">
        <v>8</v>
      </c>
      <c r="H271" s="542">
        <v>10.8</v>
      </c>
      <c r="I271" s="542">
        <v>11.21</v>
      </c>
      <c r="J271" s="32">
        <v>64</v>
      </c>
      <c r="K271" s="32" t="s">
        <v>104</v>
      </c>
      <c r="L271" s="32"/>
      <c r="M271" s="33" t="s">
        <v>81</v>
      </c>
      <c r="N271" s="33"/>
      <c r="O271" s="32">
        <v>35</v>
      </c>
      <c r="P271" s="82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1" s="548"/>
      <c r="R271" s="548"/>
      <c r="S271" s="548"/>
      <c r="T271" s="549"/>
      <c r="U271" s="34"/>
      <c r="V271" s="34"/>
      <c r="W271" s="35" t="s">
        <v>69</v>
      </c>
      <c r="X271" s="543">
        <v>0</v>
      </c>
      <c r="Y271" s="54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385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hidden="1" customHeight="1" x14ac:dyDescent="0.25">
      <c r="A272" s="54" t="s">
        <v>441</v>
      </c>
      <c r="B272" s="54" t="s">
        <v>442</v>
      </c>
      <c r="C272" s="31">
        <v>4301012176</v>
      </c>
      <c r="D272" s="553">
        <v>4680115886773</v>
      </c>
      <c r="E272" s="554"/>
      <c r="F272" s="542">
        <v>0.9</v>
      </c>
      <c r="G272" s="32">
        <v>10</v>
      </c>
      <c r="H272" s="542">
        <v>9</v>
      </c>
      <c r="I272" s="542">
        <v>9.41</v>
      </c>
      <c r="J272" s="32">
        <v>64</v>
      </c>
      <c r="K272" s="32" t="s">
        <v>104</v>
      </c>
      <c r="L272" s="32"/>
      <c r="M272" s="33" t="s">
        <v>106</v>
      </c>
      <c r="N272" s="33"/>
      <c r="O272" s="32">
        <v>31</v>
      </c>
      <c r="P272" s="75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443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568"/>
      <c r="B273" s="556"/>
      <c r="C273" s="556"/>
      <c r="D273" s="556"/>
      <c r="E273" s="556"/>
      <c r="F273" s="556"/>
      <c r="G273" s="556"/>
      <c r="H273" s="556"/>
      <c r="I273" s="556"/>
      <c r="J273" s="556"/>
      <c r="K273" s="556"/>
      <c r="L273" s="556"/>
      <c r="M273" s="556"/>
      <c r="N273" s="556"/>
      <c r="O273" s="569"/>
      <c r="P273" s="563" t="s">
        <v>75</v>
      </c>
      <c r="Q273" s="564"/>
      <c r="R273" s="564"/>
      <c r="S273" s="564"/>
      <c r="T273" s="564"/>
      <c r="U273" s="564"/>
      <c r="V273" s="565"/>
      <c r="W273" s="37" t="s">
        <v>76</v>
      </c>
      <c r="X273" s="545">
        <f>IFERROR(X269/H269,"0")+IFERROR(X270/H270,"0")+IFERROR(X271/H271,"0")+IFERROR(X272/H272,"0")</f>
        <v>0</v>
      </c>
      <c r="Y273" s="545">
        <f>IFERROR(Y269/H269,"0")+IFERROR(Y270/H270,"0")+IFERROR(Y271/H271,"0")+IFERROR(Y272/H272,"0")</f>
        <v>0</v>
      </c>
      <c r="Z273" s="545">
        <f>IFERROR(IF(Z269="",0,Z269),"0")+IFERROR(IF(Z270="",0,Z270),"0")+IFERROR(IF(Z271="",0,Z271),"0")+IFERROR(IF(Z272="",0,Z272),"0")</f>
        <v>0</v>
      </c>
      <c r="AA273" s="546"/>
      <c r="AB273" s="546"/>
      <c r="AC273" s="546"/>
    </row>
    <row r="274" spans="1:68" hidden="1" x14ac:dyDescent="0.2">
      <c r="A274" s="556"/>
      <c r="B274" s="556"/>
      <c r="C274" s="556"/>
      <c r="D274" s="556"/>
      <c r="E274" s="556"/>
      <c r="F274" s="556"/>
      <c r="G274" s="556"/>
      <c r="H274" s="556"/>
      <c r="I274" s="556"/>
      <c r="J274" s="556"/>
      <c r="K274" s="556"/>
      <c r="L274" s="556"/>
      <c r="M274" s="556"/>
      <c r="N274" s="556"/>
      <c r="O274" s="569"/>
      <c r="P274" s="563" t="s">
        <v>75</v>
      </c>
      <c r="Q274" s="564"/>
      <c r="R274" s="564"/>
      <c r="S274" s="564"/>
      <c r="T274" s="564"/>
      <c r="U274" s="564"/>
      <c r="V274" s="565"/>
      <c r="W274" s="37" t="s">
        <v>69</v>
      </c>
      <c r="X274" s="545">
        <f>IFERROR(SUM(X269:X272),"0")</f>
        <v>0</v>
      </c>
      <c r="Y274" s="545">
        <f>IFERROR(SUM(Y269:Y272),"0")</f>
        <v>0</v>
      </c>
      <c r="Z274" s="37"/>
      <c r="AA274" s="546"/>
      <c r="AB274" s="546"/>
      <c r="AC274" s="546"/>
    </row>
    <row r="275" spans="1:68" ht="16.5" hidden="1" customHeight="1" x14ac:dyDescent="0.25">
      <c r="A275" s="599" t="s">
        <v>444</v>
      </c>
      <c r="B275" s="556"/>
      <c r="C275" s="556"/>
      <c r="D275" s="556"/>
      <c r="E275" s="556"/>
      <c r="F275" s="556"/>
      <c r="G275" s="556"/>
      <c r="H275" s="556"/>
      <c r="I275" s="556"/>
      <c r="J275" s="556"/>
      <c r="K275" s="556"/>
      <c r="L275" s="556"/>
      <c r="M275" s="556"/>
      <c r="N275" s="556"/>
      <c r="O275" s="556"/>
      <c r="P275" s="556"/>
      <c r="Q275" s="556"/>
      <c r="R275" s="556"/>
      <c r="S275" s="556"/>
      <c r="T275" s="556"/>
      <c r="U275" s="556"/>
      <c r="V275" s="556"/>
      <c r="W275" s="556"/>
      <c r="X275" s="556"/>
      <c r="Y275" s="556"/>
      <c r="Z275" s="556"/>
      <c r="AA275" s="538"/>
      <c r="AB275" s="538"/>
      <c r="AC275" s="538"/>
    </row>
    <row r="276" spans="1:68" ht="14.25" hidden="1" customHeight="1" x14ac:dyDescent="0.25">
      <c r="A276" s="567" t="s">
        <v>77</v>
      </c>
      <c r="B276" s="556"/>
      <c r="C276" s="556"/>
      <c r="D276" s="556"/>
      <c r="E276" s="556"/>
      <c r="F276" s="556"/>
      <c r="G276" s="556"/>
      <c r="H276" s="556"/>
      <c r="I276" s="556"/>
      <c r="J276" s="556"/>
      <c r="K276" s="556"/>
      <c r="L276" s="556"/>
      <c r="M276" s="556"/>
      <c r="N276" s="556"/>
      <c r="O276" s="556"/>
      <c r="P276" s="556"/>
      <c r="Q276" s="556"/>
      <c r="R276" s="556"/>
      <c r="S276" s="556"/>
      <c r="T276" s="556"/>
      <c r="U276" s="556"/>
      <c r="V276" s="556"/>
      <c r="W276" s="556"/>
      <c r="X276" s="556"/>
      <c r="Y276" s="556"/>
      <c r="Z276" s="556"/>
      <c r="AA276" s="539"/>
      <c r="AB276" s="539"/>
      <c r="AC276" s="539"/>
    </row>
    <row r="277" spans="1:68" ht="27" hidden="1" customHeight="1" x14ac:dyDescent="0.25">
      <c r="A277" s="54" t="s">
        <v>445</v>
      </c>
      <c r="B277" s="54" t="s">
        <v>446</v>
      </c>
      <c r="C277" s="31">
        <v>4301051893</v>
      </c>
      <c r="D277" s="553">
        <v>4680115886186</v>
      </c>
      <c r="E277" s="554"/>
      <c r="F277" s="542">
        <v>0.3</v>
      </c>
      <c r="G277" s="32">
        <v>6</v>
      </c>
      <c r="H277" s="542">
        <v>1.8</v>
      </c>
      <c r="I277" s="542">
        <v>1.98</v>
      </c>
      <c r="J277" s="32">
        <v>182</v>
      </c>
      <c r="K277" s="32" t="s">
        <v>67</v>
      </c>
      <c r="L277" s="32"/>
      <c r="M277" s="33" t="s">
        <v>81</v>
      </c>
      <c r="N277" s="33"/>
      <c r="O277" s="32">
        <v>45</v>
      </c>
      <c r="P277" s="87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7" s="548"/>
      <c r="R277" s="548"/>
      <c r="S277" s="548"/>
      <c r="T277" s="549"/>
      <c r="U277" s="34"/>
      <c r="V277" s="34"/>
      <c r="W277" s="35" t="s">
        <v>69</v>
      </c>
      <c r="X277" s="543">
        <v>0</v>
      </c>
      <c r="Y277" s="544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447</v>
      </c>
      <c r="AG277" s="64"/>
      <c r="AJ277" s="68"/>
      <c r="AK277" s="68">
        <v>0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448</v>
      </c>
      <c r="B278" s="54" t="s">
        <v>449</v>
      </c>
      <c r="C278" s="31">
        <v>4301051795</v>
      </c>
      <c r="D278" s="553">
        <v>4680115881228</v>
      </c>
      <c r="E278" s="554"/>
      <c r="F278" s="542">
        <v>0.4</v>
      </c>
      <c r="G278" s="32">
        <v>6</v>
      </c>
      <c r="H278" s="542">
        <v>2.4</v>
      </c>
      <c r="I278" s="542">
        <v>2.6520000000000001</v>
      </c>
      <c r="J278" s="32">
        <v>182</v>
      </c>
      <c r="K278" s="32" t="s">
        <v>67</v>
      </c>
      <c r="L278" s="32" t="s">
        <v>80</v>
      </c>
      <c r="M278" s="33" t="s">
        <v>88</v>
      </c>
      <c r="N278" s="33"/>
      <c r="O278" s="32">
        <v>40</v>
      </c>
      <c r="P278" s="65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8" s="548"/>
      <c r="R278" s="548"/>
      <c r="S278" s="548"/>
      <c r="T278" s="549"/>
      <c r="U278" s="34"/>
      <c r="V278" s="34"/>
      <c r="W278" s="35" t="s">
        <v>69</v>
      </c>
      <c r="X278" s="543">
        <v>0</v>
      </c>
      <c r="Y278" s="54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83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451</v>
      </c>
      <c r="B279" s="54" t="s">
        <v>452</v>
      </c>
      <c r="C279" s="31">
        <v>4301051388</v>
      </c>
      <c r="D279" s="553">
        <v>4680115881211</v>
      </c>
      <c r="E279" s="554"/>
      <c r="F279" s="542">
        <v>0.4</v>
      </c>
      <c r="G279" s="32">
        <v>6</v>
      </c>
      <c r="H279" s="542">
        <v>2.4</v>
      </c>
      <c r="I279" s="542">
        <v>2.58</v>
      </c>
      <c r="J279" s="32">
        <v>182</v>
      </c>
      <c r="K279" s="32" t="s">
        <v>67</v>
      </c>
      <c r="L279" s="32"/>
      <c r="M279" s="33" t="s">
        <v>81</v>
      </c>
      <c r="N279" s="33"/>
      <c r="O279" s="32">
        <v>45</v>
      </c>
      <c r="P279" s="6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9" s="548"/>
      <c r="R279" s="548"/>
      <c r="S279" s="548"/>
      <c r="T279" s="549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447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68"/>
      <c r="B280" s="556"/>
      <c r="C280" s="556"/>
      <c r="D280" s="556"/>
      <c r="E280" s="556"/>
      <c r="F280" s="556"/>
      <c r="G280" s="556"/>
      <c r="H280" s="556"/>
      <c r="I280" s="556"/>
      <c r="J280" s="556"/>
      <c r="K280" s="556"/>
      <c r="L280" s="556"/>
      <c r="M280" s="556"/>
      <c r="N280" s="556"/>
      <c r="O280" s="569"/>
      <c r="P280" s="563" t="s">
        <v>75</v>
      </c>
      <c r="Q280" s="564"/>
      <c r="R280" s="564"/>
      <c r="S280" s="564"/>
      <c r="T280" s="564"/>
      <c r="U280" s="564"/>
      <c r="V280" s="565"/>
      <c r="W280" s="37" t="s">
        <v>76</v>
      </c>
      <c r="X280" s="545">
        <f>IFERROR(X277/H277,"0")+IFERROR(X278/H278,"0")+IFERROR(X279/H279,"0")</f>
        <v>0</v>
      </c>
      <c r="Y280" s="545">
        <f>IFERROR(Y277/H277,"0")+IFERROR(Y278/H278,"0")+IFERROR(Y279/H279,"0")</f>
        <v>0</v>
      </c>
      <c r="Z280" s="545">
        <f>IFERROR(IF(Z277="",0,Z277),"0")+IFERROR(IF(Z278="",0,Z278),"0")+IFERROR(IF(Z279="",0,Z279),"0")</f>
        <v>0</v>
      </c>
      <c r="AA280" s="546"/>
      <c r="AB280" s="546"/>
      <c r="AC280" s="546"/>
    </row>
    <row r="281" spans="1:68" hidden="1" x14ac:dyDescent="0.2">
      <c r="A281" s="556"/>
      <c r="B281" s="556"/>
      <c r="C281" s="556"/>
      <c r="D281" s="556"/>
      <c r="E281" s="556"/>
      <c r="F281" s="556"/>
      <c r="G281" s="556"/>
      <c r="H281" s="556"/>
      <c r="I281" s="556"/>
      <c r="J281" s="556"/>
      <c r="K281" s="556"/>
      <c r="L281" s="556"/>
      <c r="M281" s="556"/>
      <c r="N281" s="556"/>
      <c r="O281" s="569"/>
      <c r="P281" s="563" t="s">
        <v>75</v>
      </c>
      <c r="Q281" s="564"/>
      <c r="R281" s="564"/>
      <c r="S281" s="564"/>
      <c r="T281" s="564"/>
      <c r="U281" s="564"/>
      <c r="V281" s="565"/>
      <c r="W281" s="37" t="s">
        <v>69</v>
      </c>
      <c r="X281" s="545">
        <f>IFERROR(SUM(X277:X279),"0")</f>
        <v>0</v>
      </c>
      <c r="Y281" s="545">
        <f>IFERROR(SUM(Y277:Y279),"0")</f>
        <v>0</v>
      </c>
      <c r="Z281" s="37"/>
      <c r="AA281" s="546"/>
      <c r="AB281" s="546"/>
      <c r="AC281" s="546"/>
    </row>
    <row r="282" spans="1:68" ht="16.5" hidden="1" customHeight="1" x14ac:dyDescent="0.25">
      <c r="A282" s="599" t="s">
        <v>453</v>
      </c>
      <c r="B282" s="556"/>
      <c r="C282" s="556"/>
      <c r="D282" s="556"/>
      <c r="E282" s="556"/>
      <c r="F282" s="556"/>
      <c r="G282" s="556"/>
      <c r="H282" s="556"/>
      <c r="I282" s="556"/>
      <c r="J282" s="556"/>
      <c r="K282" s="556"/>
      <c r="L282" s="556"/>
      <c r="M282" s="556"/>
      <c r="N282" s="556"/>
      <c r="O282" s="556"/>
      <c r="P282" s="556"/>
      <c r="Q282" s="556"/>
      <c r="R282" s="556"/>
      <c r="S282" s="556"/>
      <c r="T282" s="556"/>
      <c r="U282" s="556"/>
      <c r="V282" s="556"/>
      <c r="W282" s="556"/>
      <c r="X282" s="556"/>
      <c r="Y282" s="556"/>
      <c r="Z282" s="556"/>
      <c r="AA282" s="538"/>
      <c r="AB282" s="538"/>
      <c r="AC282" s="538"/>
    </row>
    <row r="283" spans="1:68" ht="14.25" hidden="1" customHeight="1" x14ac:dyDescent="0.25">
      <c r="A283" s="567" t="s">
        <v>64</v>
      </c>
      <c r="B283" s="556"/>
      <c r="C283" s="556"/>
      <c r="D283" s="556"/>
      <c r="E283" s="556"/>
      <c r="F283" s="556"/>
      <c r="G283" s="556"/>
      <c r="H283" s="556"/>
      <c r="I283" s="556"/>
      <c r="J283" s="556"/>
      <c r="K283" s="556"/>
      <c r="L283" s="556"/>
      <c r="M283" s="556"/>
      <c r="N283" s="556"/>
      <c r="O283" s="556"/>
      <c r="P283" s="556"/>
      <c r="Q283" s="556"/>
      <c r="R283" s="556"/>
      <c r="S283" s="556"/>
      <c r="T283" s="556"/>
      <c r="U283" s="556"/>
      <c r="V283" s="556"/>
      <c r="W283" s="556"/>
      <c r="X283" s="556"/>
      <c r="Y283" s="556"/>
      <c r="Z283" s="556"/>
      <c r="AA283" s="539"/>
      <c r="AB283" s="539"/>
      <c r="AC283" s="539"/>
    </row>
    <row r="284" spans="1:68" ht="27" hidden="1" customHeight="1" x14ac:dyDescent="0.25">
      <c r="A284" s="54" t="s">
        <v>454</v>
      </c>
      <c r="B284" s="54" t="s">
        <v>455</v>
      </c>
      <c r="C284" s="31">
        <v>4301031307</v>
      </c>
      <c r="D284" s="553">
        <v>4680115880344</v>
      </c>
      <c r="E284" s="554"/>
      <c r="F284" s="542">
        <v>0.28000000000000003</v>
      </c>
      <c r="G284" s="32">
        <v>6</v>
      </c>
      <c r="H284" s="542">
        <v>1.68</v>
      </c>
      <c r="I284" s="542">
        <v>1.78</v>
      </c>
      <c r="J284" s="32">
        <v>234</v>
      </c>
      <c r="K284" s="32" t="s">
        <v>73</v>
      </c>
      <c r="L284" s="32"/>
      <c r="M284" s="33" t="s">
        <v>68</v>
      </c>
      <c r="N284" s="33"/>
      <c r="O284" s="32">
        <v>40</v>
      </c>
      <c r="P284" s="79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4" s="548"/>
      <c r="R284" s="548"/>
      <c r="S284" s="548"/>
      <c r="T284" s="549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IFERROR(IF(Y284=0,"",ROUNDUP(Y284/H284,0)*0.00502),"")</f>
        <v/>
      </c>
      <c r="AA284" s="56"/>
      <c r="AB284" s="57"/>
      <c r="AC284" s="335" t="s">
        <v>456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hidden="1" customHeight="1" x14ac:dyDescent="0.25">
      <c r="A285" s="54" t="s">
        <v>457</v>
      </c>
      <c r="B285" s="54" t="s">
        <v>458</v>
      </c>
      <c r="C285" s="31">
        <v>4301031429</v>
      </c>
      <c r="D285" s="553">
        <v>4680115886919</v>
      </c>
      <c r="E285" s="554"/>
      <c r="F285" s="542">
        <v>0.4</v>
      </c>
      <c r="G285" s="32">
        <v>6</v>
      </c>
      <c r="H285" s="542">
        <v>2.4</v>
      </c>
      <c r="I285" s="542">
        <v>2.58</v>
      </c>
      <c r="J285" s="32">
        <v>182</v>
      </c>
      <c r="K285" s="32" t="s">
        <v>67</v>
      </c>
      <c r="L285" s="32"/>
      <c r="M285" s="33" t="s">
        <v>68</v>
      </c>
      <c r="N285" s="33"/>
      <c r="O285" s="32">
        <v>40</v>
      </c>
      <c r="P285" s="74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5" s="548"/>
      <c r="R285" s="548"/>
      <c r="S285" s="548"/>
      <c r="T285" s="549"/>
      <c r="U285" s="34"/>
      <c r="V285" s="34"/>
      <c r="W285" s="35" t="s">
        <v>69</v>
      </c>
      <c r="X285" s="543">
        <v>0</v>
      </c>
      <c r="Y285" s="544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68"/>
      <c r="B286" s="556"/>
      <c r="C286" s="556"/>
      <c r="D286" s="556"/>
      <c r="E286" s="556"/>
      <c r="F286" s="556"/>
      <c r="G286" s="556"/>
      <c r="H286" s="556"/>
      <c r="I286" s="556"/>
      <c r="J286" s="556"/>
      <c r="K286" s="556"/>
      <c r="L286" s="556"/>
      <c r="M286" s="556"/>
      <c r="N286" s="556"/>
      <c r="O286" s="569"/>
      <c r="P286" s="563" t="s">
        <v>75</v>
      </c>
      <c r="Q286" s="564"/>
      <c r="R286" s="564"/>
      <c r="S286" s="564"/>
      <c r="T286" s="564"/>
      <c r="U286" s="564"/>
      <c r="V286" s="565"/>
      <c r="W286" s="37" t="s">
        <v>76</v>
      </c>
      <c r="X286" s="545">
        <f>IFERROR(X284/H284,"0")+IFERROR(X285/H285,"0")</f>
        <v>0</v>
      </c>
      <c r="Y286" s="545">
        <f>IFERROR(Y284/H284,"0")+IFERROR(Y285/H285,"0")</f>
        <v>0</v>
      </c>
      <c r="Z286" s="545">
        <f>IFERROR(IF(Z284="",0,Z284),"0")+IFERROR(IF(Z285="",0,Z285),"0")</f>
        <v>0</v>
      </c>
      <c r="AA286" s="546"/>
      <c r="AB286" s="546"/>
      <c r="AC286" s="546"/>
    </row>
    <row r="287" spans="1:68" hidden="1" x14ac:dyDescent="0.2">
      <c r="A287" s="556"/>
      <c r="B287" s="556"/>
      <c r="C287" s="556"/>
      <c r="D287" s="556"/>
      <c r="E287" s="556"/>
      <c r="F287" s="556"/>
      <c r="G287" s="556"/>
      <c r="H287" s="556"/>
      <c r="I287" s="556"/>
      <c r="J287" s="556"/>
      <c r="K287" s="556"/>
      <c r="L287" s="556"/>
      <c r="M287" s="556"/>
      <c r="N287" s="556"/>
      <c r="O287" s="569"/>
      <c r="P287" s="563" t="s">
        <v>75</v>
      </c>
      <c r="Q287" s="564"/>
      <c r="R287" s="564"/>
      <c r="S287" s="564"/>
      <c r="T287" s="564"/>
      <c r="U287" s="564"/>
      <c r="V287" s="565"/>
      <c r="W287" s="37" t="s">
        <v>69</v>
      </c>
      <c r="X287" s="545">
        <f>IFERROR(SUM(X284:X285),"0")</f>
        <v>0</v>
      </c>
      <c r="Y287" s="545">
        <f>IFERROR(SUM(Y284:Y285),"0")</f>
        <v>0</v>
      </c>
      <c r="Z287" s="37"/>
      <c r="AA287" s="546"/>
      <c r="AB287" s="546"/>
      <c r="AC287" s="546"/>
    </row>
    <row r="288" spans="1:68" ht="14.25" hidden="1" customHeight="1" x14ac:dyDescent="0.25">
      <c r="A288" s="567" t="s">
        <v>77</v>
      </c>
      <c r="B288" s="556"/>
      <c r="C288" s="556"/>
      <c r="D288" s="556"/>
      <c r="E288" s="556"/>
      <c r="F288" s="556"/>
      <c r="G288" s="556"/>
      <c r="H288" s="556"/>
      <c r="I288" s="556"/>
      <c r="J288" s="556"/>
      <c r="K288" s="556"/>
      <c r="L288" s="556"/>
      <c r="M288" s="556"/>
      <c r="N288" s="556"/>
      <c r="O288" s="556"/>
      <c r="P288" s="556"/>
      <c r="Q288" s="556"/>
      <c r="R288" s="556"/>
      <c r="S288" s="556"/>
      <c r="T288" s="556"/>
      <c r="U288" s="556"/>
      <c r="V288" s="556"/>
      <c r="W288" s="556"/>
      <c r="X288" s="556"/>
      <c r="Y288" s="556"/>
      <c r="Z288" s="556"/>
      <c r="AA288" s="539"/>
      <c r="AB288" s="539"/>
      <c r="AC288" s="539"/>
    </row>
    <row r="289" spans="1:68" ht="37.5" hidden="1" customHeight="1" x14ac:dyDescent="0.25">
      <c r="A289" s="54" t="s">
        <v>460</v>
      </c>
      <c r="B289" s="54" t="s">
        <v>461</v>
      </c>
      <c r="C289" s="31">
        <v>4301051782</v>
      </c>
      <c r="D289" s="553">
        <v>4680115884618</v>
      </c>
      <c r="E289" s="554"/>
      <c r="F289" s="542">
        <v>0.6</v>
      </c>
      <c r="G289" s="32">
        <v>6</v>
      </c>
      <c r="H289" s="542">
        <v>3.6</v>
      </c>
      <c r="I289" s="542">
        <v>3.79</v>
      </c>
      <c r="J289" s="32">
        <v>132</v>
      </c>
      <c r="K289" s="32" t="s">
        <v>110</v>
      </c>
      <c r="L289" s="32"/>
      <c r="M289" s="33" t="s">
        <v>81</v>
      </c>
      <c r="N289" s="33"/>
      <c r="O289" s="32">
        <v>45</v>
      </c>
      <c r="P289" s="76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3">
        <v>0</v>
      </c>
      <c r="Y289" s="544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462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hidden="1" customHeight="1" x14ac:dyDescent="0.25">
      <c r="A290" s="54" t="s">
        <v>463</v>
      </c>
      <c r="B290" s="54" t="s">
        <v>464</v>
      </c>
      <c r="C290" s="31">
        <v>4301052057</v>
      </c>
      <c r="D290" s="553">
        <v>4680115887114</v>
      </c>
      <c r="E290" s="554"/>
      <c r="F290" s="542">
        <v>0.55000000000000004</v>
      </c>
      <c r="G290" s="32">
        <v>6</v>
      </c>
      <c r="H290" s="542">
        <v>3.3</v>
      </c>
      <c r="I290" s="542">
        <v>3.49</v>
      </c>
      <c r="J290" s="32">
        <v>132</v>
      </c>
      <c r="K290" s="32" t="s">
        <v>110</v>
      </c>
      <c r="L290" s="32"/>
      <c r="M290" s="33" t="s">
        <v>81</v>
      </c>
      <c r="N290" s="33"/>
      <c r="O290" s="32">
        <v>45</v>
      </c>
      <c r="P290" s="85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3">
        <v>0</v>
      </c>
      <c r="Y290" s="544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568"/>
      <c r="B291" s="556"/>
      <c r="C291" s="556"/>
      <c r="D291" s="556"/>
      <c r="E291" s="556"/>
      <c r="F291" s="556"/>
      <c r="G291" s="556"/>
      <c r="H291" s="556"/>
      <c r="I291" s="556"/>
      <c r="J291" s="556"/>
      <c r="K291" s="556"/>
      <c r="L291" s="556"/>
      <c r="M291" s="556"/>
      <c r="N291" s="556"/>
      <c r="O291" s="569"/>
      <c r="P291" s="563" t="s">
        <v>75</v>
      </c>
      <c r="Q291" s="564"/>
      <c r="R291" s="564"/>
      <c r="S291" s="564"/>
      <c r="T291" s="564"/>
      <c r="U291" s="564"/>
      <c r="V291" s="565"/>
      <c r="W291" s="37" t="s">
        <v>76</v>
      </c>
      <c r="X291" s="545">
        <f>IFERROR(X289/H289,"0")+IFERROR(X290/H290,"0")</f>
        <v>0</v>
      </c>
      <c r="Y291" s="545">
        <f>IFERROR(Y289/H289,"0")+IFERROR(Y290/H290,"0")</f>
        <v>0</v>
      </c>
      <c r="Z291" s="545">
        <f>IFERROR(IF(Z289="",0,Z289),"0")+IFERROR(IF(Z290="",0,Z290),"0")</f>
        <v>0</v>
      </c>
      <c r="AA291" s="546"/>
      <c r="AB291" s="546"/>
      <c r="AC291" s="546"/>
    </row>
    <row r="292" spans="1:68" hidden="1" x14ac:dyDescent="0.2">
      <c r="A292" s="556"/>
      <c r="B292" s="556"/>
      <c r="C292" s="556"/>
      <c r="D292" s="556"/>
      <c r="E292" s="556"/>
      <c r="F292" s="556"/>
      <c r="G292" s="556"/>
      <c r="H292" s="556"/>
      <c r="I292" s="556"/>
      <c r="J292" s="556"/>
      <c r="K292" s="556"/>
      <c r="L292" s="556"/>
      <c r="M292" s="556"/>
      <c r="N292" s="556"/>
      <c r="O292" s="569"/>
      <c r="P292" s="563" t="s">
        <v>75</v>
      </c>
      <c r="Q292" s="564"/>
      <c r="R292" s="564"/>
      <c r="S292" s="564"/>
      <c r="T292" s="564"/>
      <c r="U292" s="564"/>
      <c r="V292" s="565"/>
      <c r="W292" s="37" t="s">
        <v>69</v>
      </c>
      <c r="X292" s="545">
        <f>IFERROR(SUM(X289:X290),"0")</f>
        <v>0</v>
      </c>
      <c r="Y292" s="545">
        <f>IFERROR(SUM(Y289:Y290),"0")</f>
        <v>0</v>
      </c>
      <c r="Z292" s="37"/>
      <c r="AA292" s="546"/>
      <c r="AB292" s="546"/>
      <c r="AC292" s="546"/>
    </row>
    <row r="293" spans="1:68" ht="16.5" hidden="1" customHeight="1" x14ac:dyDescent="0.25">
      <c r="A293" s="599" t="s">
        <v>466</v>
      </c>
      <c r="B293" s="556"/>
      <c r="C293" s="556"/>
      <c r="D293" s="556"/>
      <c r="E293" s="556"/>
      <c r="F293" s="556"/>
      <c r="G293" s="556"/>
      <c r="H293" s="556"/>
      <c r="I293" s="556"/>
      <c r="J293" s="556"/>
      <c r="K293" s="556"/>
      <c r="L293" s="556"/>
      <c r="M293" s="556"/>
      <c r="N293" s="556"/>
      <c r="O293" s="556"/>
      <c r="P293" s="556"/>
      <c r="Q293" s="556"/>
      <c r="R293" s="556"/>
      <c r="S293" s="556"/>
      <c r="T293" s="556"/>
      <c r="U293" s="556"/>
      <c r="V293" s="556"/>
      <c r="W293" s="556"/>
      <c r="X293" s="556"/>
      <c r="Y293" s="556"/>
      <c r="Z293" s="556"/>
      <c r="AA293" s="538"/>
      <c r="AB293" s="538"/>
      <c r="AC293" s="538"/>
    </row>
    <row r="294" spans="1:68" ht="14.25" hidden="1" customHeight="1" x14ac:dyDescent="0.25">
      <c r="A294" s="567" t="s">
        <v>101</v>
      </c>
      <c r="B294" s="556"/>
      <c r="C294" s="556"/>
      <c r="D294" s="556"/>
      <c r="E294" s="556"/>
      <c r="F294" s="556"/>
      <c r="G294" s="556"/>
      <c r="H294" s="556"/>
      <c r="I294" s="556"/>
      <c r="J294" s="556"/>
      <c r="K294" s="556"/>
      <c r="L294" s="556"/>
      <c r="M294" s="556"/>
      <c r="N294" s="556"/>
      <c r="O294" s="556"/>
      <c r="P294" s="556"/>
      <c r="Q294" s="556"/>
      <c r="R294" s="556"/>
      <c r="S294" s="556"/>
      <c r="T294" s="556"/>
      <c r="U294" s="556"/>
      <c r="V294" s="556"/>
      <c r="W294" s="556"/>
      <c r="X294" s="556"/>
      <c r="Y294" s="556"/>
      <c r="Z294" s="556"/>
      <c r="AA294" s="539"/>
      <c r="AB294" s="539"/>
      <c r="AC294" s="539"/>
    </row>
    <row r="295" spans="1:68" ht="27" hidden="1" customHeight="1" x14ac:dyDescent="0.25">
      <c r="A295" s="54" t="s">
        <v>467</v>
      </c>
      <c r="B295" s="54" t="s">
        <v>468</v>
      </c>
      <c r="C295" s="31">
        <v>4301012126</v>
      </c>
      <c r="D295" s="553">
        <v>4607091386004</v>
      </c>
      <c r="E295" s="554"/>
      <c r="F295" s="542">
        <v>1.35</v>
      </c>
      <c r="G295" s="32">
        <v>8</v>
      </c>
      <c r="H295" s="542">
        <v>10.8</v>
      </c>
      <c r="I295" s="542">
        <v>11.21</v>
      </c>
      <c r="J295" s="32">
        <v>64</v>
      </c>
      <c r="K295" s="32" t="s">
        <v>104</v>
      </c>
      <c r="L295" s="32"/>
      <c r="M295" s="33" t="s">
        <v>106</v>
      </c>
      <c r="N295" s="33"/>
      <c r="O295" s="32">
        <v>55</v>
      </c>
      <c r="P295" s="60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5" s="548"/>
      <c r="R295" s="548"/>
      <c r="S295" s="548"/>
      <c r="T295" s="549"/>
      <c r="U295" s="34"/>
      <c r="V295" s="34"/>
      <c r="W295" s="35" t="s">
        <v>69</v>
      </c>
      <c r="X295" s="543">
        <v>0</v>
      </c>
      <c r="Y295" s="544">
        <f t="shared" ref="Y295:Y300" si="26"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469</v>
      </c>
      <c r="AG295" s="64"/>
      <c r="AJ295" s="68"/>
      <c r="AK295" s="68">
        <v>0</v>
      </c>
      <c r="BB295" s="344" t="s">
        <v>1</v>
      </c>
      <c r="BM295" s="64">
        <f t="shared" ref="BM295:BM300" si="27">IFERROR(X295*I295/H295,"0")</f>
        <v>0</v>
      </c>
      <c r="BN295" s="64">
        <f t="shared" ref="BN295:BN300" si="28">IFERROR(Y295*I295/H295,"0")</f>
        <v>0</v>
      </c>
      <c r="BO295" s="64">
        <f t="shared" ref="BO295:BO300" si="29">IFERROR(1/J295*(X295/H295),"0")</f>
        <v>0</v>
      </c>
      <c r="BP295" s="64">
        <f t="shared" ref="BP295:BP300" si="30">IFERROR(1/J295*(Y295/H295),"0")</f>
        <v>0</v>
      </c>
    </row>
    <row r="296" spans="1:68" ht="27" hidden="1" customHeight="1" x14ac:dyDescent="0.25">
      <c r="A296" s="54" t="s">
        <v>470</v>
      </c>
      <c r="B296" s="54" t="s">
        <v>471</v>
      </c>
      <c r="C296" s="31">
        <v>4301012024</v>
      </c>
      <c r="D296" s="553">
        <v>4680115885615</v>
      </c>
      <c r="E296" s="554"/>
      <c r="F296" s="542">
        <v>1.35</v>
      </c>
      <c r="G296" s="32">
        <v>8</v>
      </c>
      <c r="H296" s="542">
        <v>10.8</v>
      </c>
      <c r="I296" s="542">
        <v>11.21</v>
      </c>
      <c r="J296" s="32">
        <v>64</v>
      </c>
      <c r="K296" s="32" t="s">
        <v>104</v>
      </c>
      <c r="L296" s="32"/>
      <c r="M296" s="33" t="s">
        <v>81</v>
      </c>
      <c r="N296" s="33"/>
      <c r="O296" s="32">
        <v>55</v>
      </c>
      <c r="P296" s="745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48"/>
      <c r="R296" s="548"/>
      <c r="S296" s="548"/>
      <c r="T296" s="549"/>
      <c r="U296" s="34"/>
      <c r="V296" s="34"/>
      <c r="W296" s="35" t="s">
        <v>69</v>
      </c>
      <c r="X296" s="543">
        <v>0</v>
      </c>
      <c r="Y296" s="544">
        <f t="shared" si="26"/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 t="shared" si="27"/>
        <v>0</v>
      </c>
      <c r="BN296" s="64">
        <f t="shared" si="28"/>
        <v>0</v>
      </c>
      <c r="BO296" s="64">
        <f t="shared" si="29"/>
        <v>0</v>
      </c>
      <c r="BP296" s="64">
        <f t="shared" si="30"/>
        <v>0</v>
      </c>
    </row>
    <row r="297" spans="1:68" ht="37.5" hidden="1" customHeight="1" x14ac:dyDescent="0.25">
      <c r="A297" s="54" t="s">
        <v>473</v>
      </c>
      <c r="B297" s="54" t="s">
        <v>474</v>
      </c>
      <c r="C297" s="31">
        <v>4301011858</v>
      </c>
      <c r="D297" s="553">
        <v>4680115885646</v>
      </c>
      <c r="E297" s="554"/>
      <c r="F297" s="542">
        <v>1.35</v>
      </c>
      <c r="G297" s="32">
        <v>8</v>
      </c>
      <c r="H297" s="542">
        <v>10.8</v>
      </c>
      <c r="I297" s="542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59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48"/>
      <c r="R297" s="548"/>
      <c r="S297" s="548"/>
      <c r="T297" s="549"/>
      <c r="U297" s="34"/>
      <c r="V297" s="34"/>
      <c r="W297" s="35" t="s">
        <v>69</v>
      </c>
      <c r="X297" s="543">
        <v>0</v>
      </c>
      <c r="Y297" s="544">
        <f t="shared" si="26"/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hidden="1" customHeight="1" x14ac:dyDescent="0.25">
      <c r="A298" s="54" t="s">
        <v>476</v>
      </c>
      <c r="B298" s="54" t="s">
        <v>477</v>
      </c>
      <c r="C298" s="31">
        <v>4301012016</v>
      </c>
      <c r="D298" s="553">
        <v>4680115885554</v>
      </c>
      <c r="E298" s="554"/>
      <c r="F298" s="542">
        <v>1.35</v>
      </c>
      <c r="G298" s="32">
        <v>8</v>
      </c>
      <c r="H298" s="542">
        <v>10.8</v>
      </c>
      <c r="I298" s="542">
        <v>11.21</v>
      </c>
      <c r="J298" s="32">
        <v>64</v>
      </c>
      <c r="K298" s="32" t="s">
        <v>104</v>
      </c>
      <c r="L298" s="32"/>
      <c r="M298" s="33" t="s">
        <v>81</v>
      </c>
      <c r="N298" s="33"/>
      <c r="O298" s="32">
        <v>55</v>
      </c>
      <c r="P298" s="62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48"/>
      <c r="R298" s="548"/>
      <c r="S298" s="548"/>
      <c r="T298" s="549"/>
      <c r="U298" s="34"/>
      <c r="V298" s="34"/>
      <c r="W298" s="35" t="s">
        <v>69</v>
      </c>
      <c r="X298" s="543">
        <v>0</v>
      </c>
      <c r="Y298" s="544">
        <f t="shared" si="26"/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4301011857</v>
      </c>
      <c r="D299" s="553">
        <v>4680115885622</v>
      </c>
      <c r="E299" s="554"/>
      <c r="F299" s="542">
        <v>0.4</v>
      </c>
      <c r="G299" s="32">
        <v>10</v>
      </c>
      <c r="H299" s="542">
        <v>4</v>
      </c>
      <c r="I299" s="542">
        <v>4.1900000000000004</v>
      </c>
      <c r="J299" s="32">
        <v>132</v>
      </c>
      <c r="K299" s="32" t="s">
        <v>110</v>
      </c>
      <c r="L299" s="32"/>
      <c r="M299" s="33" t="s">
        <v>106</v>
      </c>
      <c r="N299" s="33"/>
      <c r="O299" s="32">
        <v>55</v>
      </c>
      <c r="P299" s="73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48"/>
      <c r="R299" s="548"/>
      <c r="S299" s="548"/>
      <c r="T299" s="549"/>
      <c r="U299" s="34"/>
      <c r="V299" s="34"/>
      <c r="W299" s="35" t="s">
        <v>69</v>
      </c>
      <c r="X299" s="543">
        <v>0</v>
      </c>
      <c r="Y299" s="544">
        <f t="shared" si="26"/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481</v>
      </c>
      <c r="B300" s="54" t="s">
        <v>482</v>
      </c>
      <c r="C300" s="31">
        <v>4301011859</v>
      </c>
      <c r="D300" s="553">
        <v>4680115885608</v>
      </c>
      <c r="E300" s="554"/>
      <c r="F300" s="542">
        <v>0.4</v>
      </c>
      <c r="G300" s="32">
        <v>10</v>
      </c>
      <c r="H300" s="542">
        <v>4</v>
      </c>
      <c r="I300" s="542">
        <v>4.1900000000000004</v>
      </c>
      <c r="J300" s="32">
        <v>132</v>
      </c>
      <c r="K300" s="32" t="s">
        <v>110</v>
      </c>
      <c r="L300" s="32"/>
      <c r="M300" s="33" t="s">
        <v>106</v>
      </c>
      <c r="N300" s="33"/>
      <c r="O300" s="32">
        <v>55</v>
      </c>
      <c r="P300" s="7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48"/>
      <c r="R300" s="548"/>
      <c r="S300" s="548"/>
      <c r="T300" s="549"/>
      <c r="U300" s="34"/>
      <c r="V300" s="34"/>
      <c r="W300" s="35" t="s">
        <v>69</v>
      </c>
      <c r="X300" s="543">
        <v>0</v>
      </c>
      <c r="Y300" s="544">
        <f t="shared" si="26"/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idden="1" x14ac:dyDescent="0.2">
      <c r="A301" s="568"/>
      <c r="B301" s="556"/>
      <c r="C301" s="556"/>
      <c r="D301" s="556"/>
      <c r="E301" s="556"/>
      <c r="F301" s="556"/>
      <c r="G301" s="556"/>
      <c r="H301" s="556"/>
      <c r="I301" s="556"/>
      <c r="J301" s="556"/>
      <c r="K301" s="556"/>
      <c r="L301" s="556"/>
      <c r="M301" s="556"/>
      <c r="N301" s="556"/>
      <c r="O301" s="569"/>
      <c r="P301" s="563" t="s">
        <v>75</v>
      </c>
      <c r="Q301" s="564"/>
      <c r="R301" s="564"/>
      <c r="S301" s="564"/>
      <c r="T301" s="564"/>
      <c r="U301" s="564"/>
      <c r="V301" s="565"/>
      <c r="W301" s="37" t="s">
        <v>76</v>
      </c>
      <c r="X301" s="545">
        <f>IFERROR(X295/H295,"0")+IFERROR(X296/H296,"0")+IFERROR(X297/H297,"0")+IFERROR(X298/H298,"0")+IFERROR(X299/H299,"0")+IFERROR(X300/H300,"0")</f>
        <v>0</v>
      </c>
      <c r="Y301" s="545">
        <f>IFERROR(Y295/H295,"0")+IFERROR(Y296/H296,"0")+IFERROR(Y297/H297,"0")+IFERROR(Y298/H298,"0")+IFERROR(Y299/H299,"0")+IFERROR(Y300/H300,"0")</f>
        <v>0</v>
      </c>
      <c r="Z301" s="545">
        <f>IFERROR(IF(Z295="",0,Z295),"0")+IFERROR(IF(Z296="",0,Z296),"0")+IFERROR(IF(Z297="",0,Z297),"0")+IFERROR(IF(Z298="",0,Z298),"0")+IFERROR(IF(Z299="",0,Z299),"0")+IFERROR(IF(Z300="",0,Z300),"0")</f>
        <v>0</v>
      </c>
      <c r="AA301" s="546"/>
      <c r="AB301" s="546"/>
      <c r="AC301" s="546"/>
    </row>
    <row r="302" spans="1:68" hidden="1" x14ac:dyDescent="0.2">
      <c r="A302" s="556"/>
      <c r="B302" s="556"/>
      <c r="C302" s="556"/>
      <c r="D302" s="556"/>
      <c r="E302" s="556"/>
      <c r="F302" s="556"/>
      <c r="G302" s="556"/>
      <c r="H302" s="556"/>
      <c r="I302" s="556"/>
      <c r="J302" s="556"/>
      <c r="K302" s="556"/>
      <c r="L302" s="556"/>
      <c r="M302" s="556"/>
      <c r="N302" s="556"/>
      <c r="O302" s="569"/>
      <c r="P302" s="563" t="s">
        <v>75</v>
      </c>
      <c r="Q302" s="564"/>
      <c r="R302" s="564"/>
      <c r="S302" s="564"/>
      <c r="T302" s="564"/>
      <c r="U302" s="564"/>
      <c r="V302" s="565"/>
      <c r="W302" s="37" t="s">
        <v>69</v>
      </c>
      <c r="X302" s="545">
        <f>IFERROR(SUM(X295:X300),"0")</f>
        <v>0</v>
      </c>
      <c r="Y302" s="545">
        <f>IFERROR(SUM(Y295:Y300),"0")</f>
        <v>0</v>
      </c>
      <c r="Z302" s="37"/>
      <c r="AA302" s="546"/>
      <c r="AB302" s="546"/>
      <c r="AC302" s="546"/>
    </row>
    <row r="303" spans="1:68" ht="14.25" hidden="1" customHeight="1" x14ac:dyDescent="0.25">
      <c r="A303" s="567" t="s">
        <v>64</v>
      </c>
      <c r="B303" s="556"/>
      <c r="C303" s="556"/>
      <c r="D303" s="556"/>
      <c r="E303" s="556"/>
      <c r="F303" s="556"/>
      <c r="G303" s="556"/>
      <c r="H303" s="556"/>
      <c r="I303" s="556"/>
      <c r="J303" s="556"/>
      <c r="K303" s="556"/>
      <c r="L303" s="556"/>
      <c r="M303" s="556"/>
      <c r="N303" s="556"/>
      <c r="O303" s="556"/>
      <c r="P303" s="556"/>
      <c r="Q303" s="556"/>
      <c r="R303" s="556"/>
      <c r="S303" s="556"/>
      <c r="T303" s="556"/>
      <c r="U303" s="556"/>
      <c r="V303" s="556"/>
      <c r="W303" s="556"/>
      <c r="X303" s="556"/>
      <c r="Y303" s="556"/>
      <c r="Z303" s="556"/>
      <c r="AA303" s="539"/>
      <c r="AB303" s="539"/>
      <c r="AC303" s="539"/>
    </row>
    <row r="304" spans="1:68" ht="27" hidden="1" customHeight="1" x14ac:dyDescent="0.25">
      <c r="A304" s="54" t="s">
        <v>484</v>
      </c>
      <c r="B304" s="54" t="s">
        <v>485</v>
      </c>
      <c r="C304" s="31">
        <v>4301030878</v>
      </c>
      <c r="D304" s="553">
        <v>4607091387193</v>
      </c>
      <c r="E304" s="554"/>
      <c r="F304" s="542">
        <v>0.7</v>
      </c>
      <c r="G304" s="32">
        <v>6</v>
      </c>
      <c r="H304" s="542">
        <v>4.2</v>
      </c>
      <c r="I304" s="542">
        <v>4.45</v>
      </c>
      <c r="J304" s="32">
        <v>132</v>
      </c>
      <c r="K304" s="32" t="s">
        <v>110</v>
      </c>
      <c r="L304" s="32"/>
      <c r="M304" s="33" t="s">
        <v>68</v>
      </c>
      <c r="N304" s="33"/>
      <c r="O304" s="32">
        <v>35</v>
      </c>
      <c r="P304" s="72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48"/>
      <c r="R304" s="548"/>
      <c r="S304" s="548"/>
      <c r="T304" s="549"/>
      <c r="U304" s="34"/>
      <c r="V304" s="34"/>
      <c r="W304" s="35" t="s">
        <v>69</v>
      </c>
      <c r="X304" s="543">
        <v>0</v>
      </c>
      <c r="Y304" s="544">
        <f t="shared" ref="Y304:Y309" si="31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32">IFERROR(X304*I304/H304,"0")</f>
        <v>0</v>
      </c>
      <c r="BN304" s="64">
        <f t="shared" ref="BN304:BN309" si="33">IFERROR(Y304*I304/H304,"0")</f>
        <v>0</v>
      </c>
      <c r="BO304" s="64">
        <f t="shared" ref="BO304:BO309" si="34">IFERROR(1/J304*(X304/H304),"0")</f>
        <v>0</v>
      </c>
      <c r="BP304" s="64">
        <f t="shared" ref="BP304:BP309" si="35">IFERROR(1/J304*(Y304/H304),"0")</f>
        <v>0</v>
      </c>
    </row>
    <row r="305" spans="1:68" ht="27" hidden="1" customHeight="1" x14ac:dyDescent="0.25">
      <c r="A305" s="54" t="s">
        <v>487</v>
      </c>
      <c r="B305" s="54" t="s">
        <v>488</v>
      </c>
      <c r="C305" s="31">
        <v>4301031153</v>
      </c>
      <c r="D305" s="553">
        <v>4607091387230</v>
      </c>
      <c r="E305" s="554"/>
      <c r="F305" s="542">
        <v>0.7</v>
      </c>
      <c r="G305" s="32">
        <v>6</v>
      </c>
      <c r="H305" s="542">
        <v>4.2</v>
      </c>
      <c r="I305" s="542">
        <v>4.45</v>
      </c>
      <c r="J305" s="32">
        <v>132</v>
      </c>
      <c r="K305" s="32" t="s">
        <v>110</v>
      </c>
      <c r="L305" s="32"/>
      <c r="M305" s="33" t="s">
        <v>68</v>
      </c>
      <c r="N305" s="33"/>
      <c r="O305" s="32">
        <v>40</v>
      </c>
      <c r="P305" s="74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48"/>
      <c r="R305" s="548"/>
      <c r="S305" s="548"/>
      <c r="T305" s="549"/>
      <c r="U305" s="34"/>
      <c r="V305" s="34"/>
      <c r="W305" s="35" t="s">
        <v>69</v>
      </c>
      <c r="X305" s="543">
        <v>0</v>
      </c>
      <c r="Y305" s="544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4301031154</v>
      </c>
      <c r="D306" s="553">
        <v>4607091387292</v>
      </c>
      <c r="E306" s="554"/>
      <c r="F306" s="542">
        <v>0.73</v>
      </c>
      <c r="G306" s="32">
        <v>6</v>
      </c>
      <c r="H306" s="542">
        <v>4.38</v>
      </c>
      <c r="I306" s="542">
        <v>4.63</v>
      </c>
      <c r="J306" s="32">
        <v>132</v>
      </c>
      <c r="K306" s="32" t="s">
        <v>110</v>
      </c>
      <c r="L306" s="32"/>
      <c r="M306" s="33" t="s">
        <v>68</v>
      </c>
      <c r="N306" s="33"/>
      <c r="O306" s="32">
        <v>45</v>
      </c>
      <c r="P306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48"/>
      <c r="R306" s="548"/>
      <c r="S306" s="548"/>
      <c r="T306" s="549"/>
      <c r="U306" s="34"/>
      <c r="V306" s="34"/>
      <c r="W306" s="35" t="s">
        <v>69</v>
      </c>
      <c r="X306" s="543">
        <v>0</v>
      </c>
      <c r="Y306" s="544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4301031152</v>
      </c>
      <c r="D307" s="553">
        <v>4607091387285</v>
      </c>
      <c r="E307" s="554"/>
      <c r="F307" s="542">
        <v>0.35</v>
      </c>
      <c r="G307" s="32">
        <v>6</v>
      </c>
      <c r="H307" s="542">
        <v>2.1</v>
      </c>
      <c r="I307" s="542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64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48"/>
      <c r="R307" s="548"/>
      <c r="S307" s="548"/>
      <c r="T307" s="549"/>
      <c r="U307" s="34"/>
      <c r="V307" s="34"/>
      <c r="W307" s="35" t="s">
        <v>69</v>
      </c>
      <c r="X307" s="543">
        <v>0</v>
      </c>
      <c r="Y307" s="544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495</v>
      </c>
      <c r="B308" s="54" t="s">
        <v>496</v>
      </c>
      <c r="C308" s="31">
        <v>4301031305</v>
      </c>
      <c r="D308" s="553">
        <v>4607091389845</v>
      </c>
      <c r="E308" s="554"/>
      <c r="F308" s="542">
        <v>0.35</v>
      </c>
      <c r="G308" s="32">
        <v>6</v>
      </c>
      <c r="H308" s="542">
        <v>2.1</v>
      </c>
      <c r="I308" s="542">
        <v>2.2000000000000002</v>
      </c>
      <c r="J308" s="32">
        <v>234</v>
      </c>
      <c r="K308" s="32" t="s">
        <v>73</v>
      </c>
      <c r="L308" s="32" t="s">
        <v>284</v>
      </c>
      <c r="M308" s="33" t="s">
        <v>68</v>
      </c>
      <c r="N308" s="33"/>
      <c r="O308" s="32">
        <v>40</v>
      </c>
      <c r="P308" s="86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3">
        <v>0</v>
      </c>
      <c r="Y308" s="544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 t="s">
        <v>83</v>
      </c>
      <c r="AK308" s="68">
        <v>37.799999999999997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498</v>
      </c>
      <c r="B309" s="54" t="s">
        <v>499</v>
      </c>
      <c r="C309" s="31">
        <v>4301031066</v>
      </c>
      <c r="D309" s="553">
        <v>4607091383836</v>
      </c>
      <c r="E309" s="554"/>
      <c r="F309" s="542">
        <v>0.3</v>
      </c>
      <c r="G309" s="32">
        <v>6</v>
      </c>
      <c r="H309" s="542">
        <v>1.8</v>
      </c>
      <c r="I309" s="542">
        <v>2.028</v>
      </c>
      <c r="J309" s="32">
        <v>182</v>
      </c>
      <c r="K309" s="32" t="s">
        <v>67</v>
      </c>
      <c r="L309" s="32" t="s">
        <v>80</v>
      </c>
      <c r="M309" s="33" t="s">
        <v>68</v>
      </c>
      <c r="N309" s="33"/>
      <c r="O309" s="32">
        <v>40</v>
      </c>
      <c r="P309" s="7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3">
        <v>0</v>
      </c>
      <c r="Y309" s="544">
        <f t="shared" si="31"/>
        <v>0</v>
      </c>
      <c r="Z309" s="36" t="str">
        <f>IFERROR(IF(Y309=0,"",ROUNDUP(Y309/H309,0)*0.00651),"")</f>
        <v/>
      </c>
      <c r="AA309" s="56"/>
      <c r="AB309" s="57"/>
      <c r="AC309" s="365" t="s">
        <v>500</v>
      </c>
      <c r="AG309" s="64"/>
      <c r="AJ309" s="68" t="s">
        <v>83</v>
      </c>
      <c r="AK309" s="68">
        <v>25.2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idden="1" x14ac:dyDescent="0.2">
      <c r="A310" s="568"/>
      <c r="B310" s="556"/>
      <c r="C310" s="556"/>
      <c r="D310" s="556"/>
      <c r="E310" s="556"/>
      <c r="F310" s="556"/>
      <c r="G310" s="556"/>
      <c r="H310" s="556"/>
      <c r="I310" s="556"/>
      <c r="J310" s="556"/>
      <c r="K310" s="556"/>
      <c r="L310" s="556"/>
      <c r="M310" s="556"/>
      <c r="N310" s="556"/>
      <c r="O310" s="569"/>
      <c r="P310" s="563" t="s">
        <v>75</v>
      </c>
      <c r="Q310" s="564"/>
      <c r="R310" s="564"/>
      <c r="S310" s="564"/>
      <c r="T310" s="564"/>
      <c r="U310" s="564"/>
      <c r="V310" s="565"/>
      <c r="W310" s="37" t="s">
        <v>76</v>
      </c>
      <c r="X310" s="545">
        <f>IFERROR(X304/H304,"0")+IFERROR(X305/H305,"0")+IFERROR(X306/H306,"0")+IFERROR(X307/H307,"0")+IFERROR(X308/H308,"0")+IFERROR(X309/H309,"0")</f>
        <v>0</v>
      </c>
      <c r="Y310" s="545">
        <f>IFERROR(Y304/H304,"0")+IFERROR(Y305/H305,"0")+IFERROR(Y306/H306,"0")+IFERROR(Y307/H307,"0")+IFERROR(Y308/H308,"0")+IFERROR(Y309/H309,"0")</f>
        <v>0</v>
      </c>
      <c r="Z310" s="545">
        <f>IFERROR(IF(Z304="",0,Z304),"0")+IFERROR(IF(Z305="",0,Z305),"0")+IFERROR(IF(Z306="",0,Z306),"0")+IFERROR(IF(Z307="",0,Z307),"0")+IFERROR(IF(Z308="",0,Z308),"0")+IFERROR(IF(Z309="",0,Z309),"0")</f>
        <v>0</v>
      </c>
      <c r="AA310" s="546"/>
      <c r="AB310" s="546"/>
      <c r="AC310" s="546"/>
    </row>
    <row r="311" spans="1:68" hidden="1" x14ac:dyDescent="0.2">
      <c r="A311" s="556"/>
      <c r="B311" s="556"/>
      <c r="C311" s="556"/>
      <c r="D311" s="556"/>
      <c r="E311" s="556"/>
      <c r="F311" s="556"/>
      <c r="G311" s="556"/>
      <c r="H311" s="556"/>
      <c r="I311" s="556"/>
      <c r="J311" s="556"/>
      <c r="K311" s="556"/>
      <c r="L311" s="556"/>
      <c r="M311" s="556"/>
      <c r="N311" s="556"/>
      <c r="O311" s="569"/>
      <c r="P311" s="563" t="s">
        <v>75</v>
      </c>
      <c r="Q311" s="564"/>
      <c r="R311" s="564"/>
      <c r="S311" s="564"/>
      <c r="T311" s="564"/>
      <c r="U311" s="564"/>
      <c r="V311" s="565"/>
      <c r="W311" s="37" t="s">
        <v>69</v>
      </c>
      <c r="X311" s="545">
        <f>IFERROR(SUM(X304:X309),"0")</f>
        <v>0</v>
      </c>
      <c r="Y311" s="545">
        <f>IFERROR(SUM(Y304:Y309),"0")</f>
        <v>0</v>
      </c>
      <c r="Z311" s="37"/>
      <c r="AA311" s="546"/>
      <c r="AB311" s="546"/>
      <c r="AC311" s="546"/>
    </row>
    <row r="312" spans="1:68" ht="14.25" hidden="1" customHeight="1" x14ac:dyDescent="0.25">
      <c r="A312" s="567" t="s">
        <v>77</v>
      </c>
      <c r="B312" s="556"/>
      <c r="C312" s="556"/>
      <c r="D312" s="556"/>
      <c r="E312" s="556"/>
      <c r="F312" s="556"/>
      <c r="G312" s="556"/>
      <c r="H312" s="556"/>
      <c r="I312" s="556"/>
      <c r="J312" s="556"/>
      <c r="K312" s="556"/>
      <c r="L312" s="556"/>
      <c r="M312" s="556"/>
      <c r="N312" s="556"/>
      <c r="O312" s="556"/>
      <c r="P312" s="556"/>
      <c r="Q312" s="556"/>
      <c r="R312" s="556"/>
      <c r="S312" s="556"/>
      <c r="T312" s="556"/>
      <c r="U312" s="556"/>
      <c r="V312" s="556"/>
      <c r="W312" s="556"/>
      <c r="X312" s="556"/>
      <c r="Y312" s="556"/>
      <c r="Z312" s="556"/>
      <c r="AA312" s="539"/>
      <c r="AB312" s="539"/>
      <c r="AC312" s="539"/>
    </row>
    <row r="313" spans="1:68" ht="27" hidden="1" customHeight="1" x14ac:dyDescent="0.25">
      <c r="A313" s="54" t="s">
        <v>501</v>
      </c>
      <c r="B313" s="54" t="s">
        <v>502</v>
      </c>
      <c r="C313" s="31">
        <v>4301051100</v>
      </c>
      <c r="D313" s="553">
        <v>4607091387766</v>
      </c>
      <c r="E313" s="554"/>
      <c r="F313" s="542">
        <v>1.3</v>
      </c>
      <c r="G313" s="32">
        <v>6</v>
      </c>
      <c r="H313" s="542">
        <v>7.8</v>
      </c>
      <c r="I313" s="542">
        <v>8.2880000000000003</v>
      </c>
      <c r="J313" s="32">
        <v>64</v>
      </c>
      <c r="K313" s="32" t="s">
        <v>104</v>
      </c>
      <c r="L313" s="32"/>
      <c r="M313" s="33" t="s">
        <v>81</v>
      </c>
      <c r="N313" s="33"/>
      <c r="O313" s="32">
        <v>40</v>
      </c>
      <c r="P313" s="64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48"/>
      <c r="R313" s="548"/>
      <c r="S313" s="548"/>
      <c r="T313" s="549"/>
      <c r="U313" s="34"/>
      <c r="V313" s="34"/>
      <c r="W313" s="35" t="s">
        <v>69</v>
      </c>
      <c r="X313" s="543">
        <v>0</v>
      </c>
      <c r="Y313" s="544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504</v>
      </c>
      <c r="B314" s="54" t="s">
        <v>505</v>
      </c>
      <c r="C314" s="31">
        <v>4301051818</v>
      </c>
      <c r="D314" s="553">
        <v>4607091387957</v>
      </c>
      <c r="E314" s="554"/>
      <c r="F314" s="542">
        <v>1.3</v>
      </c>
      <c r="G314" s="32">
        <v>6</v>
      </c>
      <c r="H314" s="542">
        <v>7.8</v>
      </c>
      <c r="I314" s="542">
        <v>8.2940000000000005</v>
      </c>
      <c r="J314" s="32">
        <v>64</v>
      </c>
      <c r="K314" s="32" t="s">
        <v>104</v>
      </c>
      <c r="L314" s="32"/>
      <c r="M314" s="33" t="s">
        <v>81</v>
      </c>
      <c r="N314" s="33"/>
      <c r="O314" s="32">
        <v>40</v>
      </c>
      <c r="P314" s="68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48"/>
      <c r="R314" s="548"/>
      <c r="S314" s="548"/>
      <c r="T314" s="549"/>
      <c r="U314" s="34"/>
      <c r="V314" s="34"/>
      <c r="W314" s="35" t="s">
        <v>69</v>
      </c>
      <c r="X314" s="543">
        <v>0</v>
      </c>
      <c r="Y314" s="544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4301051819</v>
      </c>
      <c r="D315" s="553">
        <v>4607091387964</v>
      </c>
      <c r="E315" s="554"/>
      <c r="F315" s="542">
        <v>1.35</v>
      </c>
      <c r="G315" s="32">
        <v>6</v>
      </c>
      <c r="H315" s="542">
        <v>8.1</v>
      </c>
      <c r="I315" s="542">
        <v>8.5760000000000005</v>
      </c>
      <c r="J315" s="32">
        <v>64</v>
      </c>
      <c r="K315" s="32" t="s">
        <v>104</v>
      </c>
      <c r="L315" s="32"/>
      <c r="M315" s="33" t="s">
        <v>81</v>
      </c>
      <c r="N315" s="33"/>
      <c r="O315" s="32">
        <v>40</v>
      </c>
      <c r="P315" s="86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48"/>
      <c r="R315" s="548"/>
      <c r="S315" s="548"/>
      <c r="T315" s="549"/>
      <c r="U315" s="34"/>
      <c r="V315" s="34"/>
      <c r="W315" s="35" t="s">
        <v>69</v>
      </c>
      <c r="X315" s="543">
        <v>0</v>
      </c>
      <c r="Y315" s="54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4301051734</v>
      </c>
      <c r="D316" s="553">
        <v>4680115884588</v>
      </c>
      <c r="E316" s="554"/>
      <c r="F316" s="542">
        <v>0.5</v>
      </c>
      <c r="G316" s="32">
        <v>6</v>
      </c>
      <c r="H316" s="542">
        <v>3</v>
      </c>
      <c r="I316" s="542">
        <v>3.246</v>
      </c>
      <c r="J316" s="32">
        <v>182</v>
      </c>
      <c r="K316" s="32" t="s">
        <v>67</v>
      </c>
      <c r="L316" s="32"/>
      <c r="M316" s="33" t="s">
        <v>81</v>
      </c>
      <c r="N316" s="33"/>
      <c r="O316" s="32">
        <v>40</v>
      </c>
      <c r="P316" s="84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68"/>
      <c r="B317" s="556"/>
      <c r="C317" s="556"/>
      <c r="D317" s="556"/>
      <c r="E317" s="556"/>
      <c r="F317" s="556"/>
      <c r="G317" s="556"/>
      <c r="H317" s="556"/>
      <c r="I317" s="556"/>
      <c r="J317" s="556"/>
      <c r="K317" s="556"/>
      <c r="L317" s="556"/>
      <c r="M317" s="556"/>
      <c r="N317" s="556"/>
      <c r="O317" s="569"/>
      <c r="P317" s="563" t="s">
        <v>75</v>
      </c>
      <c r="Q317" s="564"/>
      <c r="R317" s="564"/>
      <c r="S317" s="564"/>
      <c r="T317" s="564"/>
      <c r="U317" s="564"/>
      <c r="V317" s="565"/>
      <c r="W317" s="37" t="s">
        <v>76</v>
      </c>
      <c r="X317" s="545">
        <f>IFERROR(X313/H313,"0")+IFERROR(X314/H314,"0")+IFERROR(X315/H315,"0")+IFERROR(X316/H316,"0")</f>
        <v>0</v>
      </c>
      <c r="Y317" s="545">
        <f>IFERROR(Y313/H313,"0")+IFERROR(Y314/H314,"0")+IFERROR(Y315/H315,"0")+IFERROR(Y316/H316,"0")</f>
        <v>0</v>
      </c>
      <c r="Z317" s="545">
        <f>IFERROR(IF(Z313="",0,Z313),"0")+IFERROR(IF(Z314="",0,Z314),"0")+IFERROR(IF(Z315="",0,Z315),"0")+IFERROR(IF(Z316="",0,Z316),"0")</f>
        <v>0</v>
      </c>
      <c r="AA317" s="546"/>
      <c r="AB317" s="546"/>
      <c r="AC317" s="546"/>
    </row>
    <row r="318" spans="1:68" hidden="1" x14ac:dyDescent="0.2">
      <c r="A318" s="556"/>
      <c r="B318" s="556"/>
      <c r="C318" s="556"/>
      <c r="D318" s="556"/>
      <c r="E318" s="556"/>
      <c r="F318" s="556"/>
      <c r="G318" s="556"/>
      <c r="H318" s="556"/>
      <c r="I318" s="556"/>
      <c r="J318" s="556"/>
      <c r="K318" s="556"/>
      <c r="L318" s="556"/>
      <c r="M318" s="556"/>
      <c r="N318" s="556"/>
      <c r="O318" s="569"/>
      <c r="P318" s="563" t="s">
        <v>75</v>
      </c>
      <c r="Q318" s="564"/>
      <c r="R318" s="564"/>
      <c r="S318" s="564"/>
      <c r="T318" s="564"/>
      <c r="U318" s="564"/>
      <c r="V318" s="565"/>
      <c r="W318" s="37" t="s">
        <v>69</v>
      </c>
      <c r="X318" s="545">
        <f>IFERROR(SUM(X313:X316),"0")</f>
        <v>0</v>
      </c>
      <c r="Y318" s="545">
        <f>IFERROR(SUM(Y313:Y316),"0")</f>
        <v>0</v>
      </c>
      <c r="Z318" s="37"/>
      <c r="AA318" s="546"/>
      <c r="AB318" s="546"/>
      <c r="AC318" s="546"/>
    </row>
    <row r="319" spans="1:68" ht="14.25" hidden="1" customHeight="1" x14ac:dyDescent="0.25">
      <c r="A319" s="567" t="s">
        <v>158</v>
      </c>
      <c r="B319" s="556"/>
      <c r="C319" s="556"/>
      <c r="D319" s="556"/>
      <c r="E319" s="556"/>
      <c r="F319" s="556"/>
      <c r="G319" s="556"/>
      <c r="H319" s="556"/>
      <c r="I319" s="556"/>
      <c r="J319" s="556"/>
      <c r="K319" s="556"/>
      <c r="L319" s="556"/>
      <c r="M319" s="556"/>
      <c r="N319" s="556"/>
      <c r="O319" s="556"/>
      <c r="P319" s="556"/>
      <c r="Q319" s="556"/>
      <c r="R319" s="556"/>
      <c r="S319" s="556"/>
      <c r="T319" s="556"/>
      <c r="U319" s="556"/>
      <c r="V319" s="556"/>
      <c r="W319" s="556"/>
      <c r="X319" s="556"/>
      <c r="Y319" s="556"/>
      <c r="Z319" s="556"/>
      <c r="AA319" s="539"/>
      <c r="AB319" s="539"/>
      <c r="AC319" s="539"/>
    </row>
    <row r="320" spans="1:68" ht="27" hidden="1" customHeight="1" x14ac:dyDescent="0.25">
      <c r="A320" s="54" t="s">
        <v>513</v>
      </c>
      <c r="B320" s="54" t="s">
        <v>514</v>
      </c>
      <c r="C320" s="31">
        <v>4301060387</v>
      </c>
      <c r="D320" s="553">
        <v>4607091380880</v>
      </c>
      <c r="E320" s="554"/>
      <c r="F320" s="542">
        <v>1.4</v>
      </c>
      <c r="G320" s="32">
        <v>6</v>
      </c>
      <c r="H320" s="542">
        <v>8.4</v>
      </c>
      <c r="I320" s="542">
        <v>8.8940000000000001</v>
      </c>
      <c r="J320" s="32">
        <v>64</v>
      </c>
      <c r="K320" s="32" t="s">
        <v>104</v>
      </c>
      <c r="L320" s="32" t="s">
        <v>105</v>
      </c>
      <c r="M320" s="33" t="s">
        <v>81</v>
      </c>
      <c r="N320" s="33"/>
      <c r="O320" s="32">
        <v>30</v>
      </c>
      <c r="P320" s="67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48"/>
      <c r="R320" s="548"/>
      <c r="S320" s="548"/>
      <c r="T320" s="549"/>
      <c r="U320" s="34"/>
      <c r="V320" s="34"/>
      <c r="W320" s="35" t="s">
        <v>69</v>
      </c>
      <c r="X320" s="543">
        <v>0</v>
      </c>
      <c r="Y320" s="544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515</v>
      </c>
      <c r="AG320" s="64"/>
      <c r="AJ320" s="68" t="s">
        <v>83</v>
      </c>
      <c r="AK320" s="68">
        <v>67.2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53">
        <v>4607091384482</v>
      </c>
      <c r="E321" s="554"/>
      <c r="F321" s="542">
        <v>1.3</v>
      </c>
      <c r="G321" s="32">
        <v>6</v>
      </c>
      <c r="H321" s="542">
        <v>7.8</v>
      </c>
      <c r="I321" s="542">
        <v>8.2940000000000005</v>
      </c>
      <c r="J321" s="32">
        <v>64</v>
      </c>
      <c r="K321" s="32" t="s">
        <v>104</v>
      </c>
      <c r="L321" s="32" t="s">
        <v>105</v>
      </c>
      <c r="M321" s="33" t="s">
        <v>81</v>
      </c>
      <c r="N321" s="33"/>
      <c r="O321" s="32">
        <v>30</v>
      </c>
      <c r="P321" s="65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48"/>
      <c r="R321" s="548"/>
      <c r="S321" s="548"/>
      <c r="T321" s="549"/>
      <c r="U321" s="34"/>
      <c r="V321" s="34"/>
      <c r="W321" s="35" t="s">
        <v>69</v>
      </c>
      <c r="X321" s="543">
        <v>60</v>
      </c>
      <c r="Y321" s="544">
        <f>IFERROR(IF(X321="",0,CEILING((X321/$H321),1)*$H321),"")</f>
        <v>62.4</v>
      </c>
      <c r="Z321" s="36">
        <f>IFERROR(IF(Y321=0,"",ROUNDUP(Y321/H321,0)*0.01898),"")</f>
        <v>0.15184</v>
      </c>
      <c r="AA321" s="56"/>
      <c r="AB321" s="57"/>
      <c r="AC321" s="377" t="s">
        <v>518</v>
      </c>
      <c r="AG321" s="64"/>
      <c r="AJ321" s="68" t="s">
        <v>83</v>
      </c>
      <c r="AK321" s="68">
        <v>62.4</v>
      </c>
      <c r="BB321" s="378" t="s">
        <v>1</v>
      </c>
      <c r="BM321" s="64">
        <f>IFERROR(X321*I321/H321,"0")</f>
        <v>63.800000000000004</v>
      </c>
      <c r="BN321" s="64">
        <f>IFERROR(Y321*I321/H321,"0")</f>
        <v>66.352000000000004</v>
      </c>
      <c r="BO321" s="64">
        <f>IFERROR(1/J321*(X321/H321),"0")</f>
        <v>0.1201923076923077</v>
      </c>
      <c r="BP321" s="64">
        <f>IFERROR(1/J321*(Y321/H321),"0")</f>
        <v>0.125</v>
      </c>
    </row>
    <row r="322" spans="1:68" ht="16.5" hidden="1" customHeight="1" x14ac:dyDescent="0.25">
      <c r="A322" s="54" t="s">
        <v>519</v>
      </c>
      <c r="B322" s="54" t="s">
        <v>520</v>
      </c>
      <c r="C322" s="31">
        <v>4301060484</v>
      </c>
      <c r="D322" s="553">
        <v>4607091380897</v>
      </c>
      <c r="E322" s="554"/>
      <c r="F322" s="542">
        <v>1.4</v>
      </c>
      <c r="G322" s="32">
        <v>6</v>
      </c>
      <c r="H322" s="542">
        <v>8.4</v>
      </c>
      <c r="I322" s="542">
        <v>8.8940000000000001</v>
      </c>
      <c r="J322" s="32">
        <v>64</v>
      </c>
      <c r="K322" s="32" t="s">
        <v>104</v>
      </c>
      <c r="L322" s="32"/>
      <c r="M322" s="33" t="s">
        <v>88</v>
      </c>
      <c r="N322" s="33"/>
      <c r="O322" s="32">
        <v>30</v>
      </c>
      <c r="P322" s="78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48"/>
      <c r="R322" s="548"/>
      <c r="S322" s="548"/>
      <c r="T322" s="549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568"/>
      <c r="B323" s="556"/>
      <c r="C323" s="556"/>
      <c r="D323" s="556"/>
      <c r="E323" s="556"/>
      <c r="F323" s="556"/>
      <c r="G323" s="556"/>
      <c r="H323" s="556"/>
      <c r="I323" s="556"/>
      <c r="J323" s="556"/>
      <c r="K323" s="556"/>
      <c r="L323" s="556"/>
      <c r="M323" s="556"/>
      <c r="N323" s="556"/>
      <c r="O323" s="569"/>
      <c r="P323" s="563" t="s">
        <v>75</v>
      </c>
      <c r="Q323" s="564"/>
      <c r="R323" s="564"/>
      <c r="S323" s="564"/>
      <c r="T323" s="564"/>
      <c r="U323" s="564"/>
      <c r="V323" s="565"/>
      <c r="W323" s="37" t="s">
        <v>76</v>
      </c>
      <c r="X323" s="545">
        <f>IFERROR(X320/H320,"0")+IFERROR(X321/H321,"0")+IFERROR(X322/H322,"0")</f>
        <v>7.6923076923076925</v>
      </c>
      <c r="Y323" s="545">
        <f>IFERROR(Y320/H320,"0")+IFERROR(Y321/H321,"0")+IFERROR(Y322/H322,"0")</f>
        <v>8</v>
      </c>
      <c r="Z323" s="545">
        <f>IFERROR(IF(Z320="",0,Z320),"0")+IFERROR(IF(Z321="",0,Z321),"0")+IFERROR(IF(Z322="",0,Z322),"0")</f>
        <v>0.15184</v>
      </c>
      <c r="AA323" s="546"/>
      <c r="AB323" s="546"/>
      <c r="AC323" s="546"/>
    </row>
    <row r="324" spans="1:68" x14ac:dyDescent="0.2">
      <c r="A324" s="556"/>
      <c r="B324" s="556"/>
      <c r="C324" s="556"/>
      <c r="D324" s="556"/>
      <c r="E324" s="556"/>
      <c r="F324" s="556"/>
      <c r="G324" s="556"/>
      <c r="H324" s="556"/>
      <c r="I324" s="556"/>
      <c r="J324" s="556"/>
      <c r="K324" s="556"/>
      <c r="L324" s="556"/>
      <c r="M324" s="556"/>
      <c r="N324" s="556"/>
      <c r="O324" s="569"/>
      <c r="P324" s="563" t="s">
        <v>75</v>
      </c>
      <c r="Q324" s="564"/>
      <c r="R324" s="564"/>
      <c r="S324" s="564"/>
      <c r="T324" s="564"/>
      <c r="U324" s="564"/>
      <c r="V324" s="565"/>
      <c r="W324" s="37" t="s">
        <v>69</v>
      </c>
      <c r="X324" s="545">
        <f>IFERROR(SUM(X320:X322),"0")</f>
        <v>60</v>
      </c>
      <c r="Y324" s="545">
        <f>IFERROR(SUM(Y320:Y322),"0")</f>
        <v>62.4</v>
      </c>
      <c r="Z324" s="37"/>
      <c r="AA324" s="546"/>
      <c r="AB324" s="546"/>
      <c r="AC324" s="546"/>
    </row>
    <row r="325" spans="1:68" ht="14.25" hidden="1" customHeight="1" x14ac:dyDescent="0.25">
      <c r="A325" s="567" t="s">
        <v>93</v>
      </c>
      <c r="B325" s="556"/>
      <c r="C325" s="556"/>
      <c r="D325" s="556"/>
      <c r="E325" s="556"/>
      <c r="F325" s="556"/>
      <c r="G325" s="556"/>
      <c r="H325" s="556"/>
      <c r="I325" s="556"/>
      <c r="J325" s="556"/>
      <c r="K325" s="556"/>
      <c r="L325" s="556"/>
      <c r="M325" s="556"/>
      <c r="N325" s="556"/>
      <c r="O325" s="556"/>
      <c r="P325" s="556"/>
      <c r="Q325" s="556"/>
      <c r="R325" s="556"/>
      <c r="S325" s="556"/>
      <c r="T325" s="556"/>
      <c r="U325" s="556"/>
      <c r="V325" s="556"/>
      <c r="W325" s="556"/>
      <c r="X325" s="556"/>
      <c r="Y325" s="556"/>
      <c r="Z325" s="556"/>
      <c r="AA325" s="539"/>
      <c r="AB325" s="539"/>
      <c r="AC325" s="539"/>
    </row>
    <row r="326" spans="1:68" ht="27" hidden="1" customHeight="1" x14ac:dyDescent="0.25">
      <c r="A326" s="54" t="s">
        <v>522</v>
      </c>
      <c r="B326" s="54" t="s">
        <v>523</v>
      </c>
      <c r="C326" s="31">
        <v>4301030235</v>
      </c>
      <c r="D326" s="553">
        <v>4607091388381</v>
      </c>
      <c r="E326" s="554"/>
      <c r="F326" s="542">
        <v>0.38</v>
      </c>
      <c r="G326" s="32">
        <v>8</v>
      </c>
      <c r="H326" s="542">
        <v>3.04</v>
      </c>
      <c r="I326" s="542">
        <v>3.31</v>
      </c>
      <c r="J326" s="32">
        <v>132</v>
      </c>
      <c r="K326" s="32" t="s">
        <v>110</v>
      </c>
      <c r="L326" s="32"/>
      <c r="M326" s="33" t="s">
        <v>96</v>
      </c>
      <c r="N326" s="33"/>
      <c r="O326" s="32">
        <v>180</v>
      </c>
      <c r="P326" s="84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48"/>
      <c r="R326" s="548"/>
      <c r="S326" s="548"/>
      <c r="T326" s="549"/>
      <c r="U326" s="34"/>
      <c r="V326" s="34"/>
      <c r="W326" s="35" t="s">
        <v>69</v>
      </c>
      <c r="X326" s="543">
        <v>0</v>
      </c>
      <c r="Y326" s="544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525</v>
      </c>
      <c r="B327" s="54" t="s">
        <v>526</v>
      </c>
      <c r="C327" s="31">
        <v>4301030232</v>
      </c>
      <c r="D327" s="553">
        <v>4607091388374</v>
      </c>
      <c r="E327" s="554"/>
      <c r="F327" s="542">
        <v>0.38</v>
      </c>
      <c r="G327" s="32">
        <v>8</v>
      </c>
      <c r="H327" s="542">
        <v>3.04</v>
      </c>
      <c r="I327" s="542">
        <v>3.27</v>
      </c>
      <c r="J327" s="32">
        <v>132</v>
      </c>
      <c r="K327" s="32" t="s">
        <v>110</v>
      </c>
      <c r="L327" s="32"/>
      <c r="M327" s="33" t="s">
        <v>96</v>
      </c>
      <c r="N327" s="33"/>
      <c r="O327" s="32">
        <v>180</v>
      </c>
      <c r="P327" s="68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48"/>
      <c r="R327" s="548"/>
      <c r="S327" s="548"/>
      <c r="T327" s="549"/>
      <c r="U327" s="34"/>
      <c r="V327" s="34"/>
      <c r="W327" s="35" t="s">
        <v>69</v>
      </c>
      <c r="X327" s="543">
        <v>0</v>
      </c>
      <c r="Y327" s="54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527</v>
      </c>
      <c r="B328" s="54" t="s">
        <v>528</v>
      </c>
      <c r="C328" s="31">
        <v>4301032015</v>
      </c>
      <c r="D328" s="553">
        <v>4607091383102</v>
      </c>
      <c r="E328" s="554"/>
      <c r="F328" s="542">
        <v>0.17</v>
      </c>
      <c r="G328" s="32">
        <v>15</v>
      </c>
      <c r="H328" s="542">
        <v>2.5499999999999998</v>
      </c>
      <c r="I328" s="542">
        <v>2.9550000000000001</v>
      </c>
      <c r="J328" s="32">
        <v>182</v>
      </c>
      <c r="K328" s="32" t="s">
        <v>67</v>
      </c>
      <c r="L328" s="32" t="s">
        <v>80</v>
      </c>
      <c r="M328" s="33" t="s">
        <v>96</v>
      </c>
      <c r="N328" s="33"/>
      <c r="O328" s="32">
        <v>180</v>
      </c>
      <c r="P328" s="85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48"/>
      <c r="R328" s="548"/>
      <c r="S328" s="548"/>
      <c r="T328" s="549"/>
      <c r="U328" s="34"/>
      <c r="V328" s="34"/>
      <c r="W328" s="35" t="s">
        <v>69</v>
      </c>
      <c r="X328" s="543">
        <v>0</v>
      </c>
      <c r="Y328" s="544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 t="s">
        <v>83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529</v>
      </c>
      <c r="B329" s="54" t="s">
        <v>530</v>
      </c>
      <c r="C329" s="31">
        <v>4301030233</v>
      </c>
      <c r="D329" s="553">
        <v>4607091388404</v>
      </c>
      <c r="E329" s="554"/>
      <c r="F329" s="542">
        <v>0.17</v>
      </c>
      <c r="G329" s="32">
        <v>15</v>
      </c>
      <c r="H329" s="542">
        <v>2.5499999999999998</v>
      </c>
      <c r="I329" s="542">
        <v>2.88</v>
      </c>
      <c r="J329" s="32">
        <v>182</v>
      </c>
      <c r="K329" s="32" t="s">
        <v>67</v>
      </c>
      <c r="L329" s="32"/>
      <c r="M329" s="33" t="s">
        <v>96</v>
      </c>
      <c r="N329" s="33"/>
      <c r="O329" s="32">
        <v>180</v>
      </c>
      <c r="P329" s="8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48"/>
      <c r="R329" s="548"/>
      <c r="S329" s="548"/>
      <c r="T329" s="549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68"/>
      <c r="B330" s="556"/>
      <c r="C330" s="556"/>
      <c r="D330" s="556"/>
      <c r="E330" s="556"/>
      <c r="F330" s="556"/>
      <c r="G330" s="556"/>
      <c r="H330" s="556"/>
      <c r="I330" s="556"/>
      <c r="J330" s="556"/>
      <c r="K330" s="556"/>
      <c r="L330" s="556"/>
      <c r="M330" s="556"/>
      <c r="N330" s="556"/>
      <c r="O330" s="569"/>
      <c r="P330" s="563" t="s">
        <v>75</v>
      </c>
      <c r="Q330" s="564"/>
      <c r="R330" s="564"/>
      <c r="S330" s="564"/>
      <c r="T330" s="564"/>
      <c r="U330" s="564"/>
      <c r="V330" s="565"/>
      <c r="W330" s="37" t="s">
        <v>76</v>
      </c>
      <c r="X330" s="545">
        <f>IFERROR(X326/H326,"0")+IFERROR(X327/H327,"0")+IFERROR(X328/H328,"0")+IFERROR(X329/H329,"0")</f>
        <v>0</v>
      </c>
      <c r="Y330" s="545">
        <f>IFERROR(Y326/H326,"0")+IFERROR(Y327/H327,"0")+IFERROR(Y328/H328,"0")+IFERROR(Y329/H329,"0")</f>
        <v>0</v>
      </c>
      <c r="Z330" s="545">
        <f>IFERROR(IF(Z326="",0,Z326),"0")+IFERROR(IF(Z327="",0,Z327),"0")+IFERROR(IF(Z328="",0,Z328),"0")+IFERROR(IF(Z329="",0,Z329),"0")</f>
        <v>0</v>
      </c>
      <c r="AA330" s="546"/>
      <c r="AB330" s="546"/>
      <c r="AC330" s="546"/>
    </row>
    <row r="331" spans="1:68" hidden="1" x14ac:dyDescent="0.2">
      <c r="A331" s="556"/>
      <c r="B331" s="556"/>
      <c r="C331" s="556"/>
      <c r="D331" s="556"/>
      <c r="E331" s="556"/>
      <c r="F331" s="556"/>
      <c r="G331" s="556"/>
      <c r="H331" s="556"/>
      <c r="I331" s="556"/>
      <c r="J331" s="556"/>
      <c r="K331" s="556"/>
      <c r="L331" s="556"/>
      <c r="M331" s="556"/>
      <c r="N331" s="556"/>
      <c r="O331" s="569"/>
      <c r="P331" s="563" t="s">
        <v>75</v>
      </c>
      <c r="Q331" s="564"/>
      <c r="R331" s="564"/>
      <c r="S331" s="564"/>
      <c r="T331" s="564"/>
      <c r="U331" s="564"/>
      <c r="V331" s="565"/>
      <c r="W331" s="37" t="s">
        <v>69</v>
      </c>
      <c r="X331" s="545">
        <f>IFERROR(SUM(X326:X329),"0")</f>
        <v>0</v>
      </c>
      <c r="Y331" s="545">
        <f>IFERROR(SUM(Y326:Y329),"0")</f>
        <v>0</v>
      </c>
      <c r="Z331" s="37"/>
      <c r="AA331" s="546"/>
      <c r="AB331" s="546"/>
      <c r="AC331" s="546"/>
    </row>
    <row r="332" spans="1:68" ht="14.25" hidden="1" customHeight="1" x14ac:dyDescent="0.25">
      <c r="A332" s="567" t="s">
        <v>531</v>
      </c>
      <c r="B332" s="556"/>
      <c r="C332" s="556"/>
      <c r="D332" s="556"/>
      <c r="E332" s="556"/>
      <c r="F332" s="556"/>
      <c r="G332" s="556"/>
      <c r="H332" s="556"/>
      <c r="I332" s="556"/>
      <c r="J332" s="556"/>
      <c r="K332" s="556"/>
      <c r="L332" s="556"/>
      <c r="M332" s="556"/>
      <c r="N332" s="556"/>
      <c r="O332" s="556"/>
      <c r="P332" s="556"/>
      <c r="Q332" s="556"/>
      <c r="R332" s="556"/>
      <c r="S332" s="556"/>
      <c r="T332" s="556"/>
      <c r="U332" s="556"/>
      <c r="V332" s="556"/>
      <c r="W332" s="556"/>
      <c r="X332" s="556"/>
      <c r="Y332" s="556"/>
      <c r="Z332" s="556"/>
      <c r="AA332" s="539"/>
      <c r="AB332" s="539"/>
      <c r="AC332" s="539"/>
    </row>
    <row r="333" spans="1:68" ht="16.5" hidden="1" customHeight="1" x14ac:dyDescent="0.25">
      <c r="A333" s="54" t="s">
        <v>532</v>
      </c>
      <c r="B333" s="54" t="s">
        <v>533</v>
      </c>
      <c r="C333" s="31">
        <v>4301180007</v>
      </c>
      <c r="D333" s="553">
        <v>4680115881808</v>
      </c>
      <c r="E333" s="554"/>
      <c r="F333" s="542">
        <v>0.1</v>
      </c>
      <c r="G333" s="32">
        <v>20</v>
      </c>
      <c r="H333" s="542">
        <v>2</v>
      </c>
      <c r="I333" s="542">
        <v>2.2400000000000002</v>
      </c>
      <c r="J333" s="32">
        <v>238</v>
      </c>
      <c r="K333" s="32" t="s">
        <v>67</v>
      </c>
      <c r="L333" s="32"/>
      <c r="M333" s="33" t="s">
        <v>534</v>
      </c>
      <c r="N333" s="33"/>
      <c r="O333" s="32">
        <v>730</v>
      </c>
      <c r="P333" s="6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48"/>
      <c r="R333" s="548"/>
      <c r="S333" s="548"/>
      <c r="T333" s="549"/>
      <c r="U333" s="34"/>
      <c r="V333" s="34"/>
      <c r="W333" s="35" t="s">
        <v>69</v>
      </c>
      <c r="X333" s="543">
        <v>0</v>
      </c>
      <c r="Y333" s="544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536</v>
      </c>
      <c r="B334" s="54" t="s">
        <v>537</v>
      </c>
      <c r="C334" s="31">
        <v>4301180006</v>
      </c>
      <c r="D334" s="553">
        <v>4680115881822</v>
      </c>
      <c r="E334" s="554"/>
      <c r="F334" s="542">
        <v>0.1</v>
      </c>
      <c r="G334" s="32">
        <v>20</v>
      </c>
      <c r="H334" s="542">
        <v>2</v>
      </c>
      <c r="I334" s="542">
        <v>2.2400000000000002</v>
      </c>
      <c r="J334" s="32">
        <v>238</v>
      </c>
      <c r="K334" s="32" t="s">
        <v>67</v>
      </c>
      <c r="L334" s="32"/>
      <c r="M334" s="33" t="s">
        <v>534</v>
      </c>
      <c r="N334" s="33"/>
      <c r="O334" s="32">
        <v>730</v>
      </c>
      <c r="P334" s="8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48"/>
      <c r="R334" s="548"/>
      <c r="S334" s="548"/>
      <c r="T334" s="549"/>
      <c r="U334" s="34"/>
      <c r="V334" s="34"/>
      <c r="W334" s="35" t="s">
        <v>69</v>
      </c>
      <c r="X334" s="543">
        <v>0</v>
      </c>
      <c r="Y334" s="544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535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538</v>
      </c>
      <c r="B335" s="54" t="s">
        <v>539</v>
      </c>
      <c r="C335" s="31">
        <v>4301180001</v>
      </c>
      <c r="D335" s="553">
        <v>4680115880016</v>
      </c>
      <c r="E335" s="554"/>
      <c r="F335" s="542">
        <v>0.1</v>
      </c>
      <c r="G335" s="32">
        <v>20</v>
      </c>
      <c r="H335" s="542">
        <v>2</v>
      </c>
      <c r="I335" s="542">
        <v>2.2400000000000002</v>
      </c>
      <c r="J335" s="32">
        <v>238</v>
      </c>
      <c r="K335" s="32" t="s">
        <v>67</v>
      </c>
      <c r="L335" s="32"/>
      <c r="M335" s="33" t="s">
        <v>534</v>
      </c>
      <c r="N335" s="33"/>
      <c r="O335" s="32">
        <v>730</v>
      </c>
      <c r="P335" s="67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48"/>
      <c r="R335" s="548"/>
      <c r="S335" s="548"/>
      <c r="T335" s="549"/>
      <c r="U335" s="34"/>
      <c r="V335" s="34"/>
      <c r="W335" s="35" t="s">
        <v>69</v>
      </c>
      <c r="X335" s="543">
        <v>0</v>
      </c>
      <c r="Y335" s="54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568"/>
      <c r="B336" s="556"/>
      <c r="C336" s="556"/>
      <c r="D336" s="556"/>
      <c r="E336" s="556"/>
      <c r="F336" s="556"/>
      <c r="G336" s="556"/>
      <c r="H336" s="556"/>
      <c r="I336" s="556"/>
      <c r="J336" s="556"/>
      <c r="K336" s="556"/>
      <c r="L336" s="556"/>
      <c r="M336" s="556"/>
      <c r="N336" s="556"/>
      <c r="O336" s="569"/>
      <c r="P336" s="563" t="s">
        <v>75</v>
      </c>
      <c r="Q336" s="564"/>
      <c r="R336" s="564"/>
      <c r="S336" s="564"/>
      <c r="T336" s="564"/>
      <c r="U336" s="564"/>
      <c r="V336" s="565"/>
      <c r="W336" s="37" t="s">
        <v>76</v>
      </c>
      <c r="X336" s="545">
        <f>IFERROR(X333/H333,"0")+IFERROR(X334/H334,"0")+IFERROR(X335/H335,"0")</f>
        <v>0</v>
      </c>
      <c r="Y336" s="545">
        <f>IFERROR(Y333/H333,"0")+IFERROR(Y334/H334,"0")+IFERROR(Y335/H335,"0")</f>
        <v>0</v>
      </c>
      <c r="Z336" s="545">
        <f>IFERROR(IF(Z333="",0,Z333),"0")+IFERROR(IF(Z334="",0,Z334),"0")+IFERROR(IF(Z335="",0,Z335),"0")</f>
        <v>0</v>
      </c>
      <c r="AA336" s="546"/>
      <c r="AB336" s="546"/>
      <c r="AC336" s="546"/>
    </row>
    <row r="337" spans="1:68" hidden="1" x14ac:dyDescent="0.2">
      <c r="A337" s="556"/>
      <c r="B337" s="556"/>
      <c r="C337" s="556"/>
      <c r="D337" s="556"/>
      <c r="E337" s="556"/>
      <c r="F337" s="556"/>
      <c r="G337" s="556"/>
      <c r="H337" s="556"/>
      <c r="I337" s="556"/>
      <c r="J337" s="556"/>
      <c r="K337" s="556"/>
      <c r="L337" s="556"/>
      <c r="M337" s="556"/>
      <c r="N337" s="556"/>
      <c r="O337" s="569"/>
      <c r="P337" s="563" t="s">
        <v>75</v>
      </c>
      <c r="Q337" s="564"/>
      <c r="R337" s="564"/>
      <c r="S337" s="564"/>
      <c r="T337" s="564"/>
      <c r="U337" s="564"/>
      <c r="V337" s="565"/>
      <c r="W337" s="37" t="s">
        <v>69</v>
      </c>
      <c r="X337" s="545">
        <f>IFERROR(SUM(X333:X335),"0")</f>
        <v>0</v>
      </c>
      <c r="Y337" s="545">
        <f>IFERROR(SUM(Y333:Y335),"0")</f>
        <v>0</v>
      </c>
      <c r="Z337" s="37"/>
      <c r="AA337" s="546"/>
      <c r="AB337" s="546"/>
      <c r="AC337" s="546"/>
    </row>
    <row r="338" spans="1:68" ht="16.5" hidden="1" customHeight="1" x14ac:dyDescent="0.25">
      <c r="A338" s="599" t="s">
        <v>540</v>
      </c>
      <c r="B338" s="556"/>
      <c r="C338" s="556"/>
      <c r="D338" s="556"/>
      <c r="E338" s="556"/>
      <c r="F338" s="556"/>
      <c r="G338" s="556"/>
      <c r="H338" s="556"/>
      <c r="I338" s="556"/>
      <c r="J338" s="556"/>
      <c r="K338" s="556"/>
      <c r="L338" s="556"/>
      <c r="M338" s="556"/>
      <c r="N338" s="556"/>
      <c r="O338" s="556"/>
      <c r="P338" s="556"/>
      <c r="Q338" s="556"/>
      <c r="R338" s="556"/>
      <c r="S338" s="556"/>
      <c r="T338" s="556"/>
      <c r="U338" s="556"/>
      <c r="V338" s="556"/>
      <c r="W338" s="556"/>
      <c r="X338" s="556"/>
      <c r="Y338" s="556"/>
      <c r="Z338" s="556"/>
      <c r="AA338" s="538"/>
      <c r="AB338" s="538"/>
      <c r="AC338" s="538"/>
    </row>
    <row r="339" spans="1:68" ht="14.25" hidden="1" customHeight="1" x14ac:dyDescent="0.25">
      <c r="A339" s="567" t="s">
        <v>77</v>
      </c>
      <c r="B339" s="556"/>
      <c r="C339" s="556"/>
      <c r="D339" s="556"/>
      <c r="E339" s="556"/>
      <c r="F339" s="556"/>
      <c r="G339" s="556"/>
      <c r="H339" s="556"/>
      <c r="I339" s="556"/>
      <c r="J339" s="556"/>
      <c r="K339" s="556"/>
      <c r="L339" s="556"/>
      <c r="M339" s="556"/>
      <c r="N339" s="556"/>
      <c r="O339" s="556"/>
      <c r="P339" s="556"/>
      <c r="Q339" s="556"/>
      <c r="R339" s="556"/>
      <c r="S339" s="556"/>
      <c r="T339" s="556"/>
      <c r="U339" s="556"/>
      <c r="V339" s="556"/>
      <c r="W339" s="556"/>
      <c r="X339" s="556"/>
      <c r="Y339" s="556"/>
      <c r="Z339" s="556"/>
      <c r="AA339" s="539"/>
      <c r="AB339" s="539"/>
      <c r="AC339" s="539"/>
    </row>
    <row r="340" spans="1:68" ht="27" hidden="1" customHeight="1" x14ac:dyDescent="0.25">
      <c r="A340" s="54" t="s">
        <v>541</v>
      </c>
      <c r="B340" s="54" t="s">
        <v>542</v>
      </c>
      <c r="C340" s="31">
        <v>4301051489</v>
      </c>
      <c r="D340" s="553">
        <v>4607091387919</v>
      </c>
      <c r="E340" s="554"/>
      <c r="F340" s="542">
        <v>1.35</v>
      </c>
      <c r="G340" s="32">
        <v>6</v>
      </c>
      <c r="H340" s="542">
        <v>8.1</v>
      </c>
      <c r="I340" s="542">
        <v>8.5939999999999994</v>
      </c>
      <c r="J340" s="32">
        <v>64</v>
      </c>
      <c r="K340" s="32" t="s">
        <v>104</v>
      </c>
      <c r="L340" s="32"/>
      <c r="M340" s="33" t="s">
        <v>88</v>
      </c>
      <c r="N340" s="33"/>
      <c r="O340" s="32">
        <v>45</v>
      </c>
      <c r="P340" s="76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48"/>
      <c r="R340" s="548"/>
      <c r="S340" s="548"/>
      <c r="T340" s="549"/>
      <c r="U340" s="34"/>
      <c r="V340" s="34"/>
      <c r="W340" s="35" t="s">
        <v>69</v>
      </c>
      <c r="X340" s="543">
        <v>0</v>
      </c>
      <c r="Y340" s="544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544</v>
      </c>
      <c r="B341" s="54" t="s">
        <v>545</v>
      </c>
      <c r="C341" s="31">
        <v>4301051461</v>
      </c>
      <c r="D341" s="553">
        <v>4680115883604</v>
      </c>
      <c r="E341" s="554"/>
      <c r="F341" s="542">
        <v>0.35</v>
      </c>
      <c r="G341" s="32">
        <v>6</v>
      </c>
      <c r="H341" s="542">
        <v>2.1</v>
      </c>
      <c r="I341" s="542">
        <v>2.3519999999999999</v>
      </c>
      <c r="J341" s="32">
        <v>182</v>
      </c>
      <c r="K341" s="32" t="s">
        <v>67</v>
      </c>
      <c r="L341" s="32" t="s">
        <v>80</v>
      </c>
      <c r="M341" s="33" t="s">
        <v>81</v>
      </c>
      <c r="N341" s="33"/>
      <c r="O341" s="32">
        <v>45</v>
      </c>
      <c r="P341" s="6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48"/>
      <c r="R341" s="548"/>
      <c r="S341" s="548"/>
      <c r="T341" s="549"/>
      <c r="U341" s="34"/>
      <c r="V341" s="34"/>
      <c r="W341" s="35" t="s">
        <v>69</v>
      </c>
      <c r="X341" s="543">
        <v>10.5</v>
      </c>
      <c r="Y341" s="544">
        <f>IFERROR(IF(X341="",0,CEILING((X341/$H341),1)*$H341),"")</f>
        <v>10.5</v>
      </c>
      <c r="Z341" s="36">
        <f>IFERROR(IF(Y341=0,"",ROUNDUP(Y341/H341,0)*0.00651),"")</f>
        <v>3.2550000000000003E-2</v>
      </c>
      <c r="AA341" s="56"/>
      <c r="AB341" s="57"/>
      <c r="AC341" s="397" t="s">
        <v>546</v>
      </c>
      <c r="AG341" s="64"/>
      <c r="AJ341" s="68" t="s">
        <v>83</v>
      </c>
      <c r="AK341" s="68">
        <v>29.4</v>
      </c>
      <c r="BB341" s="398" t="s">
        <v>1</v>
      </c>
      <c r="BM341" s="64">
        <f>IFERROR(X341*I341/H341,"0")</f>
        <v>11.759999999999998</v>
      </c>
      <c r="BN341" s="64">
        <f>IFERROR(Y341*I341/H341,"0")</f>
        <v>11.759999999999998</v>
      </c>
      <c r="BO341" s="64">
        <f>IFERROR(1/J341*(X341/H341),"0")</f>
        <v>2.7472527472527476E-2</v>
      </c>
      <c r="BP341" s="64">
        <f>IFERROR(1/J341*(Y341/H341),"0")</f>
        <v>2.7472527472527476E-2</v>
      </c>
    </row>
    <row r="342" spans="1:68" ht="27" hidden="1" customHeight="1" x14ac:dyDescent="0.25">
      <c r="A342" s="54" t="s">
        <v>547</v>
      </c>
      <c r="B342" s="54" t="s">
        <v>548</v>
      </c>
      <c r="C342" s="31">
        <v>4301051864</v>
      </c>
      <c r="D342" s="553">
        <v>4680115883567</v>
      </c>
      <c r="E342" s="554"/>
      <c r="F342" s="542">
        <v>0.35</v>
      </c>
      <c r="G342" s="32">
        <v>6</v>
      </c>
      <c r="H342" s="542">
        <v>2.1</v>
      </c>
      <c r="I342" s="542">
        <v>2.34</v>
      </c>
      <c r="J342" s="32">
        <v>182</v>
      </c>
      <c r="K342" s="32" t="s">
        <v>67</v>
      </c>
      <c r="L342" s="32" t="s">
        <v>80</v>
      </c>
      <c r="M342" s="33" t="s">
        <v>88</v>
      </c>
      <c r="N342" s="33"/>
      <c r="O342" s="32">
        <v>40</v>
      </c>
      <c r="P342" s="6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48"/>
      <c r="R342" s="548"/>
      <c r="S342" s="548"/>
      <c r="T342" s="549"/>
      <c r="U342" s="34"/>
      <c r="V342" s="34"/>
      <c r="W342" s="35" t="s">
        <v>69</v>
      </c>
      <c r="X342" s="543">
        <v>0</v>
      </c>
      <c r="Y342" s="544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 t="s">
        <v>83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x14ac:dyDescent="0.2">
      <c r="A343" s="568"/>
      <c r="B343" s="556"/>
      <c r="C343" s="556"/>
      <c r="D343" s="556"/>
      <c r="E343" s="556"/>
      <c r="F343" s="556"/>
      <c r="G343" s="556"/>
      <c r="H343" s="556"/>
      <c r="I343" s="556"/>
      <c r="J343" s="556"/>
      <c r="K343" s="556"/>
      <c r="L343" s="556"/>
      <c r="M343" s="556"/>
      <c r="N343" s="556"/>
      <c r="O343" s="569"/>
      <c r="P343" s="563" t="s">
        <v>75</v>
      </c>
      <c r="Q343" s="564"/>
      <c r="R343" s="564"/>
      <c r="S343" s="564"/>
      <c r="T343" s="564"/>
      <c r="U343" s="564"/>
      <c r="V343" s="565"/>
      <c r="W343" s="37" t="s">
        <v>76</v>
      </c>
      <c r="X343" s="545">
        <f>IFERROR(X340/H340,"0")+IFERROR(X341/H341,"0")+IFERROR(X342/H342,"0")</f>
        <v>5</v>
      </c>
      <c r="Y343" s="545">
        <f>IFERROR(Y340/H340,"0")+IFERROR(Y341/H341,"0")+IFERROR(Y342/H342,"0")</f>
        <v>5</v>
      </c>
      <c r="Z343" s="545">
        <f>IFERROR(IF(Z340="",0,Z340),"0")+IFERROR(IF(Z341="",0,Z341),"0")+IFERROR(IF(Z342="",0,Z342),"0")</f>
        <v>3.2550000000000003E-2</v>
      </c>
      <c r="AA343" s="546"/>
      <c r="AB343" s="546"/>
      <c r="AC343" s="546"/>
    </row>
    <row r="344" spans="1:68" x14ac:dyDescent="0.2">
      <c r="A344" s="556"/>
      <c r="B344" s="556"/>
      <c r="C344" s="556"/>
      <c r="D344" s="556"/>
      <c r="E344" s="556"/>
      <c r="F344" s="556"/>
      <c r="G344" s="556"/>
      <c r="H344" s="556"/>
      <c r="I344" s="556"/>
      <c r="J344" s="556"/>
      <c r="K344" s="556"/>
      <c r="L344" s="556"/>
      <c r="M344" s="556"/>
      <c r="N344" s="556"/>
      <c r="O344" s="569"/>
      <c r="P344" s="563" t="s">
        <v>75</v>
      </c>
      <c r="Q344" s="564"/>
      <c r="R344" s="564"/>
      <c r="S344" s="564"/>
      <c r="T344" s="564"/>
      <c r="U344" s="564"/>
      <c r="V344" s="565"/>
      <c r="W344" s="37" t="s">
        <v>69</v>
      </c>
      <c r="X344" s="545">
        <f>IFERROR(SUM(X340:X342),"0")</f>
        <v>10.5</v>
      </c>
      <c r="Y344" s="545">
        <f>IFERROR(SUM(Y340:Y342),"0")</f>
        <v>10.5</v>
      </c>
      <c r="Z344" s="37"/>
      <c r="AA344" s="546"/>
      <c r="AB344" s="546"/>
      <c r="AC344" s="546"/>
    </row>
    <row r="345" spans="1:68" ht="27.75" hidden="1" customHeight="1" x14ac:dyDescent="0.2">
      <c r="A345" s="697" t="s">
        <v>550</v>
      </c>
      <c r="B345" s="698"/>
      <c r="C345" s="698"/>
      <c r="D345" s="698"/>
      <c r="E345" s="698"/>
      <c r="F345" s="698"/>
      <c r="G345" s="698"/>
      <c r="H345" s="698"/>
      <c r="I345" s="698"/>
      <c r="J345" s="698"/>
      <c r="K345" s="698"/>
      <c r="L345" s="698"/>
      <c r="M345" s="698"/>
      <c r="N345" s="698"/>
      <c r="O345" s="698"/>
      <c r="P345" s="698"/>
      <c r="Q345" s="698"/>
      <c r="R345" s="698"/>
      <c r="S345" s="698"/>
      <c r="T345" s="698"/>
      <c r="U345" s="698"/>
      <c r="V345" s="698"/>
      <c r="W345" s="698"/>
      <c r="X345" s="698"/>
      <c r="Y345" s="698"/>
      <c r="Z345" s="698"/>
      <c r="AA345" s="48"/>
      <c r="AB345" s="48"/>
      <c r="AC345" s="48"/>
    </row>
    <row r="346" spans="1:68" ht="16.5" hidden="1" customHeight="1" x14ac:dyDescent="0.25">
      <c r="A346" s="599" t="s">
        <v>551</v>
      </c>
      <c r="B346" s="556"/>
      <c r="C346" s="556"/>
      <c r="D346" s="556"/>
      <c r="E346" s="556"/>
      <c r="F346" s="556"/>
      <c r="G346" s="556"/>
      <c r="H346" s="556"/>
      <c r="I346" s="556"/>
      <c r="J346" s="556"/>
      <c r="K346" s="556"/>
      <c r="L346" s="556"/>
      <c r="M346" s="556"/>
      <c r="N346" s="556"/>
      <c r="O346" s="556"/>
      <c r="P346" s="556"/>
      <c r="Q346" s="556"/>
      <c r="R346" s="556"/>
      <c r="S346" s="556"/>
      <c r="T346" s="556"/>
      <c r="U346" s="556"/>
      <c r="V346" s="556"/>
      <c r="W346" s="556"/>
      <c r="X346" s="556"/>
      <c r="Y346" s="556"/>
      <c r="Z346" s="556"/>
      <c r="AA346" s="538"/>
      <c r="AB346" s="538"/>
      <c r="AC346" s="538"/>
    </row>
    <row r="347" spans="1:68" ht="14.25" hidden="1" customHeight="1" x14ac:dyDescent="0.25">
      <c r="A347" s="567" t="s">
        <v>101</v>
      </c>
      <c r="B347" s="556"/>
      <c r="C347" s="556"/>
      <c r="D347" s="556"/>
      <c r="E347" s="556"/>
      <c r="F347" s="556"/>
      <c r="G347" s="556"/>
      <c r="H347" s="556"/>
      <c r="I347" s="556"/>
      <c r="J347" s="556"/>
      <c r="K347" s="556"/>
      <c r="L347" s="556"/>
      <c r="M347" s="556"/>
      <c r="N347" s="556"/>
      <c r="O347" s="556"/>
      <c r="P347" s="556"/>
      <c r="Q347" s="556"/>
      <c r="R347" s="556"/>
      <c r="S347" s="556"/>
      <c r="T347" s="556"/>
      <c r="U347" s="556"/>
      <c r="V347" s="556"/>
      <c r="W347" s="556"/>
      <c r="X347" s="556"/>
      <c r="Y347" s="556"/>
      <c r="Z347" s="556"/>
      <c r="AA347" s="539"/>
      <c r="AB347" s="539"/>
      <c r="AC347" s="539"/>
    </row>
    <row r="348" spans="1:68" ht="37.5" hidden="1" customHeight="1" x14ac:dyDescent="0.25">
      <c r="A348" s="54" t="s">
        <v>552</v>
      </c>
      <c r="B348" s="54" t="s">
        <v>553</v>
      </c>
      <c r="C348" s="31">
        <v>4301011869</v>
      </c>
      <c r="D348" s="553">
        <v>4680115884847</v>
      </c>
      <c r="E348" s="554"/>
      <c r="F348" s="542">
        <v>2.5</v>
      </c>
      <c r="G348" s="32">
        <v>6</v>
      </c>
      <c r="H348" s="542">
        <v>15</v>
      </c>
      <c r="I348" s="542">
        <v>15.47</v>
      </c>
      <c r="J348" s="32">
        <v>48</v>
      </c>
      <c r="K348" s="32" t="s">
        <v>104</v>
      </c>
      <c r="L348" s="32" t="s">
        <v>105</v>
      </c>
      <c r="M348" s="33" t="s">
        <v>68</v>
      </c>
      <c r="N348" s="33"/>
      <c r="O348" s="32">
        <v>60</v>
      </c>
      <c r="P348" s="65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3">
        <v>0</v>
      </c>
      <c r="Y348" s="544">
        <f t="shared" ref="Y348:Y354" si="36">IFERROR(IF(X348="",0,CEILING((X348/$H348),1)*$H348),"")</f>
        <v>0</v>
      </c>
      <c r="Z348" s="36" t="str">
        <f>IFERROR(IF(Y348=0,"",ROUNDUP(Y348/H348,0)*0.02175),"")</f>
        <v/>
      </c>
      <c r="AA348" s="56"/>
      <c r="AB348" s="57"/>
      <c r="AC348" s="401" t="s">
        <v>554</v>
      </c>
      <c r="AG348" s="64"/>
      <c r="AJ348" s="68" t="s">
        <v>83</v>
      </c>
      <c r="AK348" s="68">
        <v>120</v>
      </c>
      <c r="BB348" s="402" t="s">
        <v>1</v>
      </c>
      <c r="BM348" s="64">
        <f t="shared" ref="BM348:BM354" si="37">IFERROR(X348*I348/H348,"0")</f>
        <v>0</v>
      </c>
      <c r="BN348" s="64">
        <f t="shared" ref="BN348:BN354" si="38">IFERROR(Y348*I348/H348,"0")</f>
        <v>0</v>
      </c>
      <c r="BO348" s="64">
        <f t="shared" ref="BO348:BO354" si="39">IFERROR(1/J348*(X348/H348),"0")</f>
        <v>0</v>
      </c>
      <c r="BP348" s="64">
        <f t="shared" ref="BP348:BP354" si="40">IFERROR(1/J348*(Y348/H348),"0")</f>
        <v>0</v>
      </c>
    </row>
    <row r="349" spans="1:68" ht="27" hidden="1" customHeight="1" x14ac:dyDescent="0.25">
      <c r="A349" s="54" t="s">
        <v>555</v>
      </c>
      <c r="B349" s="54" t="s">
        <v>556</v>
      </c>
      <c r="C349" s="31">
        <v>4301012083</v>
      </c>
      <c r="D349" s="553">
        <v>4680115884854</v>
      </c>
      <c r="E349" s="554"/>
      <c r="F349" s="542">
        <v>2.5</v>
      </c>
      <c r="G349" s="32">
        <v>6</v>
      </c>
      <c r="H349" s="542">
        <v>15</v>
      </c>
      <c r="I349" s="542">
        <v>15.47</v>
      </c>
      <c r="J349" s="32">
        <v>48</v>
      </c>
      <c r="K349" s="32" t="s">
        <v>104</v>
      </c>
      <c r="L349" s="32" t="s">
        <v>105</v>
      </c>
      <c r="M349" s="33" t="s">
        <v>106</v>
      </c>
      <c r="N349" s="33"/>
      <c r="O349" s="32">
        <v>60</v>
      </c>
      <c r="P349" s="6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48"/>
      <c r="R349" s="548"/>
      <c r="S349" s="548"/>
      <c r="T349" s="549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IFERROR(IF(Y349=0,"",ROUNDUP(Y349/H349,0)*0.02175),"")</f>
        <v/>
      </c>
      <c r="AA349" s="56"/>
      <c r="AB349" s="57"/>
      <c r="AC349" s="403" t="s">
        <v>557</v>
      </c>
      <c r="AG349" s="64"/>
      <c r="AJ349" s="68" t="s">
        <v>83</v>
      </c>
      <c r="AK349" s="68">
        <v>120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37.5" hidden="1" customHeight="1" x14ac:dyDescent="0.25">
      <c r="A350" s="54" t="s">
        <v>558</v>
      </c>
      <c r="B350" s="54" t="s">
        <v>559</v>
      </c>
      <c r="C350" s="31">
        <v>4301011867</v>
      </c>
      <c r="D350" s="553">
        <v>4680115884830</v>
      </c>
      <c r="E350" s="554"/>
      <c r="F350" s="542">
        <v>2.5</v>
      </c>
      <c r="G350" s="32">
        <v>6</v>
      </c>
      <c r="H350" s="542">
        <v>15</v>
      </c>
      <c r="I350" s="54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80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48"/>
      <c r="R350" s="548"/>
      <c r="S350" s="548"/>
      <c r="T350" s="549"/>
      <c r="U350" s="34"/>
      <c r="V350" s="34"/>
      <c r="W350" s="35" t="s">
        <v>69</v>
      </c>
      <c r="X350" s="543">
        <v>0</v>
      </c>
      <c r="Y350" s="544">
        <f t="shared" si="36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 t="s">
        <v>83</v>
      </c>
      <c r="AK350" s="68">
        <v>120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ht="27" hidden="1" customHeight="1" x14ac:dyDescent="0.25">
      <c r="A351" s="54" t="s">
        <v>561</v>
      </c>
      <c r="B351" s="54" t="s">
        <v>562</v>
      </c>
      <c r="C351" s="31">
        <v>4301012215</v>
      </c>
      <c r="D351" s="553">
        <v>4680115887046</v>
      </c>
      <c r="E351" s="554"/>
      <c r="F351" s="542">
        <v>2.5</v>
      </c>
      <c r="G351" s="32">
        <v>6</v>
      </c>
      <c r="H351" s="542">
        <v>15</v>
      </c>
      <c r="I351" s="542">
        <v>15.47</v>
      </c>
      <c r="J351" s="32">
        <v>48</v>
      </c>
      <c r="K351" s="32" t="s">
        <v>104</v>
      </c>
      <c r="L351" s="32"/>
      <c r="M351" s="33" t="s">
        <v>88</v>
      </c>
      <c r="N351" s="33"/>
      <c r="O351" s="32">
        <v>60</v>
      </c>
      <c r="P351" s="76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48"/>
      <c r="R351" s="548"/>
      <c r="S351" s="548"/>
      <c r="T351" s="549"/>
      <c r="U351" s="34"/>
      <c r="V351" s="34"/>
      <c r="W351" s="35" t="s">
        <v>69</v>
      </c>
      <c r="X351" s="543">
        <v>0</v>
      </c>
      <c r="Y351" s="544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hidden="1" customHeight="1" x14ac:dyDescent="0.25">
      <c r="A352" s="54" t="s">
        <v>564</v>
      </c>
      <c r="B352" s="54" t="s">
        <v>565</v>
      </c>
      <c r="C352" s="31">
        <v>4301011433</v>
      </c>
      <c r="D352" s="553">
        <v>4680115882638</v>
      </c>
      <c r="E352" s="554"/>
      <c r="F352" s="542">
        <v>0.4</v>
      </c>
      <c r="G352" s="32">
        <v>10</v>
      </c>
      <c r="H352" s="542">
        <v>4</v>
      </c>
      <c r="I352" s="542">
        <v>4.1900000000000004</v>
      </c>
      <c r="J352" s="32">
        <v>132</v>
      </c>
      <c r="K352" s="32" t="s">
        <v>110</v>
      </c>
      <c r="L352" s="32"/>
      <c r="M352" s="33" t="s">
        <v>106</v>
      </c>
      <c r="N352" s="33"/>
      <c r="O352" s="32">
        <v>90</v>
      </c>
      <c r="P352" s="83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48"/>
      <c r="R352" s="548"/>
      <c r="S352" s="548"/>
      <c r="T352" s="549"/>
      <c r="U352" s="34"/>
      <c r="V352" s="34"/>
      <c r="W352" s="35" t="s">
        <v>69</v>
      </c>
      <c r="X352" s="543">
        <v>0</v>
      </c>
      <c r="Y352" s="544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4301011952</v>
      </c>
      <c r="D353" s="553">
        <v>4680115884922</v>
      </c>
      <c r="E353" s="554"/>
      <c r="F353" s="542">
        <v>0.5</v>
      </c>
      <c r="G353" s="32">
        <v>10</v>
      </c>
      <c r="H353" s="542">
        <v>5</v>
      </c>
      <c r="I353" s="542">
        <v>5.19</v>
      </c>
      <c r="J353" s="32">
        <v>132</v>
      </c>
      <c r="K353" s="32" t="s">
        <v>110</v>
      </c>
      <c r="L353" s="32"/>
      <c r="M353" s="33" t="s">
        <v>68</v>
      </c>
      <c r="N353" s="33"/>
      <c r="O353" s="32">
        <v>60</v>
      </c>
      <c r="P353" s="76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48"/>
      <c r="R353" s="548"/>
      <c r="S353" s="548"/>
      <c r="T353" s="549"/>
      <c r="U353" s="34"/>
      <c r="V353" s="34"/>
      <c r="W353" s="35" t="s">
        <v>69</v>
      </c>
      <c r="X353" s="543">
        <v>0</v>
      </c>
      <c r="Y353" s="544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37.5" hidden="1" customHeight="1" x14ac:dyDescent="0.25">
      <c r="A354" s="54" t="s">
        <v>570</v>
      </c>
      <c r="B354" s="54" t="s">
        <v>571</v>
      </c>
      <c r="C354" s="31">
        <v>4301011868</v>
      </c>
      <c r="D354" s="553">
        <v>4680115884861</v>
      </c>
      <c r="E354" s="554"/>
      <c r="F354" s="542">
        <v>0.5</v>
      </c>
      <c r="G354" s="32">
        <v>10</v>
      </c>
      <c r="H354" s="542">
        <v>5</v>
      </c>
      <c r="I354" s="542">
        <v>5.19</v>
      </c>
      <c r="J354" s="32">
        <v>132</v>
      </c>
      <c r="K354" s="32" t="s">
        <v>110</v>
      </c>
      <c r="L354" s="32"/>
      <c r="M354" s="33" t="s">
        <v>68</v>
      </c>
      <c r="N354" s="33"/>
      <c r="O354" s="32">
        <v>60</v>
      </c>
      <c r="P354" s="63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48"/>
      <c r="R354" s="548"/>
      <c r="S354" s="548"/>
      <c r="T354" s="549"/>
      <c r="U354" s="34"/>
      <c r="V354" s="34"/>
      <c r="W354" s="35" t="s">
        <v>69</v>
      </c>
      <c r="X354" s="543">
        <v>0</v>
      </c>
      <c r="Y354" s="54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idden="1" x14ac:dyDescent="0.2">
      <c r="A355" s="568"/>
      <c r="B355" s="556"/>
      <c r="C355" s="556"/>
      <c r="D355" s="556"/>
      <c r="E355" s="556"/>
      <c r="F355" s="556"/>
      <c r="G355" s="556"/>
      <c r="H355" s="556"/>
      <c r="I355" s="556"/>
      <c r="J355" s="556"/>
      <c r="K355" s="556"/>
      <c r="L355" s="556"/>
      <c r="M355" s="556"/>
      <c r="N355" s="556"/>
      <c r="O355" s="569"/>
      <c r="P355" s="563" t="s">
        <v>75</v>
      </c>
      <c r="Q355" s="564"/>
      <c r="R355" s="564"/>
      <c r="S355" s="564"/>
      <c r="T355" s="564"/>
      <c r="U355" s="564"/>
      <c r="V355" s="565"/>
      <c r="W355" s="37" t="s">
        <v>76</v>
      </c>
      <c r="X355" s="545">
        <f>IFERROR(X348/H348,"0")+IFERROR(X349/H349,"0")+IFERROR(X350/H350,"0")+IFERROR(X351/H351,"0")+IFERROR(X352/H352,"0")+IFERROR(X353/H353,"0")+IFERROR(X354/H354,"0")</f>
        <v>0</v>
      </c>
      <c r="Y355" s="545">
        <f>IFERROR(Y348/H348,"0")+IFERROR(Y349/H349,"0")+IFERROR(Y350/H350,"0")+IFERROR(Y351/H351,"0")+IFERROR(Y352/H352,"0")+IFERROR(Y353/H353,"0")+IFERROR(Y354/H354,"0")</f>
        <v>0</v>
      </c>
      <c r="Z355" s="545">
        <f>IFERROR(IF(Z348="",0,Z348),"0")+IFERROR(IF(Z349="",0,Z349),"0")+IFERROR(IF(Z350="",0,Z350),"0")+IFERROR(IF(Z351="",0,Z351),"0")+IFERROR(IF(Z352="",0,Z352),"0")+IFERROR(IF(Z353="",0,Z353),"0")+IFERROR(IF(Z354="",0,Z354),"0")</f>
        <v>0</v>
      </c>
      <c r="AA355" s="546"/>
      <c r="AB355" s="546"/>
      <c r="AC355" s="546"/>
    </row>
    <row r="356" spans="1:68" hidden="1" x14ac:dyDescent="0.2">
      <c r="A356" s="556"/>
      <c r="B356" s="556"/>
      <c r="C356" s="556"/>
      <c r="D356" s="556"/>
      <c r="E356" s="556"/>
      <c r="F356" s="556"/>
      <c r="G356" s="556"/>
      <c r="H356" s="556"/>
      <c r="I356" s="556"/>
      <c r="J356" s="556"/>
      <c r="K356" s="556"/>
      <c r="L356" s="556"/>
      <c r="M356" s="556"/>
      <c r="N356" s="556"/>
      <c r="O356" s="569"/>
      <c r="P356" s="563" t="s">
        <v>75</v>
      </c>
      <c r="Q356" s="564"/>
      <c r="R356" s="564"/>
      <c r="S356" s="564"/>
      <c r="T356" s="564"/>
      <c r="U356" s="564"/>
      <c r="V356" s="565"/>
      <c r="W356" s="37" t="s">
        <v>69</v>
      </c>
      <c r="X356" s="545">
        <f>IFERROR(SUM(X348:X354),"0")</f>
        <v>0</v>
      </c>
      <c r="Y356" s="545">
        <f>IFERROR(SUM(Y348:Y354),"0")</f>
        <v>0</v>
      </c>
      <c r="Z356" s="37"/>
      <c r="AA356" s="546"/>
      <c r="AB356" s="546"/>
      <c r="AC356" s="546"/>
    </row>
    <row r="357" spans="1:68" ht="14.25" hidden="1" customHeight="1" x14ac:dyDescent="0.25">
      <c r="A357" s="567" t="s">
        <v>136</v>
      </c>
      <c r="B357" s="556"/>
      <c r="C357" s="556"/>
      <c r="D357" s="556"/>
      <c r="E357" s="556"/>
      <c r="F357" s="556"/>
      <c r="G357" s="556"/>
      <c r="H357" s="556"/>
      <c r="I357" s="556"/>
      <c r="J357" s="556"/>
      <c r="K357" s="556"/>
      <c r="L357" s="556"/>
      <c r="M357" s="556"/>
      <c r="N357" s="556"/>
      <c r="O357" s="556"/>
      <c r="P357" s="556"/>
      <c r="Q357" s="556"/>
      <c r="R357" s="556"/>
      <c r="S357" s="556"/>
      <c r="T357" s="556"/>
      <c r="U357" s="556"/>
      <c r="V357" s="556"/>
      <c r="W357" s="556"/>
      <c r="X357" s="556"/>
      <c r="Y357" s="556"/>
      <c r="Z357" s="556"/>
      <c r="AA357" s="539"/>
      <c r="AB357" s="539"/>
      <c r="AC357" s="539"/>
    </row>
    <row r="358" spans="1:68" ht="27" hidden="1" customHeight="1" x14ac:dyDescent="0.25">
      <c r="A358" s="54" t="s">
        <v>572</v>
      </c>
      <c r="B358" s="54" t="s">
        <v>573</v>
      </c>
      <c r="C358" s="31">
        <v>4301020178</v>
      </c>
      <c r="D358" s="553">
        <v>4607091383980</v>
      </c>
      <c r="E358" s="554"/>
      <c r="F358" s="542">
        <v>2.5</v>
      </c>
      <c r="G358" s="32">
        <v>6</v>
      </c>
      <c r="H358" s="542">
        <v>15</v>
      </c>
      <c r="I358" s="542">
        <v>15.47</v>
      </c>
      <c r="J358" s="32">
        <v>48</v>
      </c>
      <c r="K358" s="32" t="s">
        <v>104</v>
      </c>
      <c r="L358" s="32" t="s">
        <v>105</v>
      </c>
      <c r="M358" s="33" t="s">
        <v>106</v>
      </c>
      <c r="N358" s="33"/>
      <c r="O358" s="32">
        <v>50</v>
      </c>
      <c r="P358" s="75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48"/>
      <c r="R358" s="548"/>
      <c r="S358" s="548"/>
      <c r="T358" s="549"/>
      <c r="U358" s="34"/>
      <c r="V358" s="34"/>
      <c r="W358" s="35" t="s">
        <v>69</v>
      </c>
      <c r="X358" s="543">
        <v>0</v>
      </c>
      <c r="Y358" s="544">
        <f>IFERROR(IF(X358="",0,CEILING((X358/$H358),1)*$H358),"")</f>
        <v>0</v>
      </c>
      <c r="Z358" s="36" t="str">
        <f>IFERROR(IF(Y358=0,"",ROUNDUP(Y358/H358,0)*0.02175),"")</f>
        <v/>
      </c>
      <c r="AA358" s="56"/>
      <c r="AB358" s="57"/>
      <c r="AC358" s="415" t="s">
        <v>574</v>
      </c>
      <c r="AG358" s="64"/>
      <c r="AJ358" s="68" t="s">
        <v>83</v>
      </c>
      <c r="AK358" s="68">
        <v>120</v>
      </c>
      <c r="BB358" s="416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575</v>
      </c>
      <c r="B359" s="54" t="s">
        <v>576</v>
      </c>
      <c r="C359" s="31">
        <v>4301020179</v>
      </c>
      <c r="D359" s="553">
        <v>4607091384178</v>
      </c>
      <c r="E359" s="554"/>
      <c r="F359" s="542">
        <v>0.4</v>
      </c>
      <c r="G359" s="32">
        <v>10</v>
      </c>
      <c r="H359" s="542">
        <v>4</v>
      </c>
      <c r="I359" s="542">
        <v>4.1900000000000004</v>
      </c>
      <c r="J359" s="32">
        <v>132</v>
      </c>
      <c r="K359" s="32" t="s">
        <v>110</v>
      </c>
      <c r="L359" s="32"/>
      <c r="M359" s="33" t="s">
        <v>106</v>
      </c>
      <c r="N359" s="33"/>
      <c r="O359" s="32">
        <v>50</v>
      </c>
      <c r="P359" s="69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48"/>
      <c r="R359" s="548"/>
      <c r="S359" s="548"/>
      <c r="T359" s="549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577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68"/>
      <c r="B360" s="556"/>
      <c r="C360" s="556"/>
      <c r="D360" s="556"/>
      <c r="E360" s="556"/>
      <c r="F360" s="556"/>
      <c r="G360" s="556"/>
      <c r="H360" s="556"/>
      <c r="I360" s="556"/>
      <c r="J360" s="556"/>
      <c r="K360" s="556"/>
      <c r="L360" s="556"/>
      <c r="M360" s="556"/>
      <c r="N360" s="556"/>
      <c r="O360" s="569"/>
      <c r="P360" s="563" t="s">
        <v>75</v>
      </c>
      <c r="Q360" s="564"/>
      <c r="R360" s="564"/>
      <c r="S360" s="564"/>
      <c r="T360" s="564"/>
      <c r="U360" s="564"/>
      <c r="V360" s="565"/>
      <c r="W360" s="37" t="s">
        <v>76</v>
      </c>
      <c r="X360" s="545">
        <f>IFERROR(X358/H358,"0")+IFERROR(X359/H359,"0")</f>
        <v>0</v>
      </c>
      <c r="Y360" s="545">
        <f>IFERROR(Y358/H358,"0")+IFERROR(Y359/H359,"0")</f>
        <v>0</v>
      </c>
      <c r="Z360" s="545">
        <f>IFERROR(IF(Z358="",0,Z358),"0")+IFERROR(IF(Z359="",0,Z359),"0")</f>
        <v>0</v>
      </c>
      <c r="AA360" s="546"/>
      <c r="AB360" s="546"/>
      <c r="AC360" s="546"/>
    </row>
    <row r="361" spans="1:68" hidden="1" x14ac:dyDescent="0.2">
      <c r="A361" s="556"/>
      <c r="B361" s="556"/>
      <c r="C361" s="556"/>
      <c r="D361" s="556"/>
      <c r="E361" s="556"/>
      <c r="F361" s="556"/>
      <c r="G361" s="556"/>
      <c r="H361" s="556"/>
      <c r="I361" s="556"/>
      <c r="J361" s="556"/>
      <c r="K361" s="556"/>
      <c r="L361" s="556"/>
      <c r="M361" s="556"/>
      <c r="N361" s="556"/>
      <c r="O361" s="569"/>
      <c r="P361" s="563" t="s">
        <v>75</v>
      </c>
      <c r="Q361" s="564"/>
      <c r="R361" s="564"/>
      <c r="S361" s="564"/>
      <c r="T361" s="564"/>
      <c r="U361" s="564"/>
      <c r="V361" s="565"/>
      <c r="W361" s="37" t="s">
        <v>69</v>
      </c>
      <c r="X361" s="545">
        <f>IFERROR(SUM(X358:X359),"0")</f>
        <v>0</v>
      </c>
      <c r="Y361" s="545">
        <f>IFERROR(SUM(Y358:Y359),"0")</f>
        <v>0</v>
      </c>
      <c r="Z361" s="37"/>
      <c r="AA361" s="546"/>
      <c r="AB361" s="546"/>
      <c r="AC361" s="546"/>
    </row>
    <row r="362" spans="1:68" ht="14.25" hidden="1" customHeight="1" x14ac:dyDescent="0.25">
      <c r="A362" s="567" t="s">
        <v>77</v>
      </c>
      <c r="B362" s="556"/>
      <c r="C362" s="556"/>
      <c r="D362" s="556"/>
      <c r="E362" s="556"/>
      <c r="F362" s="556"/>
      <c r="G362" s="556"/>
      <c r="H362" s="556"/>
      <c r="I362" s="556"/>
      <c r="J362" s="556"/>
      <c r="K362" s="556"/>
      <c r="L362" s="556"/>
      <c r="M362" s="556"/>
      <c r="N362" s="556"/>
      <c r="O362" s="556"/>
      <c r="P362" s="556"/>
      <c r="Q362" s="556"/>
      <c r="R362" s="556"/>
      <c r="S362" s="556"/>
      <c r="T362" s="556"/>
      <c r="U362" s="556"/>
      <c r="V362" s="556"/>
      <c r="W362" s="556"/>
      <c r="X362" s="556"/>
      <c r="Y362" s="556"/>
      <c r="Z362" s="556"/>
      <c r="AA362" s="539"/>
      <c r="AB362" s="539"/>
      <c r="AC362" s="539"/>
    </row>
    <row r="363" spans="1:68" ht="27" hidden="1" customHeight="1" x14ac:dyDescent="0.25">
      <c r="A363" s="54" t="s">
        <v>578</v>
      </c>
      <c r="B363" s="54" t="s">
        <v>579</v>
      </c>
      <c r="C363" s="31">
        <v>4301051903</v>
      </c>
      <c r="D363" s="553">
        <v>4607091383928</v>
      </c>
      <c r="E363" s="554"/>
      <c r="F363" s="542">
        <v>1.5</v>
      </c>
      <c r="G363" s="32">
        <v>6</v>
      </c>
      <c r="H363" s="542">
        <v>9</v>
      </c>
      <c r="I363" s="542">
        <v>9.5</v>
      </c>
      <c r="J363" s="32">
        <v>64</v>
      </c>
      <c r="K363" s="32" t="s">
        <v>104</v>
      </c>
      <c r="L363" s="32"/>
      <c r="M363" s="33" t="s">
        <v>81</v>
      </c>
      <c r="N363" s="33"/>
      <c r="O363" s="32">
        <v>40</v>
      </c>
      <c r="P363" s="5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48"/>
      <c r="R363" s="548"/>
      <c r="S363" s="548"/>
      <c r="T363" s="549"/>
      <c r="U363" s="34"/>
      <c r="V363" s="34"/>
      <c r="W363" s="35" t="s">
        <v>69</v>
      </c>
      <c r="X363" s="543">
        <v>0</v>
      </c>
      <c r="Y363" s="54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580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581</v>
      </c>
      <c r="B364" s="54" t="s">
        <v>582</v>
      </c>
      <c r="C364" s="31">
        <v>4301051897</v>
      </c>
      <c r="D364" s="553">
        <v>4607091384260</v>
      </c>
      <c r="E364" s="554"/>
      <c r="F364" s="542">
        <v>1.5</v>
      </c>
      <c r="G364" s="32">
        <v>6</v>
      </c>
      <c r="H364" s="542">
        <v>9</v>
      </c>
      <c r="I364" s="542">
        <v>9.4939999999999998</v>
      </c>
      <c r="J364" s="32">
        <v>64</v>
      </c>
      <c r="K364" s="32" t="s">
        <v>104</v>
      </c>
      <c r="L364" s="32"/>
      <c r="M364" s="33" t="s">
        <v>81</v>
      </c>
      <c r="N364" s="33"/>
      <c r="O364" s="32">
        <v>40</v>
      </c>
      <c r="P364" s="74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48"/>
      <c r="R364" s="548"/>
      <c r="S364" s="548"/>
      <c r="T364" s="549"/>
      <c r="U364" s="34"/>
      <c r="V364" s="34"/>
      <c r="W364" s="35" t="s">
        <v>69</v>
      </c>
      <c r="X364" s="543">
        <v>0</v>
      </c>
      <c r="Y364" s="54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583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68"/>
      <c r="B365" s="556"/>
      <c r="C365" s="556"/>
      <c r="D365" s="556"/>
      <c r="E365" s="556"/>
      <c r="F365" s="556"/>
      <c r="G365" s="556"/>
      <c r="H365" s="556"/>
      <c r="I365" s="556"/>
      <c r="J365" s="556"/>
      <c r="K365" s="556"/>
      <c r="L365" s="556"/>
      <c r="M365" s="556"/>
      <c r="N365" s="556"/>
      <c r="O365" s="569"/>
      <c r="P365" s="563" t="s">
        <v>75</v>
      </c>
      <c r="Q365" s="564"/>
      <c r="R365" s="564"/>
      <c r="S365" s="564"/>
      <c r="T365" s="564"/>
      <c r="U365" s="564"/>
      <c r="V365" s="565"/>
      <c r="W365" s="37" t="s">
        <v>76</v>
      </c>
      <c r="X365" s="545">
        <f>IFERROR(X363/H363,"0")+IFERROR(X364/H364,"0")</f>
        <v>0</v>
      </c>
      <c r="Y365" s="545">
        <f>IFERROR(Y363/H363,"0")+IFERROR(Y364/H364,"0")</f>
        <v>0</v>
      </c>
      <c r="Z365" s="545">
        <f>IFERROR(IF(Z363="",0,Z363),"0")+IFERROR(IF(Z364="",0,Z364),"0")</f>
        <v>0</v>
      </c>
      <c r="AA365" s="546"/>
      <c r="AB365" s="546"/>
      <c r="AC365" s="546"/>
    </row>
    <row r="366" spans="1:68" hidden="1" x14ac:dyDescent="0.2">
      <c r="A366" s="556"/>
      <c r="B366" s="556"/>
      <c r="C366" s="556"/>
      <c r="D366" s="556"/>
      <c r="E366" s="556"/>
      <c r="F366" s="556"/>
      <c r="G366" s="556"/>
      <c r="H366" s="556"/>
      <c r="I366" s="556"/>
      <c r="J366" s="556"/>
      <c r="K366" s="556"/>
      <c r="L366" s="556"/>
      <c r="M366" s="556"/>
      <c r="N366" s="556"/>
      <c r="O366" s="569"/>
      <c r="P366" s="563" t="s">
        <v>75</v>
      </c>
      <c r="Q366" s="564"/>
      <c r="R366" s="564"/>
      <c r="S366" s="564"/>
      <c r="T366" s="564"/>
      <c r="U366" s="564"/>
      <c r="V366" s="565"/>
      <c r="W366" s="37" t="s">
        <v>69</v>
      </c>
      <c r="X366" s="545">
        <f>IFERROR(SUM(X363:X364),"0")</f>
        <v>0</v>
      </c>
      <c r="Y366" s="545">
        <f>IFERROR(SUM(Y363:Y364),"0")</f>
        <v>0</v>
      </c>
      <c r="Z366" s="37"/>
      <c r="AA366" s="546"/>
      <c r="AB366" s="546"/>
      <c r="AC366" s="546"/>
    </row>
    <row r="367" spans="1:68" ht="14.25" hidden="1" customHeight="1" x14ac:dyDescent="0.25">
      <c r="A367" s="567" t="s">
        <v>158</v>
      </c>
      <c r="B367" s="556"/>
      <c r="C367" s="556"/>
      <c r="D367" s="556"/>
      <c r="E367" s="556"/>
      <c r="F367" s="556"/>
      <c r="G367" s="556"/>
      <c r="H367" s="556"/>
      <c r="I367" s="556"/>
      <c r="J367" s="556"/>
      <c r="K367" s="556"/>
      <c r="L367" s="556"/>
      <c r="M367" s="556"/>
      <c r="N367" s="556"/>
      <c r="O367" s="556"/>
      <c r="P367" s="556"/>
      <c r="Q367" s="556"/>
      <c r="R367" s="556"/>
      <c r="S367" s="556"/>
      <c r="T367" s="556"/>
      <c r="U367" s="556"/>
      <c r="V367" s="556"/>
      <c r="W367" s="556"/>
      <c r="X367" s="556"/>
      <c r="Y367" s="556"/>
      <c r="Z367" s="556"/>
      <c r="AA367" s="539"/>
      <c r="AB367" s="539"/>
      <c r="AC367" s="539"/>
    </row>
    <row r="368" spans="1:68" ht="16.5" hidden="1" customHeight="1" x14ac:dyDescent="0.25">
      <c r="A368" s="54" t="s">
        <v>584</v>
      </c>
      <c r="B368" s="54" t="s">
        <v>585</v>
      </c>
      <c r="C368" s="31">
        <v>4301060524</v>
      </c>
      <c r="D368" s="553">
        <v>4607091384673</v>
      </c>
      <c r="E368" s="554"/>
      <c r="F368" s="542">
        <v>1.5</v>
      </c>
      <c r="G368" s="32">
        <v>6</v>
      </c>
      <c r="H368" s="542">
        <v>9</v>
      </c>
      <c r="I368" s="542">
        <v>9.4939999999999998</v>
      </c>
      <c r="J368" s="32">
        <v>64</v>
      </c>
      <c r="K368" s="32" t="s">
        <v>104</v>
      </c>
      <c r="L368" s="32"/>
      <c r="M368" s="33" t="s">
        <v>81</v>
      </c>
      <c r="N368" s="33"/>
      <c r="O368" s="32">
        <v>40</v>
      </c>
      <c r="P368" s="60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3">
        <v>0</v>
      </c>
      <c r="Y368" s="544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586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68"/>
      <c r="B369" s="556"/>
      <c r="C369" s="556"/>
      <c r="D369" s="556"/>
      <c r="E369" s="556"/>
      <c r="F369" s="556"/>
      <c r="G369" s="556"/>
      <c r="H369" s="556"/>
      <c r="I369" s="556"/>
      <c r="J369" s="556"/>
      <c r="K369" s="556"/>
      <c r="L369" s="556"/>
      <c r="M369" s="556"/>
      <c r="N369" s="556"/>
      <c r="O369" s="569"/>
      <c r="P369" s="563" t="s">
        <v>75</v>
      </c>
      <c r="Q369" s="564"/>
      <c r="R369" s="564"/>
      <c r="S369" s="564"/>
      <c r="T369" s="564"/>
      <c r="U369" s="564"/>
      <c r="V369" s="565"/>
      <c r="W369" s="37" t="s">
        <v>76</v>
      </c>
      <c r="X369" s="545">
        <f>IFERROR(X368/H368,"0")</f>
        <v>0</v>
      </c>
      <c r="Y369" s="545">
        <f>IFERROR(Y368/H368,"0")</f>
        <v>0</v>
      </c>
      <c r="Z369" s="545">
        <f>IFERROR(IF(Z368="",0,Z368),"0")</f>
        <v>0</v>
      </c>
      <c r="AA369" s="546"/>
      <c r="AB369" s="546"/>
      <c r="AC369" s="546"/>
    </row>
    <row r="370" spans="1:68" hidden="1" x14ac:dyDescent="0.2">
      <c r="A370" s="556"/>
      <c r="B370" s="556"/>
      <c r="C370" s="556"/>
      <c r="D370" s="556"/>
      <c r="E370" s="556"/>
      <c r="F370" s="556"/>
      <c r="G370" s="556"/>
      <c r="H370" s="556"/>
      <c r="I370" s="556"/>
      <c r="J370" s="556"/>
      <c r="K370" s="556"/>
      <c r="L370" s="556"/>
      <c r="M370" s="556"/>
      <c r="N370" s="556"/>
      <c r="O370" s="569"/>
      <c r="P370" s="563" t="s">
        <v>75</v>
      </c>
      <c r="Q370" s="564"/>
      <c r="R370" s="564"/>
      <c r="S370" s="564"/>
      <c r="T370" s="564"/>
      <c r="U370" s="564"/>
      <c r="V370" s="565"/>
      <c r="W370" s="37" t="s">
        <v>69</v>
      </c>
      <c r="X370" s="545">
        <f>IFERROR(SUM(X368:X368),"0")</f>
        <v>0</v>
      </c>
      <c r="Y370" s="545">
        <f>IFERROR(SUM(Y368:Y368),"0")</f>
        <v>0</v>
      </c>
      <c r="Z370" s="37"/>
      <c r="AA370" s="546"/>
      <c r="AB370" s="546"/>
      <c r="AC370" s="546"/>
    </row>
    <row r="371" spans="1:68" ht="16.5" hidden="1" customHeight="1" x14ac:dyDescent="0.25">
      <c r="A371" s="599" t="s">
        <v>587</v>
      </c>
      <c r="B371" s="556"/>
      <c r="C371" s="556"/>
      <c r="D371" s="556"/>
      <c r="E371" s="556"/>
      <c r="F371" s="556"/>
      <c r="G371" s="556"/>
      <c r="H371" s="556"/>
      <c r="I371" s="556"/>
      <c r="J371" s="556"/>
      <c r="K371" s="556"/>
      <c r="L371" s="556"/>
      <c r="M371" s="556"/>
      <c r="N371" s="556"/>
      <c r="O371" s="556"/>
      <c r="P371" s="556"/>
      <c r="Q371" s="556"/>
      <c r="R371" s="556"/>
      <c r="S371" s="556"/>
      <c r="T371" s="556"/>
      <c r="U371" s="556"/>
      <c r="V371" s="556"/>
      <c r="W371" s="556"/>
      <c r="X371" s="556"/>
      <c r="Y371" s="556"/>
      <c r="Z371" s="556"/>
      <c r="AA371" s="538"/>
      <c r="AB371" s="538"/>
      <c r="AC371" s="538"/>
    </row>
    <row r="372" spans="1:68" ht="14.25" hidden="1" customHeight="1" x14ac:dyDescent="0.25">
      <c r="A372" s="567" t="s">
        <v>101</v>
      </c>
      <c r="B372" s="556"/>
      <c r="C372" s="556"/>
      <c r="D372" s="556"/>
      <c r="E372" s="556"/>
      <c r="F372" s="556"/>
      <c r="G372" s="556"/>
      <c r="H372" s="556"/>
      <c r="I372" s="556"/>
      <c r="J372" s="556"/>
      <c r="K372" s="556"/>
      <c r="L372" s="556"/>
      <c r="M372" s="556"/>
      <c r="N372" s="556"/>
      <c r="O372" s="556"/>
      <c r="P372" s="556"/>
      <c r="Q372" s="556"/>
      <c r="R372" s="556"/>
      <c r="S372" s="556"/>
      <c r="T372" s="556"/>
      <c r="U372" s="556"/>
      <c r="V372" s="556"/>
      <c r="W372" s="556"/>
      <c r="X372" s="556"/>
      <c r="Y372" s="556"/>
      <c r="Z372" s="556"/>
      <c r="AA372" s="539"/>
      <c r="AB372" s="539"/>
      <c r="AC372" s="539"/>
    </row>
    <row r="373" spans="1:68" ht="37.5" customHeight="1" x14ac:dyDescent="0.25">
      <c r="A373" s="54" t="s">
        <v>588</v>
      </c>
      <c r="B373" s="54" t="s">
        <v>589</v>
      </c>
      <c r="C373" s="31">
        <v>4301011875</v>
      </c>
      <c r="D373" s="553">
        <v>4680115884885</v>
      </c>
      <c r="E373" s="554"/>
      <c r="F373" s="542">
        <v>0.8</v>
      </c>
      <c r="G373" s="32">
        <v>15</v>
      </c>
      <c r="H373" s="542">
        <v>12</v>
      </c>
      <c r="I373" s="542">
        <v>12.41</v>
      </c>
      <c r="J373" s="32">
        <v>64</v>
      </c>
      <c r="K373" s="32" t="s">
        <v>104</v>
      </c>
      <c r="L373" s="32"/>
      <c r="M373" s="33" t="s">
        <v>68</v>
      </c>
      <c r="N373" s="33"/>
      <c r="O373" s="32">
        <v>60</v>
      </c>
      <c r="P373" s="64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48"/>
      <c r="R373" s="548"/>
      <c r="S373" s="548"/>
      <c r="T373" s="549"/>
      <c r="U373" s="34"/>
      <c r="V373" s="34"/>
      <c r="W373" s="35" t="s">
        <v>69</v>
      </c>
      <c r="X373" s="543">
        <v>40</v>
      </c>
      <c r="Y373" s="544">
        <f>IFERROR(IF(X373="",0,CEILING((X373/$H373),1)*$H373),"")</f>
        <v>48</v>
      </c>
      <c r="Z373" s="36">
        <f>IFERROR(IF(Y373=0,"",ROUNDUP(Y373/H373,0)*0.01898),"")</f>
        <v>7.5920000000000001E-2</v>
      </c>
      <c r="AA373" s="56"/>
      <c r="AB373" s="57"/>
      <c r="AC373" s="425" t="s">
        <v>590</v>
      </c>
      <c r="AG373" s="64"/>
      <c r="AJ373" s="68"/>
      <c r="AK373" s="68">
        <v>0</v>
      </c>
      <c r="BB373" s="426" t="s">
        <v>1</v>
      </c>
      <c r="BM373" s="64">
        <f>IFERROR(X373*I373/H373,"0")</f>
        <v>41.366666666666667</v>
      </c>
      <c r="BN373" s="64">
        <f>IFERROR(Y373*I373/H373,"0")</f>
        <v>49.640000000000008</v>
      </c>
      <c r="BO373" s="64">
        <f>IFERROR(1/J373*(X373/H373),"0")</f>
        <v>5.2083333333333336E-2</v>
      </c>
      <c r="BP373" s="64">
        <f>IFERROR(1/J373*(Y373/H373),"0")</f>
        <v>6.25E-2</v>
      </c>
    </row>
    <row r="374" spans="1:68" ht="37.5" hidden="1" customHeight="1" x14ac:dyDescent="0.25">
      <c r="A374" s="54" t="s">
        <v>591</v>
      </c>
      <c r="B374" s="54" t="s">
        <v>592</v>
      </c>
      <c r="C374" s="31">
        <v>4301011871</v>
      </c>
      <c r="D374" s="553">
        <v>4680115884908</v>
      </c>
      <c r="E374" s="554"/>
      <c r="F374" s="542">
        <v>0.4</v>
      </c>
      <c r="G374" s="32">
        <v>10</v>
      </c>
      <c r="H374" s="542">
        <v>4</v>
      </c>
      <c r="I374" s="542">
        <v>4.1900000000000004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60</v>
      </c>
      <c r="P374" s="73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48"/>
      <c r="R374" s="548"/>
      <c r="S374" s="548"/>
      <c r="T374" s="549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590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68"/>
      <c r="B375" s="556"/>
      <c r="C375" s="556"/>
      <c r="D375" s="556"/>
      <c r="E375" s="556"/>
      <c r="F375" s="556"/>
      <c r="G375" s="556"/>
      <c r="H375" s="556"/>
      <c r="I375" s="556"/>
      <c r="J375" s="556"/>
      <c r="K375" s="556"/>
      <c r="L375" s="556"/>
      <c r="M375" s="556"/>
      <c r="N375" s="556"/>
      <c r="O375" s="569"/>
      <c r="P375" s="563" t="s">
        <v>75</v>
      </c>
      <c r="Q375" s="564"/>
      <c r="R375" s="564"/>
      <c r="S375" s="564"/>
      <c r="T375" s="564"/>
      <c r="U375" s="564"/>
      <c r="V375" s="565"/>
      <c r="W375" s="37" t="s">
        <v>76</v>
      </c>
      <c r="X375" s="545">
        <f>IFERROR(X373/H373,"0")+IFERROR(X374/H374,"0")</f>
        <v>3.3333333333333335</v>
      </c>
      <c r="Y375" s="545">
        <f>IFERROR(Y373/H373,"0")+IFERROR(Y374/H374,"0")</f>
        <v>4</v>
      </c>
      <c r="Z375" s="545">
        <f>IFERROR(IF(Z373="",0,Z373),"0")+IFERROR(IF(Z374="",0,Z374),"0")</f>
        <v>7.5920000000000001E-2</v>
      </c>
      <c r="AA375" s="546"/>
      <c r="AB375" s="546"/>
      <c r="AC375" s="546"/>
    </row>
    <row r="376" spans="1:68" x14ac:dyDescent="0.2">
      <c r="A376" s="556"/>
      <c r="B376" s="556"/>
      <c r="C376" s="556"/>
      <c r="D376" s="556"/>
      <c r="E376" s="556"/>
      <c r="F376" s="556"/>
      <c r="G376" s="556"/>
      <c r="H376" s="556"/>
      <c r="I376" s="556"/>
      <c r="J376" s="556"/>
      <c r="K376" s="556"/>
      <c r="L376" s="556"/>
      <c r="M376" s="556"/>
      <c r="N376" s="556"/>
      <c r="O376" s="569"/>
      <c r="P376" s="563" t="s">
        <v>75</v>
      </c>
      <c r="Q376" s="564"/>
      <c r="R376" s="564"/>
      <c r="S376" s="564"/>
      <c r="T376" s="564"/>
      <c r="U376" s="564"/>
      <c r="V376" s="565"/>
      <c r="W376" s="37" t="s">
        <v>69</v>
      </c>
      <c r="X376" s="545">
        <f>IFERROR(SUM(X373:X374),"0")</f>
        <v>40</v>
      </c>
      <c r="Y376" s="545">
        <f>IFERROR(SUM(Y373:Y374),"0")</f>
        <v>48</v>
      </c>
      <c r="Z376" s="37"/>
      <c r="AA376" s="546"/>
      <c r="AB376" s="546"/>
      <c r="AC376" s="546"/>
    </row>
    <row r="377" spans="1:68" ht="14.25" hidden="1" customHeight="1" x14ac:dyDescent="0.25">
      <c r="A377" s="567" t="s">
        <v>64</v>
      </c>
      <c r="B377" s="556"/>
      <c r="C377" s="556"/>
      <c r="D377" s="556"/>
      <c r="E377" s="556"/>
      <c r="F377" s="556"/>
      <c r="G377" s="556"/>
      <c r="H377" s="556"/>
      <c r="I377" s="556"/>
      <c r="J377" s="556"/>
      <c r="K377" s="556"/>
      <c r="L377" s="556"/>
      <c r="M377" s="556"/>
      <c r="N377" s="556"/>
      <c r="O377" s="556"/>
      <c r="P377" s="556"/>
      <c r="Q377" s="556"/>
      <c r="R377" s="556"/>
      <c r="S377" s="556"/>
      <c r="T377" s="556"/>
      <c r="U377" s="556"/>
      <c r="V377" s="556"/>
      <c r="W377" s="556"/>
      <c r="X377" s="556"/>
      <c r="Y377" s="556"/>
      <c r="Z377" s="556"/>
      <c r="AA377" s="539"/>
      <c r="AB377" s="539"/>
      <c r="AC377" s="539"/>
    </row>
    <row r="378" spans="1:68" ht="27" hidden="1" customHeight="1" x14ac:dyDescent="0.25">
      <c r="A378" s="54" t="s">
        <v>593</v>
      </c>
      <c r="B378" s="54" t="s">
        <v>594</v>
      </c>
      <c r="C378" s="31">
        <v>4301031457</v>
      </c>
      <c r="D378" s="553">
        <v>4607091384802</v>
      </c>
      <c r="E378" s="554"/>
      <c r="F378" s="542">
        <v>0.7</v>
      </c>
      <c r="G378" s="32">
        <v>6</v>
      </c>
      <c r="H378" s="542">
        <v>4.2</v>
      </c>
      <c r="I378" s="542">
        <v>4.45</v>
      </c>
      <c r="J378" s="32">
        <v>132</v>
      </c>
      <c r="K378" s="32" t="s">
        <v>110</v>
      </c>
      <c r="L378" s="32"/>
      <c r="M378" s="33" t="s">
        <v>68</v>
      </c>
      <c r="N378" s="33"/>
      <c r="O378" s="32">
        <v>50</v>
      </c>
      <c r="P378" s="78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3">
        <v>0</v>
      </c>
      <c r="Y378" s="544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595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idden="1" x14ac:dyDescent="0.2">
      <c r="A379" s="568"/>
      <c r="B379" s="556"/>
      <c r="C379" s="556"/>
      <c r="D379" s="556"/>
      <c r="E379" s="556"/>
      <c r="F379" s="556"/>
      <c r="G379" s="556"/>
      <c r="H379" s="556"/>
      <c r="I379" s="556"/>
      <c r="J379" s="556"/>
      <c r="K379" s="556"/>
      <c r="L379" s="556"/>
      <c r="M379" s="556"/>
      <c r="N379" s="556"/>
      <c r="O379" s="569"/>
      <c r="P379" s="563" t="s">
        <v>75</v>
      </c>
      <c r="Q379" s="564"/>
      <c r="R379" s="564"/>
      <c r="S379" s="564"/>
      <c r="T379" s="564"/>
      <c r="U379" s="564"/>
      <c r="V379" s="565"/>
      <c r="W379" s="37" t="s">
        <v>76</v>
      </c>
      <c r="X379" s="545">
        <f>IFERROR(X378/H378,"0")</f>
        <v>0</v>
      </c>
      <c r="Y379" s="545">
        <f>IFERROR(Y378/H378,"0")</f>
        <v>0</v>
      </c>
      <c r="Z379" s="545">
        <f>IFERROR(IF(Z378="",0,Z378),"0")</f>
        <v>0</v>
      </c>
      <c r="AA379" s="546"/>
      <c r="AB379" s="546"/>
      <c r="AC379" s="546"/>
    </row>
    <row r="380" spans="1:68" hidden="1" x14ac:dyDescent="0.2">
      <c r="A380" s="556"/>
      <c r="B380" s="556"/>
      <c r="C380" s="556"/>
      <c r="D380" s="556"/>
      <c r="E380" s="556"/>
      <c r="F380" s="556"/>
      <c r="G380" s="556"/>
      <c r="H380" s="556"/>
      <c r="I380" s="556"/>
      <c r="J380" s="556"/>
      <c r="K380" s="556"/>
      <c r="L380" s="556"/>
      <c r="M380" s="556"/>
      <c r="N380" s="556"/>
      <c r="O380" s="569"/>
      <c r="P380" s="563" t="s">
        <v>75</v>
      </c>
      <c r="Q380" s="564"/>
      <c r="R380" s="564"/>
      <c r="S380" s="564"/>
      <c r="T380" s="564"/>
      <c r="U380" s="564"/>
      <c r="V380" s="565"/>
      <c r="W380" s="37" t="s">
        <v>69</v>
      </c>
      <c r="X380" s="545">
        <f>IFERROR(SUM(X378:X378),"0")</f>
        <v>0</v>
      </c>
      <c r="Y380" s="545">
        <f>IFERROR(SUM(Y378:Y378),"0")</f>
        <v>0</v>
      </c>
      <c r="Z380" s="37"/>
      <c r="AA380" s="546"/>
      <c r="AB380" s="546"/>
      <c r="AC380" s="546"/>
    </row>
    <row r="381" spans="1:68" ht="14.25" hidden="1" customHeight="1" x14ac:dyDescent="0.25">
      <c r="A381" s="567" t="s">
        <v>77</v>
      </c>
      <c r="B381" s="556"/>
      <c r="C381" s="556"/>
      <c r="D381" s="556"/>
      <c r="E381" s="556"/>
      <c r="F381" s="556"/>
      <c r="G381" s="556"/>
      <c r="H381" s="556"/>
      <c r="I381" s="556"/>
      <c r="J381" s="556"/>
      <c r="K381" s="556"/>
      <c r="L381" s="556"/>
      <c r="M381" s="556"/>
      <c r="N381" s="556"/>
      <c r="O381" s="556"/>
      <c r="P381" s="556"/>
      <c r="Q381" s="556"/>
      <c r="R381" s="556"/>
      <c r="S381" s="556"/>
      <c r="T381" s="556"/>
      <c r="U381" s="556"/>
      <c r="V381" s="556"/>
      <c r="W381" s="556"/>
      <c r="X381" s="556"/>
      <c r="Y381" s="556"/>
      <c r="Z381" s="556"/>
      <c r="AA381" s="539"/>
      <c r="AB381" s="539"/>
      <c r="AC381" s="539"/>
    </row>
    <row r="382" spans="1:68" ht="27" hidden="1" customHeight="1" x14ac:dyDescent="0.25">
      <c r="A382" s="54" t="s">
        <v>596</v>
      </c>
      <c r="B382" s="54" t="s">
        <v>597</v>
      </c>
      <c r="C382" s="31">
        <v>4301051899</v>
      </c>
      <c r="D382" s="553">
        <v>4607091384246</v>
      </c>
      <c r="E382" s="554"/>
      <c r="F382" s="542">
        <v>1.5</v>
      </c>
      <c r="G382" s="32">
        <v>6</v>
      </c>
      <c r="H382" s="542">
        <v>9</v>
      </c>
      <c r="I382" s="542">
        <v>9.4939999999999998</v>
      </c>
      <c r="J382" s="32">
        <v>64</v>
      </c>
      <c r="K382" s="32" t="s">
        <v>104</v>
      </c>
      <c r="L382" s="32"/>
      <c r="M382" s="33" t="s">
        <v>81</v>
      </c>
      <c r="N382" s="33"/>
      <c r="O382" s="32">
        <v>40</v>
      </c>
      <c r="P382" s="80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2" s="548"/>
      <c r="R382" s="548"/>
      <c r="S382" s="548"/>
      <c r="T382" s="549"/>
      <c r="U382" s="34"/>
      <c r="V382" s="34"/>
      <c r="W382" s="35" t="s">
        <v>69</v>
      </c>
      <c r="X382" s="543">
        <v>0</v>
      </c>
      <c r="Y382" s="544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31" t="s">
        <v>598</v>
      </c>
      <c r="AG382" s="64"/>
      <c r="AJ382" s="68"/>
      <c r="AK382" s="68">
        <v>0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599</v>
      </c>
      <c r="B383" s="54" t="s">
        <v>600</v>
      </c>
      <c r="C383" s="31">
        <v>4301051660</v>
      </c>
      <c r="D383" s="553">
        <v>4607091384253</v>
      </c>
      <c r="E383" s="554"/>
      <c r="F383" s="542">
        <v>0.4</v>
      </c>
      <c r="G383" s="32">
        <v>6</v>
      </c>
      <c r="H383" s="542">
        <v>2.4</v>
      </c>
      <c r="I383" s="542">
        <v>2.6640000000000001</v>
      </c>
      <c r="J383" s="32">
        <v>182</v>
      </c>
      <c r="K383" s="32" t="s">
        <v>67</v>
      </c>
      <c r="L383" s="32"/>
      <c r="M383" s="33" t="s">
        <v>81</v>
      </c>
      <c r="N383" s="33"/>
      <c r="O383" s="32">
        <v>40</v>
      </c>
      <c r="P383" s="61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3" s="548"/>
      <c r="R383" s="548"/>
      <c r="S383" s="548"/>
      <c r="T383" s="549"/>
      <c r="U383" s="34"/>
      <c r="V383" s="34"/>
      <c r="W383" s="35" t="s">
        <v>69</v>
      </c>
      <c r="X383" s="543">
        <v>0</v>
      </c>
      <c r="Y383" s="544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598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599</v>
      </c>
      <c r="B384" s="54" t="s">
        <v>601</v>
      </c>
      <c r="C384" s="31">
        <v>4301052069</v>
      </c>
      <c r="D384" s="553">
        <v>4607091384253</v>
      </c>
      <c r="E384" s="554"/>
      <c r="F384" s="542">
        <v>0.4</v>
      </c>
      <c r="G384" s="32">
        <v>6</v>
      </c>
      <c r="H384" s="542">
        <v>2.4</v>
      </c>
      <c r="I384" s="542">
        <v>2.6640000000000001</v>
      </c>
      <c r="J384" s="32">
        <v>182</v>
      </c>
      <c r="K384" s="32" t="s">
        <v>67</v>
      </c>
      <c r="L384" s="32"/>
      <c r="M384" s="33" t="s">
        <v>81</v>
      </c>
      <c r="N384" s="33"/>
      <c r="O384" s="32">
        <v>40</v>
      </c>
      <c r="P384" s="8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4" s="548"/>
      <c r="R384" s="548"/>
      <c r="S384" s="548"/>
      <c r="T384" s="549"/>
      <c r="U384" s="34"/>
      <c r="V384" s="34"/>
      <c r="W384" s="35" t="s">
        <v>69</v>
      </c>
      <c r="X384" s="543">
        <v>0</v>
      </c>
      <c r="Y384" s="544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602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idden="1" x14ac:dyDescent="0.2">
      <c r="A385" s="568"/>
      <c r="B385" s="556"/>
      <c r="C385" s="556"/>
      <c r="D385" s="556"/>
      <c r="E385" s="556"/>
      <c r="F385" s="556"/>
      <c r="G385" s="556"/>
      <c r="H385" s="556"/>
      <c r="I385" s="556"/>
      <c r="J385" s="556"/>
      <c r="K385" s="556"/>
      <c r="L385" s="556"/>
      <c r="M385" s="556"/>
      <c r="N385" s="556"/>
      <c r="O385" s="569"/>
      <c r="P385" s="563" t="s">
        <v>75</v>
      </c>
      <c r="Q385" s="564"/>
      <c r="R385" s="564"/>
      <c r="S385" s="564"/>
      <c r="T385" s="564"/>
      <c r="U385" s="564"/>
      <c r="V385" s="565"/>
      <c r="W385" s="37" t="s">
        <v>76</v>
      </c>
      <c r="X385" s="545">
        <f>IFERROR(X382/H382,"0")+IFERROR(X383/H383,"0")+IFERROR(X384/H384,"0")</f>
        <v>0</v>
      </c>
      <c r="Y385" s="545">
        <f>IFERROR(Y382/H382,"0")+IFERROR(Y383/H383,"0")+IFERROR(Y384/H384,"0")</f>
        <v>0</v>
      </c>
      <c r="Z385" s="545">
        <f>IFERROR(IF(Z382="",0,Z382),"0")+IFERROR(IF(Z383="",0,Z383),"0")+IFERROR(IF(Z384="",0,Z384),"0")</f>
        <v>0</v>
      </c>
      <c r="AA385" s="546"/>
      <c r="AB385" s="546"/>
      <c r="AC385" s="546"/>
    </row>
    <row r="386" spans="1:68" hidden="1" x14ac:dyDescent="0.2">
      <c r="A386" s="556"/>
      <c r="B386" s="556"/>
      <c r="C386" s="556"/>
      <c r="D386" s="556"/>
      <c r="E386" s="556"/>
      <c r="F386" s="556"/>
      <c r="G386" s="556"/>
      <c r="H386" s="556"/>
      <c r="I386" s="556"/>
      <c r="J386" s="556"/>
      <c r="K386" s="556"/>
      <c r="L386" s="556"/>
      <c r="M386" s="556"/>
      <c r="N386" s="556"/>
      <c r="O386" s="569"/>
      <c r="P386" s="563" t="s">
        <v>75</v>
      </c>
      <c r="Q386" s="564"/>
      <c r="R386" s="564"/>
      <c r="S386" s="564"/>
      <c r="T386" s="564"/>
      <c r="U386" s="564"/>
      <c r="V386" s="565"/>
      <c r="W386" s="37" t="s">
        <v>69</v>
      </c>
      <c r="X386" s="545">
        <f>IFERROR(SUM(X382:X384),"0")</f>
        <v>0</v>
      </c>
      <c r="Y386" s="545">
        <f>IFERROR(SUM(Y382:Y384),"0")</f>
        <v>0</v>
      </c>
      <c r="Z386" s="37"/>
      <c r="AA386" s="546"/>
      <c r="AB386" s="546"/>
      <c r="AC386" s="546"/>
    </row>
    <row r="387" spans="1:68" ht="27.75" hidden="1" customHeight="1" x14ac:dyDescent="0.2">
      <c r="A387" s="697" t="s">
        <v>603</v>
      </c>
      <c r="B387" s="698"/>
      <c r="C387" s="698"/>
      <c r="D387" s="698"/>
      <c r="E387" s="698"/>
      <c r="F387" s="698"/>
      <c r="G387" s="698"/>
      <c r="H387" s="698"/>
      <c r="I387" s="698"/>
      <c r="J387" s="698"/>
      <c r="K387" s="698"/>
      <c r="L387" s="698"/>
      <c r="M387" s="698"/>
      <c r="N387" s="698"/>
      <c r="O387" s="698"/>
      <c r="P387" s="698"/>
      <c r="Q387" s="698"/>
      <c r="R387" s="698"/>
      <c r="S387" s="698"/>
      <c r="T387" s="698"/>
      <c r="U387" s="698"/>
      <c r="V387" s="698"/>
      <c r="W387" s="698"/>
      <c r="X387" s="698"/>
      <c r="Y387" s="698"/>
      <c r="Z387" s="698"/>
      <c r="AA387" s="48"/>
      <c r="AB387" s="48"/>
      <c r="AC387" s="48"/>
    </row>
    <row r="388" spans="1:68" ht="16.5" hidden="1" customHeight="1" x14ac:dyDescent="0.25">
      <c r="A388" s="599" t="s">
        <v>604</v>
      </c>
      <c r="B388" s="556"/>
      <c r="C388" s="556"/>
      <c r="D388" s="556"/>
      <c r="E388" s="556"/>
      <c r="F388" s="556"/>
      <c r="G388" s="556"/>
      <c r="H388" s="556"/>
      <c r="I388" s="556"/>
      <c r="J388" s="556"/>
      <c r="K388" s="556"/>
      <c r="L388" s="556"/>
      <c r="M388" s="556"/>
      <c r="N388" s="556"/>
      <c r="O388" s="556"/>
      <c r="P388" s="556"/>
      <c r="Q388" s="556"/>
      <c r="R388" s="556"/>
      <c r="S388" s="556"/>
      <c r="T388" s="556"/>
      <c r="U388" s="556"/>
      <c r="V388" s="556"/>
      <c r="W388" s="556"/>
      <c r="X388" s="556"/>
      <c r="Y388" s="556"/>
      <c r="Z388" s="556"/>
      <c r="AA388" s="538"/>
      <c r="AB388" s="538"/>
      <c r="AC388" s="538"/>
    </row>
    <row r="389" spans="1:68" ht="14.25" hidden="1" customHeight="1" x14ac:dyDescent="0.25">
      <c r="A389" s="567" t="s">
        <v>64</v>
      </c>
      <c r="B389" s="556"/>
      <c r="C389" s="556"/>
      <c r="D389" s="556"/>
      <c r="E389" s="556"/>
      <c r="F389" s="556"/>
      <c r="G389" s="556"/>
      <c r="H389" s="556"/>
      <c r="I389" s="556"/>
      <c r="J389" s="556"/>
      <c r="K389" s="556"/>
      <c r="L389" s="556"/>
      <c r="M389" s="556"/>
      <c r="N389" s="556"/>
      <c r="O389" s="556"/>
      <c r="P389" s="556"/>
      <c r="Q389" s="556"/>
      <c r="R389" s="556"/>
      <c r="S389" s="556"/>
      <c r="T389" s="556"/>
      <c r="U389" s="556"/>
      <c r="V389" s="556"/>
      <c r="W389" s="556"/>
      <c r="X389" s="556"/>
      <c r="Y389" s="556"/>
      <c r="Z389" s="556"/>
      <c r="AA389" s="539"/>
      <c r="AB389" s="539"/>
      <c r="AC389" s="539"/>
    </row>
    <row r="390" spans="1:68" ht="27" hidden="1" customHeight="1" x14ac:dyDescent="0.25">
      <c r="A390" s="54" t="s">
        <v>605</v>
      </c>
      <c r="B390" s="54" t="s">
        <v>606</v>
      </c>
      <c r="C390" s="31">
        <v>4301031405</v>
      </c>
      <c r="D390" s="553">
        <v>4680115886100</v>
      </c>
      <c r="E390" s="554"/>
      <c r="F390" s="542">
        <v>0.9</v>
      </c>
      <c r="G390" s="32">
        <v>6</v>
      </c>
      <c r="H390" s="542">
        <v>5.4</v>
      </c>
      <c r="I390" s="542">
        <v>5.59</v>
      </c>
      <c r="J390" s="32">
        <v>132</v>
      </c>
      <c r="K390" s="32" t="s">
        <v>110</v>
      </c>
      <c r="L390" s="32"/>
      <c r="M390" s="33" t="s">
        <v>68</v>
      </c>
      <c r="N390" s="33"/>
      <c r="O390" s="32">
        <v>50</v>
      </c>
      <c r="P390" s="70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0" s="548"/>
      <c r="R390" s="548"/>
      <c r="S390" s="548"/>
      <c r="T390" s="549"/>
      <c r="U390" s="34"/>
      <c r="V390" s="34"/>
      <c r="W390" s="35" t="s">
        <v>69</v>
      </c>
      <c r="X390" s="543">
        <v>0</v>
      </c>
      <c r="Y390" s="544">
        <f t="shared" ref="Y390:Y398" si="41"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ref="BM390:BM398" si="42">IFERROR(X390*I390/H390,"0")</f>
        <v>0</v>
      </c>
      <c r="BN390" s="64">
        <f t="shared" ref="BN390:BN398" si="43">IFERROR(Y390*I390/H390,"0")</f>
        <v>0</v>
      </c>
      <c r="BO390" s="64">
        <f t="shared" ref="BO390:BO398" si="44">IFERROR(1/J390*(X390/H390),"0")</f>
        <v>0</v>
      </c>
      <c r="BP390" s="64">
        <f t="shared" ref="BP390:BP398" si="45">IFERROR(1/J390*(Y390/H390),"0")</f>
        <v>0</v>
      </c>
    </row>
    <row r="391" spans="1:68" ht="27" hidden="1" customHeight="1" x14ac:dyDescent="0.25">
      <c r="A391" s="54" t="s">
        <v>608</v>
      </c>
      <c r="B391" s="54" t="s">
        <v>609</v>
      </c>
      <c r="C391" s="31">
        <v>4301031406</v>
      </c>
      <c r="D391" s="553">
        <v>4680115886117</v>
      </c>
      <c r="E391" s="554"/>
      <c r="F391" s="542">
        <v>0.9</v>
      </c>
      <c r="G391" s="32">
        <v>6</v>
      </c>
      <c r="H391" s="542">
        <v>5.4</v>
      </c>
      <c r="I391" s="542">
        <v>5.59</v>
      </c>
      <c r="J391" s="32">
        <v>132</v>
      </c>
      <c r="K391" s="32" t="s">
        <v>110</v>
      </c>
      <c r="L391" s="32"/>
      <c r="M391" s="33" t="s">
        <v>68</v>
      </c>
      <c r="N391" s="33"/>
      <c r="O391" s="32">
        <v>50</v>
      </c>
      <c r="P391" s="85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>IFERROR(IF(Y391=0,"",ROUNDUP(Y391/H391,0)*0.00902),"")</f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611</v>
      </c>
      <c r="B392" s="54" t="s">
        <v>612</v>
      </c>
      <c r="C392" s="31">
        <v>4301031402</v>
      </c>
      <c r="D392" s="553">
        <v>4680115886124</v>
      </c>
      <c r="E392" s="554"/>
      <c r="F392" s="542">
        <v>0.9</v>
      </c>
      <c r="G392" s="32">
        <v>6</v>
      </c>
      <c r="H392" s="542">
        <v>5.4</v>
      </c>
      <c r="I392" s="542">
        <v>5.59</v>
      </c>
      <c r="J392" s="32">
        <v>132</v>
      </c>
      <c r="K392" s="32" t="s">
        <v>110</v>
      </c>
      <c r="L392" s="32"/>
      <c r="M392" s="33" t="s">
        <v>68</v>
      </c>
      <c r="N392" s="33"/>
      <c r="O392" s="32">
        <v>50</v>
      </c>
      <c r="P392" s="84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2" s="548"/>
      <c r="R392" s="548"/>
      <c r="S392" s="548"/>
      <c r="T392" s="549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614</v>
      </c>
      <c r="B393" s="54" t="s">
        <v>615</v>
      </c>
      <c r="C393" s="31">
        <v>4301031366</v>
      </c>
      <c r="D393" s="553">
        <v>4680115883147</v>
      </c>
      <c r="E393" s="554"/>
      <c r="F393" s="542">
        <v>0.28000000000000003</v>
      </c>
      <c r="G393" s="32">
        <v>6</v>
      </c>
      <c r="H393" s="542">
        <v>1.68</v>
      </c>
      <c r="I393" s="542">
        <v>1.81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3" s="548"/>
      <c r="R393" s="548"/>
      <c r="S393" s="548"/>
      <c r="T393" s="549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ref="Z393:Z398" si="46">IFERROR(IF(Y393=0,"",ROUNDUP(Y393/H393,0)*0.00502),"")</f>
        <v/>
      </c>
      <c r="AA393" s="56"/>
      <c r="AB393" s="57"/>
      <c r="AC393" s="443" t="s">
        <v>607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616</v>
      </c>
      <c r="B394" s="54" t="s">
        <v>617</v>
      </c>
      <c r="C394" s="31">
        <v>4301031362</v>
      </c>
      <c r="D394" s="553">
        <v>4607091384338</v>
      </c>
      <c r="E394" s="554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73</v>
      </c>
      <c r="L394" s="32" t="s">
        <v>284</v>
      </c>
      <c r="M394" s="33" t="s">
        <v>68</v>
      </c>
      <c r="N394" s="33"/>
      <c r="O394" s="32">
        <v>50</v>
      </c>
      <c r="P394" s="82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4" s="548"/>
      <c r="R394" s="548"/>
      <c r="S394" s="548"/>
      <c r="T394" s="549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607</v>
      </c>
      <c r="AG394" s="64"/>
      <c r="AJ394" s="68" t="s">
        <v>83</v>
      </c>
      <c r="AK394" s="68">
        <v>37.799999999999997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37.5" hidden="1" customHeight="1" x14ac:dyDescent="0.25">
      <c r="A395" s="54" t="s">
        <v>618</v>
      </c>
      <c r="B395" s="54" t="s">
        <v>619</v>
      </c>
      <c r="C395" s="31">
        <v>4301031361</v>
      </c>
      <c r="D395" s="553">
        <v>4607091389524</v>
      </c>
      <c r="E395" s="554"/>
      <c r="F395" s="542">
        <v>0.35</v>
      </c>
      <c r="G395" s="32">
        <v>6</v>
      </c>
      <c r="H395" s="542">
        <v>2.1</v>
      </c>
      <c r="I395" s="542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69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5" s="548"/>
      <c r="R395" s="548"/>
      <c r="S395" s="548"/>
      <c r="T395" s="549"/>
      <c r="U395" s="34"/>
      <c r="V395" s="34"/>
      <c r="W395" s="35" t="s">
        <v>69</v>
      </c>
      <c r="X395" s="543">
        <v>0</v>
      </c>
      <c r="Y395" s="544">
        <f t="shared" si="41"/>
        <v>0</v>
      </c>
      <c r="Z395" s="36" t="str">
        <f t="shared" si="46"/>
        <v/>
      </c>
      <c r="AA395" s="56"/>
      <c r="AB395" s="57"/>
      <c r="AC395" s="447" t="s">
        <v>620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621</v>
      </c>
      <c r="B396" s="54" t="s">
        <v>622</v>
      </c>
      <c r="C396" s="31">
        <v>4301031364</v>
      </c>
      <c r="D396" s="553">
        <v>4680115883161</v>
      </c>
      <c r="E396" s="554"/>
      <c r="F396" s="542">
        <v>0.28000000000000003</v>
      </c>
      <c r="G396" s="32">
        <v>6</v>
      </c>
      <c r="H396" s="542">
        <v>1.68</v>
      </c>
      <c r="I396" s="54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6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6" s="548"/>
      <c r="R396" s="548"/>
      <c r="S396" s="548"/>
      <c r="T396" s="549"/>
      <c r="U396" s="34"/>
      <c r="V396" s="34"/>
      <c r="W396" s="35" t="s">
        <v>69</v>
      </c>
      <c r="X396" s="543">
        <v>0</v>
      </c>
      <c r="Y396" s="544">
        <f t="shared" si="41"/>
        <v>0</v>
      </c>
      <c r="Z396" s="36" t="str">
        <f t="shared" si="46"/>
        <v/>
      </c>
      <c r="AA396" s="56"/>
      <c r="AB396" s="57"/>
      <c r="AC396" s="449" t="s">
        <v>623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624</v>
      </c>
      <c r="B397" s="54" t="s">
        <v>625</v>
      </c>
      <c r="C397" s="31">
        <v>4301031358</v>
      </c>
      <c r="D397" s="553">
        <v>4607091389531</v>
      </c>
      <c r="E397" s="554"/>
      <c r="F397" s="542">
        <v>0.35</v>
      </c>
      <c r="G397" s="32">
        <v>6</v>
      </c>
      <c r="H397" s="542">
        <v>2.1</v>
      </c>
      <c r="I397" s="54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7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3">
        <v>0</v>
      </c>
      <c r="Y397" s="544">
        <f t="shared" si="41"/>
        <v>0</v>
      </c>
      <c r="Z397" s="36" t="str">
        <f t="shared" si="46"/>
        <v/>
      </c>
      <c r="AA397" s="56"/>
      <c r="AB397" s="57"/>
      <c r="AC397" s="451" t="s">
        <v>626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627</v>
      </c>
      <c r="B398" s="54" t="s">
        <v>628</v>
      </c>
      <c r="C398" s="31">
        <v>4301031360</v>
      </c>
      <c r="D398" s="553">
        <v>4607091384345</v>
      </c>
      <c r="E398" s="554"/>
      <c r="F398" s="542">
        <v>0.35</v>
      </c>
      <c r="G398" s="32">
        <v>6</v>
      </c>
      <c r="H398" s="542">
        <v>2.1</v>
      </c>
      <c r="I398" s="54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67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3">
        <v>0</v>
      </c>
      <c r="Y398" s="544">
        <f t="shared" si="41"/>
        <v>0</v>
      </c>
      <c r="Z398" s="36" t="str">
        <f t="shared" si="46"/>
        <v/>
      </c>
      <c r="AA398" s="56"/>
      <c r="AB398" s="57"/>
      <c r="AC398" s="453" t="s">
        <v>623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idden="1" x14ac:dyDescent="0.2">
      <c r="A399" s="568"/>
      <c r="B399" s="556"/>
      <c r="C399" s="556"/>
      <c r="D399" s="556"/>
      <c r="E399" s="556"/>
      <c r="F399" s="556"/>
      <c r="G399" s="556"/>
      <c r="H399" s="556"/>
      <c r="I399" s="556"/>
      <c r="J399" s="556"/>
      <c r="K399" s="556"/>
      <c r="L399" s="556"/>
      <c r="M399" s="556"/>
      <c r="N399" s="556"/>
      <c r="O399" s="569"/>
      <c r="P399" s="563" t="s">
        <v>75</v>
      </c>
      <c r="Q399" s="564"/>
      <c r="R399" s="564"/>
      <c r="S399" s="564"/>
      <c r="T399" s="564"/>
      <c r="U399" s="564"/>
      <c r="V399" s="565"/>
      <c r="W399" s="37" t="s">
        <v>76</v>
      </c>
      <c r="X399" s="545">
        <f>IFERROR(X390/H390,"0")+IFERROR(X391/H391,"0")+IFERROR(X392/H392,"0")+IFERROR(X393/H393,"0")+IFERROR(X394/H394,"0")+IFERROR(X395/H395,"0")+IFERROR(X396/H396,"0")+IFERROR(X397/H397,"0")+IFERROR(X398/H398,"0")</f>
        <v>0</v>
      </c>
      <c r="Y399" s="545">
        <f>IFERROR(Y390/H390,"0")+IFERROR(Y391/H391,"0")+IFERROR(Y392/H392,"0")+IFERROR(Y393/H393,"0")+IFERROR(Y394/H394,"0")+IFERROR(Y395/H395,"0")+IFERROR(Y396/H396,"0")+IFERROR(Y397/H397,"0")+IFERROR(Y398/H398,"0")</f>
        <v>0</v>
      </c>
      <c r="Z399" s="545">
        <f>IFERROR(IF(Z390="",0,Z390),"0")+IFERROR(IF(Z391="",0,Z391),"0")+IFERROR(IF(Z392="",0,Z392),"0")+IFERROR(IF(Z393="",0,Z393),"0")+IFERROR(IF(Z394="",0,Z394),"0")+IFERROR(IF(Z395="",0,Z395),"0")+IFERROR(IF(Z396="",0,Z396),"0")+IFERROR(IF(Z397="",0,Z397),"0")+IFERROR(IF(Z398="",0,Z398),"0")</f>
        <v>0</v>
      </c>
      <c r="AA399" s="546"/>
      <c r="AB399" s="546"/>
      <c r="AC399" s="546"/>
    </row>
    <row r="400" spans="1:68" hidden="1" x14ac:dyDescent="0.2">
      <c r="A400" s="556"/>
      <c r="B400" s="556"/>
      <c r="C400" s="556"/>
      <c r="D400" s="556"/>
      <c r="E400" s="556"/>
      <c r="F400" s="556"/>
      <c r="G400" s="556"/>
      <c r="H400" s="556"/>
      <c r="I400" s="556"/>
      <c r="J400" s="556"/>
      <c r="K400" s="556"/>
      <c r="L400" s="556"/>
      <c r="M400" s="556"/>
      <c r="N400" s="556"/>
      <c r="O400" s="569"/>
      <c r="P400" s="563" t="s">
        <v>75</v>
      </c>
      <c r="Q400" s="564"/>
      <c r="R400" s="564"/>
      <c r="S400" s="564"/>
      <c r="T400" s="564"/>
      <c r="U400" s="564"/>
      <c r="V400" s="565"/>
      <c r="W400" s="37" t="s">
        <v>69</v>
      </c>
      <c r="X400" s="545">
        <f>IFERROR(SUM(X390:X398),"0")</f>
        <v>0</v>
      </c>
      <c r="Y400" s="545">
        <f>IFERROR(SUM(Y390:Y398),"0")</f>
        <v>0</v>
      </c>
      <c r="Z400" s="37"/>
      <c r="AA400" s="546"/>
      <c r="AB400" s="546"/>
      <c r="AC400" s="546"/>
    </row>
    <row r="401" spans="1:68" ht="14.25" hidden="1" customHeight="1" x14ac:dyDescent="0.25">
      <c r="A401" s="567" t="s">
        <v>77</v>
      </c>
      <c r="B401" s="556"/>
      <c r="C401" s="556"/>
      <c r="D401" s="556"/>
      <c r="E401" s="556"/>
      <c r="F401" s="556"/>
      <c r="G401" s="556"/>
      <c r="H401" s="556"/>
      <c r="I401" s="556"/>
      <c r="J401" s="556"/>
      <c r="K401" s="556"/>
      <c r="L401" s="556"/>
      <c r="M401" s="556"/>
      <c r="N401" s="556"/>
      <c r="O401" s="556"/>
      <c r="P401" s="556"/>
      <c r="Q401" s="556"/>
      <c r="R401" s="556"/>
      <c r="S401" s="556"/>
      <c r="T401" s="556"/>
      <c r="U401" s="556"/>
      <c r="V401" s="556"/>
      <c r="W401" s="556"/>
      <c r="X401" s="556"/>
      <c r="Y401" s="556"/>
      <c r="Z401" s="556"/>
      <c r="AA401" s="539"/>
      <c r="AB401" s="539"/>
      <c r="AC401" s="539"/>
    </row>
    <row r="402" spans="1:68" ht="27" hidden="1" customHeight="1" x14ac:dyDescent="0.25">
      <c r="A402" s="54" t="s">
        <v>629</v>
      </c>
      <c r="B402" s="54" t="s">
        <v>630</v>
      </c>
      <c r="C402" s="31">
        <v>4301051284</v>
      </c>
      <c r="D402" s="553">
        <v>4607091384352</v>
      </c>
      <c r="E402" s="554"/>
      <c r="F402" s="542">
        <v>0.6</v>
      </c>
      <c r="G402" s="32">
        <v>4</v>
      </c>
      <c r="H402" s="542">
        <v>2.4</v>
      </c>
      <c r="I402" s="542">
        <v>2.6259999999999999</v>
      </c>
      <c r="J402" s="32">
        <v>132</v>
      </c>
      <c r="K402" s="32" t="s">
        <v>110</v>
      </c>
      <c r="L402" s="32"/>
      <c r="M402" s="33" t="s">
        <v>81</v>
      </c>
      <c r="N402" s="33"/>
      <c r="O402" s="32">
        <v>45</v>
      </c>
      <c r="P402" s="83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2" s="548"/>
      <c r="R402" s="548"/>
      <c r="S402" s="548"/>
      <c r="T402" s="549"/>
      <c r="U402" s="34"/>
      <c r="V402" s="34"/>
      <c r="W402" s="35" t="s">
        <v>69</v>
      </c>
      <c r="X402" s="543">
        <v>0</v>
      </c>
      <c r="Y402" s="544">
        <f>IFERROR(IF(X402="",0,CEILING((X402/$H402),1)*$H402),"")</f>
        <v>0</v>
      </c>
      <c r="Z402" s="36" t="str">
        <f>IFERROR(IF(Y402=0,"",ROUNDUP(Y402/H402,0)*0.00902),"")</f>
        <v/>
      </c>
      <c r="AA402" s="56"/>
      <c r="AB402" s="57"/>
      <c r="AC402" s="455" t="s">
        <v>631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hidden="1" customHeight="1" x14ac:dyDescent="0.25">
      <c r="A403" s="54" t="s">
        <v>632</v>
      </c>
      <c r="B403" s="54" t="s">
        <v>633</v>
      </c>
      <c r="C403" s="31">
        <v>4301051431</v>
      </c>
      <c r="D403" s="553">
        <v>4607091389654</v>
      </c>
      <c r="E403" s="554"/>
      <c r="F403" s="542">
        <v>0.33</v>
      </c>
      <c r="G403" s="32">
        <v>6</v>
      </c>
      <c r="H403" s="542">
        <v>1.98</v>
      </c>
      <c r="I403" s="542">
        <v>2.238</v>
      </c>
      <c r="J403" s="32">
        <v>182</v>
      </c>
      <c r="K403" s="32" t="s">
        <v>67</v>
      </c>
      <c r="L403" s="32"/>
      <c r="M403" s="33" t="s">
        <v>81</v>
      </c>
      <c r="N403" s="33"/>
      <c r="O403" s="32">
        <v>45</v>
      </c>
      <c r="P403" s="78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3" s="548"/>
      <c r="R403" s="548"/>
      <c r="S403" s="548"/>
      <c r="T403" s="549"/>
      <c r="U403" s="34"/>
      <c r="V403" s="34"/>
      <c r="W403" s="35" t="s">
        <v>69</v>
      </c>
      <c r="X403" s="543">
        <v>0</v>
      </c>
      <c r="Y403" s="544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57" t="s">
        <v>634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68"/>
      <c r="B404" s="556"/>
      <c r="C404" s="556"/>
      <c r="D404" s="556"/>
      <c r="E404" s="556"/>
      <c r="F404" s="556"/>
      <c r="G404" s="556"/>
      <c r="H404" s="556"/>
      <c r="I404" s="556"/>
      <c r="J404" s="556"/>
      <c r="K404" s="556"/>
      <c r="L404" s="556"/>
      <c r="M404" s="556"/>
      <c r="N404" s="556"/>
      <c r="O404" s="569"/>
      <c r="P404" s="563" t="s">
        <v>75</v>
      </c>
      <c r="Q404" s="564"/>
      <c r="R404" s="564"/>
      <c r="S404" s="564"/>
      <c r="T404" s="564"/>
      <c r="U404" s="564"/>
      <c r="V404" s="565"/>
      <c r="W404" s="37" t="s">
        <v>76</v>
      </c>
      <c r="X404" s="545">
        <f>IFERROR(X402/H402,"0")+IFERROR(X403/H403,"0")</f>
        <v>0</v>
      </c>
      <c r="Y404" s="545">
        <f>IFERROR(Y402/H402,"0")+IFERROR(Y403/H403,"0")</f>
        <v>0</v>
      </c>
      <c r="Z404" s="545">
        <f>IFERROR(IF(Z402="",0,Z402),"0")+IFERROR(IF(Z403="",0,Z403),"0")</f>
        <v>0</v>
      </c>
      <c r="AA404" s="546"/>
      <c r="AB404" s="546"/>
      <c r="AC404" s="546"/>
    </row>
    <row r="405" spans="1:68" hidden="1" x14ac:dyDescent="0.2">
      <c r="A405" s="556"/>
      <c r="B405" s="556"/>
      <c r="C405" s="556"/>
      <c r="D405" s="556"/>
      <c r="E405" s="556"/>
      <c r="F405" s="556"/>
      <c r="G405" s="556"/>
      <c r="H405" s="556"/>
      <c r="I405" s="556"/>
      <c r="J405" s="556"/>
      <c r="K405" s="556"/>
      <c r="L405" s="556"/>
      <c r="M405" s="556"/>
      <c r="N405" s="556"/>
      <c r="O405" s="569"/>
      <c r="P405" s="563" t="s">
        <v>75</v>
      </c>
      <c r="Q405" s="564"/>
      <c r="R405" s="564"/>
      <c r="S405" s="564"/>
      <c r="T405" s="564"/>
      <c r="U405" s="564"/>
      <c r="V405" s="565"/>
      <c r="W405" s="37" t="s">
        <v>69</v>
      </c>
      <c r="X405" s="545">
        <f>IFERROR(SUM(X402:X403),"0")</f>
        <v>0</v>
      </c>
      <c r="Y405" s="545">
        <f>IFERROR(SUM(Y402:Y403),"0")</f>
        <v>0</v>
      </c>
      <c r="Z405" s="37"/>
      <c r="AA405" s="546"/>
      <c r="AB405" s="546"/>
      <c r="AC405" s="546"/>
    </row>
    <row r="406" spans="1:68" ht="16.5" hidden="1" customHeight="1" x14ac:dyDescent="0.25">
      <c r="A406" s="599" t="s">
        <v>635</v>
      </c>
      <c r="B406" s="556"/>
      <c r="C406" s="556"/>
      <c r="D406" s="556"/>
      <c r="E406" s="556"/>
      <c r="F406" s="556"/>
      <c r="G406" s="556"/>
      <c r="H406" s="556"/>
      <c r="I406" s="556"/>
      <c r="J406" s="556"/>
      <c r="K406" s="556"/>
      <c r="L406" s="556"/>
      <c r="M406" s="556"/>
      <c r="N406" s="556"/>
      <c r="O406" s="556"/>
      <c r="P406" s="556"/>
      <c r="Q406" s="556"/>
      <c r="R406" s="556"/>
      <c r="S406" s="556"/>
      <c r="T406" s="556"/>
      <c r="U406" s="556"/>
      <c r="V406" s="556"/>
      <c r="W406" s="556"/>
      <c r="X406" s="556"/>
      <c r="Y406" s="556"/>
      <c r="Z406" s="556"/>
      <c r="AA406" s="538"/>
      <c r="AB406" s="538"/>
      <c r="AC406" s="538"/>
    </row>
    <row r="407" spans="1:68" ht="14.25" hidden="1" customHeight="1" x14ac:dyDescent="0.25">
      <c r="A407" s="567" t="s">
        <v>136</v>
      </c>
      <c r="B407" s="556"/>
      <c r="C407" s="556"/>
      <c r="D407" s="556"/>
      <c r="E407" s="556"/>
      <c r="F407" s="556"/>
      <c r="G407" s="556"/>
      <c r="H407" s="556"/>
      <c r="I407" s="556"/>
      <c r="J407" s="556"/>
      <c r="K407" s="556"/>
      <c r="L407" s="556"/>
      <c r="M407" s="556"/>
      <c r="N407" s="556"/>
      <c r="O407" s="556"/>
      <c r="P407" s="556"/>
      <c r="Q407" s="556"/>
      <c r="R407" s="556"/>
      <c r="S407" s="556"/>
      <c r="T407" s="556"/>
      <c r="U407" s="556"/>
      <c r="V407" s="556"/>
      <c r="W407" s="556"/>
      <c r="X407" s="556"/>
      <c r="Y407" s="556"/>
      <c r="Z407" s="556"/>
      <c r="AA407" s="539"/>
      <c r="AB407" s="539"/>
      <c r="AC407" s="539"/>
    </row>
    <row r="408" spans="1:68" ht="27" hidden="1" customHeight="1" x14ac:dyDescent="0.25">
      <c r="A408" s="54" t="s">
        <v>636</v>
      </c>
      <c r="B408" s="54" t="s">
        <v>637</v>
      </c>
      <c r="C408" s="31">
        <v>4301020319</v>
      </c>
      <c r="D408" s="553">
        <v>4680115885240</v>
      </c>
      <c r="E408" s="554"/>
      <c r="F408" s="542">
        <v>0.35</v>
      </c>
      <c r="G408" s="32">
        <v>6</v>
      </c>
      <c r="H408" s="542">
        <v>2.1</v>
      </c>
      <c r="I408" s="542">
        <v>2.31</v>
      </c>
      <c r="J408" s="32">
        <v>182</v>
      </c>
      <c r="K408" s="32" t="s">
        <v>67</v>
      </c>
      <c r="L408" s="32"/>
      <c r="M408" s="33" t="s">
        <v>68</v>
      </c>
      <c r="N408" s="33"/>
      <c r="O408" s="32">
        <v>40</v>
      </c>
      <c r="P408" s="58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IFERROR(IF(Y408=0,"",ROUNDUP(Y408/H408,0)*0.00651),"")</f>
        <v/>
      </c>
      <c r="AA408" s="56"/>
      <c r="AB408" s="57"/>
      <c r="AC408" s="459" t="s">
        <v>638</v>
      </c>
      <c r="AG408" s="64"/>
      <c r="AJ408" s="68"/>
      <c r="AK408" s="68">
        <v>0</v>
      </c>
      <c r="BB408" s="46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idden="1" x14ac:dyDescent="0.2">
      <c r="A409" s="568"/>
      <c r="B409" s="556"/>
      <c r="C409" s="556"/>
      <c r="D409" s="556"/>
      <c r="E409" s="556"/>
      <c r="F409" s="556"/>
      <c r="G409" s="556"/>
      <c r="H409" s="556"/>
      <c r="I409" s="556"/>
      <c r="J409" s="556"/>
      <c r="K409" s="556"/>
      <c r="L409" s="556"/>
      <c r="M409" s="556"/>
      <c r="N409" s="556"/>
      <c r="O409" s="569"/>
      <c r="P409" s="563" t="s">
        <v>75</v>
      </c>
      <c r="Q409" s="564"/>
      <c r="R409" s="564"/>
      <c r="S409" s="564"/>
      <c r="T409" s="564"/>
      <c r="U409" s="564"/>
      <c r="V409" s="565"/>
      <c r="W409" s="37" t="s">
        <v>76</v>
      </c>
      <c r="X409" s="545">
        <f>IFERROR(X408/H408,"0")</f>
        <v>0</v>
      </c>
      <c r="Y409" s="545">
        <f>IFERROR(Y408/H408,"0")</f>
        <v>0</v>
      </c>
      <c r="Z409" s="545">
        <f>IFERROR(IF(Z408="",0,Z408),"0")</f>
        <v>0</v>
      </c>
      <c r="AA409" s="546"/>
      <c r="AB409" s="546"/>
      <c r="AC409" s="546"/>
    </row>
    <row r="410" spans="1:68" hidden="1" x14ac:dyDescent="0.2">
      <c r="A410" s="556"/>
      <c r="B410" s="556"/>
      <c r="C410" s="556"/>
      <c r="D410" s="556"/>
      <c r="E410" s="556"/>
      <c r="F410" s="556"/>
      <c r="G410" s="556"/>
      <c r="H410" s="556"/>
      <c r="I410" s="556"/>
      <c r="J410" s="556"/>
      <c r="K410" s="556"/>
      <c r="L410" s="556"/>
      <c r="M410" s="556"/>
      <c r="N410" s="556"/>
      <c r="O410" s="569"/>
      <c r="P410" s="563" t="s">
        <v>75</v>
      </c>
      <c r="Q410" s="564"/>
      <c r="R410" s="564"/>
      <c r="S410" s="564"/>
      <c r="T410" s="564"/>
      <c r="U410" s="564"/>
      <c r="V410" s="565"/>
      <c r="W410" s="37" t="s">
        <v>69</v>
      </c>
      <c r="X410" s="545">
        <f>IFERROR(SUM(X408:X408),"0")</f>
        <v>0</v>
      </c>
      <c r="Y410" s="545">
        <f>IFERROR(SUM(Y408:Y408),"0")</f>
        <v>0</v>
      </c>
      <c r="Z410" s="37"/>
      <c r="AA410" s="546"/>
      <c r="AB410" s="546"/>
      <c r="AC410" s="546"/>
    </row>
    <row r="411" spans="1:68" ht="14.25" hidden="1" customHeight="1" x14ac:dyDescent="0.25">
      <c r="A411" s="567" t="s">
        <v>64</v>
      </c>
      <c r="B411" s="556"/>
      <c r="C411" s="556"/>
      <c r="D411" s="556"/>
      <c r="E411" s="556"/>
      <c r="F411" s="556"/>
      <c r="G411" s="556"/>
      <c r="H411" s="556"/>
      <c r="I411" s="556"/>
      <c r="J411" s="556"/>
      <c r="K411" s="556"/>
      <c r="L411" s="556"/>
      <c r="M411" s="556"/>
      <c r="N411" s="556"/>
      <c r="O411" s="556"/>
      <c r="P411" s="556"/>
      <c r="Q411" s="556"/>
      <c r="R411" s="556"/>
      <c r="S411" s="556"/>
      <c r="T411" s="556"/>
      <c r="U411" s="556"/>
      <c r="V411" s="556"/>
      <c r="W411" s="556"/>
      <c r="X411" s="556"/>
      <c r="Y411" s="556"/>
      <c r="Z411" s="556"/>
      <c r="AA411" s="539"/>
      <c r="AB411" s="539"/>
      <c r="AC411" s="539"/>
    </row>
    <row r="412" spans="1:68" ht="27" customHeight="1" x14ac:dyDescent="0.25">
      <c r="A412" s="54" t="s">
        <v>639</v>
      </c>
      <c r="B412" s="54" t="s">
        <v>640</v>
      </c>
      <c r="C412" s="31">
        <v>4301031403</v>
      </c>
      <c r="D412" s="553">
        <v>4680115886094</v>
      </c>
      <c r="E412" s="554"/>
      <c r="F412" s="542">
        <v>0.9</v>
      </c>
      <c r="G412" s="32">
        <v>6</v>
      </c>
      <c r="H412" s="542">
        <v>5.4</v>
      </c>
      <c r="I412" s="542">
        <v>5.59</v>
      </c>
      <c r="J412" s="32">
        <v>132</v>
      </c>
      <c r="K412" s="32" t="s">
        <v>110</v>
      </c>
      <c r="L412" s="32"/>
      <c r="M412" s="33" t="s">
        <v>106</v>
      </c>
      <c r="N412" s="33"/>
      <c r="O412" s="32">
        <v>50</v>
      </c>
      <c r="P412" s="62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2" s="548"/>
      <c r="R412" s="548"/>
      <c r="S412" s="548"/>
      <c r="T412" s="549"/>
      <c r="U412" s="34"/>
      <c r="V412" s="34"/>
      <c r="W412" s="35" t="s">
        <v>69</v>
      </c>
      <c r="X412" s="543">
        <v>60</v>
      </c>
      <c r="Y412" s="544">
        <f>IFERROR(IF(X412="",0,CEILING((X412/$H412),1)*$H412),"")</f>
        <v>64.800000000000011</v>
      </c>
      <c r="Z412" s="36">
        <f>IFERROR(IF(Y412=0,"",ROUNDUP(Y412/H412,0)*0.00902),"")</f>
        <v>0.10824</v>
      </c>
      <c r="AA412" s="56"/>
      <c r="AB412" s="57"/>
      <c r="AC412" s="461" t="s">
        <v>641</v>
      </c>
      <c r="AG412" s="64"/>
      <c r="AJ412" s="68"/>
      <c r="AK412" s="68">
        <v>0</v>
      </c>
      <c r="BB412" s="462" t="s">
        <v>1</v>
      </c>
      <c r="BM412" s="64">
        <f>IFERROR(X412*I412/H412,"0")</f>
        <v>62.1111111111111</v>
      </c>
      <c r="BN412" s="64">
        <f>IFERROR(Y412*I412/H412,"0")</f>
        <v>67.08</v>
      </c>
      <c r="BO412" s="64">
        <f>IFERROR(1/J412*(X412/H412),"0")</f>
        <v>8.4175084175084181E-2</v>
      </c>
      <c r="BP412" s="64">
        <f>IFERROR(1/J412*(Y412/H412),"0")</f>
        <v>9.0909090909090925E-2</v>
      </c>
    </row>
    <row r="413" spans="1:68" ht="27" hidden="1" customHeight="1" x14ac:dyDescent="0.25">
      <c r="A413" s="54" t="s">
        <v>642</v>
      </c>
      <c r="B413" s="54" t="s">
        <v>643</v>
      </c>
      <c r="C413" s="31">
        <v>4301031363</v>
      </c>
      <c r="D413" s="553">
        <v>4607091389425</v>
      </c>
      <c r="E413" s="554"/>
      <c r="F413" s="542">
        <v>0.35</v>
      </c>
      <c r="G413" s="32">
        <v>6</v>
      </c>
      <c r="H413" s="542">
        <v>2.1</v>
      </c>
      <c r="I413" s="542">
        <v>2.23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81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3" s="548"/>
      <c r="R413" s="548"/>
      <c r="S413" s="548"/>
      <c r="T413" s="549"/>
      <c r="U413" s="34"/>
      <c r="V413" s="34"/>
      <c r="W413" s="35" t="s">
        <v>69</v>
      </c>
      <c r="X413" s="543">
        <v>0</v>
      </c>
      <c r="Y413" s="544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644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645</v>
      </c>
      <c r="B414" s="54" t="s">
        <v>646</v>
      </c>
      <c r="C414" s="31">
        <v>4301031373</v>
      </c>
      <c r="D414" s="553">
        <v>4680115880771</v>
      </c>
      <c r="E414" s="554"/>
      <c r="F414" s="542">
        <v>0.28000000000000003</v>
      </c>
      <c r="G414" s="32">
        <v>6</v>
      </c>
      <c r="H414" s="542">
        <v>1.68</v>
      </c>
      <c r="I414" s="542">
        <v>1.81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86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4" s="548"/>
      <c r="R414" s="548"/>
      <c r="S414" s="548"/>
      <c r="T414" s="549"/>
      <c r="U414" s="34"/>
      <c r="V414" s="34"/>
      <c r="W414" s="35" t="s">
        <v>69</v>
      </c>
      <c r="X414" s="543">
        <v>0</v>
      </c>
      <c r="Y414" s="544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647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648</v>
      </c>
      <c r="B415" s="54" t="s">
        <v>649</v>
      </c>
      <c r="C415" s="31">
        <v>4301031359</v>
      </c>
      <c r="D415" s="553">
        <v>4607091389500</v>
      </c>
      <c r="E415" s="554"/>
      <c r="F415" s="542">
        <v>0.35</v>
      </c>
      <c r="G415" s="32">
        <v>6</v>
      </c>
      <c r="H415" s="542">
        <v>2.1</v>
      </c>
      <c r="I415" s="542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63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5" s="548"/>
      <c r="R415" s="548"/>
      <c r="S415" s="548"/>
      <c r="T415" s="549"/>
      <c r="U415" s="34"/>
      <c r="V415" s="34"/>
      <c r="W415" s="35" t="s">
        <v>69</v>
      </c>
      <c r="X415" s="543">
        <v>0</v>
      </c>
      <c r="Y415" s="544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647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68"/>
      <c r="B416" s="556"/>
      <c r="C416" s="556"/>
      <c r="D416" s="556"/>
      <c r="E416" s="556"/>
      <c r="F416" s="556"/>
      <c r="G416" s="556"/>
      <c r="H416" s="556"/>
      <c r="I416" s="556"/>
      <c r="J416" s="556"/>
      <c r="K416" s="556"/>
      <c r="L416" s="556"/>
      <c r="M416" s="556"/>
      <c r="N416" s="556"/>
      <c r="O416" s="569"/>
      <c r="P416" s="563" t="s">
        <v>75</v>
      </c>
      <c r="Q416" s="564"/>
      <c r="R416" s="564"/>
      <c r="S416" s="564"/>
      <c r="T416" s="564"/>
      <c r="U416" s="564"/>
      <c r="V416" s="565"/>
      <c r="W416" s="37" t="s">
        <v>76</v>
      </c>
      <c r="X416" s="545">
        <f>IFERROR(X412/H412,"0")+IFERROR(X413/H413,"0")+IFERROR(X414/H414,"0")+IFERROR(X415/H415,"0")</f>
        <v>11.111111111111111</v>
      </c>
      <c r="Y416" s="545">
        <f>IFERROR(Y412/H412,"0")+IFERROR(Y413/H413,"0")+IFERROR(Y414/H414,"0")+IFERROR(Y415/H415,"0")</f>
        <v>12.000000000000002</v>
      </c>
      <c r="Z416" s="545">
        <f>IFERROR(IF(Z412="",0,Z412),"0")+IFERROR(IF(Z413="",0,Z413),"0")+IFERROR(IF(Z414="",0,Z414),"0")+IFERROR(IF(Z415="",0,Z415),"0")</f>
        <v>0.10824</v>
      </c>
      <c r="AA416" s="546"/>
      <c r="AB416" s="546"/>
      <c r="AC416" s="546"/>
    </row>
    <row r="417" spans="1:68" x14ac:dyDescent="0.2">
      <c r="A417" s="556"/>
      <c r="B417" s="556"/>
      <c r="C417" s="556"/>
      <c r="D417" s="556"/>
      <c r="E417" s="556"/>
      <c r="F417" s="556"/>
      <c r="G417" s="556"/>
      <c r="H417" s="556"/>
      <c r="I417" s="556"/>
      <c r="J417" s="556"/>
      <c r="K417" s="556"/>
      <c r="L417" s="556"/>
      <c r="M417" s="556"/>
      <c r="N417" s="556"/>
      <c r="O417" s="569"/>
      <c r="P417" s="563" t="s">
        <v>75</v>
      </c>
      <c r="Q417" s="564"/>
      <c r="R417" s="564"/>
      <c r="S417" s="564"/>
      <c r="T417" s="564"/>
      <c r="U417" s="564"/>
      <c r="V417" s="565"/>
      <c r="W417" s="37" t="s">
        <v>69</v>
      </c>
      <c r="X417" s="545">
        <f>IFERROR(SUM(X412:X415),"0")</f>
        <v>60</v>
      </c>
      <c r="Y417" s="545">
        <f>IFERROR(SUM(Y412:Y415),"0")</f>
        <v>64.800000000000011</v>
      </c>
      <c r="Z417" s="37"/>
      <c r="AA417" s="546"/>
      <c r="AB417" s="546"/>
      <c r="AC417" s="546"/>
    </row>
    <row r="418" spans="1:68" ht="16.5" hidden="1" customHeight="1" x14ac:dyDescent="0.25">
      <c r="A418" s="599" t="s">
        <v>650</v>
      </c>
      <c r="B418" s="556"/>
      <c r="C418" s="556"/>
      <c r="D418" s="556"/>
      <c r="E418" s="556"/>
      <c r="F418" s="556"/>
      <c r="G418" s="556"/>
      <c r="H418" s="556"/>
      <c r="I418" s="556"/>
      <c r="J418" s="556"/>
      <c r="K418" s="556"/>
      <c r="L418" s="556"/>
      <c r="M418" s="556"/>
      <c r="N418" s="556"/>
      <c r="O418" s="556"/>
      <c r="P418" s="556"/>
      <c r="Q418" s="556"/>
      <c r="R418" s="556"/>
      <c r="S418" s="556"/>
      <c r="T418" s="556"/>
      <c r="U418" s="556"/>
      <c r="V418" s="556"/>
      <c r="W418" s="556"/>
      <c r="X418" s="556"/>
      <c r="Y418" s="556"/>
      <c r="Z418" s="556"/>
      <c r="AA418" s="538"/>
      <c r="AB418" s="538"/>
      <c r="AC418" s="538"/>
    </row>
    <row r="419" spans="1:68" ht="14.25" hidden="1" customHeight="1" x14ac:dyDescent="0.25">
      <c r="A419" s="567" t="s">
        <v>64</v>
      </c>
      <c r="B419" s="556"/>
      <c r="C419" s="556"/>
      <c r="D419" s="556"/>
      <c r="E419" s="556"/>
      <c r="F419" s="556"/>
      <c r="G419" s="556"/>
      <c r="H419" s="556"/>
      <c r="I419" s="556"/>
      <c r="J419" s="556"/>
      <c r="K419" s="556"/>
      <c r="L419" s="556"/>
      <c r="M419" s="556"/>
      <c r="N419" s="556"/>
      <c r="O419" s="556"/>
      <c r="P419" s="556"/>
      <c r="Q419" s="556"/>
      <c r="R419" s="556"/>
      <c r="S419" s="556"/>
      <c r="T419" s="556"/>
      <c r="U419" s="556"/>
      <c r="V419" s="556"/>
      <c r="W419" s="556"/>
      <c r="X419" s="556"/>
      <c r="Y419" s="556"/>
      <c r="Z419" s="556"/>
      <c r="AA419" s="539"/>
      <c r="AB419" s="539"/>
      <c r="AC419" s="539"/>
    </row>
    <row r="420" spans="1:68" ht="27" hidden="1" customHeight="1" x14ac:dyDescent="0.25">
      <c r="A420" s="54" t="s">
        <v>651</v>
      </c>
      <c r="B420" s="54" t="s">
        <v>652</v>
      </c>
      <c r="C420" s="31">
        <v>4301031347</v>
      </c>
      <c r="D420" s="553">
        <v>4680115885110</v>
      </c>
      <c r="E420" s="554"/>
      <c r="F420" s="542">
        <v>0.2</v>
      </c>
      <c r="G420" s="32">
        <v>6</v>
      </c>
      <c r="H420" s="542">
        <v>1.2</v>
      </c>
      <c r="I420" s="542">
        <v>2.1</v>
      </c>
      <c r="J420" s="32">
        <v>182</v>
      </c>
      <c r="K420" s="32" t="s">
        <v>67</v>
      </c>
      <c r="L420" s="32"/>
      <c r="M420" s="33" t="s">
        <v>68</v>
      </c>
      <c r="N420" s="33"/>
      <c r="O420" s="32">
        <v>50</v>
      </c>
      <c r="P420" s="63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0" s="548"/>
      <c r="R420" s="548"/>
      <c r="S420" s="548"/>
      <c r="T420" s="549"/>
      <c r="U420" s="34"/>
      <c r="V420" s="34"/>
      <c r="W420" s="35" t="s">
        <v>69</v>
      </c>
      <c r="X420" s="543">
        <v>0</v>
      </c>
      <c r="Y420" s="54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653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568"/>
      <c r="B421" s="556"/>
      <c r="C421" s="556"/>
      <c r="D421" s="556"/>
      <c r="E421" s="556"/>
      <c r="F421" s="556"/>
      <c r="G421" s="556"/>
      <c r="H421" s="556"/>
      <c r="I421" s="556"/>
      <c r="J421" s="556"/>
      <c r="K421" s="556"/>
      <c r="L421" s="556"/>
      <c r="M421" s="556"/>
      <c r="N421" s="556"/>
      <c r="O421" s="569"/>
      <c r="P421" s="563" t="s">
        <v>75</v>
      </c>
      <c r="Q421" s="564"/>
      <c r="R421" s="564"/>
      <c r="S421" s="564"/>
      <c r="T421" s="564"/>
      <c r="U421" s="564"/>
      <c r="V421" s="565"/>
      <c r="W421" s="37" t="s">
        <v>76</v>
      </c>
      <c r="X421" s="545">
        <f>IFERROR(X420/H420,"0")</f>
        <v>0</v>
      </c>
      <c r="Y421" s="545">
        <f>IFERROR(Y420/H420,"0")</f>
        <v>0</v>
      </c>
      <c r="Z421" s="545">
        <f>IFERROR(IF(Z420="",0,Z420),"0")</f>
        <v>0</v>
      </c>
      <c r="AA421" s="546"/>
      <c r="AB421" s="546"/>
      <c r="AC421" s="546"/>
    </row>
    <row r="422" spans="1:68" hidden="1" x14ac:dyDescent="0.2">
      <c r="A422" s="556"/>
      <c r="B422" s="556"/>
      <c r="C422" s="556"/>
      <c r="D422" s="556"/>
      <c r="E422" s="556"/>
      <c r="F422" s="556"/>
      <c r="G422" s="556"/>
      <c r="H422" s="556"/>
      <c r="I422" s="556"/>
      <c r="J422" s="556"/>
      <c r="K422" s="556"/>
      <c r="L422" s="556"/>
      <c r="M422" s="556"/>
      <c r="N422" s="556"/>
      <c r="O422" s="569"/>
      <c r="P422" s="563" t="s">
        <v>75</v>
      </c>
      <c r="Q422" s="564"/>
      <c r="R422" s="564"/>
      <c r="S422" s="564"/>
      <c r="T422" s="564"/>
      <c r="U422" s="564"/>
      <c r="V422" s="565"/>
      <c r="W422" s="37" t="s">
        <v>69</v>
      </c>
      <c r="X422" s="545">
        <f>IFERROR(SUM(X420:X420),"0")</f>
        <v>0</v>
      </c>
      <c r="Y422" s="545">
        <f>IFERROR(SUM(Y420:Y420),"0")</f>
        <v>0</v>
      </c>
      <c r="Z422" s="37"/>
      <c r="AA422" s="546"/>
      <c r="AB422" s="546"/>
      <c r="AC422" s="546"/>
    </row>
    <row r="423" spans="1:68" ht="27.75" hidden="1" customHeight="1" x14ac:dyDescent="0.2">
      <c r="A423" s="697" t="s">
        <v>654</v>
      </c>
      <c r="B423" s="698"/>
      <c r="C423" s="698"/>
      <c r="D423" s="698"/>
      <c r="E423" s="698"/>
      <c r="F423" s="698"/>
      <c r="G423" s="698"/>
      <c r="H423" s="698"/>
      <c r="I423" s="698"/>
      <c r="J423" s="698"/>
      <c r="K423" s="698"/>
      <c r="L423" s="698"/>
      <c r="M423" s="698"/>
      <c r="N423" s="698"/>
      <c r="O423" s="698"/>
      <c r="P423" s="698"/>
      <c r="Q423" s="698"/>
      <c r="R423" s="698"/>
      <c r="S423" s="698"/>
      <c r="T423" s="698"/>
      <c r="U423" s="698"/>
      <c r="V423" s="698"/>
      <c r="W423" s="698"/>
      <c r="X423" s="698"/>
      <c r="Y423" s="698"/>
      <c r="Z423" s="698"/>
      <c r="AA423" s="48"/>
      <c r="AB423" s="48"/>
      <c r="AC423" s="48"/>
    </row>
    <row r="424" spans="1:68" ht="16.5" hidden="1" customHeight="1" x14ac:dyDescent="0.25">
      <c r="A424" s="599" t="s">
        <v>654</v>
      </c>
      <c r="B424" s="556"/>
      <c r="C424" s="556"/>
      <c r="D424" s="556"/>
      <c r="E424" s="556"/>
      <c r="F424" s="556"/>
      <c r="G424" s="556"/>
      <c r="H424" s="556"/>
      <c r="I424" s="556"/>
      <c r="J424" s="556"/>
      <c r="K424" s="556"/>
      <c r="L424" s="556"/>
      <c r="M424" s="556"/>
      <c r="N424" s="556"/>
      <c r="O424" s="556"/>
      <c r="P424" s="556"/>
      <c r="Q424" s="556"/>
      <c r="R424" s="556"/>
      <c r="S424" s="556"/>
      <c r="T424" s="556"/>
      <c r="U424" s="556"/>
      <c r="V424" s="556"/>
      <c r="W424" s="556"/>
      <c r="X424" s="556"/>
      <c r="Y424" s="556"/>
      <c r="Z424" s="556"/>
      <c r="AA424" s="538"/>
      <c r="AB424" s="538"/>
      <c r="AC424" s="538"/>
    </row>
    <row r="425" spans="1:68" ht="14.25" hidden="1" customHeight="1" x14ac:dyDescent="0.25">
      <c r="A425" s="567" t="s">
        <v>101</v>
      </c>
      <c r="B425" s="556"/>
      <c r="C425" s="556"/>
      <c r="D425" s="556"/>
      <c r="E425" s="556"/>
      <c r="F425" s="556"/>
      <c r="G425" s="556"/>
      <c r="H425" s="556"/>
      <c r="I425" s="556"/>
      <c r="J425" s="556"/>
      <c r="K425" s="556"/>
      <c r="L425" s="556"/>
      <c r="M425" s="556"/>
      <c r="N425" s="556"/>
      <c r="O425" s="556"/>
      <c r="P425" s="556"/>
      <c r="Q425" s="556"/>
      <c r="R425" s="556"/>
      <c r="S425" s="556"/>
      <c r="T425" s="556"/>
      <c r="U425" s="556"/>
      <c r="V425" s="556"/>
      <c r="W425" s="556"/>
      <c r="X425" s="556"/>
      <c r="Y425" s="556"/>
      <c r="Z425" s="556"/>
      <c r="AA425" s="539"/>
      <c r="AB425" s="539"/>
      <c r="AC425" s="539"/>
    </row>
    <row r="426" spans="1:68" ht="27" hidden="1" customHeight="1" x14ac:dyDescent="0.25">
      <c r="A426" s="54" t="s">
        <v>655</v>
      </c>
      <c r="B426" s="54" t="s">
        <v>656</v>
      </c>
      <c r="C426" s="31">
        <v>4301011795</v>
      </c>
      <c r="D426" s="553">
        <v>4607091389067</v>
      </c>
      <c r="E426" s="554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79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6" s="548"/>
      <c r="R426" s="548"/>
      <c r="S426" s="548"/>
      <c r="T426" s="549"/>
      <c r="U426" s="34"/>
      <c r="V426" s="34"/>
      <c r="W426" s="35" t="s">
        <v>69</v>
      </c>
      <c r="X426" s="543">
        <v>0</v>
      </c>
      <c r="Y426" s="544">
        <f t="shared" ref="Y426:Y437" si="47">IFERROR(IF(X426="",0,CEILING((X426/$H426),1)*$H426),"")</f>
        <v>0</v>
      </c>
      <c r="Z426" s="36" t="str">
        <f t="shared" ref="Z426:Z432" si="48">IFERROR(IF(Y426=0,"",ROUNDUP(Y426/H426,0)*0.01196),"")</f>
        <v/>
      </c>
      <c r="AA426" s="56"/>
      <c r="AB426" s="57"/>
      <c r="AC426" s="471" t="s">
        <v>107</v>
      </c>
      <c r="AG426" s="64"/>
      <c r="AJ426" s="68" t="s">
        <v>83</v>
      </c>
      <c r="AK426" s="68">
        <v>42.24</v>
      </c>
      <c r="BB426" s="472" t="s">
        <v>1</v>
      </c>
      <c r="BM426" s="64">
        <f t="shared" ref="BM426:BM437" si="49">IFERROR(X426*I426/H426,"0")</f>
        <v>0</v>
      </c>
      <c r="BN426" s="64">
        <f t="shared" ref="BN426:BN437" si="50">IFERROR(Y426*I426/H426,"0")</f>
        <v>0</v>
      </c>
      <c r="BO426" s="64">
        <f t="shared" ref="BO426:BO437" si="51">IFERROR(1/J426*(X426/H426),"0")</f>
        <v>0</v>
      </c>
      <c r="BP426" s="64">
        <f t="shared" ref="BP426:BP437" si="52">IFERROR(1/J426*(Y426/H426),"0")</f>
        <v>0</v>
      </c>
    </row>
    <row r="427" spans="1:68" ht="27" hidden="1" customHeight="1" x14ac:dyDescent="0.25">
      <c r="A427" s="54" t="s">
        <v>657</v>
      </c>
      <c r="B427" s="54" t="s">
        <v>658</v>
      </c>
      <c r="C427" s="31">
        <v>4301012210</v>
      </c>
      <c r="D427" s="553">
        <v>4607091383522</v>
      </c>
      <c r="E427" s="554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104</v>
      </c>
      <c r="L427" s="32"/>
      <c r="M427" s="33" t="s">
        <v>106</v>
      </c>
      <c r="N427" s="33"/>
      <c r="O427" s="32">
        <v>60</v>
      </c>
      <c r="P427" s="87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3">
        <v>0</v>
      </c>
      <c r="Y427" s="544">
        <f t="shared" si="47"/>
        <v>0</v>
      </c>
      <c r="Z427" s="36" t="str">
        <f t="shared" si="48"/>
        <v/>
      </c>
      <c r="AA427" s="56"/>
      <c r="AB427" s="57"/>
      <c r="AC427" s="473" t="s">
        <v>659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657</v>
      </c>
      <c r="B428" s="54" t="s">
        <v>660</v>
      </c>
      <c r="C428" s="31">
        <v>4301012145</v>
      </c>
      <c r="D428" s="553">
        <v>4607091383522</v>
      </c>
      <c r="E428" s="554"/>
      <c r="F428" s="542">
        <v>0.88</v>
      </c>
      <c r="G428" s="32">
        <v>6</v>
      </c>
      <c r="H428" s="542">
        <v>5.28</v>
      </c>
      <c r="I428" s="542">
        <v>5.63</v>
      </c>
      <c r="J428" s="32">
        <v>104</v>
      </c>
      <c r="K428" s="32" t="s">
        <v>104</v>
      </c>
      <c r="L428" s="32"/>
      <c r="M428" s="33" t="s">
        <v>106</v>
      </c>
      <c r="N428" s="33"/>
      <c r="O428" s="32">
        <v>60</v>
      </c>
      <c r="P428" s="79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48"/>
      <c r="R428" s="548"/>
      <c r="S428" s="548"/>
      <c r="T428" s="549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 t="shared" si="48"/>
        <v/>
      </c>
      <c r="AA428" s="56"/>
      <c r="AB428" s="57"/>
      <c r="AC428" s="475" t="s">
        <v>659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4301011961</v>
      </c>
      <c r="D429" s="553">
        <v>4680115885271</v>
      </c>
      <c r="E429" s="554"/>
      <c r="F429" s="542">
        <v>0.88</v>
      </c>
      <c r="G429" s="32">
        <v>6</v>
      </c>
      <c r="H429" s="542">
        <v>5.28</v>
      </c>
      <c r="I429" s="542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80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664</v>
      </c>
      <c r="B430" s="54" t="s">
        <v>665</v>
      </c>
      <c r="C430" s="31">
        <v>4301011376</v>
      </c>
      <c r="D430" s="553">
        <v>4680115885226</v>
      </c>
      <c r="E430" s="554"/>
      <c r="F430" s="542">
        <v>0.88</v>
      </c>
      <c r="G430" s="32">
        <v>6</v>
      </c>
      <c r="H430" s="542">
        <v>5.28</v>
      </c>
      <c r="I430" s="542">
        <v>5.63</v>
      </c>
      <c r="J430" s="32">
        <v>104</v>
      </c>
      <c r="K430" s="32" t="s">
        <v>104</v>
      </c>
      <c r="L430" s="32" t="s">
        <v>105</v>
      </c>
      <c r="M430" s="33" t="s">
        <v>81</v>
      </c>
      <c r="N430" s="33"/>
      <c r="O430" s="32">
        <v>60</v>
      </c>
      <c r="P430" s="6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 t="shared" si="48"/>
        <v/>
      </c>
      <c r="AA430" s="56"/>
      <c r="AB430" s="57"/>
      <c r="AC430" s="479" t="s">
        <v>666</v>
      </c>
      <c r="AG430" s="64"/>
      <c r="AJ430" s="68" t="s">
        <v>83</v>
      </c>
      <c r="AK430" s="68">
        <v>42.24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16.5" hidden="1" customHeight="1" x14ac:dyDescent="0.25">
      <c r="A431" s="54" t="s">
        <v>667</v>
      </c>
      <c r="B431" s="54" t="s">
        <v>668</v>
      </c>
      <c r="C431" s="31">
        <v>4301011774</v>
      </c>
      <c r="D431" s="553">
        <v>4680115884502</v>
      </c>
      <c r="E431" s="554"/>
      <c r="F431" s="542">
        <v>0.88</v>
      </c>
      <c r="G431" s="32">
        <v>6</v>
      </c>
      <c r="H431" s="542">
        <v>5.28</v>
      </c>
      <c r="I431" s="54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5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670</v>
      </c>
      <c r="B432" s="54" t="s">
        <v>671</v>
      </c>
      <c r="C432" s="31">
        <v>4301011771</v>
      </c>
      <c r="D432" s="553">
        <v>4607091389104</v>
      </c>
      <c r="E432" s="554"/>
      <c r="F432" s="542">
        <v>0.88</v>
      </c>
      <c r="G432" s="32">
        <v>6</v>
      </c>
      <c r="H432" s="542">
        <v>5.28</v>
      </c>
      <c r="I432" s="54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86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2" s="548"/>
      <c r="R432" s="548"/>
      <c r="S432" s="548"/>
      <c r="T432" s="549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 t="shared" si="48"/>
        <v/>
      </c>
      <c r="AA432" s="56"/>
      <c r="AB432" s="57"/>
      <c r="AC432" s="483" t="s">
        <v>672</v>
      </c>
      <c r="AG432" s="64"/>
      <c r="AJ432" s="68" t="s">
        <v>83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hidden="1" customHeight="1" x14ac:dyDescent="0.25">
      <c r="A433" s="54" t="s">
        <v>673</v>
      </c>
      <c r="B433" s="54" t="s">
        <v>674</v>
      </c>
      <c r="C433" s="31">
        <v>4301012125</v>
      </c>
      <c r="D433" s="553">
        <v>4680115886391</v>
      </c>
      <c r="E433" s="554"/>
      <c r="F433" s="542">
        <v>0.4</v>
      </c>
      <c r="G433" s="32">
        <v>6</v>
      </c>
      <c r="H433" s="542">
        <v>2.4</v>
      </c>
      <c r="I433" s="542">
        <v>2.58</v>
      </c>
      <c r="J433" s="32">
        <v>182</v>
      </c>
      <c r="K433" s="32" t="s">
        <v>67</v>
      </c>
      <c r="L433" s="32"/>
      <c r="M433" s="33" t="s">
        <v>81</v>
      </c>
      <c r="N433" s="33"/>
      <c r="O433" s="32">
        <v>60</v>
      </c>
      <c r="P433" s="64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3" s="548"/>
      <c r="R433" s="548"/>
      <c r="S433" s="548"/>
      <c r="T433" s="549"/>
      <c r="U433" s="34"/>
      <c r="V433" s="34"/>
      <c r="W433" s="35" t="s">
        <v>69</v>
      </c>
      <c r="X433" s="543">
        <v>0</v>
      </c>
      <c r="Y433" s="544">
        <f t="shared" si="47"/>
        <v>0</v>
      </c>
      <c r="Z433" s="36" t="str">
        <f>IFERROR(IF(Y433=0,"",ROUNDUP(Y433/H433,0)*0.00651),"")</f>
        <v/>
      </c>
      <c r="AA433" s="56"/>
      <c r="AB433" s="57"/>
      <c r="AC433" s="485" t="s">
        <v>107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hidden="1" customHeight="1" x14ac:dyDescent="0.25">
      <c r="A434" s="54" t="s">
        <v>675</v>
      </c>
      <c r="B434" s="54" t="s">
        <v>676</v>
      </c>
      <c r="C434" s="31">
        <v>4301012035</v>
      </c>
      <c r="D434" s="553">
        <v>4680115880603</v>
      </c>
      <c r="E434" s="554"/>
      <c r="F434" s="542">
        <v>0.6</v>
      </c>
      <c r="G434" s="32">
        <v>8</v>
      </c>
      <c r="H434" s="542">
        <v>4.8</v>
      </c>
      <c r="I434" s="542">
        <v>6.91</v>
      </c>
      <c r="J434" s="32">
        <v>132</v>
      </c>
      <c r="K434" s="32" t="s">
        <v>110</v>
      </c>
      <c r="L434" s="32"/>
      <c r="M434" s="33" t="s">
        <v>106</v>
      </c>
      <c r="N434" s="33"/>
      <c r="O434" s="32">
        <v>60</v>
      </c>
      <c r="P434" s="59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4" s="548"/>
      <c r="R434" s="548"/>
      <c r="S434" s="548"/>
      <c r="T434" s="549"/>
      <c r="U434" s="34"/>
      <c r="V434" s="34"/>
      <c r="W434" s="35" t="s">
        <v>69</v>
      </c>
      <c r="X434" s="543">
        <v>0</v>
      </c>
      <c r="Y434" s="544">
        <f t="shared" si="47"/>
        <v>0</v>
      </c>
      <c r="Z434" s="36" t="str">
        <f>IFERROR(IF(Y434=0,"",ROUNDUP(Y434/H434,0)*0.00902),"")</f>
        <v/>
      </c>
      <c r="AA434" s="56"/>
      <c r="AB434" s="57"/>
      <c r="AC434" s="487" t="s">
        <v>107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hidden="1" customHeight="1" x14ac:dyDescent="0.25">
      <c r="A435" s="54" t="s">
        <v>677</v>
      </c>
      <c r="B435" s="54" t="s">
        <v>678</v>
      </c>
      <c r="C435" s="31">
        <v>4301012036</v>
      </c>
      <c r="D435" s="553">
        <v>4680115882782</v>
      </c>
      <c r="E435" s="554"/>
      <c r="F435" s="542">
        <v>0.6</v>
      </c>
      <c r="G435" s="32">
        <v>8</v>
      </c>
      <c r="H435" s="542">
        <v>4.8</v>
      </c>
      <c r="I435" s="542">
        <v>6.96</v>
      </c>
      <c r="J435" s="32">
        <v>120</v>
      </c>
      <c r="K435" s="32" t="s">
        <v>110</v>
      </c>
      <c r="L435" s="32"/>
      <c r="M435" s="33" t="s">
        <v>106</v>
      </c>
      <c r="N435" s="33"/>
      <c r="O435" s="32">
        <v>60</v>
      </c>
      <c r="P435" s="59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5" s="548"/>
      <c r="R435" s="548"/>
      <c r="S435" s="548"/>
      <c r="T435" s="549"/>
      <c r="U435" s="34"/>
      <c r="V435" s="34"/>
      <c r="W435" s="35" t="s">
        <v>69</v>
      </c>
      <c r="X435" s="543">
        <v>0</v>
      </c>
      <c r="Y435" s="544">
        <f t="shared" si="47"/>
        <v>0</v>
      </c>
      <c r="Z435" s="36" t="str">
        <f>IFERROR(IF(Y435=0,"",ROUNDUP(Y435/H435,0)*0.00937),"")</f>
        <v/>
      </c>
      <c r="AA435" s="56"/>
      <c r="AB435" s="57"/>
      <c r="AC435" s="489" t="s">
        <v>663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679</v>
      </c>
      <c r="B436" s="54" t="s">
        <v>680</v>
      </c>
      <c r="C436" s="31">
        <v>4301012050</v>
      </c>
      <c r="D436" s="553">
        <v>4680115885479</v>
      </c>
      <c r="E436" s="554"/>
      <c r="F436" s="542">
        <v>0.4</v>
      </c>
      <c r="G436" s="32">
        <v>6</v>
      </c>
      <c r="H436" s="542">
        <v>2.4</v>
      </c>
      <c r="I436" s="542">
        <v>2.58</v>
      </c>
      <c r="J436" s="32">
        <v>182</v>
      </c>
      <c r="K436" s="32" t="s">
        <v>67</v>
      </c>
      <c r="L436" s="32"/>
      <c r="M436" s="33" t="s">
        <v>106</v>
      </c>
      <c r="N436" s="33"/>
      <c r="O436" s="32">
        <v>60</v>
      </c>
      <c r="P436" s="60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6" s="548"/>
      <c r="R436" s="548"/>
      <c r="S436" s="548"/>
      <c r="T436" s="549"/>
      <c r="U436" s="34"/>
      <c r="V436" s="34"/>
      <c r="W436" s="35" t="s">
        <v>69</v>
      </c>
      <c r="X436" s="543">
        <v>0</v>
      </c>
      <c r="Y436" s="54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672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681</v>
      </c>
      <c r="B437" s="54" t="s">
        <v>682</v>
      </c>
      <c r="C437" s="31">
        <v>4301012034</v>
      </c>
      <c r="D437" s="553">
        <v>4607091389982</v>
      </c>
      <c r="E437" s="554"/>
      <c r="F437" s="542">
        <v>0.6</v>
      </c>
      <c r="G437" s="32">
        <v>8</v>
      </c>
      <c r="H437" s="542">
        <v>4.8</v>
      </c>
      <c r="I437" s="542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60</v>
      </c>
      <c r="P437" s="86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7" s="548"/>
      <c r="R437" s="548"/>
      <c r="S437" s="548"/>
      <c r="T437" s="549"/>
      <c r="U437" s="34"/>
      <c r="V437" s="34"/>
      <c r="W437" s="35" t="s">
        <v>69</v>
      </c>
      <c r="X437" s="543">
        <v>0</v>
      </c>
      <c r="Y437" s="54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672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idden="1" x14ac:dyDescent="0.2">
      <c r="A438" s="568"/>
      <c r="B438" s="556"/>
      <c r="C438" s="556"/>
      <c r="D438" s="556"/>
      <c r="E438" s="556"/>
      <c r="F438" s="556"/>
      <c r="G438" s="556"/>
      <c r="H438" s="556"/>
      <c r="I438" s="556"/>
      <c r="J438" s="556"/>
      <c r="K438" s="556"/>
      <c r="L438" s="556"/>
      <c r="M438" s="556"/>
      <c r="N438" s="556"/>
      <c r="O438" s="569"/>
      <c r="P438" s="563" t="s">
        <v>75</v>
      </c>
      <c r="Q438" s="564"/>
      <c r="R438" s="564"/>
      <c r="S438" s="564"/>
      <c r="T438" s="564"/>
      <c r="U438" s="564"/>
      <c r="V438" s="565"/>
      <c r="W438" s="37" t="s">
        <v>76</v>
      </c>
      <c r="X438" s="545">
        <f>IFERROR(X426/H426,"0")+IFERROR(X427/H427,"0")+IFERROR(X428/H428,"0")+IFERROR(X429/H429,"0")+IFERROR(X430/H430,"0")+IFERROR(X431/H431,"0")+IFERROR(X432/H432,"0")+IFERROR(X433/H433,"0")+IFERROR(X434/H434,"0")+IFERROR(X435/H435,"0")+IFERROR(X436/H436,"0")+IFERROR(X437/H437,"0")</f>
        <v>0</v>
      </c>
      <c r="Y438" s="545">
        <f>IFERROR(Y426/H426,"0")+IFERROR(Y427/H427,"0")+IFERROR(Y428/H428,"0")+IFERROR(Y429/H429,"0")+IFERROR(Y430/H430,"0")+IFERROR(Y431/H431,"0")+IFERROR(Y432/H432,"0")+IFERROR(Y433/H433,"0")+IFERROR(Y434/H434,"0")+IFERROR(Y435/H435,"0")+IFERROR(Y436/H436,"0")+IFERROR(Y437/H437,"0")</f>
        <v>0</v>
      </c>
      <c r="Z438" s="545">
        <f>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</f>
        <v>0</v>
      </c>
      <c r="AA438" s="546"/>
      <c r="AB438" s="546"/>
      <c r="AC438" s="546"/>
    </row>
    <row r="439" spans="1:68" hidden="1" x14ac:dyDescent="0.2">
      <c r="A439" s="556"/>
      <c r="B439" s="556"/>
      <c r="C439" s="556"/>
      <c r="D439" s="556"/>
      <c r="E439" s="556"/>
      <c r="F439" s="556"/>
      <c r="G439" s="556"/>
      <c r="H439" s="556"/>
      <c r="I439" s="556"/>
      <c r="J439" s="556"/>
      <c r="K439" s="556"/>
      <c r="L439" s="556"/>
      <c r="M439" s="556"/>
      <c r="N439" s="556"/>
      <c r="O439" s="569"/>
      <c r="P439" s="563" t="s">
        <v>75</v>
      </c>
      <c r="Q439" s="564"/>
      <c r="R439" s="564"/>
      <c r="S439" s="564"/>
      <c r="T439" s="564"/>
      <c r="U439" s="564"/>
      <c r="V439" s="565"/>
      <c r="W439" s="37" t="s">
        <v>69</v>
      </c>
      <c r="X439" s="545">
        <f>IFERROR(SUM(X426:X437),"0")</f>
        <v>0</v>
      </c>
      <c r="Y439" s="545">
        <f>IFERROR(SUM(Y426:Y437),"0")</f>
        <v>0</v>
      </c>
      <c r="Z439" s="37"/>
      <c r="AA439" s="546"/>
      <c r="AB439" s="546"/>
      <c r="AC439" s="546"/>
    </row>
    <row r="440" spans="1:68" ht="14.25" hidden="1" customHeight="1" x14ac:dyDescent="0.25">
      <c r="A440" s="567" t="s">
        <v>136</v>
      </c>
      <c r="B440" s="556"/>
      <c r="C440" s="556"/>
      <c r="D440" s="556"/>
      <c r="E440" s="556"/>
      <c r="F440" s="556"/>
      <c r="G440" s="556"/>
      <c r="H440" s="556"/>
      <c r="I440" s="556"/>
      <c r="J440" s="556"/>
      <c r="K440" s="556"/>
      <c r="L440" s="556"/>
      <c r="M440" s="556"/>
      <c r="N440" s="556"/>
      <c r="O440" s="556"/>
      <c r="P440" s="556"/>
      <c r="Q440" s="556"/>
      <c r="R440" s="556"/>
      <c r="S440" s="556"/>
      <c r="T440" s="556"/>
      <c r="U440" s="556"/>
      <c r="V440" s="556"/>
      <c r="W440" s="556"/>
      <c r="X440" s="556"/>
      <c r="Y440" s="556"/>
      <c r="Z440" s="556"/>
      <c r="AA440" s="539"/>
      <c r="AB440" s="539"/>
      <c r="AC440" s="539"/>
    </row>
    <row r="441" spans="1:68" ht="16.5" customHeight="1" x14ac:dyDescent="0.25">
      <c r="A441" s="54" t="s">
        <v>683</v>
      </c>
      <c r="B441" s="54" t="s">
        <v>684</v>
      </c>
      <c r="C441" s="31">
        <v>4301020334</v>
      </c>
      <c r="D441" s="553">
        <v>4607091388930</v>
      </c>
      <c r="E441" s="554"/>
      <c r="F441" s="542">
        <v>0.88</v>
      </c>
      <c r="G441" s="32">
        <v>6</v>
      </c>
      <c r="H441" s="542">
        <v>5.28</v>
      </c>
      <c r="I441" s="542">
        <v>5.63</v>
      </c>
      <c r="J441" s="32">
        <v>104</v>
      </c>
      <c r="K441" s="32" t="s">
        <v>104</v>
      </c>
      <c r="L441" s="32"/>
      <c r="M441" s="33" t="s">
        <v>81</v>
      </c>
      <c r="N441" s="33"/>
      <c r="O441" s="32">
        <v>70</v>
      </c>
      <c r="P441" s="72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1" s="548"/>
      <c r="R441" s="548"/>
      <c r="S441" s="548"/>
      <c r="T441" s="549"/>
      <c r="U441" s="34"/>
      <c r="V441" s="34"/>
      <c r="W441" s="35" t="s">
        <v>69</v>
      </c>
      <c r="X441" s="543">
        <v>100</v>
      </c>
      <c r="Y441" s="544">
        <f>IFERROR(IF(X441="",0,CEILING((X441/$H441),1)*$H441),"")</f>
        <v>100.32000000000001</v>
      </c>
      <c r="Z441" s="36">
        <f>IFERROR(IF(Y441=0,"",ROUNDUP(Y441/H441,0)*0.01196),"")</f>
        <v>0.22724</v>
      </c>
      <c r="AA441" s="56"/>
      <c r="AB441" s="57"/>
      <c r="AC441" s="495" t="s">
        <v>685</v>
      </c>
      <c r="AG441" s="64"/>
      <c r="AJ441" s="68"/>
      <c r="AK441" s="68">
        <v>0</v>
      </c>
      <c r="BB441" s="496" t="s">
        <v>1</v>
      </c>
      <c r="BM441" s="64">
        <f>IFERROR(X441*I441/H441,"0")</f>
        <v>106.62878787878788</v>
      </c>
      <c r="BN441" s="64">
        <f>IFERROR(Y441*I441/H441,"0")</f>
        <v>106.97</v>
      </c>
      <c r="BO441" s="64">
        <f>IFERROR(1/J441*(X441/H441),"0")</f>
        <v>0.18210955710955709</v>
      </c>
      <c r="BP441" s="64">
        <f>IFERROR(1/J441*(Y441/H441),"0")</f>
        <v>0.18269230769230771</v>
      </c>
    </row>
    <row r="442" spans="1:68" ht="16.5" hidden="1" customHeight="1" x14ac:dyDescent="0.25">
      <c r="A442" s="54" t="s">
        <v>686</v>
      </c>
      <c r="B442" s="54" t="s">
        <v>687</v>
      </c>
      <c r="C442" s="31">
        <v>4301020374</v>
      </c>
      <c r="D442" s="553">
        <v>4680115886407</v>
      </c>
      <c r="E442" s="554"/>
      <c r="F442" s="542">
        <v>0.4</v>
      </c>
      <c r="G442" s="32">
        <v>6</v>
      </c>
      <c r="H442" s="542">
        <v>2.4</v>
      </c>
      <c r="I442" s="542">
        <v>2.58</v>
      </c>
      <c r="J442" s="32">
        <v>182</v>
      </c>
      <c r="K442" s="32" t="s">
        <v>67</v>
      </c>
      <c r="L442" s="32"/>
      <c r="M442" s="33" t="s">
        <v>106</v>
      </c>
      <c r="N442" s="33"/>
      <c r="O442" s="32">
        <v>70</v>
      </c>
      <c r="P442" s="78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2" s="548"/>
      <c r="R442" s="548"/>
      <c r="S442" s="548"/>
      <c r="T442" s="549"/>
      <c r="U442" s="34"/>
      <c r="V442" s="34"/>
      <c r="W442" s="35" t="s">
        <v>69</v>
      </c>
      <c r="X442" s="543">
        <v>0</v>
      </c>
      <c r="Y442" s="544">
        <f>IFERROR(IF(X442="",0,CEILING((X442/$H442),1)*$H442),"")</f>
        <v>0</v>
      </c>
      <c r="Z442" s="36" t="str">
        <f>IFERROR(IF(Y442=0,"",ROUNDUP(Y442/H442,0)*0.00651),"")</f>
        <v/>
      </c>
      <c r="AA442" s="56"/>
      <c r="AB442" s="57"/>
      <c r="AC442" s="497" t="s">
        <v>685</v>
      </c>
      <c r="AG442" s="64"/>
      <c r="AJ442" s="68"/>
      <c r="AK442" s="68">
        <v>0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16.5" hidden="1" customHeight="1" x14ac:dyDescent="0.25">
      <c r="A443" s="54" t="s">
        <v>688</v>
      </c>
      <c r="B443" s="54" t="s">
        <v>689</v>
      </c>
      <c r="C443" s="31">
        <v>4301020385</v>
      </c>
      <c r="D443" s="553">
        <v>4680115880054</v>
      </c>
      <c r="E443" s="554"/>
      <c r="F443" s="542">
        <v>0.6</v>
      </c>
      <c r="G443" s="32">
        <v>8</v>
      </c>
      <c r="H443" s="542">
        <v>4.8</v>
      </c>
      <c r="I443" s="542">
        <v>6.91</v>
      </c>
      <c r="J443" s="32">
        <v>132</v>
      </c>
      <c r="K443" s="32" t="s">
        <v>110</v>
      </c>
      <c r="L443" s="32"/>
      <c r="M443" s="33" t="s">
        <v>106</v>
      </c>
      <c r="N443" s="33"/>
      <c r="O443" s="32">
        <v>70</v>
      </c>
      <c r="P443" s="84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3">
        <v>0</v>
      </c>
      <c r="Y443" s="544">
        <f>IFERROR(IF(X443="",0,CEILING((X443/$H443),1)*$H443),"")</f>
        <v>0</v>
      </c>
      <c r="Z443" s="36" t="str">
        <f>IFERROR(IF(Y443=0,"",ROUNDUP(Y443/H443,0)*0.00902),"")</f>
        <v/>
      </c>
      <c r="AA443" s="56"/>
      <c r="AB443" s="57"/>
      <c r="AC443" s="499" t="s">
        <v>685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568"/>
      <c r="B444" s="556"/>
      <c r="C444" s="556"/>
      <c r="D444" s="556"/>
      <c r="E444" s="556"/>
      <c r="F444" s="556"/>
      <c r="G444" s="556"/>
      <c r="H444" s="556"/>
      <c r="I444" s="556"/>
      <c r="J444" s="556"/>
      <c r="K444" s="556"/>
      <c r="L444" s="556"/>
      <c r="M444" s="556"/>
      <c r="N444" s="556"/>
      <c r="O444" s="569"/>
      <c r="P444" s="563" t="s">
        <v>75</v>
      </c>
      <c r="Q444" s="564"/>
      <c r="R444" s="564"/>
      <c r="S444" s="564"/>
      <c r="T444" s="564"/>
      <c r="U444" s="564"/>
      <c r="V444" s="565"/>
      <c r="W444" s="37" t="s">
        <v>76</v>
      </c>
      <c r="X444" s="545">
        <f>IFERROR(X441/H441,"0")+IFERROR(X442/H442,"0")+IFERROR(X443/H443,"0")</f>
        <v>18.939393939393938</v>
      </c>
      <c r="Y444" s="545">
        <f>IFERROR(Y441/H441,"0")+IFERROR(Y442/H442,"0")+IFERROR(Y443/H443,"0")</f>
        <v>19</v>
      </c>
      <c r="Z444" s="545">
        <f>IFERROR(IF(Z441="",0,Z441),"0")+IFERROR(IF(Z442="",0,Z442),"0")+IFERROR(IF(Z443="",0,Z443),"0")</f>
        <v>0.22724</v>
      </c>
      <c r="AA444" s="546"/>
      <c r="AB444" s="546"/>
      <c r="AC444" s="546"/>
    </row>
    <row r="445" spans="1:68" x14ac:dyDescent="0.2">
      <c r="A445" s="556"/>
      <c r="B445" s="556"/>
      <c r="C445" s="556"/>
      <c r="D445" s="556"/>
      <c r="E445" s="556"/>
      <c r="F445" s="556"/>
      <c r="G445" s="556"/>
      <c r="H445" s="556"/>
      <c r="I445" s="556"/>
      <c r="J445" s="556"/>
      <c r="K445" s="556"/>
      <c r="L445" s="556"/>
      <c r="M445" s="556"/>
      <c r="N445" s="556"/>
      <c r="O445" s="569"/>
      <c r="P445" s="563" t="s">
        <v>75</v>
      </c>
      <c r="Q445" s="564"/>
      <c r="R445" s="564"/>
      <c r="S445" s="564"/>
      <c r="T445" s="564"/>
      <c r="U445" s="564"/>
      <c r="V445" s="565"/>
      <c r="W445" s="37" t="s">
        <v>69</v>
      </c>
      <c r="X445" s="545">
        <f>IFERROR(SUM(X441:X443),"0")</f>
        <v>100</v>
      </c>
      <c r="Y445" s="545">
        <f>IFERROR(SUM(Y441:Y443),"0")</f>
        <v>100.32000000000001</v>
      </c>
      <c r="Z445" s="37"/>
      <c r="AA445" s="546"/>
      <c r="AB445" s="546"/>
      <c r="AC445" s="546"/>
    </row>
    <row r="446" spans="1:68" ht="14.25" hidden="1" customHeight="1" x14ac:dyDescent="0.25">
      <c r="A446" s="567" t="s">
        <v>64</v>
      </c>
      <c r="B446" s="556"/>
      <c r="C446" s="556"/>
      <c r="D446" s="556"/>
      <c r="E446" s="556"/>
      <c r="F446" s="556"/>
      <c r="G446" s="556"/>
      <c r="H446" s="556"/>
      <c r="I446" s="556"/>
      <c r="J446" s="556"/>
      <c r="K446" s="556"/>
      <c r="L446" s="556"/>
      <c r="M446" s="556"/>
      <c r="N446" s="556"/>
      <c r="O446" s="556"/>
      <c r="P446" s="556"/>
      <c r="Q446" s="556"/>
      <c r="R446" s="556"/>
      <c r="S446" s="556"/>
      <c r="T446" s="556"/>
      <c r="U446" s="556"/>
      <c r="V446" s="556"/>
      <c r="W446" s="556"/>
      <c r="X446" s="556"/>
      <c r="Y446" s="556"/>
      <c r="Z446" s="556"/>
      <c r="AA446" s="539"/>
      <c r="AB446" s="539"/>
      <c r="AC446" s="539"/>
    </row>
    <row r="447" spans="1:68" ht="27" customHeight="1" x14ac:dyDescent="0.25">
      <c r="A447" s="54" t="s">
        <v>690</v>
      </c>
      <c r="B447" s="54" t="s">
        <v>691</v>
      </c>
      <c r="C447" s="31">
        <v>4301031349</v>
      </c>
      <c r="D447" s="553">
        <v>4680115883116</v>
      </c>
      <c r="E447" s="554"/>
      <c r="F447" s="542">
        <v>0.88</v>
      </c>
      <c r="G447" s="32">
        <v>6</v>
      </c>
      <c r="H447" s="542">
        <v>5.28</v>
      </c>
      <c r="I447" s="542">
        <v>5.63</v>
      </c>
      <c r="J447" s="32">
        <v>104</v>
      </c>
      <c r="K447" s="32" t="s">
        <v>104</v>
      </c>
      <c r="L447" s="32"/>
      <c r="M447" s="33" t="s">
        <v>106</v>
      </c>
      <c r="N447" s="33"/>
      <c r="O447" s="32">
        <v>70</v>
      </c>
      <c r="P447" s="64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7" s="548"/>
      <c r="R447" s="548"/>
      <c r="S447" s="548"/>
      <c r="T447" s="549"/>
      <c r="U447" s="34"/>
      <c r="V447" s="34"/>
      <c r="W447" s="35" t="s">
        <v>69</v>
      </c>
      <c r="X447" s="543">
        <v>25</v>
      </c>
      <c r="Y447" s="544">
        <f t="shared" ref="Y447:Y452" si="53">IFERROR(IF(X447="",0,CEILING((X447/$H447),1)*$H447),"")</f>
        <v>26.400000000000002</v>
      </c>
      <c r="Z447" s="36">
        <f>IFERROR(IF(Y447=0,"",ROUNDUP(Y447/H447,0)*0.01196),"")</f>
        <v>5.9799999999999999E-2</v>
      </c>
      <c r="AA447" s="56"/>
      <c r="AB447" s="57"/>
      <c r="AC447" s="501" t="s">
        <v>692</v>
      </c>
      <c r="AG447" s="64"/>
      <c r="AJ447" s="68"/>
      <c r="AK447" s="68">
        <v>0</v>
      </c>
      <c r="BB447" s="502" t="s">
        <v>1</v>
      </c>
      <c r="BM447" s="64">
        <f t="shared" ref="BM447:BM452" si="54">IFERROR(X447*I447/H447,"0")</f>
        <v>26.657196969696969</v>
      </c>
      <c r="BN447" s="64">
        <f t="shared" ref="BN447:BN452" si="55">IFERROR(Y447*I447/H447,"0")</f>
        <v>28.15</v>
      </c>
      <c r="BO447" s="64">
        <f t="shared" ref="BO447:BO452" si="56">IFERROR(1/J447*(X447/H447),"0")</f>
        <v>4.5527389277389273E-2</v>
      </c>
      <c r="BP447" s="64">
        <f t="shared" ref="BP447:BP452" si="57">IFERROR(1/J447*(Y447/H447),"0")</f>
        <v>4.807692307692308E-2</v>
      </c>
    </row>
    <row r="448" spans="1:68" ht="27" customHeight="1" x14ac:dyDescent="0.25">
      <c r="A448" s="54" t="s">
        <v>693</v>
      </c>
      <c r="B448" s="54" t="s">
        <v>694</v>
      </c>
      <c r="C448" s="31">
        <v>4301031350</v>
      </c>
      <c r="D448" s="553">
        <v>4680115883093</v>
      </c>
      <c r="E448" s="554"/>
      <c r="F448" s="542">
        <v>0.88</v>
      </c>
      <c r="G448" s="32">
        <v>6</v>
      </c>
      <c r="H448" s="542">
        <v>5.28</v>
      </c>
      <c r="I448" s="542">
        <v>5.63</v>
      </c>
      <c r="J448" s="32">
        <v>104</v>
      </c>
      <c r="K448" s="32" t="s">
        <v>104</v>
      </c>
      <c r="L448" s="32" t="s">
        <v>105</v>
      </c>
      <c r="M448" s="33" t="s">
        <v>68</v>
      </c>
      <c r="N448" s="33"/>
      <c r="O448" s="32">
        <v>70</v>
      </c>
      <c r="P448" s="72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8" s="548"/>
      <c r="R448" s="548"/>
      <c r="S448" s="548"/>
      <c r="T448" s="549"/>
      <c r="U448" s="34"/>
      <c r="V448" s="34"/>
      <c r="W448" s="35" t="s">
        <v>69</v>
      </c>
      <c r="X448" s="543">
        <v>35</v>
      </c>
      <c r="Y448" s="544">
        <f t="shared" si="53"/>
        <v>36.96</v>
      </c>
      <c r="Z448" s="36">
        <f>IFERROR(IF(Y448=0,"",ROUNDUP(Y448/H448,0)*0.01196),"")</f>
        <v>8.3720000000000003E-2</v>
      </c>
      <c r="AA448" s="56"/>
      <c r="AB448" s="57"/>
      <c r="AC448" s="503" t="s">
        <v>695</v>
      </c>
      <c r="AG448" s="64"/>
      <c r="AJ448" s="68" t="s">
        <v>83</v>
      </c>
      <c r="AK448" s="68">
        <v>42.24</v>
      </c>
      <c r="BB448" s="504" t="s">
        <v>1</v>
      </c>
      <c r="BM448" s="64">
        <f t="shared" si="54"/>
        <v>37.320075757575751</v>
      </c>
      <c r="BN448" s="64">
        <f t="shared" si="55"/>
        <v>39.409999999999997</v>
      </c>
      <c r="BO448" s="64">
        <f t="shared" si="56"/>
        <v>6.3738344988344992E-2</v>
      </c>
      <c r="BP448" s="64">
        <f t="shared" si="57"/>
        <v>6.7307692307692318E-2</v>
      </c>
    </row>
    <row r="449" spans="1:68" ht="27" customHeight="1" x14ac:dyDescent="0.25">
      <c r="A449" s="54" t="s">
        <v>696</v>
      </c>
      <c r="B449" s="54" t="s">
        <v>697</v>
      </c>
      <c r="C449" s="31">
        <v>4301031353</v>
      </c>
      <c r="D449" s="553">
        <v>4680115883109</v>
      </c>
      <c r="E449" s="554"/>
      <c r="F449" s="542">
        <v>0.88</v>
      </c>
      <c r="G449" s="32">
        <v>6</v>
      </c>
      <c r="H449" s="542">
        <v>5.28</v>
      </c>
      <c r="I449" s="542">
        <v>5.63</v>
      </c>
      <c r="J449" s="32">
        <v>104</v>
      </c>
      <c r="K449" s="32" t="s">
        <v>104</v>
      </c>
      <c r="L449" s="32" t="s">
        <v>105</v>
      </c>
      <c r="M449" s="33" t="s">
        <v>68</v>
      </c>
      <c r="N449" s="33"/>
      <c r="O449" s="32">
        <v>70</v>
      </c>
      <c r="P449" s="58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9" s="548"/>
      <c r="R449" s="548"/>
      <c r="S449" s="548"/>
      <c r="T449" s="549"/>
      <c r="U449" s="34"/>
      <c r="V449" s="34"/>
      <c r="W449" s="35" t="s">
        <v>69</v>
      </c>
      <c r="X449" s="543">
        <v>45</v>
      </c>
      <c r="Y449" s="544">
        <f t="shared" si="53"/>
        <v>47.52</v>
      </c>
      <c r="Z449" s="36">
        <f>IFERROR(IF(Y449=0,"",ROUNDUP(Y449/H449,0)*0.01196),"")</f>
        <v>0.10764</v>
      </c>
      <c r="AA449" s="56"/>
      <c r="AB449" s="57"/>
      <c r="AC449" s="505" t="s">
        <v>698</v>
      </c>
      <c r="AG449" s="64"/>
      <c r="AJ449" s="68" t="s">
        <v>83</v>
      </c>
      <c r="AK449" s="68">
        <v>42.24</v>
      </c>
      <c r="BB449" s="506" t="s">
        <v>1</v>
      </c>
      <c r="BM449" s="64">
        <f t="shared" si="54"/>
        <v>47.98295454545454</v>
      </c>
      <c r="BN449" s="64">
        <f t="shared" si="55"/>
        <v>50.669999999999995</v>
      </c>
      <c r="BO449" s="64">
        <f t="shared" si="56"/>
        <v>8.1949300699300689E-2</v>
      </c>
      <c r="BP449" s="64">
        <f t="shared" si="57"/>
        <v>8.6538461538461536E-2</v>
      </c>
    </row>
    <row r="450" spans="1:68" ht="27" hidden="1" customHeight="1" x14ac:dyDescent="0.25">
      <c r="A450" s="54" t="s">
        <v>699</v>
      </c>
      <c r="B450" s="54" t="s">
        <v>700</v>
      </c>
      <c r="C450" s="31">
        <v>4301031419</v>
      </c>
      <c r="D450" s="553">
        <v>4680115882072</v>
      </c>
      <c r="E450" s="554"/>
      <c r="F450" s="542">
        <v>0.6</v>
      </c>
      <c r="G450" s="32">
        <v>8</v>
      </c>
      <c r="H450" s="542">
        <v>4.8</v>
      </c>
      <c r="I450" s="542">
        <v>6.91</v>
      </c>
      <c r="J450" s="32">
        <v>132</v>
      </c>
      <c r="K450" s="32" t="s">
        <v>110</v>
      </c>
      <c r="L450" s="32"/>
      <c r="M450" s="33" t="s">
        <v>106</v>
      </c>
      <c r="N450" s="33"/>
      <c r="O450" s="32">
        <v>70</v>
      </c>
      <c r="P450" s="75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0" s="548"/>
      <c r="R450" s="548"/>
      <c r="S450" s="548"/>
      <c r="T450" s="549"/>
      <c r="U450" s="34"/>
      <c r="V450" s="34"/>
      <c r="W450" s="35" t="s">
        <v>69</v>
      </c>
      <c r="X450" s="543">
        <v>0</v>
      </c>
      <c r="Y450" s="544">
        <f t="shared" si="53"/>
        <v>0</v>
      </c>
      <c r="Z450" s="36" t="str">
        <f>IFERROR(IF(Y450=0,"",ROUNDUP(Y450/H450,0)*0.00902),"")</f>
        <v/>
      </c>
      <c r="AA450" s="56"/>
      <c r="AB450" s="57"/>
      <c r="AC450" s="507" t="s">
        <v>692</v>
      </c>
      <c r="AG450" s="64"/>
      <c r="AJ450" s="68"/>
      <c r="AK450" s="68">
        <v>0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hidden="1" customHeight="1" x14ac:dyDescent="0.25">
      <c r="A451" s="54" t="s">
        <v>701</v>
      </c>
      <c r="B451" s="54" t="s">
        <v>702</v>
      </c>
      <c r="C451" s="31">
        <v>4301031418</v>
      </c>
      <c r="D451" s="553">
        <v>4680115882102</v>
      </c>
      <c r="E451" s="554"/>
      <c r="F451" s="542">
        <v>0.6</v>
      </c>
      <c r="G451" s="32">
        <v>8</v>
      </c>
      <c r="H451" s="542">
        <v>4.8</v>
      </c>
      <c r="I451" s="542">
        <v>6.67</v>
      </c>
      <c r="J451" s="32">
        <v>132</v>
      </c>
      <c r="K451" s="32" t="s">
        <v>110</v>
      </c>
      <c r="L451" s="32"/>
      <c r="M451" s="33" t="s">
        <v>68</v>
      </c>
      <c r="N451" s="33"/>
      <c r="O451" s="32">
        <v>70</v>
      </c>
      <c r="P451" s="77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1" s="548"/>
      <c r="R451" s="548"/>
      <c r="S451" s="548"/>
      <c r="T451" s="549"/>
      <c r="U451" s="34"/>
      <c r="V451" s="34"/>
      <c r="W451" s="35" t="s">
        <v>69</v>
      </c>
      <c r="X451" s="543">
        <v>0</v>
      </c>
      <c r="Y451" s="544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695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703</v>
      </c>
      <c r="B452" s="54" t="s">
        <v>704</v>
      </c>
      <c r="C452" s="31">
        <v>4301031417</v>
      </c>
      <c r="D452" s="553">
        <v>4680115882096</v>
      </c>
      <c r="E452" s="554"/>
      <c r="F452" s="542">
        <v>0.6</v>
      </c>
      <c r="G452" s="32">
        <v>8</v>
      </c>
      <c r="H452" s="542">
        <v>4.8</v>
      </c>
      <c r="I452" s="542">
        <v>6.67</v>
      </c>
      <c r="J452" s="32">
        <v>132</v>
      </c>
      <c r="K452" s="32" t="s">
        <v>110</v>
      </c>
      <c r="L452" s="32"/>
      <c r="M452" s="33" t="s">
        <v>68</v>
      </c>
      <c r="N452" s="33"/>
      <c r="O452" s="32">
        <v>70</v>
      </c>
      <c r="P452" s="83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2" s="548"/>
      <c r="R452" s="548"/>
      <c r="S452" s="548"/>
      <c r="T452" s="549"/>
      <c r="U452" s="34"/>
      <c r="V452" s="34"/>
      <c r="W452" s="35" t="s">
        <v>69</v>
      </c>
      <c r="X452" s="543">
        <v>0</v>
      </c>
      <c r="Y452" s="544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698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x14ac:dyDescent="0.2">
      <c r="A453" s="568"/>
      <c r="B453" s="556"/>
      <c r="C453" s="556"/>
      <c r="D453" s="556"/>
      <c r="E453" s="556"/>
      <c r="F453" s="556"/>
      <c r="G453" s="556"/>
      <c r="H453" s="556"/>
      <c r="I453" s="556"/>
      <c r="J453" s="556"/>
      <c r="K453" s="556"/>
      <c r="L453" s="556"/>
      <c r="M453" s="556"/>
      <c r="N453" s="556"/>
      <c r="O453" s="569"/>
      <c r="P453" s="563" t="s">
        <v>75</v>
      </c>
      <c r="Q453" s="564"/>
      <c r="R453" s="564"/>
      <c r="S453" s="564"/>
      <c r="T453" s="564"/>
      <c r="U453" s="564"/>
      <c r="V453" s="565"/>
      <c r="W453" s="37" t="s">
        <v>76</v>
      </c>
      <c r="X453" s="545">
        <f>IFERROR(X447/H447,"0")+IFERROR(X448/H448,"0")+IFERROR(X449/H449,"0")+IFERROR(X450/H450,"0")+IFERROR(X451/H451,"0")+IFERROR(X452/H452,"0")</f>
        <v>19.886363636363633</v>
      </c>
      <c r="Y453" s="545">
        <f>IFERROR(Y447/H447,"0")+IFERROR(Y448/H448,"0")+IFERROR(Y449/H449,"0")+IFERROR(Y450/H450,"0")+IFERROR(Y451/H451,"0")+IFERROR(Y452/H452,"0")</f>
        <v>21</v>
      </c>
      <c r="Z453" s="545">
        <f>IFERROR(IF(Z447="",0,Z447),"0")+IFERROR(IF(Z448="",0,Z448),"0")+IFERROR(IF(Z449="",0,Z449),"0")+IFERROR(IF(Z450="",0,Z450),"0")+IFERROR(IF(Z451="",0,Z451),"0")+IFERROR(IF(Z452="",0,Z452),"0")</f>
        <v>0.25115999999999999</v>
      </c>
      <c r="AA453" s="546"/>
      <c r="AB453" s="546"/>
      <c r="AC453" s="546"/>
    </row>
    <row r="454" spans="1:68" x14ac:dyDescent="0.2">
      <c r="A454" s="556"/>
      <c r="B454" s="556"/>
      <c r="C454" s="556"/>
      <c r="D454" s="556"/>
      <c r="E454" s="556"/>
      <c r="F454" s="556"/>
      <c r="G454" s="556"/>
      <c r="H454" s="556"/>
      <c r="I454" s="556"/>
      <c r="J454" s="556"/>
      <c r="K454" s="556"/>
      <c r="L454" s="556"/>
      <c r="M454" s="556"/>
      <c r="N454" s="556"/>
      <c r="O454" s="569"/>
      <c r="P454" s="563" t="s">
        <v>75</v>
      </c>
      <c r="Q454" s="564"/>
      <c r="R454" s="564"/>
      <c r="S454" s="564"/>
      <c r="T454" s="564"/>
      <c r="U454" s="564"/>
      <c r="V454" s="565"/>
      <c r="W454" s="37" t="s">
        <v>69</v>
      </c>
      <c r="X454" s="545">
        <f>IFERROR(SUM(X447:X452),"0")</f>
        <v>105</v>
      </c>
      <c r="Y454" s="545">
        <f>IFERROR(SUM(Y447:Y452),"0")</f>
        <v>110.88</v>
      </c>
      <c r="Z454" s="37"/>
      <c r="AA454" s="546"/>
      <c r="AB454" s="546"/>
      <c r="AC454" s="546"/>
    </row>
    <row r="455" spans="1:68" ht="27.75" hidden="1" customHeight="1" x14ac:dyDescent="0.2">
      <c r="A455" s="697" t="s">
        <v>705</v>
      </c>
      <c r="B455" s="698"/>
      <c r="C455" s="698"/>
      <c r="D455" s="698"/>
      <c r="E455" s="698"/>
      <c r="F455" s="698"/>
      <c r="G455" s="698"/>
      <c r="H455" s="698"/>
      <c r="I455" s="698"/>
      <c r="J455" s="698"/>
      <c r="K455" s="698"/>
      <c r="L455" s="698"/>
      <c r="M455" s="698"/>
      <c r="N455" s="698"/>
      <c r="O455" s="698"/>
      <c r="P455" s="698"/>
      <c r="Q455" s="698"/>
      <c r="R455" s="698"/>
      <c r="S455" s="698"/>
      <c r="T455" s="698"/>
      <c r="U455" s="698"/>
      <c r="V455" s="698"/>
      <c r="W455" s="698"/>
      <c r="X455" s="698"/>
      <c r="Y455" s="698"/>
      <c r="Z455" s="698"/>
      <c r="AA455" s="48"/>
      <c r="AB455" s="48"/>
      <c r="AC455" s="48"/>
    </row>
    <row r="456" spans="1:68" ht="16.5" hidden="1" customHeight="1" x14ac:dyDescent="0.25">
      <c r="A456" s="599" t="s">
        <v>705</v>
      </c>
      <c r="B456" s="556"/>
      <c r="C456" s="556"/>
      <c r="D456" s="556"/>
      <c r="E456" s="556"/>
      <c r="F456" s="556"/>
      <c r="G456" s="556"/>
      <c r="H456" s="556"/>
      <c r="I456" s="556"/>
      <c r="J456" s="556"/>
      <c r="K456" s="556"/>
      <c r="L456" s="556"/>
      <c r="M456" s="556"/>
      <c r="N456" s="556"/>
      <c r="O456" s="556"/>
      <c r="P456" s="556"/>
      <c r="Q456" s="556"/>
      <c r="R456" s="556"/>
      <c r="S456" s="556"/>
      <c r="T456" s="556"/>
      <c r="U456" s="556"/>
      <c r="V456" s="556"/>
      <c r="W456" s="556"/>
      <c r="X456" s="556"/>
      <c r="Y456" s="556"/>
      <c r="Z456" s="556"/>
      <c r="AA456" s="538"/>
      <c r="AB456" s="538"/>
      <c r="AC456" s="538"/>
    </row>
    <row r="457" spans="1:68" ht="14.25" hidden="1" customHeight="1" x14ac:dyDescent="0.25">
      <c r="A457" s="567" t="s">
        <v>101</v>
      </c>
      <c r="B457" s="556"/>
      <c r="C457" s="556"/>
      <c r="D457" s="556"/>
      <c r="E457" s="556"/>
      <c r="F457" s="556"/>
      <c r="G457" s="556"/>
      <c r="H457" s="556"/>
      <c r="I457" s="556"/>
      <c r="J457" s="556"/>
      <c r="K457" s="556"/>
      <c r="L457" s="556"/>
      <c r="M457" s="556"/>
      <c r="N457" s="556"/>
      <c r="O457" s="556"/>
      <c r="P457" s="556"/>
      <c r="Q457" s="556"/>
      <c r="R457" s="556"/>
      <c r="S457" s="556"/>
      <c r="T457" s="556"/>
      <c r="U457" s="556"/>
      <c r="V457" s="556"/>
      <c r="W457" s="556"/>
      <c r="X457" s="556"/>
      <c r="Y457" s="556"/>
      <c r="Z457" s="556"/>
      <c r="AA457" s="539"/>
      <c r="AB457" s="539"/>
      <c r="AC457" s="539"/>
    </row>
    <row r="458" spans="1:68" ht="27" hidden="1" customHeight="1" x14ac:dyDescent="0.25">
      <c r="A458" s="54" t="s">
        <v>706</v>
      </c>
      <c r="B458" s="54" t="s">
        <v>707</v>
      </c>
      <c r="C458" s="31">
        <v>4301011763</v>
      </c>
      <c r="D458" s="553">
        <v>4640242181011</v>
      </c>
      <c r="E458" s="554"/>
      <c r="F458" s="542">
        <v>1.35</v>
      </c>
      <c r="G458" s="32">
        <v>8</v>
      </c>
      <c r="H458" s="542">
        <v>10.8</v>
      </c>
      <c r="I458" s="542">
        <v>11.21</v>
      </c>
      <c r="J458" s="32">
        <v>64</v>
      </c>
      <c r="K458" s="32" t="s">
        <v>104</v>
      </c>
      <c r="L458" s="32"/>
      <c r="M458" s="33" t="s">
        <v>81</v>
      </c>
      <c r="N458" s="33"/>
      <c r="O458" s="32">
        <v>55</v>
      </c>
      <c r="P458" s="83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3">
        <v>0</v>
      </c>
      <c r="Y458" s="544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13" t="s">
        <v>708</v>
      </c>
      <c r="AG458" s="64"/>
      <c r="AJ458" s="68"/>
      <c r="AK458" s="68">
        <v>0</v>
      </c>
      <c r="BB458" s="514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709</v>
      </c>
      <c r="B459" s="54" t="s">
        <v>710</v>
      </c>
      <c r="C459" s="31">
        <v>4301011585</v>
      </c>
      <c r="D459" s="553">
        <v>4640242180441</v>
      </c>
      <c r="E459" s="554"/>
      <c r="F459" s="542">
        <v>1.5</v>
      </c>
      <c r="G459" s="32">
        <v>8</v>
      </c>
      <c r="H459" s="542">
        <v>12</v>
      </c>
      <c r="I459" s="542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0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711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712</v>
      </c>
      <c r="B460" s="54" t="s">
        <v>713</v>
      </c>
      <c r="C460" s="31">
        <v>4301011584</v>
      </c>
      <c r="D460" s="553">
        <v>4640242180564</v>
      </c>
      <c r="E460" s="554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6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3">
        <v>20</v>
      </c>
      <c r="Y460" s="544">
        <f>IFERROR(IF(X460="",0,CEILING((X460/$H460),1)*$H460),"")</f>
        <v>24</v>
      </c>
      <c r="Z460" s="36">
        <f>IFERROR(IF(Y460=0,"",ROUNDUP(Y460/H460,0)*0.01898),"")</f>
        <v>3.7960000000000001E-2</v>
      </c>
      <c r="AA460" s="56"/>
      <c r="AB460" s="57"/>
      <c r="AC460" s="517" t="s">
        <v>714</v>
      </c>
      <c r="AG460" s="64"/>
      <c r="AJ460" s="68"/>
      <c r="AK460" s="68">
        <v>0</v>
      </c>
      <c r="BB460" s="518" t="s">
        <v>1</v>
      </c>
      <c r="BM460" s="64">
        <f>IFERROR(X460*I460/H460,"0")</f>
        <v>20.683333333333334</v>
      </c>
      <c r="BN460" s="64">
        <f>IFERROR(Y460*I460/H460,"0")</f>
        <v>24.820000000000004</v>
      </c>
      <c r="BO460" s="64">
        <f>IFERROR(1/J460*(X460/H460),"0")</f>
        <v>2.6041666666666668E-2</v>
      </c>
      <c r="BP460" s="64">
        <f>IFERROR(1/J460*(Y460/H460),"0")</f>
        <v>3.125E-2</v>
      </c>
    </row>
    <row r="461" spans="1:68" ht="27" hidden="1" customHeight="1" x14ac:dyDescent="0.25">
      <c r="A461" s="54" t="s">
        <v>715</v>
      </c>
      <c r="B461" s="54" t="s">
        <v>716</v>
      </c>
      <c r="C461" s="31">
        <v>4301011764</v>
      </c>
      <c r="D461" s="553">
        <v>4640242181189</v>
      </c>
      <c r="E461" s="554"/>
      <c r="F461" s="542">
        <v>0.4</v>
      </c>
      <c r="G461" s="32">
        <v>10</v>
      </c>
      <c r="H461" s="542">
        <v>4</v>
      </c>
      <c r="I461" s="542">
        <v>4.1900000000000004</v>
      </c>
      <c r="J461" s="32">
        <v>132</v>
      </c>
      <c r="K461" s="32" t="s">
        <v>110</v>
      </c>
      <c r="L461" s="32"/>
      <c r="M461" s="33" t="s">
        <v>81</v>
      </c>
      <c r="N461" s="33"/>
      <c r="O461" s="32">
        <v>55</v>
      </c>
      <c r="P461" s="66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9" t="s">
        <v>708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68"/>
      <c r="B462" s="556"/>
      <c r="C462" s="556"/>
      <c r="D462" s="556"/>
      <c r="E462" s="556"/>
      <c r="F462" s="556"/>
      <c r="G462" s="556"/>
      <c r="H462" s="556"/>
      <c r="I462" s="556"/>
      <c r="J462" s="556"/>
      <c r="K462" s="556"/>
      <c r="L462" s="556"/>
      <c r="M462" s="556"/>
      <c r="N462" s="556"/>
      <c r="O462" s="569"/>
      <c r="P462" s="563" t="s">
        <v>75</v>
      </c>
      <c r="Q462" s="564"/>
      <c r="R462" s="564"/>
      <c r="S462" s="564"/>
      <c r="T462" s="564"/>
      <c r="U462" s="564"/>
      <c r="V462" s="565"/>
      <c r="W462" s="37" t="s">
        <v>76</v>
      </c>
      <c r="X462" s="545">
        <f>IFERROR(X458/H458,"0")+IFERROR(X459/H459,"0")+IFERROR(X460/H460,"0")+IFERROR(X461/H461,"0")</f>
        <v>1.6666666666666667</v>
      </c>
      <c r="Y462" s="545">
        <f>IFERROR(Y458/H458,"0")+IFERROR(Y459/H459,"0")+IFERROR(Y460/H460,"0")+IFERROR(Y461/H461,"0")</f>
        <v>2</v>
      </c>
      <c r="Z462" s="545">
        <f>IFERROR(IF(Z458="",0,Z458),"0")+IFERROR(IF(Z459="",0,Z459),"0")+IFERROR(IF(Z460="",0,Z460),"0")+IFERROR(IF(Z461="",0,Z461),"0")</f>
        <v>3.7960000000000001E-2</v>
      </c>
      <c r="AA462" s="546"/>
      <c r="AB462" s="546"/>
      <c r="AC462" s="546"/>
    </row>
    <row r="463" spans="1:68" x14ac:dyDescent="0.2">
      <c r="A463" s="556"/>
      <c r="B463" s="556"/>
      <c r="C463" s="556"/>
      <c r="D463" s="556"/>
      <c r="E463" s="556"/>
      <c r="F463" s="556"/>
      <c r="G463" s="556"/>
      <c r="H463" s="556"/>
      <c r="I463" s="556"/>
      <c r="J463" s="556"/>
      <c r="K463" s="556"/>
      <c r="L463" s="556"/>
      <c r="M463" s="556"/>
      <c r="N463" s="556"/>
      <c r="O463" s="569"/>
      <c r="P463" s="563" t="s">
        <v>75</v>
      </c>
      <c r="Q463" s="564"/>
      <c r="R463" s="564"/>
      <c r="S463" s="564"/>
      <c r="T463" s="564"/>
      <c r="U463" s="564"/>
      <c r="V463" s="565"/>
      <c r="W463" s="37" t="s">
        <v>69</v>
      </c>
      <c r="X463" s="545">
        <f>IFERROR(SUM(X458:X461),"0")</f>
        <v>20</v>
      </c>
      <c r="Y463" s="545">
        <f>IFERROR(SUM(Y458:Y461),"0")</f>
        <v>24</v>
      </c>
      <c r="Z463" s="37"/>
      <c r="AA463" s="546"/>
      <c r="AB463" s="546"/>
      <c r="AC463" s="546"/>
    </row>
    <row r="464" spans="1:68" ht="14.25" hidden="1" customHeight="1" x14ac:dyDescent="0.25">
      <c r="A464" s="567" t="s">
        <v>136</v>
      </c>
      <c r="B464" s="556"/>
      <c r="C464" s="556"/>
      <c r="D464" s="556"/>
      <c r="E464" s="556"/>
      <c r="F464" s="556"/>
      <c r="G464" s="556"/>
      <c r="H464" s="556"/>
      <c r="I464" s="556"/>
      <c r="J464" s="556"/>
      <c r="K464" s="556"/>
      <c r="L464" s="556"/>
      <c r="M464" s="556"/>
      <c r="N464" s="556"/>
      <c r="O464" s="556"/>
      <c r="P464" s="556"/>
      <c r="Q464" s="556"/>
      <c r="R464" s="556"/>
      <c r="S464" s="556"/>
      <c r="T464" s="556"/>
      <c r="U464" s="556"/>
      <c r="V464" s="556"/>
      <c r="W464" s="556"/>
      <c r="X464" s="556"/>
      <c r="Y464" s="556"/>
      <c r="Z464" s="556"/>
      <c r="AA464" s="539"/>
      <c r="AB464" s="539"/>
      <c r="AC464" s="539"/>
    </row>
    <row r="465" spans="1:68" ht="27" hidden="1" customHeight="1" x14ac:dyDescent="0.25">
      <c r="A465" s="54" t="s">
        <v>717</v>
      </c>
      <c r="B465" s="54" t="s">
        <v>718</v>
      </c>
      <c r="C465" s="31">
        <v>4301020400</v>
      </c>
      <c r="D465" s="553">
        <v>4640242180519</v>
      </c>
      <c r="E465" s="554"/>
      <c r="F465" s="542">
        <v>1.5</v>
      </c>
      <c r="G465" s="32">
        <v>8</v>
      </c>
      <c r="H465" s="542">
        <v>12</v>
      </c>
      <c r="I465" s="542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65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8"/>
      <c r="R465" s="548"/>
      <c r="S465" s="548"/>
      <c r="T465" s="549"/>
      <c r="U465" s="34"/>
      <c r="V465" s="34"/>
      <c r="W465" s="35" t="s">
        <v>69</v>
      </c>
      <c r="X465" s="543">
        <v>0</v>
      </c>
      <c r="Y465" s="54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720</v>
      </c>
      <c r="B466" s="54" t="s">
        <v>721</v>
      </c>
      <c r="C466" s="31">
        <v>4301020260</v>
      </c>
      <c r="D466" s="553">
        <v>4640242180526</v>
      </c>
      <c r="E466" s="554"/>
      <c r="F466" s="542">
        <v>1.8</v>
      </c>
      <c r="G466" s="32">
        <v>6</v>
      </c>
      <c r="H466" s="542">
        <v>10.8</v>
      </c>
      <c r="I466" s="542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8"/>
      <c r="R466" s="548"/>
      <c r="S466" s="548"/>
      <c r="T466" s="549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68"/>
      <c r="B467" s="556"/>
      <c r="C467" s="556"/>
      <c r="D467" s="556"/>
      <c r="E467" s="556"/>
      <c r="F467" s="556"/>
      <c r="G467" s="556"/>
      <c r="H467" s="556"/>
      <c r="I467" s="556"/>
      <c r="J467" s="556"/>
      <c r="K467" s="556"/>
      <c r="L467" s="556"/>
      <c r="M467" s="556"/>
      <c r="N467" s="556"/>
      <c r="O467" s="569"/>
      <c r="P467" s="563" t="s">
        <v>75</v>
      </c>
      <c r="Q467" s="564"/>
      <c r="R467" s="564"/>
      <c r="S467" s="564"/>
      <c r="T467" s="564"/>
      <c r="U467" s="564"/>
      <c r="V467" s="565"/>
      <c r="W467" s="37" t="s">
        <v>76</v>
      </c>
      <c r="X467" s="545">
        <f>IFERROR(X465/H465,"0")+IFERROR(X466/H466,"0")</f>
        <v>0</v>
      </c>
      <c r="Y467" s="545">
        <f>IFERROR(Y465/H465,"0")+IFERROR(Y466/H466,"0")</f>
        <v>0</v>
      </c>
      <c r="Z467" s="545">
        <f>IFERROR(IF(Z465="",0,Z465),"0")+IFERROR(IF(Z466="",0,Z466),"0")</f>
        <v>0</v>
      </c>
      <c r="AA467" s="546"/>
      <c r="AB467" s="546"/>
      <c r="AC467" s="546"/>
    </row>
    <row r="468" spans="1:68" hidden="1" x14ac:dyDescent="0.2">
      <c r="A468" s="556"/>
      <c r="B468" s="556"/>
      <c r="C468" s="556"/>
      <c r="D468" s="556"/>
      <c r="E468" s="556"/>
      <c r="F468" s="556"/>
      <c r="G468" s="556"/>
      <c r="H468" s="556"/>
      <c r="I468" s="556"/>
      <c r="J468" s="556"/>
      <c r="K468" s="556"/>
      <c r="L468" s="556"/>
      <c r="M468" s="556"/>
      <c r="N468" s="556"/>
      <c r="O468" s="569"/>
      <c r="P468" s="563" t="s">
        <v>75</v>
      </c>
      <c r="Q468" s="564"/>
      <c r="R468" s="564"/>
      <c r="S468" s="564"/>
      <c r="T468" s="564"/>
      <c r="U468" s="564"/>
      <c r="V468" s="565"/>
      <c r="W468" s="37" t="s">
        <v>69</v>
      </c>
      <c r="X468" s="545">
        <f>IFERROR(SUM(X465:X466),"0")</f>
        <v>0</v>
      </c>
      <c r="Y468" s="545">
        <f>IFERROR(SUM(Y465:Y466),"0")</f>
        <v>0</v>
      </c>
      <c r="Z468" s="37"/>
      <c r="AA468" s="546"/>
      <c r="AB468" s="546"/>
      <c r="AC468" s="546"/>
    </row>
    <row r="469" spans="1:68" ht="14.25" hidden="1" customHeight="1" x14ac:dyDescent="0.25">
      <c r="A469" s="567" t="s">
        <v>64</v>
      </c>
      <c r="B469" s="556"/>
      <c r="C469" s="556"/>
      <c r="D469" s="556"/>
      <c r="E469" s="556"/>
      <c r="F469" s="556"/>
      <c r="G469" s="556"/>
      <c r="H469" s="556"/>
      <c r="I469" s="556"/>
      <c r="J469" s="556"/>
      <c r="K469" s="556"/>
      <c r="L469" s="556"/>
      <c r="M469" s="556"/>
      <c r="N469" s="556"/>
      <c r="O469" s="556"/>
      <c r="P469" s="556"/>
      <c r="Q469" s="556"/>
      <c r="R469" s="556"/>
      <c r="S469" s="556"/>
      <c r="T469" s="556"/>
      <c r="U469" s="556"/>
      <c r="V469" s="556"/>
      <c r="W469" s="556"/>
      <c r="X469" s="556"/>
      <c r="Y469" s="556"/>
      <c r="Z469" s="556"/>
      <c r="AA469" s="539"/>
      <c r="AB469" s="539"/>
      <c r="AC469" s="539"/>
    </row>
    <row r="470" spans="1:68" ht="27" hidden="1" customHeight="1" x14ac:dyDescent="0.25">
      <c r="A470" s="54" t="s">
        <v>723</v>
      </c>
      <c r="B470" s="54" t="s">
        <v>724</v>
      </c>
      <c r="C470" s="31">
        <v>4301031467</v>
      </c>
      <c r="D470" s="553">
        <v>4640242180595</v>
      </c>
      <c r="E470" s="554"/>
      <c r="F470" s="542">
        <v>0.8</v>
      </c>
      <c r="G470" s="32">
        <v>6</v>
      </c>
      <c r="H470" s="542">
        <v>4.8</v>
      </c>
      <c r="I470" s="542">
        <v>5.05</v>
      </c>
      <c r="J470" s="32">
        <v>132</v>
      </c>
      <c r="K470" s="32" t="s">
        <v>110</v>
      </c>
      <c r="L470" s="32"/>
      <c r="M470" s="33" t="s">
        <v>68</v>
      </c>
      <c r="N470" s="33"/>
      <c r="O470" s="32">
        <v>40</v>
      </c>
      <c r="P470" s="64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0" s="548"/>
      <c r="R470" s="548"/>
      <c r="S470" s="548"/>
      <c r="T470" s="549"/>
      <c r="U470" s="34"/>
      <c r="V470" s="34"/>
      <c r="W470" s="35" t="s">
        <v>69</v>
      </c>
      <c r="X470" s="543">
        <v>0</v>
      </c>
      <c r="Y470" s="544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25" t="s">
        <v>725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idden="1" x14ac:dyDescent="0.2">
      <c r="A471" s="568"/>
      <c r="B471" s="556"/>
      <c r="C471" s="556"/>
      <c r="D471" s="556"/>
      <c r="E471" s="556"/>
      <c r="F471" s="556"/>
      <c r="G471" s="556"/>
      <c r="H471" s="556"/>
      <c r="I471" s="556"/>
      <c r="J471" s="556"/>
      <c r="K471" s="556"/>
      <c r="L471" s="556"/>
      <c r="M471" s="556"/>
      <c r="N471" s="556"/>
      <c r="O471" s="569"/>
      <c r="P471" s="563" t="s">
        <v>75</v>
      </c>
      <c r="Q471" s="564"/>
      <c r="R471" s="564"/>
      <c r="S471" s="564"/>
      <c r="T471" s="564"/>
      <c r="U471" s="564"/>
      <c r="V471" s="565"/>
      <c r="W471" s="37" t="s">
        <v>76</v>
      </c>
      <c r="X471" s="545">
        <f>IFERROR(X470/H470,"0")</f>
        <v>0</v>
      </c>
      <c r="Y471" s="545">
        <f>IFERROR(Y470/H470,"0")</f>
        <v>0</v>
      </c>
      <c r="Z471" s="545">
        <f>IFERROR(IF(Z470="",0,Z470),"0")</f>
        <v>0</v>
      </c>
      <c r="AA471" s="546"/>
      <c r="AB471" s="546"/>
      <c r="AC471" s="546"/>
    </row>
    <row r="472" spans="1:68" hidden="1" x14ac:dyDescent="0.2">
      <c r="A472" s="556"/>
      <c r="B472" s="556"/>
      <c r="C472" s="556"/>
      <c r="D472" s="556"/>
      <c r="E472" s="556"/>
      <c r="F472" s="556"/>
      <c r="G472" s="556"/>
      <c r="H472" s="556"/>
      <c r="I472" s="556"/>
      <c r="J472" s="556"/>
      <c r="K472" s="556"/>
      <c r="L472" s="556"/>
      <c r="M472" s="556"/>
      <c r="N472" s="556"/>
      <c r="O472" s="569"/>
      <c r="P472" s="563" t="s">
        <v>75</v>
      </c>
      <c r="Q472" s="564"/>
      <c r="R472" s="564"/>
      <c r="S472" s="564"/>
      <c r="T472" s="564"/>
      <c r="U472" s="564"/>
      <c r="V472" s="565"/>
      <c r="W472" s="37" t="s">
        <v>69</v>
      </c>
      <c r="X472" s="545">
        <f>IFERROR(SUM(X470:X470),"0")</f>
        <v>0</v>
      </c>
      <c r="Y472" s="545">
        <f>IFERROR(SUM(Y470:Y470),"0")</f>
        <v>0</v>
      </c>
      <c r="Z472" s="37"/>
      <c r="AA472" s="546"/>
      <c r="AB472" s="546"/>
      <c r="AC472" s="546"/>
    </row>
    <row r="473" spans="1:68" ht="14.25" hidden="1" customHeight="1" x14ac:dyDescent="0.25">
      <c r="A473" s="567" t="s">
        <v>77</v>
      </c>
      <c r="B473" s="556"/>
      <c r="C473" s="556"/>
      <c r="D473" s="556"/>
      <c r="E473" s="556"/>
      <c r="F473" s="556"/>
      <c r="G473" s="556"/>
      <c r="H473" s="556"/>
      <c r="I473" s="556"/>
      <c r="J473" s="556"/>
      <c r="K473" s="556"/>
      <c r="L473" s="556"/>
      <c r="M473" s="556"/>
      <c r="N473" s="556"/>
      <c r="O473" s="556"/>
      <c r="P473" s="556"/>
      <c r="Q473" s="556"/>
      <c r="R473" s="556"/>
      <c r="S473" s="556"/>
      <c r="T473" s="556"/>
      <c r="U473" s="556"/>
      <c r="V473" s="556"/>
      <c r="W473" s="556"/>
      <c r="X473" s="556"/>
      <c r="Y473" s="556"/>
      <c r="Z473" s="556"/>
      <c r="AA473" s="539"/>
      <c r="AB473" s="539"/>
      <c r="AC473" s="539"/>
    </row>
    <row r="474" spans="1:68" ht="27" customHeight="1" x14ac:dyDescent="0.25">
      <c r="A474" s="54" t="s">
        <v>726</v>
      </c>
      <c r="B474" s="54" t="s">
        <v>727</v>
      </c>
      <c r="C474" s="31">
        <v>4301052046</v>
      </c>
      <c r="D474" s="553">
        <v>4640242180533</v>
      </c>
      <c r="E474" s="554"/>
      <c r="F474" s="542">
        <v>1.5</v>
      </c>
      <c r="G474" s="32">
        <v>6</v>
      </c>
      <c r="H474" s="542">
        <v>9</v>
      </c>
      <c r="I474" s="542">
        <v>9.4939999999999998</v>
      </c>
      <c r="J474" s="32">
        <v>64</v>
      </c>
      <c r="K474" s="32" t="s">
        <v>104</v>
      </c>
      <c r="L474" s="32"/>
      <c r="M474" s="33" t="s">
        <v>88</v>
      </c>
      <c r="N474" s="33"/>
      <c r="O474" s="32">
        <v>45</v>
      </c>
      <c r="P474" s="79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4" s="548"/>
      <c r="R474" s="548"/>
      <c r="S474" s="548"/>
      <c r="T474" s="549"/>
      <c r="U474" s="34"/>
      <c r="V474" s="34"/>
      <c r="W474" s="35" t="s">
        <v>69</v>
      </c>
      <c r="X474" s="543">
        <v>50</v>
      </c>
      <c r="Y474" s="544">
        <f>IFERROR(IF(X474="",0,CEILING((X474/$H474),1)*$H474),"")</f>
        <v>54</v>
      </c>
      <c r="Z474" s="36">
        <f>IFERROR(IF(Y474=0,"",ROUNDUP(Y474/H474,0)*0.01898),"")</f>
        <v>0.11388000000000001</v>
      </c>
      <c r="AA474" s="56"/>
      <c r="AB474" s="57"/>
      <c r="AC474" s="527" t="s">
        <v>728</v>
      </c>
      <c r="AG474" s="64"/>
      <c r="AJ474" s="68"/>
      <c r="AK474" s="68">
        <v>0</v>
      </c>
      <c r="BB474" s="528" t="s">
        <v>1</v>
      </c>
      <c r="BM474" s="64">
        <f>IFERROR(X474*I474/H474,"0")</f>
        <v>52.74444444444444</v>
      </c>
      <c r="BN474" s="64">
        <f>IFERROR(Y474*I474/H474,"0")</f>
        <v>56.963999999999992</v>
      </c>
      <c r="BO474" s="64">
        <f>IFERROR(1/J474*(X474/H474),"0")</f>
        <v>8.6805555555555552E-2</v>
      </c>
      <c r="BP474" s="64">
        <f>IFERROR(1/J474*(Y474/H474),"0")</f>
        <v>9.375E-2</v>
      </c>
    </row>
    <row r="475" spans="1:68" x14ac:dyDescent="0.2">
      <c r="A475" s="568"/>
      <c r="B475" s="556"/>
      <c r="C475" s="556"/>
      <c r="D475" s="556"/>
      <c r="E475" s="556"/>
      <c r="F475" s="556"/>
      <c r="G475" s="556"/>
      <c r="H475" s="556"/>
      <c r="I475" s="556"/>
      <c r="J475" s="556"/>
      <c r="K475" s="556"/>
      <c r="L475" s="556"/>
      <c r="M475" s="556"/>
      <c r="N475" s="556"/>
      <c r="O475" s="569"/>
      <c r="P475" s="563" t="s">
        <v>75</v>
      </c>
      <c r="Q475" s="564"/>
      <c r="R475" s="564"/>
      <c r="S475" s="564"/>
      <c r="T475" s="564"/>
      <c r="U475" s="564"/>
      <c r="V475" s="565"/>
      <c r="W475" s="37" t="s">
        <v>76</v>
      </c>
      <c r="X475" s="545">
        <f>IFERROR(X474/H474,"0")</f>
        <v>5.5555555555555554</v>
      </c>
      <c r="Y475" s="545">
        <f>IFERROR(Y474/H474,"0")</f>
        <v>6</v>
      </c>
      <c r="Z475" s="545">
        <f>IFERROR(IF(Z474="",0,Z474),"0")</f>
        <v>0.11388000000000001</v>
      </c>
      <c r="AA475" s="546"/>
      <c r="AB475" s="546"/>
      <c r="AC475" s="546"/>
    </row>
    <row r="476" spans="1:68" x14ac:dyDescent="0.2">
      <c r="A476" s="556"/>
      <c r="B476" s="556"/>
      <c r="C476" s="556"/>
      <c r="D476" s="556"/>
      <c r="E476" s="556"/>
      <c r="F476" s="556"/>
      <c r="G476" s="556"/>
      <c r="H476" s="556"/>
      <c r="I476" s="556"/>
      <c r="J476" s="556"/>
      <c r="K476" s="556"/>
      <c r="L476" s="556"/>
      <c r="M476" s="556"/>
      <c r="N476" s="556"/>
      <c r="O476" s="569"/>
      <c r="P476" s="563" t="s">
        <v>75</v>
      </c>
      <c r="Q476" s="564"/>
      <c r="R476" s="564"/>
      <c r="S476" s="564"/>
      <c r="T476" s="564"/>
      <c r="U476" s="564"/>
      <c r="V476" s="565"/>
      <c r="W476" s="37" t="s">
        <v>69</v>
      </c>
      <c r="X476" s="545">
        <f>IFERROR(SUM(X474:X474),"0")</f>
        <v>50</v>
      </c>
      <c r="Y476" s="545">
        <f>IFERROR(SUM(Y474:Y474),"0")</f>
        <v>54</v>
      </c>
      <c r="Z476" s="37"/>
      <c r="AA476" s="546"/>
      <c r="AB476" s="546"/>
      <c r="AC476" s="546"/>
    </row>
    <row r="477" spans="1:68" ht="14.25" hidden="1" customHeight="1" x14ac:dyDescent="0.25">
      <c r="A477" s="567" t="s">
        <v>158</v>
      </c>
      <c r="B477" s="556"/>
      <c r="C477" s="556"/>
      <c r="D477" s="556"/>
      <c r="E477" s="556"/>
      <c r="F477" s="556"/>
      <c r="G477" s="556"/>
      <c r="H477" s="556"/>
      <c r="I477" s="556"/>
      <c r="J477" s="556"/>
      <c r="K477" s="556"/>
      <c r="L477" s="556"/>
      <c r="M477" s="556"/>
      <c r="N477" s="556"/>
      <c r="O477" s="556"/>
      <c r="P477" s="556"/>
      <c r="Q477" s="556"/>
      <c r="R477" s="556"/>
      <c r="S477" s="556"/>
      <c r="T477" s="556"/>
      <c r="U477" s="556"/>
      <c r="V477" s="556"/>
      <c r="W477" s="556"/>
      <c r="X477" s="556"/>
      <c r="Y477" s="556"/>
      <c r="Z477" s="556"/>
      <c r="AA477" s="539"/>
      <c r="AB477" s="539"/>
      <c r="AC477" s="539"/>
    </row>
    <row r="478" spans="1:68" ht="27" hidden="1" customHeight="1" x14ac:dyDescent="0.25">
      <c r="A478" s="54" t="s">
        <v>729</v>
      </c>
      <c r="B478" s="54" t="s">
        <v>730</v>
      </c>
      <c r="C478" s="31">
        <v>4301060491</v>
      </c>
      <c r="D478" s="553">
        <v>4640242180120</v>
      </c>
      <c r="E478" s="554"/>
      <c r="F478" s="542">
        <v>1.5</v>
      </c>
      <c r="G478" s="32">
        <v>6</v>
      </c>
      <c r="H478" s="542">
        <v>9</v>
      </c>
      <c r="I478" s="542">
        <v>9.41</v>
      </c>
      <c r="J478" s="32">
        <v>64</v>
      </c>
      <c r="K478" s="32" t="s">
        <v>104</v>
      </c>
      <c r="L478" s="32"/>
      <c r="M478" s="33" t="s">
        <v>81</v>
      </c>
      <c r="N478" s="33"/>
      <c r="O478" s="32">
        <v>40</v>
      </c>
      <c r="P478" s="65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8" s="548"/>
      <c r="R478" s="548"/>
      <c r="S478" s="548"/>
      <c r="T478" s="549"/>
      <c r="U478" s="34"/>
      <c r="V478" s="34"/>
      <c r="W478" s="35" t="s">
        <v>69</v>
      </c>
      <c r="X478" s="543">
        <v>0</v>
      </c>
      <c r="Y478" s="544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731</v>
      </c>
      <c r="AG478" s="64"/>
      <c r="AJ478" s="68"/>
      <c r="AK478" s="68">
        <v>0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732</v>
      </c>
      <c r="B479" s="54" t="s">
        <v>733</v>
      </c>
      <c r="C479" s="31">
        <v>4301060493</v>
      </c>
      <c r="D479" s="553">
        <v>4640242180137</v>
      </c>
      <c r="E479" s="554"/>
      <c r="F479" s="542">
        <v>1.5</v>
      </c>
      <c r="G479" s="32">
        <v>6</v>
      </c>
      <c r="H479" s="542">
        <v>9</v>
      </c>
      <c r="I479" s="542">
        <v>9.41</v>
      </c>
      <c r="J479" s="32">
        <v>64</v>
      </c>
      <c r="K479" s="32" t="s">
        <v>104</v>
      </c>
      <c r="L479" s="32"/>
      <c r="M479" s="33" t="s">
        <v>81</v>
      </c>
      <c r="N479" s="33"/>
      <c r="O479" s="32">
        <v>40</v>
      </c>
      <c r="P479" s="79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79" s="548"/>
      <c r="R479" s="548"/>
      <c r="S479" s="548"/>
      <c r="T479" s="549"/>
      <c r="U479" s="34"/>
      <c r="V479" s="34"/>
      <c r="W479" s="35" t="s">
        <v>69</v>
      </c>
      <c r="X479" s="543">
        <v>0</v>
      </c>
      <c r="Y479" s="544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734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568"/>
      <c r="B480" s="556"/>
      <c r="C480" s="556"/>
      <c r="D480" s="556"/>
      <c r="E480" s="556"/>
      <c r="F480" s="556"/>
      <c r="G480" s="556"/>
      <c r="H480" s="556"/>
      <c r="I480" s="556"/>
      <c r="J480" s="556"/>
      <c r="K480" s="556"/>
      <c r="L480" s="556"/>
      <c r="M480" s="556"/>
      <c r="N480" s="556"/>
      <c r="O480" s="569"/>
      <c r="P480" s="563" t="s">
        <v>75</v>
      </c>
      <c r="Q480" s="564"/>
      <c r="R480" s="564"/>
      <c r="S480" s="564"/>
      <c r="T480" s="564"/>
      <c r="U480" s="564"/>
      <c r="V480" s="565"/>
      <c r="W480" s="37" t="s">
        <v>76</v>
      </c>
      <c r="X480" s="545">
        <f>IFERROR(X478/H478,"0")+IFERROR(X479/H479,"0")</f>
        <v>0</v>
      </c>
      <c r="Y480" s="545">
        <f>IFERROR(Y478/H478,"0")+IFERROR(Y479/H479,"0")</f>
        <v>0</v>
      </c>
      <c r="Z480" s="545">
        <f>IFERROR(IF(Z478="",0,Z478),"0")+IFERROR(IF(Z479="",0,Z479),"0")</f>
        <v>0</v>
      </c>
      <c r="AA480" s="546"/>
      <c r="AB480" s="546"/>
      <c r="AC480" s="546"/>
    </row>
    <row r="481" spans="1:68" hidden="1" x14ac:dyDescent="0.2">
      <c r="A481" s="556"/>
      <c r="B481" s="556"/>
      <c r="C481" s="556"/>
      <c r="D481" s="556"/>
      <c r="E481" s="556"/>
      <c r="F481" s="556"/>
      <c r="G481" s="556"/>
      <c r="H481" s="556"/>
      <c r="I481" s="556"/>
      <c r="J481" s="556"/>
      <c r="K481" s="556"/>
      <c r="L481" s="556"/>
      <c r="M481" s="556"/>
      <c r="N481" s="556"/>
      <c r="O481" s="569"/>
      <c r="P481" s="563" t="s">
        <v>75</v>
      </c>
      <c r="Q481" s="564"/>
      <c r="R481" s="564"/>
      <c r="S481" s="564"/>
      <c r="T481" s="564"/>
      <c r="U481" s="564"/>
      <c r="V481" s="565"/>
      <c r="W481" s="37" t="s">
        <v>69</v>
      </c>
      <c r="X481" s="545">
        <f>IFERROR(SUM(X478:X479),"0")</f>
        <v>0</v>
      </c>
      <c r="Y481" s="545">
        <f>IFERROR(SUM(Y478:Y479),"0")</f>
        <v>0</v>
      </c>
      <c r="Z481" s="37"/>
      <c r="AA481" s="546"/>
      <c r="AB481" s="546"/>
      <c r="AC481" s="546"/>
    </row>
    <row r="482" spans="1:68" ht="16.5" hidden="1" customHeight="1" x14ac:dyDescent="0.25">
      <c r="A482" s="599" t="s">
        <v>735</v>
      </c>
      <c r="B482" s="556"/>
      <c r="C482" s="556"/>
      <c r="D482" s="556"/>
      <c r="E482" s="556"/>
      <c r="F482" s="556"/>
      <c r="G482" s="556"/>
      <c r="H482" s="556"/>
      <c r="I482" s="556"/>
      <c r="J482" s="556"/>
      <c r="K482" s="556"/>
      <c r="L482" s="556"/>
      <c r="M482" s="556"/>
      <c r="N482" s="556"/>
      <c r="O482" s="556"/>
      <c r="P482" s="556"/>
      <c r="Q482" s="556"/>
      <c r="R482" s="556"/>
      <c r="S482" s="556"/>
      <c r="T482" s="556"/>
      <c r="U482" s="556"/>
      <c r="V482" s="556"/>
      <c r="W482" s="556"/>
      <c r="X482" s="556"/>
      <c r="Y482" s="556"/>
      <c r="Z482" s="556"/>
      <c r="AA482" s="538"/>
      <c r="AB482" s="538"/>
      <c r="AC482" s="538"/>
    </row>
    <row r="483" spans="1:68" ht="14.25" hidden="1" customHeight="1" x14ac:dyDescent="0.25">
      <c r="A483" s="567" t="s">
        <v>136</v>
      </c>
      <c r="B483" s="556"/>
      <c r="C483" s="556"/>
      <c r="D483" s="556"/>
      <c r="E483" s="556"/>
      <c r="F483" s="556"/>
      <c r="G483" s="556"/>
      <c r="H483" s="556"/>
      <c r="I483" s="556"/>
      <c r="J483" s="556"/>
      <c r="K483" s="556"/>
      <c r="L483" s="556"/>
      <c r="M483" s="556"/>
      <c r="N483" s="556"/>
      <c r="O483" s="556"/>
      <c r="P483" s="556"/>
      <c r="Q483" s="556"/>
      <c r="R483" s="556"/>
      <c r="S483" s="556"/>
      <c r="T483" s="556"/>
      <c r="U483" s="556"/>
      <c r="V483" s="556"/>
      <c r="W483" s="556"/>
      <c r="X483" s="556"/>
      <c r="Y483" s="556"/>
      <c r="Z483" s="556"/>
      <c r="AA483" s="539"/>
      <c r="AB483" s="539"/>
      <c r="AC483" s="539"/>
    </row>
    <row r="484" spans="1:68" ht="27" hidden="1" customHeight="1" x14ac:dyDescent="0.25">
      <c r="A484" s="54" t="s">
        <v>736</v>
      </c>
      <c r="B484" s="54" t="s">
        <v>737</v>
      </c>
      <c r="C484" s="31">
        <v>4301020314</v>
      </c>
      <c r="D484" s="553">
        <v>4640242180090</v>
      </c>
      <c r="E484" s="554"/>
      <c r="F484" s="542">
        <v>1.5</v>
      </c>
      <c r="G484" s="32">
        <v>8</v>
      </c>
      <c r="H484" s="542">
        <v>12</v>
      </c>
      <c r="I484" s="542">
        <v>12.41</v>
      </c>
      <c r="J484" s="32">
        <v>64</v>
      </c>
      <c r="K484" s="32" t="s">
        <v>104</v>
      </c>
      <c r="L484" s="32"/>
      <c r="M484" s="33" t="s">
        <v>106</v>
      </c>
      <c r="N484" s="33"/>
      <c r="O484" s="32">
        <v>50</v>
      </c>
      <c r="P484" s="59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4" s="548"/>
      <c r="R484" s="548"/>
      <c r="S484" s="548"/>
      <c r="T484" s="549"/>
      <c r="U484" s="34"/>
      <c r="V484" s="34"/>
      <c r="W484" s="35" t="s">
        <v>69</v>
      </c>
      <c r="X484" s="543">
        <v>0</v>
      </c>
      <c r="Y484" s="544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3" t="s">
        <v>738</v>
      </c>
      <c r="AG484" s="64"/>
      <c r="AJ484" s="68"/>
      <c r="AK484" s="68">
        <v>0</v>
      </c>
      <c r="BB484" s="534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idden="1" x14ac:dyDescent="0.2">
      <c r="A485" s="568"/>
      <c r="B485" s="556"/>
      <c r="C485" s="556"/>
      <c r="D485" s="556"/>
      <c r="E485" s="556"/>
      <c r="F485" s="556"/>
      <c r="G485" s="556"/>
      <c r="H485" s="556"/>
      <c r="I485" s="556"/>
      <c r="J485" s="556"/>
      <c r="K485" s="556"/>
      <c r="L485" s="556"/>
      <c r="M485" s="556"/>
      <c r="N485" s="556"/>
      <c r="O485" s="569"/>
      <c r="P485" s="563" t="s">
        <v>75</v>
      </c>
      <c r="Q485" s="564"/>
      <c r="R485" s="564"/>
      <c r="S485" s="564"/>
      <c r="T485" s="564"/>
      <c r="U485" s="564"/>
      <c r="V485" s="565"/>
      <c r="W485" s="37" t="s">
        <v>76</v>
      </c>
      <c r="X485" s="545">
        <f>IFERROR(X484/H484,"0")</f>
        <v>0</v>
      </c>
      <c r="Y485" s="545">
        <f>IFERROR(Y484/H484,"0")</f>
        <v>0</v>
      </c>
      <c r="Z485" s="545">
        <f>IFERROR(IF(Z484="",0,Z484),"0")</f>
        <v>0</v>
      </c>
      <c r="AA485" s="546"/>
      <c r="AB485" s="546"/>
      <c r="AC485" s="546"/>
    </row>
    <row r="486" spans="1:68" hidden="1" x14ac:dyDescent="0.2">
      <c r="A486" s="556"/>
      <c r="B486" s="556"/>
      <c r="C486" s="556"/>
      <c r="D486" s="556"/>
      <c r="E486" s="556"/>
      <c r="F486" s="556"/>
      <c r="G486" s="556"/>
      <c r="H486" s="556"/>
      <c r="I486" s="556"/>
      <c r="J486" s="556"/>
      <c r="K486" s="556"/>
      <c r="L486" s="556"/>
      <c r="M486" s="556"/>
      <c r="N486" s="556"/>
      <c r="O486" s="569"/>
      <c r="P486" s="563" t="s">
        <v>75</v>
      </c>
      <c r="Q486" s="564"/>
      <c r="R486" s="564"/>
      <c r="S486" s="564"/>
      <c r="T486" s="564"/>
      <c r="U486" s="564"/>
      <c r="V486" s="565"/>
      <c r="W486" s="37" t="s">
        <v>69</v>
      </c>
      <c r="X486" s="545">
        <f>IFERROR(SUM(X484:X484),"0")</f>
        <v>0</v>
      </c>
      <c r="Y486" s="545">
        <f>IFERROR(SUM(Y484:Y484),"0")</f>
        <v>0</v>
      </c>
      <c r="Z486" s="37"/>
      <c r="AA486" s="546"/>
      <c r="AB486" s="546"/>
      <c r="AC486" s="546"/>
    </row>
    <row r="487" spans="1:68" ht="15" customHeight="1" x14ac:dyDescent="0.2">
      <c r="A487" s="657"/>
      <c r="B487" s="556"/>
      <c r="C487" s="556"/>
      <c r="D487" s="556"/>
      <c r="E487" s="556"/>
      <c r="F487" s="556"/>
      <c r="G487" s="556"/>
      <c r="H487" s="556"/>
      <c r="I487" s="556"/>
      <c r="J487" s="556"/>
      <c r="K487" s="556"/>
      <c r="L487" s="556"/>
      <c r="M487" s="556"/>
      <c r="N487" s="556"/>
      <c r="O487" s="658"/>
      <c r="P487" s="634" t="s">
        <v>739</v>
      </c>
      <c r="Q487" s="635"/>
      <c r="R487" s="635"/>
      <c r="S487" s="635"/>
      <c r="T487" s="635"/>
      <c r="U487" s="635"/>
      <c r="V487" s="562"/>
      <c r="W487" s="37" t="s">
        <v>69</v>
      </c>
      <c r="X487" s="545">
        <f>IFERROR(X25+X32+X36+X44+X48+X58+X64+X68+X75+X80+X88+X95+X104+X111+X118+X122+X128+X133+X138+X144+X152+X156+X162+X179+X185+X189+X195+X200+X211+X223+X228+X241+X245+X249+X257+X266+X274+X281+X287+X292+X302+X311+X318+X324+X331+X337+X344+X356+X361+X366+X370+X376+X380+X386+X400+X405+X410+X417+X422+X439+X445+X454+X463+X468+X472+X476+X481+X486,"0")</f>
        <v>998.1</v>
      </c>
      <c r="Y487" s="545">
        <f>IFERROR(Y25+Y32+Y36+Y44+Y48+Y58+Y64+Y68+Y75+Y80+Y88+Y95+Y104+Y111+Y118+Y122+Y128+Y133+Y138+Y144+Y152+Y156+Y162+Y179+Y185+Y189+Y195+Y200+Y211+Y223+Y228+Y241+Y245+Y249+Y257+Y266+Y274+Y281+Y287+Y292+Y302+Y311+Y318+Y324+Y331+Y337+Y344+Y356+Y361+Y366+Y370+Y376+Y380+Y386+Y400+Y405+Y410+Y417+Y422+Y439+Y445+Y454+Y463+Y468+Y472+Y476+Y481+Y486,"0")</f>
        <v>1070.7</v>
      </c>
      <c r="Z487" s="37"/>
      <c r="AA487" s="546"/>
      <c r="AB487" s="546"/>
      <c r="AC487" s="546"/>
    </row>
    <row r="488" spans="1:68" x14ac:dyDescent="0.2">
      <c r="A488" s="556"/>
      <c r="B488" s="556"/>
      <c r="C488" s="556"/>
      <c r="D488" s="556"/>
      <c r="E488" s="556"/>
      <c r="F488" s="556"/>
      <c r="G488" s="556"/>
      <c r="H488" s="556"/>
      <c r="I488" s="556"/>
      <c r="J488" s="556"/>
      <c r="K488" s="556"/>
      <c r="L488" s="556"/>
      <c r="M488" s="556"/>
      <c r="N488" s="556"/>
      <c r="O488" s="658"/>
      <c r="P488" s="634" t="s">
        <v>740</v>
      </c>
      <c r="Q488" s="635"/>
      <c r="R488" s="635"/>
      <c r="S488" s="635"/>
      <c r="T488" s="635"/>
      <c r="U488" s="635"/>
      <c r="V488" s="562"/>
      <c r="W488" s="37" t="s">
        <v>69</v>
      </c>
      <c r="X488" s="545">
        <f>IFERROR(SUM(BM22:BM484),"0")</f>
        <v>1048.145420795254</v>
      </c>
      <c r="Y488" s="545">
        <f>IFERROR(SUM(BN22:BN484),"0")</f>
        <v>1124.04</v>
      </c>
      <c r="Z488" s="37"/>
      <c r="AA488" s="546"/>
      <c r="AB488" s="546"/>
      <c r="AC488" s="546"/>
    </row>
    <row r="489" spans="1:68" x14ac:dyDescent="0.2">
      <c r="A489" s="556"/>
      <c r="B489" s="556"/>
      <c r="C489" s="556"/>
      <c r="D489" s="556"/>
      <c r="E489" s="556"/>
      <c r="F489" s="556"/>
      <c r="G489" s="556"/>
      <c r="H489" s="556"/>
      <c r="I489" s="556"/>
      <c r="J489" s="556"/>
      <c r="K489" s="556"/>
      <c r="L489" s="556"/>
      <c r="M489" s="556"/>
      <c r="N489" s="556"/>
      <c r="O489" s="658"/>
      <c r="P489" s="634" t="s">
        <v>741</v>
      </c>
      <c r="Q489" s="635"/>
      <c r="R489" s="635"/>
      <c r="S489" s="635"/>
      <c r="T489" s="635"/>
      <c r="U489" s="635"/>
      <c r="V489" s="562"/>
      <c r="W489" s="37" t="s">
        <v>742</v>
      </c>
      <c r="X489" s="38">
        <f>ROUNDUP(SUM(BO22:BO484),0)</f>
        <v>2</v>
      </c>
      <c r="Y489" s="38">
        <f>ROUNDUP(SUM(BP22:BP484),0)</f>
        <v>2</v>
      </c>
      <c r="Z489" s="37"/>
      <c r="AA489" s="546"/>
      <c r="AB489" s="546"/>
      <c r="AC489" s="546"/>
    </row>
    <row r="490" spans="1:68" x14ac:dyDescent="0.2">
      <c r="A490" s="556"/>
      <c r="B490" s="556"/>
      <c r="C490" s="556"/>
      <c r="D490" s="556"/>
      <c r="E490" s="556"/>
      <c r="F490" s="556"/>
      <c r="G490" s="556"/>
      <c r="H490" s="556"/>
      <c r="I490" s="556"/>
      <c r="J490" s="556"/>
      <c r="K490" s="556"/>
      <c r="L490" s="556"/>
      <c r="M490" s="556"/>
      <c r="N490" s="556"/>
      <c r="O490" s="658"/>
      <c r="P490" s="634" t="s">
        <v>743</v>
      </c>
      <c r="Q490" s="635"/>
      <c r="R490" s="635"/>
      <c r="S490" s="635"/>
      <c r="T490" s="635"/>
      <c r="U490" s="635"/>
      <c r="V490" s="562"/>
      <c r="W490" s="37" t="s">
        <v>69</v>
      </c>
      <c r="X490" s="545">
        <f>GrossWeightTotal+PalletQtyTotal*25</f>
        <v>1098.145420795254</v>
      </c>
      <c r="Y490" s="545">
        <f>GrossWeightTotalR+PalletQtyTotalR*25</f>
        <v>1174.04</v>
      </c>
      <c r="Z490" s="37"/>
      <c r="AA490" s="546"/>
      <c r="AB490" s="546"/>
      <c r="AC490" s="546"/>
    </row>
    <row r="491" spans="1:68" x14ac:dyDescent="0.2">
      <c r="A491" s="556"/>
      <c r="B491" s="556"/>
      <c r="C491" s="556"/>
      <c r="D491" s="556"/>
      <c r="E491" s="556"/>
      <c r="F491" s="556"/>
      <c r="G491" s="556"/>
      <c r="H491" s="556"/>
      <c r="I491" s="556"/>
      <c r="J491" s="556"/>
      <c r="K491" s="556"/>
      <c r="L491" s="556"/>
      <c r="M491" s="556"/>
      <c r="N491" s="556"/>
      <c r="O491" s="658"/>
      <c r="P491" s="634" t="s">
        <v>744</v>
      </c>
      <c r="Q491" s="635"/>
      <c r="R491" s="635"/>
      <c r="S491" s="635"/>
      <c r="T491" s="635"/>
      <c r="U491" s="635"/>
      <c r="V491" s="562"/>
      <c r="W491" s="37" t="s">
        <v>742</v>
      </c>
      <c r="X491" s="545">
        <f>IFERROR(X24+X31+X35+X43+X47+X57+X63+X67+X74+X79+X87+X94+X103+X110+X117+X121+X127+X132+X137+X143+X151+X155+X161+X178+X184+X188+X194+X199+X210+X222+X227+X240+X244+X248+X256+X265+X273+X280+X286+X291+X301+X310+X317+X323+X330+X336+X343+X355+X360+X365+X369+X375+X379+X385+X399+X404+X409+X416+X421+X438+X444+X453+X462+X467+X471+X475+X480+X485,"0")</f>
        <v>156.50395592062256</v>
      </c>
      <c r="Y491" s="545">
        <f>IFERROR(Y24+Y31+Y35+Y43+Y47+Y57+Y63+Y67+Y74+Y79+Y87+Y94+Y103+Y110+Y117+Y121+Y127+Y132+Y137+Y143+Y151+Y155+Y161+Y178+Y184+Y188+Y194+Y199+Y210+Y222+Y227+Y240+Y244+Y248+Y256+Y265+Y273+Y280+Y286+Y291+Y301+Y310+Y317+Y323+Y330+Y336+Y343+Y355+Y360+Y365+Y369+Y375+Y379+Y385+Y399+Y404+Y409+Y416+Y421+Y438+Y444+Y453+Y462+Y467+Y471+Y475+Y480+Y485,"0")</f>
        <v>166</v>
      </c>
      <c r="Z491" s="37"/>
      <c r="AA491" s="546"/>
      <c r="AB491" s="546"/>
      <c r="AC491" s="546"/>
    </row>
    <row r="492" spans="1:68" ht="14.25" hidden="1" customHeight="1" x14ac:dyDescent="0.2">
      <c r="A492" s="556"/>
      <c r="B492" s="556"/>
      <c r="C492" s="556"/>
      <c r="D492" s="556"/>
      <c r="E492" s="556"/>
      <c r="F492" s="556"/>
      <c r="G492" s="556"/>
      <c r="H492" s="556"/>
      <c r="I492" s="556"/>
      <c r="J492" s="556"/>
      <c r="K492" s="556"/>
      <c r="L492" s="556"/>
      <c r="M492" s="556"/>
      <c r="N492" s="556"/>
      <c r="O492" s="658"/>
      <c r="P492" s="634" t="s">
        <v>745</v>
      </c>
      <c r="Q492" s="635"/>
      <c r="R492" s="635"/>
      <c r="S492" s="635"/>
      <c r="T492" s="635"/>
      <c r="U492" s="635"/>
      <c r="V492" s="562"/>
      <c r="W492" s="39" t="s">
        <v>746</v>
      </c>
      <c r="X492" s="37"/>
      <c r="Y492" s="37"/>
      <c r="Z492" s="37">
        <f>IFERROR(Z24+Z31+Z35+Z43+Z47+Z57+Z63+Z67+Z74+Z79+Z87+Z94+Z103+Z110+Z117+Z121+Z127+Z132+Z137+Z143+Z151+Z155+Z161+Z178+Z184+Z188+Z194+Z199+Z210+Z222+Z227+Z240+Z244+Z248+Z256+Z265+Z273+Z280+Z286+Z291+Z301+Z310+Z317+Z323+Z330+Z336+Z343+Z355+Z360+Z365+Z369+Z375+Z379+Z385+Z399+Z404+Z409+Z416+Z421+Z438+Z444+Z453+Z462+Z467+Z471+Z475+Z480+Z485,"0")</f>
        <v>2.14005</v>
      </c>
      <c r="AA492" s="546"/>
      <c r="AB492" s="546"/>
      <c r="AC492" s="546"/>
    </row>
    <row r="493" spans="1:68" ht="13.5" customHeight="1" thickBot="1" x14ac:dyDescent="0.25"/>
    <row r="494" spans="1:68" ht="27" customHeight="1" thickTop="1" thickBot="1" x14ac:dyDescent="0.25">
      <c r="A494" s="40" t="s">
        <v>747</v>
      </c>
      <c r="B494" s="540" t="s">
        <v>63</v>
      </c>
      <c r="C494" s="587" t="s">
        <v>99</v>
      </c>
      <c r="D494" s="691"/>
      <c r="E494" s="691"/>
      <c r="F494" s="691"/>
      <c r="G494" s="691"/>
      <c r="H494" s="692"/>
      <c r="I494" s="587" t="s">
        <v>260</v>
      </c>
      <c r="J494" s="691"/>
      <c r="K494" s="691"/>
      <c r="L494" s="691"/>
      <c r="M494" s="691"/>
      <c r="N494" s="691"/>
      <c r="O494" s="691"/>
      <c r="P494" s="691"/>
      <c r="Q494" s="691"/>
      <c r="R494" s="692"/>
      <c r="S494" s="587" t="s">
        <v>550</v>
      </c>
      <c r="T494" s="692"/>
      <c r="U494" s="587" t="s">
        <v>603</v>
      </c>
      <c r="V494" s="691"/>
      <c r="W494" s="692"/>
      <c r="X494" s="540" t="s">
        <v>654</v>
      </c>
      <c r="Y494" s="587" t="s">
        <v>705</v>
      </c>
      <c r="Z494" s="692"/>
      <c r="AB494" s="52"/>
      <c r="AC494" s="52"/>
      <c r="AF494" s="541"/>
    </row>
    <row r="495" spans="1:68" ht="14.25" customHeight="1" thickTop="1" x14ac:dyDescent="0.2">
      <c r="A495" s="756" t="s">
        <v>748</v>
      </c>
      <c r="B495" s="587" t="s">
        <v>63</v>
      </c>
      <c r="C495" s="587" t="s">
        <v>100</v>
      </c>
      <c r="D495" s="587" t="s">
        <v>117</v>
      </c>
      <c r="E495" s="587" t="s">
        <v>165</v>
      </c>
      <c r="F495" s="587" t="s">
        <v>187</v>
      </c>
      <c r="G495" s="587" t="s">
        <v>224</v>
      </c>
      <c r="H495" s="587" t="s">
        <v>99</v>
      </c>
      <c r="I495" s="587" t="s">
        <v>261</v>
      </c>
      <c r="J495" s="587" t="s">
        <v>316</v>
      </c>
      <c r="K495" s="587" t="s">
        <v>376</v>
      </c>
      <c r="L495" s="587" t="s">
        <v>417</v>
      </c>
      <c r="M495" s="587" t="s">
        <v>433</v>
      </c>
      <c r="N495" s="541"/>
      <c r="O495" s="587" t="s">
        <v>444</v>
      </c>
      <c r="P495" s="587" t="s">
        <v>453</v>
      </c>
      <c r="Q495" s="587" t="s">
        <v>466</v>
      </c>
      <c r="R495" s="587" t="s">
        <v>540</v>
      </c>
      <c r="S495" s="587" t="s">
        <v>551</v>
      </c>
      <c r="T495" s="587" t="s">
        <v>587</v>
      </c>
      <c r="U495" s="587" t="s">
        <v>604</v>
      </c>
      <c r="V495" s="587" t="s">
        <v>635</v>
      </c>
      <c r="W495" s="587" t="s">
        <v>650</v>
      </c>
      <c r="X495" s="587" t="s">
        <v>654</v>
      </c>
      <c r="Y495" s="587" t="s">
        <v>705</v>
      </c>
      <c r="Z495" s="587" t="s">
        <v>735</v>
      </c>
      <c r="AB495" s="52"/>
      <c r="AC495" s="52"/>
      <c r="AF495" s="541"/>
    </row>
    <row r="496" spans="1:68" ht="13.5" customHeight="1" thickBot="1" x14ac:dyDescent="0.25">
      <c r="A496" s="757"/>
      <c r="B496" s="588"/>
      <c r="C496" s="588"/>
      <c r="D496" s="588"/>
      <c r="E496" s="588"/>
      <c r="F496" s="588"/>
      <c r="G496" s="588"/>
      <c r="H496" s="588"/>
      <c r="I496" s="588"/>
      <c r="J496" s="588"/>
      <c r="K496" s="588"/>
      <c r="L496" s="588"/>
      <c r="M496" s="588"/>
      <c r="N496" s="541"/>
      <c r="O496" s="588"/>
      <c r="P496" s="588"/>
      <c r="Q496" s="588"/>
      <c r="R496" s="588"/>
      <c r="S496" s="588"/>
      <c r="T496" s="588"/>
      <c r="U496" s="588"/>
      <c r="V496" s="588"/>
      <c r="W496" s="588"/>
      <c r="X496" s="588"/>
      <c r="Y496" s="588"/>
      <c r="Z496" s="588"/>
      <c r="AB496" s="52"/>
      <c r="AC496" s="52"/>
      <c r="AF496" s="541"/>
    </row>
    <row r="497" spans="1:32" ht="18" customHeight="1" thickTop="1" thickBot="1" x14ac:dyDescent="0.25">
      <c r="A497" s="40" t="s">
        <v>749</v>
      </c>
      <c r="B497" s="46">
        <f>IFERROR(Y22*1,"0")+IFERROR(Y23*1,"0")+IFERROR(Y27*1,"0")+IFERROR(Y28*1,"0")+IFERROR(Y29*1,"0")+IFERROR(Y30*1,"0")+IFERROR(Y34*1,"0")</f>
        <v>0</v>
      </c>
      <c r="C497" s="46">
        <f>IFERROR(Y40*1,"0")+IFERROR(Y41*1,"0")+IFERROR(Y42*1,"0")+IFERROR(Y46*1,"0")</f>
        <v>32.400000000000006</v>
      </c>
      <c r="D497" s="46">
        <f>IFERROR(Y51*1,"0")+IFERROR(Y52*1,"0")+IFERROR(Y53*1,"0")+IFERROR(Y54*1,"0")+IFERROR(Y55*1,"0")+IFERROR(Y56*1,"0")+IFERROR(Y60*1,"0")+IFERROR(Y61*1,"0")+IFERROR(Y62*1,"0")+IFERROR(Y66*1,"0")+IFERROR(Y70*1,"0")+IFERROR(Y71*1,"0")+IFERROR(Y72*1,"0")+IFERROR(Y73*1,"0")+IFERROR(Y77*1,"0")+IFERROR(Y78*1,"0")</f>
        <v>209.7</v>
      </c>
      <c r="E497" s="46">
        <f>IFERROR(Y83*1,"0")+IFERROR(Y84*1,"0")+IFERROR(Y85*1,"0")+IFERROR(Y86*1,"0")+IFERROR(Y90*1,"0")+IFERROR(Y91*1,"0")+IFERROR(Y92*1,"0")+IFERROR(Y93*1,"0")</f>
        <v>46.800000000000004</v>
      </c>
      <c r="F497" s="46">
        <f>IFERROR(Y98*1,"0")+IFERROR(Y99*1,"0")+IFERROR(Y100*1,"0")+IFERROR(Y101*1,"0")+IFERROR(Y102*1,"0")+IFERROR(Y106*1,"0")+IFERROR(Y107*1,"0")+IFERROR(Y108*1,"0")+IFERROR(Y109*1,"0")+IFERROR(Y113*1,"0")+IFERROR(Y114*1,"0")+IFERROR(Y115*1,"0")+IFERROR(Y116*1,"0")+IFERROR(Y120*1,"0")</f>
        <v>113.4</v>
      </c>
      <c r="G497" s="46">
        <f>IFERROR(Y125*1,"0")+IFERROR(Y126*1,"0")+IFERROR(Y130*1,"0")+IFERROR(Y131*1,"0")+IFERROR(Y135*1,"0")+IFERROR(Y136*1,"0")</f>
        <v>0</v>
      </c>
      <c r="H497" s="46">
        <f>IFERROR(Y141*1,"0")+IFERROR(Y142*1,"0")+IFERROR(Y146*1,"0")+IFERROR(Y147*1,"0")+IFERROR(Y148*1,"0")+IFERROR(Y149*1,"0")+IFERROR(Y150*1,"0")+IFERROR(Y154*1,"0")</f>
        <v>0</v>
      </c>
      <c r="I497" s="46">
        <f>IFERROR(Y160*1,"0")+IFERROR(Y164*1,"0")+IFERROR(Y165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</f>
        <v>12.600000000000001</v>
      </c>
      <c r="J497" s="46">
        <f>IFERROR(Y192*1,"0")+IFERROR(Y193*1,"0")+IFERROR(Y197*1,"0")+IFERROR(Y198*1,"0")+IFERROR(Y202*1,"0")+IFERROR(Y203*1,"0")+IFERROR(Y204*1,"0")+IFERROR(Y205*1,"0")+IFERROR(Y206*1,"0")+IFERROR(Y207*1,"0")+IFERROR(Y208*1,"0")+IFERROR(Y209*1,"0")+IFERROR(Y213*1,"0")+IFERROR(Y214*1,"0")+IFERROR(Y215*1,"0")+IFERROR(Y216*1,"0")+IFERROR(Y217*1,"0")+IFERROR(Y218*1,"0")+IFERROR(Y219*1,"0")+IFERROR(Y220*1,"0")+IFERROR(Y221*1,"0")+IFERROR(Y225*1,"0")+IFERROR(Y226*1,"0")</f>
        <v>170.10000000000002</v>
      </c>
      <c r="K497" s="46">
        <f>IFERROR(Y231*1,"0")+IFERROR(Y232*1,"0")+IFERROR(Y233*1,"0")+IFERROR(Y234*1,"0")+IFERROR(Y235*1,"0")+IFERROR(Y236*1,"0")+IFERROR(Y237*1,"0")+IFERROR(Y238*1,"0")+IFERROR(Y239*1,"0")+IFERROR(Y243*1,"0")+IFERROR(Y247*1,"0")+IFERROR(Y251*1,"0")+IFERROR(Y252*1,"0")+IFERROR(Y253*1,"0")+IFERROR(Y254*1,"0")+IFERROR(Y255*1,"0")</f>
        <v>0</v>
      </c>
      <c r="L497" s="46">
        <f>IFERROR(Y260*1,"0")+IFERROR(Y261*1,"0")+IFERROR(Y262*1,"0")+IFERROR(Y263*1,"0")+IFERROR(Y264*1,"0")</f>
        <v>10.8</v>
      </c>
      <c r="M497" s="46">
        <f>IFERROR(Y269*1,"0")+IFERROR(Y270*1,"0")+IFERROR(Y271*1,"0")+IFERROR(Y272*1,"0")</f>
        <v>0</v>
      </c>
      <c r="N497" s="541"/>
      <c r="O497" s="46">
        <f>IFERROR(Y277*1,"0")+IFERROR(Y278*1,"0")+IFERROR(Y279*1,"0")</f>
        <v>0</v>
      </c>
      <c r="P497" s="46">
        <f>IFERROR(Y284*1,"0")+IFERROR(Y285*1,"0")+IFERROR(Y289*1,"0")+IFERROR(Y290*1,"0")</f>
        <v>0</v>
      </c>
      <c r="Q497" s="46">
        <f>IFERROR(Y295*1,"0")+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62.4</v>
      </c>
      <c r="R497" s="46">
        <f>IFERROR(Y340*1,"0")+IFERROR(Y341*1,"0")+IFERROR(Y342*1,"0")</f>
        <v>10.5</v>
      </c>
      <c r="S497" s="46">
        <f>IFERROR(Y348*1,"0")+IFERROR(Y349*1,"0")+IFERROR(Y350*1,"0")+IFERROR(Y351*1,"0")+IFERROR(Y352*1,"0")+IFERROR(Y353*1,"0")+IFERROR(Y354*1,"0")+IFERROR(Y358*1,"0")+IFERROR(Y359*1,"0")+IFERROR(Y363*1,"0")+IFERROR(Y364*1,"0")+IFERROR(Y368*1,"0")</f>
        <v>0</v>
      </c>
      <c r="T497" s="46">
        <f>IFERROR(Y373*1,"0")+IFERROR(Y374*1,"0")+IFERROR(Y378*1,"0")+IFERROR(Y382*1,"0")+IFERROR(Y383*1,"0")+IFERROR(Y384*1,"0")</f>
        <v>48</v>
      </c>
      <c r="U497" s="46">
        <f>IFERROR(Y390*1,"0")+IFERROR(Y391*1,"0")+IFERROR(Y392*1,"0")+IFERROR(Y393*1,"0")+IFERROR(Y394*1,"0")+IFERROR(Y395*1,"0")+IFERROR(Y396*1,"0")+IFERROR(Y397*1,"0")+IFERROR(Y398*1,"0")+IFERROR(Y402*1,"0")+IFERROR(Y403*1,"0")</f>
        <v>0</v>
      </c>
      <c r="V497" s="46">
        <f>IFERROR(Y408*1,"0")+IFERROR(Y412*1,"0")+IFERROR(Y413*1,"0")+IFERROR(Y414*1,"0")+IFERROR(Y415*1,"0")</f>
        <v>64.800000000000011</v>
      </c>
      <c r="W497" s="46">
        <f>IFERROR(Y420*1,"0")</f>
        <v>0</v>
      </c>
      <c r="X497" s="46">
        <f>IFERROR(Y426*1,"0")+IFERROR(Y427*1,"0")+IFERROR(Y428*1,"0")+IFERROR(Y429*1,"0")+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450*1,"0")+IFERROR(Y451*1,"0")+IFERROR(Y452*1,"0")</f>
        <v>211.20000000000002</v>
      </c>
      <c r="Y497" s="46">
        <f>IFERROR(Y458*1,"0")+IFERROR(Y459*1,"0")+IFERROR(Y460*1,"0")+IFERROR(Y461*1,"0")+IFERROR(Y465*1,"0")+IFERROR(Y466*1,"0")+IFERROR(Y470*1,"0")+IFERROR(Y474*1,"0")+IFERROR(Y478*1,"0")+IFERROR(Y479*1,"0")</f>
        <v>78</v>
      </c>
      <c r="Z497" s="46">
        <f>IFERROR(Y484*1,"0")</f>
        <v>0</v>
      </c>
      <c r="AB497" s="52"/>
      <c r="AC497" s="52"/>
      <c r="AF497" s="541"/>
    </row>
  </sheetData>
  <sheetProtection algorithmName="SHA-512" hashValue="RFIdvn0m7+Wk9h3OOAs/rf/f/Wp8WeOaUupnIuflb2b2TwQqI0Sw9/zYbMUUJb4nHzeYIDH1s2QC18owiroAeQ==" saltValue="A46+2zvtcHZhoKKOr7kL+Q==" spinCount="100000" sheet="1" objects="1" scenarios="1" sort="0" autoFilter="0" pivotTables="0"/>
  <autoFilter ref="A18:AF492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93"/>
        <filter val="1 048,15"/>
        <filter val="1 098,15"/>
        <filter val="1,67"/>
        <filter val="10,00"/>
        <filter val="10,50"/>
        <filter val="100,00"/>
        <filter val="105,00"/>
        <filter val="11,11"/>
        <filter val="11,17"/>
        <filter val="120,00"/>
        <filter val="13,50"/>
        <filter val="15,00"/>
        <filter val="156,50"/>
        <filter val="158,50"/>
        <filter val="18,94"/>
        <filter val="19,89"/>
        <filter val="2"/>
        <filter val="2,38"/>
        <filter val="2,78"/>
        <filter val="20,00"/>
        <filter val="22,22"/>
        <filter val="22,26"/>
        <filter val="22,50"/>
        <filter val="23,10"/>
        <filter val="25,00"/>
        <filter val="3,33"/>
        <filter val="3,70"/>
        <filter val="30,00"/>
        <filter val="35,00"/>
        <filter val="4,32"/>
        <filter val="4,85"/>
        <filter val="40,00"/>
        <filter val="45,00"/>
        <filter val="5,00"/>
        <filter val="5,56"/>
        <filter val="50,00"/>
        <filter val="58,50"/>
        <filter val="60,00"/>
        <filter val="63,50"/>
        <filter val="7,69"/>
        <filter val="8,10"/>
        <filter val="998,10"/>
      </filters>
    </filterColumn>
    <filterColumn colId="29" showButton="0"/>
    <filterColumn colId="30" showButton="0"/>
  </autoFilter>
  <mergeCells count="872">
    <mergeCell ref="A87:O88"/>
    <mergeCell ref="P172:T172"/>
    <mergeCell ref="P432:T432"/>
    <mergeCell ref="P400:V400"/>
    <mergeCell ref="P209:T209"/>
    <mergeCell ref="P147:T147"/>
    <mergeCell ref="P414:T414"/>
    <mergeCell ref="P301:V301"/>
    <mergeCell ref="P178:V178"/>
    <mergeCell ref="D235:E235"/>
    <mergeCell ref="D327:E327"/>
    <mergeCell ref="P308:T308"/>
    <mergeCell ref="D106:E106"/>
    <mergeCell ref="P427:T427"/>
    <mergeCell ref="D264:E264"/>
    <mergeCell ref="P277:T277"/>
    <mergeCell ref="D391:E391"/>
    <mergeCell ref="D220:E220"/>
    <mergeCell ref="P370:V370"/>
    <mergeCell ref="P199:V199"/>
    <mergeCell ref="A369:O370"/>
    <mergeCell ref="P453:V453"/>
    <mergeCell ref="D297:E297"/>
    <mergeCell ref="A256:O257"/>
    <mergeCell ref="P88:V88"/>
    <mergeCell ref="P324:V324"/>
    <mergeCell ref="A79:O80"/>
    <mergeCell ref="D70:E70"/>
    <mergeCell ref="P391:T391"/>
    <mergeCell ref="D263:E263"/>
    <mergeCell ref="P220:T220"/>
    <mergeCell ref="D238:E238"/>
    <mergeCell ref="D426:E426"/>
    <mergeCell ref="P86:T86"/>
    <mergeCell ref="A343:O344"/>
    <mergeCell ref="P384:T384"/>
    <mergeCell ref="P328:T328"/>
    <mergeCell ref="P213:T213"/>
    <mergeCell ref="D205:E205"/>
    <mergeCell ref="D78:E78"/>
    <mergeCell ref="P73:T73"/>
    <mergeCell ref="D187:E187"/>
    <mergeCell ref="P437:T437"/>
    <mergeCell ref="P315:T315"/>
    <mergeCell ref="P231:T231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A74:O75"/>
    <mergeCell ref="P28:T28"/>
    <mergeCell ref="P165:T165"/>
    <mergeCell ref="D98:E98"/>
    <mergeCell ref="D73:E73"/>
    <mergeCell ref="P30:T30"/>
    <mergeCell ref="P375:V375"/>
    <mergeCell ref="P179:V179"/>
    <mergeCell ref="P290:T290"/>
    <mergeCell ref="V10:W10"/>
    <mergeCell ref="D253:E253"/>
    <mergeCell ref="D53:E53"/>
    <mergeCell ref="D351:E351"/>
    <mergeCell ref="P330:V330"/>
    <mergeCell ref="D289:E289"/>
    <mergeCell ref="P160:T160"/>
    <mergeCell ref="T495:T496"/>
    <mergeCell ref="V495:V496"/>
    <mergeCell ref="A63:O64"/>
    <mergeCell ref="B17:B18"/>
    <mergeCell ref="D479:E479"/>
    <mergeCell ref="P143:V143"/>
    <mergeCell ref="P248:V248"/>
    <mergeCell ref="D131:E131"/>
    <mergeCell ref="P252:T252"/>
    <mergeCell ref="P56:T56"/>
    <mergeCell ref="A124:Z124"/>
    <mergeCell ref="D431:E431"/>
    <mergeCell ref="P99:T99"/>
    <mergeCell ref="A471:O472"/>
    <mergeCell ref="P170:T170"/>
    <mergeCell ref="A94:O95"/>
    <mergeCell ref="D474:E474"/>
    <mergeCell ref="P316:T316"/>
    <mergeCell ref="D66:E66"/>
    <mergeCell ref="D126:E126"/>
    <mergeCell ref="P443:T443"/>
    <mergeCell ref="D197:E197"/>
    <mergeCell ref="P24:V24"/>
    <mergeCell ref="A49:Z49"/>
    <mergeCell ref="S495:S496"/>
    <mergeCell ref="W17:W18"/>
    <mergeCell ref="U495:U496"/>
    <mergeCell ref="P161:V161"/>
    <mergeCell ref="Y494:Z494"/>
    <mergeCell ref="P234:T234"/>
    <mergeCell ref="D142:E142"/>
    <mergeCell ref="D378:E378"/>
    <mergeCell ref="D442:E442"/>
    <mergeCell ref="D429:E429"/>
    <mergeCell ref="P458:T458"/>
    <mergeCell ref="P485:V485"/>
    <mergeCell ref="P472:V472"/>
    <mergeCell ref="P416:V416"/>
    <mergeCell ref="P487:V487"/>
    <mergeCell ref="D470:E470"/>
    <mergeCell ref="P475:V475"/>
    <mergeCell ref="P462:V462"/>
    <mergeCell ref="P399:V399"/>
    <mergeCell ref="D443:E443"/>
    <mergeCell ref="A421:O422"/>
    <mergeCell ref="P402:T402"/>
    <mergeCell ref="A485:O486"/>
    <mergeCell ref="P452:T452"/>
    <mergeCell ref="D7:M7"/>
    <mergeCell ref="P236:T236"/>
    <mergeCell ref="A81:Z81"/>
    <mergeCell ref="P156:V156"/>
    <mergeCell ref="P92:T92"/>
    <mergeCell ref="P334:T334"/>
    <mergeCell ref="P394:T394"/>
    <mergeCell ref="D315:E315"/>
    <mergeCell ref="A184:O185"/>
    <mergeCell ref="P173:T173"/>
    <mergeCell ref="P29:T29"/>
    <mergeCell ref="P271:T271"/>
    <mergeCell ref="P100:T100"/>
    <mergeCell ref="D208:E208"/>
    <mergeCell ref="D8:M8"/>
    <mergeCell ref="D300:E300"/>
    <mergeCell ref="P237:T237"/>
    <mergeCell ref="A161:O162"/>
    <mergeCell ref="P329:T329"/>
    <mergeCell ref="P118:V118"/>
    <mergeCell ref="P343:V343"/>
    <mergeCell ref="A140:Z140"/>
    <mergeCell ref="A387:Z387"/>
    <mergeCell ref="P352:T352"/>
    <mergeCell ref="H1:Q1"/>
    <mergeCell ref="P480:V480"/>
    <mergeCell ref="P280:V280"/>
    <mergeCell ref="A268:Z268"/>
    <mergeCell ref="P274:V274"/>
    <mergeCell ref="D214:E214"/>
    <mergeCell ref="D284:E284"/>
    <mergeCell ref="P222:V222"/>
    <mergeCell ref="P120:T120"/>
    <mergeCell ref="A163:Z163"/>
    <mergeCell ref="D28:E28"/>
    <mergeCell ref="D326:E326"/>
    <mergeCell ref="P257:V257"/>
    <mergeCell ref="D313:E313"/>
    <mergeCell ref="A76:Z76"/>
    <mergeCell ref="D432:E432"/>
    <mergeCell ref="D236:E236"/>
    <mergeCell ref="A301:O302"/>
    <mergeCell ref="P171:T171"/>
    <mergeCell ref="D92:E92"/>
    <mergeCell ref="P413:T413"/>
    <mergeCell ref="D55:E55"/>
    <mergeCell ref="D353:E353"/>
    <mergeCell ref="D30:E30"/>
    <mergeCell ref="D5:E5"/>
    <mergeCell ref="P382:T382"/>
    <mergeCell ref="P42:T42"/>
    <mergeCell ref="D290:E290"/>
    <mergeCell ref="P148:T148"/>
    <mergeCell ref="A47:O48"/>
    <mergeCell ref="A240:O241"/>
    <mergeCell ref="D354:E354"/>
    <mergeCell ref="P162:V162"/>
    <mergeCell ref="A45:Z45"/>
    <mergeCell ref="P35:V35"/>
    <mergeCell ref="D316:E316"/>
    <mergeCell ref="D272:E272"/>
    <mergeCell ref="A345:Z345"/>
    <mergeCell ref="D308:E308"/>
    <mergeCell ref="D209:E209"/>
    <mergeCell ref="P166:T166"/>
    <mergeCell ref="A282:Z282"/>
    <mergeCell ref="P188:V188"/>
    <mergeCell ref="D147:E147"/>
    <mergeCell ref="A89:Z89"/>
    <mergeCell ref="P116:T116"/>
    <mergeCell ref="A105:Z105"/>
    <mergeCell ref="D135:E135"/>
    <mergeCell ref="P474:T474"/>
    <mergeCell ref="A26:Z26"/>
    <mergeCell ref="A227:O228"/>
    <mergeCell ref="D382:E382"/>
    <mergeCell ref="P168:T168"/>
    <mergeCell ref="D1:F1"/>
    <mergeCell ref="P466:T466"/>
    <mergeCell ref="A242:Z242"/>
    <mergeCell ref="P488:V488"/>
    <mergeCell ref="P111:V111"/>
    <mergeCell ref="P409:V409"/>
    <mergeCell ref="J17:J18"/>
    <mergeCell ref="L17:L18"/>
    <mergeCell ref="P17:T18"/>
    <mergeCell ref="P429:T429"/>
    <mergeCell ref="D108:E108"/>
    <mergeCell ref="P52:T52"/>
    <mergeCell ref="A480:O481"/>
    <mergeCell ref="P350:T350"/>
    <mergeCell ref="D160:E160"/>
    <mergeCell ref="A467:O468"/>
    <mergeCell ref="I17:I18"/>
    <mergeCell ref="D141:E141"/>
    <mergeCell ref="D306:E306"/>
    <mergeCell ref="H495:H496"/>
    <mergeCell ref="J495:J496"/>
    <mergeCell ref="P48:V48"/>
    <mergeCell ref="P490:V490"/>
    <mergeCell ref="P426:T426"/>
    <mergeCell ref="A371:Z371"/>
    <mergeCell ref="P255:T255"/>
    <mergeCell ref="D334:E334"/>
    <mergeCell ref="A407:Z407"/>
    <mergeCell ref="P192:T192"/>
    <mergeCell ref="P428:T428"/>
    <mergeCell ref="D100:E100"/>
    <mergeCell ref="P284:T284"/>
    <mergeCell ref="P113:T113"/>
    <mergeCell ref="A229:Z229"/>
    <mergeCell ref="P323:V323"/>
    <mergeCell ref="A446:Z446"/>
    <mergeCell ref="A416:O417"/>
    <mergeCell ref="D329:E329"/>
    <mergeCell ref="P479:T479"/>
    <mergeCell ref="D77:E77"/>
    <mergeCell ref="P131:T131"/>
    <mergeCell ref="P187:T187"/>
    <mergeCell ref="A117:O118"/>
    <mergeCell ref="P463:V463"/>
    <mergeCell ref="D451:E451"/>
    <mergeCell ref="D255:E255"/>
    <mergeCell ref="P36:V36"/>
    <mergeCell ref="A303:Z303"/>
    <mergeCell ref="A159:Z159"/>
    <mergeCell ref="P78:T78"/>
    <mergeCell ref="A97:Z97"/>
    <mergeCell ref="Q11:R11"/>
    <mergeCell ref="D322:E322"/>
    <mergeCell ref="P205:T205"/>
    <mergeCell ref="D260:E260"/>
    <mergeCell ref="P403:T403"/>
    <mergeCell ref="P378:T378"/>
    <mergeCell ref="P417:V417"/>
    <mergeCell ref="P442:T442"/>
    <mergeCell ref="A375:O376"/>
    <mergeCell ref="A143:O144"/>
    <mergeCell ref="A199:O200"/>
    <mergeCell ref="P227:V227"/>
    <mergeCell ref="P444:V444"/>
    <mergeCell ref="P58:V58"/>
    <mergeCell ref="A325:Z325"/>
    <mergeCell ref="A50:Z50"/>
    <mergeCell ref="A6:C6"/>
    <mergeCell ref="D309:E309"/>
    <mergeCell ref="D113:E113"/>
    <mergeCell ref="A96:Z96"/>
    <mergeCell ref="P167:T167"/>
    <mergeCell ref="P336:V336"/>
    <mergeCell ref="A332:Z332"/>
    <mergeCell ref="D148:E148"/>
    <mergeCell ref="P142:T142"/>
    <mergeCell ref="P55:T55"/>
    <mergeCell ref="D115:E115"/>
    <mergeCell ref="P182:T182"/>
    <mergeCell ref="Q12:R12"/>
    <mergeCell ref="D261:E261"/>
    <mergeCell ref="P169:T169"/>
    <mergeCell ref="D90:E90"/>
    <mergeCell ref="A14:M14"/>
    <mergeCell ref="D335:E335"/>
    <mergeCell ref="P322:T322"/>
    <mergeCell ref="P260:T260"/>
    <mergeCell ref="P309:T309"/>
    <mergeCell ref="D295:E295"/>
    <mergeCell ref="D172:E172"/>
    <mergeCell ref="P51:T51"/>
    <mergeCell ref="P489:V489"/>
    <mergeCell ref="D448:E448"/>
    <mergeCell ref="A43:O44"/>
    <mergeCell ref="P133:V133"/>
    <mergeCell ref="D390:E390"/>
    <mergeCell ref="P127:V127"/>
    <mergeCell ref="P491:V491"/>
    <mergeCell ref="P369:V369"/>
    <mergeCell ref="A250:Z250"/>
    <mergeCell ref="A123:Z123"/>
    <mergeCell ref="A482:Z482"/>
    <mergeCell ref="D109:E109"/>
    <mergeCell ref="A280:O281"/>
    <mergeCell ref="A145:Z145"/>
    <mergeCell ref="P216:T216"/>
    <mergeCell ref="A406:Z406"/>
    <mergeCell ref="A381:Z381"/>
    <mergeCell ref="P385:V385"/>
    <mergeCell ref="A139:Z139"/>
    <mergeCell ref="P360:V360"/>
    <mergeCell ref="P80:V80"/>
    <mergeCell ref="P151:V151"/>
    <mergeCell ref="D130:E130"/>
    <mergeCell ref="P451:T451"/>
    <mergeCell ref="A5:C5"/>
    <mergeCell ref="A473:Z473"/>
    <mergeCell ref="P340:T340"/>
    <mergeCell ref="P64:V64"/>
    <mergeCell ref="A423:Z423"/>
    <mergeCell ref="D166:E166"/>
    <mergeCell ref="D402:E402"/>
    <mergeCell ref="P128:V128"/>
    <mergeCell ref="A17:A18"/>
    <mergeCell ref="D9:E9"/>
    <mergeCell ref="F9:G9"/>
    <mergeCell ref="P353:T353"/>
    <mergeCell ref="D27:E27"/>
    <mergeCell ref="P15:T16"/>
    <mergeCell ref="P23:T23"/>
    <mergeCell ref="A180:Z180"/>
    <mergeCell ref="A12:M12"/>
    <mergeCell ref="A411:Z411"/>
    <mergeCell ref="P397:T397"/>
    <mergeCell ref="P200:V200"/>
    <mergeCell ref="A190:Z190"/>
    <mergeCell ref="A19:Z19"/>
    <mergeCell ref="P292:V292"/>
    <mergeCell ref="D182:E182"/>
    <mergeCell ref="G495:G496"/>
    <mergeCell ref="P300:T300"/>
    <mergeCell ref="C17:C18"/>
    <mergeCell ref="K17:K18"/>
    <mergeCell ref="P431:T431"/>
    <mergeCell ref="A495:A496"/>
    <mergeCell ref="P358:T358"/>
    <mergeCell ref="P380:V380"/>
    <mergeCell ref="D168:E168"/>
    <mergeCell ref="D466:E466"/>
    <mergeCell ref="P66:T66"/>
    <mergeCell ref="P197:T197"/>
    <mergeCell ref="P53:T53"/>
    <mergeCell ref="D167:E167"/>
    <mergeCell ref="P351:T351"/>
    <mergeCell ref="A248:O249"/>
    <mergeCell ref="P289:T289"/>
    <mergeCell ref="D403:E403"/>
    <mergeCell ref="D232:E232"/>
    <mergeCell ref="A210:O211"/>
    <mergeCell ref="P67:V67"/>
    <mergeCell ref="P264:T264"/>
    <mergeCell ref="P239:T239"/>
    <mergeCell ref="D169:E169"/>
    <mergeCell ref="U494:W494"/>
    <mergeCell ref="A134:Z134"/>
    <mergeCell ref="A357:Z357"/>
    <mergeCell ref="P486:V486"/>
    <mergeCell ref="P75:V75"/>
    <mergeCell ref="P317:V317"/>
    <mergeCell ref="P305:T305"/>
    <mergeCell ref="P344:V344"/>
    <mergeCell ref="D52:E52"/>
    <mergeCell ref="D350:E350"/>
    <mergeCell ref="P110:V110"/>
    <mergeCell ref="A67:O68"/>
    <mergeCell ref="P208:T208"/>
    <mergeCell ref="D396:E396"/>
    <mergeCell ref="P450:T450"/>
    <mergeCell ref="A132:O133"/>
    <mergeCell ref="D116:E116"/>
    <mergeCell ref="D414:E414"/>
    <mergeCell ref="D352:E352"/>
    <mergeCell ref="P219:T219"/>
    <mergeCell ref="D91:E91"/>
    <mergeCell ref="P272:T272"/>
    <mergeCell ref="D460:E460"/>
    <mergeCell ref="D93:E93"/>
    <mergeCell ref="P285:T285"/>
    <mergeCell ref="A259:Z259"/>
    <mergeCell ref="A424:Z424"/>
    <mergeCell ref="D251:E251"/>
    <mergeCell ref="P228:V228"/>
    <mergeCell ref="P355:V355"/>
    <mergeCell ref="A258:Z258"/>
    <mergeCell ref="D277:E277"/>
    <mergeCell ref="P256:V256"/>
    <mergeCell ref="P366:V366"/>
    <mergeCell ref="P364:T364"/>
    <mergeCell ref="A339:Z339"/>
    <mergeCell ref="A379:O380"/>
    <mergeCell ref="A330:O331"/>
    <mergeCell ref="D363:E363"/>
    <mergeCell ref="A276:Z276"/>
    <mergeCell ref="P245:V245"/>
    <mergeCell ref="T5:U5"/>
    <mergeCell ref="O495:O496"/>
    <mergeCell ref="V5:W5"/>
    <mergeCell ref="P374:T374"/>
    <mergeCell ref="Q495:Q496"/>
    <mergeCell ref="A319:Z319"/>
    <mergeCell ref="P203:T203"/>
    <mergeCell ref="D46:E46"/>
    <mergeCell ref="D40:E40"/>
    <mergeCell ref="D233:E233"/>
    <mergeCell ref="A477:Z477"/>
    <mergeCell ref="Q8:R8"/>
    <mergeCell ref="D183:E183"/>
    <mergeCell ref="D219:E219"/>
    <mergeCell ref="D340:E340"/>
    <mergeCell ref="T6:U9"/>
    <mergeCell ref="Q10:R10"/>
    <mergeCell ref="D41:E41"/>
    <mergeCell ref="P296:T296"/>
    <mergeCell ref="P318:V318"/>
    <mergeCell ref="P291:V291"/>
    <mergeCell ref="D328:E328"/>
    <mergeCell ref="I495:I496"/>
    <mergeCell ref="P79:V79"/>
    <mergeCell ref="P244:V244"/>
    <mergeCell ref="A69:Z69"/>
    <mergeCell ref="A367:Z367"/>
    <mergeCell ref="A196:Z196"/>
    <mergeCell ref="D254:E254"/>
    <mergeCell ref="P115:T115"/>
    <mergeCell ref="P302:V302"/>
    <mergeCell ref="P238:T238"/>
    <mergeCell ref="A419:Z419"/>
    <mergeCell ref="P77:T77"/>
    <mergeCell ref="P204:T204"/>
    <mergeCell ref="D125:E125"/>
    <mergeCell ref="P306:T306"/>
    <mergeCell ref="P249:V249"/>
    <mergeCell ref="P207:T207"/>
    <mergeCell ref="A372:Z372"/>
    <mergeCell ref="P299:T299"/>
    <mergeCell ref="P495:P496"/>
    <mergeCell ref="P439:V439"/>
    <mergeCell ref="D398:E398"/>
    <mergeCell ref="P211:V211"/>
    <mergeCell ref="D174:E174"/>
    <mergeCell ref="R495:R496"/>
    <mergeCell ref="A438:O439"/>
    <mergeCell ref="A418:Z418"/>
    <mergeCell ref="D348:E348"/>
    <mergeCell ref="P141:T141"/>
    <mergeCell ref="P454:V454"/>
    <mergeCell ref="D62:E62"/>
    <mergeCell ref="D56:E56"/>
    <mergeCell ref="D193:E193"/>
    <mergeCell ref="C494:H494"/>
    <mergeCell ref="P206:T206"/>
    <mergeCell ref="P448:T448"/>
    <mergeCell ref="P233:T233"/>
    <mergeCell ref="P304:T304"/>
    <mergeCell ref="D176:E176"/>
    <mergeCell ref="D285:E285"/>
    <mergeCell ref="P155:V155"/>
    <mergeCell ref="D114:E114"/>
    <mergeCell ref="D412:E412"/>
    <mergeCell ref="A273:O274"/>
    <mergeCell ref="P441:T441"/>
    <mergeCell ref="A365:O366"/>
    <mergeCell ref="P235:T235"/>
    <mergeCell ref="D349:E349"/>
    <mergeCell ref="A119:Z119"/>
    <mergeCell ref="D61:E61"/>
    <mergeCell ref="A186:Z186"/>
    <mergeCell ref="P232:T232"/>
    <mergeCell ref="P152:V152"/>
    <mergeCell ref="A82:Z82"/>
    <mergeCell ref="A275:Z275"/>
    <mergeCell ref="D298:E298"/>
    <mergeCell ref="D181:E181"/>
    <mergeCell ref="A158:Z158"/>
    <mergeCell ref="P87:V87"/>
    <mergeCell ref="D72:E72"/>
    <mergeCell ref="P265:V265"/>
    <mergeCell ref="A212:Z212"/>
    <mergeCell ref="P94:V94"/>
    <mergeCell ref="P74:V74"/>
    <mergeCell ref="P71:T71"/>
    <mergeCell ref="P103:V103"/>
    <mergeCell ref="P107:T107"/>
    <mergeCell ref="P101:T101"/>
    <mergeCell ref="D216:E216"/>
    <mergeCell ref="P195:V195"/>
    <mergeCell ref="P68:V68"/>
    <mergeCell ref="P132:V132"/>
    <mergeCell ref="D51:E51"/>
    <mergeCell ref="A13:M13"/>
    <mergeCell ref="A15:M15"/>
    <mergeCell ref="A38:Z38"/>
    <mergeCell ref="Q9:R9"/>
    <mergeCell ref="H9:I9"/>
    <mergeCell ref="A65:Z65"/>
    <mergeCell ref="D60:E60"/>
    <mergeCell ref="P63:V63"/>
    <mergeCell ref="P62:T62"/>
    <mergeCell ref="P43:V43"/>
    <mergeCell ref="P60:T60"/>
    <mergeCell ref="A10:C10"/>
    <mergeCell ref="A21:Z21"/>
    <mergeCell ref="D42:E42"/>
    <mergeCell ref="D17:E18"/>
    <mergeCell ref="A33:Z33"/>
    <mergeCell ref="D54:E54"/>
    <mergeCell ref="P25:V25"/>
    <mergeCell ref="A37:Z37"/>
    <mergeCell ref="B495:B496"/>
    <mergeCell ref="H17:H18"/>
    <mergeCell ref="D495:D496"/>
    <mergeCell ref="P261:T261"/>
    <mergeCell ref="A291:O292"/>
    <mergeCell ref="F495:F496"/>
    <mergeCell ref="P217:T217"/>
    <mergeCell ref="D204:E204"/>
    <mergeCell ref="P459:T459"/>
    <mergeCell ref="D465:E465"/>
    <mergeCell ref="D269:E269"/>
    <mergeCell ref="D198:E198"/>
    <mergeCell ref="D296:E296"/>
    <mergeCell ref="P104:V104"/>
    <mergeCell ref="D427:E427"/>
    <mergeCell ref="P27:T27"/>
    <mergeCell ref="P154:T154"/>
    <mergeCell ref="A222:O223"/>
    <mergeCell ref="D206:E206"/>
    <mergeCell ref="P390:T390"/>
    <mergeCell ref="P241:V241"/>
    <mergeCell ref="S494:T494"/>
    <mergeCell ref="P386:V386"/>
    <mergeCell ref="P393:T393"/>
    <mergeCell ref="D435:E435"/>
    <mergeCell ref="A404:O405"/>
    <mergeCell ref="A475:O476"/>
    <mergeCell ref="D413:E413"/>
    <mergeCell ref="P468:V468"/>
    <mergeCell ref="A464:Z464"/>
    <mergeCell ref="AA17:AA18"/>
    <mergeCell ref="P93:T93"/>
    <mergeCell ref="D85:E85"/>
    <mergeCell ref="D299:E299"/>
    <mergeCell ref="G17:G18"/>
    <mergeCell ref="P46:T46"/>
    <mergeCell ref="D461:E461"/>
    <mergeCell ref="P61:T61"/>
    <mergeCell ref="P359:T359"/>
    <mergeCell ref="A178:O179"/>
    <mergeCell ref="D436:E436"/>
    <mergeCell ref="A157:Z157"/>
    <mergeCell ref="A35:O36"/>
    <mergeCell ref="D22:E22"/>
    <mergeCell ref="A455:Z455"/>
    <mergeCell ref="D320:E320"/>
    <mergeCell ref="P395:T395"/>
    <mergeCell ref="D359:E359"/>
    <mergeCell ref="A457:Z457"/>
    <mergeCell ref="D213:E213"/>
    <mergeCell ref="D449:E449"/>
    <mergeCell ref="A110:O111"/>
    <mergeCell ref="W495:W496"/>
    <mergeCell ref="A377:Z377"/>
    <mergeCell ref="AC17:AC18"/>
    <mergeCell ref="Y495:Y496"/>
    <mergeCell ref="H10:M10"/>
    <mergeCell ref="A409:O410"/>
    <mergeCell ref="P279:T279"/>
    <mergeCell ref="P108:T108"/>
    <mergeCell ref="D393:E393"/>
    <mergeCell ref="A224:Z224"/>
    <mergeCell ref="P254:T254"/>
    <mergeCell ref="P445:V445"/>
    <mergeCell ref="P251:T251"/>
    <mergeCell ref="A288:Z288"/>
    <mergeCell ref="D420:E420"/>
    <mergeCell ref="AB17:AB18"/>
    <mergeCell ref="A283:Z283"/>
    <mergeCell ref="A388:Z388"/>
    <mergeCell ref="P44:V44"/>
    <mergeCell ref="I494:R494"/>
    <mergeCell ref="P398:T398"/>
    <mergeCell ref="D368:E368"/>
    <mergeCell ref="P106:T106"/>
    <mergeCell ref="P177:T177"/>
    <mergeCell ref="P226:T226"/>
    <mergeCell ref="P335:T335"/>
    <mergeCell ref="D484:E484"/>
    <mergeCell ref="D217:E217"/>
    <mergeCell ref="A155:O156"/>
    <mergeCell ref="A462:O463"/>
    <mergeCell ref="P193:T193"/>
    <mergeCell ref="P320:T320"/>
    <mergeCell ref="P314:T314"/>
    <mergeCell ref="D428:E428"/>
    <mergeCell ref="D415:E415"/>
    <mergeCell ref="A346:Z346"/>
    <mergeCell ref="P269:T269"/>
    <mergeCell ref="D207:E207"/>
    <mergeCell ref="D383:E383"/>
    <mergeCell ref="P164:T164"/>
    <mergeCell ref="P404:V404"/>
    <mergeCell ref="A286:O287"/>
    <mergeCell ref="P327:T327"/>
    <mergeCell ref="A444:O445"/>
    <mergeCell ref="A487:O492"/>
    <mergeCell ref="P405:V405"/>
    <mergeCell ref="A401:Z401"/>
    <mergeCell ref="P476:V476"/>
    <mergeCell ref="A230:Z230"/>
    <mergeCell ref="A59:Z59"/>
    <mergeCell ref="P57:V57"/>
    <mergeCell ref="C495:C496"/>
    <mergeCell ref="P333:T333"/>
    <mergeCell ref="A323:O324"/>
    <mergeCell ref="E495:E496"/>
    <mergeCell ref="D314:E314"/>
    <mergeCell ref="P184:V184"/>
    <mergeCell ref="P121:V121"/>
    <mergeCell ref="P471:V471"/>
    <mergeCell ref="D459:E459"/>
    <mergeCell ref="P130:T130"/>
    <mergeCell ref="P421:V421"/>
    <mergeCell ref="D136:E136"/>
    <mergeCell ref="D434:E434"/>
    <mergeCell ref="P240:V240"/>
    <mergeCell ref="D154:E154"/>
    <mergeCell ref="D225:E225"/>
    <mergeCell ref="A399:O400"/>
    <mergeCell ref="X495:X496"/>
    <mergeCell ref="Z495:Z496"/>
    <mergeCell ref="P321:T321"/>
    <mergeCell ref="P125:T125"/>
    <mergeCell ref="D373:E373"/>
    <mergeCell ref="D202:E202"/>
    <mergeCell ref="P348:T348"/>
    <mergeCell ref="P273:V273"/>
    <mergeCell ref="D231:E231"/>
    <mergeCell ref="D358:E358"/>
    <mergeCell ref="P337:V337"/>
    <mergeCell ref="A389:Z389"/>
    <mergeCell ref="A336:O337"/>
    <mergeCell ref="A293:Z293"/>
    <mergeCell ref="P176:T176"/>
    <mergeCell ref="P478:T478"/>
    <mergeCell ref="D321:E321"/>
    <mergeCell ref="P278:T278"/>
    <mergeCell ref="D150:E150"/>
    <mergeCell ref="P465:T465"/>
    <mergeCell ref="D215:E215"/>
    <mergeCell ref="P194:V194"/>
    <mergeCell ref="A246:Z246"/>
    <mergeCell ref="D164:E164"/>
    <mergeCell ref="P470:T470"/>
    <mergeCell ref="D447:E447"/>
    <mergeCell ref="P422:V422"/>
    <mergeCell ref="A191:Z191"/>
    <mergeCell ref="P433:T433"/>
    <mergeCell ref="P262:T262"/>
    <mergeCell ref="D341:E341"/>
    <mergeCell ref="D170:E170"/>
    <mergeCell ref="D458:E458"/>
    <mergeCell ref="D433:E433"/>
    <mergeCell ref="D239:E239"/>
    <mergeCell ref="P174:T174"/>
    <mergeCell ref="P185:V185"/>
    <mergeCell ref="P396:T396"/>
    <mergeCell ref="A456:Z456"/>
    <mergeCell ref="P225:T225"/>
    <mergeCell ref="P461:T461"/>
    <mergeCell ref="A317:O318"/>
    <mergeCell ref="D304:E304"/>
    <mergeCell ref="P175:T175"/>
    <mergeCell ref="P266:V266"/>
    <mergeCell ref="P331:V331"/>
    <mergeCell ref="P460:T460"/>
    <mergeCell ref="D441:E441"/>
    <mergeCell ref="P492:V492"/>
    <mergeCell ref="A103:O104"/>
    <mergeCell ref="P415:T415"/>
    <mergeCell ref="P286:V286"/>
    <mergeCell ref="M17:M18"/>
    <mergeCell ref="A469:Z469"/>
    <mergeCell ref="K495:K496"/>
    <mergeCell ref="O17:O18"/>
    <mergeCell ref="M495:M496"/>
    <mergeCell ref="A453:O454"/>
    <mergeCell ref="P223:V223"/>
    <mergeCell ref="P430:T430"/>
    <mergeCell ref="P410:V410"/>
    <mergeCell ref="P481:V481"/>
    <mergeCell ref="P102:T102"/>
    <mergeCell ref="P189:V189"/>
    <mergeCell ref="A483:Z483"/>
    <mergeCell ref="A312:Z312"/>
    <mergeCell ref="P287:V287"/>
    <mergeCell ref="P281:V281"/>
    <mergeCell ref="P354:T354"/>
    <mergeCell ref="D226:E226"/>
    <mergeCell ref="P183:T183"/>
    <mergeCell ref="D177:E177"/>
    <mergeCell ref="P2:W3"/>
    <mergeCell ref="P298:T298"/>
    <mergeCell ref="D437:E437"/>
    <mergeCell ref="P198:T198"/>
    <mergeCell ref="A57:O58"/>
    <mergeCell ref="P54:T54"/>
    <mergeCell ref="A244:O245"/>
    <mergeCell ref="P90:T90"/>
    <mergeCell ref="P412:T412"/>
    <mergeCell ref="D333:E333"/>
    <mergeCell ref="D10:E10"/>
    <mergeCell ref="P135:T135"/>
    <mergeCell ref="A121:O122"/>
    <mergeCell ref="D34:E34"/>
    <mergeCell ref="D305:E305"/>
    <mergeCell ref="F10:G10"/>
    <mergeCell ref="D243:E243"/>
    <mergeCell ref="P349:T349"/>
    <mergeCell ref="D270:E270"/>
    <mergeCell ref="P420:T420"/>
    <mergeCell ref="D397:E397"/>
    <mergeCell ref="D99:E99"/>
    <mergeCell ref="P376:V376"/>
    <mergeCell ref="A201:Z201"/>
    <mergeCell ref="P467:V467"/>
    <mergeCell ref="D430:E430"/>
    <mergeCell ref="D175:E175"/>
    <mergeCell ref="P253:T253"/>
    <mergeCell ref="D392:E392"/>
    <mergeCell ref="D221:E221"/>
    <mergeCell ref="A294:Z294"/>
    <mergeCell ref="V11:W11"/>
    <mergeCell ref="D165:E165"/>
    <mergeCell ref="P342:T342"/>
    <mergeCell ref="P146:T146"/>
    <mergeCell ref="D394:E394"/>
    <mergeCell ref="D450:E450"/>
    <mergeCell ref="D279:E279"/>
    <mergeCell ref="P181:T181"/>
    <mergeCell ref="D29:E29"/>
    <mergeCell ref="D23:E23"/>
    <mergeCell ref="P447:T447"/>
    <mergeCell ref="A151:O152"/>
    <mergeCell ref="P313:T313"/>
    <mergeCell ref="P373:T373"/>
    <mergeCell ref="P307:T307"/>
    <mergeCell ref="P202:T202"/>
    <mergeCell ref="A188:O189"/>
    <mergeCell ref="D237:E237"/>
    <mergeCell ref="P85:T85"/>
    <mergeCell ref="P383:T383"/>
    <mergeCell ref="AD17:AF18"/>
    <mergeCell ref="A310:O311"/>
    <mergeCell ref="D101:E101"/>
    <mergeCell ref="P117:V117"/>
    <mergeCell ref="F5:G5"/>
    <mergeCell ref="P365:V365"/>
    <mergeCell ref="P144:V144"/>
    <mergeCell ref="H5:M5"/>
    <mergeCell ref="P31:V31"/>
    <mergeCell ref="P98:T98"/>
    <mergeCell ref="D146:E146"/>
    <mergeCell ref="D6:M6"/>
    <mergeCell ref="P95:V95"/>
    <mergeCell ref="D83:E83"/>
    <mergeCell ref="P84:T84"/>
    <mergeCell ref="P91:T91"/>
    <mergeCell ref="D374:E374"/>
    <mergeCell ref="A338:Z338"/>
    <mergeCell ref="D203:E203"/>
    <mergeCell ref="Z17:Z18"/>
    <mergeCell ref="J9:M9"/>
    <mergeCell ref="L495:L496"/>
    <mergeCell ref="F17:F18"/>
    <mergeCell ref="Q5:R5"/>
    <mergeCell ref="P297:T297"/>
    <mergeCell ref="D478:E478"/>
    <mergeCell ref="P435:T435"/>
    <mergeCell ref="D278:E278"/>
    <mergeCell ref="D107:E107"/>
    <mergeCell ref="P484:T484"/>
    <mergeCell ref="D234:E234"/>
    <mergeCell ref="A24:O25"/>
    <mergeCell ref="P136:T136"/>
    <mergeCell ref="P70:T70"/>
    <mergeCell ref="P434:T434"/>
    <mergeCell ref="P263:T263"/>
    <mergeCell ref="D342:E342"/>
    <mergeCell ref="D171:E171"/>
    <mergeCell ref="Q6:R6"/>
    <mergeCell ref="A385:O386"/>
    <mergeCell ref="A267:Z267"/>
    <mergeCell ref="P243:T243"/>
    <mergeCell ref="P436:T436"/>
    <mergeCell ref="A20:Z20"/>
    <mergeCell ref="A194:O195"/>
    <mergeCell ref="D452:E452"/>
    <mergeCell ref="D252:E252"/>
    <mergeCell ref="A112:Z112"/>
    <mergeCell ref="P408:T408"/>
    <mergeCell ref="D218:E218"/>
    <mergeCell ref="P137:V137"/>
    <mergeCell ref="D247:E247"/>
    <mergeCell ref="A347:Z347"/>
    <mergeCell ref="P449:T449"/>
    <mergeCell ref="P126:T126"/>
    <mergeCell ref="P361:V361"/>
    <mergeCell ref="P218:T218"/>
    <mergeCell ref="P311:V311"/>
    <mergeCell ref="P438:V438"/>
    <mergeCell ref="A355:O356"/>
    <mergeCell ref="A129:Z129"/>
    <mergeCell ref="D192:E192"/>
    <mergeCell ref="P356:V356"/>
    <mergeCell ref="P363:T363"/>
    <mergeCell ref="D173:E173"/>
    <mergeCell ref="A440:Z440"/>
    <mergeCell ref="P210:V210"/>
    <mergeCell ref="A425:Z425"/>
    <mergeCell ref="A360:O361"/>
    <mergeCell ref="A8:C8"/>
    <mergeCell ref="A153:Z153"/>
    <mergeCell ref="P138:V138"/>
    <mergeCell ref="A137:O138"/>
    <mergeCell ref="D395:E395"/>
    <mergeCell ref="A39:Z39"/>
    <mergeCell ref="N17:N18"/>
    <mergeCell ref="A31:O32"/>
    <mergeCell ref="P34:T34"/>
    <mergeCell ref="A9:C9"/>
    <mergeCell ref="P32:V32"/>
    <mergeCell ref="Q13:R13"/>
    <mergeCell ref="P47:V47"/>
    <mergeCell ref="P41:T41"/>
    <mergeCell ref="V6:W9"/>
    <mergeCell ref="D364:E364"/>
    <mergeCell ref="P149:T149"/>
    <mergeCell ref="D120:E120"/>
    <mergeCell ref="P72:T72"/>
    <mergeCell ref="D102:E102"/>
    <mergeCell ref="P379:V379"/>
    <mergeCell ref="D149:E149"/>
    <mergeCell ref="A127:O128"/>
    <mergeCell ref="P295:T295"/>
    <mergeCell ref="P109:T109"/>
    <mergeCell ref="P22:T22"/>
    <mergeCell ref="P40:T40"/>
    <mergeCell ref="P83:T83"/>
    <mergeCell ref="D271:E271"/>
    <mergeCell ref="V12:W12"/>
    <mergeCell ref="X17:X18"/>
    <mergeCell ref="D408:E408"/>
    <mergeCell ref="Y17:Y18"/>
    <mergeCell ref="U17:V17"/>
    <mergeCell ref="P310:V310"/>
    <mergeCell ref="P214:T214"/>
    <mergeCell ref="P270:T270"/>
    <mergeCell ref="D86:E86"/>
    <mergeCell ref="D384:E384"/>
    <mergeCell ref="P341:T341"/>
    <mergeCell ref="P247:T247"/>
    <mergeCell ref="P114:T114"/>
    <mergeCell ref="D84:E84"/>
    <mergeCell ref="D262:E262"/>
    <mergeCell ref="P368:T368"/>
    <mergeCell ref="A265:O266"/>
    <mergeCell ref="A362:Z362"/>
    <mergeCell ref="P122:V12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7 X40:X41 X56 X62 X83 X86 X98 X101 X116 X120 X164 X166 X170 X175 X202:X205 X207:X209 X215:X216 X218 X220:X221 X225:X226 X238 X278 X308:X309 X320:X321 X328 X341:X342 X348:X350 X358 X394 X426 X430 X432 X448:X449" xr:uid="{00000000-0002-0000-0000-000011000000}">
      <formula1>IF(AK27&gt;0,OR(X27=0,AND(IF(X27-AK27&gt;=0,TRUE,FALSE),X27&gt;0,IF(X27/H27=ROUND(X27/H27,0),TRUE,FALSE))),FALSE)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52"/>
    </row>
    <row r="3" spans="2:8" x14ac:dyDescent="0.2">
      <c r="B3" s="47" t="s">
        <v>751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752</v>
      </c>
      <c r="D6" s="47" t="s">
        <v>753</v>
      </c>
      <c r="E6" s="47"/>
    </row>
    <row r="8" spans="2:8" x14ac:dyDescent="0.2">
      <c r="B8" s="47" t="s">
        <v>19</v>
      </c>
      <c r="C8" s="47" t="s">
        <v>752</v>
      </c>
      <c r="D8" s="47"/>
      <c r="E8" s="47"/>
    </row>
    <row r="10" spans="2:8" x14ac:dyDescent="0.2">
      <c r="B10" s="47" t="s">
        <v>754</v>
      </c>
      <c r="C10" s="47"/>
      <c r="D10" s="47"/>
      <c r="E10" s="47"/>
    </row>
    <row r="11" spans="2:8" x14ac:dyDescent="0.2">
      <c r="B11" s="47" t="s">
        <v>755</v>
      </c>
      <c r="C11" s="47"/>
      <c r="D11" s="47"/>
      <c r="E11" s="47"/>
    </row>
    <row r="12" spans="2:8" x14ac:dyDescent="0.2">
      <c r="B12" s="47" t="s">
        <v>756</v>
      </c>
      <c r="C12" s="47"/>
      <c r="D12" s="47"/>
      <c r="E12" s="47"/>
    </row>
    <row r="13" spans="2:8" x14ac:dyDescent="0.2">
      <c r="B13" s="47" t="s">
        <v>757</v>
      </c>
      <c r="C13" s="47"/>
      <c r="D13" s="47"/>
      <c r="E13" s="47"/>
    </row>
    <row r="14" spans="2:8" x14ac:dyDescent="0.2">
      <c r="B14" s="47" t="s">
        <v>758</v>
      </c>
      <c r="C14" s="47"/>
      <c r="D14" s="47"/>
      <c r="E14" s="47"/>
    </row>
    <row r="15" spans="2:8" x14ac:dyDescent="0.2">
      <c r="B15" s="47" t="s">
        <v>759</v>
      </c>
      <c r="C15" s="47"/>
      <c r="D15" s="47"/>
      <c r="E15" s="47"/>
    </row>
    <row r="16" spans="2:8" x14ac:dyDescent="0.2">
      <c r="B16" s="47" t="s">
        <v>760</v>
      </c>
      <c r="C16" s="47"/>
      <c r="D16" s="47"/>
      <c r="E16" s="47"/>
    </row>
    <row r="17" spans="2:5" x14ac:dyDescent="0.2">
      <c r="B17" s="47" t="s">
        <v>761</v>
      </c>
      <c r="C17" s="47"/>
      <c r="D17" s="47"/>
      <c r="E17" s="47"/>
    </row>
    <row r="18" spans="2:5" x14ac:dyDescent="0.2">
      <c r="B18" s="47" t="s">
        <v>762</v>
      </c>
      <c r="C18" s="47"/>
      <c r="D18" s="47"/>
      <c r="E18" s="47"/>
    </row>
    <row r="19" spans="2:5" x14ac:dyDescent="0.2">
      <c r="B19" s="47" t="s">
        <v>763</v>
      </c>
      <c r="C19" s="47"/>
      <c r="D19" s="47"/>
      <c r="E19" s="47"/>
    </row>
    <row r="20" spans="2:5" x14ac:dyDescent="0.2">
      <c r="B20" s="47" t="s">
        <v>764</v>
      </c>
      <c r="C20" s="47"/>
      <c r="D20" s="47"/>
      <c r="E20" s="47"/>
    </row>
  </sheetData>
  <sheetProtection algorithmName="SHA-512" hashValue="lUBZ/4SuIRq/DZ8X6uUbctv37kkfQ8gADxOrH7Yhpj1RRL9IbyTiDQYL4WRKfFQ8BGsAAFaYDEl4Bbh3V+5SYw==" saltValue="xr7k9Fv7y/qsGbt8VZipd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2026-01-29T11:43:02Z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