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534D724-307B-4A6C-9240-3F05F798205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Z265" i="1" s="1"/>
  <c r="Y255" i="1"/>
  <c r="P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BO249" i="1"/>
  <c r="BM249" i="1"/>
  <c r="Z249" i="1"/>
  <c r="Y249" i="1"/>
  <c r="BP249" i="1" s="1"/>
  <c r="P249" i="1"/>
  <c r="X247" i="1"/>
  <c r="X246" i="1"/>
  <c r="BO245" i="1"/>
  <c r="BM245" i="1"/>
  <c r="Z245" i="1"/>
  <c r="Z246" i="1" s="1"/>
  <c r="Y245" i="1"/>
  <c r="Y247" i="1" s="1"/>
  <c r="P245" i="1"/>
  <c r="X243" i="1"/>
  <c r="X242" i="1"/>
  <c r="BO241" i="1"/>
  <c r="BM241" i="1"/>
  <c r="Z241" i="1"/>
  <c r="Y241" i="1"/>
  <c r="BP241" i="1" s="1"/>
  <c r="P241" i="1"/>
  <c r="BO240" i="1"/>
  <c r="BM240" i="1"/>
  <c r="Z240" i="1"/>
  <c r="Y240" i="1"/>
  <c r="P240" i="1"/>
  <c r="X236" i="1"/>
  <c r="X235" i="1"/>
  <c r="BO234" i="1"/>
  <c r="BM234" i="1"/>
  <c r="Z234" i="1"/>
  <c r="Z235" i="1" s="1"/>
  <c r="Y234" i="1"/>
  <c r="Y236" i="1" s="1"/>
  <c r="P234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X214" i="1"/>
  <c r="X213" i="1"/>
  <c r="BO212" i="1"/>
  <c r="BM212" i="1"/>
  <c r="Z212" i="1"/>
  <c r="Y212" i="1"/>
  <c r="P212" i="1"/>
  <c r="BO211" i="1"/>
  <c r="BM211" i="1"/>
  <c r="Z211" i="1"/>
  <c r="Y211" i="1"/>
  <c r="P211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Y201" i="1"/>
  <c r="BP201" i="1" s="1"/>
  <c r="P201" i="1"/>
  <c r="BO200" i="1"/>
  <c r="BM200" i="1"/>
  <c r="Z200" i="1"/>
  <c r="Y200" i="1"/>
  <c r="P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X195" i="1"/>
  <c r="X194" i="1"/>
  <c r="BO193" i="1"/>
  <c r="BM193" i="1"/>
  <c r="Z193" i="1"/>
  <c r="Z194" i="1" s="1"/>
  <c r="Y193" i="1"/>
  <c r="Y195" i="1" s="1"/>
  <c r="P193" i="1"/>
  <c r="X189" i="1"/>
  <c r="X188" i="1"/>
  <c r="BO187" i="1"/>
  <c r="BM187" i="1"/>
  <c r="Z187" i="1"/>
  <c r="Z188" i="1" s="1"/>
  <c r="Y187" i="1"/>
  <c r="Y189" i="1" s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BO181" i="1"/>
  <c r="BM181" i="1"/>
  <c r="Z181" i="1"/>
  <c r="Y181" i="1"/>
  <c r="P181" i="1"/>
  <c r="BO180" i="1"/>
  <c r="BM180" i="1"/>
  <c r="Z180" i="1"/>
  <c r="Y180" i="1"/>
  <c r="BP180" i="1" s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Y159" i="1" s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Z148" i="1" s="1"/>
  <c r="Y147" i="1"/>
  <c r="P147" i="1"/>
  <c r="BO146" i="1"/>
  <c r="BM146" i="1"/>
  <c r="Z146" i="1"/>
  <c r="Y146" i="1"/>
  <c r="Y148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Y125" i="1"/>
  <c r="BP125" i="1" s="1"/>
  <c r="P125" i="1"/>
  <c r="BP124" i="1"/>
  <c r="BO124" i="1"/>
  <c r="BN124" i="1"/>
  <c r="BM124" i="1"/>
  <c r="Z124" i="1"/>
  <c r="Z126" i="1" s="1"/>
  <c r="Y124" i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1" i="1" s="1"/>
  <c r="Y113" i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P32" i="1"/>
  <c r="X29" i="1"/>
  <c r="X28" i="1"/>
  <c r="X271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P22" i="1"/>
  <c r="H10" i="1"/>
  <c r="F10" i="1"/>
  <c r="F9" i="1"/>
  <c r="A9" i="1"/>
  <c r="A10" i="1" s="1"/>
  <c r="D7" i="1"/>
  <c r="Q6" i="1"/>
  <c r="P2" i="1"/>
  <c r="J9" i="1" l="1"/>
  <c r="Y213" i="1"/>
  <c r="Z213" i="1"/>
  <c r="Z136" i="1"/>
  <c r="BN174" i="1"/>
  <c r="BN187" i="1"/>
  <c r="BP187" i="1"/>
  <c r="Y188" i="1"/>
  <c r="BN193" i="1"/>
  <c r="BP193" i="1"/>
  <c r="Y194" i="1"/>
  <c r="Z202" i="1"/>
  <c r="BN197" i="1"/>
  <c r="BN199" i="1"/>
  <c r="BN201" i="1"/>
  <c r="BN241" i="1"/>
  <c r="Y149" i="1"/>
  <c r="Y214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26" i="1"/>
  <c r="Y136" i="1"/>
  <c r="BN135" i="1"/>
  <c r="Z142" i="1"/>
  <c r="BN146" i="1"/>
  <c r="BP146" i="1"/>
  <c r="Z184" i="1"/>
  <c r="BN180" i="1"/>
  <c r="BN182" i="1"/>
  <c r="Y203" i="1"/>
  <c r="BN206" i="1"/>
  <c r="BP206" i="1"/>
  <c r="Y207" i="1"/>
  <c r="BN211" i="1"/>
  <c r="BP211" i="1"/>
  <c r="BN245" i="1"/>
  <c r="BP245" i="1"/>
  <c r="Y246" i="1"/>
  <c r="Z252" i="1"/>
  <c r="BN249" i="1"/>
  <c r="BN251" i="1"/>
  <c r="Y29" i="1"/>
  <c r="Y34" i="1"/>
  <c r="Y42" i="1"/>
  <c r="Y49" i="1"/>
  <c r="Y56" i="1"/>
  <c r="Y71" i="1"/>
  <c r="Y77" i="1"/>
  <c r="Y82" i="1"/>
  <c r="Y94" i="1"/>
  <c r="Y103" i="1"/>
  <c r="Y110" i="1"/>
  <c r="Y121" i="1"/>
  <c r="Y127" i="1"/>
  <c r="Y131" i="1"/>
  <c r="Y153" i="1"/>
  <c r="BP152" i="1"/>
  <c r="BN152" i="1"/>
  <c r="Y163" i="1"/>
  <c r="BP162" i="1"/>
  <c r="BN162" i="1"/>
  <c r="Y176" i="1"/>
  <c r="BP173" i="1"/>
  <c r="BN173" i="1"/>
  <c r="Y175" i="1"/>
  <c r="BP181" i="1"/>
  <c r="BN181" i="1"/>
  <c r="BP183" i="1"/>
  <c r="BN183" i="1"/>
  <c r="Y219" i="1"/>
  <c r="BP218" i="1"/>
  <c r="BN218" i="1"/>
  <c r="Y231" i="1"/>
  <c r="BP230" i="1"/>
  <c r="BN230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H9" i="1"/>
  <c r="X268" i="1"/>
  <c r="X269" i="1"/>
  <c r="BN23" i="1"/>
  <c r="BN25" i="1"/>
  <c r="BN27" i="1"/>
  <c r="X267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Y137" i="1"/>
  <c r="Y143" i="1"/>
  <c r="BP140" i="1"/>
  <c r="BN140" i="1"/>
  <c r="Y142" i="1"/>
  <c r="BP147" i="1"/>
  <c r="BN147" i="1"/>
  <c r="Y154" i="1"/>
  <c r="Y158" i="1"/>
  <c r="BP157" i="1"/>
  <c r="BN157" i="1"/>
  <c r="Y164" i="1"/>
  <c r="Y168" i="1"/>
  <c r="BP167" i="1"/>
  <c r="BN167" i="1"/>
  <c r="Z175" i="1"/>
  <c r="Y184" i="1"/>
  <c r="Y185" i="1"/>
  <c r="BP198" i="1"/>
  <c r="BN198" i="1"/>
  <c r="BP200" i="1"/>
  <c r="BN200" i="1"/>
  <c r="Y202" i="1"/>
  <c r="BP212" i="1"/>
  <c r="BN212" i="1"/>
  <c r="Y220" i="1"/>
  <c r="Y225" i="1"/>
  <c r="BP224" i="1"/>
  <c r="BN224" i="1"/>
  <c r="Y232" i="1"/>
  <c r="Y235" i="1"/>
  <c r="BP234" i="1"/>
  <c r="BN234" i="1"/>
  <c r="Z242" i="1"/>
  <c r="Y253" i="1"/>
  <c r="Y265" i="1"/>
  <c r="Y266" i="1"/>
  <c r="Y269" i="1" l="1"/>
  <c r="Y271" i="1"/>
  <c r="Z272" i="1"/>
  <c r="Y268" i="1"/>
  <c r="X270" i="1"/>
  <c r="Y267" i="1"/>
  <c r="Y270" i="1" l="1"/>
  <c r="C280" i="1"/>
  <c r="B280" i="1"/>
  <c r="A280" i="1"/>
</calcChain>
</file>

<file path=xl/sharedStrings.xml><?xml version="1.0" encoding="utf-8"?>
<sst xmlns="http://schemas.openxmlformats.org/spreadsheetml/2006/main" count="1217" uniqueCount="396">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</sst>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5" fillId="0" borderId="0" xfId="0" applyFont="1" applyProtection="1"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9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5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2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93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0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36" t="s">
        <v>0</v>
      </c>
      <c r="E1" s="280"/>
      <c r="F1" s="280"/>
      <c r="G1" s="12" t="s">
        <v>1</v>
      </c>
      <c r="H1" s="436" t="s">
        <v>2</v>
      </c>
      <c r="I1" s="280"/>
      <c r="J1" s="280"/>
      <c r="K1" s="280"/>
      <c r="L1" s="280"/>
      <c r="M1" s="280"/>
      <c r="N1" s="280"/>
      <c r="O1" s="280"/>
      <c r="P1" s="280"/>
      <c r="Q1" s="280"/>
      <c r="R1" s="444" t="s">
        <v>3</v>
      </c>
      <c r="S1" s="280"/>
      <c r="T1" s="2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1"/>
      <c r="Q3" s="281"/>
      <c r="R3" s="281"/>
      <c r="S3" s="281"/>
      <c r="T3" s="281"/>
      <c r="U3" s="281"/>
      <c r="V3" s="281"/>
      <c r="W3" s="281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07" t="s">
        <v>8</v>
      </c>
      <c r="B5" s="273"/>
      <c r="C5" s="274"/>
      <c r="D5" s="394"/>
      <c r="E5" s="396"/>
      <c r="F5" s="303" t="s">
        <v>9</v>
      </c>
      <c r="G5" s="274"/>
      <c r="H5" s="394" t="s">
        <v>395</v>
      </c>
      <c r="I5" s="395"/>
      <c r="J5" s="395"/>
      <c r="K5" s="395"/>
      <c r="L5" s="395"/>
      <c r="M5" s="396"/>
      <c r="N5" s="61"/>
      <c r="P5" s="24" t="s">
        <v>10</v>
      </c>
      <c r="Q5" s="324">
        <v>46040</v>
      </c>
      <c r="R5" s="325"/>
      <c r="T5" s="441" t="s">
        <v>11</v>
      </c>
      <c r="U5" s="387"/>
      <c r="V5" s="442" t="s">
        <v>12</v>
      </c>
      <c r="W5" s="325"/>
      <c r="AB5" s="51"/>
      <c r="AC5" s="51"/>
      <c r="AD5" s="51"/>
      <c r="AE5" s="51"/>
    </row>
    <row r="6" spans="1:32" s="262" customFormat="1" ht="24" customHeight="1" x14ac:dyDescent="0.2">
      <c r="A6" s="407" t="s">
        <v>13</v>
      </c>
      <c r="B6" s="273"/>
      <c r="C6" s="274"/>
      <c r="D6" s="339" t="s">
        <v>14</v>
      </c>
      <c r="E6" s="340"/>
      <c r="F6" s="340"/>
      <c r="G6" s="340"/>
      <c r="H6" s="340"/>
      <c r="I6" s="340"/>
      <c r="J6" s="340"/>
      <c r="K6" s="340"/>
      <c r="L6" s="340"/>
      <c r="M6" s="325"/>
      <c r="N6" s="62"/>
      <c r="P6" s="24" t="s">
        <v>15</v>
      </c>
      <c r="Q6" s="343" t="str">
        <f>IF(Q5=0," ",CHOOSE(WEEKDAY(Q5,2),"Понедельник","Вторник","Среда","Четверг","Пятница","Суббота","Воскресенье"))</f>
        <v>Воскресенье</v>
      </c>
      <c r="R6" s="276"/>
      <c r="T6" s="386" t="s">
        <v>16</v>
      </c>
      <c r="U6" s="387"/>
      <c r="V6" s="355" t="s">
        <v>17</v>
      </c>
      <c r="W6" s="356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97" t="str">
        <f>IFERROR(VLOOKUP(DeliveryAddress,Table,3,0),1)</f>
        <v>1</v>
      </c>
      <c r="E7" s="398"/>
      <c r="F7" s="398"/>
      <c r="G7" s="398"/>
      <c r="H7" s="398"/>
      <c r="I7" s="398"/>
      <c r="J7" s="398"/>
      <c r="K7" s="398"/>
      <c r="L7" s="398"/>
      <c r="M7" s="399"/>
      <c r="N7" s="63"/>
      <c r="P7" s="24"/>
      <c r="Q7" s="42"/>
      <c r="R7" s="42"/>
      <c r="T7" s="281"/>
      <c r="U7" s="387"/>
      <c r="V7" s="357"/>
      <c r="W7" s="358"/>
      <c r="AB7" s="51"/>
      <c r="AC7" s="51"/>
      <c r="AD7" s="51"/>
      <c r="AE7" s="51"/>
    </row>
    <row r="8" spans="1:32" s="262" customFormat="1" ht="25.5" customHeight="1" x14ac:dyDescent="0.2">
      <c r="A8" s="364" t="s">
        <v>18</v>
      </c>
      <c r="B8" s="278"/>
      <c r="C8" s="279"/>
      <c r="D8" s="366" t="s">
        <v>19</v>
      </c>
      <c r="E8" s="367"/>
      <c r="F8" s="367"/>
      <c r="G8" s="367"/>
      <c r="H8" s="367"/>
      <c r="I8" s="367"/>
      <c r="J8" s="367"/>
      <c r="K8" s="367"/>
      <c r="L8" s="367"/>
      <c r="M8" s="368"/>
      <c r="N8" s="64"/>
      <c r="P8" s="24" t="s">
        <v>20</v>
      </c>
      <c r="Q8" s="440">
        <v>0.375</v>
      </c>
      <c r="R8" s="399"/>
      <c r="T8" s="281"/>
      <c r="U8" s="387"/>
      <c r="V8" s="357"/>
      <c r="W8" s="358"/>
      <c r="AB8" s="51"/>
      <c r="AC8" s="51"/>
      <c r="AD8" s="51"/>
      <c r="AE8" s="51"/>
    </row>
    <row r="9" spans="1:32" s="262" customFormat="1" ht="39.950000000000003" customHeight="1" x14ac:dyDescent="0.2">
      <c r="A9" s="31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1"/>
      <c r="C9" s="281"/>
      <c r="D9" s="314"/>
      <c r="E9" s="315"/>
      <c r="F9" s="31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1"/>
      <c r="H9" s="393" t="str">
        <f>IF(AND($A$9="Тип доверенности/получателя при получении в адресе перегруза:",$D$9="Разовая доверенность"),"Введите ФИО","")</f>
        <v/>
      </c>
      <c r="I9" s="315"/>
      <c r="J9" s="3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5"/>
      <c r="L9" s="315"/>
      <c r="M9" s="315"/>
      <c r="N9" s="260"/>
      <c r="P9" s="26" t="s">
        <v>21</v>
      </c>
      <c r="Q9" s="438"/>
      <c r="R9" s="307"/>
      <c r="T9" s="281"/>
      <c r="U9" s="387"/>
      <c r="V9" s="359"/>
      <c r="W9" s="360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1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1"/>
      <c r="C10" s="281"/>
      <c r="D10" s="314"/>
      <c r="E10" s="315"/>
      <c r="F10" s="31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1"/>
      <c r="H10" s="369" t="str">
        <f>IFERROR(VLOOKUP($D$10,Proxy,2,FALSE),"")</f>
        <v/>
      </c>
      <c r="I10" s="281"/>
      <c r="J10" s="281"/>
      <c r="K10" s="281"/>
      <c r="L10" s="281"/>
      <c r="M10" s="281"/>
      <c r="N10" s="261"/>
      <c r="P10" s="26" t="s">
        <v>22</v>
      </c>
      <c r="Q10" s="388"/>
      <c r="R10" s="389"/>
      <c r="U10" s="24" t="s">
        <v>23</v>
      </c>
      <c r="V10" s="447" t="s">
        <v>24</v>
      </c>
      <c r="W10" s="356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39"/>
      <c r="R11" s="325"/>
      <c r="U11" s="24" t="s">
        <v>27</v>
      </c>
      <c r="V11" s="306" t="s">
        <v>28</v>
      </c>
      <c r="W11" s="30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91" t="s">
        <v>29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4"/>
      <c r="N12" s="65"/>
      <c r="P12" s="24" t="s">
        <v>30</v>
      </c>
      <c r="Q12" s="440"/>
      <c r="R12" s="399"/>
      <c r="S12" s="23"/>
      <c r="U12" s="24"/>
      <c r="V12" s="280"/>
      <c r="W12" s="281"/>
      <c r="AB12" s="51"/>
      <c r="AC12" s="51"/>
      <c r="AD12" s="51"/>
      <c r="AE12" s="51"/>
    </row>
    <row r="13" spans="1:32" s="262" customFormat="1" ht="23.25" customHeight="1" x14ac:dyDescent="0.2">
      <c r="A13" s="391" t="s">
        <v>31</v>
      </c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4"/>
      <c r="N13" s="65"/>
      <c r="O13" s="26"/>
      <c r="P13" s="26" t="s">
        <v>32</v>
      </c>
      <c r="Q13" s="306"/>
      <c r="R13" s="3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91" t="s">
        <v>33</v>
      </c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4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92" t="s">
        <v>34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4"/>
      <c r="N15" s="66"/>
      <c r="P15" s="400" t="s">
        <v>35</v>
      </c>
      <c r="Q15" s="280"/>
      <c r="R15" s="280"/>
      <c r="S15" s="280"/>
      <c r="T15" s="2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1"/>
      <c r="Q16" s="401"/>
      <c r="R16" s="401"/>
      <c r="S16" s="401"/>
      <c r="T16" s="4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22" t="s">
        <v>36</v>
      </c>
      <c r="B17" s="322" t="s">
        <v>37</v>
      </c>
      <c r="C17" s="408" t="s">
        <v>38</v>
      </c>
      <c r="D17" s="322" t="s">
        <v>39</v>
      </c>
      <c r="E17" s="351"/>
      <c r="F17" s="322" t="s">
        <v>40</v>
      </c>
      <c r="G17" s="322" t="s">
        <v>41</v>
      </c>
      <c r="H17" s="322" t="s">
        <v>42</v>
      </c>
      <c r="I17" s="322" t="s">
        <v>43</v>
      </c>
      <c r="J17" s="322" t="s">
        <v>44</v>
      </c>
      <c r="K17" s="322" t="s">
        <v>45</v>
      </c>
      <c r="L17" s="322" t="s">
        <v>46</v>
      </c>
      <c r="M17" s="322" t="s">
        <v>47</v>
      </c>
      <c r="N17" s="322" t="s">
        <v>48</v>
      </c>
      <c r="O17" s="322" t="s">
        <v>49</v>
      </c>
      <c r="P17" s="322" t="s">
        <v>50</v>
      </c>
      <c r="Q17" s="422"/>
      <c r="R17" s="422"/>
      <c r="S17" s="422"/>
      <c r="T17" s="351"/>
      <c r="U17" s="292" t="s">
        <v>51</v>
      </c>
      <c r="V17" s="274"/>
      <c r="W17" s="322" t="s">
        <v>52</v>
      </c>
      <c r="X17" s="322" t="s">
        <v>53</v>
      </c>
      <c r="Y17" s="293" t="s">
        <v>54</v>
      </c>
      <c r="Z17" s="346" t="s">
        <v>55</v>
      </c>
      <c r="AA17" s="297" t="s">
        <v>56</v>
      </c>
      <c r="AB17" s="297" t="s">
        <v>57</v>
      </c>
      <c r="AC17" s="297" t="s">
        <v>58</v>
      </c>
      <c r="AD17" s="297" t="s">
        <v>59</v>
      </c>
      <c r="AE17" s="298"/>
      <c r="AF17" s="299"/>
      <c r="AG17" s="69"/>
      <c r="BD17" s="68" t="s">
        <v>60</v>
      </c>
    </row>
    <row r="18" spans="1:68" ht="14.25" customHeight="1" x14ac:dyDescent="0.2">
      <c r="A18" s="323"/>
      <c r="B18" s="323"/>
      <c r="C18" s="323"/>
      <c r="D18" s="352"/>
      <c r="E18" s="35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52"/>
      <c r="Q18" s="423"/>
      <c r="R18" s="423"/>
      <c r="S18" s="423"/>
      <c r="T18" s="353"/>
      <c r="U18" s="70" t="s">
        <v>61</v>
      </c>
      <c r="V18" s="70" t="s">
        <v>62</v>
      </c>
      <c r="W18" s="323"/>
      <c r="X18" s="323"/>
      <c r="Y18" s="294"/>
      <c r="Z18" s="347"/>
      <c r="AA18" s="348"/>
      <c r="AB18" s="348"/>
      <c r="AC18" s="348"/>
      <c r="AD18" s="300"/>
      <c r="AE18" s="301"/>
      <c r="AF18" s="302"/>
      <c r="AG18" s="69"/>
      <c r="BD18" s="68"/>
    </row>
    <row r="19" spans="1:68" ht="27.75" hidden="1" customHeight="1" x14ac:dyDescent="0.2">
      <c r="A19" s="304" t="s">
        <v>63</v>
      </c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  <c r="AA19" s="48"/>
      <c r="AB19" s="48"/>
      <c r="AC19" s="48"/>
    </row>
    <row r="20" spans="1:68" ht="16.5" hidden="1" customHeight="1" x14ac:dyDescent="0.25">
      <c r="A20" s="289" t="s">
        <v>63</v>
      </c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63"/>
      <c r="AB20" s="263"/>
      <c r="AC20" s="263"/>
    </row>
    <row r="21" spans="1:68" ht="14.25" hidden="1" customHeight="1" x14ac:dyDescent="0.25">
      <c r="A21" s="296" t="s">
        <v>64</v>
      </c>
      <c r="B21" s="281"/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5">
        <v>4607111035912</v>
      </c>
      <c r="E22" s="276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6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5"/>
      <c r="R22" s="285"/>
      <c r="S22" s="285"/>
      <c r="T22" s="286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5">
        <v>4607111035103</v>
      </c>
      <c r="E23" s="276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40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5"/>
      <c r="R23" s="285"/>
      <c r="S23" s="285"/>
      <c r="T23" s="286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5">
        <v>4607111035929</v>
      </c>
      <c r="E24" s="276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5"/>
      <c r="R24" s="285"/>
      <c r="S24" s="285"/>
      <c r="T24" s="286"/>
      <c r="U24" s="34"/>
      <c r="V24" s="34"/>
      <c r="W24" s="35" t="s">
        <v>70</v>
      </c>
      <c r="X24" s="268">
        <v>60</v>
      </c>
      <c r="Y24" s="269">
        <f t="shared" si="0"/>
        <v>60</v>
      </c>
      <c r="Z24" s="36">
        <f t="shared" si="1"/>
        <v>0.92999999999999994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448.2</v>
      </c>
      <c r="BN24" s="67">
        <f t="shared" si="3"/>
        <v>448.2</v>
      </c>
      <c r="BO24" s="67">
        <f t="shared" si="4"/>
        <v>0.7142857142857143</v>
      </c>
      <c r="BP24" s="67">
        <f t="shared" si="5"/>
        <v>0.7142857142857143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5">
        <v>4607111035882</v>
      </c>
      <c r="E25" s="276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28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5"/>
      <c r="R25" s="285"/>
      <c r="S25" s="285"/>
      <c r="T25" s="286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5">
        <v>4607111035110</v>
      </c>
      <c r="E26" s="276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8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5"/>
      <c r="R26" s="285"/>
      <c r="S26" s="285"/>
      <c r="T26" s="286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5">
        <v>4607111035905</v>
      </c>
      <c r="E27" s="276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7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2"/>
      <c r="B28" s="281"/>
      <c r="C28" s="281"/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3"/>
      <c r="P28" s="277" t="s">
        <v>83</v>
      </c>
      <c r="Q28" s="278"/>
      <c r="R28" s="278"/>
      <c r="S28" s="278"/>
      <c r="T28" s="278"/>
      <c r="U28" s="278"/>
      <c r="V28" s="279"/>
      <c r="W28" s="37" t="s">
        <v>70</v>
      </c>
      <c r="X28" s="270">
        <f>IFERROR(SUM(X22:X27),"0")</f>
        <v>60</v>
      </c>
      <c r="Y28" s="270">
        <f>IFERROR(SUM(Y22:Y27),"0")</f>
        <v>60</v>
      </c>
      <c r="Z28" s="270">
        <f>IFERROR(IF(Z22="",0,Z22),"0")+IFERROR(IF(Z23="",0,Z23),"0")+IFERROR(IF(Z24="",0,Z24),"0")+IFERROR(IF(Z25="",0,Z25),"0")+IFERROR(IF(Z26="",0,Z26),"0")+IFERROR(IF(Z27="",0,Z27),"0")</f>
        <v>0.92999999999999994</v>
      </c>
      <c r="AA28" s="271"/>
      <c r="AB28" s="271"/>
      <c r="AC28" s="271"/>
    </row>
    <row r="29" spans="1:68" x14ac:dyDescent="0.2">
      <c r="A29" s="281"/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3"/>
      <c r="P29" s="277" t="s">
        <v>83</v>
      </c>
      <c r="Q29" s="278"/>
      <c r="R29" s="278"/>
      <c r="S29" s="278"/>
      <c r="T29" s="278"/>
      <c r="U29" s="278"/>
      <c r="V29" s="279"/>
      <c r="W29" s="37" t="s">
        <v>84</v>
      </c>
      <c r="X29" s="270">
        <f>IFERROR(SUMPRODUCT(X22:X27*H22:H27),"0")</f>
        <v>432</v>
      </c>
      <c r="Y29" s="270">
        <f>IFERROR(SUMPRODUCT(Y22:Y27*H22:H27),"0")</f>
        <v>432</v>
      </c>
      <c r="Z29" s="37"/>
      <c r="AA29" s="271"/>
      <c r="AB29" s="271"/>
      <c r="AC29" s="271"/>
    </row>
    <row r="30" spans="1:68" ht="16.5" hidden="1" customHeight="1" x14ac:dyDescent="0.25">
      <c r="A30" s="289" t="s">
        <v>85</v>
      </c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63"/>
      <c r="AB30" s="263"/>
      <c r="AC30" s="263"/>
    </row>
    <row r="31" spans="1:68" ht="14.25" hidden="1" customHeight="1" x14ac:dyDescent="0.25">
      <c r="A31" s="296" t="s">
        <v>64</v>
      </c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64"/>
      <c r="AB31" s="264"/>
      <c r="AC31" s="264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5">
        <v>4607111039019</v>
      </c>
      <c r="E32" s="276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5"/>
      <c r="R32" s="285"/>
      <c r="S32" s="285"/>
      <c r="T32" s="286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5">
        <v>4607111038708</v>
      </c>
      <c r="E33" s="276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34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5"/>
      <c r="R33" s="285"/>
      <c r="S33" s="285"/>
      <c r="T33" s="286"/>
      <c r="U33" s="34"/>
      <c r="V33" s="34"/>
      <c r="W33" s="35" t="s">
        <v>70</v>
      </c>
      <c r="X33" s="268">
        <v>24</v>
      </c>
      <c r="Y33" s="269">
        <f>IFERROR(IF(X33="","",X33),"")</f>
        <v>24</v>
      </c>
      <c r="Z33" s="36">
        <f>IFERROR(IF(X33="","",X33*0.0155),"")</f>
        <v>0.372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160.07999999999998</v>
      </c>
      <c r="BN33" s="67">
        <f>IFERROR(Y33*I33,"0")</f>
        <v>160.07999999999998</v>
      </c>
      <c r="BO33" s="67">
        <f>IFERROR(X33/J33,"0")</f>
        <v>0.2857142857142857</v>
      </c>
      <c r="BP33" s="67">
        <f>IFERROR(Y33/J33,"0")</f>
        <v>0.2857142857142857</v>
      </c>
    </row>
    <row r="34" spans="1:68" x14ac:dyDescent="0.2">
      <c r="A34" s="282"/>
      <c r="B34" s="281"/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3"/>
      <c r="P34" s="277" t="s">
        <v>83</v>
      </c>
      <c r="Q34" s="278"/>
      <c r="R34" s="278"/>
      <c r="S34" s="278"/>
      <c r="T34" s="278"/>
      <c r="U34" s="278"/>
      <c r="V34" s="279"/>
      <c r="W34" s="37" t="s">
        <v>70</v>
      </c>
      <c r="X34" s="270">
        <f>IFERROR(SUM(X32:X33),"0")</f>
        <v>24</v>
      </c>
      <c r="Y34" s="270">
        <f>IFERROR(SUM(Y32:Y33),"0")</f>
        <v>24</v>
      </c>
      <c r="Z34" s="270">
        <f>IFERROR(IF(Z32="",0,Z32),"0")+IFERROR(IF(Z33="",0,Z33),"0")</f>
        <v>0.372</v>
      </c>
      <c r="AA34" s="271"/>
      <c r="AB34" s="271"/>
      <c r="AC34" s="271"/>
    </row>
    <row r="35" spans="1:68" x14ac:dyDescent="0.2">
      <c r="A35" s="281"/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3"/>
      <c r="P35" s="277" t="s">
        <v>83</v>
      </c>
      <c r="Q35" s="278"/>
      <c r="R35" s="278"/>
      <c r="S35" s="278"/>
      <c r="T35" s="278"/>
      <c r="U35" s="278"/>
      <c r="V35" s="279"/>
      <c r="W35" s="37" t="s">
        <v>84</v>
      </c>
      <c r="X35" s="270">
        <f>IFERROR(SUMPRODUCT(X32:X33*H32:H33),"0")</f>
        <v>153.60000000000002</v>
      </c>
      <c r="Y35" s="270">
        <f>IFERROR(SUMPRODUCT(Y32:Y33*H32:H33),"0")</f>
        <v>153.60000000000002</v>
      </c>
      <c r="Z35" s="37"/>
      <c r="AA35" s="271"/>
      <c r="AB35" s="271"/>
      <c r="AC35" s="271"/>
    </row>
    <row r="36" spans="1:68" ht="27.75" hidden="1" customHeight="1" x14ac:dyDescent="0.2">
      <c r="A36" s="304" t="s">
        <v>91</v>
      </c>
      <c r="B36" s="305"/>
      <c r="C36" s="305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5"/>
      <c r="V36" s="305"/>
      <c r="W36" s="305"/>
      <c r="X36" s="305"/>
      <c r="Y36" s="305"/>
      <c r="Z36" s="305"/>
      <c r="AA36" s="48"/>
      <c r="AB36" s="48"/>
      <c r="AC36" s="48"/>
    </row>
    <row r="37" spans="1:68" ht="16.5" hidden="1" customHeight="1" x14ac:dyDescent="0.25">
      <c r="A37" s="289" t="s">
        <v>92</v>
      </c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63"/>
      <c r="AB37" s="263"/>
      <c r="AC37" s="263"/>
    </row>
    <row r="38" spans="1:68" ht="14.25" hidden="1" customHeight="1" x14ac:dyDescent="0.25">
      <c r="A38" s="296" t="s">
        <v>93</v>
      </c>
      <c r="B38" s="281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64"/>
      <c r="AB38" s="264"/>
      <c r="AC38" s="264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5">
        <v>4607111036537</v>
      </c>
      <c r="E39" s="276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43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5"/>
      <c r="R39" s="285"/>
      <c r="S39" s="285"/>
      <c r="T39" s="286"/>
      <c r="U39" s="34"/>
      <c r="V39" s="34"/>
      <c r="W39" s="35" t="s">
        <v>70</v>
      </c>
      <c r="X39" s="268">
        <v>154</v>
      </c>
      <c r="Y39" s="269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5">
        <v>4607111036605</v>
      </c>
      <c r="E40" s="276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36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5"/>
      <c r="R40" s="285"/>
      <c r="S40" s="285"/>
      <c r="T40" s="286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2"/>
      <c r="B41" s="281"/>
      <c r="C41" s="281"/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3"/>
      <c r="P41" s="277" t="s">
        <v>83</v>
      </c>
      <c r="Q41" s="278"/>
      <c r="R41" s="278"/>
      <c r="S41" s="278"/>
      <c r="T41" s="278"/>
      <c r="U41" s="278"/>
      <c r="V41" s="279"/>
      <c r="W41" s="37" t="s">
        <v>70</v>
      </c>
      <c r="X41" s="270">
        <f>IFERROR(SUM(X39:X40),"0")</f>
        <v>154</v>
      </c>
      <c r="Y41" s="270">
        <f>IFERROR(SUM(Y39:Y40),"0")</f>
        <v>154</v>
      </c>
      <c r="Z41" s="270">
        <f>IFERROR(IF(Z39="",0,Z39),"0")+IFERROR(IF(Z40="",0,Z40),"0")</f>
        <v>1.4491400000000001</v>
      </c>
      <c r="AA41" s="271"/>
      <c r="AB41" s="271"/>
      <c r="AC41" s="271"/>
    </row>
    <row r="42" spans="1:68" x14ac:dyDescent="0.2">
      <c r="A42" s="281"/>
      <c r="B42" s="281"/>
      <c r="C42" s="281"/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3"/>
      <c r="P42" s="277" t="s">
        <v>83</v>
      </c>
      <c r="Q42" s="278"/>
      <c r="R42" s="278"/>
      <c r="S42" s="278"/>
      <c r="T42" s="278"/>
      <c r="U42" s="278"/>
      <c r="V42" s="279"/>
      <c r="W42" s="37" t="s">
        <v>84</v>
      </c>
      <c r="X42" s="270">
        <f>IFERROR(SUMPRODUCT(X39:X40*H39:H40),"0")</f>
        <v>231</v>
      </c>
      <c r="Y42" s="270">
        <f>IFERROR(SUMPRODUCT(Y39:Y40*H39:H40),"0")</f>
        <v>231</v>
      </c>
      <c r="Z42" s="37"/>
      <c r="AA42" s="271"/>
      <c r="AB42" s="271"/>
      <c r="AC42" s="271"/>
    </row>
    <row r="43" spans="1:68" ht="16.5" hidden="1" customHeight="1" x14ac:dyDescent="0.25">
      <c r="A43" s="289" t="s">
        <v>103</v>
      </c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63"/>
      <c r="AB43" s="263"/>
      <c r="AC43" s="263"/>
    </row>
    <row r="44" spans="1:68" ht="14.25" hidden="1" customHeight="1" x14ac:dyDescent="0.25">
      <c r="A44" s="296" t="s">
        <v>64</v>
      </c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64"/>
      <c r="AB44" s="264"/>
      <c r="AC44" s="264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5">
        <v>4620207490075</v>
      </c>
      <c r="E45" s="276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37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5"/>
      <c r="R45" s="285"/>
      <c r="S45" s="285"/>
      <c r="T45" s="286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5">
        <v>4620207490174</v>
      </c>
      <c r="E46" s="276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33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5"/>
      <c r="R46" s="285"/>
      <c r="S46" s="285"/>
      <c r="T46" s="286"/>
      <c r="U46" s="34"/>
      <c r="V46" s="34"/>
      <c r="W46" s="35" t="s">
        <v>70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112</v>
      </c>
      <c r="B47" s="54" t="s">
        <v>113</v>
      </c>
      <c r="C47" s="31">
        <v>4301071091</v>
      </c>
      <c r="D47" s="275">
        <v>4620207490044</v>
      </c>
      <c r="E47" s="276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5"/>
      <c r="R47" s="285"/>
      <c r="S47" s="285"/>
      <c r="T47" s="286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2"/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3"/>
      <c r="P48" s="277" t="s">
        <v>83</v>
      </c>
      <c r="Q48" s="278"/>
      <c r="R48" s="278"/>
      <c r="S48" s="278"/>
      <c r="T48" s="278"/>
      <c r="U48" s="278"/>
      <c r="V48" s="279"/>
      <c r="W48" s="37" t="s">
        <v>70</v>
      </c>
      <c r="X48" s="270">
        <f>IFERROR(SUM(X45:X47),"0")</f>
        <v>12</v>
      </c>
      <c r="Y48" s="270">
        <f>IFERROR(SUM(Y45:Y47),"0")</f>
        <v>12</v>
      </c>
      <c r="Z48" s="270">
        <f>IFERROR(IF(Z45="",0,Z45),"0")+IFERROR(IF(Z46="",0,Z46),"0")+IFERROR(IF(Z47="",0,Z47),"0")</f>
        <v>0.186</v>
      </c>
      <c r="AA48" s="271"/>
      <c r="AB48" s="271"/>
      <c r="AC48" s="271"/>
    </row>
    <row r="49" spans="1:68" x14ac:dyDescent="0.2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3"/>
      <c r="P49" s="277" t="s">
        <v>83</v>
      </c>
      <c r="Q49" s="278"/>
      <c r="R49" s="278"/>
      <c r="S49" s="278"/>
      <c r="T49" s="278"/>
      <c r="U49" s="278"/>
      <c r="V49" s="279"/>
      <c r="W49" s="37" t="s">
        <v>84</v>
      </c>
      <c r="X49" s="270">
        <f>IFERROR(SUMPRODUCT(X45:X47*H45:H47),"0")</f>
        <v>67.199999999999989</v>
      </c>
      <c r="Y49" s="270">
        <f>IFERROR(SUMPRODUCT(Y45:Y47*H45:H47),"0")</f>
        <v>67.199999999999989</v>
      </c>
      <c r="Z49" s="37"/>
      <c r="AA49" s="271"/>
      <c r="AB49" s="271"/>
      <c r="AC49" s="271"/>
    </row>
    <row r="50" spans="1:68" ht="16.5" hidden="1" customHeight="1" x14ac:dyDescent="0.25">
      <c r="A50" s="289" t="s">
        <v>115</v>
      </c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63"/>
      <c r="AB50" s="263"/>
      <c r="AC50" s="263"/>
    </row>
    <row r="51" spans="1:68" ht="14.25" hidden="1" customHeight="1" x14ac:dyDescent="0.25">
      <c r="A51" s="296" t="s">
        <v>64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64"/>
      <c r="AB51" s="264"/>
      <c r="AC51" s="264"/>
    </row>
    <row r="52" spans="1:68" ht="27" customHeight="1" x14ac:dyDescent="0.25">
      <c r="A52" s="54" t="s">
        <v>116</v>
      </c>
      <c r="B52" s="54" t="s">
        <v>117</v>
      </c>
      <c r="C52" s="31">
        <v>4301071044</v>
      </c>
      <c r="D52" s="275">
        <v>4607111039385</v>
      </c>
      <c r="E52" s="276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41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5"/>
      <c r="R52" s="285"/>
      <c r="S52" s="285"/>
      <c r="T52" s="286"/>
      <c r="U52" s="34"/>
      <c r="V52" s="34"/>
      <c r="W52" s="35" t="s">
        <v>70</v>
      </c>
      <c r="X52" s="268">
        <v>60</v>
      </c>
      <c r="Y52" s="269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119</v>
      </c>
      <c r="B53" s="54" t="s">
        <v>120</v>
      </c>
      <c r="C53" s="31">
        <v>4301071031</v>
      </c>
      <c r="D53" s="275">
        <v>4607111038982</v>
      </c>
      <c r="E53" s="276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41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5"/>
      <c r="R53" s="285"/>
      <c r="S53" s="285"/>
      <c r="T53" s="286"/>
      <c r="U53" s="34"/>
      <c r="V53" s="34"/>
      <c r="W53" s="35" t="s">
        <v>70</v>
      </c>
      <c r="X53" s="268">
        <v>84</v>
      </c>
      <c r="Y53" s="269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122</v>
      </c>
      <c r="B54" s="54" t="s">
        <v>123</v>
      </c>
      <c r="C54" s="31">
        <v>4301071046</v>
      </c>
      <c r="D54" s="275">
        <v>4607111039354</v>
      </c>
      <c r="E54" s="276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31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5"/>
      <c r="R54" s="285"/>
      <c r="S54" s="285"/>
      <c r="T54" s="286"/>
      <c r="U54" s="34"/>
      <c r="V54" s="34"/>
      <c r="W54" s="35" t="s">
        <v>70</v>
      </c>
      <c r="X54" s="268">
        <v>12</v>
      </c>
      <c r="Y54" s="269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5">
        <v>4607111039330</v>
      </c>
      <c r="E55" s="276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42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5"/>
      <c r="R55" s="285"/>
      <c r="S55" s="285"/>
      <c r="T55" s="286"/>
      <c r="U55" s="34"/>
      <c r="V55" s="34"/>
      <c r="W55" s="35" t="s">
        <v>70</v>
      </c>
      <c r="X55" s="268">
        <v>36</v>
      </c>
      <c r="Y55" s="26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2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3"/>
      <c r="P56" s="277" t="s">
        <v>83</v>
      </c>
      <c r="Q56" s="278"/>
      <c r="R56" s="278"/>
      <c r="S56" s="278"/>
      <c r="T56" s="278"/>
      <c r="U56" s="278"/>
      <c r="V56" s="279"/>
      <c r="W56" s="37" t="s">
        <v>70</v>
      </c>
      <c r="X56" s="270">
        <f>IFERROR(SUM(X52:X55),"0")</f>
        <v>192</v>
      </c>
      <c r="Y56" s="270">
        <f>IFERROR(SUM(Y52:Y55),"0")</f>
        <v>192</v>
      </c>
      <c r="Z56" s="270">
        <f>IFERROR(IF(Z52="",0,Z52),"0")+IFERROR(IF(Z53="",0,Z53),"0")+IFERROR(IF(Z54="",0,Z54),"0")+IFERROR(IF(Z55="",0,Z55),"0")</f>
        <v>2.976</v>
      </c>
      <c r="AA56" s="271"/>
      <c r="AB56" s="271"/>
      <c r="AC56" s="271"/>
    </row>
    <row r="57" spans="1:68" x14ac:dyDescent="0.2">
      <c r="A57" s="281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3"/>
      <c r="P57" s="277" t="s">
        <v>83</v>
      </c>
      <c r="Q57" s="278"/>
      <c r="R57" s="278"/>
      <c r="S57" s="278"/>
      <c r="T57" s="278"/>
      <c r="U57" s="278"/>
      <c r="V57" s="279"/>
      <c r="W57" s="37" t="s">
        <v>84</v>
      </c>
      <c r="X57" s="270">
        <f>IFERROR(SUMPRODUCT(X52:X55*H52:H55),"0")</f>
        <v>1336.8</v>
      </c>
      <c r="Y57" s="270">
        <f>IFERROR(SUMPRODUCT(Y52:Y55*H52:H55),"0")</f>
        <v>1336.8</v>
      </c>
      <c r="Z57" s="37"/>
      <c r="AA57" s="271"/>
      <c r="AB57" s="271"/>
      <c r="AC57" s="271"/>
    </row>
    <row r="58" spans="1:68" ht="16.5" hidden="1" customHeight="1" x14ac:dyDescent="0.25">
      <c r="A58" s="289" t="s">
        <v>126</v>
      </c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63"/>
      <c r="AB58" s="263"/>
      <c r="AC58" s="263"/>
    </row>
    <row r="59" spans="1:68" ht="14.25" hidden="1" customHeight="1" x14ac:dyDescent="0.25">
      <c r="A59" s="296" t="s">
        <v>64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64"/>
      <c r="AB59" s="264"/>
      <c r="AC59" s="264"/>
    </row>
    <row r="60" spans="1:68" ht="16.5" hidden="1" customHeight="1" x14ac:dyDescent="0.25">
      <c r="A60" s="54" t="s">
        <v>127</v>
      </c>
      <c r="B60" s="54" t="s">
        <v>128</v>
      </c>
      <c r="C60" s="31">
        <v>4301071073</v>
      </c>
      <c r="D60" s="275">
        <v>4620207490822</v>
      </c>
      <c r="E60" s="276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29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5"/>
      <c r="R60" s="285"/>
      <c r="S60" s="285"/>
      <c r="T60" s="286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2"/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3"/>
      <c r="P61" s="277" t="s">
        <v>83</v>
      </c>
      <c r="Q61" s="278"/>
      <c r="R61" s="278"/>
      <c r="S61" s="278"/>
      <c r="T61" s="278"/>
      <c r="U61" s="278"/>
      <c r="V61" s="279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81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3"/>
      <c r="P62" s="277" t="s">
        <v>83</v>
      </c>
      <c r="Q62" s="278"/>
      <c r="R62" s="278"/>
      <c r="S62" s="278"/>
      <c r="T62" s="278"/>
      <c r="U62" s="278"/>
      <c r="V62" s="279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96" t="s">
        <v>93</v>
      </c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64"/>
      <c r="AB63" s="264"/>
      <c r="AC63" s="264"/>
    </row>
    <row r="64" spans="1:68" ht="27" hidden="1" customHeight="1" x14ac:dyDescent="0.25">
      <c r="A64" s="54" t="s">
        <v>130</v>
      </c>
      <c r="B64" s="54" t="s">
        <v>131</v>
      </c>
      <c r="C64" s="31">
        <v>4301132194</v>
      </c>
      <c r="D64" s="275">
        <v>4607111039712</v>
      </c>
      <c r="E64" s="276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31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5"/>
      <c r="R64" s="285"/>
      <c r="S64" s="285"/>
      <c r="T64" s="286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2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3"/>
      <c r="P65" s="277" t="s">
        <v>83</v>
      </c>
      <c r="Q65" s="278"/>
      <c r="R65" s="278"/>
      <c r="S65" s="278"/>
      <c r="T65" s="278"/>
      <c r="U65" s="278"/>
      <c r="V65" s="279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3"/>
      <c r="P66" s="277" t="s">
        <v>83</v>
      </c>
      <c r="Q66" s="278"/>
      <c r="R66" s="278"/>
      <c r="S66" s="278"/>
      <c r="T66" s="278"/>
      <c r="U66" s="278"/>
      <c r="V66" s="279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96" t="s">
        <v>133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64"/>
      <c r="AB67" s="264"/>
      <c r="AC67" s="264"/>
    </row>
    <row r="68" spans="1:68" ht="16.5" hidden="1" customHeight="1" x14ac:dyDescent="0.25">
      <c r="A68" s="54" t="s">
        <v>134</v>
      </c>
      <c r="B68" s="54" t="s">
        <v>135</v>
      </c>
      <c r="C68" s="31">
        <v>4301136018</v>
      </c>
      <c r="D68" s="275">
        <v>4607111037008</v>
      </c>
      <c r="E68" s="276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41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5"/>
      <c r="R68" s="285"/>
      <c r="S68" s="285"/>
      <c r="T68" s="286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137</v>
      </c>
      <c r="B69" s="54" t="s">
        <v>138</v>
      </c>
      <c r="C69" s="31">
        <v>4301136015</v>
      </c>
      <c r="D69" s="275">
        <v>4607111037398</v>
      </c>
      <c r="E69" s="276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44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2"/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3"/>
      <c r="P70" s="277" t="s">
        <v>83</v>
      </c>
      <c r="Q70" s="278"/>
      <c r="R70" s="278"/>
      <c r="S70" s="278"/>
      <c r="T70" s="278"/>
      <c r="U70" s="278"/>
      <c r="V70" s="279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81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3"/>
      <c r="P71" s="277" t="s">
        <v>83</v>
      </c>
      <c r="Q71" s="278"/>
      <c r="R71" s="278"/>
      <c r="S71" s="278"/>
      <c r="T71" s="278"/>
      <c r="U71" s="278"/>
      <c r="V71" s="279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96" t="s">
        <v>139</v>
      </c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64"/>
      <c r="AB72" s="264"/>
      <c r="AC72" s="264"/>
    </row>
    <row r="73" spans="1:68" ht="27" hidden="1" customHeight="1" x14ac:dyDescent="0.25">
      <c r="A73" s="54" t="s">
        <v>140</v>
      </c>
      <c r="B73" s="54" t="s">
        <v>141</v>
      </c>
      <c r="C73" s="31">
        <v>4301135664</v>
      </c>
      <c r="D73" s="275">
        <v>4607111039705</v>
      </c>
      <c r="E73" s="276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44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5"/>
      <c r="R73" s="285"/>
      <c r="S73" s="285"/>
      <c r="T73" s="286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5">
        <v>4607111039729</v>
      </c>
      <c r="E74" s="276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40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5"/>
      <c r="R74" s="285"/>
      <c r="S74" s="285"/>
      <c r="T74" s="286"/>
      <c r="U74" s="34"/>
      <c r="V74" s="34"/>
      <c r="W74" s="35" t="s">
        <v>70</v>
      </c>
      <c r="X74" s="268">
        <v>14</v>
      </c>
      <c r="Y74" s="269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5">
        <v>4620207490228</v>
      </c>
      <c r="E75" s="276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30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5"/>
      <c r="R75" s="285"/>
      <c r="S75" s="285"/>
      <c r="T75" s="286"/>
      <c r="U75" s="34"/>
      <c r="V75" s="34"/>
      <c r="W75" s="35" t="s">
        <v>70</v>
      </c>
      <c r="X75" s="268">
        <v>42</v>
      </c>
      <c r="Y75" s="269">
        <f>IFERROR(IF(X75="","",X75),"")</f>
        <v>42</v>
      </c>
      <c r="Z75" s="36">
        <f>IFERROR(IF(X75="","",X75*0.00941),"")</f>
        <v>0.39522000000000002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65.52</v>
      </c>
      <c r="BN75" s="67">
        <f>IFERROR(Y75*I75,"0")</f>
        <v>65.52</v>
      </c>
      <c r="BO75" s="67">
        <f>IFERROR(X75/J75,"0")</f>
        <v>0.3</v>
      </c>
      <c r="BP75" s="67">
        <f>IFERROR(Y75/J75,"0")</f>
        <v>0.3</v>
      </c>
    </row>
    <row r="76" spans="1:68" x14ac:dyDescent="0.2">
      <c r="A76" s="282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3"/>
      <c r="P76" s="277" t="s">
        <v>83</v>
      </c>
      <c r="Q76" s="278"/>
      <c r="R76" s="278"/>
      <c r="S76" s="278"/>
      <c r="T76" s="278"/>
      <c r="U76" s="278"/>
      <c r="V76" s="279"/>
      <c r="W76" s="37" t="s">
        <v>70</v>
      </c>
      <c r="X76" s="270">
        <f>IFERROR(SUM(X73:X75),"0")</f>
        <v>56</v>
      </c>
      <c r="Y76" s="270">
        <f>IFERROR(SUM(Y73:Y75),"0")</f>
        <v>56</v>
      </c>
      <c r="Z76" s="270">
        <f>IFERROR(IF(Z73="",0,Z73),"0")+IFERROR(IF(Z74="",0,Z74),"0")+IFERROR(IF(Z75="",0,Z75),"0")</f>
        <v>0.52695999999999998</v>
      </c>
      <c r="AA76" s="271"/>
      <c r="AB76" s="271"/>
      <c r="AC76" s="271"/>
    </row>
    <row r="77" spans="1:68" x14ac:dyDescent="0.2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3"/>
      <c r="P77" s="277" t="s">
        <v>83</v>
      </c>
      <c r="Q77" s="278"/>
      <c r="R77" s="278"/>
      <c r="S77" s="278"/>
      <c r="T77" s="278"/>
      <c r="U77" s="278"/>
      <c r="V77" s="279"/>
      <c r="W77" s="37" t="s">
        <v>84</v>
      </c>
      <c r="X77" s="270">
        <f>IFERROR(SUMPRODUCT(X73:X75*H73:H75),"0")</f>
        <v>67.2</v>
      </c>
      <c r="Y77" s="270">
        <f>IFERROR(SUMPRODUCT(Y73:Y75*H73:H75),"0")</f>
        <v>67.2</v>
      </c>
      <c r="Z77" s="37"/>
      <c r="AA77" s="271"/>
      <c r="AB77" s="271"/>
      <c r="AC77" s="271"/>
    </row>
    <row r="78" spans="1:68" ht="16.5" hidden="1" customHeight="1" x14ac:dyDescent="0.25">
      <c r="A78" s="289" t="s">
        <v>147</v>
      </c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63"/>
      <c r="AB78" s="263"/>
      <c r="AC78" s="263"/>
    </row>
    <row r="79" spans="1:68" ht="14.25" hidden="1" customHeight="1" x14ac:dyDescent="0.25">
      <c r="A79" s="296" t="s">
        <v>64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64"/>
      <c r="AB79" s="264"/>
      <c r="AC79" s="264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5">
        <v>4607111037411</v>
      </c>
      <c r="E80" s="276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34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5"/>
      <c r="R80" s="285"/>
      <c r="S80" s="285"/>
      <c r="T80" s="286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5">
        <v>4607111036728</v>
      </c>
      <c r="E81" s="276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44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5"/>
      <c r="R81" s="285"/>
      <c r="S81" s="285"/>
      <c r="T81" s="286"/>
      <c r="U81" s="34"/>
      <c r="V81" s="34"/>
      <c r="W81" s="35" t="s">
        <v>70</v>
      </c>
      <c r="X81" s="268">
        <v>240</v>
      </c>
      <c r="Y81" s="269">
        <f>IFERROR(IF(X81="","",X81),"")</f>
        <v>240</v>
      </c>
      <c r="Z81" s="36">
        <f>IFERROR(IF(X81="","",X81*0.00866),"")</f>
        <v>2.0783999999999998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1251.1679999999999</v>
      </c>
      <c r="BN81" s="67">
        <f>IFERROR(Y81*I81,"0")</f>
        <v>1251.1679999999999</v>
      </c>
      <c r="BO81" s="67">
        <f>IFERROR(X81/J81,"0")</f>
        <v>1.6666666666666667</v>
      </c>
      <c r="BP81" s="67">
        <f>IFERROR(Y81/J81,"0")</f>
        <v>1.6666666666666667</v>
      </c>
    </row>
    <row r="82" spans="1:68" x14ac:dyDescent="0.2">
      <c r="A82" s="282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3"/>
      <c r="P82" s="277" t="s">
        <v>83</v>
      </c>
      <c r="Q82" s="278"/>
      <c r="R82" s="278"/>
      <c r="S82" s="278"/>
      <c r="T82" s="278"/>
      <c r="U82" s="278"/>
      <c r="V82" s="279"/>
      <c r="W82" s="37" t="s">
        <v>70</v>
      </c>
      <c r="X82" s="270">
        <f>IFERROR(SUM(X80:X81),"0")</f>
        <v>240</v>
      </c>
      <c r="Y82" s="270">
        <f>IFERROR(SUM(Y80:Y81),"0")</f>
        <v>240</v>
      </c>
      <c r="Z82" s="270">
        <f>IFERROR(IF(Z80="",0,Z80),"0")+IFERROR(IF(Z81="",0,Z81),"0")</f>
        <v>2.0783999999999998</v>
      </c>
      <c r="AA82" s="271"/>
      <c r="AB82" s="271"/>
      <c r="AC82" s="271"/>
    </row>
    <row r="83" spans="1:68" x14ac:dyDescent="0.2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3"/>
      <c r="P83" s="277" t="s">
        <v>83</v>
      </c>
      <c r="Q83" s="278"/>
      <c r="R83" s="278"/>
      <c r="S83" s="278"/>
      <c r="T83" s="278"/>
      <c r="U83" s="278"/>
      <c r="V83" s="279"/>
      <c r="W83" s="37" t="s">
        <v>84</v>
      </c>
      <c r="X83" s="270">
        <f>IFERROR(SUMPRODUCT(X80:X81*H80:H81),"0")</f>
        <v>1200</v>
      </c>
      <c r="Y83" s="270">
        <f>IFERROR(SUMPRODUCT(Y80:Y81*H80:H81),"0")</f>
        <v>1200</v>
      </c>
      <c r="Z83" s="37"/>
      <c r="AA83" s="271"/>
      <c r="AB83" s="271"/>
      <c r="AC83" s="271"/>
    </row>
    <row r="84" spans="1:68" ht="16.5" hidden="1" customHeight="1" x14ac:dyDescent="0.25">
      <c r="A84" s="289" t="s">
        <v>154</v>
      </c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63"/>
      <c r="AB84" s="263"/>
      <c r="AC84" s="263"/>
    </row>
    <row r="85" spans="1:68" ht="14.25" hidden="1" customHeight="1" x14ac:dyDescent="0.25">
      <c r="A85" s="296" t="s">
        <v>139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64"/>
      <c r="AB85" s="264"/>
      <c r="AC85" s="264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5">
        <v>4607111033659</v>
      </c>
      <c r="E86" s="276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45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5"/>
      <c r="R86" s="285"/>
      <c r="S86" s="285"/>
      <c r="T86" s="286"/>
      <c r="U86" s="34"/>
      <c r="V86" s="34"/>
      <c r="W86" s="35" t="s">
        <v>70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2"/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3"/>
      <c r="P87" s="277" t="s">
        <v>83</v>
      </c>
      <c r="Q87" s="278"/>
      <c r="R87" s="278"/>
      <c r="S87" s="278"/>
      <c r="T87" s="278"/>
      <c r="U87" s="278"/>
      <c r="V87" s="279"/>
      <c r="W87" s="37" t="s">
        <v>70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1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3"/>
      <c r="P88" s="277" t="s">
        <v>83</v>
      </c>
      <c r="Q88" s="278"/>
      <c r="R88" s="278"/>
      <c r="S88" s="278"/>
      <c r="T88" s="278"/>
      <c r="U88" s="278"/>
      <c r="V88" s="279"/>
      <c r="W88" s="37" t="s">
        <v>84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9" t="s">
        <v>158</v>
      </c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63"/>
      <c r="AB89" s="263"/>
      <c r="AC89" s="263"/>
    </row>
    <row r="90" spans="1:68" ht="14.25" hidden="1" customHeight="1" x14ac:dyDescent="0.25">
      <c r="A90" s="296" t="s">
        <v>159</v>
      </c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64"/>
      <c r="AB90" s="264"/>
      <c r="AC90" s="264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5">
        <v>4607111034120</v>
      </c>
      <c r="E91" s="276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5"/>
      <c r="R91" s="285"/>
      <c r="S91" s="285"/>
      <c r="T91" s="286"/>
      <c r="U91" s="34"/>
      <c r="V91" s="34"/>
      <c r="W91" s="35" t="s">
        <v>70</v>
      </c>
      <c r="X91" s="268">
        <v>28</v>
      </c>
      <c r="Y91" s="269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5">
        <v>4607111034137</v>
      </c>
      <c r="E92" s="276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45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5"/>
      <c r="R92" s="285"/>
      <c r="S92" s="285"/>
      <c r="T92" s="286"/>
      <c r="U92" s="34"/>
      <c r="V92" s="34"/>
      <c r="W92" s="35" t="s">
        <v>70</v>
      </c>
      <c r="X92" s="268">
        <v>14</v>
      </c>
      <c r="Y92" s="269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2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3"/>
      <c r="P93" s="277" t="s">
        <v>83</v>
      </c>
      <c r="Q93" s="278"/>
      <c r="R93" s="278"/>
      <c r="S93" s="278"/>
      <c r="T93" s="278"/>
      <c r="U93" s="278"/>
      <c r="V93" s="279"/>
      <c r="W93" s="37" t="s">
        <v>70</v>
      </c>
      <c r="X93" s="270">
        <f>IFERROR(SUM(X91:X92),"0")</f>
        <v>42</v>
      </c>
      <c r="Y93" s="270">
        <f>IFERROR(SUM(Y91:Y92),"0")</f>
        <v>42</v>
      </c>
      <c r="Z93" s="270">
        <f>IFERROR(IF(Z91="",0,Z91),"0")+IFERROR(IF(Z92="",0,Z92),"0")</f>
        <v>0.75095999999999996</v>
      </c>
      <c r="AA93" s="271"/>
      <c r="AB93" s="271"/>
      <c r="AC93" s="271"/>
    </row>
    <row r="94" spans="1:68" x14ac:dyDescent="0.2">
      <c r="A94" s="281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3"/>
      <c r="P94" s="277" t="s">
        <v>83</v>
      </c>
      <c r="Q94" s="278"/>
      <c r="R94" s="278"/>
      <c r="S94" s="278"/>
      <c r="T94" s="278"/>
      <c r="U94" s="278"/>
      <c r="V94" s="279"/>
      <c r="W94" s="37" t="s">
        <v>84</v>
      </c>
      <c r="X94" s="270">
        <f>IFERROR(SUMPRODUCT(X91:X92*H91:H92),"0")</f>
        <v>151.19999999999999</v>
      </c>
      <c r="Y94" s="270">
        <f>IFERROR(SUMPRODUCT(Y91:Y92*H91:H92),"0")</f>
        <v>151.19999999999999</v>
      </c>
      <c r="Z94" s="37"/>
      <c r="AA94" s="271"/>
      <c r="AB94" s="271"/>
      <c r="AC94" s="271"/>
    </row>
    <row r="95" spans="1:68" ht="16.5" hidden="1" customHeight="1" x14ac:dyDescent="0.25">
      <c r="A95" s="289" t="s">
        <v>166</v>
      </c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63"/>
      <c r="AB95" s="263"/>
      <c r="AC95" s="263"/>
    </row>
    <row r="96" spans="1:68" ht="14.25" hidden="1" customHeight="1" x14ac:dyDescent="0.25">
      <c r="A96" s="296" t="s">
        <v>139</v>
      </c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64"/>
      <c r="AB96" s="264"/>
      <c r="AC96" s="264"/>
    </row>
    <row r="97" spans="1:68" ht="27" hidden="1" customHeight="1" x14ac:dyDescent="0.25">
      <c r="A97" s="54" t="s">
        <v>167</v>
      </c>
      <c r="B97" s="54" t="s">
        <v>168</v>
      </c>
      <c r="C97" s="31">
        <v>4301135763</v>
      </c>
      <c r="D97" s="275">
        <v>4620207491027</v>
      </c>
      <c r="E97" s="276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41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5"/>
      <c r="R97" s="285"/>
      <c r="S97" s="285"/>
      <c r="T97" s="286"/>
      <c r="U97" s="34"/>
      <c r="V97" s="34"/>
      <c r="W97" s="35" t="s">
        <v>70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5">
        <v>4620207491003</v>
      </c>
      <c r="E98" s="276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5"/>
      <c r="R98" s="285"/>
      <c r="S98" s="285"/>
      <c r="T98" s="286"/>
      <c r="U98" s="34"/>
      <c r="V98" s="34"/>
      <c r="W98" s="35" t="s">
        <v>70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hidden="1" customHeight="1" x14ac:dyDescent="0.25">
      <c r="A99" s="54" t="s">
        <v>171</v>
      </c>
      <c r="B99" s="54" t="s">
        <v>172</v>
      </c>
      <c r="C99" s="31">
        <v>4301135768</v>
      </c>
      <c r="D99" s="275">
        <v>4620207491034</v>
      </c>
      <c r="E99" s="276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45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5"/>
      <c r="R99" s="285"/>
      <c r="S99" s="285"/>
      <c r="T99" s="286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5">
        <v>4620207491010</v>
      </c>
      <c r="E100" s="276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45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5"/>
      <c r="R100" s="285"/>
      <c r="S100" s="285"/>
      <c r="T100" s="286"/>
      <c r="U100" s="34"/>
      <c r="V100" s="34"/>
      <c r="W100" s="35" t="s">
        <v>70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hidden="1" customHeight="1" x14ac:dyDescent="0.25">
      <c r="A101" s="54" t="s">
        <v>176</v>
      </c>
      <c r="B101" s="54" t="s">
        <v>177</v>
      </c>
      <c r="C101" s="31">
        <v>4301135571</v>
      </c>
      <c r="D101" s="275">
        <v>4607111035028</v>
      </c>
      <c r="E101" s="276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32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5"/>
      <c r="R101" s="285"/>
      <c r="S101" s="285"/>
      <c r="T101" s="286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178</v>
      </c>
      <c r="B102" s="54" t="s">
        <v>179</v>
      </c>
      <c r="C102" s="31">
        <v>4301135285</v>
      </c>
      <c r="D102" s="275">
        <v>4607111036407</v>
      </c>
      <c r="E102" s="276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3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5"/>
      <c r="R102" s="285"/>
      <c r="S102" s="285"/>
      <c r="T102" s="286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2"/>
      <c r="B103" s="281"/>
      <c r="C103" s="281"/>
      <c r="D103" s="281"/>
      <c r="E103" s="281"/>
      <c r="F103" s="281"/>
      <c r="G103" s="281"/>
      <c r="H103" s="281"/>
      <c r="I103" s="281"/>
      <c r="J103" s="281"/>
      <c r="K103" s="281"/>
      <c r="L103" s="281"/>
      <c r="M103" s="281"/>
      <c r="N103" s="281"/>
      <c r="O103" s="283"/>
      <c r="P103" s="277" t="s">
        <v>83</v>
      </c>
      <c r="Q103" s="278"/>
      <c r="R103" s="278"/>
      <c r="S103" s="278"/>
      <c r="T103" s="278"/>
      <c r="U103" s="278"/>
      <c r="V103" s="279"/>
      <c r="W103" s="37" t="s">
        <v>70</v>
      </c>
      <c r="X103" s="270">
        <f>IFERROR(SUM(X97:X102),"0")</f>
        <v>140</v>
      </c>
      <c r="Y103" s="270">
        <f>IFERROR(SUM(Y97:Y102),"0")</f>
        <v>140</v>
      </c>
      <c r="Z103" s="270">
        <f>IFERROR(IF(Z97="",0,Z97),"0")+IFERROR(IF(Z98="",0,Z98),"0")+IFERROR(IF(Z99="",0,Z99),"0")+IFERROR(IF(Z100="",0,Z100),"0")+IFERROR(IF(Z101="",0,Z101),"0")+IFERROR(IF(Z102="",0,Z102),"0")</f>
        <v>2.5032000000000001</v>
      </c>
      <c r="AA103" s="271"/>
      <c r="AB103" s="271"/>
      <c r="AC103" s="271"/>
    </row>
    <row r="104" spans="1:68" x14ac:dyDescent="0.2">
      <c r="A104" s="281"/>
      <c r="B104" s="281"/>
      <c r="C104" s="281"/>
      <c r="D104" s="281"/>
      <c r="E104" s="281"/>
      <c r="F104" s="281"/>
      <c r="G104" s="281"/>
      <c r="H104" s="281"/>
      <c r="I104" s="281"/>
      <c r="J104" s="281"/>
      <c r="K104" s="281"/>
      <c r="L104" s="281"/>
      <c r="M104" s="281"/>
      <c r="N104" s="281"/>
      <c r="O104" s="283"/>
      <c r="P104" s="277" t="s">
        <v>83</v>
      </c>
      <c r="Q104" s="278"/>
      <c r="R104" s="278"/>
      <c r="S104" s="278"/>
      <c r="T104" s="278"/>
      <c r="U104" s="278"/>
      <c r="V104" s="279"/>
      <c r="W104" s="37" t="s">
        <v>84</v>
      </c>
      <c r="X104" s="270">
        <f>IFERROR(SUMPRODUCT(X97:X102*H97:H102),"0")</f>
        <v>403.2</v>
      </c>
      <c r="Y104" s="270">
        <f>IFERROR(SUMPRODUCT(Y97:Y102*H97:H102),"0")</f>
        <v>403.2</v>
      </c>
      <c r="Z104" s="37"/>
      <c r="AA104" s="271"/>
      <c r="AB104" s="271"/>
      <c r="AC104" s="271"/>
    </row>
    <row r="105" spans="1:68" ht="16.5" hidden="1" customHeight="1" x14ac:dyDescent="0.25">
      <c r="A105" s="289" t="s">
        <v>181</v>
      </c>
      <c r="B105" s="281"/>
      <c r="C105" s="281"/>
      <c r="D105" s="281"/>
      <c r="E105" s="281"/>
      <c r="F105" s="281"/>
      <c r="G105" s="281"/>
      <c r="H105" s="281"/>
      <c r="I105" s="281"/>
      <c r="J105" s="281"/>
      <c r="K105" s="281"/>
      <c r="L105" s="281"/>
      <c r="M105" s="281"/>
      <c r="N105" s="281"/>
      <c r="O105" s="281"/>
      <c r="P105" s="281"/>
      <c r="Q105" s="281"/>
      <c r="R105" s="281"/>
      <c r="S105" s="281"/>
      <c r="T105" s="281"/>
      <c r="U105" s="281"/>
      <c r="V105" s="281"/>
      <c r="W105" s="281"/>
      <c r="X105" s="281"/>
      <c r="Y105" s="281"/>
      <c r="Z105" s="281"/>
      <c r="AA105" s="263"/>
      <c r="AB105" s="263"/>
      <c r="AC105" s="263"/>
    </row>
    <row r="106" spans="1:68" ht="14.25" hidden="1" customHeight="1" x14ac:dyDescent="0.25">
      <c r="A106" s="296" t="s">
        <v>133</v>
      </c>
      <c r="B106" s="281"/>
      <c r="C106" s="281"/>
      <c r="D106" s="281"/>
      <c r="E106" s="281"/>
      <c r="F106" s="281"/>
      <c r="G106" s="281"/>
      <c r="H106" s="281"/>
      <c r="I106" s="281"/>
      <c r="J106" s="281"/>
      <c r="K106" s="281"/>
      <c r="L106" s="281"/>
      <c r="M106" s="281"/>
      <c r="N106" s="281"/>
      <c r="O106" s="281"/>
      <c r="P106" s="281"/>
      <c r="Q106" s="281"/>
      <c r="R106" s="281"/>
      <c r="S106" s="281"/>
      <c r="T106" s="281"/>
      <c r="U106" s="281"/>
      <c r="V106" s="281"/>
      <c r="W106" s="281"/>
      <c r="X106" s="281"/>
      <c r="Y106" s="281"/>
      <c r="Z106" s="281"/>
      <c r="AA106" s="264"/>
      <c r="AB106" s="264"/>
      <c r="AC106" s="264"/>
    </row>
    <row r="107" spans="1:68" ht="27" hidden="1" customHeight="1" x14ac:dyDescent="0.25">
      <c r="A107" s="54" t="s">
        <v>182</v>
      </c>
      <c r="B107" s="54" t="s">
        <v>183</v>
      </c>
      <c r="C107" s="31">
        <v>4301136070</v>
      </c>
      <c r="D107" s="275">
        <v>4607025784012</v>
      </c>
      <c r="E107" s="276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32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5"/>
      <c r="R107" s="285"/>
      <c r="S107" s="285"/>
      <c r="T107" s="286"/>
      <c r="U107" s="34"/>
      <c r="V107" s="34"/>
      <c r="W107" s="35" t="s">
        <v>70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4301136079</v>
      </c>
      <c r="D108" s="275">
        <v>4607025784319</v>
      </c>
      <c r="E108" s="276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37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5"/>
      <c r="R108" s="285"/>
      <c r="S108" s="285"/>
      <c r="T108" s="286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2"/>
      <c r="B109" s="281"/>
      <c r="C109" s="281"/>
      <c r="D109" s="281"/>
      <c r="E109" s="281"/>
      <c r="F109" s="281"/>
      <c r="G109" s="281"/>
      <c r="H109" s="281"/>
      <c r="I109" s="281"/>
      <c r="J109" s="281"/>
      <c r="K109" s="281"/>
      <c r="L109" s="281"/>
      <c r="M109" s="281"/>
      <c r="N109" s="281"/>
      <c r="O109" s="283"/>
      <c r="P109" s="277" t="s">
        <v>83</v>
      </c>
      <c r="Q109" s="278"/>
      <c r="R109" s="278"/>
      <c r="S109" s="278"/>
      <c r="T109" s="278"/>
      <c r="U109" s="278"/>
      <c r="V109" s="279"/>
      <c r="W109" s="37" t="s">
        <v>70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81"/>
      <c r="B110" s="281"/>
      <c r="C110" s="281"/>
      <c r="D110" s="281"/>
      <c r="E110" s="281"/>
      <c r="F110" s="281"/>
      <c r="G110" s="281"/>
      <c r="H110" s="281"/>
      <c r="I110" s="281"/>
      <c r="J110" s="281"/>
      <c r="K110" s="281"/>
      <c r="L110" s="281"/>
      <c r="M110" s="281"/>
      <c r="N110" s="281"/>
      <c r="O110" s="283"/>
      <c r="P110" s="277" t="s">
        <v>83</v>
      </c>
      <c r="Q110" s="278"/>
      <c r="R110" s="278"/>
      <c r="S110" s="278"/>
      <c r="T110" s="278"/>
      <c r="U110" s="278"/>
      <c r="V110" s="279"/>
      <c r="W110" s="37" t="s">
        <v>84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9" t="s">
        <v>187</v>
      </c>
      <c r="B111" s="281"/>
      <c r="C111" s="281"/>
      <c r="D111" s="281"/>
      <c r="E111" s="281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  <c r="S111" s="281"/>
      <c r="T111" s="281"/>
      <c r="U111" s="281"/>
      <c r="V111" s="281"/>
      <c r="W111" s="281"/>
      <c r="X111" s="281"/>
      <c r="Y111" s="281"/>
      <c r="Z111" s="281"/>
      <c r="AA111" s="263"/>
      <c r="AB111" s="263"/>
      <c r="AC111" s="263"/>
    </row>
    <row r="112" spans="1:68" ht="14.25" hidden="1" customHeight="1" x14ac:dyDescent="0.25">
      <c r="A112" s="296" t="s">
        <v>64</v>
      </c>
      <c r="B112" s="281"/>
      <c r="C112" s="281"/>
      <c r="D112" s="281"/>
      <c r="E112" s="281"/>
      <c r="F112" s="281"/>
      <c r="G112" s="281"/>
      <c r="H112" s="281"/>
      <c r="I112" s="281"/>
      <c r="J112" s="281"/>
      <c r="K112" s="281"/>
      <c r="L112" s="281"/>
      <c r="M112" s="281"/>
      <c r="N112" s="281"/>
      <c r="O112" s="281"/>
      <c r="P112" s="281"/>
      <c r="Q112" s="281"/>
      <c r="R112" s="281"/>
      <c r="S112" s="281"/>
      <c r="T112" s="281"/>
      <c r="U112" s="281"/>
      <c r="V112" s="281"/>
      <c r="W112" s="281"/>
      <c r="X112" s="281"/>
      <c r="Y112" s="281"/>
      <c r="Z112" s="281"/>
      <c r="AA112" s="264"/>
      <c r="AB112" s="264"/>
      <c r="AC112" s="264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5">
        <v>4620207491157</v>
      </c>
      <c r="E113" s="276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42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5"/>
      <c r="R113" s="285"/>
      <c r="S113" s="285"/>
      <c r="T113" s="286"/>
      <c r="U113" s="34"/>
      <c r="V113" s="34"/>
      <c r="W113" s="35" t="s">
        <v>70</v>
      </c>
      <c r="X113" s="268">
        <v>36</v>
      </c>
      <c r="Y113" s="269">
        <f t="shared" ref="Y113:Y120" si="12">IFERROR(IF(X113="","",X113),"")</f>
        <v>36</v>
      </c>
      <c r="Z113" s="36">
        <f t="shared" ref="Z113:Z120" si="13">IFERROR(IF(X113="","",X113*0.0155),"")</f>
        <v>0.55800000000000005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262.08</v>
      </c>
      <c r="BN113" s="67">
        <f t="shared" ref="BN113:BN120" si="15">IFERROR(Y113*I113,"0")</f>
        <v>262.08</v>
      </c>
      <c r="BO113" s="67">
        <f t="shared" ref="BO113:BO120" si="16">IFERROR(X113/J113,"0")</f>
        <v>0.42857142857142855</v>
      </c>
      <c r="BP113" s="67">
        <f t="shared" ref="BP113:BP120" si="17">IFERROR(Y113/J113,"0")</f>
        <v>0.42857142857142855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4301071121</v>
      </c>
      <c r="D114" s="275">
        <v>4620207491393</v>
      </c>
      <c r="E114" s="276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3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5"/>
      <c r="R114" s="285"/>
      <c r="S114" s="285"/>
      <c r="T114" s="286"/>
      <c r="U114" s="34"/>
      <c r="V114" s="34"/>
      <c r="W114" s="35" t="s">
        <v>70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5">
        <v>4607111039262</v>
      </c>
      <c r="E115" s="276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5"/>
      <c r="R115" s="285"/>
      <c r="S115" s="285"/>
      <c r="T115" s="286"/>
      <c r="U115" s="34"/>
      <c r="V115" s="34"/>
      <c r="W115" s="35" t="s">
        <v>70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5">
        <v>4607111039248</v>
      </c>
      <c r="E116" s="276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43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5"/>
      <c r="R116" s="285"/>
      <c r="S116" s="285"/>
      <c r="T116" s="286"/>
      <c r="U116" s="34"/>
      <c r="V116" s="34"/>
      <c r="W116" s="35" t="s">
        <v>70</v>
      </c>
      <c r="X116" s="268">
        <v>144</v>
      </c>
      <c r="Y116" s="269">
        <f t="shared" si="12"/>
        <v>144</v>
      </c>
      <c r="Z116" s="36">
        <f t="shared" si="13"/>
        <v>2.2320000000000002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5">
        <v>4607111037145</v>
      </c>
      <c r="E117" s="276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5"/>
      <c r="R117" s="285"/>
      <c r="S117" s="285"/>
      <c r="T117" s="286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5">
        <v>4607111039293</v>
      </c>
      <c r="E118" s="276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42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5"/>
      <c r="R118" s="285"/>
      <c r="S118" s="285"/>
      <c r="T118" s="286"/>
      <c r="U118" s="34"/>
      <c r="V118" s="34"/>
      <c r="W118" s="35" t="s">
        <v>70</v>
      </c>
      <c r="X118" s="268">
        <v>36</v>
      </c>
      <c r="Y118" s="269">
        <f t="shared" si="12"/>
        <v>36</v>
      </c>
      <c r="Z118" s="36">
        <f t="shared" si="13"/>
        <v>0.55800000000000005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5">
        <v>4607111039279</v>
      </c>
      <c r="E119" s="276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40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5"/>
      <c r="R119" s="285"/>
      <c r="S119" s="285"/>
      <c r="T119" s="286"/>
      <c r="U119" s="34"/>
      <c r="V119" s="34"/>
      <c r="W119" s="35" t="s">
        <v>70</v>
      </c>
      <c r="X119" s="268">
        <v>156</v>
      </c>
      <c r="Y119" s="269">
        <f t="shared" si="12"/>
        <v>156</v>
      </c>
      <c r="Z119" s="36">
        <f t="shared" si="13"/>
        <v>2.4180000000000001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ht="27" customHeight="1" x14ac:dyDescent="0.25">
      <c r="A120" s="54" t="s">
        <v>205</v>
      </c>
      <c r="B120" s="54" t="s">
        <v>206</v>
      </c>
      <c r="C120" s="31">
        <v>4301071075</v>
      </c>
      <c r="D120" s="275">
        <v>4620207491102</v>
      </c>
      <c r="E120" s="276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448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5"/>
      <c r="R120" s="285"/>
      <c r="S120" s="285"/>
      <c r="T120" s="286"/>
      <c r="U120" s="34"/>
      <c r="V120" s="34"/>
      <c r="W120" s="35" t="s">
        <v>70</v>
      </c>
      <c r="X120" s="268">
        <v>216</v>
      </c>
      <c r="Y120" s="269">
        <f t="shared" si="12"/>
        <v>216</v>
      </c>
      <c r="Z120" s="36">
        <f t="shared" si="13"/>
        <v>3.3479999999999999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1561.68</v>
      </c>
      <c r="BN120" s="67">
        <f t="shared" si="15"/>
        <v>1561.68</v>
      </c>
      <c r="BO120" s="67">
        <f t="shared" si="16"/>
        <v>2.5714285714285716</v>
      </c>
      <c r="BP120" s="67">
        <f t="shared" si="17"/>
        <v>2.5714285714285716</v>
      </c>
    </row>
    <row r="121" spans="1:68" x14ac:dyDescent="0.2">
      <c r="A121" s="282"/>
      <c r="B121" s="281"/>
      <c r="C121" s="281"/>
      <c r="D121" s="281"/>
      <c r="E121" s="281"/>
      <c r="F121" s="281"/>
      <c r="G121" s="281"/>
      <c r="H121" s="281"/>
      <c r="I121" s="281"/>
      <c r="J121" s="281"/>
      <c r="K121" s="281"/>
      <c r="L121" s="281"/>
      <c r="M121" s="281"/>
      <c r="N121" s="281"/>
      <c r="O121" s="283"/>
      <c r="P121" s="277" t="s">
        <v>83</v>
      </c>
      <c r="Q121" s="278"/>
      <c r="R121" s="278"/>
      <c r="S121" s="278"/>
      <c r="T121" s="278"/>
      <c r="U121" s="278"/>
      <c r="V121" s="279"/>
      <c r="W121" s="37" t="s">
        <v>70</v>
      </c>
      <c r="X121" s="270">
        <f>IFERROR(SUM(X113:X120),"0")</f>
        <v>624</v>
      </c>
      <c r="Y121" s="270">
        <f>IFERROR(SUM(Y113:Y120),"0")</f>
        <v>624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9.6720000000000006</v>
      </c>
      <c r="AA121" s="271"/>
      <c r="AB121" s="271"/>
      <c r="AC121" s="271"/>
    </row>
    <row r="122" spans="1:68" x14ac:dyDescent="0.2">
      <c r="A122" s="281"/>
      <c r="B122" s="281"/>
      <c r="C122" s="281"/>
      <c r="D122" s="281"/>
      <c r="E122" s="281"/>
      <c r="F122" s="281"/>
      <c r="G122" s="281"/>
      <c r="H122" s="281"/>
      <c r="I122" s="281"/>
      <c r="J122" s="281"/>
      <c r="K122" s="281"/>
      <c r="L122" s="281"/>
      <c r="M122" s="281"/>
      <c r="N122" s="281"/>
      <c r="O122" s="283"/>
      <c r="P122" s="277" t="s">
        <v>83</v>
      </c>
      <c r="Q122" s="278"/>
      <c r="R122" s="278"/>
      <c r="S122" s="278"/>
      <c r="T122" s="278"/>
      <c r="U122" s="278"/>
      <c r="V122" s="279"/>
      <c r="W122" s="37" t="s">
        <v>84</v>
      </c>
      <c r="X122" s="270">
        <f>IFERROR(SUMPRODUCT(X113:X120*H113:H120),"0")</f>
        <v>4324.8</v>
      </c>
      <c r="Y122" s="270">
        <f>IFERROR(SUMPRODUCT(Y113:Y120*H113:H120),"0")</f>
        <v>4324.8</v>
      </c>
      <c r="Z122" s="37"/>
      <c r="AA122" s="271"/>
      <c r="AB122" s="271"/>
      <c r="AC122" s="271"/>
    </row>
    <row r="123" spans="1:68" ht="14.25" hidden="1" customHeight="1" x14ac:dyDescent="0.25">
      <c r="A123" s="296" t="s">
        <v>139</v>
      </c>
      <c r="B123" s="281"/>
      <c r="C123" s="281"/>
      <c r="D123" s="281"/>
      <c r="E123" s="281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64"/>
      <c r="AB123" s="264"/>
      <c r="AC123" s="264"/>
    </row>
    <row r="124" spans="1:68" ht="27" hidden="1" customHeight="1" x14ac:dyDescent="0.25">
      <c r="A124" s="54" t="s">
        <v>208</v>
      </c>
      <c r="B124" s="54" t="s">
        <v>209</v>
      </c>
      <c r="C124" s="31">
        <v>4301135670</v>
      </c>
      <c r="D124" s="275">
        <v>4620207490983</v>
      </c>
      <c r="E124" s="276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295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5"/>
      <c r="R124" s="285"/>
      <c r="S124" s="285"/>
      <c r="T124" s="286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75">
        <v>4620207490983</v>
      </c>
      <c r="E125" s="276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3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5"/>
      <c r="R125" s="285"/>
      <c r="S125" s="285"/>
      <c r="T125" s="286"/>
      <c r="U125" s="34"/>
      <c r="V125" s="34"/>
      <c r="W125" s="35" t="s">
        <v>70</v>
      </c>
      <c r="X125" s="268">
        <v>0</v>
      </c>
      <c r="Y125" s="26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2"/>
      <c r="B126" s="281"/>
      <c r="C126" s="281"/>
      <c r="D126" s="281"/>
      <c r="E126" s="281"/>
      <c r="F126" s="281"/>
      <c r="G126" s="281"/>
      <c r="H126" s="281"/>
      <c r="I126" s="281"/>
      <c r="J126" s="281"/>
      <c r="K126" s="281"/>
      <c r="L126" s="281"/>
      <c r="M126" s="281"/>
      <c r="N126" s="281"/>
      <c r="O126" s="283"/>
      <c r="P126" s="277" t="s">
        <v>83</v>
      </c>
      <c r="Q126" s="278"/>
      <c r="R126" s="278"/>
      <c r="S126" s="278"/>
      <c r="T126" s="278"/>
      <c r="U126" s="278"/>
      <c r="V126" s="279"/>
      <c r="W126" s="37" t="s">
        <v>70</v>
      </c>
      <c r="X126" s="270">
        <f>IFERROR(SUM(X124:X125),"0")</f>
        <v>0</v>
      </c>
      <c r="Y126" s="270">
        <f>IFERROR(SUM(Y124:Y125),"0")</f>
        <v>0</v>
      </c>
      <c r="Z126" s="270">
        <f>IFERROR(IF(Z124="",0,Z124),"0")+IFERROR(IF(Z125="",0,Z125),"0")</f>
        <v>0</v>
      </c>
      <c r="AA126" s="271"/>
      <c r="AB126" s="271"/>
      <c r="AC126" s="271"/>
    </row>
    <row r="127" spans="1:68" hidden="1" x14ac:dyDescent="0.2">
      <c r="A127" s="281"/>
      <c r="B127" s="281"/>
      <c r="C127" s="281"/>
      <c r="D127" s="281"/>
      <c r="E127" s="281"/>
      <c r="F127" s="281"/>
      <c r="G127" s="281"/>
      <c r="H127" s="281"/>
      <c r="I127" s="281"/>
      <c r="J127" s="281"/>
      <c r="K127" s="281"/>
      <c r="L127" s="281"/>
      <c r="M127" s="281"/>
      <c r="N127" s="281"/>
      <c r="O127" s="283"/>
      <c r="P127" s="277" t="s">
        <v>83</v>
      </c>
      <c r="Q127" s="278"/>
      <c r="R127" s="278"/>
      <c r="S127" s="278"/>
      <c r="T127" s="278"/>
      <c r="U127" s="278"/>
      <c r="V127" s="279"/>
      <c r="W127" s="37" t="s">
        <v>84</v>
      </c>
      <c r="X127" s="270">
        <f>IFERROR(SUMPRODUCT(X124:X125*H124:H125),"0")</f>
        <v>0</v>
      </c>
      <c r="Y127" s="270">
        <f>IFERROR(SUMPRODUCT(Y124:Y125*H124:H125),"0")</f>
        <v>0</v>
      </c>
      <c r="Z127" s="37"/>
      <c r="AA127" s="271"/>
      <c r="AB127" s="271"/>
      <c r="AC127" s="271"/>
    </row>
    <row r="128" spans="1:68" ht="14.25" hidden="1" customHeight="1" x14ac:dyDescent="0.25">
      <c r="A128" s="296" t="s">
        <v>214</v>
      </c>
      <c r="B128" s="281"/>
      <c r="C128" s="281"/>
      <c r="D128" s="281"/>
      <c r="E128" s="281"/>
      <c r="F128" s="281"/>
      <c r="G128" s="281"/>
      <c r="H128" s="281"/>
      <c r="I128" s="281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1"/>
      <c r="V128" s="281"/>
      <c r="W128" s="281"/>
      <c r="X128" s="281"/>
      <c r="Y128" s="281"/>
      <c r="Z128" s="281"/>
      <c r="AA128" s="264"/>
      <c r="AB128" s="264"/>
      <c r="AC128" s="264"/>
    </row>
    <row r="129" spans="1:68" ht="27" hidden="1" customHeight="1" x14ac:dyDescent="0.25">
      <c r="A129" s="54" t="s">
        <v>215</v>
      </c>
      <c r="B129" s="54" t="s">
        <v>216</v>
      </c>
      <c r="C129" s="31">
        <v>4301071094</v>
      </c>
      <c r="D129" s="275">
        <v>4620207491140</v>
      </c>
      <c r="E129" s="276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41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5"/>
      <c r="R129" s="285"/>
      <c r="S129" s="285"/>
      <c r="T129" s="286"/>
      <c r="U129" s="34"/>
      <c r="V129" s="34"/>
      <c r="W129" s="35" t="s">
        <v>70</v>
      </c>
      <c r="X129" s="268">
        <v>0</v>
      </c>
      <c r="Y129" s="26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82"/>
      <c r="B130" s="281"/>
      <c r="C130" s="281"/>
      <c r="D130" s="281"/>
      <c r="E130" s="281"/>
      <c r="F130" s="281"/>
      <c r="G130" s="281"/>
      <c r="H130" s="281"/>
      <c r="I130" s="281"/>
      <c r="J130" s="281"/>
      <c r="K130" s="281"/>
      <c r="L130" s="281"/>
      <c r="M130" s="281"/>
      <c r="N130" s="281"/>
      <c r="O130" s="283"/>
      <c r="P130" s="277" t="s">
        <v>83</v>
      </c>
      <c r="Q130" s="278"/>
      <c r="R130" s="278"/>
      <c r="S130" s="278"/>
      <c r="T130" s="278"/>
      <c r="U130" s="278"/>
      <c r="V130" s="279"/>
      <c r="W130" s="37" t="s">
        <v>70</v>
      </c>
      <c r="X130" s="270">
        <f>IFERROR(SUM(X129:X129),"0")</f>
        <v>0</v>
      </c>
      <c r="Y130" s="270">
        <f>IFERROR(SUM(Y129:Y129),"0")</f>
        <v>0</v>
      </c>
      <c r="Z130" s="270">
        <f>IFERROR(IF(Z129="",0,Z129),"0")</f>
        <v>0</v>
      </c>
      <c r="AA130" s="271"/>
      <c r="AB130" s="271"/>
      <c r="AC130" s="271"/>
    </row>
    <row r="131" spans="1:68" hidden="1" x14ac:dyDescent="0.2">
      <c r="A131" s="281"/>
      <c r="B131" s="281"/>
      <c r="C131" s="281"/>
      <c r="D131" s="281"/>
      <c r="E131" s="281"/>
      <c r="F131" s="281"/>
      <c r="G131" s="281"/>
      <c r="H131" s="281"/>
      <c r="I131" s="281"/>
      <c r="J131" s="281"/>
      <c r="K131" s="281"/>
      <c r="L131" s="281"/>
      <c r="M131" s="281"/>
      <c r="N131" s="281"/>
      <c r="O131" s="283"/>
      <c r="P131" s="277" t="s">
        <v>83</v>
      </c>
      <c r="Q131" s="278"/>
      <c r="R131" s="278"/>
      <c r="S131" s="278"/>
      <c r="T131" s="278"/>
      <c r="U131" s="278"/>
      <c r="V131" s="279"/>
      <c r="W131" s="37" t="s">
        <v>84</v>
      </c>
      <c r="X131" s="270">
        <f>IFERROR(SUMPRODUCT(X129:X129*H129:H129),"0")</f>
        <v>0</v>
      </c>
      <c r="Y131" s="270">
        <f>IFERROR(SUMPRODUCT(Y129:Y129*H129:H129),"0")</f>
        <v>0</v>
      </c>
      <c r="Z131" s="37"/>
      <c r="AA131" s="271"/>
      <c r="AB131" s="271"/>
      <c r="AC131" s="271"/>
    </row>
    <row r="132" spans="1:68" ht="16.5" hidden="1" customHeight="1" x14ac:dyDescent="0.25">
      <c r="A132" s="289" t="s">
        <v>218</v>
      </c>
      <c r="B132" s="281"/>
      <c r="C132" s="281"/>
      <c r="D132" s="281"/>
      <c r="E132" s="281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W132" s="281"/>
      <c r="X132" s="281"/>
      <c r="Y132" s="281"/>
      <c r="Z132" s="281"/>
      <c r="AA132" s="263"/>
      <c r="AB132" s="263"/>
      <c r="AC132" s="263"/>
    </row>
    <row r="133" spans="1:68" ht="14.25" hidden="1" customHeight="1" x14ac:dyDescent="0.25">
      <c r="A133" s="296" t="s">
        <v>139</v>
      </c>
      <c r="B133" s="281"/>
      <c r="C133" s="281"/>
      <c r="D133" s="281"/>
      <c r="E133" s="281"/>
      <c r="F133" s="281"/>
      <c r="G133" s="281"/>
      <c r="H133" s="281"/>
      <c r="I133" s="281"/>
      <c r="J133" s="281"/>
      <c r="K133" s="281"/>
      <c r="L133" s="281"/>
      <c r="M133" s="281"/>
      <c r="N133" s="281"/>
      <c r="O133" s="281"/>
      <c r="P133" s="281"/>
      <c r="Q133" s="281"/>
      <c r="R133" s="281"/>
      <c r="S133" s="281"/>
      <c r="T133" s="281"/>
      <c r="U133" s="281"/>
      <c r="V133" s="281"/>
      <c r="W133" s="281"/>
      <c r="X133" s="281"/>
      <c r="Y133" s="281"/>
      <c r="Z133" s="281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5">
        <v>4607111034014</v>
      </c>
      <c r="E134" s="276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33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5"/>
      <c r="R134" s="285"/>
      <c r="S134" s="285"/>
      <c r="T134" s="286"/>
      <c r="U134" s="34"/>
      <c r="V134" s="34"/>
      <c r="W134" s="35" t="s">
        <v>70</v>
      </c>
      <c r="X134" s="268">
        <v>98</v>
      </c>
      <c r="Y134" s="269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5">
        <v>4607111033994</v>
      </c>
      <c r="E135" s="276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3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5"/>
      <c r="R135" s="285"/>
      <c r="S135" s="285"/>
      <c r="T135" s="286"/>
      <c r="U135" s="34"/>
      <c r="V135" s="34"/>
      <c r="W135" s="35" t="s">
        <v>70</v>
      </c>
      <c r="X135" s="268">
        <v>140</v>
      </c>
      <c r="Y135" s="269">
        <f>IFERROR(IF(X135="","",X135),"")</f>
        <v>140</v>
      </c>
      <c r="Z135" s="36">
        <f>IFERROR(IF(X135="","",X135*0.01788),"")</f>
        <v>2.5032000000000001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518.50400000000002</v>
      </c>
      <c r="BN135" s="67">
        <f>IFERROR(Y135*I135,"0")</f>
        <v>518.50400000000002</v>
      </c>
      <c r="BO135" s="67">
        <f>IFERROR(X135/J135,"0")</f>
        <v>2</v>
      </c>
      <c r="BP135" s="67">
        <f>IFERROR(Y135/J135,"0")</f>
        <v>2</v>
      </c>
    </row>
    <row r="136" spans="1:68" x14ac:dyDescent="0.2">
      <c r="A136" s="282"/>
      <c r="B136" s="281"/>
      <c r="C136" s="281"/>
      <c r="D136" s="281"/>
      <c r="E136" s="281"/>
      <c r="F136" s="281"/>
      <c r="G136" s="281"/>
      <c r="H136" s="281"/>
      <c r="I136" s="281"/>
      <c r="J136" s="281"/>
      <c r="K136" s="281"/>
      <c r="L136" s="281"/>
      <c r="M136" s="281"/>
      <c r="N136" s="281"/>
      <c r="O136" s="283"/>
      <c r="P136" s="277" t="s">
        <v>83</v>
      </c>
      <c r="Q136" s="278"/>
      <c r="R136" s="278"/>
      <c r="S136" s="278"/>
      <c r="T136" s="278"/>
      <c r="U136" s="278"/>
      <c r="V136" s="279"/>
      <c r="W136" s="37" t="s">
        <v>70</v>
      </c>
      <c r="X136" s="270">
        <f>IFERROR(SUM(X134:X135),"0")</f>
        <v>238</v>
      </c>
      <c r="Y136" s="270">
        <f>IFERROR(SUM(Y134:Y135),"0")</f>
        <v>238</v>
      </c>
      <c r="Z136" s="270">
        <f>IFERROR(IF(Z134="",0,Z134),"0")+IFERROR(IF(Z135="",0,Z135),"0")</f>
        <v>4.2554400000000001</v>
      </c>
      <c r="AA136" s="271"/>
      <c r="AB136" s="271"/>
      <c r="AC136" s="271"/>
    </row>
    <row r="137" spans="1:68" x14ac:dyDescent="0.2">
      <c r="A137" s="281"/>
      <c r="B137" s="281"/>
      <c r="C137" s="281"/>
      <c r="D137" s="281"/>
      <c r="E137" s="281"/>
      <c r="F137" s="281"/>
      <c r="G137" s="281"/>
      <c r="H137" s="281"/>
      <c r="I137" s="281"/>
      <c r="J137" s="281"/>
      <c r="K137" s="281"/>
      <c r="L137" s="281"/>
      <c r="M137" s="281"/>
      <c r="N137" s="281"/>
      <c r="O137" s="283"/>
      <c r="P137" s="277" t="s">
        <v>83</v>
      </c>
      <c r="Q137" s="278"/>
      <c r="R137" s="278"/>
      <c r="S137" s="278"/>
      <c r="T137" s="278"/>
      <c r="U137" s="278"/>
      <c r="V137" s="279"/>
      <c r="W137" s="37" t="s">
        <v>84</v>
      </c>
      <c r="X137" s="270">
        <f>IFERROR(SUMPRODUCT(X134:X135*H134:H135),"0")</f>
        <v>714</v>
      </c>
      <c r="Y137" s="270">
        <f>IFERROR(SUMPRODUCT(Y134:Y135*H134:H135),"0")</f>
        <v>714</v>
      </c>
      <c r="Z137" s="37"/>
      <c r="AA137" s="271"/>
      <c r="AB137" s="271"/>
      <c r="AC137" s="271"/>
    </row>
    <row r="138" spans="1:68" ht="16.5" hidden="1" customHeight="1" x14ac:dyDescent="0.25">
      <c r="A138" s="289" t="s">
        <v>224</v>
      </c>
      <c r="B138" s="281"/>
      <c r="C138" s="281"/>
      <c r="D138" s="281"/>
      <c r="E138" s="281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  <c r="S138" s="281"/>
      <c r="T138" s="281"/>
      <c r="U138" s="281"/>
      <c r="V138" s="281"/>
      <c r="W138" s="281"/>
      <c r="X138" s="281"/>
      <c r="Y138" s="281"/>
      <c r="Z138" s="281"/>
      <c r="AA138" s="263"/>
      <c r="AB138" s="263"/>
      <c r="AC138" s="263"/>
    </row>
    <row r="139" spans="1:68" ht="14.25" hidden="1" customHeight="1" x14ac:dyDescent="0.25">
      <c r="A139" s="296" t="s">
        <v>139</v>
      </c>
      <c r="B139" s="281"/>
      <c r="C139" s="281"/>
      <c r="D139" s="281"/>
      <c r="E139" s="281"/>
      <c r="F139" s="281"/>
      <c r="G139" s="281"/>
      <c r="H139" s="281"/>
      <c r="I139" s="281"/>
      <c r="J139" s="281"/>
      <c r="K139" s="281"/>
      <c r="L139" s="281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5">
        <v>4607111039095</v>
      </c>
      <c r="E140" s="276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45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5"/>
      <c r="R140" s="285"/>
      <c r="S140" s="285"/>
      <c r="T140" s="286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104.944</v>
      </c>
      <c r="BN140" s="67">
        <f>IFERROR(Y140*I140,"0")</f>
        <v>104.944</v>
      </c>
      <c r="BO140" s="67">
        <f>IFERROR(X140/J140,"0")</f>
        <v>0.4</v>
      </c>
      <c r="BP140" s="67">
        <f>IFERROR(Y140/J140,"0")</f>
        <v>0.4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5">
        <v>4607111034199</v>
      </c>
      <c r="E141" s="276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8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5"/>
      <c r="R141" s="285"/>
      <c r="S141" s="285"/>
      <c r="T141" s="286"/>
      <c r="U141" s="34"/>
      <c r="V141" s="34"/>
      <c r="W141" s="35" t="s">
        <v>70</v>
      </c>
      <c r="X141" s="268">
        <v>70</v>
      </c>
      <c r="Y141" s="269">
        <f>IFERROR(IF(X141="","",X141),"")</f>
        <v>70</v>
      </c>
      <c r="Z141" s="36">
        <f>IFERROR(IF(X141="","",X141*0.01788),"")</f>
        <v>1.2516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259.25200000000001</v>
      </c>
      <c r="BN141" s="67">
        <f>IFERROR(Y141*I141,"0")</f>
        <v>259.25200000000001</v>
      </c>
      <c r="BO141" s="67">
        <f>IFERROR(X141/J141,"0")</f>
        <v>1</v>
      </c>
      <c r="BP141" s="67">
        <f>IFERROR(Y141/J141,"0")</f>
        <v>1</v>
      </c>
    </row>
    <row r="142" spans="1:68" x14ac:dyDescent="0.2">
      <c r="A142" s="282"/>
      <c r="B142" s="281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3"/>
      <c r="P142" s="277" t="s">
        <v>83</v>
      </c>
      <c r="Q142" s="278"/>
      <c r="R142" s="278"/>
      <c r="S142" s="278"/>
      <c r="T142" s="278"/>
      <c r="U142" s="278"/>
      <c r="V142" s="279"/>
      <c r="W142" s="37" t="s">
        <v>70</v>
      </c>
      <c r="X142" s="270">
        <f>IFERROR(SUM(X140:X141),"0")</f>
        <v>98</v>
      </c>
      <c r="Y142" s="270">
        <f>IFERROR(SUM(Y140:Y141),"0")</f>
        <v>98</v>
      </c>
      <c r="Z142" s="270">
        <f>IFERROR(IF(Z140="",0,Z140),"0")+IFERROR(IF(Z141="",0,Z141),"0")</f>
        <v>1.75224</v>
      </c>
      <c r="AA142" s="271"/>
      <c r="AB142" s="271"/>
      <c r="AC142" s="271"/>
    </row>
    <row r="143" spans="1:68" x14ac:dyDescent="0.2">
      <c r="A143" s="281"/>
      <c r="B143" s="281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3"/>
      <c r="P143" s="277" t="s">
        <v>83</v>
      </c>
      <c r="Q143" s="278"/>
      <c r="R143" s="278"/>
      <c r="S143" s="278"/>
      <c r="T143" s="278"/>
      <c r="U143" s="278"/>
      <c r="V143" s="279"/>
      <c r="W143" s="37" t="s">
        <v>84</v>
      </c>
      <c r="X143" s="270">
        <f>IFERROR(SUMPRODUCT(X140:X141*H140:H141),"0")</f>
        <v>294</v>
      </c>
      <c r="Y143" s="270">
        <f>IFERROR(SUMPRODUCT(Y140:Y141*H140:H141),"0")</f>
        <v>294</v>
      </c>
      <c r="Z143" s="37"/>
      <c r="AA143" s="271"/>
      <c r="AB143" s="271"/>
      <c r="AC143" s="271"/>
    </row>
    <row r="144" spans="1:68" ht="16.5" hidden="1" customHeight="1" x14ac:dyDescent="0.25">
      <c r="A144" s="289" t="s">
        <v>231</v>
      </c>
      <c r="B144" s="281"/>
      <c r="C144" s="281"/>
      <c r="D144" s="281"/>
      <c r="E144" s="281"/>
      <c r="F144" s="281"/>
      <c r="G144" s="281"/>
      <c r="H144" s="281"/>
      <c r="I144" s="281"/>
      <c r="J144" s="281"/>
      <c r="K144" s="281"/>
      <c r="L144" s="281"/>
      <c r="M144" s="281"/>
      <c r="N144" s="281"/>
      <c r="O144" s="281"/>
      <c r="P144" s="281"/>
      <c r="Q144" s="281"/>
      <c r="R144" s="281"/>
      <c r="S144" s="281"/>
      <c r="T144" s="281"/>
      <c r="U144" s="281"/>
      <c r="V144" s="281"/>
      <c r="W144" s="281"/>
      <c r="X144" s="281"/>
      <c r="Y144" s="281"/>
      <c r="Z144" s="281"/>
      <c r="AA144" s="263"/>
      <c r="AB144" s="263"/>
      <c r="AC144" s="263"/>
    </row>
    <row r="145" spans="1:68" ht="14.25" hidden="1" customHeight="1" x14ac:dyDescent="0.25">
      <c r="A145" s="296" t="s">
        <v>139</v>
      </c>
      <c r="B145" s="281"/>
      <c r="C145" s="281"/>
      <c r="D145" s="281"/>
      <c r="E145" s="281"/>
      <c r="F145" s="281"/>
      <c r="G145" s="281"/>
      <c r="H145" s="281"/>
      <c r="I145" s="281"/>
      <c r="J145" s="281"/>
      <c r="K145" s="281"/>
      <c r="L145" s="281"/>
      <c r="M145" s="281"/>
      <c r="N145" s="281"/>
      <c r="O145" s="281"/>
      <c r="P145" s="281"/>
      <c r="Q145" s="281"/>
      <c r="R145" s="281"/>
      <c r="S145" s="281"/>
      <c r="T145" s="281"/>
      <c r="U145" s="281"/>
      <c r="V145" s="281"/>
      <c r="W145" s="281"/>
      <c r="X145" s="281"/>
      <c r="Y145" s="281"/>
      <c r="Z145" s="281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5">
        <v>4620207490914</v>
      </c>
      <c r="E146" s="276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30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5"/>
      <c r="R146" s="285"/>
      <c r="S146" s="285"/>
      <c r="T146" s="286"/>
      <c r="U146" s="34"/>
      <c r="V146" s="34"/>
      <c r="W146" s="35" t="s">
        <v>70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5">
        <v>4620207490853</v>
      </c>
      <c r="E147" s="276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45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5"/>
      <c r="R147" s="285"/>
      <c r="S147" s="285"/>
      <c r="T147" s="286"/>
      <c r="U147" s="34"/>
      <c r="V147" s="34"/>
      <c r="W147" s="35" t="s">
        <v>70</v>
      </c>
      <c r="X147" s="268">
        <v>28</v>
      </c>
      <c r="Y147" s="269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2"/>
      <c r="B148" s="281"/>
      <c r="C148" s="281"/>
      <c r="D148" s="281"/>
      <c r="E148" s="281"/>
      <c r="F148" s="281"/>
      <c r="G148" s="281"/>
      <c r="H148" s="281"/>
      <c r="I148" s="281"/>
      <c r="J148" s="281"/>
      <c r="K148" s="281"/>
      <c r="L148" s="281"/>
      <c r="M148" s="281"/>
      <c r="N148" s="281"/>
      <c r="O148" s="283"/>
      <c r="P148" s="277" t="s">
        <v>83</v>
      </c>
      <c r="Q148" s="278"/>
      <c r="R148" s="278"/>
      <c r="S148" s="278"/>
      <c r="T148" s="278"/>
      <c r="U148" s="278"/>
      <c r="V148" s="279"/>
      <c r="W148" s="37" t="s">
        <v>70</v>
      </c>
      <c r="X148" s="270">
        <f>IFERROR(SUM(X146:X147),"0")</f>
        <v>56</v>
      </c>
      <c r="Y148" s="270">
        <f>IFERROR(SUM(Y146:Y147),"0")</f>
        <v>56</v>
      </c>
      <c r="Z148" s="270">
        <f>IFERROR(IF(Z146="",0,Z146),"0")+IFERROR(IF(Z147="",0,Z147),"0")</f>
        <v>1.0012799999999999</v>
      </c>
      <c r="AA148" s="271"/>
      <c r="AB148" s="271"/>
      <c r="AC148" s="271"/>
    </row>
    <row r="149" spans="1:68" x14ac:dyDescent="0.2">
      <c r="A149" s="281"/>
      <c r="B149" s="281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3"/>
      <c r="P149" s="277" t="s">
        <v>83</v>
      </c>
      <c r="Q149" s="278"/>
      <c r="R149" s="278"/>
      <c r="S149" s="278"/>
      <c r="T149" s="278"/>
      <c r="U149" s="278"/>
      <c r="V149" s="279"/>
      <c r="W149" s="37" t="s">
        <v>84</v>
      </c>
      <c r="X149" s="270">
        <f>IFERROR(SUMPRODUCT(X146:X147*H146:H147),"0")</f>
        <v>134.4</v>
      </c>
      <c r="Y149" s="270">
        <f>IFERROR(SUMPRODUCT(Y146:Y147*H146:H147),"0")</f>
        <v>134.4</v>
      </c>
      <c r="Z149" s="37"/>
      <c r="AA149" s="271"/>
      <c r="AB149" s="271"/>
      <c r="AC149" s="271"/>
    </row>
    <row r="150" spans="1:68" ht="16.5" hidden="1" customHeight="1" x14ac:dyDescent="0.25">
      <c r="A150" s="289" t="s">
        <v>236</v>
      </c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281"/>
      <c r="AA150" s="263"/>
      <c r="AB150" s="263"/>
      <c r="AC150" s="263"/>
    </row>
    <row r="151" spans="1:68" ht="14.25" hidden="1" customHeight="1" x14ac:dyDescent="0.25">
      <c r="A151" s="296" t="s">
        <v>139</v>
      </c>
      <c r="B151" s="281"/>
      <c r="C151" s="281"/>
      <c r="D151" s="281"/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5">
        <v>4607111035806</v>
      </c>
      <c r="E152" s="276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4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5"/>
      <c r="R152" s="285"/>
      <c r="S152" s="285"/>
      <c r="T152" s="286"/>
      <c r="U152" s="34"/>
      <c r="V152" s="34"/>
      <c r="W152" s="35" t="s">
        <v>70</v>
      </c>
      <c r="X152" s="268">
        <v>28</v>
      </c>
      <c r="Y152" s="269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82"/>
      <c r="B153" s="281"/>
      <c r="C153" s="281"/>
      <c r="D153" s="281"/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3"/>
      <c r="P153" s="277" t="s">
        <v>83</v>
      </c>
      <c r="Q153" s="278"/>
      <c r="R153" s="278"/>
      <c r="S153" s="278"/>
      <c r="T153" s="278"/>
      <c r="U153" s="278"/>
      <c r="V153" s="279"/>
      <c r="W153" s="37" t="s">
        <v>70</v>
      </c>
      <c r="X153" s="270">
        <f>IFERROR(SUM(X152:X152),"0")</f>
        <v>28</v>
      </c>
      <c r="Y153" s="270">
        <f>IFERROR(SUM(Y152:Y152),"0")</f>
        <v>28</v>
      </c>
      <c r="Z153" s="270">
        <f>IFERROR(IF(Z152="",0,Z152),"0")</f>
        <v>0.50063999999999997</v>
      </c>
      <c r="AA153" s="271"/>
      <c r="AB153" s="271"/>
      <c r="AC153" s="271"/>
    </row>
    <row r="154" spans="1:68" x14ac:dyDescent="0.2">
      <c r="A154" s="281"/>
      <c r="B154" s="281"/>
      <c r="C154" s="281"/>
      <c r="D154" s="281"/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3"/>
      <c r="P154" s="277" t="s">
        <v>83</v>
      </c>
      <c r="Q154" s="278"/>
      <c r="R154" s="278"/>
      <c r="S154" s="278"/>
      <c r="T154" s="278"/>
      <c r="U154" s="278"/>
      <c r="V154" s="279"/>
      <c r="W154" s="37" t="s">
        <v>84</v>
      </c>
      <c r="X154" s="270">
        <f>IFERROR(SUMPRODUCT(X152:X152*H152:H152),"0")</f>
        <v>84</v>
      </c>
      <c r="Y154" s="270">
        <f>IFERROR(SUMPRODUCT(Y152:Y152*H152:H152),"0")</f>
        <v>84</v>
      </c>
      <c r="Z154" s="37"/>
      <c r="AA154" s="271"/>
      <c r="AB154" s="271"/>
      <c r="AC154" s="271"/>
    </row>
    <row r="155" spans="1:68" ht="16.5" hidden="1" customHeight="1" x14ac:dyDescent="0.25">
      <c r="A155" s="289" t="s">
        <v>240</v>
      </c>
      <c r="B155" s="281"/>
      <c r="C155" s="281"/>
      <c r="D155" s="281"/>
      <c r="E155" s="281"/>
      <c r="F155" s="281"/>
      <c r="G155" s="281"/>
      <c r="H155" s="281"/>
      <c r="I155" s="281"/>
      <c r="J155" s="281"/>
      <c r="K155" s="281"/>
      <c r="L155" s="281"/>
      <c r="M155" s="281"/>
      <c r="N155" s="281"/>
      <c r="O155" s="281"/>
      <c r="P155" s="281"/>
      <c r="Q155" s="281"/>
      <c r="R155" s="281"/>
      <c r="S155" s="281"/>
      <c r="T155" s="281"/>
      <c r="U155" s="281"/>
      <c r="V155" s="281"/>
      <c r="W155" s="281"/>
      <c r="X155" s="281"/>
      <c r="Y155" s="281"/>
      <c r="Z155" s="281"/>
      <c r="AA155" s="263"/>
      <c r="AB155" s="263"/>
      <c r="AC155" s="263"/>
    </row>
    <row r="156" spans="1:68" ht="14.25" hidden="1" customHeight="1" x14ac:dyDescent="0.25">
      <c r="A156" s="296" t="s">
        <v>139</v>
      </c>
      <c r="B156" s="281"/>
      <c r="C156" s="281"/>
      <c r="D156" s="281"/>
      <c r="E156" s="281"/>
      <c r="F156" s="281"/>
      <c r="G156" s="281"/>
      <c r="H156" s="281"/>
      <c r="I156" s="281"/>
      <c r="J156" s="281"/>
      <c r="K156" s="281"/>
      <c r="L156" s="281"/>
      <c r="M156" s="281"/>
      <c r="N156" s="281"/>
      <c r="O156" s="281"/>
      <c r="P156" s="281"/>
      <c r="Q156" s="281"/>
      <c r="R156" s="281"/>
      <c r="S156" s="281"/>
      <c r="T156" s="281"/>
      <c r="U156" s="281"/>
      <c r="V156" s="281"/>
      <c r="W156" s="281"/>
      <c r="X156" s="281"/>
      <c r="Y156" s="281"/>
      <c r="Z156" s="281"/>
      <c r="AA156" s="264"/>
      <c r="AB156" s="264"/>
      <c r="AC156" s="264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75">
        <v>4607111039613</v>
      </c>
      <c r="E157" s="276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45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5"/>
      <c r="R157" s="285"/>
      <c r="S157" s="285"/>
      <c r="T157" s="286"/>
      <c r="U157" s="34"/>
      <c r="V157" s="34"/>
      <c r="W157" s="35" t="s">
        <v>70</v>
      </c>
      <c r="X157" s="268">
        <v>0</v>
      </c>
      <c r="Y157" s="269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2"/>
      <c r="B158" s="281"/>
      <c r="C158" s="281"/>
      <c r="D158" s="281"/>
      <c r="E158" s="281"/>
      <c r="F158" s="281"/>
      <c r="G158" s="281"/>
      <c r="H158" s="281"/>
      <c r="I158" s="281"/>
      <c r="J158" s="281"/>
      <c r="K158" s="281"/>
      <c r="L158" s="281"/>
      <c r="M158" s="281"/>
      <c r="N158" s="281"/>
      <c r="O158" s="283"/>
      <c r="P158" s="277" t="s">
        <v>83</v>
      </c>
      <c r="Q158" s="278"/>
      <c r="R158" s="278"/>
      <c r="S158" s="278"/>
      <c r="T158" s="278"/>
      <c r="U158" s="278"/>
      <c r="V158" s="279"/>
      <c r="W158" s="37" t="s">
        <v>70</v>
      </c>
      <c r="X158" s="270">
        <f>IFERROR(SUM(X157:X157),"0")</f>
        <v>0</v>
      </c>
      <c r="Y158" s="270">
        <f>IFERROR(SUM(Y157:Y157),"0")</f>
        <v>0</v>
      </c>
      <c r="Z158" s="270">
        <f>IFERROR(IF(Z157="",0,Z157),"0")</f>
        <v>0</v>
      </c>
      <c r="AA158" s="271"/>
      <c r="AB158" s="271"/>
      <c r="AC158" s="271"/>
    </row>
    <row r="159" spans="1:68" hidden="1" x14ac:dyDescent="0.2">
      <c r="A159" s="281"/>
      <c r="B159" s="281"/>
      <c r="C159" s="281"/>
      <c r="D159" s="281"/>
      <c r="E159" s="281"/>
      <c r="F159" s="281"/>
      <c r="G159" s="281"/>
      <c r="H159" s="281"/>
      <c r="I159" s="281"/>
      <c r="J159" s="281"/>
      <c r="K159" s="281"/>
      <c r="L159" s="281"/>
      <c r="M159" s="281"/>
      <c r="N159" s="281"/>
      <c r="O159" s="283"/>
      <c r="P159" s="277" t="s">
        <v>83</v>
      </c>
      <c r="Q159" s="278"/>
      <c r="R159" s="278"/>
      <c r="S159" s="278"/>
      <c r="T159" s="278"/>
      <c r="U159" s="278"/>
      <c r="V159" s="279"/>
      <c r="W159" s="37" t="s">
        <v>84</v>
      </c>
      <c r="X159" s="270">
        <f>IFERROR(SUMPRODUCT(X157:X157*H157:H157),"0")</f>
        <v>0</v>
      </c>
      <c r="Y159" s="270">
        <f>IFERROR(SUMPRODUCT(Y157:Y157*H157:H157),"0")</f>
        <v>0</v>
      </c>
      <c r="Z159" s="37"/>
      <c r="AA159" s="271"/>
      <c r="AB159" s="271"/>
      <c r="AC159" s="271"/>
    </row>
    <row r="160" spans="1:68" ht="16.5" hidden="1" customHeight="1" x14ac:dyDescent="0.25">
      <c r="A160" s="289" t="s">
        <v>243</v>
      </c>
      <c r="B160" s="281"/>
      <c r="C160" s="281"/>
      <c r="D160" s="281"/>
      <c r="E160" s="281"/>
      <c r="F160" s="281"/>
      <c r="G160" s="281"/>
      <c r="H160" s="281"/>
      <c r="I160" s="281"/>
      <c r="J160" s="281"/>
      <c r="K160" s="281"/>
      <c r="L160" s="281"/>
      <c r="M160" s="281"/>
      <c r="N160" s="281"/>
      <c r="O160" s="281"/>
      <c r="P160" s="281"/>
      <c r="Q160" s="281"/>
      <c r="R160" s="281"/>
      <c r="S160" s="281"/>
      <c r="T160" s="281"/>
      <c r="U160" s="281"/>
      <c r="V160" s="281"/>
      <c r="W160" s="281"/>
      <c r="X160" s="281"/>
      <c r="Y160" s="281"/>
      <c r="Z160" s="281"/>
      <c r="AA160" s="263"/>
      <c r="AB160" s="263"/>
      <c r="AC160" s="263"/>
    </row>
    <row r="161" spans="1:68" ht="14.25" hidden="1" customHeight="1" x14ac:dyDescent="0.25">
      <c r="A161" s="296" t="s">
        <v>214</v>
      </c>
      <c r="B161" s="281"/>
      <c r="C161" s="281"/>
      <c r="D161" s="281"/>
      <c r="E161" s="281"/>
      <c r="F161" s="281"/>
      <c r="G161" s="281"/>
      <c r="H161" s="281"/>
      <c r="I161" s="281"/>
      <c r="J161" s="281"/>
      <c r="K161" s="281"/>
      <c r="L161" s="281"/>
      <c r="M161" s="281"/>
      <c r="N161" s="281"/>
      <c r="O161" s="281"/>
      <c r="P161" s="281"/>
      <c r="Q161" s="281"/>
      <c r="R161" s="281"/>
      <c r="S161" s="281"/>
      <c r="T161" s="281"/>
      <c r="U161" s="281"/>
      <c r="V161" s="281"/>
      <c r="W161" s="281"/>
      <c r="X161" s="281"/>
      <c r="Y161" s="281"/>
      <c r="Z161" s="281"/>
      <c r="AA161" s="264"/>
      <c r="AB161" s="264"/>
      <c r="AC161" s="264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75">
        <v>4607111035646</v>
      </c>
      <c r="E162" s="276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34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5"/>
      <c r="R162" s="285"/>
      <c r="S162" s="285"/>
      <c r="T162" s="286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2"/>
      <c r="B163" s="281"/>
      <c r="C163" s="281"/>
      <c r="D163" s="281"/>
      <c r="E163" s="281"/>
      <c r="F163" s="281"/>
      <c r="G163" s="281"/>
      <c r="H163" s="281"/>
      <c r="I163" s="281"/>
      <c r="J163" s="281"/>
      <c r="K163" s="281"/>
      <c r="L163" s="281"/>
      <c r="M163" s="281"/>
      <c r="N163" s="281"/>
      <c r="O163" s="283"/>
      <c r="P163" s="277" t="s">
        <v>83</v>
      </c>
      <c r="Q163" s="278"/>
      <c r="R163" s="278"/>
      <c r="S163" s="278"/>
      <c r="T163" s="278"/>
      <c r="U163" s="278"/>
      <c r="V163" s="279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hidden="1" x14ac:dyDescent="0.2">
      <c r="A164" s="281"/>
      <c r="B164" s="281"/>
      <c r="C164" s="281"/>
      <c r="D164" s="281"/>
      <c r="E164" s="281"/>
      <c r="F164" s="281"/>
      <c r="G164" s="281"/>
      <c r="H164" s="281"/>
      <c r="I164" s="281"/>
      <c r="J164" s="281"/>
      <c r="K164" s="281"/>
      <c r="L164" s="281"/>
      <c r="M164" s="281"/>
      <c r="N164" s="281"/>
      <c r="O164" s="283"/>
      <c r="P164" s="277" t="s">
        <v>83</v>
      </c>
      <c r="Q164" s="278"/>
      <c r="R164" s="278"/>
      <c r="S164" s="278"/>
      <c r="T164" s="278"/>
      <c r="U164" s="278"/>
      <c r="V164" s="279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hidden="1" customHeight="1" x14ac:dyDescent="0.25">
      <c r="A165" s="289" t="s">
        <v>248</v>
      </c>
      <c r="B165" s="281"/>
      <c r="C165" s="281"/>
      <c r="D165" s="281"/>
      <c r="E165" s="281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  <c r="S165" s="281"/>
      <c r="T165" s="281"/>
      <c r="U165" s="281"/>
      <c r="V165" s="281"/>
      <c r="W165" s="281"/>
      <c r="X165" s="281"/>
      <c r="Y165" s="281"/>
      <c r="Z165" s="281"/>
      <c r="AA165" s="263"/>
      <c r="AB165" s="263"/>
      <c r="AC165" s="263"/>
    </row>
    <row r="166" spans="1:68" ht="14.25" hidden="1" customHeight="1" x14ac:dyDescent="0.25">
      <c r="A166" s="296" t="s">
        <v>139</v>
      </c>
      <c r="B166" s="281"/>
      <c r="C166" s="281"/>
      <c r="D166" s="281"/>
      <c r="E166" s="281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W166" s="281"/>
      <c r="X166" s="281"/>
      <c r="Y166" s="281"/>
      <c r="Z166" s="281"/>
      <c r="AA166" s="264"/>
      <c r="AB166" s="264"/>
      <c r="AC166" s="264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75">
        <v>4607111036568</v>
      </c>
      <c r="E167" s="276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42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5"/>
      <c r="R167" s="285"/>
      <c r="S167" s="285"/>
      <c r="T167" s="286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2"/>
      <c r="B168" s="281"/>
      <c r="C168" s="281"/>
      <c r="D168" s="281"/>
      <c r="E168" s="281"/>
      <c r="F168" s="281"/>
      <c r="G168" s="281"/>
      <c r="H168" s="281"/>
      <c r="I168" s="281"/>
      <c r="J168" s="281"/>
      <c r="K168" s="281"/>
      <c r="L168" s="281"/>
      <c r="M168" s="281"/>
      <c r="N168" s="281"/>
      <c r="O168" s="283"/>
      <c r="P168" s="277" t="s">
        <v>83</v>
      </c>
      <c r="Q168" s="278"/>
      <c r="R168" s="278"/>
      <c r="S168" s="278"/>
      <c r="T168" s="278"/>
      <c r="U168" s="278"/>
      <c r="V168" s="279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hidden="1" x14ac:dyDescent="0.2">
      <c r="A169" s="281"/>
      <c r="B169" s="281"/>
      <c r="C169" s="281"/>
      <c r="D169" s="281"/>
      <c r="E169" s="281"/>
      <c r="F169" s="281"/>
      <c r="G169" s="281"/>
      <c r="H169" s="281"/>
      <c r="I169" s="281"/>
      <c r="J169" s="281"/>
      <c r="K169" s="281"/>
      <c r="L169" s="281"/>
      <c r="M169" s="281"/>
      <c r="N169" s="281"/>
      <c r="O169" s="283"/>
      <c r="P169" s="277" t="s">
        <v>83</v>
      </c>
      <c r="Q169" s="278"/>
      <c r="R169" s="278"/>
      <c r="S169" s="278"/>
      <c r="T169" s="278"/>
      <c r="U169" s="278"/>
      <c r="V169" s="279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hidden="1" customHeight="1" x14ac:dyDescent="0.2">
      <c r="A170" s="304" t="s">
        <v>252</v>
      </c>
      <c r="B170" s="305"/>
      <c r="C170" s="305"/>
      <c r="D170" s="305"/>
      <c r="E170" s="305"/>
      <c r="F170" s="305"/>
      <c r="G170" s="305"/>
      <c r="H170" s="305"/>
      <c r="I170" s="305"/>
      <c r="J170" s="305"/>
      <c r="K170" s="305"/>
      <c r="L170" s="305"/>
      <c r="M170" s="305"/>
      <c r="N170" s="305"/>
      <c r="O170" s="305"/>
      <c r="P170" s="305"/>
      <c r="Q170" s="305"/>
      <c r="R170" s="305"/>
      <c r="S170" s="305"/>
      <c r="T170" s="305"/>
      <c r="U170" s="305"/>
      <c r="V170" s="305"/>
      <c r="W170" s="305"/>
      <c r="X170" s="305"/>
      <c r="Y170" s="305"/>
      <c r="Z170" s="305"/>
      <c r="AA170" s="48"/>
      <c r="AB170" s="48"/>
      <c r="AC170" s="48"/>
    </row>
    <row r="171" spans="1:68" ht="16.5" hidden="1" customHeight="1" x14ac:dyDescent="0.25">
      <c r="A171" s="289" t="s">
        <v>253</v>
      </c>
      <c r="B171" s="281"/>
      <c r="C171" s="281"/>
      <c r="D171" s="281"/>
      <c r="E171" s="281"/>
      <c r="F171" s="281"/>
      <c r="G171" s="281"/>
      <c r="H171" s="281"/>
      <c r="I171" s="281"/>
      <c r="J171" s="281"/>
      <c r="K171" s="281"/>
      <c r="L171" s="281"/>
      <c r="M171" s="281"/>
      <c r="N171" s="281"/>
      <c r="O171" s="281"/>
      <c r="P171" s="281"/>
      <c r="Q171" s="281"/>
      <c r="R171" s="281"/>
      <c r="S171" s="281"/>
      <c r="T171" s="281"/>
      <c r="U171" s="281"/>
      <c r="V171" s="281"/>
      <c r="W171" s="281"/>
      <c r="X171" s="281"/>
      <c r="Y171" s="281"/>
      <c r="Z171" s="281"/>
      <c r="AA171" s="263"/>
      <c r="AB171" s="263"/>
      <c r="AC171" s="263"/>
    </row>
    <row r="172" spans="1:68" ht="14.25" hidden="1" customHeight="1" x14ac:dyDescent="0.25">
      <c r="A172" s="296" t="s">
        <v>64</v>
      </c>
      <c r="B172" s="281"/>
      <c r="C172" s="281"/>
      <c r="D172" s="281"/>
      <c r="E172" s="281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  <c r="S172" s="281"/>
      <c r="T172" s="281"/>
      <c r="U172" s="281"/>
      <c r="V172" s="281"/>
      <c r="W172" s="281"/>
      <c r="X172" s="281"/>
      <c r="Y172" s="281"/>
      <c r="Z172" s="281"/>
      <c r="AA172" s="264"/>
      <c r="AB172" s="264"/>
      <c r="AC172" s="264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75">
        <v>4607111036384</v>
      </c>
      <c r="E173" s="276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6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5"/>
      <c r="R173" s="285"/>
      <c r="S173" s="285"/>
      <c r="T173" s="286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5">
        <v>4607111036216</v>
      </c>
      <c r="E174" s="276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2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5"/>
      <c r="R174" s="285"/>
      <c r="S174" s="285"/>
      <c r="T174" s="286"/>
      <c r="U174" s="34"/>
      <c r="V174" s="34"/>
      <c r="W174" s="35" t="s">
        <v>70</v>
      </c>
      <c r="X174" s="268">
        <v>24</v>
      </c>
      <c r="Y174" s="269">
        <f>IFERROR(IF(X174="","",X174),"")</f>
        <v>24</v>
      </c>
      <c r="Z174" s="36">
        <f>IFERROR(IF(X174="","",X174*0.00866),"")</f>
        <v>0.20783999999999997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125.11679999999998</v>
      </c>
      <c r="BN174" s="67">
        <f>IFERROR(Y174*I174,"0")</f>
        <v>125.11679999999998</v>
      </c>
      <c r="BO174" s="67">
        <f>IFERROR(X174/J174,"0")</f>
        <v>0.16666666666666666</v>
      </c>
      <c r="BP174" s="67">
        <f>IFERROR(Y174/J174,"0")</f>
        <v>0.16666666666666666</v>
      </c>
    </row>
    <row r="175" spans="1:68" x14ac:dyDescent="0.2">
      <c r="A175" s="282"/>
      <c r="B175" s="281"/>
      <c r="C175" s="281"/>
      <c r="D175" s="281"/>
      <c r="E175" s="281"/>
      <c r="F175" s="281"/>
      <c r="G175" s="281"/>
      <c r="H175" s="281"/>
      <c r="I175" s="281"/>
      <c r="J175" s="281"/>
      <c r="K175" s="281"/>
      <c r="L175" s="281"/>
      <c r="M175" s="281"/>
      <c r="N175" s="281"/>
      <c r="O175" s="283"/>
      <c r="P175" s="277" t="s">
        <v>83</v>
      </c>
      <c r="Q175" s="278"/>
      <c r="R175" s="278"/>
      <c r="S175" s="278"/>
      <c r="T175" s="278"/>
      <c r="U175" s="278"/>
      <c r="V175" s="279"/>
      <c r="W175" s="37" t="s">
        <v>70</v>
      </c>
      <c r="X175" s="270">
        <f>IFERROR(SUM(X173:X174),"0")</f>
        <v>24</v>
      </c>
      <c r="Y175" s="270">
        <f>IFERROR(SUM(Y173:Y174),"0")</f>
        <v>24</v>
      </c>
      <c r="Z175" s="270">
        <f>IFERROR(IF(Z173="",0,Z173),"0")+IFERROR(IF(Z174="",0,Z174),"0")</f>
        <v>0.20783999999999997</v>
      </c>
      <c r="AA175" s="271"/>
      <c r="AB175" s="271"/>
      <c r="AC175" s="271"/>
    </row>
    <row r="176" spans="1:68" x14ac:dyDescent="0.2">
      <c r="A176" s="281"/>
      <c r="B176" s="281"/>
      <c r="C176" s="281"/>
      <c r="D176" s="281"/>
      <c r="E176" s="281"/>
      <c r="F176" s="281"/>
      <c r="G176" s="281"/>
      <c r="H176" s="281"/>
      <c r="I176" s="281"/>
      <c r="J176" s="281"/>
      <c r="K176" s="281"/>
      <c r="L176" s="281"/>
      <c r="M176" s="281"/>
      <c r="N176" s="281"/>
      <c r="O176" s="283"/>
      <c r="P176" s="277" t="s">
        <v>83</v>
      </c>
      <c r="Q176" s="278"/>
      <c r="R176" s="278"/>
      <c r="S176" s="278"/>
      <c r="T176" s="278"/>
      <c r="U176" s="278"/>
      <c r="V176" s="279"/>
      <c r="W176" s="37" t="s">
        <v>84</v>
      </c>
      <c r="X176" s="270">
        <f>IFERROR(SUMPRODUCT(X173:X174*H173:H174),"0")</f>
        <v>120</v>
      </c>
      <c r="Y176" s="270">
        <f>IFERROR(SUMPRODUCT(Y173:Y174*H173:H174),"0")</f>
        <v>120</v>
      </c>
      <c r="Z176" s="37"/>
      <c r="AA176" s="271"/>
      <c r="AB176" s="271"/>
      <c r="AC176" s="271"/>
    </row>
    <row r="177" spans="1:68" ht="27.75" hidden="1" customHeight="1" x14ac:dyDescent="0.2">
      <c r="A177" s="304" t="s">
        <v>260</v>
      </c>
      <c r="B177" s="305"/>
      <c r="C177" s="305"/>
      <c r="D177" s="305"/>
      <c r="E177" s="305"/>
      <c r="F177" s="305"/>
      <c r="G177" s="305"/>
      <c r="H177" s="305"/>
      <c r="I177" s="305"/>
      <c r="J177" s="305"/>
      <c r="K177" s="305"/>
      <c r="L177" s="305"/>
      <c r="M177" s="305"/>
      <c r="N177" s="305"/>
      <c r="O177" s="305"/>
      <c r="P177" s="305"/>
      <c r="Q177" s="305"/>
      <c r="R177" s="305"/>
      <c r="S177" s="305"/>
      <c r="T177" s="305"/>
      <c r="U177" s="305"/>
      <c r="V177" s="305"/>
      <c r="W177" s="305"/>
      <c r="X177" s="305"/>
      <c r="Y177" s="305"/>
      <c r="Z177" s="305"/>
      <c r="AA177" s="48"/>
      <c r="AB177" s="48"/>
      <c r="AC177" s="48"/>
    </row>
    <row r="178" spans="1:68" ht="16.5" hidden="1" customHeight="1" x14ac:dyDescent="0.25">
      <c r="A178" s="289" t="s">
        <v>261</v>
      </c>
      <c r="B178" s="281"/>
      <c r="C178" s="281"/>
      <c r="D178" s="281"/>
      <c r="E178" s="281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  <c r="S178" s="281"/>
      <c r="T178" s="281"/>
      <c r="U178" s="281"/>
      <c r="V178" s="281"/>
      <c r="W178" s="281"/>
      <c r="X178" s="281"/>
      <c r="Y178" s="281"/>
      <c r="Z178" s="281"/>
      <c r="AA178" s="263"/>
      <c r="AB178" s="263"/>
      <c r="AC178" s="263"/>
    </row>
    <row r="179" spans="1:68" ht="14.25" hidden="1" customHeight="1" x14ac:dyDescent="0.25">
      <c r="A179" s="296" t="s">
        <v>93</v>
      </c>
      <c r="B179" s="281"/>
      <c r="C179" s="281"/>
      <c r="D179" s="281"/>
      <c r="E179" s="281"/>
      <c r="F179" s="281"/>
      <c r="G179" s="281"/>
      <c r="H179" s="281"/>
      <c r="I179" s="281"/>
      <c r="J179" s="281"/>
      <c r="K179" s="281"/>
      <c r="L179" s="281"/>
      <c r="M179" s="281"/>
      <c r="N179" s="281"/>
      <c r="O179" s="281"/>
      <c r="P179" s="281"/>
      <c r="Q179" s="281"/>
      <c r="R179" s="281"/>
      <c r="S179" s="281"/>
      <c r="T179" s="281"/>
      <c r="U179" s="281"/>
      <c r="V179" s="281"/>
      <c r="W179" s="281"/>
      <c r="X179" s="281"/>
      <c r="Y179" s="281"/>
      <c r="Z179" s="281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5">
        <v>4607111035691</v>
      </c>
      <c r="E180" s="276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4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5"/>
      <c r="R180" s="285"/>
      <c r="S180" s="285"/>
      <c r="T180" s="286"/>
      <c r="U180" s="34"/>
      <c r="V180" s="34"/>
      <c r="W180" s="35" t="s">
        <v>70</v>
      </c>
      <c r="X180" s="268">
        <v>126</v>
      </c>
      <c r="Y180" s="269">
        <f>IFERROR(IF(X180="","",X180),"")</f>
        <v>126</v>
      </c>
      <c r="Z180" s="36">
        <f>IFERROR(IF(X180="","",X180*0.01788),"")</f>
        <v>2.2528800000000002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426.88799999999998</v>
      </c>
      <c r="BN180" s="67">
        <f>IFERROR(Y180*I180,"0")</f>
        <v>426.88799999999998</v>
      </c>
      <c r="BO180" s="67">
        <f>IFERROR(X180/J180,"0")</f>
        <v>1.8</v>
      </c>
      <c r="BP180" s="67">
        <f>IFERROR(Y180/J180,"0")</f>
        <v>1.8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5">
        <v>4607111035721</v>
      </c>
      <c r="E181" s="276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31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5"/>
      <c r="R181" s="285"/>
      <c r="S181" s="285"/>
      <c r="T181" s="286"/>
      <c r="U181" s="34"/>
      <c r="V181" s="34"/>
      <c r="W181" s="35" t="s">
        <v>70</v>
      </c>
      <c r="X181" s="268">
        <v>98</v>
      </c>
      <c r="Y181" s="269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332.024</v>
      </c>
      <c r="BN181" s="67">
        <f>IFERROR(Y181*I181,"0")</f>
        <v>332.024</v>
      </c>
      <c r="BO181" s="67">
        <f>IFERROR(X181/J181,"0")</f>
        <v>1.4</v>
      </c>
      <c r="BP181" s="67">
        <f>IFERROR(Y181/J181,"0")</f>
        <v>1.4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5">
        <v>4607111038487</v>
      </c>
      <c r="E182" s="276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5"/>
      <c r="R182" s="285"/>
      <c r="S182" s="285"/>
      <c r="T182" s="286"/>
      <c r="U182" s="34"/>
      <c r="V182" s="34"/>
      <c r="W182" s="35" t="s">
        <v>70</v>
      </c>
      <c r="X182" s="268">
        <v>70</v>
      </c>
      <c r="Y182" s="269">
        <f>IFERROR(IF(X182="","",X182),"")</f>
        <v>70</v>
      </c>
      <c r="Z182" s="36">
        <f>IFERROR(IF(X182="","",X182*0.01788),"")</f>
        <v>1.2516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261.52000000000004</v>
      </c>
      <c r="BN182" s="67">
        <f>IFERROR(Y182*I182,"0")</f>
        <v>261.52000000000004</v>
      </c>
      <c r="BO182" s="67">
        <f>IFERROR(X182/J182,"0")</f>
        <v>1</v>
      </c>
      <c r="BP182" s="67">
        <f>IFERROR(Y182/J182,"0")</f>
        <v>1</v>
      </c>
    </row>
    <row r="183" spans="1:68" ht="27" customHeight="1" x14ac:dyDescent="0.25">
      <c r="A183" s="54" t="s">
        <v>271</v>
      </c>
      <c r="B183" s="54" t="s">
        <v>272</v>
      </c>
      <c r="C183" s="31">
        <v>4301132243</v>
      </c>
      <c r="D183" s="275">
        <v>4620207491195</v>
      </c>
      <c r="E183" s="276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32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85"/>
      <c r="R183" s="285"/>
      <c r="S183" s="285"/>
      <c r="T183" s="286"/>
      <c r="U183" s="34"/>
      <c r="V183" s="34"/>
      <c r="W183" s="35" t="s">
        <v>70</v>
      </c>
      <c r="X183" s="268">
        <v>28</v>
      </c>
      <c r="Y183" s="269">
        <f>IFERROR(IF(X183="","",X183),"")</f>
        <v>28</v>
      </c>
      <c r="Z183" s="36">
        <f>IFERROR(IF(X183="","",X183*0.01788),"")</f>
        <v>0.50063999999999997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88.144000000000005</v>
      </c>
      <c r="BN183" s="67">
        <f>IFERROR(Y183*I183,"0")</f>
        <v>88.144000000000005</v>
      </c>
      <c r="BO183" s="67">
        <f>IFERROR(X183/J183,"0")</f>
        <v>0.4</v>
      </c>
      <c r="BP183" s="67">
        <f>IFERROR(Y183/J183,"0")</f>
        <v>0.4</v>
      </c>
    </row>
    <row r="184" spans="1:68" x14ac:dyDescent="0.2">
      <c r="A184" s="282"/>
      <c r="B184" s="281"/>
      <c r="C184" s="281"/>
      <c r="D184" s="281"/>
      <c r="E184" s="281"/>
      <c r="F184" s="281"/>
      <c r="G184" s="281"/>
      <c r="H184" s="281"/>
      <c r="I184" s="281"/>
      <c r="J184" s="281"/>
      <c r="K184" s="281"/>
      <c r="L184" s="281"/>
      <c r="M184" s="281"/>
      <c r="N184" s="281"/>
      <c r="O184" s="283"/>
      <c r="P184" s="277" t="s">
        <v>83</v>
      </c>
      <c r="Q184" s="278"/>
      <c r="R184" s="278"/>
      <c r="S184" s="278"/>
      <c r="T184" s="278"/>
      <c r="U184" s="278"/>
      <c r="V184" s="279"/>
      <c r="W184" s="37" t="s">
        <v>70</v>
      </c>
      <c r="X184" s="270">
        <f>IFERROR(SUM(X180:X183),"0")</f>
        <v>322</v>
      </c>
      <c r="Y184" s="270">
        <f>IFERROR(SUM(Y180:Y183),"0")</f>
        <v>322</v>
      </c>
      <c r="Z184" s="270">
        <f>IFERROR(IF(Z180="",0,Z180),"0")+IFERROR(IF(Z181="",0,Z181),"0")+IFERROR(IF(Z182="",0,Z182),"0")+IFERROR(IF(Z183="",0,Z183),"0")</f>
        <v>5.7573599999999994</v>
      </c>
      <c r="AA184" s="271"/>
      <c r="AB184" s="271"/>
      <c r="AC184" s="271"/>
    </row>
    <row r="185" spans="1:68" x14ac:dyDescent="0.2">
      <c r="A185" s="281"/>
      <c r="B185" s="281"/>
      <c r="C185" s="281"/>
      <c r="D185" s="281"/>
      <c r="E185" s="281"/>
      <c r="F185" s="281"/>
      <c r="G185" s="281"/>
      <c r="H185" s="281"/>
      <c r="I185" s="281"/>
      <c r="J185" s="281"/>
      <c r="K185" s="281"/>
      <c r="L185" s="281"/>
      <c r="M185" s="281"/>
      <c r="N185" s="281"/>
      <c r="O185" s="283"/>
      <c r="P185" s="277" t="s">
        <v>83</v>
      </c>
      <c r="Q185" s="278"/>
      <c r="R185" s="278"/>
      <c r="S185" s="278"/>
      <c r="T185" s="278"/>
      <c r="U185" s="278"/>
      <c r="V185" s="279"/>
      <c r="W185" s="37" t="s">
        <v>84</v>
      </c>
      <c r="X185" s="270">
        <f>IFERROR(SUMPRODUCT(X180:X183*H180:H183),"0")</f>
        <v>959.28</v>
      </c>
      <c r="Y185" s="270">
        <f>IFERROR(SUMPRODUCT(Y180:Y183*H180:H183),"0")</f>
        <v>959.28</v>
      </c>
      <c r="Z185" s="37"/>
      <c r="AA185" s="271"/>
      <c r="AB185" s="271"/>
      <c r="AC185" s="271"/>
    </row>
    <row r="186" spans="1:68" ht="14.25" hidden="1" customHeight="1" x14ac:dyDescent="0.25">
      <c r="A186" s="296" t="s">
        <v>274</v>
      </c>
      <c r="B186" s="281"/>
      <c r="C186" s="281"/>
      <c r="D186" s="281"/>
      <c r="E186" s="281"/>
      <c r="F186" s="281"/>
      <c r="G186" s="281"/>
      <c r="H186" s="281"/>
      <c r="I186" s="281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64"/>
      <c r="AB186" s="264"/>
      <c r="AC186" s="264"/>
    </row>
    <row r="187" spans="1:68" ht="27" hidden="1" customHeight="1" x14ac:dyDescent="0.25">
      <c r="A187" s="54" t="s">
        <v>275</v>
      </c>
      <c r="B187" s="54" t="s">
        <v>276</v>
      </c>
      <c r="C187" s="31">
        <v>4301051855</v>
      </c>
      <c r="D187" s="275">
        <v>4680115885875</v>
      </c>
      <c r="E187" s="276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415" t="s">
        <v>279</v>
      </c>
      <c r="Q187" s="285"/>
      <c r="R187" s="285"/>
      <c r="S187" s="285"/>
      <c r="T187" s="286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2"/>
      <c r="B188" s="281"/>
      <c r="C188" s="281"/>
      <c r="D188" s="281"/>
      <c r="E188" s="281"/>
      <c r="F188" s="281"/>
      <c r="G188" s="281"/>
      <c r="H188" s="281"/>
      <c r="I188" s="281"/>
      <c r="J188" s="281"/>
      <c r="K188" s="281"/>
      <c r="L188" s="281"/>
      <c r="M188" s="281"/>
      <c r="N188" s="281"/>
      <c r="O188" s="283"/>
      <c r="P188" s="277" t="s">
        <v>83</v>
      </c>
      <c r="Q188" s="278"/>
      <c r="R188" s="278"/>
      <c r="S188" s="278"/>
      <c r="T188" s="278"/>
      <c r="U188" s="278"/>
      <c r="V188" s="279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hidden="1" x14ac:dyDescent="0.2">
      <c r="A189" s="281"/>
      <c r="B189" s="281"/>
      <c r="C189" s="281"/>
      <c r="D189" s="281"/>
      <c r="E189" s="281"/>
      <c r="F189" s="281"/>
      <c r="G189" s="281"/>
      <c r="H189" s="281"/>
      <c r="I189" s="281"/>
      <c r="J189" s="281"/>
      <c r="K189" s="281"/>
      <c r="L189" s="281"/>
      <c r="M189" s="281"/>
      <c r="N189" s="281"/>
      <c r="O189" s="283"/>
      <c r="P189" s="277" t="s">
        <v>83</v>
      </c>
      <c r="Q189" s="278"/>
      <c r="R189" s="278"/>
      <c r="S189" s="278"/>
      <c r="T189" s="278"/>
      <c r="U189" s="278"/>
      <c r="V189" s="279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hidden="1" customHeight="1" x14ac:dyDescent="0.2">
      <c r="A190" s="304" t="s">
        <v>282</v>
      </c>
      <c r="B190" s="305"/>
      <c r="C190" s="305"/>
      <c r="D190" s="305"/>
      <c r="E190" s="305"/>
      <c r="F190" s="305"/>
      <c r="G190" s="305"/>
      <c r="H190" s="305"/>
      <c r="I190" s="305"/>
      <c r="J190" s="305"/>
      <c r="K190" s="305"/>
      <c r="L190" s="305"/>
      <c r="M190" s="305"/>
      <c r="N190" s="305"/>
      <c r="O190" s="305"/>
      <c r="P190" s="305"/>
      <c r="Q190" s="305"/>
      <c r="R190" s="305"/>
      <c r="S190" s="305"/>
      <c r="T190" s="305"/>
      <c r="U190" s="305"/>
      <c r="V190" s="305"/>
      <c r="W190" s="305"/>
      <c r="X190" s="305"/>
      <c r="Y190" s="305"/>
      <c r="Z190" s="305"/>
      <c r="AA190" s="48"/>
      <c r="AB190" s="48"/>
      <c r="AC190" s="48"/>
    </row>
    <row r="191" spans="1:68" ht="16.5" hidden="1" customHeight="1" x14ac:dyDescent="0.25">
      <c r="A191" s="289" t="s">
        <v>283</v>
      </c>
      <c r="B191" s="281"/>
      <c r="C191" s="281"/>
      <c r="D191" s="281"/>
      <c r="E191" s="281"/>
      <c r="F191" s="281"/>
      <c r="G191" s="281"/>
      <c r="H191" s="281"/>
      <c r="I191" s="281"/>
      <c r="J191" s="281"/>
      <c r="K191" s="281"/>
      <c r="L191" s="281"/>
      <c r="M191" s="281"/>
      <c r="N191" s="281"/>
      <c r="O191" s="281"/>
      <c r="P191" s="281"/>
      <c r="Q191" s="281"/>
      <c r="R191" s="281"/>
      <c r="S191" s="281"/>
      <c r="T191" s="281"/>
      <c r="U191" s="281"/>
      <c r="V191" s="281"/>
      <c r="W191" s="281"/>
      <c r="X191" s="281"/>
      <c r="Y191" s="281"/>
      <c r="Z191" s="281"/>
      <c r="AA191" s="263"/>
      <c r="AB191" s="263"/>
      <c r="AC191" s="263"/>
    </row>
    <row r="192" spans="1:68" ht="14.25" hidden="1" customHeight="1" x14ac:dyDescent="0.25">
      <c r="A192" s="296" t="s">
        <v>93</v>
      </c>
      <c r="B192" s="281"/>
      <c r="C192" s="281"/>
      <c r="D192" s="281"/>
      <c r="E192" s="281"/>
      <c r="F192" s="281"/>
      <c r="G192" s="281"/>
      <c r="H192" s="281"/>
      <c r="I192" s="281"/>
      <c r="J192" s="281"/>
      <c r="K192" s="281"/>
      <c r="L192" s="281"/>
      <c r="M192" s="281"/>
      <c r="N192" s="281"/>
      <c r="O192" s="281"/>
      <c r="P192" s="281"/>
      <c r="Q192" s="281"/>
      <c r="R192" s="281"/>
      <c r="S192" s="281"/>
      <c r="T192" s="281"/>
      <c r="U192" s="281"/>
      <c r="V192" s="281"/>
      <c r="W192" s="281"/>
      <c r="X192" s="281"/>
      <c r="Y192" s="281"/>
      <c r="Z192" s="281"/>
      <c r="AA192" s="264"/>
      <c r="AB192" s="264"/>
      <c r="AC192" s="264"/>
    </row>
    <row r="193" spans="1:68" ht="27" customHeight="1" x14ac:dyDescent="0.25">
      <c r="A193" s="54" t="s">
        <v>284</v>
      </c>
      <c r="B193" s="54" t="s">
        <v>285</v>
      </c>
      <c r="C193" s="31">
        <v>4301132227</v>
      </c>
      <c r="D193" s="275">
        <v>4620207491133</v>
      </c>
      <c r="E193" s="276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36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5"/>
      <c r="R193" s="285"/>
      <c r="S193" s="285"/>
      <c r="T193" s="286"/>
      <c r="U193" s="34"/>
      <c r="V193" s="34"/>
      <c r="W193" s="35" t="s">
        <v>70</v>
      </c>
      <c r="X193" s="268">
        <v>28</v>
      </c>
      <c r="Y193" s="269">
        <f>IFERROR(IF(X193="","",X193),"")</f>
        <v>28</v>
      </c>
      <c r="Z193" s="36">
        <f>IFERROR(IF(X193="","",X193*0.01788),"")</f>
        <v>0.50063999999999997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83.44</v>
      </c>
      <c r="BN193" s="67">
        <f>IFERROR(Y193*I193,"0")</f>
        <v>83.44</v>
      </c>
      <c r="BO193" s="67">
        <f>IFERROR(X193/J193,"0")</f>
        <v>0.4</v>
      </c>
      <c r="BP193" s="67">
        <f>IFERROR(Y193/J193,"0")</f>
        <v>0.4</v>
      </c>
    </row>
    <row r="194" spans="1:68" x14ac:dyDescent="0.2">
      <c r="A194" s="282"/>
      <c r="B194" s="281"/>
      <c r="C194" s="281"/>
      <c r="D194" s="281"/>
      <c r="E194" s="281"/>
      <c r="F194" s="281"/>
      <c r="G194" s="281"/>
      <c r="H194" s="281"/>
      <c r="I194" s="281"/>
      <c r="J194" s="281"/>
      <c r="K194" s="281"/>
      <c r="L194" s="281"/>
      <c r="M194" s="281"/>
      <c r="N194" s="281"/>
      <c r="O194" s="283"/>
      <c r="P194" s="277" t="s">
        <v>83</v>
      </c>
      <c r="Q194" s="278"/>
      <c r="R194" s="278"/>
      <c r="S194" s="278"/>
      <c r="T194" s="278"/>
      <c r="U194" s="278"/>
      <c r="V194" s="279"/>
      <c r="W194" s="37" t="s">
        <v>70</v>
      </c>
      <c r="X194" s="270">
        <f>IFERROR(SUM(X193:X193),"0")</f>
        <v>28</v>
      </c>
      <c r="Y194" s="270">
        <f>IFERROR(SUM(Y193:Y193),"0")</f>
        <v>28</v>
      </c>
      <c r="Z194" s="270">
        <f>IFERROR(IF(Z193="",0,Z193),"0")</f>
        <v>0.50063999999999997</v>
      </c>
      <c r="AA194" s="271"/>
      <c r="AB194" s="271"/>
      <c r="AC194" s="271"/>
    </row>
    <row r="195" spans="1:68" x14ac:dyDescent="0.2">
      <c r="A195" s="281"/>
      <c r="B195" s="281"/>
      <c r="C195" s="281"/>
      <c r="D195" s="281"/>
      <c r="E195" s="281"/>
      <c r="F195" s="281"/>
      <c r="G195" s="281"/>
      <c r="H195" s="281"/>
      <c r="I195" s="281"/>
      <c r="J195" s="281"/>
      <c r="K195" s="281"/>
      <c r="L195" s="281"/>
      <c r="M195" s="281"/>
      <c r="N195" s="281"/>
      <c r="O195" s="283"/>
      <c r="P195" s="277" t="s">
        <v>83</v>
      </c>
      <c r="Q195" s="278"/>
      <c r="R195" s="278"/>
      <c r="S195" s="278"/>
      <c r="T195" s="278"/>
      <c r="U195" s="278"/>
      <c r="V195" s="279"/>
      <c r="W195" s="37" t="s">
        <v>84</v>
      </c>
      <c r="X195" s="270">
        <f>IFERROR(SUMPRODUCT(X193:X193*H193:H193),"0")</f>
        <v>77.28</v>
      </c>
      <c r="Y195" s="270">
        <f>IFERROR(SUMPRODUCT(Y193:Y193*H193:H193),"0")</f>
        <v>77.28</v>
      </c>
      <c r="Z195" s="37"/>
      <c r="AA195" s="271"/>
      <c r="AB195" s="271"/>
      <c r="AC195" s="271"/>
    </row>
    <row r="196" spans="1:68" ht="14.25" hidden="1" customHeight="1" x14ac:dyDescent="0.25">
      <c r="A196" s="296" t="s">
        <v>139</v>
      </c>
      <c r="B196" s="281"/>
      <c r="C196" s="281"/>
      <c r="D196" s="281"/>
      <c r="E196" s="281"/>
      <c r="F196" s="281"/>
      <c r="G196" s="281"/>
      <c r="H196" s="281"/>
      <c r="I196" s="281"/>
      <c r="J196" s="281"/>
      <c r="K196" s="281"/>
      <c r="L196" s="281"/>
      <c r="M196" s="281"/>
      <c r="N196" s="281"/>
      <c r="O196" s="281"/>
      <c r="P196" s="281"/>
      <c r="Q196" s="281"/>
      <c r="R196" s="281"/>
      <c r="S196" s="281"/>
      <c r="T196" s="281"/>
      <c r="U196" s="281"/>
      <c r="V196" s="281"/>
      <c r="W196" s="281"/>
      <c r="X196" s="281"/>
      <c r="Y196" s="281"/>
      <c r="Z196" s="281"/>
      <c r="AA196" s="264"/>
      <c r="AB196" s="264"/>
      <c r="AC196" s="264"/>
    </row>
    <row r="197" spans="1:68" ht="27" hidden="1" customHeight="1" x14ac:dyDescent="0.25">
      <c r="A197" s="54" t="s">
        <v>287</v>
      </c>
      <c r="B197" s="54" t="s">
        <v>288</v>
      </c>
      <c r="C197" s="31">
        <v>4301135834</v>
      </c>
      <c r="D197" s="275">
        <v>4620207491188</v>
      </c>
      <c r="E197" s="276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40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5"/>
      <c r="R197" s="285"/>
      <c r="S197" s="285"/>
      <c r="T197" s="286"/>
      <c r="U197" s="34"/>
      <c r="V197" s="34"/>
      <c r="W197" s="35" t="s">
        <v>70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4301135707</v>
      </c>
      <c r="D198" s="275">
        <v>4620207490198</v>
      </c>
      <c r="E198" s="276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31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5"/>
      <c r="R198" s="285"/>
      <c r="S198" s="285"/>
      <c r="T198" s="286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4301135829</v>
      </c>
      <c r="D199" s="275">
        <v>4620207490235</v>
      </c>
      <c r="E199" s="276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33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5"/>
      <c r="R199" s="285"/>
      <c r="S199" s="285"/>
      <c r="T199" s="286"/>
      <c r="U199" s="34"/>
      <c r="V199" s="34"/>
      <c r="W199" s="35" t="s">
        <v>70</v>
      </c>
      <c r="X199" s="268">
        <v>14</v>
      </c>
      <c r="Y199" s="269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hidden="1" customHeight="1" x14ac:dyDescent="0.25">
      <c r="A200" s="54" t="s">
        <v>296</v>
      </c>
      <c r="B200" s="54" t="s">
        <v>297</v>
      </c>
      <c r="C200" s="31">
        <v>4301135697</v>
      </c>
      <c r="D200" s="275">
        <v>4620207490259</v>
      </c>
      <c r="E200" s="276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5"/>
      <c r="R200" s="285"/>
      <c r="S200" s="285"/>
      <c r="T200" s="286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298</v>
      </c>
      <c r="B201" s="54" t="s">
        <v>299</v>
      </c>
      <c r="C201" s="31">
        <v>4301135681</v>
      </c>
      <c r="D201" s="275">
        <v>4620207490143</v>
      </c>
      <c r="E201" s="276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33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5"/>
      <c r="R201" s="285"/>
      <c r="S201" s="285"/>
      <c r="T201" s="286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2"/>
      <c r="B202" s="281"/>
      <c r="C202" s="281"/>
      <c r="D202" s="281"/>
      <c r="E202" s="281"/>
      <c r="F202" s="281"/>
      <c r="G202" s="281"/>
      <c r="H202" s="281"/>
      <c r="I202" s="281"/>
      <c r="J202" s="281"/>
      <c r="K202" s="281"/>
      <c r="L202" s="281"/>
      <c r="M202" s="281"/>
      <c r="N202" s="281"/>
      <c r="O202" s="283"/>
      <c r="P202" s="277" t="s">
        <v>83</v>
      </c>
      <c r="Q202" s="278"/>
      <c r="R202" s="278"/>
      <c r="S202" s="278"/>
      <c r="T202" s="278"/>
      <c r="U202" s="278"/>
      <c r="V202" s="279"/>
      <c r="W202" s="37" t="s">
        <v>70</v>
      </c>
      <c r="X202" s="270">
        <f>IFERROR(SUM(X197:X201),"0")</f>
        <v>14</v>
      </c>
      <c r="Y202" s="270">
        <f>IFERROR(SUM(Y197:Y201),"0")</f>
        <v>14</v>
      </c>
      <c r="Z202" s="270">
        <f>IFERROR(IF(Z197="",0,Z197),"0")+IFERROR(IF(Z198="",0,Z198),"0")+IFERROR(IF(Z199="",0,Z199),"0")+IFERROR(IF(Z200="",0,Z200),"0")+IFERROR(IF(Z201="",0,Z201),"0")</f>
        <v>0.25031999999999999</v>
      </c>
      <c r="AA202" s="271"/>
      <c r="AB202" s="271"/>
      <c r="AC202" s="271"/>
    </row>
    <row r="203" spans="1:68" x14ac:dyDescent="0.2">
      <c r="A203" s="281"/>
      <c r="B203" s="281"/>
      <c r="C203" s="281"/>
      <c r="D203" s="281"/>
      <c r="E203" s="281"/>
      <c r="F203" s="281"/>
      <c r="G203" s="281"/>
      <c r="H203" s="281"/>
      <c r="I203" s="281"/>
      <c r="J203" s="281"/>
      <c r="K203" s="281"/>
      <c r="L203" s="281"/>
      <c r="M203" s="281"/>
      <c r="N203" s="281"/>
      <c r="O203" s="283"/>
      <c r="P203" s="277" t="s">
        <v>83</v>
      </c>
      <c r="Q203" s="278"/>
      <c r="R203" s="278"/>
      <c r="S203" s="278"/>
      <c r="T203" s="278"/>
      <c r="U203" s="278"/>
      <c r="V203" s="279"/>
      <c r="W203" s="37" t="s">
        <v>84</v>
      </c>
      <c r="X203" s="270">
        <f>IFERROR(SUMPRODUCT(X197:X201*H197:H201),"0")</f>
        <v>33.6</v>
      </c>
      <c r="Y203" s="270">
        <f>IFERROR(SUMPRODUCT(Y197:Y201*H197:H201),"0")</f>
        <v>33.6</v>
      </c>
      <c r="Z203" s="37"/>
      <c r="AA203" s="271"/>
      <c r="AB203" s="271"/>
      <c r="AC203" s="271"/>
    </row>
    <row r="204" spans="1:68" ht="16.5" hidden="1" customHeight="1" x14ac:dyDescent="0.25">
      <c r="A204" s="289" t="s">
        <v>301</v>
      </c>
      <c r="B204" s="281"/>
      <c r="C204" s="281"/>
      <c r="D204" s="281"/>
      <c r="E204" s="281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63"/>
      <c r="AB204" s="263"/>
      <c r="AC204" s="263"/>
    </row>
    <row r="205" spans="1:68" ht="14.25" hidden="1" customHeight="1" x14ac:dyDescent="0.25">
      <c r="A205" s="296" t="s">
        <v>64</v>
      </c>
      <c r="B205" s="281"/>
      <c r="C205" s="281"/>
      <c r="D205" s="281"/>
      <c r="E205" s="281"/>
      <c r="F205" s="281"/>
      <c r="G205" s="281"/>
      <c r="H205" s="281"/>
      <c r="I205" s="281"/>
      <c r="J205" s="281"/>
      <c r="K205" s="281"/>
      <c r="L205" s="281"/>
      <c r="M205" s="281"/>
      <c r="N205" s="281"/>
      <c r="O205" s="281"/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64"/>
      <c r="AB205" s="264"/>
      <c r="AC205" s="264"/>
    </row>
    <row r="206" spans="1:68" ht="27" customHeight="1" x14ac:dyDescent="0.25">
      <c r="A206" s="54" t="s">
        <v>302</v>
      </c>
      <c r="B206" s="54" t="s">
        <v>303</v>
      </c>
      <c r="C206" s="31">
        <v>4301071097</v>
      </c>
      <c r="D206" s="275">
        <v>4620207491096</v>
      </c>
      <c r="E206" s="276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5"/>
      <c r="R206" s="285"/>
      <c r="S206" s="285"/>
      <c r="T206" s="286"/>
      <c r="U206" s="34"/>
      <c r="V206" s="34"/>
      <c r="W206" s="35" t="s">
        <v>70</v>
      </c>
      <c r="X206" s="268">
        <v>48</v>
      </c>
      <c r="Y206" s="269">
        <f>IFERROR(IF(X206="","",X206),"")</f>
        <v>48</v>
      </c>
      <c r="Z206" s="36">
        <f>IFERROR(IF(X206="","",X206*0.0155),"")</f>
        <v>0.74399999999999999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251.04000000000002</v>
      </c>
      <c r="BN206" s="67">
        <f>IFERROR(Y206*I206,"0")</f>
        <v>251.04000000000002</v>
      </c>
      <c r="BO206" s="67">
        <f>IFERROR(X206/J206,"0")</f>
        <v>0.5714285714285714</v>
      </c>
      <c r="BP206" s="67">
        <f>IFERROR(Y206/J206,"0")</f>
        <v>0.5714285714285714</v>
      </c>
    </row>
    <row r="207" spans="1:68" x14ac:dyDescent="0.2">
      <c r="A207" s="282"/>
      <c r="B207" s="281"/>
      <c r="C207" s="281"/>
      <c r="D207" s="281"/>
      <c r="E207" s="281"/>
      <c r="F207" s="281"/>
      <c r="G207" s="281"/>
      <c r="H207" s="281"/>
      <c r="I207" s="281"/>
      <c r="J207" s="281"/>
      <c r="K207" s="281"/>
      <c r="L207" s="281"/>
      <c r="M207" s="281"/>
      <c r="N207" s="281"/>
      <c r="O207" s="283"/>
      <c r="P207" s="277" t="s">
        <v>83</v>
      </c>
      <c r="Q207" s="278"/>
      <c r="R207" s="278"/>
      <c r="S207" s="278"/>
      <c r="T207" s="278"/>
      <c r="U207" s="278"/>
      <c r="V207" s="279"/>
      <c r="W207" s="37" t="s">
        <v>70</v>
      </c>
      <c r="X207" s="270">
        <f>IFERROR(SUM(X206:X206),"0")</f>
        <v>48</v>
      </c>
      <c r="Y207" s="270">
        <f>IFERROR(SUM(Y206:Y206),"0")</f>
        <v>48</v>
      </c>
      <c r="Z207" s="270">
        <f>IFERROR(IF(Z206="",0,Z206),"0")</f>
        <v>0.74399999999999999</v>
      </c>
      <c r="AA207" s="271"/>
      <c r="AB207" s="271"/>
      <c r="AC207" s="271"/>
    </row>
    <row r="208" spans="1:68" x14ac:dyDescent="0.2">
      <c r="A208" s="281"/>
      <c r="B208" s="281"/>
      <c r="C208" s="281"/>
      <c r="D208" s="281"/>
      <c r="E208" s="281"/>
      <c r="F208" s="281"/>
      <c r="G208" s="281"/>
      <c r="H208" s="281"/>
      <c r="I208" s="281"/>
      <c r="J208" s="281"/>
      <c r="K208" s="281"/>
      <c r="L208" s="281"/>
      <c r="M208" s="281"/>
      <c r="N208" s="281"/>
      <c r="O208" s="283"/>
      <c r="P208" s="277" t="s">
        <v>83</v>
      </c>
      <c r="Q208" s="278"/>
      <c r="R208" s="278"/>
      <c r="S208" s="278"/>
      <c r="T208" s="278"/>
      <c r="U208" s="278"/>
      <c r="V208" s="279"/>
      <c r="W208" s="37" t="s">
        <v>84</v>
      </c>
      <c r="X208" s="270">
        <f>IFERROR(SUMPRODUCT(X206:X206*H206:H206),"0")</f>
        <v>240</v>
      </c>
      <c r="Y208" s="270">
        <f>IFERROR(SUMPRODUCT(Y206:Y206*H206:H206),"0")</f>
        <v>240</v>
      </c>
      <c r="Z208" s="37"/>
      <c r="AA208" s="271"/>
      <c r="AB208" s="271"/>
      <c r="AC208" s="271"/>
    </row>
    <row r="209" spans="1:68" ht="16.5" hidden="1" customHeight="1" x14ac:dyDescent="0.25">
      <c r="A209" s="289" t="s">
        <v>305</v>
      </c>
      <c r="B209" s="281"/>
      <c r="C209" s="281"/>
      <c r="D209" s="281"/>
      <c r="E209" s="281"/>
      <c r="F209" s="281"/>
      <c r="G209" s="281"/>
      <c r="H209" s="281"/>
      <c r="I209" s="281"/>
      <c r="J209" s="281"/>
      <c r="K209" s="281"/>
      <c r="L209" s="281"/>
      <c r="M209" s="281"/>
      <c r="N209" s="281"/>
      <c r="O209" s="281"/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63"/>
      <c r="AB209" s="263"/>
      <c r="AC209" s="263"/>
    </row>
    <row r="210" spans="1:68" ht="14.25" hidden="1" customHeight="1" x14ac:dyDescent="0.25">
      <c r="A210" s="296" t="s">
        <v>139</v>
      </c>
      <c r="B210" s="281"/>
      <c r="C210" s="281"/>
      <c r="D210" s="281"/>
      <c r="E210" s="281"/>
      <c r="F210" s="281"/>
      <c r="G210" s="281"/>
      <c r="H210" s="281"/>
      <c r="I210" s="281"/>
      <c r="J210" s="281"/>
      <c r="K210" s="281"/>
      <c r="L210" s="281"/>
      <c r="M210" s="281"/>
      <c r="N210" s="281"/>
      <c r="O210" s="281"/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64"/>
      <c r="AB210" s="264"/>
      <c r="AC210" s="264"/>
    </row>
    <row r="211" spans="1:68" ht="27" hidden="1" customHeight="1" x14ac:dyDescent="0.25">
      <c r="A211" s="54" t="s">
        <v>306</v>
      </c>
      <c r="B211" s="54" t="s">
        <v>307</v>
      </c>
      <c r="C211" s="31">
        <v>4301135691</v>
      </c>
      <c r="D211" s="275">
        <v>4620207490549</v>
      </c>
      <c r="E211" s="276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8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5"/>
      <c r="R211" s="285"/>
      <c r="S211" s="285"/>
      <c r="T211" s="286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309</v>
      </c>
      <c r="B212" s="54" t="s">
        <v>310</v>
      </c>
      <c r="C212" s="31">
        <v>4301135694</v>
      </c>
      <c r="D212" s="275">
        <v>4620207490501</v>
      </c>
      <c r="E212" s="276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37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5"/>
      <c r="R212" s="285"/>
      <c r="S212" s="285"/>
      <c r="T212" s="286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2"/>
      <c r="B213" s="281"/>
      <c r="C213" s="281"/>
      <c r="D213" s="281"/>
      <c r="E213" s="281"/>
      <c r="F213" s="281"/>
      <c r="G213" s="281"/>
      <c r="H213" s="281"/>
      <c r="I213" s="281"/>
      <c r="J213" s="281"/>
      <c r="K213" s="281"/>
      <c r="L213" s="281"/>
      <c r="M213" s="281"/>
      <c r="N213" s="281"/>
      <c r="O213" s="283"/>
      <c r="P213" s="277" t="s">
        <v>83</v>
      </c>
      <c r="Q213" s="278"/>
      <c r="R213" s="278"/>
      <c r="S213" s="278"/>
      <c r="T213" s="278"/>
      <c r="U213" s="278"/>
      <c r="V213" s="279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hidden="1" x14ac:dyDescent="0.2">
      <c r="A214" s="281"/>
      <c r="B214" s="281"/>
      <c r="C214" s="281"/>
      <c r="D214" s="281"/>
      <c r="E214" s="281"/>
      <c r="F214" s="281"/>
      <c r="G214" s="281"/>
      <c r="H214" s="281"/>
      <c r="I214" s="281"/>
      <c r="J214" s="281"/>
      <c r="K214" s="281"/>
      <c r="L214" s="281"/>
      <c r="M214" s="281"/>
      <c r="N214" s="281"/>
      <c r="O214" s="283"/>
      <c r="P214" s="277" t="s">
        <v>83</v>
      </c>
      <c r="Q214" s="278"/>
      <c r="R214" s="278"/>
      <c r="S214" s="278"/>
      <c r="T214" s="278"/>
      <c r="U214" s="278"/>
      <c r="V214" s="279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hidden="1" customHeight="1" x14ac:dyDescent="0.2">
      <c r="A215" s="304" t="s">
        <v>311</v>
      </c>
      <c r="B215" s="305"/>
      <c r="C215" s="305"/>
      <c r="D215" s="305"/>
      <c r="E215" s="305"/>
      <c r="F215" s="305"/>
      <c r="G215" s="305"/>
      <c r="H215" s="305"/>
      <c r="I215" s="305"/>
      <c r="J215" s="305"/>
      <c r="K215" s="305"/>
      <c r="L215" s="305"/>
      <c r="M215" s="305"/>
      <c r="N215" s="305"/>
      <c r="O215" s="305"/>
      <c r="P215" s="305"/>
      <c r="Q215" s="305"/>
      <c r="R215" s="305"/>
      <c r="S215" s="305"/>
      <c r="T215" s="305"/>
      <c r="U215" s="305"/>
      <c r="V215" s="305"/>
      <c r="W215" s="305"/>
      <c r="X215" s="305"/>
      <c r="Y215" s="305"/>
      <c r="Z215" s="305"/>
      <c r="AA215" s="48"/>
      <c r="AB215" s="48"/>
      <c r="AC215" s="48"/>
    </row>
    <row r="216" spans="1:68" ht="16.5" hidden="1" customHeight="1" x14ac:dyDescent="0.25">
      <c r="A216" s="289" t="s">
        <v>312</v>
      </c>
      <c r="B216" s="281"/>
      <c r="C216" s="281"/>
      <c r="D216" s="281"/>
      <c r="E216" s="281"/>
      <c r="F216" s="281"/>
      <c r="G216" s="281"/>
      <c r="H216" s="281"/>
      <c r="I216" s="281"/>
      <c r="J216" s="281"/>
      <c r="K216" s="281"/>
      <c r="L216" s="281"/>
      <c r="M216" s="281"/>
      <c r="N216" s="281"/>
      <c r="O216" s="281"/>
      <c r="P216" s="281"/>
      <c r="Q216" s="281"/>
      <c r="R216" s="281"/>
      <c r="S216" s="281"/>
      <c r="T216" s="281"/>
      <c r="U216" s="281"/>
      <c r="V216" s="281"/>
      <c r="W216" s="281"/>
      <c r="X216" s="281"/>
      <c r="Y216" s="281"/>
      <c r="Z216" s="281"/>
      <c r="AA216" s="263"/>
      <c r="AB216" s="263"/>
      <c r="AC216" s="263"/>
    </row>
    <row r="217" spans="1:68" ht="14.25" hidden="1" customHeight="1" x14ac:dyDescent="0.25">
      <c r="A217" s="296" t="s">
        <v>64</v>
      </c>
      <c r="B217" s="281"/>
      <c r="C217" s="281"/>
      <c r="D217" s="281"/>
      <c r="E217" s="281"/>
      <c r="F217" s="281"/>
      <c r="G217" s="281"/>
      <c r="H217" s="281"/>
      <c r="I217" s="281"/>
      <c r="J217" s="281"/>
      <c r="K217" s="281"/>
      <c r="L217" s="281"/>
      <c r="M217" s="281"/>
      <c r="N217" s="281"/>
      <c r="O217" s="281"/>
      <c r="P217" s="281"/>
      <c r="Q217" s="281"/>
      <c r="R217" s="281"/>
      <c r="S217" s="281"/>
      <c r="T217" s="281"/>
      <c r="U217" s="281"/>
      <c r="V217" s="281"/>
      <c r="W217" s="281"/>
      <c r="X217" s="281"/>
      <c r="Y217" s="281"/>
      <c r="Z217" s="281"/>
      <c r="AA217" s="264"/>
      <c r="AB217" s="264"/>
      <c r="AC217" s="264"/>
    </row>
    <row r="218" spans="1:68" ht="27" hidden="1" customHeight="1" x14ac:dyDescent="0.25">
      <c r="A218" s="54" t="s">
        <v>313</v>
      </c>
      <c r="B218" s="54" t="s">
        <v>314</v>
      </c>
      <c r="C218" s="31">
        <v>4301071036</v>
      </c>
      <c r="D218" s="275">
        <v>4607111036162</v>
      </c>
      <c r="E218" s="276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35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85"/>
      <c r="R218" s="285"/>
      <c r="S218" s="285"/>
      <c r="T218" s="286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2"/>
      <c r="B219" s="281"/>
      <c r="C219" s="281"/>
      <c r="D219" s="281"/>
      <c r="E219" s="281"/>
      <c r="F219" s="281"/>
      <c r="G219" s="281"/>
      <c r="H219" s="281"/>
      <c r="I219" s="281"/>
      <c r="J219" s="281"/>
      <c r="K219" s="281"/>
      <c r="L219" s="281"/>
      <c r="M219" s="281"/>
      <c r="N219" s="281"/>
      <c r="O219" s="283"/>
      <c r="P219" s="277" t="s">
        <v>83</v>
      </c>
      <c r="Q219" s="278"/>
      <c r="R219" s="278"/>
      <c r="S219" s="278"/>
      <c r="T219" s="278"/>
      <c r="U219" s="278"/>
      <c r="V219" s="279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hidden="1" x14ac:dyDescent="0.2">
      <c r="A220" s="281"/>
      <c r="B220" s="281"/>
      <c r="C220" s="281"/>
      <c r="D220" s="281"/>
      <c r="E220" s="281"/>
      <c r="F220" s="281"/>
      <c r="G220" s="281"/>
      <c r="H220" s="281"/>
      <c r="I220" s="281"/>
      <c r="J220" s="281"/>
      <c r="K220" s="281"/>
      <c r="L220" s="281"/>
      <c r="M220" s="281"/>
      <c r="N220" s="281"/>
      <c r="O220" s="283"/>
      <c r="P220" s="277" t="s">
        <v>83</v>
      </c>
      <c r="Q220" s="278"/>
      <c r="R220" s="278"/>
      <c r="S220" s="278"/>
      <c r="T220" s="278"/>
      <c r="U220" s="278"/>
      <c r="V220" s="279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hidden="1" customHeight="1" x14ac:dyDescent="0.2">
      <c r="A221" s="304" t="s">
        <v>316</v>
      </c>
      <c r="B221" s="305"/>
      <c r="C221" s="305"/>
      <c r="D221" s="305"/>
      <c r="E221" s="305"/>
      <c r="F221" s="305"/>
      <c r="G221" s="305"/>
      <c r="H221" s="305"/>
      <c r="I221" s="305"/>
      <c r="J221" s="305"/>
      <c r="K221" s="305"/>
      <c r="L221" s="305"/>
      <c r="M221" s="305"/>
      <c r="N221" s="305"/>
      <c r="O221" s="305"/>
      <c r="P221" s="305"/>
      <c r="Q221" s="305"/>
      <c r="R221" s="305"/>
      <c r="S221" s="305"/>
      <c r="T221" s="305"/>
      <c r="U221" s="305"/>
      <c r="V221" s="305"/>
      <c r="W221" s="305"/>
      <c r="X221" s="305"/>
      <c r="Y221" s="305"/>
      <c r="Z221" s="305"/>
      <c r="AA221" s="48"/>
      <c r="AB221" s="48"/>
      <c r="AC221" s="48"/>
    </row>
    <row r="222" spans="1:68" ht="16.5" hidden="1" customHeight="1" x14ac:dyDescent="0.25">
      <c r="A222" s="289" t="s">
        <v>317</v>
      </c>
      <c r="B222" s="281"/>
      <c r="C222" s="281"/>
      <c r="D222" s="281"/>
      <c r="E222" s="281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  <c r="S222" s="281"/>
      <c r="T222" s="281"/>
      <c r="U222" s="281"/>
      <c r="V222" s="281"/>
      <c r="W222" s="281"/>
      <c r="X222" s="281"/>
      <c r="Y222" s="281"/>
      <c r="Z222" s="281"/>
      <c r="AA222" s="263"/>
      <c r="AB222" s="263"/>
      <c r="AC222" s="263"/>
    </row>
    <row r="223" spans="1:68" ht="14.25" hidden="1" customHeight="1" x14ac:dyDescent="0.25">
      <c r="A223" s="296" t="s">
        <v>64</v>
      </c>
      <c r="B223" s="281"/>
      <c r="C223" s="281"/>
      <c r="D223" s="281"/>
      <c r="E223" s="281"/>
      <c r="F223" s="281"/>
      <c r="G223" s="281"/>
      <c r="H223" s="281"/>
      <c r="I223" s="281"/>
      <c r="J223" s="281"/>
      <c r="K223" s="281"/>
      <c r="L223" s="281"/>
      <c r="M223" s="281"/>
      <c r="N223" s="281"/>
      <c r="O223" s="281"/>
      <c r="P223" s="281"/>
      <c r="Q223" s="281"/>
      <c r="R223" s="281"/>
      <c r="S223" s="281"/>
      <c r="T223" s="281"/>
      <c r="U223" s="281"/>
      <c r="V223" s="281"/>
      <c r="W223" s="281"/>
      <c r="X223" s="281"/>
      <c r="Y223" s="281"/>
      <c r="Z223" s="281"/>
      <c r="AA223" s="264"/>
      <c r="AB223" s="264"/>
      <c r="AC223" s="264"/>
    </row>
    <row r="224" spans="1:68" ht="27" customHeight="1" x14ac:dyDescent="0.25">
      <c r="A224" s="54" t="s">
        <v>318</v>
      </c>
      <c r="B224" s="54" t="s">
        <v>319</v>
      </c>
      <c r="C224" s="31">
        <v>4301071029</v>
      </c>
      <c r="D224" s="275">
        <v>4607111035899</v>
      </c>
      <c r="E224" s="276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85"/>
      <c r="R224" s="285"/>
      <c r="S224" s="285"/>
      <c r="T224" s="286"/>
      <c r="U224" s="34"/>
      <c r="V224" s="34"/>
      <c r="W224" s="35" t="s">
        <v>70</v>
      </c>
      <c r="X224" s="268">
        <v>96</v>
      </c>
      <c r="Y224" s="269">
        <f>IFERROR(IF(X224="","",X224),"")</f>
        <v>96</v>
      </c>
      <c r="Z224" s="36">
        <f>IFERROR(IF(X224="","",X224*0.0155),"")</f>
        <v>1.488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505.15199999999993</v>
      </c>
      <c r="BN224" s="67">
        <f>IFERROR(Y224*I224,"0")</f>
        <v>505.15199999999993</v>
      </c>
      <c r="BO224" s="67">
        <f>IFERROR(X224/J224,"0")</f>
        <v>1.1428571428571428</v>
      </c>
      <c r="BP224" s="67">
        <f>IFERROR(Y224/J224,"0")</f>
        <v>1.1428571428571428</v>
      </c>
    </row>
    <row r="225" spans="1:68" x14ac:dyDescent="0.2">
      <c r="A225" s="282"/>
      <c r="B225" s="281"/>
      <c r="C225" s="281"/>
      <c r="D225" s="281"/>
      <c r="E225" s="281"/>
      <c r="F225" s="281"/>
      <c r="G225" s="281"/>
      <c r="H225" s="281"/>
      <c r="I225" s="281"/>
      <c r="J225" s="281"/>
      <c r="K225" s="281"/>
      <c r="L225" s="281"/>
      <c r="M225" s="281"/>
      <c r="N225" s="281"/>
      <c r="O225" s="283"/>
      <c r="P225" s="277" t="s">
        <v>83</v>
      </c>
      <c r="Q225" s="278"/>
      <c r="R225" s="278"/>
      <c r="S225" s="278"/>
      <c r="T225" s="278"/>
      <c r="U225" s="278"/>
      <c r="V225" s="279"/>
      <c r="W225" s="37" t="s">
        <v>70</v>
      </c>
      <c r="X225" s="270">
        <f>IFERROR(SUM(X224:X224),"0")</f>
        <v>96</v>
      </c>
      <c r="Y225" s="270">
        <f>IFERROR(SUM(Y224:Y224),"0")</f>
        <v>96</v>
      </c>
      <c r="Z225" s="270">
        <f>IFERROR(IF(Z224="",0,Z224),"0")</f>
        <v>1.488</v>
      </c>
      <c r="AA225" s="271"/>
      <c r="AB225" s="271"/>
      <c r="AC225" s="271"/>
    </row>
    <row r="226" spans="1:68" x14ac:dyDescent="0.2">
      <c r="A226" s="281"/>
      <c r="B226" s="281"/>
      <c r="C226" s="281"/>
      <c r="D226" s="281"/>
      <c r="E226" s="281"/>
      <c r="F226" s="281"/>
      <c r="G226" s="281"/>
      <c r="H226" s="281"/>
      <c r="I226" s="281"/>
      <c r="J226" s="281"/>
      <c r="K226" s="281"/>
      <c r="L226" s="281"/>
      <c r="M226" s="281"/>
      <c r="N226" s="281"/>
      <c r="O226" s="283"/>
      <c r="P226" s="277" t="s">
        <v>83</v>
      </c>
      <c r="Q226" s="278"/>
      <c r="R226" s="278"/>
      <c r="S226" s="278"/>
      <c r="T226" s="278"/>
      <c r="U226" s="278"/>
      <c r="V226" s="279"/>
      <c r="W226" s="37" t="s">
        <v>84</v>
      </c>
      <c r="X226" s="270">
        <f>IFERROR(SUMPRODUCT(X224:X224*H224:H224),"0")</f>
        <v>480</v>
      </c>
      <c r="Y226" s="270">
        <f>IFERROR(SUMPRODUCT(Y224:Y224*H224:H224),"0")</f>
        <v>480</v>
      </c>
      <c r="Z226" s="37"/>
      <c r="AA226" s="271"/>
      <c r="AB226" s="271"/>
      <c r="AC226" s="271"/>
    </row>
    <row r="227" spans="1:68" ht="27.75" hidden="1" customHeight="1" x14ac:dyDescent="0.2">
      <c r="A227" s="304" t="s">
        <v>320</v>
      </c>
      <c r="B227" s="305"/>
      <c r="C227" s="305"/>
      <c r="D227" s="305"/>
      <c r="E227" s="305"/>
      <c r="F227" s="305"/>
      <c r="G227" s="305"/>
      <c r="H227" s="305"/>
      <c r="I227" s="305"/>
      <c r="J227" s="305"/>
      <c r="K227" s="305"/>
      <c r="L227" s="305"/>
      <c r="M227" s="305"/>
      <c r="N227" s="305"/>
      <c r="O227" s="305"/>
      <c r="P227" s="305"/>
      <c r="Q227" s="305"/>
      <c r="R227" s="305"/>
      <c r="S227" s="305"/>
      <c r="T227" s="305"/>
      <c r="U227" s="305"/>
      <c r="V227" s="305"/>
      <c r="W227" s="305"/>
      <c r="X227" s="305"/>
      <c r="Y227" s="305"/>
      <c r="Z227" s="305"/>
      <c r="AA227" s="48"/>
      <c r="AB227" s="48"/>
      <c r="AC227" s="48"/>
    </row>
    <row r="228" spans="1:68" ht="16.5" hidden="1" customHeight="1" x14ac:dyDescent="0.25">
      <c r="A228" s="289" t="s">
        <v>321</v>
      </c>
      <c r="B228" s="281"/>
      <c r="C228" s="281"/>
      <c r="D228" s="281"/>
      <c r="E228" s="281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  <c r="S228" s="281"/>
      <c r="T228" s="281"/>
      <c r="U228" s="281"/>
      <c r="V228" s="281"/>
      <c r="W228" s="281"/>
      <c r="X228" s="281"/>
      <c r="Y228" s="281"/>
      <c r="Z228" s="281"/>
      <c r="AA228" s="263"/>
      <c r="AB228" s="263"/>
      <c r="AC228" s="263"/>
    </row>
    <row r="229" spans="1:68" ht="14.25" hidden="1" customHeight="1" x14ac:dyDescent="0.25">
      <c r="A229" s="296" t="s">
        <v>322</v>
      </c>
      <c r="B229" s="281"/>
      <c r="C229" s="281"/>
      <c r="D229" s="281"/>
      <c r="E229" s="281"/>
      <c r="F229" s="281"/>
      <c r="G229" s="281"/>
      <c r="H229" s="281"/>
      <c r="I229" s="281"/>
      <c r="J229" s="281"/>
      <c r="K229" s="281"/>
      <c r="L229" s="281"/>
      <c r="M229" s="281"/>
      <c r="N229" s="281"/>
      <c r="O229" s="281"/>
      <c r="P229" s="281"/>
      <c r="Q229" s="281"/>
      <c r="R229" s="281"/>
      <c r="S229" s="281"/>
      <c r="T229" s="281"/>
      <c r="U229" s="281"/>
      <c r="V229" s="281"/>
      <c r="W229" s="281"/>
      <c r="X229" s="281"/>
      <c r="Y229" s="281"/>
      <c r="Z229" s="281"/>
      <c r="AA229" s="264"/>
      <c r="AB229" s="264"/>
      <c r="AC229" s="264"/>
    </row>
    <row r="230" spans="1:68" ht="27" hidden="1" customHeight="1" x14ac:dyDescent="0.25">
      <c r="A230" s="54" t="s">
        <v>323</v>
      </c>
      <c r="B230" s="54" t="s">
        <v>324</v>
      </c>
      <c r="C230" s="31">
        <v>4301133004</v>
      </c>
      <c r="D230" s="275">
        <v>4607111039774</v>
      </c>
      <c r="E230" s="276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4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85"/>
      <c r="R230" s="285"/>
      <c r="S230" s="285"/>
      <c r="T230" s="286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82"/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283"/>
      <c r="P231" s="277" t="s">
        <v>83</v>
      </c>
      <c r="Q231" s="278"/>
      <c r="R231" s="278"/>
      <c r="S231" s="278"/>
      <c r="T231" s="278"/>
      <c r="U231" s="278"/>
      <c r="V231" s="279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hidden="1" x14ac:dyDescent="0.2">
      <c r="A232" s="281"/>
      <c r="B232" s="281"/>
      <c r="C232" s="281"/>
      <c r="D232" s="281"/>
      <c r="E232" s="281"/>
      <c r="F232" s="281"/>
      <c r="G232" s="281"/>
      <c r="H232" s="281"/>
      <c r="I232" s="281"/>
      <c r="J232" s="281"/>
      <c r="K232" s="281"/>
      <c r="L232" s="281"/>
      <c r="M232" s="281"/>
      <c r="N232" s="281"/>
      <c r="O232" s="283"/>
      <c r="P232" s="277" t="s">
        <v>83</v>
      </c>
      <c r="Q232" s="278"/>
      <c r="R232" s="278"/>
      <c r="S232" s="278"/>
      <c r="T232" s="278"/>
      <c r="U232" s="278"/>
      <c r="V232" s="279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hidden="1" customHeight="1" x14ac:dyDescent="0.25">
      <c r="A233" s="296" t="s">
        <v>139</v>
      </c>
      <c r="B233" s="281"/>
      <c r="C233" s="281"/>
      <c r="D233" s="281"/>
      <c r="E233" s="281"/>
      <c r="F233" s="281"/>
      <c r="G233" s="281"/>
      <c r="H233" s="281"/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  <c r="S233" s="281"/>
      <c r="T233" s="281"/>
      <c r="U233" s="281"/>
      <c r="V233" s="281"/>
      <c r="W233" s="281"/>
      <c r="X233" s="281"/>
      <c r="Y233" s="281"/>
      <c r="Z233" s="281"/>
      <c r="AA233" s="264"/>
      <c r="AB233" s="264"/>
      <c r="AC233" s="264"/>
    </row>
    <row r="234" spans="1:68" ht="37.5" hidden="1" customHeight="1" x14ac:dyDescent="0.25">
      <c r="A234" s="54" t="s">
        <v>326</v>
      </c>
      <c r="B234" s="54" t="s">
        <v>327</v>
      </c>
      <c r="C234" s="31">
        <v>4301135400</v>
      </c>
      <c r="D234" s="275">
        <v>4607111039361</v>
      </c>
      <c r="E234" s="276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37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85"/>
      <c r="R234" s="285"/>
      <c r="S234" s="285"/>
      <c r="T234" s="286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2"/>
      <c r="B235" s="281"/>
      <c r="C235" s="281"/>
      <c r="D235" s="281"/>
      <c r="E235" s="281"/>
      <c r="F235" s="281"/>
      <c r="G235" s="281"/>
      <c r="H235" s="281"/>
      <c r="I235" s="281"/>
      <c r="J235" s="281"/>
      <c r="K235" s="281"/>
      <c r="L235" s="281"/>
      <c r="M235" s="281"/>
      <c r="N235" s="281"/>
      <c r="O235" s="283"/>
      <c r="P235" s="277" t="s">
        <v>83</v>
      </c>
      <c r="Q235" s="278"/>
      <c r="R235" s="278"/>
      <c r="S235" s="278"/>
      <c r="T235" s="278"/>
      <c r="U235" s="278"/>
      <c r="V235" s="279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hidden="1" x14ac:dyDescent="0.2">
      <c r="A236" s="281"/>
      <c r="B236" s="281"/>
      <c r="C236" s="281"/>
      <c r="D236" s="281"/>
      <c r="E236" s="281"/>
      <c r="F236" s="281"/>
      <c r="G236" s="281"/>
      <c r="H236" s="281"/>
      <c r="I236" s="281"/>
      <c r="J236" s="281"/>
      <c r="K236" s="281"/>
      <c r="L236" s="281"/>
      <c r="M236" s="281"/>
      <c r="N236" s="281"/>
      <c r="O236" s="283"/>
      <c r="P236" s="277" t="s">
        <v>83</v>
      </c>
      <c r="Q236" s="278"/>
      <c r="R236" s="278"/>
      <c r="S236" s="278"/>
      <c r="T236" s="278"/>
      <c r="U236" s="278"/>
      <c r="V236" s="279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hidden="1" customHeight="1" x14ac:dyDescent="0.2">
      <c r="A237" s="304" t="s">
        <v>328</v>
      </c>
      <c r="B237" s="305"/>
      <c r="C237" s="305"/>
      <c r="D237" s="305"/>
      <c r="E237" s="305"/>
      <c r="F237" s="305"/>
      <c r="G237" s="305"/>
      <c r="H237" s="305"/>
      <c r="I237" s="305"/>
      <c r="J237" s="305"/>
      <c r="K237" s="305"/>
      <c r="L237" s="305"/>
      <c r="M237" s="305"/>
      <c r="N237" s="305"/>
      <c r="O237" s="305"/>
      <c r="P237" s="305"/>
      <c r="Q237" s="305"/>
      <c r="R237" s="305"/>
      <c r="S237" s="305"/>
      <c r="T237" s="305"/>
      <c r="U237" s="305"/>
      <c r="V237" s="305"/>
      <c r="W237" s="305"/>
      <c r="X237" s="305"/>
      <c r="Y237" s="305"/>
      <c r="Z237" s="305"/>
      <c r="AA237" s="48"/>
      <c r="AB237" s="48"/>
      <c r="AC237" s="48"/>
    </row>
    <row r="238" spans="1:68" ht="16.5" hidden="1" customHeight="1" x14ac:dyDescent="0.25">
      <c r="A238" s="289" t="s">
        <v>328</v>
      </c>
      <c r="B238" s="281"/>
      <c r="C238" s="281"/>
      <c r="D238" s="281"/>
      <c r="E238" s="281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R238" s="281"/>
      <c r="S238" s="281"/>
      <c r="T238" s="281"/>
      <c r="U238" s="281"/>
      <c r="V238" s="281"/>
      <c r="W238" s="281"/>
      <c r="X238" s="281"/>
      <c r="Y238" s="281"/>
      <c r="Z238" s="281"/>
      <c r="AA238" s="263"/>
      <c r="AB238" s="263"/>
      <c r="AC238" s="263"/>
    </row>
    <row r="239" spans="1:68" ht="14.25" hidden="1" customHeight="1" x14ac:dyDescent="0.25">
      <c r="A239" s="296" t="s">
        <v>64</v>
      </c>
      <c r="B239" s="281"/>
      <c r="C239" s="281"/>
      <c r="D239" s="281"/>
      <c r="E239" s="281"/>
      <c r="F239" s="281"/>
      <c r="G239" s="281"/>
      <c r="H239" s="281"/>
      <c r="I239" s="281"/>
      <c r="J239" s="281"/>
      <c r="K239" s="281"/>
      <c r="L239" s="281"/>
      <c r="M239" s="281"/>
      <c r="N239" s="281"/>
      <c r="O239" s="281"/>
      <c r="P239" s="281"/>
      <c r="Q239" s="281"/>
      <c r="R239" s="281"/>
      <c r="S239" s="281"/>
      <c r="T239" s="281"/>
      <c r="U239" s="281"/>
      <c r="V239" s="281"/>
      <c r="W239" s="281"/>
      <c r="X239" s="281"/>
      <c r="Y239" s="281"/>
      <c r="Z239" s="281"/>
      <c r="AA239" s="264"/>
      <c r="AB239" s="264"/>
      <c r="AC239" s="264"/>
    </row>
    <row r="240" spans="1:68" ht="27" hidden="1" customHeight="1" x14ac:dyDescent="0.25">
      <c r="A240" s="54" t="s">
        <v>329</v>
      </c>
      <c r="B240" s="54" t="s">
        <v>330</v>
      </c>
      <c r="C240" s="31">
        <v>4301071014</v>
      </c>
      <c r="D240" s="275">
        <v>4640242181264</v>
      </c>
      <c r="E240" s="276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85"/>
      <c r="R240" s="285"/>
      <c r="S240" s="285"/>
      <c r="T240" s="286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hidden="1" customHeight="1" x14ac:dyDescent="0.25">
      <c r="A241" s="54" t="s">
        <v>332</v>
      </c>
      <c r="B241" s="54" t="s">
        <v>333</v>
      </c>
      <c r="C241" s="31">
        <v>4301071021</v>
      </c>
      <c r="D241" s="275">
        <v>4640242181325</v>
      </c>
      <c r="E241" s="276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33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85"/>
      <c r="R241" s="285"/>
      <c r="S241" s="285"/>
      <c r="T241" s="286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82"/>
      <c r="B242" s="281"/>
      <c r="C242" s="281"/>
      <c r="D242" s="281"/>
      <c r="E242" s="281"/>
      <c r="F242" s="281"/>
      <c r="G242" s="281"/>
      <c r="H242" s="281"/>
      <c r="I242" s="281"/>
      <c r="J242" s="281"/>
      <c r="K242" s="281"/>
      <c r="L242" s="281"/>
      <c r="M242" s="281"/>
      <c r="N242" s="281"/>
      <c r="O242" s="283"/>
      <c r="P242" s="277" t="s">
        <v>83</v>
      </c>
      <c r="Q242" s="278"/>
      <c r="R242" s="278"/>
      <c r="S242" s="278"/>
      <c r="T242" s="278"/>
      <c r="U242" s="278"/>
      <c r="V242" s="279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hidden="1" x14ac:dyDescent="0.2">
      <c r="A243" s="281"/>
      <c r="B243" s="281"/>
      <c r="C243" s="281"/>
      <c r="D243" s="281"/>
      <c r="E243" s="281"/>
      <c r="F243" s="281"/>
      <c r="G243" s="281"/>
      <c r="H243" s="281"/>
      <c r="I243" s="281"/>
      <c r="J243" s="281"/>
      <c r="K243" s="281"/>
      <c r="L243" s="281"/>
      <c r="M243" s="281"/>
      <c r="N243" s="281"/>
      <c r="O243" s="283"/>
      <c r="P243" s="277" t="s">
        <v>83</v>
      </c>
      <c r="Q243" s="278"/>
      <c r="R243" s="278"/>
      <c r="S243" s="278"/>
      <c r="T243" s="278"/>
      <c r="U243" s="278"/>
      <c r="V243" s="279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hidden="1" customHeight="1" x14ac:dyDescent="0.25">
      <c r="A244" s="296" t="s">
        <v>93</v>
      </c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  <c r="S244" s="281"/>
      <c r="T244" s="281"/>
      <c r="U244" s="281"/>
      <c r="V244" s="281"/>
      <c r="W244" s="281"/>
      <c r="X244" s="281"/>
      <c r="Y244" s="281"/>
      <c r="Z244" s="281"/>
      <c r="AA244" s="264"/>
      <c r="AB244" s="264"/>
      <c r="AC244" s="264"/>
    </row>
    <row r="245" spans="1:68" ht="27" customHeight="1" x14ac:dyDescent="0.25">
      <c r="A245" s="54" t="s">
        <v>334</v>
      </c>
      <c r="B245" s="54" t="s">
        <v>335</v>
      </c>
      <c r="C245" s="31">
        <v>4301132080</v>
      </c>
      <c r="D245" s="275">
        <v>4640242180397</v>
      </c>
      <c r="E245" s="276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7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85"/>
      <c r="R245" s="285"/>
      <c r="S245" s="285"/>
      <c r="T245" s="286"/>
      <c r="U245" s="34"/>
      <c r="V245" s="34"/>
      <c r="W245" s="35" t="s">
        <v>70</v>
      </c>
      <c r="X245" s="268">
        <v>180</v>
      </c>
      <c r="Y245" s="269">
        <f>IFERROR(IF(X245="","",X245),"")</f>
        <v>180</v>
      </c>
      <c r="Z245" s="36">
        <f>IFERROR(IF(X245="","",X245*0.0155),"")</f>
        <v>2.79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1126.8</v>
      </c>
      <c r="BN245" s="67">
        <f>IFERROR(Y245*I245,"0")</f>
        <v>1126.8</v>
      </c>
      <c r="BO245" s="67">
        <f>IFERROR(X245/J245,"0")</f>
        <v>2.1428571428571428</v>
      </c>
      <c r="BP245" s="67">
        <f>IFERROR(Y245/J245,"0")</f>
        <v>2.1428571428571428</v>
      </c>
    </row>
    <row r="246" spans="1:68" x14ac:dyDescent="0.2">
      <c r="A246" s="282"/>
      <c r="B246" s="281"/>
      <c r="C246" s="281"/>
      <c r="D246" s="281"/>
      <c r="E246" s="281"/>
      <c r="F246" s="281"/>
      <c r="G246" s="281"/>
      <c r="H246" s="281"/>
      <c r="I246" s="281"/>
      <c r="J246" s="281"/>
      <c r="K246" s="281"/>
      <c r="L246" s="281"/>
      <c r="M246" s="281"/>
      <c r="N246" s="281"/>
      <c r="O246" s="283"/>
      <c r="P246" s="277" t="s">
        <v>83</v>
      </c>
      <c r="Q246" s="278"/>
      <c r="R246" s="278"/>
      <c r="S246" s="278"/>
      <c r="T246" s="278"/>
      <c r="U246" s="278"/>
      <c r="V246" s="279"/>
      <c r="W246" s="37" t="s">
        <v>70</v>
      </c>
      <c r="X246" s="270">
        <f>IFERROR(SUM(X245:X245),"0")</f>
        <v>180</v>
      </c>
      <c r="Y246" s="270">
        <f>IFERROR(SUM(Y245:Y245),"0")</f>
        <v>180</v>
      </c>
      <c r="Z246" s="270">
        <f>IFERROR(IF(Z245="",0,Z245),"0")</f>
        <v>2.79</v>
      </c>
      <c r="AA246" s="271"/>
      <c r="AB246" s="271"/>
      <c r="AC246" s="271"/>
    </row>
    <row r="247" spans="1:68" x14ac:dyDescent="0.2">
      <c r="A247" s="281"/>
      <c r="B247" s="281"/>
      <c r="C247" s="281"/>
      <c r="D247" s="281"/>
      <c r="E247" s="281"/>
      <c r="F247" s="281"/>
      <c r="G247" s="281"/>
      <c r="H247" s="281"/>
      <c r="I247" s="281"/>
      <c r="J247" s="281"/>
      <c r="K247" s="281"/>
      <c r="L247" s="281"/>
      <c r="M247" s="281"/>
      <c r="N247" s="281"/>
      <c r="O247" s="283"/>
      <c r="P247" s="277" t="s">
        <v>83</v>
      </c>
      <c r="Q247" s="278"/>
      <c r="R247" s="278"/>
      <c r="S247" s="278"/>
      <c r="T247" s="278"/>
      <c r="U247" s="278"/>
      <c r="V247" s="279"/>
      <c r="W247" s="37" t="s">
        <v>84</v>
      </c>
      <c r="X247" s="270">
        <f>IFERROR(SUMPRODUCT(X245:X245*H245:H245),"0")</f>
        <v>1080</v>
      </c>
      <c r="Y247" s="270">
        <f>IFERROR(SUMPRODUCT(Y245:Y245*H245:H245),"0")</f>
        <v>1080</v>
      </c>
      <c r="Z247" s="37"/>
      <c r="AA247" s="271"/>
      <c r="AB247" s="271"/>
      <c r="AC247" s="271"/>
    </row>
    <row r="248" spans="1:68" ht="14.25" hidden="1" customHeight="1" x14ac:dyDescent="0.25">
      <c r="A248" s="296" t="s">
        <v>133</v>
      </c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281"/>
      <c r="P248" s="281"/>
      <c r="Q248" s="281"/>
      <c r="R248" s="281"/>
      <c r="S248" s="281"/>
      <c r="T248" s="281"/>
      <c r="U248" s="281"/>
      <c r="V248" s="281"/>
      <c r="W248" s="281"/>
      <c r="X248" s="281"/>
      <c r="Y248" s="281"/>
      <c r="Z248" s="281"/>
      <c r="AA248" s="264"/>
      <c r="AB248" s="264"/>
      <c r="AC248" s="264"/>
    </row>
    <row r="249" spans="1:68" ht="27" hidden="1" customHeight="1" x14ac:dyDescent="0.25">
      <c r="A249" s="54" t="s">
        <v>337</v>
      </c>
      <c r="B249" s="54" t="s">
        <v>338</v>
      </c>
      <c r="C249" s="31">
        <v>4301136051</v>
      </c>
      <c r="D249" s="275">
        <v>4640242180304</v>
      </c>
      <c r="E249" s="276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85"/>
      <c r="R249" s="285"/>
      <c r="S249" s="285"/>
      <c r="T249" s="286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340</v>
      </c>
      <c r="B250" s="54" t="s">
        <v>341</v>
      </c>
      <c r="C250" s="31">
        <v>4301136053</v>
      </c>
      <c r="D250" s="275">
        <v>4640242180236</v>
      </c>
      <c r="E250" s="276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4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85"/>
      <c r="R250" s="285"/>
      <c r="S250" s="285"/>
      <c r="T250" s="286"/>
      <c r="U250" s="34"/>
      <c r="V250" s="34"/>
      <c r="W250" s="35" t="s">
        <v>70</v>
      </c>
      <c r="X250" s="268">
        <v>216</v>
      </c>
      <c r="Y250" s="269">
        <f>IFERROR(IF(X250="","",X250),"")</f>
        <v>216</v>
      </c>
      <c r="Z250" s="36">
        <f>IFERROR(IF(X250="","",X250*0.0155),"")</f>
        <v>3.3479999999999999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1130.76</v>
      </c>
      <c r="BN250" s="67">
        <f>IFERROR(Y250*I250,"0")</f>
        <v>1130.76</v>
      </c>
      <c r="BO250" s="67">
        <f>IFERROR(X250/J250,"0")</f>
        <v>2.5714285714285716</v>
      </c>
      <c r="BP250" s="67">
        <f>IFERROR(Y250/J250,"0")</f>
        <v>2.5714285714285716</v>
      </c>
    </row>
    <row r="251" spans="1:68" ht="27" customHeight="1" x14ac:dyDescent="0.25">
      <c r="A251" s="54" t="s">
        <v>342</v>
      </c>
      <c r="B251" s="54" t="s">
        <v>343</v>
      </c>
      <c r="C251" s="31">
        <v>4301136052</v>
      </c>
      <c r="D251" s="275">
        <v>4640242180410</v>
      </c>
      <c r="E251" s="276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37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85"/>
      <c r="R251" s="285"/>
      <c r="S251" s="285"/>
      <c r="T251" s="286"/>
      <c r="U251" s="34"/>
      <c r="V251" s="34"/>
      <c r="W251" s="35" t="s">
        <v>70</v>
      </c>
      <c r="X251" s="268">
        <v>28</v>
      </c>
      <c r="Y251" s="269">
        <f>IFERROR(IF(X251="","",X251),"")</f>
        <v>28</v>
      </c>
      <c r="Z251" s="36">
        <f>IFERROR(IF(X251="","",X251*0.00936),"")</f>
        <v>0.26207999999999998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68.096000000000004</v>
      </c>
      <c r="BN251" s="67">
        <f>IFERROR(Y251*I251,"0")</f>
        <v>68.096000000000004</v>
      </c>
      <c r="BO251" s="67">
        <f>IFERROR(X251/J251,"0")</f>
        <v>0.22222222222222221</v>
      </c>
      <c r="BP251" s="67">
        <f>IFERROR(Y251/J251,"0")</f>
        <v>0.22222222222222221</v>
      </c>
    </row>
    <row r="252" spans="1:68" x14ac:dyDescent="0.2">
      <c r="A252" s="282"/>
      <c r="B252" s="281"/>
      <c r="C252" s="281"/>
      <c r="D252" s="281"/>
      <c r="E252" s="281"/>
      <c r="F252" s="281"/>
      <c r="G252" s="281"/>
      <c r="H252" s="281"/>
      <c r="I252" s="281"/>
      <c r="J252" s="281"/>
      <c r="K252" s="281"/>
      <c r="L252" s="281"/>
      <c r="M252" s="281"/>
      <c r="N252" s="281"/>
      <c r="O252" s="283"/>
      <c r="P252" s="277" t="s">
        <v>83</v>
      </c>
      <c r="Q252" s="278"/>
      <c r="R252" s="278"/>
      <c r="S252" s="278"/>
      <c r="T252" s="278"/>
      <c r="U252" s="278"/>
      <c r="V252" s="279"/>
      <c r="W252" s="37" t="s">
        <v>70</v>
      </c>
      <c r="X252" s="270">
        <f>IFERROR(SUM(X249:X251),"0")</f>
        <v>244</v>
      </c>
      <c r="Y252" s="270">
        <f>IFERROR(SUM(Y249:Y251),"0")</f>
        <v>244</v>
      </c>
      <c r="Z252" s="270">
        <f>IFERROR(IF(Z249="",0,Z249),"0")+IFERROR(IF(Z250="",0,Z250),"0")+IFERROR(IF(Z251="",0,Z251),"0")</f>
        <v>3.61008</v>
      </c>
      <c r="AA252" s="271"/>
      <c r="AB252" s="271"/>
      <c r="AC252" s="271"/>
    </row>
    <row r="253" spans="1:68" x14ac:dyDescent="0.2">
      <c r="A253" s="281"/>
      <c r="B253" s="281"/>
      <c r="C253" s="281"/>
      <c r="D253" s="281"/>
      <c r="E253" s="281"/>
      <c r="F253" s="281"/>
      <c r="G253" s="281"/>
      <c r="H253" s="281"/>
      <c r="I253" s="281"/>
      <c r="J253" s="281"/>
      <c r="K253" s="281"/>
      <c r="L253" s="281"/>
      <c r="M253" s="281"/>
      <c r="N253" s="281"/>
      <c r="O253" s="283"/>
      <c r="P253" s="277" t="s">
        <v>83</v>
      </c>
      <c r="Q253" s="278"/>
      <c r="R253" s="278"/>
      <c r="S253" s="278"/>
      <c r="T253" s="278"/>
      <c r="U253" s="278"/>
      <c r="V253" s="279"/>
      <c r="W253" s="37" t="s">
        <v>84</v>
      </c>
      <c r="X253" s="270">
        <f>IFERROR(SUMPRODUCT(X249:X251*H249:H251),"0")</f>
        <v>1142.72</v>
      </c>
      <c r="Y253" s="270">
        <f>IFERROR(SUMPRODUCT(Y249:Y251*H249:H251),"0")</f>
        <v>1142.72</v>
      </c>
      <c r="Z253" s="37"/>
      <c r="AA253" s="271"/>
      <c r="AB253" s="271"/>
      <c r="AC253" s="271"/>
    </row>
    <row r="254" spans="1:68" ht="14.25" hidden="1" customHeight="1" x14ac:dyDescent="0.25">
      <c r="A254" s="296" t="s">
        <v>139</v>
      </c>
      <c r="B254" s="281"/>
      <c r="C254" s="281"/>
      <c r="D254" s="281"/>
      <c r="E254" s="281"/>
      <c r="F254" s="281"/>
      <c r="G254" s="281"/>
      <c r="H254" s="281"/>
      <c r="I254" s="281"/>
      <c r="J254" s="281"/>
      <c r="K254" s="281"/>
      <c r="L254" s="281"/>
      <c r="M254" s="281"/>
      <c r="N254" s="281"/>
      <c r="O254" s="281"/>
      <c r="P254" s="281"/>
      <c r="Q254" s="281"/>
      <c r="R254" s="281"/>
      <c r="S254" s="281"/>
      <c r="T254" s="281"/>
      <c r="U254" s="281"/>
      <c r="V254" s="281"/>
      <c r="W254" s="281"/>
      <c r="X254" s="281"/>
      <c r="Y254" s="281"/>
      <c r="Z254" s="281"/>
      <c r="AA254" s="264"/>
      <c r="AB254" s="264"/>
      <c r="AC254" s="264"/>
    </row>
    <row r="255" spans="1:68" ht="37.5" hidden="1" customHeight="1" x14ac:dyDescent="0.25">
      <c r="A255" s="54" t="s">
        <v>344</v>
      </c>
      <c r="B255" s="54" t="s">
        <v>345</v>
      </c>
      <c r="C255" s="31">
        <v>4301135504</v>
      </c>
      <c r="D255" s="275">
        <v>4640242181554</v>
      </c>
      <c r="E255" s="276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4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85"/>
      <c r="R255" s="285"/>
      <c r="S255" s="285"/>
      <c r="T255" s="286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4301135518</v>
      </c>
      <c r="D256" s="275">
        <v>4640242181561</v>
      </c>
      <c r="E256" s="276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35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85"/>
      <c r="R256" s="285"/>
      <c r="S256" s="285"/>
      <c r="T256" s="286"/>
      <c r="U256" s="34"/>
      <c r="V256" s="34"/>
      <c r="W256" s="35" t="s">
        <v>70</v>
      </c>
      <c r="X256" s="268">
        <v>0</v>
      </c>
      <c r="Y256" s="269">
        <f t="shared" si="18"/>
        <v>0</v>
      </c>
      <c r="Z256" s="36">
        <f>IFERROR(IF(X256="","",X256*0.00936),"")</f>
        <v>0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hidden="1" customHeight="1" x14ac:dyDescent="0.25">
      <c r="A257" s="54" t="s">
        <v>350</v>
      </c>
      <c r="B257" s="54" t="s">
        <v>351</v>
      </c>
      <c r="C257" s="31">
        <v>4301135374</v>
      </c>
      <c r="D257" s="275">
        <v>4640242181424</v>
      </c>
      <c r="E257" s="276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34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85"/>
      <c r="R257" s="285"/>
      <c r="S257" s="285"/>
      <c r="T257" s="286"/>
      <c r="U257" s="34"/>
      <c r="V257" s="34"/>
      <c r="W257" s="35" t="s">
        <v>70</v>
      </c>
      <c r="X257" s="268">
        <v>0</v>
      </c>
      <c r="Y257" s="269">
        <f t="shared" si="18"/>
        <v>0</v>
      </c>
      <c r="Z257" s="36">
        <f>IFERROR(IF(X257="","",X257*0.0155),"")</f>
        <v>0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hidden="1" customHeight="1" x14ac:dyDescent="0.25">
      <c r="A258" s="54" t="s">
        <v>352</v>
      </c>
      <c r="B258" s="54" t="s">
        <v>353</v>
      </c>
      <c r="C258" s="31">
        <v>4301135405</v>
      </c>
      <c r="D258" s="275">
        <v>4640242181523</v>
      </c>
      <c r="E258" s="276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41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85"/>
      <c r="R258" s="285"/>
      <c r="S258" s="285"/>
      <c r="T258" s="286"/>
      <c r="U258" s="34"/>
      <c r="V258" s="34"/>
      <c r="W258" s="35" t="s">
        <v>70</v>
      </c>
      <c r="X258" s="268">
        <v>0</v>
      </c>
      <c r="Y258" s="269">
        <f t="shared" si="18"/>
        <v>0</v>
      </c>
      <c r="Z258" s="36">
        <f t="shared" ref="Z258:Z263" si="23">IFERROR(IF(X258="","",X258*0.00936),"")</f>
        <v>0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27" customHeight="1" x14ac:dyDescent="0.25">
      <c r="A259" s="54" t="s">
        <v>354</v>
      </c>
      <c r="B259" s="54" t="s">
        <v>355</v>
      </c>
      <c r="C259" s="31">
        <v>4301135375</v>
      </c>
      <c r="D259" s="275">
        <v>4640242181486</v>
      </c>
      <c r="E259" s="276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43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85"/>
      <c r="R259" s="285"/>
      <c r="S259" s="285"/>
      <c r="T259" s="286"/>
      <c r="U259" s="34"/>
      <c r="V259" s="34"/>
      <c r="W259" s="35" t="s">
        <v>70</v>
      </c>
      <c r="X259" s="268">
        <v>28</v>
      </c>
      <c r="Y259" s="269">
        <f t="shared" si="18"/>
        <v>28</v>
      </c>
      <c r="Z259" s="36">
        <f t="shared" si="23"/>
        <v>0.26207999999999998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37.5" hidden="1" customHeight="1" x14ac:dyDescent="0.25">
      <c r="A260" s="54" t="s">
        <v>356</v>
      </c>
      <c r="B260" s="54" t="s">
        <v>357</v>
      </c>
      <c r="C260" s="31">
        <v>4301135402</v>
      </c>
      <c r="D260" s="275">
        <v>4640242181493</v>
      </c>
      <c r="E260" s="276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8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85"/>
      <c r="R260" s="285"/>
      <c r="S260" s="285"/>
      <c r="T260" s="286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hidden="1" customHeight="1" x14ac:dyDescent="0.25">
      <c r="A261" s="54" t="s">
        <v>358</v>
      </c>
      <c r="B261" s="54" t="s">
        <v>359</v>
      </c>
      <c r="C261" s="31">
        <v>4301135403</v>
      </c>
      <c r="D261" s="275">
        <v>4640242181509</v>
      </c>
      <c r="E261" s="276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7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85"/>
      <c r="R261" s="285"/>
      <c r="S261" s="285"/>
      <c r="T261" s="286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360</v>
      </c>
      <c r="B262" s="54" t="s">
        <v>361</v>
      </c>
      <c r="C262" s="31">
        <v>4301135304</v>
      </c>
      <c r="D262" s="275">
        <v>4640242181240</v>
      </c>
      <c r="E262" s="276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85"/>
      <c r="R262" s="285"/>
      <c r="S262" s="285"/>
      <c r="T262" s="286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362</v>
      </c>
      <c r="B263" s="54" t="s">
        <v>363</v>
      </c>
      <c r="C263" s="31">
        <v>4301135610</v>
      </c>
      <c r="D263" s="275">
        <v>4640242181318</v>
      </c>
      <c r="E263" s="276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33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85"/>
      <c r="R263" s="285"/>
      <c r="S263" s="285"/>
      <c r="T263" s="286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hidden="1" customHeight="1" x14ac:dyDescent="0.25">
      <c r="A264" s="54" t="s">
        <v>364</v>
      </c>
      <c r="B264" s="54" t="s">
        <v>365</v>
      </c>
      <c r="C264" s="31">
        <v>4301135306</v>
      </c>
      <c r="D264" s="275">
        <v>4640242181387</v>
      </c>
      <c r="E264" s="276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4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85"/>
      <c r="R264" s="285"/>
      <c r="S264" s="285"/>
      <c r="T264" s="286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x14ac:dyDescent="0.2">
      <c r="A265" s="282"/>
      <c r="B265" s="281"/>
      <c r="C265" s="281"/>
      <c r="D265" s="281"/>
      <c r="E265" s="281"/>
      <c r="F265" s="281"/>
      <c r="G265" s="281"/>
      <c r="H265" s="281"/>
      <c r="I265" s="281"/>
      <c r="J265" s="281"/>
      <c r="K265" s="281"/>
      <c r="L265" s="281"/>
      <c r="M265" s="281"/>
      <c r="N265" s="281"/>
      <c r="O265" s="283"/>
      <c r="P265" s="277" t="s">
        <v>83</v>
      </c>
      <c r="Q265" s="278"/>
      <c r="R265" s="278"/>
      <c r="S265" s="278"/>
      <c r="T265" s="278"/>
      <c r="U265" s="278"/>
      <c r="V265" s="279"/>
      <c r="W265" s="37" t="s">
        <v>70</v>
      </c>
      <c r="X265" s="270">
        <f>IFERROR(SUM(X255:X264),"0")</f>
        <v>28</v>
      </c>
      <c r="Y265" s="270">
        <f>IFERROR(SUM(Y255:Y264),"0")</f>
        <v>28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0.26207999999999998</v>
      </c>
      <c r="AA265" s="271"/>
      <c r="AB265" s="271"/>
      <c r="AC265" s="271"/>
    </row>
    <row r="266" spans="1:68" x14ac:dyDescent="0.2">
      <c r="A266" s="281"/>
      <c r="B266" s="281"/>
      <c r="C266" s="281"/>
      <c r="D266" s="281"/>
      <c r="E266" s="281"/>
      <c r="F266" s="281"/>
      <c r="G266" s="281"/>
      <c r="H266" s="281"/>
      <c r="I266" s="281"/>
      <c r="J266" s="281"/>
      <c r="K266" s="281"/>
      <c r="L266" s="281"/>
      <c r="M266" s="281"/>
      <c r="N266" s="281"/>
      <c r="O266" s="283"/>
      <c r="P266" s="277" t="s">
        <v>83</v>
      </c>
      <c r="Q266" s="278"/>
      <c r="R266" s="278"/>
      <c r="S266" s="278"/>
      <c r="T266" s="278"/>
      <c r="U266" s="278"/>
      <c r="V266" s="279"/>
      <c r="W266" s="37" t="s">
        <v>84</v>
      </c>
      <c r="X266" s="270">
        <f>IFERROR(SUMPRODUCT(X255:X264*H255:H264),"0")</f>
        <v>103.60000000000001</v>
      </c>
      <c r="Y266" s="270">
        <f>IFERROR(SUMPRODUCT(Y255:Y264*H255:H264),"0")</f>
        <v>103.60000000000001</v>
      </c>
      <c r="Z266" s="37"/>
      <c r="AA266" s="271"/>
      <c r="AB266" s="271"/>
      <c r="AC266" s="271"/>
    </row>
    <row r="267" spans="1:68" ht="15" customHeight="1" x14ac:dyDescent="0.2">
      <c r="A267" s="420"/>
      <c r="B267" s="281"/>
      <c r="C267" s="281"/>
      <c r="D267" s="281"/>
      <c r="E267" s="281"/>
      <c r="F267" s="281"/>
      <c r="G267" s="281"/>
      <c r="H267" s="281"/>
      <c r="I267" s="281"/>
      <c r="J267" s="281"/>
      <c r="K267" s="281"/>
      <c r="L267" s="281"/>
      <c r="M267" s="281"/>
      <c r="N267" s="281"/>
      <c r="O267" s="387"/>
      <c r="P267" s="272" t="s">
        <v>366</v>
      </c>
      <c r="Q267" s="273"/>
      <c r="R267" s="273"/>
      <c r="S267" s="273"/>
      <c r="T267" s="273"/>
      <c r="U267" s="273"/>
      <c r="V267" s="274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13880.28</v>
      </c>
      <c r="Y267" s="270">
        <f>IFERROR(Y29+Y35+Y42+Y49+Y57+Y62+Y66+Y71+Y77+Y83+Y88+Y94+Y104+Y110+Y122+Y127+Y131+Y137+Y143+Y149+Y154+Y159+Y164+Y169+Y176+Y185+Y189+Y195+Y203+Y208+Y214+Y220+Y226+Y232+Y236+Y243+Y247+Y253+Y266,"0")</f>
        <v>13880.28</v>
      </c>
      <c r="Z267" s="37"/>
      <c r="AA267" s="271"/>
      <c r="AB267" s="271"/>
      <c r="AC267" s="271"/>
    </row>
    <row r="268" spans="1:68" x14ac:dyDescent="0.2">
      <c r="A268" s="281"/>
      <c r="B268" s="281"/>
      <c r="C268" s="281"/>
      <c r="D268" s="281"/>
      <c r="E268" s="281"/>
      <c r="F268" s="281"/>
      <c r="G268" s="281"/>
      <c r="H268" s="281"/>
      <c r="I268" s="281"/>
      <c r="J268" s="281"/>
      <c r="K268" s="281"/>
      <c r="L268" s="281"/>
      <c r="M268" s="281"/>
      <c r="N268" s="281"/>
      <c r="O268" s="387"/>
      <c r="P268" s="272" t="s">
        <v>367</v>
      </c>
      <c r="Q268" s="273"/>
      <c r="R268" s="273"/>
      <c r="S268" s="273"/>
      <c r="T268" s="273"/>
      <c r="U268" s="273"/>
      <c r="V268" s="274"/>
      <c r="W268" s="37" t="s">
        <v>84</v>
      </c>
      <c r="X268" s="270">
        <f>IFERROR(SUM(BM22:BM264),"0")</f>
        <v>14997.782000000003</v>
      </c>
      <c r="Y268" s="270">
        <f>IFERROR(SUM(BN22:BN264),"0")</f>
        <v>14997.782000000003</v>
      </c>
      <c r="Z268" s="37"/>
      <c r="AA268" s="271"/>
      <c r="AB268" s="271"/>
      <c r="AC268" s="271"/>
    </row>
    <row r="269" spans="1:68" x14ac:dyDescent="0.2">
      <c r="A269" s="281"/>
      <c r="B269" s="281"/>
      <c r="C269" s="281"/>
      <c r="D269" s="281"/>
      <c r="E269" s="281"/>
      <c r="F269" s="281"/>
      <c r="G269" s="281"/>
      <c r="H269" s="281"/>
      <c r="I269" s="281"/>
      <c r="J269" s="281"/>
      <c r="K269" s="281"/>
      <c r="L269" s="281"/>
      <c r="M269" s="281"/>
      <c r="N269" s="281"/>
      <c r="O269" s="387"/>
      <c r="P269" s="272" t="s">
        <v>368</v>
      </c>
      <c r="Q269" s="273"/>
      <c r="R269" s="273"/>
      <c r="S269" s="273"/>
      <c r="T269" s="273"/>
      <c r="U269" s="273"/>
      <c r="V269" s="274"/>
      <c r="W269" s="37" t="s">
        <v>369</v>
      </c>
      <c r="X269" s="38">
        <f>ROUNDUP(SUM(BO22:BO264),0)</f>
        <v>36</v>
      </c>
      <c r="Y269" s="38">
        <f>ROUNDUP(SUM(BP22:BP264),0)</f>
        <v>36</v>
      </c>
      <c r="Z269" s="37"/>
      <c r="AA269" s="271"/>
      <c r="AB269" s="271"/>
      <c r="AC269" s="271"/>
    </row>
    <row r="270" spans="1:68" x14ac:dyDescent="0.2">
      <c r="A270" s="281"/>
      <c r="B270" s="281"/>
      <c r="C270" s="281"/>
      <c r="D270" s="281"/>
      <c r="E270" s="281"/>
      <c r="F270" s="281"/>
      <c r="G270" s="281"/>
      <c r="H270" s="281"/>
      <c r="I270" s="281"/>
      <c r="J270" s="281"/>
      <c r="K270" s="281"/>
      <c r="L270" s="281"/>
      <c r="M270" s="281"/>
      <c r="N270" s="281"/>
      <c r="O270" s="387"/>
      <c r="P270" s="272" t="s">
        <v>370</v>
      </c>
      <c r="Q270" s="273"/>
      <c r="R270" s="273"/>
      <c r="S270" s="273"/>
      <c r="T270" s="273"/>
      <c r="U270" s="273"/>
      <c r="V270" s="274"/>
      <c r="W270" s="37" t="s">
        <v>84</v>
      </c>
      <c r="X270" s="270">
        <f>GrossWeightTotal+PalletQtyTotal*25</f>
        <v>15897.782000000003</v>
      </c>
      <c r="Y270" s="270">
        <f>GrossWeightTotalR+PalletQtyTotalR*25</f>
        <v>15897.782000000003</v>
      </c>
      <c r="Z270" s="37"/>
      <c r="AA270" s="271"/>
      <c r="AB270" s="271"/>
      <c r="AC270" s="271"/>
    </row>
    <row r="271" spans="1:68" x14ac:dyDescent="0.2">
      <c r="A271" s="281"/>
      <c r="B271" s="281"/>
      <c r="C271" s="281"/>
      <c r="D271" s="281"/>
      <c r="E271" s="281"/>
      <c r="F271" s="281"/>
      <c r="G271" s="281"/>
      <c r="H271" s="281"/>
      <c r="I271" s="281"/>
      <c r="J271" s="281"/>
      <c r="K271" s="281"/>
      <c r="L271" s="281"/>
      <c r="M271" s="281"/>
      <c r="N271" s="281"/>
      <c r="O271" s="387"/>
      <c r="P271" s="272" t="s">
        <v>371</v>
      </c>
      <c r="Q271" s="273"/>
      <c r="R271" s="273"/>
      <c r="S271" s="273"/>
      <c r="T271" s="273"/>
      <c r="U271" s="273"/>
      <c r="V271" s="274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2962</v>
      </c>
      <c r="Y271" s="270">
        <f>IFERROR(Y28+Y34+Y41+Y48+Y56+Y61+Y65+Y70+Y76+Y82+Y87+Y93+Y103+Y109+Y121+Y126+Y130+Y136+Y142+Y148+Y153+Y158+Y163+Y168+Y175+Y184+Y188+Y194+Y202+Y207+Y213+Y219+Y225+Y231+Y235+Y242+Y246+Y252+Y265,"0")</f>
        <v>2962</v>
      </c>
      <c r="Z271" s="37"/>
      <c r="AA271" s="271"/>
      <c r="AB271" s="271"/>
      <c r="AC271" s="271"/>
    </row>
    <row r="272" spans="1:68" ht="14.25" hidden="1" customHeight="1" x14ac:dyDescent="0.2">
      <c r="A272" s="281"/>
      <c r="B272" s="281"/>
      <c r="C272" s="281"/>
      <c r="D272" s="281"/>
      <c r="E272" s="281"/>
      <c r="F272" s="281"/>
      <c r="G272" s="281"/>
      <c r="H272" s="281"/>
      <c r="I272" s="281"/>
      <c r="J272" s="281"/>
      <c r="K272" s="281"/>
      <c r="L272" s="281"/>
      <c r="M272" s="281"/>
      <c r="N272" s="281"/>
      <c r="O272" s="387"/>
      <c r="P272" s="272" t="s">
        <v>372</v>
      </c>
      <c r="Q272" s="273"/>
      <c r="R272" s="273"/>
      <c r="S272" s="273"/>
      <c r="T272" s="273"/>
      <c r="U272" s="273"/>
      <c r="V272" s="274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44.814899999999994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87" t="s">
        <v>63</v>
      </c>
      <c r="C274" s="321"/>
      <c r="D274" s="287" t="s">
        <v>91</v>
      </c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320"/>
      <c r="P274" s="320"/>
      <c r="Q274" s="320"/>
      <c r="R274" s="320"/>
      <c r="S274" s="320"/>
      <c r="T274" s="320"/>
      <c r="U274" s="321"/>
      <c r="V274" s="265" t="s">
        <v>252</v>
      </c>
      <c r="W274" s="265" t="s">
        <v>260</v>
      </c>
      <c r="X274" s="287" t="s">
        <v>282</v>
      </c>
      <c r="Y274" s="320"/>
      <c r="Z274" s="321"/>
      <c r="AA274" s="265" t="s">
        <v>311</v>
      </c>
      <c r="AB274" s="265" t="s">
        <v>316</v>
      </c>
      <c r="AC274" s="265" t="s">
        <v>320</v>
      </c>
      <c r="AD274" s="265" t="s">
        <v>328</v>
      </c>
      <c r="AF274" s="266"/>
    </row>
    <row r="275" spans="1:32" ht="14.25" customHeight="1" thickTop="1" x14ac:dyDescent="0.2">
      <c r="A275" s="404" t="s">
        <v>375</v>
      </c>
      <c r="B275" s="287" t="s">
        <v>63</v>
      </c>
      <c r="C275" s="287" t="s">
        <v>85</v>
      </c>
      <c r="D275" s="287" t="s">
        <v>92</v>
      </c>
      <c r="E275" s="287" t="s">
        <v>103</v>
      </c>
      <c r="F275" s="287" t="s">
        <v>115</v>
      </c>
      <c r="G275" s="287" t="s">
        <v>126</v>
      </c>
      <c r="H275" s="287" t="s">
        <v>147</v>
      </c>
      <c r="I275" s="287" t="s">
        <v>154</v>
      </c>
      <c r="J275" s="287" t="s">
        <v>158</v>
      </c>
      <c r="K275" s="287" t="s">
        <v>166</v>
      </c>
      <c r="L275" s="287" t="s">
        <v>181</v>
      </c>
      <c r="M275" s="287" t="s">
        <v>187</v>
      </c>
      <c r="N275" s="266"/>
      <c r="O275" s="287" t="s">
        <v>218</v>
      </c>
      <c r="P275" s="287" t="s">
        <v>224</v>
      </c>
      <c r="Q275" s="287" t="s">
        <v>231</v>
      </c>
      <c r="R275" s="287" t="s">
        <v>236</v>
      </c>
      <c r="S275" s="287" t="s">
        <v>240</v>
      </c>
      <c r="T275" s="287" t="s">
        <v>243</v>
      </c>
      <c r="U275" s="287" t="s">
        <v>248</v>
      </c>
      <c r="V275" s="287" t="s">
        <v>253</v>
      </c>
      <c r="W275" s="287" t="s">
        <v>261</v>
      </c>
      <c r="X275" s="287" t="s">
        <v>283</v>
      </c>
      <c r="Y275" s="287" t="s">
        <v>301</v>
      </c>
      <c r="Z275" s="287" t="s">
        <v>305</v>
      </c>
      <c r="AA275" s="287" t="s">
        <v>312</v>
      </c>
      <c r="AB275" s="287" t="s">
        <v>317</v>
      </c>
      <c r="AC275" s="287" t="s">
        <v>321</v>
      </c>
      <c r="AD275" s="287" t="s">
        <v>328</v>
      </c>
      <c r="AF275" s="266"/>
    </row>
    <row r="276" spans="1:32" ht="13.5" customHeight="1" thickBot="1" x14ac:dyDescent="0.25">
      <c r="A276" s="405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66"/>
      <c r="O276" s="288"/>
      <c r="P276" s="288"/>
      <c r="Q276" s="288"/>
      <c r="R276" s="288"/>
      <c r="S276" s="288"/>
      <c r="T276" s="288"/>
      <c r="U276" s="288"/>
      <c r="V276" s="288"/>
      <c r="W276" s="288"/>
      <c r="X276" s="288"/>
      <c r="Y276" s="288"/>
      <c r="Z276" s="288"/>
      <c r="AA276" s="288"/>
      <c r="AB276" s="288"/>
      <c r="AC276" s="288"/>
      <c r="AD276" s="288"/>
      <c r="AF276" s="266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432</v>
      </c>
      <c r="C277" s="46">
        <f>IFERROR(X32*H32,"0")+IFERROR(X33*H33,"0")</f>
        <v>153.60000000000002</v>
      </c>
      <c r="D277" s="46">
        <f>IFERROR(X39*H39,"0")+IFERROR(X40*H40,"0")</f>
        <v>231</v>
      </c>
      <c r="E277" s="46">
        <f>IFERROR(X45*H45,"0")+IFERROR(X46*H46,"0")+IFERROR(X47*H47,"0")</f>
        <v>67.199999999999989</v>
      </c>
      <c r="F277" s="46">
        <f>IFERROR(X52*H52,"0")+IFERROR(X53*H53,"0")+IFERROR(X54*H54,"0")+IFERROR(X55*H55,"0")</f>
        <v>1336.8</v>
      </c>
      <c r="G277" s="46">
        <f>IFERROR(X60*H60,"0")+IFERROR(X64*H64,"0")+IFERROR(X68*H68,"0")+IFERROR(X69*H69,"0")+IFERROR(X73*H73,"0")+IFERROR(X74*H74,"0")+IFERROR(X75*H75,"0")</f>
        <v>67.2</v>
      </c>
      <c r="H277" s="46">
        <f>IFERROR(X80*H80,"0")+IFERROR(X81*H81,"0")</f>
        <v>1200</v>
      </c>
      <c r="I277" s="46">
        <f>IFERROR(X86*H86,"0")</f>
        <v>50.4</v>
      </c>
      <c r="J277" s="46">
        <f>IFERROR(X91*H91,"0")+IFERROR(X92*H92,"0")</f>
        <v>151.19999999999999</v>
      </c>
      <c r="K277" s="46">
        <f>IFERROR(X97*H97,"0")+IFERROR(X98*H98,"0")+IFERROR(X99*H99,"0")+IFERROR(X100*H100,"0")+IFERROR(X101*H101,"0")+IFERROR(X102*H102,"0")</f>
        <v>403.2</v>
      </c>
      <c r="L277" s="46">
        <f>IFERROR(X107*H107,"0")+IFERROR(X108*H108,"0")</f>
        <v>0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4324.8</v>
      </c>
      <c r="N277" s="266"/>
      <c r="O277" s="46">
        <f>IFERROR(X134*H134,"0")+IFERROR(X135*H135,"0")</f>
        <v>714</v>
      </c>
      <c r="P277" s="46">
        <f>IFERROR(X140*H140,"0")+IFERROR(X141*H141,"0")</f>
        <v>294</v>
      </c>
      <c r="Q277" s="46">
        <f>IFERROR(X146*H146,"0")+IFERROR(X147*H147,"0")</f>
        <v>134.4</v>
      </c>
      <c r="R277" s="46">
        <f>IFERROR(X152*H152,"0")</f>
        <v>84</v>
      </c>
      <c r="S277" s="46">
        <f>IFERROR(X157*H157,"0")</f>
        <v>0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120</v>
      </c>
      <c r="W277" s="46">
        <f>IFERROR(X180*H180,"0")+IFERROR(X181*H181,"0")+IFERROR(X182*H182,"0")+IFERROR(X183*H183,"0")+IFERROR(X187*H187,"0")</f>
        <v>959.28</v>
      </c>
      <c r="X277" s="46">
        <f>IFERROR(X193*H193,"0")+IFERROR(X197*H197,"0")+IFERROR(X198*H198,"0")+IFERROR(X199*H199,"0")+IFERROR(X200*H200,"0")+IFERROR(X201*H201,"0")</f>
        <v>110.88</v>
      </c>
      <c r="Y277" s="46">
        <f>IFERROR(X206*H206,"0")</f>
        <v>240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480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2326.3199999999997</v>
      </c>
      <c r="AF277" s="266"/>
    </row>
    <row r="278" spans="1:32" ht="13.5" customHeight="1" thickTop="1" x14ac:dyDescent="0.2">
      <c r="C278" s="266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8354.4</v>
      </c>
      <c r="B280" s="60">
        <f>SUMPRODUCT(--(BB:BB="ПГП"),--(W:W="кор"),H:H,Y:Y)+SUMPRODUCT(--(BB:BB="ПГП"),--(W:W="кг"),Y:Y)</f>
        <v>5525.880000000001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142,72"/>
        <filter val="1 200,00"/>
        <filter val="1 336,80"/>
        <filter val="103,60"/>
        <filter val="12,00"/>
        <filter val="120,00"/>
        <filter val="126,00"/>
        <filter val="13 880,28"/>
        <filter val="134,40"/>
        <filter val="14 997,78"/>
        <filter val="14,00"/>
        <filter val="140,00"/>
        <filter val="144,00"/>
        <filter val="15 897,78"/>
        <filter val="151,20"/>
        <filter val="153,60"/>
        <filter val="154,00"/>
        <filter val="156,00"/>
        <filter val="180,00"/>
        <filter val="192,00"/>
        <filter val="2 962,00"/>
        <filter val="216,00"/>
        <filter val="231,00"/>
        <filter val="238,00"/>
        <filter val="24,00"/>
        <filter val="240,00"/>
        <filter val="244,00"/>
        <filter val="28,00"/>
        <filter val="294,00"/>
        <filter val="322,00"/>
        <filter val="33,60"/>
        <filter val="36"/>
        <filter val="36,00"/>
        <filter val="4 324,80"/>
        <filter val="403,20"/>
        <filter val="42,00"/>
        <filter val="432,00"/>
        <filter val="48,00"/>
        <filter val="480,00"/>
        <filter val="50,40"/>
        <filter val="56,00"/>
        <filter val="60,00"/>
        <filter val="624,00"/>
        <filter val="67,20"/>
        <filter val="70,00"/>
        <filter val="714,00"/>
        <filter val="77,28"/>
        <filter val="84,00"/>
        <filter val="959,28"/>
        <filter val="96,00"/>
        <filter val="98,00"/>
      </filters>
    </filterColumn>
    <filterColumn colId="29" showButton="0"/>
    <filterColumn colId="30" showButton="0"/>
  </autoFilter>
  <mergeCells count="486">
    <mergeCell ref="O275:O276"/>
    <mergeCell ref="H9:I9"/>
    <mergeCell ref="D45:E45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A50:Z50"/>
    <mergeCell ref="W17:W18"/>
    <mergeCell ref="P99:T99"/>
    <mergeCell ref="D197:E197"/>
    <mergeCell ref="D53:E53"/>
    <mergeCell ref="P232:V232"/>
    <mergeCell ref="D47:E47"/>
    <mergeCell ref="D174:E174"/>
    <mergeCell ref="P87:V87"/>
    <mergeCell ref="A165:Z165"/>
    <mergeCell ref="P214:V214"/>
    <mergeCell ref="A12:M12"/>
    <mergeCell ref="A14:M14"/>
    <mergeCell ref="D183:E183"/>
    <mergeCell ref="P140:T140"/>
    <mergeCell ref="D117:E117"/>
    <mergeCell ref="D92:E92"/>
    <mergeCell ref="D55:E55"/>
    <mergeCell ref="P83:V83"/>
    <mergeCell ref="A79:Z79"/>
    <mergeCell ref="A82:O83"/>
    <mergeCell ref="P92:T92"/>
    <mergeCell ref="P100:T100"/>
    <mergeCell ref="A158:O159"/>
    <mergeCell ref="P275:P276"/>
    <mergeCell ref="D98:E98"/>
    <mergeCell ref="P152:T152"/>
    <mergeCell ref="P77:V77"/>
    <mergeCell ref="D73:E73"/>
    <mergeCell ref="A76:O77"/>
    <mergeCell ref="A58:Z58"/>
    <mergeCell ref="P168:V168"/>
    <mergeCell ref="P143:V143"/>
    <mergeCell ref="D258:E258"/>
    <mergeCell ref="P235:V235"/>
    <mergeCell ref="P207:V207"/>
    <mergeCell ref="D124:E124"/>
    <mergeCell ref="P81:T81"/>
    <mergeCell ref="P109:V109"/>
    <mergeCell ref="V275:V276"/>
    <mergeCell ref="P246:V246"/>
    <mergeCell ref="P120:T120"/>
    <mergeCell ref="D259:E259"/>
    <mergeCell ref="A84:Z84"/>
    <mergeCell ref="D60:E60"/>
    <mergeCell ref="P73:T73"/>
    <mergeCell ref="D187:E187"/>
    <mergeCell ref="P130:V130"/>
    <mergeCell ref="D1:F1"/>
    <mergeCell ref="P47:T47"/>
    <mergeCell ref="J17:J18"/>
    <mergeCell ref="P61:V61"/>
    <mergeCell ref="L17:L18"/>
    <mergeCell ref="A105:Z105"/>
    <mergeCell ref="Q9:R9"/>
    <mergeCell ref="Q11:R11"/>
    <mergeCell ref="A6:C6"/>
    <mergeCell ref="Q12:R12"/>
    <mergeCell ref="T5:U5"/>
    <mergeCell ref="D119:E119"/>
    <mergeCell ref="V5:W5"/>
    <mergeCell ref="D46:E46"/>
    <mergeCell ref="D40:E40"/>
    <mergeCell ref="A34:O35"/>
    <mergeCell ref="A28:O29"/>
    <mergeCell ref="P69:T69"/>
    <mergeCell ref="Q8:R8"/>
    <mergeCell ref="R1:T1"/>
    <mergeCell ref="B17:B18"/>
    <mergeCell ref="V10:W10"/>
    <mergeCell ref="H1:Q1"/>
    <mergeCell ref="D240:E240"/>
    <mergeCell ref="A244:Z244"/>
    <mergeCell ref="P255:T255"/>
    <mergeCell ref="P48:V48"/>
    <mergeCell ref="A171:Z171"/>
    <mergeCell ref="C275:C276"/>
    <mergeCell ref="P259:T259"/>
    <mergeCell ref="D69:E69"/>
    <mergeCell ref="A109:O110"/>
    <mergeCell ref="P175:V175"/>
    <mergeCell ref="P240:T240"/>
    <mergeCell ref="U275:U276"/>
    <mergeCell ref="P226:V226"/>
    <mergeCell ref="P93:V93"/>
    <mergeCell ref="P164:V164"/>
    <mergeCell ref="P269:V269"/>
    <mergeCell ref="A216:Z216"/>
    <mergeCell ref="X275:X276"/>
    <mergeCell ref="A225:O226"/>
    <mergeCell ref="A89:Z89"/>
    <mergeCell ref="P188:V188"/>
    <mergeCell ref="D147:E147"/>
    <mergeCell ref="D245:E245"/>
    <mergeCell ref="P116:T116"/>
    <mergeCell ref="D224:E224"/>
    <mergeCell ref="P230:T230"/>
    <mergeCell ref="P97:T97"/>
    <mergeCell ref="D211:E211"/>
    <mergeCell ref="A267:O272"/>
    <mergeCell ref="D100:E100"/>
    <mergeCell ref="P113:T113"/>
    <mergeCell ref="A229:Z229"/>
    <mergeCell ref="P17:T18"/>
    <mergeCell ref="D260:E260"/>
    <mergeCell ref="D113:E113"/>
    <mergeCell ref="P180:T180"/>
    <mergeCell ref="P118:T118"/>
    <mergeCell ref="A96:Z96"/>
    <mergeCell ref="P167:T167"/>
    <mergeCell ref="A161:Z161"/>
    <mergeCell ref="D26:E26"/>
    <mergeCell ref="P117:T117"/>
    <mergeCell ref="P55:T55"/>
    <mergeCell ref="D115:E115"/>
    <mergeCell ref="P182:T182"/>
    <mergeCell ref="D261:E261"/>
    <mergeCell ref="A130:O131"/>
    <mergeCell ref="A31:Z31"/>
    <mergeCell ref="AD275:AD276"/>
    <mergeCell ref="P129:T129"/>
    <mergeCell ref="P250:T250"/>
    <mergeCell ref="A166:Z166"/>
    <mergeCell ref="P187:T187"/>
    <mergeCell ref="D108:E108"/>
    <mergeCell ref="P258:T258"/>
    <mergeCell ref="P52:T52"/>
    <mergeCell ref="I17:I18"/>
    <mergeCell ref="D141:E141"/>
    <mergeCell ref="A48:O49"/>
    <mergeCell ref="P176:V176"/>
    <mergeCell ref="D135:E135"/>
    <mergeCell ref="A246:O247"/>
    <mergeCell ref="P203:V203"/>
    <mergeCell ref="P34:V34"/>
    <mergeCell ref="A239:Z239"/>
    <mergeCell ref="B275:B276"/>
    <mergeCell ref="P270:V270"/>
    <mergeCell ref="P267:V267"/>
    <mergeCell ref="A95:Z95"/>
    <mergeCell ref="D255:E255"/>
    <mergeCell ref="P49:V49"/>
    <mergeCell ref="D24:E24"/>
    <mergeCell ref="W275:W276"/>
    <mergeCell ref="P119:T119"/>
    <mergeCell ref="P62:V62"/>
    <mergeCell ref="P127:V127"/>
    <mergeCell ref="A123:Z123"/>
    <mergeCell ref="A5:C5"/>
    <mergeCell ref="A237:Z237"/>
    <mergeCell ref="A17:A18"/>
    <mergeCell ref="K17:K18"/>
    <mergeCell ref="C17:C18"/>
    <mergeCell ref="A238:Z238"/>
    <mergeCell ref="D230:E230"/>
    <mergeCell ref="D180:E180"/>
    <mergeCell ref="D9:E9"/>
    <mergeCell ref="P197:T197"/>
    <mergeCell ref="D118:E118"/>
    <mergeCell ref="P53:T53"/>
    <mergeCell ref="F9:G9"/>
    <mergeCell ref="D167:E167"/>
    <mergeCell ref="P264:T264"/>
    <mergeCell ref="P68:T68"/>
    <mergeCell ref="P253:V253"/>
    <mergeCell ref="P82:V82"/>
    <mergeCell ref="A44:Z44"/>
    <mergeCell ref="J275:J276"/>
    <mergeCell ref="L275:L276"/>
    <mergeCell ref="D52:E52"/>
    <mergeCell ref="P110:V110"/>
    <mergeCell ref="D27:E27"/>
    <mergeCell ref="P15:T16"/>
    <mergeCell ref="D116:E116"/>
    <mergeCell ref="A177:Z177"/>
    <mergeCell ref="D91:E91"/>
    <mergeCell ref="P23:T23"/>
    <mergeCell ref="D162:E162"/>
    <mergeCell ref="A41:O42"/>
    <mergeCell ref="D264:E264"/>
    <mergeCell ref="D157:E157"/>
    <mergeCell ref="P65:V65"/>
    <mergeCell ref="P136:V136"/>
    <mergeCell ref="D251:E251"/>
    <mergeCell ref="P74:T74"/>
    <mergeCell ref="P243:V243"/>
    <mergeCell ref="A190:Z190"/>
    <mergeCell ref="A19:Z19"/>
    <mergeCell ref="D182:E182"/>
    <mergeCell ref="A111:Z111"/>
    <mergeCell ref="A275:A276"/>
    <mergeCell ref="T6:U9"/>
    <mergeCell ref="Q10:R10"/>
    <mergeCell ref="A37:Z37"/>
    <mergeCell ref="P24:T24"/>
    <mergeCell ref="A13:M13"/>
    <mergeCell ref="A15:M15"/>
    <mergeCell ref="J9:M9"/>
    <mergeCell ref="D64:E64"/>
    <mergeCell ref="H5:M5"/>
    <mergeCell ref="D7:M7"/>
    <mergeCell ref="D5:E5"/>
    <mergeCell ref="P35:V35"/>
    <mergeCell ref="P39:T39"/>
    <mergeCell ref="P32:T32"/>
    <mergeCell ref="I275:I276"/>
    <mergeCell ref="P211:T211"/>
    <mergeCell ref="P260:T260"/>
    <mergeCell ref="A63:Z63"/>
    <mergeCell ref="P225:V225"/>
    <mergeCell ref="R275:R276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Q275:Q276"/>
    <mergeCell ref="P141:T141"/>
    <mergeCell ref="A65:O66"/>
    <mergeCell ref="D193:E193"/>
    <mergeCell ref="P206:T206"/>
    <mergeCell ref="A56:O57"/>
    <mergeCell ref="D114:E114"/>
    <mergeCell ref="T275:T276"/>
    <mergeCell ref="A38:Z38"/>
    <mergeCell ref="P28:V28"/>
    <mergeCell ref="A67:Z67"/>
    <mergeCell ref="A186:Z186"/>
    <mergeCell ref="D140:E140"/>
    <mergeCell ref="H17:H18"/>
    <mergeCell ref="P261:T261"/>
    <mergeCell ref="A207:O208"/>
    <mergeCell ref="D198:E198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D39:E39"/>
    <mergeCell ref="A160:Z160"/>
    <mergeCell ref="K275:K276"/>
    <mergeCell ref="P212:T212"/>
    <mergeCell ref="AA17:AA18"/>
    <mergeCell ref="H10:M10"/>
    <mergeCell ref="AC17:AC18"/>
    <mergeCell ref="P108:T108"/>
    <mergeCell ref="A72:Z72"/>
    <mergeCell ref="P251:T251"/>
    <mergeCell ref="A175:O176"/>
    <mergeCell ref="P45:T45"/>
    <mergeCell ref="A235:O236"/>
    <mergeCell ref="P149:V149"/>
    <mergeCell ref="A145:Z145"/>
    <mergeCell ref="A139:Z139"/>
    <mergeCell ref="A210:Z210"/>
    <mergeCell ref="D74:E74"/>
    <mergeCell ref="D201:E201"/>
    <mergeCell ref="D68:E68"/>
    <mergeCell ref="P245:T245"/>
    <mergeCell ref="P126:V126"/>
    <mergeCell ref="P224:T224"/>
    <mergeCell ref="P220:V220"/>
    <mergeCell ref="P213:V213"/>
    <mergeCell ref="A209:Z209"/>
    <mergeCell ref="A151:Z151"/>
    <mergeCell ref="P234:T234"/>
    <mergeCell ref="P256:T256"/>
    <mergeCell ref="V6:W9"/>
    <mergeCell ref="D199:E199"/>
    <mergeCell ref="A59:Z59"/>
    <mergeCell ref="A93:O94"/>
    <mergeCell ref="P193:T193"/>
    <mergeCell ref="P22:T22"/>
    <mergeCell ref="P40:T40"/>
    <mergeCell ref="P236:V236"/>
    <mergeCell ref="A8:C8"/>
    <mergeCell ref="A10:C10"/>
    <mergeCell ref="D250:E250"/>
    <mergeCell ref="A252:O253"/>
    <mergeCell ref="P154:V154"/>
    <mergeCell ref="A150:Z150"/>
    <mergeCell ref="A144:Z144"/>
    <mergeCell ref="A215:Z215"/>
    <mergeCell ref="D129:E129"/>
    <mergeCell ref="A184:O185"/>
    <mergeCell ref="P173:T173"/>
    <mergeCell ref="D81:E81"/>
    <mergeCell ref="D8:M8"/>
    <mergeCell ref="A148:O149"/>
    <mergeCell ref="A228:Z228"/>
    <mergeCell ref="P257:T257"/>
    <mergeCell ref="P80:T80"/>
    <mergeCell ref="Z17:Z18"/>
    <mergeCell ref="P29:V29"/>
    <mergeCell ref="AB17:AB18"/>
    <mergeCell ref="P271:V271"/>
    <mergeCell ref="P265:V265"/>
    <mergeCell ref="P94:V94"/>
    <mergeCell ref="A90:Z90"/>
    <mergeCell ref="P158:V158"/>
    <mergeCell ref="P98:T98"/>
    <mergeCell ref="D212:E212"/>
    <mergeCell ref="D146:E146"/>
    <mergeCell ref="A126:O127"/>
    <mergeCell ref="P219:V219"/>
    <mergeCell ref="P218:T218"/>
    <mergeCell ref="A192:Z192"/>
    <mergeCell ref="A21:Z21"/>
    <mergeCell ref="D173:E173"/>
    <mergeCell ref="D17:E18"/>
    <mergeCell ref="A213:O214"/>
    <mergeCell ref="X17:X18"/>
    <mergeCell ref="A188:O189"/>
    <mergeCell ref="A163:O164"/>
    <mergeCell ref="S275:S276"/>
    <mergeCell ref="D6:M6"/>
    <mergeCell ref="P266:V266"/>
    <mergeCell ref="P162:T162"/>
    <mergeCell ref="A85:Z85"/>
    <mergeCell ref="F275:F276"/>
    <mergeCell ref="P33:T33"/>
    <mergeCell ref="D256:E256"/>
    <mergeCell ref="A231:O232"/>
    <mergeCell ref="P57:V57"/>
    <mergeCell ref="G17:G18"/>
    <mergeCell ref="P184:V184"/>
    <mergeCell ref="P242:V242"/>
    <mergeCell ref="P121:V121"/>
    <mergeCell ref="D80:E80"/>
    <mergeCell ref="P42:V42"/>
    <mergeCell ref="Y275:Y276"/>
    <mergeCell ref="D274:U274"/>
    <mergeCell ref="O17:O18"/>
    <mergeCell ref="D33:E33"/>
    <mergeCell ref="F17:F18"/>
    <mergeCell ref="Q6:R6"/>
    <mergeCell ref="A204:Z204"/>
    <mergeCell ref="D25:E25"/>
    <mergeCell ref="AA275:AA276"/>
    <mergeCell ref="P148:V148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A155:Z155"/>
    <mergeCell ref="P268:V268"/>
    <mergeCell ref="Q13:R13"/>
    <mergeCell ref="P201:T201"/>
    <mergeCell ref="P114:T114"/>
    <mergeCell ref="P241:T241"/>
    <mergeCell ref="D22:E22"/>
    <mergeCell ref="A222:Z222"/>
    <mergeCell ref="M17:M18"/>
    <mergeCell ref="AC275:AC276"/>
    <mergeCell ref="D257:E257"/>
    <mergeCell ref="D86:E86"/>
    <mergeCell ref="P107:T107"/>
    <mergeCell ref="P101:T101"/>
    <mergeCell ref="P194:V194"/>
    <mergeCell ref="A103:O104"/>
    <mergeCell ref="A233:Z233"/>
    <mergeCell ref="A168:O169"/>
    <mergeCell ref="P131:V131"/>
    <mergeCell ref="A248:Z248"/>
    <mergeCell ref="P102:T102"/>
    <mergeCell ref="P189:V189"/>
    <mergeCell ref="P183:T183"/>
    <mergeCell ref="A106:Z106"/>
    <mergeCell ref="P199:T199"/>
    <mergeCell ref="D120:E120"/>
    <mergeCell ref="D107:E107"/>
    <mergeCell ref="D234:E234"/>
    <mergeCell ref="P263:T263"/>
    <mergeCell ref="P200:T200"/>
    <mergeCell ref="P134:T134"/>
    <mergeCell ref="D102:E102"/>
    <mergeCell ref="P208:V208"/>
    <mergeCell ref="P2:W3"/>
    <mergeCell ref="D241:E241"/>
    <mergeCell ref="P198:T198"/>
    <mergeCell ref="P54:T54"/>
    <mergeCell ref="A43:Z43"/>
    <mergeCell ref="A170:Z170"/>
    <mergeCell ref="D10:E10"/>
    <mergeCell ref="P64:T64"/>
    <mergeCell ref="Z275:Z276"/>
    <mergeCell ref="P135:T135"/>
    <mergeCell ref="A121:O122"/>
    <mergeCell ref="F10:G10"/>
    <mergeCell ref="D99:E99"/>
    <mergeCell ref="P66:V66"/>
    <mergeCell ref="D218:E218"/>
    <mergeCell ref="P137:V137"/>
    <mergeCell ref="A191:Z191"/>
    <mergeCell ref="D249:E249"/>
    <mergeCell ref="P262:T262"/>
    <mergeCell ref="A51:Z51"/>
    <mergeCell ref="A178:Z178"/>
    <mergeCell ref="X274:Z274"/>
    <mergeCell ref="N17:N18"/>
    <mergeCell ref="Q5:R5"/>
    <mergeCell ref="AD17:AF18"/>
    <mergeCell ref="P142:V142"/>
    <mergeCell ref="D101:E101"/>
    <mergeCell ref="A132:Z132"/>
    <mergeCell ref="F5:G5"/>
    <mergeCell ref="E275:E276"/>
    <mergeCell ref="A172:Z172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2026-01-16T11:11:21Z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