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4049F53-756B-469E-8B86-B8E928292F5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Y480" i="1" s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Y426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X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3" i="1"/>
  <c r="Y372" i="1"/>
  <c r="X372" i="1"/>
  <c r="BP371" i="1"/>
  <c r="BO371" i="1"/>
  <c r="BN371" i="1"/>
  <c r="BM371" i="1"/>
  <c r="Z371" i="1"/>
  <c r="Z372" i="1" s="1"/>
  <c r="Y371" i="1"/>
  <c r="Y373" i="1" s="1"/>
  <c r="P371" i="1"/>
  <c r="X369" i="1"/>
  <c r="Y368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BP201" i="1" s="1"/>
  <c r="P201" i="1"/>
  <c r="BO200" i="1"/>
  <c r="BM200" i="1"/>
  <c r="Y200" i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Y191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Y187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Z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Y155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30" i="1"/>
  <c r="X129" i="1"/>
  <c r="BO128" i="1"/>
  <c r="BM128" i="1"/>
  <c r="Y128" i="1"/>
  <c r="BP128" i="1" s="1"/>
  <c r="P128" i="1"/>
  <c r="BO127" i="1"/>
  <c r="BM127" i="1"/>
  <c r="Y127" i="1"/>
  <c r="G506" i="1" s="1"/>
  <c r="P127" i="1"/>
  <c r="X124" i="1"/>
  <c r="X123" i="1"/>
  <c r="BO122" i="1"/>
  <c r="BM122" i="1"/>
  <c r="Y122" i="1"/>
  <c r="Y123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6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94" i="1" l="1"/>
  <c r="BN94" i="1"/>
  <c r="Z94" i="1"/>
  <c r="BP132" i="1"/>
  <c r="BN132" i="1"/>
  <c r="Z132" i="1"/>
  <c r="BP171" i="1"/>
  <c r="BN171" i="1"/>
  <c r="Z171" i="1"/>
  <c r="BP206" i="1"/>
  <c r="BN206" i="1"/>
  <c r="Z206" i="1"/>
  <c r="BP229" i="1"/>
  <c r="BN229" i="1"/>
  <c r="Z229" i="1"/>
  <c r="BP234" i="1"/>
  <c r="BN234" i="1"/>
  <c r="Z234" i="1"/>
  <c r="BP263" i="1"/>
  <c r="BN263" i="1"/>
  <c r="Z263" i="1"/>
  <c r="BP300" i="1"/>
  <c r="BN300" i="1"/>
  <c r="Z300" i="1"/>
  <c r="BP330" i="1"/>
  <c r="BN330" i="1"/>
  <c r="Z330" i="1"/>
  <c r="BP357" i="1"/>
  <c r="BN357" i="1"/>
  <c r="Z357" i="1"/>
  <c r="BP400" i="1"/>
  <c r="BN400" i="1"/>
  <c r="Z400" i="1"/>
  <c r="BP433" i="1"/>
  <c r="BN433" i="1"/>
  <c r="Z433" i="1"/>
  <c r="BP453" i="1"/>
  <c r="BN453" i="1"/>
  <c r="Z453" i="1"/>
  <c r="X500" i="1"/>
  <c r="Z30" i="1"/>
  <c r="BN30" i="1"/>
  <c r="Z57" i="1"/>
  <c r="BN57" i="1"/>
  <c r="BP63" i="1"/>
  <c r="BN63" i="1"/>
  <c r="BP79" i="1"/>
  <c r="BN79" i="1"/>
  <c r="Z79" i="1"/>
  <c r="BP111" i="1"/>
  <c r="BN111" i="1"/>
  <c r="Z111" i="1"/>
  <c r="BP179" i="1"/>
  <c r="BN179" i="1"/>
  <c r="Z179" i="1"/>
  <c r="BN216" i="1"/>
  <c r="Z216" i="1"/>
  <c r="BP217" i="1"/>
  <c r="BN217" i="1"/>
  <c r="Z217" i="1"/>
  <c r="BP242" i="1"/>
  <c r="BN242" i="1"/>
  <c r="Z242" i="1"/>
  <c r="BP280" i="1"/>
  <c r="BN280" i="1"/>
  <c r="Z280" i="1"/>
  <c r="BP312" i="1"/>
  <c r="BN312" i="1"/>
  <c r="Z312" i="1"/>
  <c r="Y346" i="1"/>
  <c r="BP343" i="1"/>
  <c r="BN343" i="1"/>
  <c r="Z343" i="1"/>
  <c r="BP386" i="1"/>
  <c r="BN386" i="1"/>
  <c r="Z386" i="1"/>
  <c r="BP419" i="1"/>
  <c r="BN419" i="1"/>
  <c r="Z419" i="1"/>
  <c r="BP441" i="1"/>
  <c r="BN441" i="1"/>
  <c r="Z441" i="1"/>
  <c r="BP473" i="1"/>
  <c r="BN473" i="1"/>
  <c r="Z473" i="1"/>
  <c r="E506" i="1"/>
  <c r="F506" i="1"/>
  <c r="Y119" i="1"/>
  <c r="O506" i="1"/>
  <c r="Z28" i="1"/>
  <c r="BN28" i="1"/>
  <c r="Z42" i="1"/>
  <c r="BN42" i="1"/>
  <c r="D506" i="1"/>
  <c r="Z55" i="1"/>
  <c r="BN55" i="1"/>
  <c r="Z61" i="1"/>
  <c r="BN61" i="1"/>
  <c r="BP61" i="1"/>
  <c r="Z67" i="1"/>
  <c r="BN67" i="1"/>
  <c r="BP67" i="1"/>
  <c r="Y7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BP115" i="1"/>
  <c r="Z128" i="1"/>
  <c r="BN128" i="1"/>
  <c r="Y134" i="1"/>
  <c r="Z138" i="1"/>
  <c r="BN138" i="1"/>
  <c r="Z149" i="1"/>
  <c r="BN149" i="1"/>
  <c r="BP151" i="1"/>
  <c r="BN151" i="1"/>
  <c r="Y159" i="1"/>
  <c r="Y158" i="1"/>
  <c r="BP157" i="1"/>
  <c r="BN157" i="1"/>
  <c r="Z157" i="1"/>
  <c r="Z158" i="1" s="1"/>
  <c r="Y164" i="1"/>
  <c r="BP163" i="1"/>
  <c r="BN163" i="1"/>
  <c r="Z163" i="1"/>
  <c r="Z164" i="1" s="1"/>
  <c r="BP169" i="1"/>
  <c r="BN169" i="1"/>
  <c r="Z169" i="1"/>
  <c r="BP177" i="1"/>
  <c r="BN177" i="1"/>
  <c r="Z177" i="1"/>
  <c r="Y202" i="1"/>
  <c r="BP200" i="1"/>
  <c r="BN200" i="1"/>
  <c r="Z200" i="1"/>
  <c r="BP212" i="1"/>
  <c r="BN212" i="1"/>
  <c r="Z212" i="1"/>
  <c r="BP223" i="1"/>
  <c r="BN223" i="1"/>
  <c r="Z223" i="1"/>
  <c r="BP240" i="1"/>
  <c r="BN240" i="1"/>
  <c r="Z240" i="1"/>
  <c r="BP258" i="1"/>
  <c r="BN258" i="1"/>
  <c r="Z258" i="1"/>
  <c r="BP275" i="1"/>
  <c r="BN275" i="1"/>
  <c r="Z275" i="1"/>
  <c r="Q506" i="1"/>
  <c r="BP298" i="1"/>
  <c r="BN298" i="1"/>
  <c r="Z298" i="1"/>
  <c r="BP173" i="1"/>
  <c r="BN173" i="1"/>
  <c r="Z173" i="1"/>
  <c r="BP185" i="1"/>
  <c r="BN185" i="1"/>
  <c r="Z185" i="1"/>
  <c r="BP208" i="1"/>
  <c r="BN208" i="1"/>
  <c r="Z208" i="1"/>
  <c r="BP219" i="1"/>
  <c r="BN219" i="1"/>
  <c r="Z219" i="1"/>
  <c r="BP236" i="1"/>
  <c r="BN236" i="1"/>
  <c r="Z236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65" i="1"/>
  <c r="BN265" i="1"/>
  <c r="Z265" i="1"/>
  <c r="BP282" i="1"/>
  <c r="BN282" i="1"/>
  <c r="Z282" i="1"/>
  <c r="BP287" i="1"/>
  <c r="BN287" i="1"/>
  <c r="Z287" i="1"/>
  <c r="BP302" i="1"/>
  <c r="BN302" i="1"/>
  <c r="Z302" i="1"/>
  <c r="Y181" i="1"/>
  <c r="J506" i="1"/>
  <c r="Y214" i="1"/>
  <c r="Y284" i="1"/>
  <c r="Y283" i="1"/>
  <c r="BP316" i="1"/>
  <c r="BN316" i="1"/>
  <c r="Z316" i="1"/>
  <c r="BP332" i="1"/>
  <c r="BN332" i="1"/>
  <c r="Z332" i="1"/>
  <c r="BP345" i="1"/>
  <c r="BN345" i="1"/>
  <c r="Z345" i="1"/>
  <c r="BP351" i="1"/>
  <c r="BN351" i="1"/>
  <c r="Z351" i="1"/>
  <c r="Y363" i="1"/>
  <c r="BP361" i="1"/>
  <c r="BN361" i="1"/>
  <c r="Z361" i="1"/>
  <c r="BP388" i="1"/>
  <c r="BN388" i="1"/>
  <c r="Z388" i="1"/>
  <c r="BP394" i="1"/>
  <c r="BN394" i="1"/>
  <c r="Z394" i="1"/>
  <c r="BP402" i="1"/>
  <c r="BN402" i="1"/>
  <c r="Z402" i="1"/>
  <c r="Y425" i="1"/>
  <c r="W506" i="1"/>
  <c r="BP424" i="1"/>
  <c r="BN424" i="1"/>
  <c r="Z424" i="1"/>
  <c r="Z425" i="1" s="1"/>
  <c r="BP435" i="1"/>
  <c r="BN435" i="1"/>
  <c r="Z435" i="1"/>
  <c r="BP445" i="1"/>
  <c r="BN445" i="1"/>
  <c r="Z445" i="1"/>
  <c r="Z448" i="1" s="1"/>
  <c r="BP455" i="1"/>
  <c r="BN455" i="1"/>
  <c r="Z455" i="1"/>
  <c r="BP479" i="1"/>
  <c r="BN479" i="1"/>
  <c r="Z479" i="1"/>
  <c r="Y485" i="1"/>
  <c r="Y484" i="1"/>
  <c r="BP483" i="1"/>
  <c r="BN483" i="1"/>
  <c r="Z483" i="1"/>
  <c r="Z484" i="1" s="1"/>
  <c r="BP487" i="1"/>
  <c r="BN487" i="1"/>
  <c r="Z487" i="1"/>
  <c r="BP310" i="1"/>
  <c r="BN310" i="1"/>
  <c r="Z310" i="1"/>
  <c r="BP324" i="1"/>
  <c r="BN324" i="1"/>
  <c r="Z324" i="1"/>
  <c r="BP338" i="1"/>
  <c r="BN338" i="1"/>
  <c r="Z338" i="1"/>
  <c r="BP355" i="1"/>
  <c r="BN355" i="1"/>
  <c r="Z355" i="1"/>
  <c r="BP382" i="1"/>
  <c r="BN382" i="1"/>
  <c r="Z382" i="1"/>
  <c r="BP398" i="1"/>
  <c r="BN398" i="1"/>
  <c r="Z398" i="1"/>
  <c r="BP417" i="1"/>
  <c r="BN417" i="1"/>
  <c r="Z417" i="1"/>
  <c r="BP431" i="1"/>
  <c r="BN431" i="1"/>
  <c r="Z431" i="1"/>
  <c r="BP439" i="1"/>
  <c r="BN439" i="1"/>
  <c r="Z439" i="1"/>
  <c r="Y457" i="1"/>
  <c r="BP451" i="1"/>
  <c r="BN451" i="1"/>
  <c r="Z451" i="1"/>
  <c r="BP469" i="1"/>
  <c r="BN469" i="1"/>
  <c r="Z469" i="1"/>
  <c r="Y390" i="1"/>
  <c r="Y389" i="1"/>
  <c r="Y475" i="1"/>
  <c r="F9" i="1"/>
  <c r="J9" i="1"/>
  <c r="F10" i="1"/>
  <c r="Y25" i="1"/>
  <c r="Y33" i="1"/>
  <c r="Y37" i="1"/>
  <c r="Y45" i="1"/>
  <c r="Y49" i="1"/>
  <c r="Y58" i="1"/>
  <c r="Y64" i="1"/>
  <c r="Y70" i="1"/>
  <c r="Y76" i="1"/>
  <c r="Y82" i="1"/>
  <c r="Y89" i="1"/>
  <c r="Y97" i="1"/>
  <c r="Y106" i="1"/>
  <c r="Y112" i="1"/>
  <c r="Y120" i="1"/>
  <c r="Y124" i="1"/>
  <c r="Y129" i="1"/>
  <c r="Y135" i="1"/>
  <c r="Y139" i="1"/>
  <c r="Y146" i="1"/>
  <c r="Y154" i="1"/>
  <c r="Y182" i="1"/>
  <c r="Y188" i="1"/>
  <c r="Y192" i="1"/>
  <c r="Y197" i="1"/>
  <c r="Y203" i="1"/>
  <c r="Y213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BP274" i="1"/>
  <c r="BN274" i="1"/>
  <c r="Z274" i="1"/>
  <c r="BP301" i="1"/>
  <c r="BN301" i="1"/>
  <c r="Z301" i="1"/>
  <c r="BP309" i="1"/>
  <c r="BN309" i="1"/>
  <c r="Z309" i="1"/>
  <c r="Y313" i="1"/>
  <c r="BP317" i="1"/>
  <c r="BN317" i="1"/>
  <c r="Z317" i="1"/>
  <c r="Y321" i="1"/>
  <c r="BP325" i="1"/>
  <c r="BN325" i="1"/>
  <c r="Z325" i="1"/>
  <c r="Y327" i="1"/>
  <c r="Y334" i="1"/>
  <c r="BP329" i="1"/>
  <c r="BN329" i="1"/>
  <c r="Z329" i="1"/>
  <c r="Y333" i="1"/>
  <c r="BP337" i="1"/>
  <c r="BN337" i="1"/>
  <c r="Z337" i="1"/>
  <c r="Z339" i="1" s="1"/>
  <c r="Y339" i="1"/>
  <c r="BP377" i="1"/>
  <c r="BN377" i="1"/>
  <c r="Z377" i="1"/>
  <c r="Z378" i="1" s="1"/>
  <c r="Y379" i="1"/>
  <c r="Y384" i="1"/>
  <c r="BP381" i="1"/>
  <c r="BN381" i="1"/>
  <c r="Z381" i="1"/>
  <c r="Z383" i="1" s="1"/>
  <c r="Y383" i="1"/>
  <c r="H9" i="1"/>
  <c r="B506" i="1"/>
  <c r="X497" i="1"/>
  <c r="X498" i="1"/>
  <c r="Z23" i="1"/>
  <c r="Z24" i="1" s="1"/>
  <c r="BN23" i="1"/>
  <c r="Y24" i="1"/>
  <c r="X496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Z68" i="1"/>
  <c r="BN68" i="1"/>
  <c r="Z72" i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90" i="1"/>
  <c r="Z93" i="1"/>
  <c r="BN93" i="1"/>
  <c r="Z95" i="1"/>
  <c r="BN95" i="1"/>
  <c r="Z100" i="1"/>
  <c r="BN100" i="1"/>
  <c r="BP100" i="1"/>
  <c r="Z102" i="1"/>
  <c r="BN102" i="1"/>
  <c r="Z104" i="1"/>
  <c r="BN104" i="1"/>
  <c r="Y105" i="1"/>
  <c r="Z108" i="1"/>
  <c r="BN108" i="1"/>
  <c r="BP108" i="1"/>
  <c r="Z110" i="1"/>
  <c r="BN110" i="1"/>
  <c r="Z116" i="1"/>
  <c r="BN116" i="1"/>
  <c r="Z118" i="1"/>
  <c r="BN118" i="1"/>
  <c r="Z122" i="1"/>
  <c r="Z123" i="1" s="1"/>
  <c r="BN122" i="1"/>
  <c r="BP122" i="1"/>
  <c r="Z127" i="1"/>
  <c r="Z129" i="1" s="1"/>
  <c r="BN127" i="1"/>
  <c r="BP127" i="1"/>
  <c r="Y130" i="1"/>
  <c r="Z133" i="1"/>
  <c r="Z134" i="1" s="1"/>
  <c r="BN133" i="1"/>
  <c r="Z137" i="1"/>
  <c r="Z139" i="1" s="1"/>
  <c r="BN137" i="1"/>
  <c r="BP137" i="1"/>
  <c r="H506" i="1"/>
  <c r="Z144" i="1"/>
  <c r="Z145" i="1" s="1"/>
  <c r="BN144" i="1"/>
  <c r="Y145" i="1"/>
  <c r="Z148" i="1"/>
  <c r="BN148" i="1"/>
  <c r="BP148" i="1"/>
  <c r="Z150" i="1"/>
  <c r="BN150" i="1"/>
  <c r="Z152" i="1"/>
  <c r="BN152" i="1"/>
  <c r="I506" i="1"/>
  <c r="Y165" i="1"/>
  <c r="Z167" i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Z184" i="1"/>
  <c r="BN184" i="1"/>
  <c r="BP184" i="1"/>
  <c r="Z186" i="1"/>
  <c r="BN186" i="1"/>
  <c r="Z190" i="1"/>
  <c r="Z191" i="1" s="1"/>
  <c r="BN190" i="1"/>
  <c r="BP190" i="1"/>
  <c r="Z195" i="1"/>
  <c r="Z197" i="1" s="1"/>
  <c r="BN195" i="1"/>
  <c r="BP195" i="1"/>
  <c r="Y198" i="1"/>
  <c r="Z201" i="1"/>
  <c r="BN201" i="1"/>
  <c r="Z205" i="1"/>
  <c r="BN205" i="1"/>
  <c r="BP205" i="1"/>
  <c r="Z207" i="1"/>
  <c r="BN207" i="1"/>
  <c r="Z209" i="1"/>
  <c r="BN209" i="1"/>
  <c r="Z211" i="1"/>
  <c r="BN211" i="1"/>
  <c r="Y225" i="1"/>
  <c r="BP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Y260" i="1"/>
  <c r="BP257" i="1"/>
  <c r="BN257" i="1"/>
  <c r="Z257" i="1"/>
  <c r="BP266" i="1"/>
  <c r="BN266" i="1"/>
  <c r="Z266" i="1"/>
  <c r="BP288" i="1"/>
  <c r="BN288" i="1"/>
  <c r="Z288" i="1"/>
  <c r="Z289" i="1" s="1"/>
  <c r="Y290" i="1"/>
  <c r="Y295" i="1"/>
  <c r="BP292" i="1"/>
  <c r="BN292" i="1"/>
  <c r="Z292" i="1"/>
  <c r="Z294" i="1" s="1"/>
  <c r="Y294" i="1"/>
  <c r="BP352" i="1"/>
  <c r="BN352" i="1"/>
  <c r="Z352" i="1"/>
  <c r="S506" i="1"/>
  <c r="Y358" i="1"/>
  <c r="BP356" i="1"/>
  <c r="BN356" i="1"/>
  <c r="Z356" i="1"/>
  <c r="BP395" i="1"/>
  <c r="BN395" i="1"/>
  <c r="Z395" i="1"/>
  <c r="BP399" i="1"/>
  <c r="BN399" i="1"/>
  <c r="Z399" i="1"/>
  <c r="Y403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Y448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K506" i="1"/>
  <c r="Y244" i="1"/>
  <c r="L506" i="1"/>
  <c r="Y268" i="1"/>
  <c r="BP267" i="1"/>
  <c r="BN267" i="1"/>
  <c r="Z267" i="1"/>
  <c r="Y269" i="1"/>
  <c r="M506" i="1"/>
  <c r="Y277" i="1"/>
  <c r="BP272" i="1"/>
  <c r="BN272" i="1"/>
  <c r="Z272" i="1"/>
  <c r="Z276" i="1" s="1"/>
  <c r="Y276" i="1"/>
  <c r="BP281" i="1"/>
  <c r="BN281" i="1"/>
  <c r="Z281" i="1"/>
  <c r="Z283" i="1" s="1"/>
  <c r="BP299" i="1"/>
  <c r="BN299" i="1"/>
  <c r="Z299" i="1"/>
  <c r="BP303" i="1"/>
  <c r="BN303" i="1"/>
  <c r="Z303" i="1"/>
  <c r="Y305" i="1"/>
  <c r="Y314" i="1"/>
  <c r="BP307" i="1"/>
  <c r="BN307" i="1"/>
  <c r="Z307" i="1"/>
  <c r="BP311" i="1"/>
  <c r="BN311" i="1"/>
  <c r="Z311" i="1"/>
  <c r="Y320" i="1"/>
  <c r="BP319" i="1"/>
  <c r="BN319" i="1"/>
  <c r="Z319" i="1"/>
  <c r="Z320" i="1" s="1"/>
  <c r="Y326" i="1"/>
  <c r="BP323" i="1"/>
  <c r="BN323" i="1"/>
  <c r="Z323" i="1"/>
  <c r="Z326" i="1" s="1"/>
  <c r="BP331" i="1"/>
  <c r="BN331" i="1"/>
  <c r="Z331" i="1"/>
  <c r="Y340" i="1"/>
  <c r="BP344" i="1"/>
  <c r="BN344" i="1"/>
  <c r="Z344" i="1"/>
  <c r="Z346" i="1" s="1"/>
  <c r="Y359" i="1"/>
  <c r="BP354" i="1"/>
  <c r="BN354" i="1"/>
  <c r="Z354" i="1"/>
  <c r="BP362" i="1"/>
  <c r="BN362" i="1"/>
  <c r="Z362" i="1"/>
  <c r="Z363" i="1" s="1"/>
  <c r="Y364" i="1"/>
  <c r="Y369" i="1"/>
  <c r="BP366" i="1"/>
  <c r="BN366" i="1"/>
  <c r="Z366" i="1"/>
  <c r="Z368" i="1" s="1"/>
  <c r="BP387" i="1"/>
  <c r="BN387" i="1"/>
  <c r="Z387" i="1"/>
  <c r="Z389" i="1" s="1"/>
  <c r="U506" i="1"/>
  <c r="BP397" i="1"/>
  <c r="BN397" i="1"/>
  <c r="Z397" i="1"/>
  <c r="BP401" i="1"/>
  <c r="BN401" i="1"/>
  <c r="Z401" i="1"/>
  <c r="Y408" i="1"/>
  <c r="BP418" i="1"/>
  <c r="BN418" i="1"/>
  <c r="Z418" i="1"/>
  <c r="BP454" i="1"/>
  <c r="BN454" i="1"/>
  <c r="Z454" i="1"/>
  <c r="BP468" i="1"/>
  <c r="BN468" i="1"/>
  <c r="Z468" i="1"/>
  <c r="P506" i="1"/>
  <c r="Y289" i="1"/>
  <c r="Y304" i="1"/>
  <c r="R506" i="1"/>
  <c r="Y347" i="1"/>
  <c r="T506" i="1"/>
  <c r="Y378" i="1"/>
  <c r="Y404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9" i="1"/>
  <c r="Y506" i="1"/>
  <c r="Z213" i="1" l="1"/>
  <c r="Z202" i="1"/>
  <c r="Z187" i="1"/>
  <c r="Z154" i="1"/>
  <c r="Z76" i="1"/>
  <c r="Z69" i="1"/>
  <c r="Z58" i="1"/>
  <c r="Z313" i="1"/>
  <c r="Z304" i="1"/>
  <c r="Z96" i="1"/>
  <c r="Y498" i="1"/>
  <c r="Z259" i="1"/>
  <c r="Z403" i="1"/>
  <c r="Z358" i="1"/>
  <c r="Z268" i="1"/>
  <c r="Z119" i="1"/>
  <c r="Y497" i="1"/>
  <c r="Y499" i="1" s="1"/>
  <c r="Z243" i="1"/>
  <c r="Z225" i="1"/>
  <c r="Z470" i="1"/>
  <c r="Z181" i="1"/>
  <c r="Z112" i="1"/>
  <c r="Z105" i="1"/>
  <c r="Z89" i="1"/>
  <c r="Z44" i="1"/>
  <c r="Z32" i="1"/>
  <c r="Y500" i="1"/>
  <c r="X499" i="1"/>
  <c r="Z333" i="1"/>
  <c r="Y496" i="1"/>
  <c r="Z442" i="1"/>
  <c r="Z420" i="1"/>
  <c r="Z501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<sst xmlns="http://schemas.openxmlformats.org/spreadsheetml/2006/main" count="2386" uniqueCount="785">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</sst>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46037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Четверг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0.45833333333333331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670</v>
      </c>
      <c r="Y41" s="556">
        <f>IFERROR(IF(X41="",0,CEILING((X41/$H41),1)*$H41),"")</f>
        <v>680.40000000000009</v>
      </c>
      <c r="Z41" s="36">
        <f>IFERROR(IF(Y41=0,"",ROUNDUP(Y41/H41,0)*0.01898),"")</f>
        <v>1.19574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695.43518518518522</v>
      </c>
      <c r="BN41" s="64">
        <f>IFERROR(Y41*I41/H41,"0")</f>
        <v>706.23000000000013</v>
      </c>
      <c r="BO41" s="64">
        <f>IFERROR(1/J41*(X41/H41),"0")</f>
        <v>0.96932870370370361</v>
      </c>
      <c r="BP41" s="64">
        <f>IFERROR(1/J41*(Y41/H41),"0")</f>
        <v>0.98437500000000011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80</v>
      </c>
      <c r="Y43" s="556">
        <f>IFERROR(IF(X43="",0,CEILING((X43/$H43),1)*$H43),"")</f>
        <v>80</v>
      </c>
      <c r="Z43" s="36">
        <f>IFERROR(IF(Y43=0,"",ROUNDUP(Y43/H43,0)*0.00902),"")</f>
        <v>0.1804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83.800000000000011</v>
      </c>
      <c r="BN43" s="64">
        <f>IFERROR(Y43*I43/H43,"0")</f>
        <v>83.800000000000011</v>
      </c>
      <c r="BO43" s="64">
        <f>IFERROR(1/J43*(X43/H43),"0")</f>
        <v>0.15151515151515152</v>
      </c>
      <c r="BP43" s="64">
        <f>IFERROR(1/J43*(Y43/H43),"0")</f>
        <v>0.15151515151515152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82.037037037037038</v>
      </c>
      <c r="Y44" s="557">
        <f>IFERROR(Y41/H41,"0")+IFERROR(Y42/H42,"0")+IFERROR(Y43/H43,"0")</f>
        <v>83</v>
      </c>
      <c r="Z44" s="557">
        <f>IFERROR(IF(Z41="",0,Z41),"0")+IFERROR(IF(Z42="",0,Z42),"0")+IFERROR(IF(Z43="",0,Z43),"0")</f>
        <v>1.3761399999999999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750</v>
      </c>
      <c r="Y45" s="557">
        <f>IFERROR(SUM(Y41:Y43),"0")</f>
        <v>760.40000000000009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2400</v>
      </c>
      <c r="Y53" s="556">
        <f t="shared" si="0"/>
        <v>2408.4</v>
      </c>
      <c r="Z53" s="36">
        <f>IFERROR(IF(Y53=0,"",ROUNDUP(Y53/H53,0)*0.01898),"")</f>
        <v>4.2325400000000002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2491.1111111111113</v>
      </c>
      <c r="BN53" s="64">
        <f t="shared" si="2"/>
        <v>2499.8300000000004</v>
      </c>
      <c r="BO53" s="64">
        <f t="shared" si="3"/>
        <v>3.4722222222222219</v>
      </c>
      <c r="BP53" s="64">
        <f t="shared" si="4"/>
        <v>3.484375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1200</v>
      </c>
      <c r="Y57" s="556">
        <f t="shared" si="0"/>
        <v>1201.5</v>
      </c>
      <c r="Z57" s="36">
        <f>IFERROR(IF(Y57=0,"",ROUNDUP(Y57/H57,0)*0.00902),"")</f>
        <v>2.4083399999999999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1250.666666666667</v>
      </c>
      <c r="BN57" s="64">
        <f t="shared" si="2"/>
        <v>1252.2300000000002</v>
      </c>
      <c r="BO57" s="64">
        <f t="shared" si="3"/>
        <v>2.0202020202020203</v>
      </c>
      <c r="BP57" s="64">
        <f t="shared" si="4"/>
        <v>2.0227272727272729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488.88888888888891</v>
      </c>
      <c r="Y58" s="557">
        <f>IFERROR(Y52/H52,"0")+IFERROR(Y53/H53,"0")+IFERROR(Y54/H54,"0")+IFERROR(Y55/H55,"0")+IFERROR(Y56/H56,"0")+IFERROR(Y57/H57,"0")</f>
        <v>490</v>
      </c>
      <c r="Z58" s="557">
        <f>IFERROR(IF(Z52="",0,Z52),"0")+IFERROR(IF(Z53="",0,Z53),"0")+IFERROR(IF(Z54="",0,Z54),"0")+IFERROR(IF(Z55="",0,Z55),"0")+IFERROR(IF(Z56="",0,Z56),"0")+IFERROR(IF(Z57="",0,Z57),"0")</f>
        <v>6.6408800000000001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3600</v>
      </c>
      <c r="Y59" s="557">
        <f>IFERROR(SUM(Y52:Y57),"0")</f>
        <v>3609.9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491</v>
      </c>
      <c r="Y63" s="556">
        <f>IFERROR(IF(X63="",0,CEILING((X63/$H63),1)*$H63),"")</f>
        <v>491.40000000000003</v>
      </c>
      <c r="Z63" s="36">
        <f>IFERROR(IF(Y63=0,"",ROUNDUP(Y63/H63,0)*0.00651),"")</f>
        <v>1.18482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523.73333333333323</v>
      </c>
      <c r="BN63" s="64">
        <f>IFERROR(Y63*I63/H63,"0")</f>
        <v>524.16</v>
      </c>
      <c r="BO63" s="64">
        <f>IFERROR(1/J63*(X63/H63),"0")</f>
        <v>0.99918599918599926</v>
      </c>
      <c r="BP63" s="64">
        <f>IFERROR(1/J63*(Y63/H63),"0")</f>
        <v>1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181.85185185185185</v>
      </c>
      <c r="Y64" s="557">
        <f>IFERROR(Y61/H61,"0")+IFERROR(Y62/H62,"0")+IFERROR(Y63/H63,"0")</f>
        <v>182</v>
      </c>
      <c r="Z64" s="557">
        <f>IFERROR(IF(Z61="",0,Z61),"0")+IFERROR(IF(Z62="",0,Z62),"0")+IFERROR(IF(Z63="",0,Z63),"0")</f>
        <v>1.18482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491</v>
      </c>
      <c r="Y65" s="557">
        <f>IFERROR(SUM(Y61:Y63),"0")</f>
        <v>491.40000000000003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300</v>
      </c>
      <c r="Y85" s="556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311.38888888888891</v>
      </c>
      <c r="BN85" s="64">
        <f>IFERROR(Y85*I85/H85,"0")</f>
        <v>313.88</v>
      </c>
      <c r="BO85" s="64">
        <f>IFERROR(1/J85*(X85/H85),"0")</f>
        <v>0.43402777777777773</v>
      </c>
      <c r="BP85" s="64">
        <f>IFERROR(1/J85*(Y85/H85),"0")</f>
        <v>0.4375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270</v>
      </c>
      <c r="Y88" s="556">
        <f>IFERROR(IF(X88="",0,CEILING((X88/$H88),1)*$H88),"")</f>
        <v>270</v>
      </c>
      <c r="Z88" s="36">
        <f>IFERROR(IF(Y88=0,"",ROUNDUP(Y88/H88,0)*0.00902),"")</f>
        <v>0.54120000000000001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281.40000000000003</v>
      </c>
      <c r="BN88" s="64">
        <f>IFERROR(Y88*I88/H88,"0")</f>
        <v>281.40000000000003</v>
      </c>
      <c r="BO88" s="64">
        <f>IFERROR(1/J88*(X88/H88),"0")</f>
        <v>0.45454545454545459</v>
      </c>
      <c r="BP88" s="64">
        <f>IFERROR(1/J88*(Y88/H88),"0")</f>
        <v>0.45454545454545459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87.777777777777771</v>
      </c>
      <c r="Y89" s="557">
        <f>IFERROR(Y85/H85,"0")+IFERROR(Y86/H86,"0")+IFERROR(Y87/H87,"0")+IFERROR(Y88/H88,"0")</f>
        <v>88</v>
      </c>
      <c r="Z89" s="557">
        <f>IFERROR(IF(Z85="",0,Z85),"0")+IFERROR(IF(Z86="",0,Z86),"0")+IFERROR(IF(Z87="",0,Z87),"0")+IFERROR(IF(Z88="",0,Z88),"0")</f>
        <v>1.07264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570</v>
      </c>
      <c r="Y90" s="557">
        <f>IFERROR(SUM(Y85:Y88),"0")</f>
        <v>572.40000000000009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150</v>
      </c>
      <c r="Y92" s="556">
        <f>IFERROR(IF(X92="",0,CEILING((X92/$H92),1)*$H92),"")</f>
        <v>153.9</v>
      </c>
      <c r="Z92" s="36">
        <f>IFERROR(IF(Y92=0,"",ROUNDUP(Y92/H92,0)*0.01898),"")</f>
        <v>0.36062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159.14814814814815</v>
      </c>
      <c r="BN92" s="64">
        <f>IFERROR(Y92*I92/H92,"0")</f>
        <v>163.286</v>
      </c>
      <c r="BO92" s="64">
        <f>IFERROR(1/J92*(X92/H92),"0")</f>
        <v>0.28935185185185186</v>
      </c>
      <c r="BP92" s="64">
        <f>IFERROR(1/J92*(Y92/H92),"0")</f>
        <v>0.296875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18.518518518518519</v>
      </c>
      <c r="Y96" s="557">
        <f>IFERROR(Y92/H92,"0")+IFERROR(Y93/H93,"0")+IFERROR(Y94/H94,"0")+IFERROR(Y95/H95,"0")</f>
        <v>19</v>
      </c>
      <c r="Z96" s="557">
        <f>IFERROR(IF(Z92="",0,Z92),"0")+IFERROR(IF(Z93="",0,Z93),"0")+IFERROR(IF(Z94="",0,Z94),"0")+IFERROR(IF(Z95="",0,Z95),"0")</f>
        <v>0.36062</v>
      </c>
      <c r="AA96" s="558"/>
      <c r="AB96" s="558"/>
      <c r="AC96" s="558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150</v>
      </c>
      <c r="Y97" s="557">
        <f>IFERROR(SUM(Y92:Y95),"0")</f>
        <v>153.9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hidden="1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600</v>
      </c>
      <c r="Y115" s="556">
        <f>IFERROR(IF(X115="",0,CEILING((X115/$H115),1)*$H115),"")</f>
        <v>607.5</v>
      </c>
      <c r="Z115" s="36">
        <f>IFERROR(IF(Y115=0,"",ROUNDUP(Y115/H115,0)*0.01898),"")</f>
        <v>1.4235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636.14814814814804</v>
      </c>
      <c r="BN115" s="64">
        <f>IFERROR(Y115*I115/H115,"0")</f>
        <v>644.09999999999991</v>
      </c>
      <c r="BO115" s="64">
        <f>IFERROR(1/J115*(X115/H115),"0")</f>
        <v>1.1574074074074074</v>
      </c>
      <c r="BP115" s="64">
        <f>IFERROR(1/J115*(Y115/H115),"0")</f>
        <v>1.171875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74.074074074074076</v>
      </c>
      <c r="Y119" s="557">
        <f>IFERROR(Y115/H115,"0")+IFERROR(Y116/H116,"0")+IFERROR(Y117/H117,"0")+IFERROR(Y118/H118,"0")</f>
        <v>75</v>
      </c>
      <c r="Z119" s="557">
        <f>IFERROR(IF(Z115="",0,Z115),"0")+IFERROR(IF(Z116="",0,Z116),"0")+IFERROR(IF(Z117="",0,Z117),"0")+IFERROR(IF(Z118="",0,Z118),"0")</f>
        <v>1.4235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600</v>
      </c>
      <c r="Y120" s="557">
        <f>IFERROR(SUM(Y115:Y118),"0")</f>
        <v>607.5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25</v>
      </c>
      <c r="Y150" s="556">
        <f t="shared" si="5"/>
        <v>25.200000000000003</v>
      </c>
      <c r="Z150" s="36">
        <f>IFERROR(IF(Y150=0,"",ROUNDUP(Y150/H150,0)*0.00651),"")</f>
        <v>3.9059999999999997E-2</v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26.607142857142858</v>
      </c>
      <c r="BN150" s="64">
        <f t="shared" si="7"/>
        <v>26.82</v>
      </c>
      <c r="BO150" s="64">
        <f t="shared" si="8"/>
        <v>3.2705389848246995E-2</v>
      </c>
      <c r="BP150" s="64">
        <f t="shared" si="9"/>
        <v>3.2967032967032968E-2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5.9523809523809526</v>
      </c>
      <c r="Y154" s="557">
        <f>IFERROR(Y148/H148,"0")+IFERROR(Y149/H149,"0")+IFERROR(Y150/H150,"0")+IFERROR(Y151/H151,"0")+IFERROR(Y152/H152,"0")+IFERROR(Y153/H153,"0")</f>
        <v>6</v>
      </c>
      <c r="Z154" s="557">
        <f>IFERROR(IF(Z148="",0,Z148),"0")+IFERROR(IF(Z149="",0,Z149),"0")+IFERROR(IF(Z150="",0,Z150),"0")+IFERROR(IF(Z151="",0,Z151),"0")+IFERROR(IF(Z152="",0,Z152),"0")+IFERROR(IF(Z153="",0,Z153),"0")</f>
        <v>3.9059999999999997E-2</v>
      </c>
      <c r="AA154" s="558"/>
      <c r="AB154" s="558"/>
      <c r="AC154" s="558"/>
    </row>
    <row r="155" spans="1:68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25</v>
      </c>
      <c r="Y155" s="557">
        <f>IFERROR(SUM(Y148:Y153),"0")</f>
        <v>25.200000000000003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hidden="1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200</v>
      </c>
      <c r="Y205" s="556">
        <f t="shared" ref="Y205:Y212" si="15">IFERROR(IF(X205="",0,CEILING((X205/$H205),1)*$H205),"")</f>
        <v>205.20000000000002</v>
      </c>
      <c r="Z205" s="36">
        <f>IFERROR(IF(Y205=0,"",ROUNDUP(Y205/H205,0)*0.00902),"")</f>
        <v>0.34276000000000001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207.03703703703701</v>
      </c>
      <c r="BN205" s="64">
        <f t="shared" ref="BN205:BN212" si="17">IFERROR(Y205*I205/H205,"0")</f>
        <v>212.42</v>
      </c>
      <c r="BO205" s="64">
        <f t="shared" ref="BO205:BO212" si="18">IFERROR(1/J205*(X205/H205),"0")</f>
        <v>0.28058361391694725</v>
      </c>
      <c r="BP205" s="64">
        <f t="shared" ref="BP205:BP212" si="19">IFERROR(1/J205*(Y205/H205),"0")</f>
        <v>0.2878787878787879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100</v>
      </c>
      <c r="Y206" s="556">
        <f t="shared" si="15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103.5185185185185</v>
      </c>
      <c r="BN206" s="64">
        <f t="shared" si="17"/>
        <v>106.21</v>
      </c>
      <c r="BO206" s="64">
        <f t="shared" si="18"/>
        <v>0.14029180695847362</v>
      </c>
      <c r="BP206" s="64">
        <f t="shared" si="19"/>
        <v>0.14393939393939395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200</v>
      </c>
      <c r="Y207" s="556">
        <f t="shared" si="15"/>
        <v>205.20000000000002</v>
      </c>
      <c r="Z207" s="36">
        <f>IFERROR(IF(Y207=0,"",ROUNDUP(Y207/H207,0)*0.00902),"")</f>
        <v>0.34276000000000001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207.03703703703701</v>
      </c>
      <c r="BN207" s="64">
        <f t="shared" si="17"/>
        <v>212.42</v>
      </c>
      <c r="BO207" s="64">
        <f t="shared" si="18"/>
        <v>0.28058361391694725</v>
      </c>
      <c r="BP207" s="64">
        <f t="shared" si="19"/>
        <v>0.2878787878787879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100</v>
      </c>
      <c r="Y208" s="556">
        <f t="shared" si="15"/>
        <v>102.60000000000001</v>
      </c>
      <c r="Z208" s="36">
        <f>IFERROR(IF(Y208=0,"",ROUNDUP(Y208/H208,0)*0.00902),"")</f>
        <v>0.17138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103.5185185185185</v>
      </c>
      <c r="BN208" s="64">
        <f t="shared" si="17"/>
        <v>106.21</v>
      </c>
      <c r="BO208" s="64">
        <f t="shared" si="18"/>
        <v>0.14029180695847362</v>
      </c>
      <c r="BP208" s="64">
        <f t="shared" si="19"/>
        <v>0.14393939393939395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111.11111111111111</v>
      </c>
      <c r="Y213" s="557">
        <f>IFERROR(Y205/H205,"0")+IFERROR(Y206/H206,"0")+IFERROR(Y207/H207,"0")+IFERROR(Y208/H208,"0")+IFERROR(Y209/H209,"0")+IFERROR(Y210/H210,"0")+IFERROR(Y211/H211,"0")+IFERROR(Y212/H212,"0")</f>
        <v>114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1.0282800000000001</v>
      </c>
      <c r="AA213" s="558"/>
      <c r="AB213" s="558"/>
      <c r="AC213" s="558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600</v>
      </c>
      <c r="Y214" s="557">
        <f>IFERROR(SUM(Y205:Y212),"0")</f>
        <v>615.6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0</v>
      </c>
      <c r="Y225" s="557">
        <f>IFERROR(Y216/H216,"0")+IFERROR(Y217/H217,"0")+IFERROR(Y218/H218,"0")+IFERROR(Y219/H219,"0")+IFERROR(Y220/H220,"0")+IFERROR(Y221/H221,"0")+IFERROR(Y222/H222,"0")+IFERROR(Y223/H223,"0")+IFERROR(Y224/H224,"0")</f>
        <v>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8"/>
      <c r="AB225" s="558"/>
      <c r="AC225" s="558"/>
    </row>
    <row r="226" spans="1:68" hidden="1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0</v>
      </c>
      <c r="Y226" s="557">
        <f>IFERROR(SUM(Y216:Y224),"0")</f>
        <v>0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150</v>
      </c>
      <c r="Y263" s="556">
        <f>IFERROR(IF(X263="",0,CEILING((X263/$H263),1)*$H263),"")</f>
        <v>151.20000000000002</v>
      </c>
      <c r="Z263" s="36">
        <f>IFERROR(IF(Y263=0,"",ROUNDUP(Y263/H263,0)*0.01898),"")</f>
        <v>0.26572000000000001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155.69444444444446</v>
      </c>
      <c r="BN263" s="64">
        <f>IFERROR(Y263*I263/H263,"0")</f>
        <v>156.94</v>
      </c>
      <c r="BO263" s="64">
        <f>IFERROR(1/J263*(X263/H263),"0")</f>
        <v>0.21701388888888887</v>
      </c>
      <c r="BP263" s="64">
        <f>IFERROR(1/J263*(Y263/H263),"0")</f>
        <v>0.21875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13.888888888888888</v>
      </c>
      <c r="Y268" s="557">
        <f>IFERROR(Y263/H263,"0")+IFERROR(Y264/H264,"0")+IFERROR(Y265/H265,"0")+IFERROR(Y266/H266,"0")+IFERROR(Y267/H267,"0")</f>
        <v>14</v>
      </c>
      <c r="Z268" s="557">
        <f>IFERROR(IF(Z263="",0,Z263),"0")+IFERROR(IF(Z264="",0,Z264),"0")+IFERROR(IF(Z265="",0,Z265),"0")+IFERROR(IF(Z266="",0,Z266),"0")+IFERROR(IF(Z267="",0,Z267),"0")</f>
        <v>0.26572000000000001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150</v>
      </c>
      <c r="Y269" s="557">
        <f>IFERROR(SUM(Y263:Y267),"0")</f>
        <v>151.20000000000002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36</v>
      </c>
      <c r="Y292" s="556">
        <f>IFERROR(IF(X292="",0,CEILING((X292/$H292),1)*$H292),"")</f>
        <v>36</v>
      </c>
      <c r="Z292" s="36">
        <f>IFERROR(IF(Y292=0,"",ROUNDUP(Y292/H292,0)*0.00902),"")</f>
        <v>9.0200000000000002E-2</v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37.9</v>
      </c>
      <c r="BN292" s="64">
        <f>IFERROR(Y292*I292/H292,"0")</f>
        <v>37.9</v>
      </c>
      <c r="BO292" s="64">
        <f>IFERROR(1/J292*(X292/H292),"0")</f>
        <v>7.575757575757576E-2</v>
      </c>
      <c r="BP292" s="64">
        <f>IFERROR(1/J292*(Y292/H292),"0")</f>
        <v>7.575757575757576E-2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10</v>
      </c>
      <c r="Y294" s="557">
        <f>IFERROR(Y292/H292,"0")+IFERROR(Y293/H293,"0")</f>
        <v>10</v>
      </c>
      <c r="Z294" s="557">
        <f>IFERROR(IF(Z292="",0,Z292),"0")+IFERROR(IF(Z293="",0,Z293),"0")</f>
        <v>9.0200000000000002E-2</v>
      </c>
      <c r="AA294" s="558"/>
      <c r="AB294" s="558"/>
      <c r="AC294" s="558"/>
    </row>
    <row r="295" spans="1:68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36</v>
      </c>
      <c r="Y295" s="557">
        <f>IFERROR(SUM(Y292:Y293),"0")</f>
        <v>36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1800</v>
      </c>
      <c r="Y298" s="556">
        <f t="shared" ref="Y298:Y303" si="31">IFERROR(IF(X298="",0,CEILING((X298/$H298),1)*$H298),"")</f>
        <v>1803.6000000000001</v>
      </c>
      <c r="Z298" s="36">
        <f>IFERROR(IF(Y298=0,"",ROUNDUP(Y298/H298,0)*0.01898),"")</f>
        <v>3.1696599999999999</v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1868.3333333333333</v>
      </c>
      <c r="BN298" s="64">
        <f t="shared" ref="BN298:BN303" si="33">IFERROR(Y298*I298/H298,"0")</f>
        <v>1872.0700000000002</v>
      </c>
      <c r="BO298" s="64">
        <f t="shared" ref="BO298:BO303" si="34">IFERROR(1/J298*(X298/H298),"0")</f>
        <v>2.6041666666666665</v>
      </c>
      <c r="BP298" s="64">
        <f t="shared" ref="BP298:BP303" si="35">IFERROR(1/J298*(Y298/H298),"0")</f>
        <v>2.609375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250</v>
      </c>
      <c r="Y299" s="556">
        <f t="shared" si="31"/>
        <v>259.20000000000005</v>
      </c>
      <c r="Z299" s="36">
        <f>IFERROR(IF(Y299=0,"",ROUNDUP(Y299/H299,0)*0.01898),"")</f>
        <v>0.45552000000000004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259.4907407407407</v>
      </c>
      <c r="BN299" s="64">
        <f t="shared" si="33"/>
        <v>269.04000000000002</v>
      </c>
      <c r="BO299" s="64">
        <f t="shared" si="34"/>
        <v>0.36168981481481477</v>
      </c>
      <c r="BP299" s="64">
        <f t="shared" si="35"/>
        <v>0.37500000000000006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250</v>
      </c>
      <c r="Y300" s="556">
        <f t="shared" si="31"/>
        <v>259.20000000000005</v>
      </c>
      <c r="Z300" s="36">
        <f>IFERROR(IF(Y300=0,"",ROUNDUP(Y300/H300,0)*0.01898),"")</f>
        <v>0.45552000000000004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259.4907407407407</v>
      </c>
      <c r="BN300" s="64">
        <f t="shared" si="33"/>
        <v>269.04000000000002</v>
      </c>
      <c r="BO300" s="64">
        <f t="shared" si="34"/>
        <v>0.36168981481481477</v>
      </c>
      <c r="BP300" s="64">
        <f t="shared" si="35"/>
        <v>0.37500000000000006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528</v>
      </c>
      <c r="Y303" s="556">
        <f t="shared" si="31"/>
        <v>528</v>
      </c>
      <c r="Z303" s="36">
        <f>IFERROR(IF(Y303=0,"",ROUNDUP(Y303/H303,0)*0.00902),"")</f>
        <v>1.1906400000000001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553.08000000000004</v>
      </c>
      <c r="BN303" s="64">
        <f t="shared" si="33"/>
        <v>553.08000000000004</v>
      </c>
      <c r="BO303" s="64">
        <f t="shared" si="34"/>
        <v>1</v>
      </c>
      <c r="BP303" s="64">
        <f t="shared" si="35"/>
        <v>1</v>
      </c>
    </row>
    <row r="304" spans="1:68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344.96296296296293</v>
      </c>
      <c r="Y304" s="557">
        <f>IFERROR(Y298/H298,"0")+IFERROR(Y299/H299,"0")+IFERROR(Y300/H300,"0")+IFERROR(Y301/H301,"0")+IFERROR(Y302/H302,"0")+IFERROR(Y303/H303,"0")</f>
        <v>347</v>
      </c>
      <c r="Z304" s="557">
        <f>IFERROR(IF(Z298="",0,Z298),"0")+IFERROR(IF(Z299="",0,Z299),"0")+IFERROR(IF(Z300="",0,Z300),"0")+IFERROR(IF(Z301="",0,Z301),"0")+IFERROR(IF(Z302="",0,Z302),"0")+IFERROR(IF(Z303="",0,Z303),"0")</f>
        <v>5.2713400000000004</v>
      </c>
      <c r="AA304" s="558"/>
      <c r="AB304" s="558"/>
      <c r="AC304" s="558"/>
    </row>
    <row r="305" spans="1:68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2828</v>
      </c>
      <c r="Y305" s="557">
        <f>IFERROR(SUM(Y298:Y303),"0")</f>
        <v>2850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150</v>
      </c>
      <c r="Y307" s="556">
        <f t="shared" ref="Y307:Y312" si="36">IFERROR(IF(X307="",0,CEILING((X307/$H307),1)*$H307),"")</f>
        <v>151.20000000000002</v>
      </c>
      <c r="Z307" s="36">
        <f>IFERROR(IF(Y307=0,"",ROUNDUP(Y307/H307,0)*0.00902),"")</f>
        <v>0.32472000000000001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158.92857142857142</v>
      </c>
      <c r="BN307" s="64">
        <f t="shared" ref="BN307:BN312" si="38">IFERROR(Y307*I307/H307,"0")</f>
        <v>160.20000000000002</v>
      </c>
      <c r="BO307" s="64">
        <f t="shared" ref="BO307:BO312" si="39">IFERROR(1/J307*(X307/H307),"0")</f>
        <v>0.27056277056277056</v>
      </c>
      <c r="BP307" s="64">
        <f t="shared" ref="BP307:BP312" si="40">IFERROR(1/J307*(Y307/H307),"0")</f>
        <v>0.27272727272727271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150</v>
      </c>
      <c r="Y308" s="556">
        <f t="shared" si="36"/>
        <v>151.20000000000002</v>
      </c>
      <c r="Z308" s="36">
        <f>IFERROR(IF(Y308=0,"",ROUNDUP(Y308/H308,0)*0.00902),"")</f>
        <v>0.32472000000000001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158.92857142857142</v>
      </c>
      <c r="BN308" s="64">
        <f t="shared" si="38"/>
        <v>160.20000000000002</v>
      </c>
      <c r="BO308" s="64">
        <f t="shared" si="39"/>
        <v>0.27056277056277056</v>
      </c>
      <c r="BP308" s="64">
        <f t="shared" si="40"/>
        <v>0.27272727272727271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71.428571428571431</v>
      </c>
      <c r="Y313" s="557">
        <f>IFERROR(Y307/H307,"0")+IFERROR(Y308/H308,"0")+IFERROR(Y309/H309,"0")+IFERROR(Y310/H310,"0")+IFERROR(Y311/H311,"0")+IFERROR(Y312/H312,"0")</f>
        <v>72</v>
      </c>
      <c r="Z313" s="557">
        <f>IFERROR(IF(Z307="",0,Z307),"0")+IFERROR(IF(Z308="",0,Z308),"0")+IFERROR(IF(Z309="",0,Z309),"0")+IFERROR(IF(Z310="",0,Z310),"0")+IFERROR(IF(Z311="",0,Z311),"0")+IFERROR(IF(Z312="",0,Z312),"0")</f>
        <v>0.64944000000000002</v>
      </c>
      <c r="AA313" s="558"/>
      <c r="AB313" s="558"/>
      <c r="AC313" s="558"/>
    </row>
    <row r="314" spans="1:68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300</v>
      </c>
      <c r="Y314" s="557">
        <f>IFERROR(SUM(Y307:Y312),"0")</f>
        <v>302.40000000000003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1800</v>
      </c>
      <c r="Y316" s="556">
        <f>IFERROR(IF(X316="",0,CEILING((X316/$H316),1)*$H316),"")</f>
        <v>1801.8</v>
      </c>
      <c r="Z316" s="36">
        <f>IFERROR(IF(Y316=0,"",ROUNDUP(Y316/H316,0)*0.01898),"")</f>
        <v>4.3843800000000002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1912.6153846153845</v>
      </c>
      <c r="BN316" s="64">
        <f>IFERROR(Y316*I316/H316,"0")</f>
        <v>1914.528</v>
      </c>
      <c r="BO316" s="64">
        <f>IFERROR(1/J316*(X316/H316),"0")</f>
        <v>3.6057692307692308</v>
      </c>
      <c r="BP316" s="64">
        <f>IFERROR(1/J316*(Y316/H316),"0")</f>
        <v>3.609375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230.76923076923077</v>
      </c>
      <c r="Y320" s="557">
        <f>IFERROR(Y316/H316,"0")+IFERROR(Y317/H317,"0")+IFERROR(Y318/H318,"0")+IFERROR(Y319/H319,"0")</f>
        <v>231</v>
      </c>
      <c r="Z320" s="557">
        <f>IFERROR(IF(Z316="",0,Z316),"0")+IFERROR(IF(Z317="",0,Z317),"0")+IFERROR(IF(Z318="",0,Z318),"0")+IFERROR(IF(Z319="",0,Z319),"0")</f>
        <v>4.3843800000000002</v>
      </c>
      <c r="AA320" s="558"/>
      <c r="AB320" s="558"/>
      <c r="AC320" s="558"/>
    </row>
    <row r="321" spans="1:68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1800</v>
      </c>
      <c r="Y321" s="557">
        <f>IFERROR(SUM(Y316:Y319),"0")</f>
        <v>1801.8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500</v>
      </c>
      <c r="Y324" s="556">
        <f>IFERROR(IF(X324="",0,CEILING((X324/$H324),1)*$H324),"")</f>
        <v>507</v>
      </c>
      <c r="Z324" s="36">
        <f>IFERROR(IF(Y324=0,"",ROUNDUP(Y324/H324,0)*0.01898),"")</f>
        <v>1.2337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531.66666666666663</v>
      </c>
      <c r="BN324" s="64">
        <f>IFERROR(Y324*I324/H324,"0")</f>
        <v>539.11</v>
      </c>
      <c r="BO324" s="64">
        <f>IFERROR(1/J324*(X324/H324),"0")</f>
        <v>1.0016025641025641</v>
      </c>
      <c r="BP324" s="64">
        <f>IFERROR(1/J324*(Y324/H324),"0")</f>
        <v>1.015625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120</v>
      </c>
      <c r="Y325" s="556">
        <f>IFERROR(IF(X325="",0,CEILING((X325/$H325),1)*$H325),"")</f>
        <v>126</v>
      </c>
      <c r="Z325" s="36">
        <f>IFERROR(IF(Y325=0,"",ROUNDUP(Y325/H325,0)*0.01898),"")</f>
        <v>0.28470000000000001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127.05714285714285</v>
      </c>
      <c r="BN325" s="64">
        <f>IFERROR(Y325*I325/H325,"0")</f>
        <v>133.41</v>
      </c>
      <c r="BO325" s="64">
        <f>IFERROR(1/J325*(X325/H325),"0")</f>
        <v>0.2232142857142857</v>
      </c>
      <c r="BP325" s="64">
        <f>IFERROR(1/J325*(Y325/H325),"0")</f>
        <v>0.234375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78.388278388278394</v>
      </c>
      <c r="Y326" s="557">
        <f>IFERROR(Y323/H323,"0")+IFERROR(Y324/H324,"0")+IFERROR(Y325/H325,"0")</f>
        <v>80</v>
      </c>
      <c r="Z326" s="557">
        <f>IFERROR(IF(Z323="",0,Z323),"0")+IFERROR(IF(Z324="",0,Z324),"0")+IFERROR(IF(Z325="",0,Z325),"0")</f>
        <v>1.5184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620</v>
      </c>
      <c r="Y327" s="557">
        <f>IFERROR(SUM(Y323:Y325),"0")</f>
        <v>633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38</v>
      </c>
      <c r="Y332" s="556">
        <f>IFERROR(IF(X332="",0,CEILING((X332/$H332),1)*$H332),"")</f>
        <v>38.25</v>
      </c>
      <c r="Z332" s="36">
        <f>IFERROR(IF(Y332=0,"",ROUNDUP(Y332/H332,0)*0.00651),"")</f>
        <v>9.7650000000000001E-2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42.917647058823533</v>
      </c>
      <c r="BN332" s="64">
        <f>IFERROR(Y332*I332/H332,"0")</f>
        <v>43.2</v>
      </c>
      <c r="BO332" s="64">
        <f>IFERROR(1/J332*(X332/H332),"0")</f>
        <v>8.1878905408317187E-2</v>
      </c>
      <c r="BP332" s="64">
        <f>IFERROR(1/J332*(Y332/H332),"0")</f>
        <v>8.241758241758243E-2</v>
      </c>
    </row>
    <row r="333" spans="1:68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14.901960784313726</v>
      </c>
      <c r="Y333" s="557">
        <f>IFERROR(Y329/H329,"0")+IFERROR(Y330/H330,"0")+IFERROR(Y331/H331,"0")+IFERROR(Y332/H332,"0")</f>
        <v>15.000000000000002</v>
      </c>
      <c r="Z333" s="557">
        <f>IFERROR(IF(Z329="",0,Z329),"0")+IFERROR(IF(Z330="",0,Z330),"0")+IFERROR(IF(Z331="",0,Z331),"0")+IFERROR(IF(Z332="",0,Z332),"0")</f>
        <v>9.7650000000000001E-2</v>
      </c>
      <c r="AA333" s="558"/>
      <c r="AB333" s="558"/>
      <c r="AC333" s="558"/>
    </row>
    <row r="334" spans="1:68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38</v>
      </c>
      <c r="Y334" s="557">
        <f>IFERROR(SUM(Y329:Y332),"0")</f>
        <v>38.25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200</v>
      </c>
      <c r="Y343" s="556">
        <f>IFERROR(IF(X343="",0,CEILING((X343/$H343),1)*$H343),"")</f>
        <v>202.5</v>
      </c>
      <c r="Z343" s="36">
        <f>IFERROR(IF(Y343=0,"",ROUNDUP(Y343/H343,0)*0.01898),"")</f>
        <v>0.47450000000000003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212.19753086419755</v>
      </c>
      <c r="BN343" s="64">
        <f>IFERROR(Y343*I343/H343,"0")</f>
        <v>214.85</v>
      </c>
      <c r="BO343" s="64">
        <f>IFERROR(1/J343*(X343/H343),"0")</f>
        <v>0.38580246913580246</v>
      </c>
      <c r="BP343" s="64">
        <f>IFERROR(1/J343*(Y343/H343),"0")</f>
        <v>0.390625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87</v>
      </c>
      <c r="Y344" s="556">
        <f>IFERROR(IF(X344="",0,CEILING((X344/$H344),1)*$H344),"")</f>
        <v>88.2</v>
      </c>
      <c r="Z344" s="36">
        <f>IFERROR(IF(Y344=0,"",ROUNDUP(Y344/H344,0)*0.00651),"")</f>
        <v>0.27342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97.44</v>
      </c>
      <c r="BN344" s="64">
        <f>IFERROR(Y344*I344/H344,"0")</f>
        <v>98.783999999999992</v>
      </c>
      <c r="BO344" s="64">
        <f>IFERROR(1/J344*(X344/H344),"0")</f>
        <v>0.22762951334379905</v>
      </c>
      <c r="BP344" s="64">
        <f>IFERROR(1/J344*(Y344/H344),"0")</f>
        <v>0.23076923076923078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66.119929453262785</v>
      </c>
      <c r="Y346" s="557">
        <f>IFERROR(Y343/H343,"0")+IFERROR(Y344/H344,"0")+IFERROR(Y345/H345,"0")</f>
        <v>67</v>
      </c>
      <c r="Z346" s="557">
        <f>IFERROR(IF(Z343="",0,Z343),"0")+IFERROR(IF(Z344="",0,Z344),"0")+IFERROR(IF(Z345="",0,Z345),"0")</f>
        <v>0.74792000000000003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287</v>
      </c>
      <c r="Y347" s="557">
        <f>IFERROR(SUM(Y343:Y345),"0")</f>
        <v>290.7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hidden="1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hidden="1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0</v>
      </c>
      <c r="Y358" s="557">
        <f>IFERROR(Y351/H351,"0")+IFERROR(Y352/H352,"0")+IFERROR(Y353/H353,"0")+IFERROR(Y354/H354,"0")+IFERROR(Y355/H355,"0")+IFERROR(Y356/H356,"0")+IFERROR(Y357/H357,"0")</f>
        <v>0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0</v>
      </c>
      <c r="AA358" s="558"/>
      <c r="AB358" s="558"/>
      <c r="AC358" s="558"/>
    </row>
    <row r="359" spans="1:68" hidden="1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0</v>
      </c>
      <c r="Y359" s="557">
        <f>IFERROR(SUM(Y351:Y357),"0")</f>
        <v>0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800</v>
      </c>
      <c r="Y361" s="556">
        <f>IFERROR(IF(X361="",0,CEILING((X361/$H361),1)*$H361),"")</f>
        <v>810</v>
      </c>
      <c r="Z361" s="36">
        <f>IFERROR(IF(Y361=0,"",ROUNDUP(Y361/H361,0)*0.02175),"")</f>
        <v>1.1744999999999999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825.06666666666672</v>
      </c>
      <c r="BN361" s="64">
        <f>IFERROR(Y361*I361/H361,"0")</f>
        <v>835.38</v>
      </c>
      <c r="BO361" s="64">
        <f>IFERROR(1/J361*(X361/H361),"0")</f>
        <v>1.1111111111111112</v>
      </c>
      <c r="BP361" s="64">
        <f>IFERROR(1/J361*(Y361/H361),"0")</f>
        <v>1.125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53.333333333333336</v>
      </c>
      <c r="Y363" s="557">
        <f>IFERROR(Y361/H361,"0")+IFERROR(Y362/H362,"0")</f>
        <v>54</v>
      </c>
      <c r="Z363" s="557">
        <f>IFERROR(IF(Z361="",0,Z361),"0")+IFERROR(IF(Z362="",0,Z362),"0")</f>
        <v>1.1744999999999999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800</v>
      </c>
      <c r="Y364" s="557">
        <f>IFERROR(SUM(Y361:Y362),"0")</f>
        <v>810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300</v>
      </c>
      <c r="Y366" s="556">
        <f>IFERROR(IF(X366="",0,CEILING((X366/$H366),1)*$H366),"")</f>
        <v>306</v>
      </c>
      <c r="Z366" s="36">
        <f>IFERROR(IF(Y366=0,"",ROUNDUP(Y366/H366,0)*0.01898),"")</f>
        <v>0.64532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316.66666666666669</v>
      </c>
      <c r="BN366" s="64">
        <f>IFERROR(Y366*I366/H366,"0")</f>
        <v>323</v>
      </c>
      <c r="BO366" s="64">
        <f>IFERROR(1/J366*(X366/H366),"0")</f>
        <v>0.52083333333333337</v>
      </c>
      <c r="BP366" s="64">
        <f>IFERROR(1/J366*(Y366/H366),"0")</f>
        <v>0.53125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90</v>
      </c>
      <c r="Y367" s="556">
        <f>IFERROR(IF(X367="",0,CEILING((X367/$H367),1)*$H367),"")</f>
        <v>90</v>
      </c>
      <c r="Z367" s="36">
        <f>IFERROR(IF(Y367=0,"",ROUNDUP(Y367/H367,0)*0.01898),"")</f>
        <v>0.1898</v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94.94</v>
      </c>
      <c r="BN367" s="64">
        <f>IFERROR(Y367*I367/H367,"0")</f>
        <v>94.94</v>
      </c>
      <c r="BO367" s="64">
        <f>IFERROR(1/J367*(X367/H367),"0")</f>
        <v>0.15625</v>
      </c>
      <c r="BP367" s="64">
        <f>IFERROR(1/J367*(Y367/H367),"0")</f>
        <v>0.15625</v>
      </c>
    </row>
    <row r="368" spans="1:68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43.333333333333336</v>
      </c>
      <c r="Y368" s="557">
        <f>IFERROR(Y366/H366,"0")+IFERROR(Y367/H367,"0")</f>
        <v>44</v>
      </c>
      <c r="Z368" s="557">
        <f>IFERROR(IF(Z366="",0,Z366),"0")+IFERROR(IF(Z367="",0,Z367),"0")</f>
        <v>0.83511999999999997</v>
      </c>
      <c r="AA368" s="558"/>
      <c r="AB368" s="558"/>
      <c r="AC368" s="558"/>
    </row>
    <row r="369" spans="1:68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390</v>
      </c>
      <c r="Y369" s="557">
        <f>IFERROR(SUM(Y366:Y367),"0")</f>
        <v>396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hidden="1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hidden="1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hidden="1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hidden="1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hidden="1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1650</v>
      </c>
      <c r="Y431" s="556">
        <f t="shared" si="52"/>
        <v>1652.64</v>
      </c>
      <c r="Z431" s="36">
        <f t="shared" si="53"/>
        <v>3.7434799999999999</v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1759.375</v>
      </c>
      <c r="BN431" s="64">
        <f t="shared" si="55"/>
        <v>1762.1899999999998</v>
      </c>
      <c r="BO431" s="64">
        <f t="shared" si="56"/>
        <v>3.0048076923076925</v>
      </c>
      <c r="BP431" s="64">
        <f t="shared" si="57"/>
        <v>3.0096153846153846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550</v>
      </c>
      <c r="Y436" s="556">
        <f t="shared" si="52"/>
        <v>554.4</v>
      </c>
      <c r="Z436" s="36">
        <f t="shared" si="53"/>
        <v>1.2558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586.45833333333326</v>
      </c>
      <c r="BN436" s="64">
        <f t="shared" si="55"/>
        <v>591.15</v>
      </c>
      <c r="BO436" s="64">
        <f t="shared" si="56"/>
        <v>1.0016025641025641</v>
      </c>
      <c r="BP436" s="64">
        <f t="shared" si="57"/>
        <v>1.0096153846153846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416.66666666666663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418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4.9992799999999997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2200</v>
      </c>
      <c r="Y443" s="557">
        <f>IFERROR(SUM(Y430:Y441),"0")</f>
        <v>2207.04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550</v>
      </c>
      <c r="Y445" s="556">
        <f>IFERROR(IF(X445="",0,CEILING((X445/$H445),1)*$H445),"")</f>
        <v>554.4</v>
      </c>
      <c r="Z445" s="36">
        <f>IFERROR(IF(Y445=0,"",ROUNDUP(Y445/H445,0)*0.01196),"")</f>
        <v>1.2558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586.45833333333326</v>
      </c>
      <c r="BN445" s="64">
        <f>IFERROR(Y445*I445/H445,"0")</f>
        <v>591.15</v>
      </c>
      <c r="BO445" s="64">
        <f>IFERROR(1/J445*(X445/H445),"0")</f>
        <v>1.0016025641025641</v>
      </c>
      <c r="BP445" s="64">
        <f>IFERROR(1/J445*(Y445/H445),"0")</f>
        <v>1.0096153846153846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104.16666666666666</v>
      </c>
      <c r="Y448" s="557">
        <f>IFERROR(Y445/H445,"0")+IFERROR(Y446/H446,"0")+IFERROR(Y447/H447,"0")</f>
        <v>104.99999999999999</v>
      </c>
      <c r="Z448" s="557">
        <f>IFERROR(IF(Z445="",0,Z445),"0")+IFERROR(IF(Z446="",0,Z446),"0")+IFERROR(IF(Z447="",0,Z447),"0")</f>
        <v>1.2558</v>
      </c>
      <c r="AA448" s="558"/>
      <c r="AB448" s="558"/>
      <c r="AC448" s="558"/>
    </row>
    <row r="449" spans="1:68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550</v>
      </c>
      <c r="Y449" s="557">
        <f>IFERROR(SUM(Y445:Y447),"0")</f>
        <v>554.4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150</v>
      </c>
      <c r="Y451" s="556">
        <f t="shared" ref="Y451:Y456" si="58">IFERROR(IF(X451="",0,CEILING((X451/$H451),1)*$H451),"")</f>
        <v>153.12</v>
      </c>
      <c r="Z451" s="36">
        <f>IFERROR(IF(Y451=0,"",ROUNDUP(Y451/H451,0)*0.01196),"")</f>
        <v>0.34683999999999998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159.94318181818181</v>
      </c>
      <c r="BN451" s="64">
        <f t="shared" ref="BN451:BN456" si="60">IFERROR(Y451*I451/H451,"0")</f>
        <v>163.26999999999998</v>
      </c>
      <c r="BO451" s="64">
        <f t="shared" ref="BO451:BO456" si="61">IFERROR(1/J451*(X451/H451),"0")</f>
        <v>0.27316433566433568</v>
      </c>
      <c r="BP451" s="64">
        <f t="shared" ref="BP451:BP456" si="62">IFERROR(1/J451*(Y451/H451),"0")</f>
        <v>0.27884615384615385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300</v>
      </c>
      <c r="Y453" s="556">
        <f t="shared" si="58"/>
        <v>300.96000000000004</v>
      </c>
      <c r="Z453" s="36">
        <f>IFERROR(IF(Y453=0,"",ROUNDUP(Y453/H453,0)*0.01196),"")</f>
        <v>0.68171999999999999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319.88636363636363</v>
      </c>
      <c r="BN453" s="64">
        <f t="shared" si="60"/>
        <v>320.91000000000003</v>
      </c>
      <c r="BO453" s="64">
        <f t="shared" si="61"/>
        <v>0.54632867132867136</v>
      </c>
      <c r="BP453" s="64">
        <f t="shared" si="62"/>
        <v>0.54807692307692313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85.22727272727272</v>
      </c>
      <c r="Y457" s="557">
        <f>IFERROR(Y451/H451,"0")+IFERROR(Y452/H452,"0")+IFERROR(Y453/H453,"0")+IFERROR(Y454/H454,"0")+IFERROR(Y455/H455,"0")+IFERROR(Y456/H456,"0")</f>
        <v>86</v>
      </c>
      <c r="Z457" s="557">
        <f>IFERROR(IF(Z451="",0,Z451),"0")+IFERROR(IF(Z452="",0,Z452),"0")+IFERROR(IF(Z453="",0,Z453),"0")+IFERROR(IF(Z454="",0,Z454),"0")+IFERROR(IF(Z455="",0,Z455),"0")+IFERROR(IF(Z456="",0,Z456),"0")</f>
        <v>1.0285599999999999</v>
      </c>
      <c r="AA457" s="558"/>
      <c r="AB457" s="558"/>
      <c r="AC457" s="558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450</v>
      </c>
      <c r="Y458" s="557">
        <f>IFERROR(SUM(Y451:Y456),"0")</f>
        <v>454.08000000000004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670</v>
      </c>
      <c r="Y478" s="556">
        <f>IFERROR(IF(X478="",0,CEILING((X478/$H478),1)*$H478),"")</f>
        <v>672</v>
      </c>
      <c r="Z478" s="36">
        <f>IFERROR(IF(Y478=0,"",ROUNDUP(Y478/H478,0)*0.00902),"")</f>
        <v>1.4432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709.88095238095229</v>
      </c>
      <c r="BN478" s="64">
        <f>IFERROR(Y478*I478/H478,"0")</f>
        <v>712</v>
      </c>
      <c r="BO478" s="64">
        <f>IFERROR(1/J478*(X478/H478),"0")</f>
        <v>1.2085137085137085</v>
      </c>
      <c r="BP478" s="64">
        <f>IFERROR(1/J478*(Y478/H478),"0")</f>
        <v>1.2121212121212122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159.52380952380952</v>
      </c>
      <c r="Y480" s="557">
        <f>IFERROR(Y478/H478,"0")+IFERROR(Y479/H479,"0")</f>
        <v>160</v>
      </c>
      <c r="Z480" s="557">
        <f>IFERROR(IF(Z478="",0,Z478),"0")+IFERROR(IF(Z479="",0,Z479),"0")</f>
        <v>1.4432</v>
      </c>
      <c r="AA480" s="558"/>
      <c r="AB480" s="558"/>
      <c r="AC480" s="558"/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670</v>
      </c>
      <c r="Y481" s="557">
        <f>IFERROR(SUM(Y478:Y479),"0")</f>
        <v>672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17905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18033.170000000002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18814.966007463845</v>
      </c>
      <c r="Y497" s="557">
        <f>IFERROR(SUM(BN22:BN493),"0")</f>
        <v>18949.338000000007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31</v>
      </c>
      <c r="Y498" s="38">
        <f>ROUNDUP(SUM(BP22:BP493),0)</f>
        <v>31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19589.966007463845</v>
      </c>
      <c r="Y499" s="557">
        <f>GrossWeightTotalR+PalletQtyTotalR*25</f>
        <v>19724.338000000007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2742.9225451382308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2760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36.887449999999994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760.40000000000009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4101.3</v>
      </c>
      <c r="E506" s="46">
        <f>IFERROR(Y85*1,"0")+IFERROR(Y86*1,"0")+IFERROR(Y87*1,"0")+IFERROR(Y88*1,"0")+IFERROR(Y92*1,"0")+IFERROR(Y93*1,"0")+IFERROR(Y94*1,"0")+IFERROR(Y95*1,"0")</f>
        <v>726.30000000000007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607.5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25.200000000000003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615.6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151.20000000000002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36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5625.45</v>
      </c>
      <c r="R506" s="46">
        <f>IFERROR(Y343*1,"0")+IFERROR(Y344*1,"0")+IFERROR(Y345*1,"0")</f>
        <v>290.7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1206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3215.52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672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650,00"/>
        <filter val="1 800,00"/>
        <filter val="10,00"/>
        <filter val="100,00"/>
        <filter val="104,17"/>
        <filter val="111,11"/>
        <filter val="120,00"/>
        <filter val="13,89"/>
        <filter val="14,90"/>
        <filter val="150,00"/>
        <filter val="159,52"/>
        <filter val="17 905,00"/>
        <filter val="18 814,97"/>
        <filter val="18,52"/>
        <filter val="181,85"/>
        <filter val="19 589,97"/>
        <filter val="2 200,00"/>
        <filter val="2 400,00"/>
        <filter val="2 742,92"/>
        <filter val="2 828,00"/>
        <filter val="200,00"/>
        <filter val="230,77"/>
        <filter val="25,00"/>
        <filter val="250,00"/>
        <filter val="270,00"/>
        <filter val="287,00"/>
        <filter val="3 600,00"/>
        <filter val="300,00"/>
        <filter val="31"/>
        <filter val="344,96"/>
        <filter val="36,00"/>
        <filter val="38,00"/>
        <filter val="390,00"/>
        <filter val="416,67"/>
        <filter val="43,33"/>
        <filter val="450,00"/>
        <filter val="488,89"/>
        <filter val="491,00"/>
        <filter val="5,95"/>
        <filter val="500,00"/>
        <filter val="528,00"/>
        <filter val="53,33"/>
        <filter val="550,00"/>
        <filter val="570,00"/>
        <filter val="600,00"/>
        <filter val="620,00"/>
        <filter val="66,12"/>
        <filter val="670,00"/>
        <filter val="71,43"/>
        <filter val="74,07"/>
        <filter val="750,00"/>
        <filter val="78,39"/>
        <filter val="80,00"/>
        <filter val="800,00"/>
        <filter val="82,04"/>
        <filter val="85,23"/>
        <filter val="87,00"/>
        <filter val="87,78"/>
        <filter val="90,00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2026-01-13T11:30:23Z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