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E3E49F-3D01-4972-A9FA-9EDF1A92A7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BP414" i="1" s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R498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X293" i="1"/>
  <c r="X292" i="1"/>
  <c r="BO291" i="1"/>
  <c r="BM291" i="1"/>
  <c r="Y291" i="1"/>
  <c r="P291" i="1"/>
  <c r="BO290" i="1"/>
  <c r="BM290" i="1"/>
  <c r="Y290" i="1"/>
  <c r="Y293" i="1" s="1"/>
  <c r="P290" i="1"/>
  <c r="X288" i="1"/>
  <c r="X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Z155" i="1"/>
  <c r="Z156" i="1" s="1"/>
  <c r="Y155" i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Y162" i="1" l="1"/>
  <c r="BP161" i="1"/>
  <c r="BN161" i="1"/>
  <c r="Z161" i="1"/>
  <c r="Z162" i="1" s="1"/>
  <c r="BP165" i="1"/>
  <c r="BN165" i="1"/>
  <c r="Z165" i="1"/>
  <c r="BP193" i="1"/>
  <c r="BN193" i="1"/>
  <c r="Z193" i="1"/>
  <c r="BP221" i="1"/>
  <c r="BN221" i="1"/>
  <c r="Z221" i="1"/>
  <c r="BP256" i="1"/>
  <c r="BN256" i="1"/>
  <c r="Z256" i="1"/>
  <c r="BP285" i="1"/>
  <c r="BN285" i="1"/>
  <c r="Z285" i="1"/>
  <c r="BP314" i="1"/>
  <c r="BN314" i="1"/>
  <c r="Z314" i="1"/>
  <c r="BP349" i="1"/>
  <c r="BN349" i="1"/>
  <c r="Z349" i="1"/>
  <c r="BP392" i="1"/>
  <c r="BN392" i="1"/>
  <c r="Z392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Z30" i="1"/>
  <c r="BN30" i="1"/>
  <c r="Z53" i="1"/>
  <c r="BN53" i="1"/>
  <c r="Z71" i="1"/>
  <c r="BN71" i="1"/>
  <c r="Z86" i="1"/>
  <c r="BN86" i="1"/>
  <c r="Z99" i="1"/>
  <c r="BN99" i="1"/>
  <c r="Z109" i="1"/>
  <c r="BN109" i="1"/>
  <c r="Z132" i="1"/>
  <c r="BN132" i="1"/>
  <c r="Z149" i="1"/>
  <c r="BN149" i="1"/>
  <c r="Y157" i="1"/>
  <c r="Y156" i="1"/>
  <c r="BP155" i="1"/>
  <c r="BN155" i="1"/>
  <c r="BP173" i="1"/>
  <c r="BN173" i="1"/>
  <c r="Z173" i="1"/>
  <c r="BP209" i="1"/>
  <c r="BN209" i="1"/>
  <c r="Z209" i="1"/>
  <c r="BP238" i="1"/>
  <c r="BN238" i="1"/>
  <c r="Z238" i="1"/>
  <c r="BP273" i="1"/>
  <c r="BN273" i="1"/>
  <c r="Z273" i="1"/>
  <c r="BP300" i="1"/>
  <c r="BN300" i="1"/>
  <c r="Z300" i="1"/>
  <c r="BP326" i="1"/>
  <c r="BN326" i="1"/>
  <c r="Z326" i="1"/>
  <c r="BP363" i="1"/>
  <c r="BN363" i="1"/>
  <c r="Z363" i="1"/>
  <c r="BP404" i="1"/>
  <c r="BN404" i="1"/>
  <c r="Z404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T498" i="1"/>
  <c r="Y440" i="1"/>
  <c r="BP101" i="1"/>
  <c r="BN101" i="1"/>
  <c r="Z101" i="1"/>
  <c r="BP115" i="1"/>
  <c r="BN115" i="1"/>
  <c r="Z115" i="1"/>
  <c r="Y138" i="1"/>
  <c r="BP136" i="1"/>
  <c r="BN136" i="1"/>
  <c r="Z136" i="1"/>
  <c r="BP151" i="1"/>
  <c r="BN151" i="1"/>
  <c r="Z151" i="1"/>
  <c r="BP171" i="1"/>
  <c r="BN171" i="1"/>
  <c r="Z171" i="1"/>
  <c r="BP183" i="1"/>
  <c r="BN183" i="1"/>
  <c r="Z183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71" i="1"/>
  <c r="BN271" i="1"/>
  <c r="Z271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5" i="1"/>
  <c r="Z73" i="1"/>
  <c r="BN73" i="1"/>
  <c r="Z84" i="1"/>
  <c r="BN84" i="1"/>
  <c r="BP94" i="1"/>
  <c r="BN94" i="1"/>
  <c r="Z94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Y153" i="1"/>
  <c r="BP147" i="1"/>
  <c r="BN147" i="1"/>
  <c r="Z147" i="1"/>
  <c r="BP167" i="1"/>
  <c r="BN167" i="1"/>
  <c r="Z167" i="1"/>
  <c r="BP175" i="1"/>
  <c r="BN175" i="1"/>
  <c r="Z175" i="1"/>
  <c r="BP199" i="1"/>
  <c r="BN199" i="1"/>
  <c r="Z199" i="1"/>
  <c r="BP203" i="1"/>
  <c r="BN203" i="1"/>
  <c r="Z203" i="1"/>
  <c r="BP215" i="1"/>
  <c r="BN215" i="1"/>
  <c r="Z215" i="1"/>
  <c r="BP227" i="1"/>
  <c r="BN227" i="1"/>
  <c r="Z227" i="1"/>
  <c r="BP232" i="1"/>
  <c r="BN232" i="1"/>
  <c r="Z232" i="1"/>
  <c r="BP240" i="1"/>
  <c r="BN240" i="1"/>
  <c r="Z240" i="1"/>
  <c r="BP261" i="1"/>
  <c r="BN261" i="1"/>
  <c r="Z261" i="1"/>
  <c r="BP291" i="1"/>
  <c r="BN291" i="1"/>
  <c r="Z291" i="1"/>
  <c r="Y310" i="1"/>
  <c r="BP304" i="1"/>
  <c r="BN304" i="1"/>
  <c r="Z304" i="1"/>
  <c r="BP316" i="1"/>
  <c r="BN316" i="1"/>
  <c r="Z316" i="1"/>
  <c r="BP328" i="1"/>
  <c r="BN328" i="1"/>
  <c r="Z328" i="1"/>
  <c r="BP351" i="1"/>
  <c r="BN351" i="1"/>
  <c r="Z351" i="1"/>
  <c r="BP374" i="1"/>
  <c r="BN374" i="1"/>
  <c r="Z374" i="1"/>
  <c r="BP394" i="1"/>
  <c r="BN394" i="1"/>
  <c r="Z394" i="1"/>
  <c r="V498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Y96" i="1"/>
  <c r="H498" i="1"/>
  <c r="Y179" i="1"/>
  <c r="BP280" i="1"/>
  <c r="BN280" i="1"/>
  <c r="Z280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59" i="1"/>
  <c r="BN359" i="1"/>
  <c r="Z359" i="1"/>
  <c r="BP384" i="1"/>
  <c r="BN384" i="1"/>
  <c r="Z384" i="1"/>
  <c r="BP398" i="1"/>
  <c r="BN398" i="1"/>
  <c r="Z398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282" i="1"/>
  <c r="Q498" i="1"/>
  <c r="Y318" i="1"/>
  <c r="Y324" i="1"/>
  <c r="Y330" i="1"/>
  <c r="Y336" i="1"/>
  <c r="Y355" i="1"/>
  <c r="Y365" i="1"/>
  <c r="Y380" i="1"/>
  <c r="U498" i="1"/>
  <c r="X498" i="1"/>
  <c r="W498" i="1"/>
  <c r="F9" i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H9" i="1"/>
  <c r="B498" i="1"/>
  <c r="X489" i="1"/>
  <c r="X491" i="1" s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Z80" i="1" s="1"/>
  <c r="BN78" i="1"/>
  <c r="BP78" i="1"/>
  <c r="E498" i="1"/>
  <c r="Z85" i="1"/>
  <c r="BN85" i="1"/>
  <c r="Z87" i="1"/>
  <c r="BN87" i="1"/>
  <c r="Y88" i="1"/>
  <c r="Z91" i="1"/>
  <c r="BN91" i="1"/>
  <c r="BP91" i="1"/>
  <c r="Z93" i="1"/>
  <c r="BN93" i="1"/>
  <c r="F498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498" i="1"/>
  <c r="Z127" i="1"/>
  <c r="BN127" i="1"/>
  <c r="Y128" i="1"/>
  <c r="Z131" i="1"/>
  <c r="Z133" i="1" s="1"/>
  <c r="BN131" i="1"/>
  <c r="BP131" i="1"/>
  <c r="Z137" i="1"/>
  <c r="BN137" i="1"/>
  <c r="Z142" i="1"/>
  <c r="Z144" i="1" s="1"/>
  <c r="BN142" i="1"/>
  <c r="BP142" i="1"/>
  <c r="Y145" i="1"/>
  <c r="Z148" i="1"/>
  <c r="BN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BP194" i="1"/>
  <c r="BN194" i="1"/>
  <c r="Z194" i="1"/>
  <c r="Y196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BP235" i="1"/>
  <c r="BN235" i="1"/>
  <c r="Z235" i="1"/>
  <c r="BP239" i="1"/>
  <c r="BN239" i="1"/>
  <c r="Z239" i="1"/>
  <c r="Y258" i="1"/>
  <c r="BP255" i="1"/>
  <c r="BN255" i="1"/>
  <c r="Z255" i="1"/>
  <c r="J498" i="1"/>
  <c r="Y195" i="1"/>
  <c r="K498" i="1"/>
  <c r="Y242" i="1"/>
  <c r="L498" i="1"/>
  <c r="Y266" i="1"/>
  <c r="BP263" i="1"/>
  <c r="BN263" i="1"/>
  <c r="Z263" i="1"/>
  <c r="BP272" i="1"/>
  <c r="BN272" i="1"/>
  <c r="Z272" i="1"/>
  <c r="BP265" i="1"/>
  <c r="BN265" i="1"/>
  <c r="Z265" i="1"/>
  <c r="Y267" i="1"/>
  <c r="M498" i="1"/>
  <c r="Y275" i="1"/>
  <c r="BP270" i="1"/>
  <c r="BN270" i="1"/>
  <c r="Z270" i="1"/>
  <c r="Y274" i="1"/>
  <c r="Y281" i="1"/>
  <c r="Y288" i="1"/>
  <c r="Y292" i="1"/>
  <c r="Y301" i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Y454" i="1"/>
  <c r="BP460" i="1"/>
  <c r="BN460" i="1"/>
  <c r="Z460" i="1"/>
  <c r="BP480" i="1"/>
  <c r="BN480" i="1"/>
  <c r="Z480" i="1"/>
  <c r="Y482" i="1"/>
  <c r="Z498" i="1"/>
  <c r="Y486" i="1"/>
  <c r="BP485" i="1"/>
  <c r="BN485" i="1"/>
  <c r="Z485" i="1"/>
  <c r="Z486" i="1" s="1"/>
  <c r="Y487" i="1"/>
  <c r="O498" i="1"/>
  <c r="S498" i="1"/>
  <c r="Z279" i="1"/>
  <c r="BN279" i="1"/>
  <c r="P498" i="1"/>
  <c r="Z286" i="1"/>
  <c r="Z287" i="1" s="1"/>
  <c r="BN286" i="1"/>
  <c r="Y287" i="1"/>
  <c r="Z290" i="1"/>
  <c r="BN290" i="1"/>
  <c r="BP290" i="1"/>
  <c r="Z297" i="1"/>
  <c r="BN297" i="1"/>
  <c r="Z299" i="1"/>
  <c r="BN299" i="1"/>
  <c r="Y302" i="1"/>
  <c r="Z305" i="1"/>
  <c r="BN305" i="1"/>
  <c r="Z307" i="1"/>
  <c r="BN307" i="1"/>
  <c r="Z309" i="1"/>
  <c r="BN309" i="1"/>
  <c r="Z313" i="1"/>
  <c r="BN313" i="1"/>
  <c r="BP313" i="1"/>
  <c r="Z315" i="1"/>
  <c r="BN315" i="1"/>
  <c r="Z321" i="1"/>
  <c r="Z323" i="1" s="1"/>
  <c r="BN321" i="1"/>
  <c r="Z327" i="1"/>
  <c r="BN327" i="1"/>
  <c r="Z329" i="1"/>
  <c r="BN329" i="1"/>
  <c r="Z333" i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Y411" i="1"/>
  <c r="Y418" i="1"/>
  <c r="Z414" i="1"/>
  <c r="Z417" i="1" s="1"/>
  <c r="BN414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Z365" i="1" l="1"/>
  <c r="Z481" i="1"/>
  <c r="Z195" i="1"/>
  <c r="Z330" i="1"/>
  <c r="Z301" i="1"/>
  <c r="Z463" i="1"/>
  <c r="Z266" i="1"/>
  <c r="Z104" i="1"/>
  <c r="Z57" i="1"/>
  <c r="Y490" i="1"/>
  <c r="Y491" i="1" s="1"/>
  <c r="Z241" i="1"/>
  <c r="Z211" i="1"/>
  <c r="Z454" i="1"/>
  <c r="Z439" i="1"/>
  <c r="Z400" i="1"/>
  <c r="Z355" i="1"/>
  <c r="Z343" i="1"/>
  <c r="Z317" i="1"/>
  <c r="Z310" i="1"/>
  <c r="Z292" i="1"/>
  <c r="Z281" i="1"/>
  <c r="Z228" i="1"/>
  <c r="Z185" i="1"/>
  <c r="Z179" i="1"/>
  <c r="Z152" i="1"/>
  <c r="Z138" i="1"/>
  <c r="Z128" i="1"/>
  <c r="Z118" i="1"/>
  <c r="Z111" i="1"/>
  <c r="Z88" i="1"/>
  <c r="Z75" i="1"/>
  <c r="Z63" i="1"/>
  <c r="Y489" i="1"/>
  <c r="Z257" i="1"/>
  <c r="Z445" i="1"/>
  <c r="Z386" i="1"/>
  <c r="Z336" i="1"/>
  <c r="Z274" i="1"/>
  <c r="Z223" i="1"/>
  <c r="Z95" i="1"/>
  <c r="Z31" i="1"/>
  <c r="Y492" i="1"/>
  <c r="Y488" i="1"/>
  <c r="Z493" i="1" l="1"/>
</calcChain>
</file>

<file path=xl/sharedStrings.xml><?xml version="1.0" encoding="utf-8"?>
<sst xmlns="http://schemas.openxmlformats.org/spreadsheetml/2006/main" count="2282" uniqueCount="768">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</sst>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46052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Пятница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0.375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70</v>
      </c>
      <c r="Y40" s="546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200</v>
      </c>
      <c r="Y41" s="546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56.481481481481481</v>
      </c>
      <c r="Y43" s="547">
        <f>IFERROR(Y40/H40,"0")+IFERROR(Y41/H41,"0")+IFERROR(Y42/H42,"0")</f>
        <v>57</v>
      </c>
      <c r="Z43" s="547">
        <f>IFERROR(IF(Z40="",0,Z40),"0")+IFERROR(IF(Z41="",0,Z41),"0")+IFERROR(IF(Z42="",0,Z42),"0")</f>
        <v>0.58386000000000005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270</v>
      </c>
      <c r="Y44" s="547">
        <f>IFERROR(SUM(Y40:Y42),"0")</f>
        <v>275.60000000000002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400</v>
      </c>
      <c r="Y52" s="546">
        <f t="shared" si="0"/>
        <v>410.40000000000003</v>
      </c>
      <c r="Z52" s="36">
        <f>IFERROR(IF(Y52=0,"",ROUNDUP(Y52/H52,0)*0.01898),"")</f>
        <v>0.72123999999999999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415.18518518518516</v>
      </c>
      <c r="BN52" s="64">
        <f t="shared" si="2"/>
        <v>425.98</v>
      </c>
      <c r="BO52" s="64">
        <f t="shared" si="3"/>
        <v>0.57870370370370372</v>
      </c>
      <c r="BP52" s="64">
        <f t="shared" si="4"/>
        <v>0.59375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270</v>
      </c>
      <c r="Y56" s="546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97.037037037037038</v>
      </c>
      <c r="Y57" s="547">
        <f>IFERROR(Y51/H51,"0")+IFERROR(Y52/H52,"0")+IFERROR(Y53/H53,"0")+IFERROR(Y54/H54,"0")+IFERROR(Y55/H55,"0")+IFERROR(Y56/H56,"0")</f>
        <v>98</v>
      </c>
      <c r="Z57" s="547">
        <f>IFERROR(IF(Z51="",0,Z51),"0")+IFERROR(IF(Z52="",0,Z52),"0")+IFERROR(IF(Z53="",0,Z53),"0")+IFERROR(IF(Z54="",0,Z54),"0")+IFERROR(IF(Z55="",0,Z55),"0")+IFERROR(IF(Z56="",0,Z56),"0")</f>
        <v>1.26244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670</v>
      </c>
      <c r="Y58" s="547">
        <f>IFERROR(SUM(Y51:Y56),"0")</f>
        <v>680.40000000000009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140</v>
      </c>
      <c r="Y60" s="546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145.31481481481481</v>
      </c>
      <c r="BN60" s="64">
        <f>IFERROR(Y60*I60/H60,"0")</f>
        <v>145.73000000000002</v>
      </c>
      <c r="BO60" s="64">
        <f>IFERROR(1/J60*(X60/H60),"0")</f>
        <v>0.20254629629629628</v>
      </c>
      <c r="BP60" s="64">
        <f>IFERROR(1/J60*(Y60/H60),"0")</f>
        <v>0.203125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225</v>
      </c>
      <c r="Y62" s="546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96.296296296296291</v>
      </c>
      <c r="Y63" s="547">
        <f>IFERROR(Y60/H60,"0")+IFERROR(Y61/H61,"0")+IFERROR(Y62/H62,"0")</f>
        <v>97</v>
      </c>
      <c r="Z63" s="547">
        <f>IFERROR(IF(Z60="",0,Z60),"0")+IFERROR(IF(Z61="",0,Z61),"0")+IFERROR(IF(Z62="",0,Z62),"0")</f>
        <v>0.79357999999999995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365</v>
      </c>
      <c r="Y64" s="547">
        <f>IFERROR(SUM(Y60:Y62),"0")</f>
        <v>367.20000000000005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79.259259259259267</v>
      </c>
      <c r="Y88" s="547">
        <f>IFERROR(Y84/H84,"0")+IFERROR(Y85/H85,"0")+IFERROR(Y86/H86,"0")+IFERROR(Y87/H87,"0")</f>
        <v>80</v>
      </c>
      <c r="Z88" s="547">
        <f>IFERROR(IF(Z84="",0,Z84),"0")+IFERROR(IF(Z85="",0,Z85),"0")+IFERROR(IF(Z86="",0,Z86),"0")+IFERROR(IF(Z87="",0,Z87),"0")</f>
        <v>0.82119999999999993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415</v>
      </c>
      <c r="Y89" s="547">
        <f>IFERROR(SUM(Y84:Y87),"0")</f>
        <v>423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70</v>
      </c>
      <c r="Y91" s="546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74.269135802469137</v>
      </c>
      <c r="BN91" s="64">
        <f>IFERROR(Y91*I91/H91,"0")</f>
        <v>77.345999999999989</v>
      </c>
      <c r="BO91" s="64">
        <f>IFERROR(1/J91*(X91/H91),"0")</f>
        <v>0.13503086419753088</v>
      </c>
      <c r="BP91" s="64">
        <f>IFERROR(1/J91*(Y91/H91),"0")</f>
        <v>0.140625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315</v>
      </c>
      <c r="Y93" s="546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125.30864197530863</v>
      </c>
      <c r="Y95" s="547">
        <f>IFERROR(Y91/H91,"0")+IFERROR(Y92/H92,"0")+IFERROR(Y93/H93,"0")+IFERROR(Y94/H94,"0")</f>
        <v>126</v>
      </c>
      <c r="Z95" s="547">
        <f>IFERROR(IF(Z91="",0,Z91),"0")+IFERROR(IF(Z92="",0,Z92),"0")+IFERROR(IF(Z93="",0,Z93),"0")+IFERROR(IF(Z94="",0,Z94),"0")</f>
        <v>0.93249000000000004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385</v>
      </c>
      <c r="Y96" s="547">
        <f>IFERROR(SUM(Y91:Y94),"0")</f>
        <v>388.8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2.2000000000000002</v>
      </c>
      <c r="Y100" s="546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180</v>
      </c>
      <c r="Y102" s="546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42</v>
      </c>
      <c r="Y104" s="547">
        <f>IFERROR(Y99/H99,"0")+IFERROR(Y100/H100,"0")+IFERROR(Y101/H101,"0")+IFERROR(Y102/H102,"0")+IFERROR(Y103/H103,"0")</f>
        <v>42</v>
      </c>
      <c r="Z104" s="547">
        <f>IFERROR(IF(Z99="",0,Z99),"0")+IFERROR(IF(Z100="",0,Z100),"0")+IFERROR(IF(Z101="",0,Z101),"0")+IFERROR(IF(Z102="",0,Z102),"0")+IFERROR(IF(Z103="",0,Z103),"0")</f>
        <v>0.37531999999999999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182.2</v>
      </c>
      <c r="Y105" s="547">
        <f>IFERROR(SUM(Y99:Y103),"0")</f>
        <v>182.2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405</v>
      </c>
      <c r="Y116" s="546">
        <f>IFERROR(IF(X116="",0,CEILING((X116/$H116),1)*$H116),"")</f>
        <v>405</v>
      </c>
      <c r="Z116" s="36">
        <f>IFERROR(IF(Y116=0,"",ROUNDUP(Y116/H116,0)*0.00651),"")</f>
        <v>0.97650000000000003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442.79999999999995</v>
      </c>
      <c r="BN116" s="64">
        <f>IFERROR(Y116*I116/H116,"0")</f>
        <v>442.79999999999995</v>
      </c>
      <c r="BO116" s="64">
        <f>IFERROR(1/J116*(X116/H116),"0")</f>
        <v>0.82417582417582425</v>
      </c>
      <c r="BP116" s="64">
        <f>IFERROR(1/J116*(Y116/H116),"0")</f>
        <v>0.82417582417582425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12</v>
      </c>
      <c r="Y117" s="546">
        <f>IFERROR(IF(X117="",0,CEILING((X117/$H117),1)*$H117),"")</f>
        <v>12.6</v>
      </c>
      <c r="Z117" s="36">
        <f>IFERROR(IF(Y117=0,"",ROUNDUP(Y117/H117,0)*0.00651),"")</f>
        <v>4.5569999999999999E-2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13.2</v>
      </c>
      <c r="BN117" s="64">
        <f>IFERROR(Y117*I117/H117,"0")</f>
        <v>13.86</v>
      </c>
      <c r="BO117" s="64">
        <f>IFERROR(1/J117*(X117/H117),"0")</f>
        <v>3.6630036630036632E-2</v>
      </c>
      <c r="BP117" s="64">
        <f>IFERROR(1/J117*(Y117/H117),"0")</f>
        <v>3.8461538461538464E-2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206.04938271604937</v>
      </c>
      <c r="Y118" s="547">
        <f>IFERROR(Y114/H114,"0")+IFERROR(Y115/H115,"0")+IFERROR(Y116/H116,"0")+IFERROR(Y117/H117,"0")</f>
        <v>207</v>
      </c>
      <c r="Z118" s="547">
        <f>IFERROR(IF(Z114="",0,Z114),"0")+IFERROR(IF(Z115="",0,Z115),"0")+IFERROR(IF(Z116="",0,Z116),"0")+IFERROR(IF(Z117="",0,Z117),"0")</f>
        <v>1.9710700000000001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817</v>
      </c>
      <c r="Y119" s="547">
        <f>IFERROR(SUM(Y114:Y117),"0")</f>
        <v>822.6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26.4</v>
      </c>
      <c r="Y121" s="546">
        <f>IFERROR(IF(X121="",0,CEILING((X121/$H121),1)*$H121),"")</f>
        <v>27.72</v>
      </c>
      <c r="Z121" s="36">
        <f>IFERROR(IF(Y121=0,"",ROUNDUP(Y121/H121,0)*0.00651),"")</f>
        <v>9.1139999999999999E-2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29.84</v>
      </c>
      <c r="BN121" s="64">
        <f>IFERROR(Y121*I121/H121,"0")</f>
        <v>31.332000000000001</v>
      </c>
      <c r="BO121" s="64">
        <f>IFERROR(1/J121*(X121/H121),"0")</f>
        <v>7.3260073260073263E-2</v>
      </c>
      <c r="BP121" s="64">
        <f>IFERROR(1/J121*(Y121/H121),"0")</f>
        <v>7.6923076923076927E-2</v>
      </c>
    </row>
    <row r="122" spans="1:68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13.333333333333332</v>
      </c>
      <c r="Y122" s="547">
        <f>IFERROR(Y121/H121,"0")</f>
        <v>14</v>
      </c>
      <c r="Z122" s="547">
        <f>IFERROR(IF(Z121="",0,Z121),"0")</f>
        <v>9.1139999999999999E-2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26.4</v>
      </c>
      <c r="Y123" s="547">
        <f>IFERROR(SUM(Y121:Y121),"0")</f>
        <v>27.72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32</v>
      </c>
      <c r="Y127" s="546">
        <f>IFERROR(IF(X127="",0,CEILING((X127/$H127),1)*$H127),"")</f>
        <v>32</v>
      </c>
      <c r="Z127" s="36">
        <f>IFERROR(IF(Y127=0,"",ROUNDUP(Y127/H127,0)*0.00651),"")</f>
        <v>6.5100000000000005E-2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33.799999999999997</v>
      </c>
      <c r="BN127" s="64">
        <f>IFERROR(Y127*I127/H127,"0")</f>
        <v>33.799999999999997</v>
      </c>
      <c r="BO127" s="64">
        <f>IFERROR(1/J127*(X127/H127),"0")</f>
        <v>5.4945054945054951E-2</v>
      </c>
      <c r="BP127" s="64">
        <f>IFERROR(1/J127*(Y127/H127),"0")</f>
        <v>5.4945054945054951E-2</v>
      </c>
    </row>
    <row r="128" spans="1:68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10</v>
      </c>
      <c r="Y128" s="547">
        <f>IFERROR(Y126/H126,"0")+IFERROR(Y127/H127,"0")</f>
        <v>10</v>
      </c>
      <c r="Z128" s="547">
        <f>IFERROR(IF(Z126="",0,Z126),"0")+IFERROR(IF(Z127="",0,Z127),"0")</f>
        <v>6.5100000000000005E-2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32</v>
      </c>
      <c r="Y129" s="547">
        <f>IFERROR(SUM(Y126:Y127),"0")</f>
        <v>32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49.5</v>
      </c>
      <c r="Y137" s="546">
        <f>IFERROR(IF(X137="",0,CEILING((X137/$H137),1)*$H137),"")</f>
        <v>50.160000000000004</v>
      </c>
      <c r="Z137" s="36">
        <f>IFERROR(IF(Y137=0,"",ROUNDUP(Y137/H137,0)*0.00651),"")</f>
        <v>0.12369000000000001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54.524999999999999</v>
      </c>
      <c r="BN137" s="64">
        <f>IFERROR(Y137*I137/H137,"0")</f>
        <v>55.252000000000002</v>
      </c>
      <c r="BO137" s="64">
        <f>IFERROR(1/J137*(X137/H137),"0")</f>
        <v>0.10302197802197803</v>
      </c>
      <c r="BP137" s="64">
        <f>IFERROR(1/J137*(Y137/H137),"0")</f>
        <v>0.1043956043956044</v>
      </c>
    </row>
    <row r="138" spans="1:68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18.75</v>
      </c>
      <c r="Y138" s="547">
        <f>IFERROR(Y136/H136,"0")+IFERROR(Y137/H137,"0")</f>
        <v>19</v>
      </c>
      <c r="Z138" s="547">
        <f>IFERROR(IF(Z136="",0,Z136),"0")+IFERROR(IF(Z137="",0,Z137),"0")</f>
        <v>0.12369000000000001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49.5</v>
      </c>
      <c r="Y139" s="547">
        <f>IFERROR(SUM(Y136:Y137),"0")</f>
        <v>50.160000000000004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150</v>
      </c>
      <c r="Y149" s="546">
        <f>IFERROR(IF(X149="",0,CEILING((X149/$H149),1)*$H149),"")</f>
        <v>151.20000000000002</v>
      </c>
      <c r="Z149" s="36">
        <f>IFERROR(IF(Y149=0,"",ROUNDUP(Y149/H149,0)*0.00902),"")</f>
        <v>0.32472000000000001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156.78571428571428</v>
      </c>
      <c r="BN149" s="64">
        <f>IFERROR(Y149*I149/H149,"0")</f>
        <v>158.04</v>
      </c>
      <c r="BO149" s="64">
        <f>IFERROR(1/J149*(X149/H149),"0")</f>
        <v>0.27056277056277056</v>
      </c>
      <c r="BP149" s="64">
        <f>IFERROR(1/J149*(Y149/H149),"0")</f>
        <v>0.27272727272727271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80</v>
      </c>
      <c r="Y151" s="546">
        <f>IFERROR(IF(X151="",0,CEILING((X151/$H151),1)*$H151),"")</f>
        <v>84</v>
      </c>
      <c r="Z151" s="36">
        <f>IFERROR(IF(Y151=0,"",ROUNDUP(Y151/H151,0)*0.00902),"")</f>
        <v>0.1804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83.619047619047606</v>
      </c>
      <c r="BN151" s="64">
        <f>IFERROR(Y151*I151/H151,"0")</f>
        <v>87.8</v>
      </c>
      <c r="BO151" s="64">
        <f>IFERROR(1/J151*(X151/H151),"0")</f>
        <v>0.14430014430014429</v>
      </c>
      <c r="BP151" s="64">
        <f>IFERROR(1/J151*(Y151/H151),"0")</f>
        <v>0.15151515151515152</v>
      </c>
    </row>
    <row r="152" spans="1:68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54.761904761904759</v>
      </c>
      <c r="Y152" s="547">
        <f>IFERROR(Y147/H147,"0")+IFERROR(Y148/H148,"0")+IFERROR(Y149/H149,"0")+IFERROR(Y150/H150,"0")+IFERROR(Y151/H151,"0")</f>
        <v>56</v>
      </c>
      <c r="Z152" s="547">
        <f>IFERROR(IF(Z147="",0,Z147),"0")+IFERROR(IF(Z148="",0,Z148),"0")+IFERROR(IF(Z149="",0,Z149),"0")+IFERROR(IF(Z150="",0,Z150),"0")+IFERROR(IF(Z151="",0,Z151),"0")</f>
        <v>0.50512000000000001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230</v>
      </c>
      <c r="Y153" s="547">
        <f>IFERROR(SUM(Y147:Y151),"0")</f>
        <v>235.20000000000002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30</v>
      </c>
      <c r="Y165" s="546">
        <f t="shared" ref="Y165:Y178" si="5">IFERROR(IF(X165="",0,CEILING((X165/$H165),1)*$H165),"")</f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31.785714285714285</v>
      </c>
      <c r="BN165" s="64">
        <f t="shared" ref="BN165:BN178" si="7">IFERROR(Y165*I165/H165,"0")</f>
        <v>35.6</v>
      </c>
      <c r="BO165" s="64">
        <f t="shared" ref="BO165:BO178" si="8">IFERROR(1/J165*(X165/H165),"0")</f>
        <v>5.4112554112554112E-2</v>
      </c>
      <c r="BP165" s="64">
        <f t="shared" ref="BP165:BP178" si="9">IFERROR(1/J165*(Y165/H165),"0")</f>
        <v>6.0606060606060608E-2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60</v>
      </c>
      <c r="Y167" s="546">
        <f t="shared" si="5"/>
        <v>63</v>
      </c>
      <c r="Z167" s="36">
        <f>IFERROR(IF(Y167=0,"",ROUNDUP(Y167/H167,0)*0.00902),"")</f>
        <v>0.1353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62.714285714285708</v>
      </c>
      <c r="BN167" s="64">
        <f t="shared" si="7"/>
        <v>65.849999999999994</v>
      </c>
      <c r="BO167" s="64">
        <f t="shared" si="8"/>
        <v>0.10822510822510822</v>
      </c>
      <c r="BP167" s="64">
        <f t="shared" si="9"/>
        <v>0.11363636363636365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2.4</v>
      </c>
      <c r="Y168" s="546">
        <f t="shared" si="5"/>
        <v>2.4000000000000004</v>
      </c>
      <c r="Z168" s="36">
        <f>IFERROR(IF(Y168=0,"",ROUNDUP(Y168/H168,0)*0.00556),"")</f>
        <v>1.668E-2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2.79</v>
      </c>
      <c r="BN168" s="64">
        <f t="shared" si="7"/>
        <v>2.7900000000000005</v>
      </c>
      <c r="BO168" s="64">
        <f t="shared" si="8"/>
        <v>1.3888888888888886E-2</v>
      </c>
      <c r="BP168" s="64">
        <f t="shared" si="9"/>
        <v>1.388888888888889E-2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87.5</v>
      </c>
      <c r="Y171" s="546">
        <f t="shared" si="5"/>
        <v>88.2</v>
      </c>
      <c r="Z171" s="36">
        <f>IFERROR(IF(Y171=0,"",ROUNDUP(Y171/H171,0)*0.00502),"")</f>
        <v>0.21084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92.916666666666657</v>
      </c>
      <c r="BN171" s="64">
        <f t="shared" si="7"/>
        <v>93.66</v>
      </c>
      <c r="BO171" s="64">
        <f t="shared" si="8"/>
        <v>0.17806267806267806</v>
      </c>
      <c r="BP171" s="64">
        <f t="shared" si="9"/>
        <v>0.17948717948717952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2.4</v>
      </c>
      <c r="Y175" s="546">
        <f t="shared" si="5"/>
        <v>2.4000000000000004</v>
      </c>
      <c r="Z175" s="36">
        <f>IFERROR(IF(Y175=0,"",ROUNDUP(Y175/H175,0)*0.00417),"")</f>
        <v>1.251E-2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3.03</v>
      </c>
      <c r="BN175" s="64">
        <f t="shared" si="7"/>
        <v>3.0300000000000002</v>
      </c>
      <c r="BO175" s="64">
        <f t="shared" si="8"/>
        <v>8.9285714285714263E-3</v>
      </c>
      <c r="BP175" s="64">
        <f t="shared" si="9"/>
        <v>8.9285714285714298E-3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122.5</v>
      </c>
      <c r="Y176" s="546">
        <f t="shared" si="5"/>
        <v>123.9</v>
      </c>
      <c r="Z176" s="36">
        <f>IFERROR(IF(Y176=0,"",ROUNDUP(Y176/H176,0)*0.00502),"")</f>
        <v>0.29618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128.33333333333331</v>
      </c>
      <c r="BN176" s="64">
        <f t="shared" si="7"/>
        <v>129.80000000000001</v>
      </c>
      <c r="BO176" s="64">
        <f t="shared" si="8"/>
        <v>0.2492877492877493</v>
      </c>
      <c r="BP176" s="64">
        <f t="shared" si="9"/>
        <v>0.25213675213675218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160.76190476190476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164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0.91435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374.8</v>
      </c>
      <c r="Y180" s="547">
        <f>IFERROR(SUM(Y165:Y178),"0")</f>
        <v>384.9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20</v>
      </c>
      <c r="Y204" s="546">
        <f t="shared" si="10"/>
        <v>21.6</v>
      </c>
      <c r="Z204" s="36">
        <f>IFERROR(IF(Y204=0,"",ROUNDUP(Y204/H204,0)*0.00902),"")</f>
        <v>3.6080000000000001E-2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20.703703703703702</v>
      </c>
      <c r="BN204" s="64">
        <f t="shared" si="12"/>
        <v>22.36</v>
      </c>
      <c r="BO204" s="64">
        <f t="shared" si="13"/>
        <v>2.8058361391694722E-2</v>
      </c>
      <c r="BP204" s="64">
        <f t="shared" si="14"/>
        <v>3.0303030303030304E-2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20</v>
      </c>
      <c r="Y206" s="546">
        <f t="shared" si="10"/>
        <v>21.6</v>
      </c>
      <c r="Z206" s="36">
        <f>IFERROR(IF(Y206=0,"",ROUNDUP(Y206/H206,0)*0.00902),"")</f>
        <v>3.6080000000000001E-2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20.703703703703702</v>
      </c>
      <c r="BN206" s="64">
        <f t="shared" si="12"/>
        <v>22.36</v>
      </c>
      <c r="BO206" s="64">
        <f t="shared" si="13"/>
        <v>2.8058361391694722E-2</v>
      </c>
      <c r="BP206" s="64">
        <f t="shared" si="14"/>
        <v>3.0303030303030304E-2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12</v>
      </c>
      <c r="Y207" s="546">
        <f t="shared" si="10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12.866666666666667</v>
      </c>
      <c r="BN207" s="64">
        <f t="shared" si="12"/>
        <v>13.509999999999998</v>
      </c>
      <c r="BO207" s="64">
        <f t="shared" si="13"/>
        <v>2.8490028490028491E-2</v>
      </c>
      <c r="BP207" s="64">
        <f t="shared" si="14"/>
        <v>2.9914529914529919E-2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21</v>
      </c>
      <c r="Y208" s="546">
        <f t="shared" si="10"/>
        <v>21.6</v>
      </c>
      <c r="Z208" s="36">
        <f>IFERROR(IF(Y208=0,"",ROUNDUP(Y208/H208,0)*0.00502),"")</f>
        <v>6.0240000000000002E-2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22.166666666666664</v>
      </c>
      <c r="BN208" s="64">
        <f t="shared" si="12"/>
        <v>22.8</v>
      </c>
      <c r="BO208" s="64">
        <f t="shared" si="13"/>
        <v>4.9857549857549859E-2</v>
      </c>
      <c r="BP208" s="64">
        <f t="shared" si="14"/>
        <v>5.1282051282051287E-2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75</v>
      </c>
      <c r="Y209" s="546">
        <f t="shared" si="10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79.166666666666671</v>
      </c>
      <c r="BN209" s="64">
        <f t="shared" si="12"/>
        <v>79.800000000000011</v>
      </c>
      <c r="BO209" s="64">
        <f t="shared" si="13"/>
        <v>0.17806267806267806</v>
      </c>
      <c r="BP209" s="64">
        <f t="shared" si="14"/>
        <v>0.17948717948717954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27</v>
      </c>
      <c r="Y210" s="546">
        <f t="shared" si="10"/>
        <v>27</v>
      </c>
      <c r="Z210" s="36">
        <f>IFERROR(IF(Y210=0,"",ROUNDUP(Y210/H210,0)*0.00502),"")</f>
        <v>7.5300000000000006E-2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28.499999999999996</v>
      </c>
      <c r="BN210" s="64">
        <f t="shared" si="12"/>
        <v>28.499999999999996</v>
      </c>
      <c r="BO210" s="64">
        <f t="shared" si="13"/>
        <v>6.4102564102564111E-2</v>
      </c>
      <c r="BP210" s="64">
        <f t="shared" si="14"/>
        <v>6.4102564102564111E-2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110.18518518518518</v>
      </c>
      <c r="Y211" s="547">
        <f>IFERROR(Y203/H203,"0")+IFERROR(Y204/H204,"0")+IFERROR(Y205/H205,"0")+IFERROR(Y206/H206,"0")+IFERROR(Y207/H207,"0")+IFERROR(Y208/H208,"0")+IFERROR(Y209/H209,"0")+IFERROR(Y210/H210,"0")</f>
        <v>112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0.70624000000000009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325</v>
      </c>
      <c r="Y212" s="547">
        <f>IFERROR(SUM(Y203:Y210),"0")</f>
        <v>331.2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250</v>
      </c>
      <c r="Y216" s="546">
        <f t="shared" si="15"/>
        <v>252.29999999999998</v>
      </c>
      <c r="Z216" s="36">
        <f>IFERROR(IF(Y216=0,"",ROUNDUP(Y216/H216,0)*0.01898),"")</f>
        <v>0.55042000000000002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264.19540229885058</v>
      </c>
      <c r="BN216" s="64">
        <f t="shared" si="17"/>
        <v>266.62600000000003</v>
      </c>
      <c r="BO216" s="64">
        <f t="shared" si="18"/>
        <v>0.44899425287356326</v>
      </c>
      <c r="BP216" s="64">
        <f t="shared" si="19"/>
        <v>0.453125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160</v>
      </c>
      <c r="Y217" s="546">
        <f t="shared" si="15"/>
        <v>160.79999999999998</v>
      </c>
      <c r="Z217" s="36">
        <f t="shared" ref="Z217:Z222" si="20">IFERROR(IF(Y217=0,"",ROUNDUP(Y217/H217,0)*0.00651),"")</f>
        <v>0.43617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178</v>
      </c>
      <c r="BN217" s="64">
        <f t="shared" si="17"/>
        <v>178.89</v>
      </c>
      <c r="BO217" s="64">
        <f t="shared" si="18"/>
        <v>0.36630036630036633</v>
      </c>
      <c r="BP217" s="64">
        <f t="shared" si="19"/>
        <v>0.36813186813186816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160</v>
      </c>
      <c r="Y219" s="546">
        <f t="shared" si="15"/>
        <v>160.79999999999998</v>
      </c>
      <c r="Z219" s="36">
        <f t="shared" si="20"/>
        <v>0.43617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176.80000000000004</v>
      </c>
      <c r="BN219" s="64">
        <f t="shared" si="17"/>
        <v>177.684</v>
      </c>
      <c r="BO219" s="64">
        <f t="shared" si="18"/>
        <v>0.36630036630036633</v>
      </c>
      <c r="BP219" s="64">
        <f t="shared" si="19"/>
        <v>0.36813186813186816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64</v>
      </c>
      <c r="Y221" s="546">
        <f t="shared" si="15"/>
        <v>64.8</v>
      </c>
      <c r="Z221" s="36">
        <f t="shared" si="20"/>
        <v>0.17577000000000001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70.720000000000013</v>
      </c>
      <c r="BN221" s="64">
        <f t="shared" si="17"/>
        <v>71.604000000000013</v>
      </c>
      <c r="BO221" s="64">
        <f t="shared" si="18"/>
        <v>0.14652014652014653</v>
      </c>
      <c r="BP221" s="64">
        <f t="shared" si="19"/>
        <v>0.14835164835164835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200</v>
      </c>
      <c r="Y222" s="546">
        <f t="shared" si="15"/>
        <v>201.6</v>
      </c>
      <c r="Z222" s="36">
        <f t="shared" si="20"/>
        <v>0.54683999999999999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221.50000000000003</v>
      </c>
      <c r="BN222" s="64">
        <f t="shared" si="17"/>
        <v>223.27200000000002</v>
      </c>
      <c r="BO222" s="64">
        <f t="shared" si="18"/>
        <v>0.45787545787545797</v>
      </c>
      <c r="BP222" s="64">
        <f t="shared" si="19"/>
        <v>0.46153846153846156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272.06896551724139</v>
      </c>
      <c r="Y223" s="547">
        <f>IFERROR(Y214/H214,"0")+IFERROR(Y215/H215,"0")+IFERROR(Y216/H216,"0")+IFERROR(Y217/H217,"0")+IFERROR(Y218/H218,"0")+IFERROR(Y219/H219,"0")+IFERROR(Y220/H220,"0")+IFERROR(Y221/H221,"0")+IFERROR(Y222/H222,"0")</f>
        <v>274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2.1453699999999998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834</v>
      </c>
      <c r="Y224" s="547">
        <f>IFERROR(SUM(Y214:Y222),"0")</f>
        <v>840.3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60</v>
      </c>
      <c r="Y227" s="546">
        <f>IFERROR(IF(X227="",0,CEILING((X227/$H227),1)*$H227),"")</f>
        <v>60</v>
      </c>
      <c r="Z227" s="36">
        <f>IFERROR(IF(Y227=0,"",ROUNDUP(Y227/H227,0)*0.00651),"")</f>
        <v>0.16275000000000001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66.300000000000011</v>
      </c>
      <c r="BN227" s="64">
        <f>IFERROR(Y227*I227/H227,"0")</f>
        <v>66.300000000000011</v>
      </c>
      <c r="BO227" s="64">
        <f>IFERROR(1/J227*(X227/H227),"0")</f>
        <v>0.13736263736263737</v>
      </c>
      <c r="BP227" s="64">
        <f>IFERROR(1/J227*(Y227/H227),"0")</f>
        <v>0.13736263736263737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25</v>
      </c>
      <c r="Z228" s="547">
        <f>IFERROR(IF(Z226="",0,Z226),"0")+IFERROR(IF(Z227="",0,Z227),"0")</f>
        <v>0.16275000000000001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60</v>
      </c>
      <c r="Y229" s="547">
        <f>IFERROR(SUM(Y226:Y227),"0")</f>
        <v>60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20.706896551724139</v>
      </c>
      <c r="BN232" s="64">
        <f t="shared" ref="BN232:BN240" si="23">IFERROR(Y232*I232/H232,"0")</f>
        <v>24.02</v>
      </c>
      <c r="BO232" s="64">
        <f t="shared" ref="BO232:BO240" si="24">IFERROR(1/J232*(X232/H232),"0")</f>
        <v>2.6939655172413795E-2</v>
      </c>
      <c r="BP232" s="64">
        <f t="shared" ref="BP232:BP240" si="25">IFERROR(1/J232*(Y232/H232),"0")</f>
        <v>3.125E-2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12</v>
      </c>
      <c r="Y235" s="546">
        <f t="shared" si="21"/>
        <v>12</v>
      </c>
      <c r="Z235" s="36">
        <f>IFERROR(IF(Y235=0,"",ROUNDUP(Y235/H235,0)*0.00902),"")</f>
        <v>2.7060000000000001E-2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12.57</v>
      </c>
      <c r="BN235" s="64">
        <f t="shared" si="23"/>
        <v>12.57</v>
      </c>
      <c r="BO235" s="64">
        <f t="shared" si="24"/>
        <v>2.2727272727272728E-2</v>
      </c>
      <c r="BP235" s="64">
        <f t="shared" si="25"/>
        <v>2.2727272727272728E-2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4.7241379310344831</v>
      </c>
      <c r="Y241" s="547">
        <f>IFERROR(Y232/H232,"0")+IFERROR(Y233/H233,"0")+IFERROR(Y234/H234,"0")+IFERROR(Y235/H235,"0")+IFERROR(Y236/H236,"0")+IFERROR(Y237/H237,"0")+IFERROR(Y238/H238,"0")+IFERROR(Y239/H239,"0")+IFERROR(Y240/H240,"0")</f>
        <v>5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6.5019999999999994E-2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32</v>
      </c>
      <c r="Y242" s="547">
        <f>IFERROR(SUM(Y232:Y240),"0")</f>
        <v>35.200000000000003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120</v>
      </c>
      <c r="Y280" s="546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50</v>
      </c>
      <c r="Y281" s="547">
        <f>IFERROR(Y278/H278,"0")+IFERROR(Y279/H279,"0")+IFERROR(Y280/H280,"0")</f>
        <v>50</v>
      </c>
      <c r="Z281" s="547">
        <f>IFERROR(IF(Z278="",0,Z278),"0")+IFERROR(IF(Z279="",0,Z279),"0")+IFERROR(IF(Z280="",0,Z280),"0")</f>
        <v>0.32550000000000001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120</v>
      </c>
      <c r="Y282" s="547">
        <f>IFERROR(SUM(Y278:Y280),"0")</f>
        <v>120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210</v>
      </c>
      <c r="Y308" s="546">
        <f t="shared" si="26"/>
        <v>210</v>
      </c>
      <c r="Z308" s="36">
        <f>IFERROR(IF(Y308=0,"",ROUNDUP(Y308/H308,0)*0.00502),"")</f>
        <v>0.502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220.00000000000003</v>
      </c>
      <c r="BN308" s="64">
        <f t="shared" si="28"/>
        <v>220.00000000000003</v>
      </c>
      <c r="BO308" s="64">
        <f t="shared" si="29"/>
        <v>0.42735042735042739</v>
      </c>
      <c r="BP308" s="64">
        <f t="shared" si="30"/>
        <v>0.42735042735042739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54</v>
      </c>
      <c r="Y309" s="546">
        <f t="shared" si="26"/>
        <v>54</v>
      </c>
      <c r="Z309" s="36">
        <f>IFERROR(IF(Y309=0,"",ROUNDUP(Y309/H309,0)*0.00651),"")</f>
        <v>0.1953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60.839999999999996</v>
      </c>
      <c r="BN309" s="64">
        <f t="shared" si="28"/>
        <v>60.839999999999996</v>
      </c>
      <c r="BO309" s="64">
        <f t="shared" si="29"/>
        <v>0.16483516483516486</v>
      </c>
      <c r="BP309" s="64">
        <f t="shared" si="30"/>
        <v>0.16483516483516486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130</v>
      </c>
      <c r="Y310" s="547">
        <f>IFERROR(Y304/H304,"0")+IFERROR(Y305/H305,"0")+IFERROR(Y306/H306,"0")+IFERROR(Y307/H307,"0")+IFERROR(Y308/H308,"0")+IFERROR(Y309/H309,"0")</f>
        <v>130</v>
      </c>
      <c r="Z310" s="547">
        <f>IFERROR(IF(Z304="",0,Z304),"0")+IFERROR(IF(Z305="",0,Z305),"0")+IFERROR(IF(Z306="",0,Z306),"0")+IFERROR(IF(Z307="",0,Z307),"0")+IFERROR(IF(Z308="",0,Z308),"0")+IFERROR(IF(Z309="",0,Z309),"0")</f>
        <v>0.69730000000000003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264</v>
      </c>
      <c r="Y311" s="547">
        <f>IFERROR(SUM(Y304:Y309),"0")</f>
        <v>264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500</v>
      </c>
      <c r="Y321" s="546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120</v>
      </c>
      <c r="Y322" s="546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127.05714285714285</v>
      </c>
      <c r="BN322" s="64">
        <f>IFERROR(Y322*I322/H322,"0")</f>
        <v>133.41</v>
      </c>
      <c r="BO322" s="64">
        <f>IFERROR(1/J322*(X322/H322),"0")</f>
        <v>0.2232142857142857</v>
      </c>
      <c r="BP322" s="64">
        <f>IFERROR(1/J322*(Y322/H322),"0")</f>
        <v>0.234375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78.388278388278394</v>
      </c>
      <c r="Y323" s="547">
        <f>IFERROR(Y320/H320,"0")+IFERROR(Y321/H321,"0")+IFERROR(Y322/H322,"0")</f>
        <v>80</v>
      </c>
      <c r="Z323" s="547">
        <f>IFERROR(IF(Z320="",0,Z320),"0")+IFERROR(IF(Z321="",0,Z321),"0")+IFERROR(IF(Z322="",0,Z322),"0")</f>
        <v>1.5184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620</v>
      </c>
      <c r="Y324" s="547">
        <f>IFERROR(SUM(Y320:Y322),"0")</f>
        <v>633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630</v>
      </c>
      <c r="Y341" s="546">
        <f>IFERROR(IF(X341="",0,CEILING((X341/$H341),1)*$H341),"")</f>
        <v>630</v>
      </c>
      <c r="Z341" s="36">
        <f>IFERROR(IF(Y341=0,"",ROUNDUP(Y341/H341,0)*0.00651),"")</f>
        <v>1.9530000000000001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705.59999999999991</v>
      </c>
      <c r="BN341" s="64">
        <f>IFERROR(Y341*I341/H341,"0")</f>
        <v>705.59999999999991</v>
      </c>
      <c r="BO341" s="64">
        <f>IFERROR(1/J341*(X341/H341),"0")</f>
        <v>1.6483516483516485</v>
      </c>
      <c r="BP341" s="64">
        <f>IFERROR(1/J341*(Y341/H341),"0")</f>
        <v>1.6483516483516485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420</v>
      </c>
      <c r="Y342" s="546">
        <f>IFERROR(IF(X342="",0,CEILING((X342/$H342),1)*$H342),"")</f>
        <v>420</v>
      </c>
      <c r="Z342" s="36">
        <f>IFERROR(IF(Y342=0,"",ROUNDUP(Y342/H342,0)*0.00651),"")</f>
        <v>1.302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467.99999999999994</v>
      </c>
      <c r="BN342" s="64">
        <f>IFERROR(Y342*I342/H342,"0")</f>
        <v>467.99999999999994</v>
      </c>
      <c r="BO342" s="64">
        <f>IFERROR(1/J342*(X342/H342),"0")</f>
        <v>1.098901098901099</v>
      </c>
      <c r="BP342" s="64">
        <f>IFERROR(1/J342*(Y342/H342),"0")</f>
        <v>1.098901098901099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500</v>
      </c>
      <c r="Y343" s="547">
        <f>IFERROR(Y340/H340,"0")+IFERROR(Y341/H341,"0")+IFERROR(Y342/H342,"0")</f>
        <v>500</v>
      </c>
      <c r="Z343" s="547">
        <f>IFERROR(IF(Z340="",0,Z340),"0")+IFERROR(IF(Z341="",0,Z341),"0")+IFERROR(IF(Z342="",0,Z342),"0")</f>
        <v>3.2549999999999999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1050</v>
      </c>
      <c r="Y344" s="547">
        <f>IFERROR(SUM(Y340:Y342),"0")</f>
        <v>1050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200</v>
      </c>
      <c r="Y348" s="546">
        <f t="shared" ref="Y348:Y354" si="31">IFERROR(IF(X348="",0,CEILING((X348/$H348),1)*$H348),"")</f>
        <v>210</v>
      </c>
      <c r="Z348" s="36">
        <f>IFERROR(IF(Y348=0,"",ROUNDUP(Y348/H348,0)*0.02175),"")</f>
        <v>0.30449999999999999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206.26666666666668</v>
      </c>
      <c r="BN348" s="64">
        <f t="shared" ref="BN348:BN354" si="33">IFERROR(Y348*I348/H348,"0")</f>
        <v>216.58</v>
      </c>
      <c r="BO348" s="64">
        <f t="shared" ref="BO348:BO354" si="34">IFERROR(1/J348*(X348/H348),"0")</f>
        <v>0.27777777777777779</v>
      </c>
      <c r="BP348" s="64">
        <f t="shared" ref="BP348:BP354" si="35">IFERROR(1/J348*(Y348/H348),"0")</f>
        <v>0.29166666666666663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450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464.1</v>
      </c>
      <c r="BN349" s="64">
        <f t="shared" si="33"/>
        <v>464.1</v>
      </c>
      <c r="BO349" s="64">
        <f t="shared" si="34"/>
        <v>0.625</v>
      </c>
      <c r="BP349" s="64">
        <f t="shared" si="35"/>
        <v>0.625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2000</v>
      </c>
      <c r="Y350" s="546">
        <f t="shared" si="31"/>
        <v>2010</v>
      </c>
      <c r="Z350" s="36">
        <f>IFERROR(IF(Y350=0,"",ROUNDUP(Y350/H350,0)*0.02175),"")</f>
        <v>2.9144999999999999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2062.6666666666665</v>
      </c>
      <c r="BN350" s="64">
        <f t="shared" si="33"/>
        <v>2072.98</v>
      </c>
      <c r="BO350" s="64">
        <f t="shared" si="34"/>
        <v>2.7777777777777777</v>
      </c>
      <c r="BP350" s="64">
        <f t="shared" si="35"/>
        <v>2.7916666666666665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250</v>
      </c>
      <c r="Y351" s="546">
        <f t="shared" si="3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257.83333333333331</v>
      </c>
      <c r="BN351" s="64">
        <f t="shared" si="33"/>
        <v>262.99</v>
      </c>
      <c r="BO351" s="64">
        <f t="shared" si="34"/>
        <v>0.34722222222222221</v>
      </c>
      <c r="BP351" s="64">
        <f t="shared" si="35"/>
        <v>0.35416666666666663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75</v>
      </c>
      <c r="Y354" s="546">
        <f t="shared" si="31"/>
        <v>75</v>
      </c>
      <c r="Z354" s="36">
        <f>IFERROR(IF(Y354=0,"",ROUNDUP(Y354/H354,0)*0.00902),"")</f>
        <v>0.1353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77.850000000000009</v>
      </c>
      <c r="BN354" s="64">
        <f t="shared" si="33"/>
        <v>77.850000000000009</v>
      </c>
      <c r="BO354" s="64">
        <f t="shared" si="34"/>
        <v>0.11363636363636365</v>
      </c>
      <c r="BP354" s="64">
        <f t="shared" si="35"/>
        <v>0.11363636363636365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208.33333333333334</v>
      </c>
      <c r="Y355" s="547">
        <f>IFERROR(Y348/H348,"0")+IFERROR(Y349/H349,"0")+IFERROR(Y350/H350,"0")+IFERROR(Y351/H351,"0")+IFERROR(Y352/H352,"0")+IFERROR(Y353/H353,"0")+IFERROR(Y354/H354,"0")</f>
        <v>210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4.3765499999999999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2975</v>
      </c>
      <c r="Y356" s="547">
        <f>IFERROR(SUM(Y348:Y354),"0")</f>
        <v>3000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1000</v>
      </c>
      <c r="Y358" s="546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66.666666666666671</v>
      </c>
      <c r="Y360" s="547">
        <f>IFERROR(Y358/H358,"0")+IFERROR(Y359/H359,"0")</f>
        <v>67</v>
      </c>
      <c r="Z360" s="547">
        <f>IFERROR(IF(Z358="",0,Z358),"0")+IFERROR(IF(Z359="",0,Z359),"0")</f>
        <v>1.4572499999999999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1000</v>
      </c>
      <c r="Y361" s="547">
        <f>IFERROR(SUM(Y358:Y359),"0")</f>
        <v>1005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50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52.74444444444444</v>
      </c>
      <c r="BN368" s="64">
        <f>IFERROR(Y368*I368/H368,"0")</f>
        <v>56.963999999999992</v>
      </c>
      <c r="BO368" s="64">
        <f>IFERROR(1/J368*(X368/H368),"0")</f>
        <v>8.6805555555555552E-2</v>
      </c>
      <c r="BP368" s="64">
        <f>IFERROR(1/J368*(Y368/H368),"0")</f>
        <v>9.375E-2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5.5555555555555554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50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35</v>
      </c>
      <c r="Y398" s="546">
        <f t="shared" si="36"/>
        <v>35.700000000000003</v>
      </c>
      <c r="Z398" s="36">
        <f t="shared" si="41"/>
        <v>8.5339999999999999E-2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37.166666666666664</v>
      </c>
      <c r="BN398" s="64">
        <f t="shared" si="38"/>
        <v>37.910000000000004</v>
      </c>
      <c r="BO398" s="64">
        <f t="shared" si="39"/>
        <v>7.1225071225071226E-2</v>
      </c>
      <c r="BP398" s="64">
        <f t="shared" si="40"/>
        <v>7.2649572649572655E-2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36.666666666666664</v>
      </c>
      <c r="Y400" s="547">
        <f>IFERROR(Y391/H391,"0")+IFERROR(Y392/H392,"0")+IFERROR(Y393/H393,"0")+IFERROR(Y394/H394,"0")+IFERROR(Y395/H395,"0")+IFERROR(Y396/H396,"0")+IFERROR(Y397/H397,"0")+IFERROR(Y398/H398,"0")+IFERROR(Y399/H399,"0")</f>
        <v>37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0.18574000000000002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77</v>
      </c>
      <c r="Y401" s="547">
        <f>IFERROR(SUM(Y391:Y399),"0")</f>
        <v>77.7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30</v>
      </c>
      <c r="Y427" s="546">
        <f t="shared" ref="Y427:Y438" si="42">IFERROR(IF(X427="",0,CEILING((X427/$H427),1)*$H427),"")</f>
        <v>31.68</v>
      </c>
      <c r="Z427" s="36">
        <f t="shared" ref="Z427:Z433" si="43">IFERROR(IF(Y427=0,"",ROUNDUP(Y427/H427,0)*0.01196),"")</f>
        <v>7.1760000000000004E-2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31.988636363636363</v>
      </c>
      <c r="BN427" s="64">
        <f t="shared" ref="BN427:BN438" si="45">IFERROR(Y427*I427/H427,"0")</f>
        <v>33.779999999999994</v>
      </c>
      <c r="BO427" s="64">
        <f t="shared" ref="BO427:BO438" si="46">IFERROR(1/J427*(X427/H427),"0")</f>
        <v>5.4632867132867136E-2</v>
      </c>
      <c r="BP427" s="64">
        <f t="shared" ref="BP427:BP438" si="47">IFERROR(1/J427*(Y427/H427),"0")</f>
        <v>5.7692307692307696E-2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150</v>
      </c>
      <c r="Y435" s="546">
        <f t="shared" si="42"/>
        <v>153.6</v>
      </c>
      <c r="Z435" s="36">
        <f>IFERROR(IF(Y435=0,"",ROUNDUP(Y435/H435,0)*0.00902),"")</f>
        <v>0.28864000000000001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215.9375</v>
      </c>
      <c r="BN435" s="64">
        <f t="shared" si="45"/>
        <v>221.12</v>
      </c>
      <c r="BO435" s="64">
        <f t="shared" si="46"/>
        <v>0.23674242424242425</v>
      </c>
      <c r="BP435" s="64">
        <f t="shared" si="47"/>
        <v>0.24242424242424243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210</v>
      </c>
      <c r="Y438" s="546">
        <f t="shared" si="42"/>
        <v>211.2</v>
      </c>
      <c r="Z438" s="36">
        <f>IFERROR(IF(Y438=0,"",ROUNDUP(Y438/H438,0)*0.00902),"")</f>
        <v>0.39688000000000001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302.31250000000006</v>
      </c>
      <c r="BN438" s="64">
        <f t="shared" si="45"/>
        <v>304.04000000000002</v>
      </c>
      <c r="BO438" s="64">
        <f t="shared" si="46"/>
        <v>0.33143939393939392</v>
      </c>
      <c r="BP438" s="64">
        <f t="shared" si="47"/>
        <v>0.33333333333333337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80.681818181818187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82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0.75727999999999995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390</v>
      </c>
      <c r="Y440" s="547">
        <f>IFERROR(SUM(Y427:Y438),"0")</f>
        <v>396.48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100</v>
      </c>
      <c r="Y442" s="546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18.939393939393938</v>
      </c>
      <c r="Y445" s="547">
        <f>IFERROR(Y442/H442,"0")+IFERROR(Y443/H443,"0")+IFERROR(Y444/H444,"0")</f>
        <v>19</v>
      </c>
      <c r="Z445" s="547">
        <f>IFERROR(IF(Z442="",0,Z442),"0")+IFERROR(IF(Z443="",0,Z443),"0")+IFERROR(IF(Z444="",0,Z444),"0")</f>
        <v>0.22724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100</v>
      </c>
      <c r="Y446" s="547">
        <f>IFERROR(SUM(Y442:Y444),"0")</f>
        <v>100.32000000000001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30</v>
      </c>
      <c r="Y449" s="546">
        <f t="shared" si="48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31.988636363636363</v>
      </c>
      <c r="BN449" s="64">
        <f t="shared" si="50"/>
        <v>33.779999999999994</v>
      </c>
      <c r="BO449" s="64">
        <f t="shared" si="51"/>
        <v>5.4632867132867136E-2</v>
      </c>
      <c r="BP449" s="64">
        <f t="shared" si="52"/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100</v>
      </c>
      <c r="Y450" s="546">
        <f t="shared" si="4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106.62878787878788</v>
      </c>
      <c r="BN450" s="64">
        <f t="shared" si="50"/>
        <v>106.97</v>
      </c>
      <c r="BO450" s="64">
        <f t="shared" si="51"/>
        <v>0.18210955710955709</v>
      </c>
      <c r="BP450" s="64">
        <f t="shared" si="52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129.5625</v>
      </c>
      <c r="BN451" s="64">
        <f t="shared" si="50"/>
        <v>131.29000000000002</v>
      </c>
      <c r="BO451" s="64">
        <f t="shared" si="51"/>
        <v>0.14204545454545456</v>
      </c>
      <c r="BP451" s="64">
        <f t="shared" si="52"/>
        <v>0.14393939393939395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30</v>
      </c>
      <c r="Y453" s="546">
        <f t="shared" si="48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41.6875</v>
      </c>
      <c r="BN453" s="64">
        <f t="shared" si="50"/>
        <v>46.69</v>
      </c>
      <c r="BO453" s="64">
        <f t="shared" si="51"/>
        <v>4.7348484848484848E-2</v>
      </c>
      <c r="BP453" s="64">
        <f t="shared" si="52"/>
        <v>5.3030303030303039E-2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53.371212121212118</v>
      </c>
      <c r="Y454" s="547">
        <f>IFERROR(Y448/H448,"0")+IFERROR(Y449/H449,"0")+IFERROR(Y450/H450,"0")+IFERROR(Y451/H451,"0")+IFERROR(Y452/H452,"0")+IFERROR(Y453/H453,"0")</f>
        <v>55</v>
      </c>
      <c r="Z454" s="547">
        <f>IFERROR(IF(Z448="",0,Z448),"0")+IFERROR(IF(Z449="",0,Z449),"0")+IFERROR(IF(Z450="",0,Z450),"0")+IFERROR(IF(Z451="",0,Z451),"0")+IFERROR(IF(Z452="",0,Z452),"0")+IFERROR(IF(Z453="",0,Z453),"0")</f>
        <v>0.5696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268</v>
      </c>
      <c r="Y455" s="547">
        <f>IFERROR(SUM(Y448:Y453),"0")</f>
        <v>276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80</v>
      </c>
      <c r="Y461" s="546">
        <f>IFERROR(IF(X461="",0,CEILING((X461/$H461),1)*$H461),"")</f>
        <v>84</v>
      </c>
      <c r="Z461" s="36">
        <f>IFERROR(IF(Y461=0,"",ROUNDUP(Y461/H461,0)*0.01898),"")</f>
        <v>0.13286000000000001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82.733333333333334</v>
      </c>
      <c r="BN461" s="64">
        <f>IFERROR(Y461*I461/H461,"0")</f>
        <v>86.87</v>
      </c>
      <c r="BO461" s="64">
        <f>IFERROR(1/J461*(X461/H461),"0")</f>
        <v>0.10416666666666667</v>
      </c>
      <c r="BP461" s="64">
        <f>IFERROR(1/J461*(Y461/H461),"0")</f>
        <v>0.109375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6.666666666666667</v>
      </c>
      <c r="Y463" s="547">
        <f>IFERROR(Y459/H459,"0")+IFERROR(Y460/H460,"0")+IFERROR(Y461/H461,"0")+IFERROR(Y462/H462,"0")</f>
        <v>7</v>
      </c>
      <c r="Z463" s="547">
        <f>IFERROR(IF(Z459="",0,Z459),"0")+IFERROR(IF(Z460="",0,Z460),"0")+IFERROR(IF(Z461="",0,Z461),"0")+IFERROR(IF(Z462="",0,Z462),"0")</f>
        <v>0.13286000000000001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80</v>
      </c>
      <c r="Y464" s="547">
        <f>IFERROR(SUM(Y459:Y462),"0")</f>
        <v>84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900</v>
      </c>
      <c r="Y475" s="546">
        <f>IFERROR(IF(X475="",0,CEILING((X475/$H475),1)*$H475),"")</f>
        <v>900</v>
      </c>
      <c r="Z475" s="36">
        <f>IFERROR(IF(Y475=0,"",ROUNDUP(Y475/H475,0)*0.01898),"")</f>
        <v>1.8980000000000001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949.40000000000009</v>
      </c>
      <c r="BN475" s="64">
        <f>IFERROR(Y475*I475/H475,"0")</f>
        <v>949.40000000000009</v>
      </c>
      <c r="BO475" s="64">
        <f>IFERROR(1/J475*(X475/H475),"0")</f>
        <v>1.5625</v>
      </c>
      <c r="BP475" s="64">
        <f>IFERROR(1/J475*(Y475/H475),"0")</f>
        <v>1.5625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100</v>
      </c>
      <c r="Y476" s="547">
        <f>IFERROR(Y475/H475,"0")</f>
        <v>100</v>
      </c>
      <c r="Z476" s="547">
        <f>IFERROR(IF(Z475="",0,Z475),"0")</f>
        <v>1.8980000000000001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900</v>
      </c>
      <c r="Y477" s="547">
        <f>IFERROR(SUM(Y475:Y475),"0")</f>
        <v>900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12997.9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13135.38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13928.558043075487</v>
      </c>
      <c r="Y489" s="547">
        <f>IFERROR(SUM(BN22:BN485),"0")</f>
        <v>14076.754000000004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24</v>
      </c>
      <c r="Y490" s="38">
        <f>ROUNDUP(SUM(BP22:BP485),0)</f>
        <v>24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14528.558043075487</v>
      </c>
      <c r="Y491" s="547">
        <f>GrossWeightTotalR+PalletQtyTotalR*25</f>
        <v>14676.754000000004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2714.4666089551142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2737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27.132860000000001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275.60000000000002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1078.8000000000002</v>
      </c>
      <c r="E498" s="46">
        <f>IFERROR(Y84*1,"0")+IFERROR(Y85*1,"0")+IFERROR(Y86*1,"0")+IFERROR(Y87*1,"0")+IFERROR(Y91*1,"0")+IFERROR(Y92*1,"0")+IFERROR(Y93*1,"0")+IFERROR(Y94*1,"0")</f>
        <v>811.8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1032.52</v>
      </c>
      <c r="G498" s="46">
        <f>IFERROR(Y126*1,"0")+IFERROR(Y127*1,"0")+IFERROR(Y131*1,"0")+IFERROR(Y132*1,"0")+IFERROR(Y136*1,"0")+IFERROR(Y137*1,"0")</f>
        <v>82.16</v>
      </c>
      <c r="H498" s="46">
        <f>IFERROR(Y142*1,"0")+IFERROR(Y143*1,"0")+IFERROR(Y147*1,"0")+IFERROR(Y148*1,"0")+IFERROR(Y149*1,"0")+IFERROR(Y150*1,"0")+IFERROR(Y151*1,"0")+IFERROR(Y155*1,"0")</f>
        <v>235.20000000000002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384.9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1231.4999999999998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42.400000000000006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120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897</v>
      </c>
      <c r="R498" s="46">
        <f>IFERROR(Y340*1,"0")+IFERROR(Y341*1,"0")+IFERROR(Y342*1,"0")</f>
        <v>1050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4059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77.7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772.80000000000018</v>
      </c>
      <c r="Y498" s="46">
        <f>IFERROR(Y459*1,"0")+IFERROR(Y460*1,"0")+IFERROR(Y461*1,"0")+IFERROR(Y462*1,"0")+IFERROR(Y466*1,"0")+IFERROR(Y467*1,"0")+IFERROR(Y471*1,"0")+IFERROR(Y475*1,"0")+IFERROR(Y479*1,"0")+IFERROR(Y480*1,"0")</f>
        <v>984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0,00"/>
        <filter val="100,00"/>
        <filter val="110,19"/>
        <filter val="12 997,90"/>
        <filter val="12,00"/>
        <filter val="120,00"/>
        <filter val="122,50"/>
        <filter val="125,31"/>
        <filter val="13 928,56"/>
        <filter val="13,33"/>
        <filter val="130,00"/>
        <filter val="14 528,56"/>
        <filter val="140,00"/>
        <filter val="150,00"/>
        <filter val="160,00"/>
        <filter val="160,76"/>
        <filter val="18,00"/>
        <filter val="18,75"/>
        <filter val="18,94"/>
        <filter val="180,00"/>
        <filter val="182,20"/>
        <filter val="2 000,00"/>
        <filter val="2 714,47"/>
        <filter val="2 975,00"/>
        <filter val="2,20"/>
        <filter val="2,40"/>
        <filter val="20,00"/>
        <filter val="200,00"/>
        <filter val="206,05"/>
        <filter val="208,33"/>
        <filter val="21,00"/>
        <filter val="210,00"/>
        <filter val="225,00"/>
        <filter val="230,00"/>
        <filter val="24"/>
        <filter val="25,00"/>
        <filter val="250,00"/>
        <filter val="26,40"/>
        <filter val="264,00"/>
        <filter val="268,00"/>
        <filter val="27,00"/>
        <filter val="270,00"/>
        <filter val="272,07"/>
        <filter val="3,33"/>
        <filter val="3,85"/>
        <filter val="30,00"/>
        <filter val="315,00"/>
        <filter val="32,00"/>
        <filter val="325,00"/>
        <filter val="35,00"/>
        <filter val="36,67"/>
        <filter val="365,00"/>
        <filter val="374,80"/>
        <filter val="385,00"/>
        <filter val="390,00"/>
        <filter val="4,72"/>
        <filter val="400,00"/>
        <filter val="405,00"/>
        <filter val="415,00"/>
        <filter val="42,00"/>
        <filter val="420,00"/>
        <filter val="450,00"/>
        <filter val="49,50"/>
        <filter val="5,56"/>
        <filter val="50,00"/>
        <filter val="500,00"/>
        <filter val="53,37"/>
        <filter val="54,00"/>
        <filter val="54,76"/>
        <filter val="56,48"/>
        <filter val="6,00"/>
        <filter val="6,67"/>
        <filter val="60,00"/>
        <filter val="620,00"/>
        <filter val="630,00"/>
        <filter val="64,00"/>
        <filter val="66,67"/>
        <filter val="670,00"/>
        <filter val="70,00"/>
        <filter val="75,00"/>
        <filter val="77,00"/>
        <filter val="78,39"/>
        <filter val="79,26"/>
        <filter val="80,00"/>
        <filter val="80,68"/>
        <filter val="817,00"/>
        <filter val="834,00"/>
        <filter val="87,50"/>
        <filter val="90,00"/>
        <filter val="900,00"/>
        <filter val="96,30"/>
        <filter val="97,04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