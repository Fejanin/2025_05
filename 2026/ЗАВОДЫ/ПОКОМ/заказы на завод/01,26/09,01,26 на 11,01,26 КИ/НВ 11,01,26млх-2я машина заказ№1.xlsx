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97897C8-6FB6-4C45-82C0-2F79686858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Z268" i="1" s="1"/>
  <c r="BP307" i="1"/>
  <c r="BN307" i="1"/>
  <c r="Z307" i="1"/>
  <c r="BP335" i="1"/>
  <c r="BN335" i="1"/>
  <c r="Z335" i="1"/>
  <c r="Z338" i="1" s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Y37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419" i="1"/>
  <c r="Z382" i="1"/>
  <c r="Z407" i="1"/>
  <c r="Z332" i="1"/>
  <c r="Z259" i="1"/>
  <c r="Z479" i="1"/>
  <c r="Z367" i="1"/>
  <c r="Z96" i="1"/>
  <c r="Z89" i="1"/>
  <c r="Z58" i="1"/>
  <c r="Y496" i="1"/>
  <c r="Z119" i="1"/>
  <c r="Z388" i="1"/>
  <c r="Z357" i="1"/>
  <c r="Z319" i="1"/>
  <c r="Z276" i="1"/>
  <c r="Z243" i="1"/>
  <c r="Z456" i="1"/>
  <c r="Z187" i="1"/>
  <c r="Z129" i="1"/>
  <c r="Y497" i="1"/>
  <c r="X498" i="1"/>
  <c r="Z345" i="1"/>
  <c r="Z230" i="1"/>
  <c r="Z134" i="1"/>
  <c r="Z402" i="1"/>
  <c r="Z213" i="1"/>
  <c r="Z441" i="1"/>
  <c r="Z469" i="1"/>
  <c r="Z325" i="1"/>
  <c r="Z154" i="1"/>
  <c r="Z44" i="1"/>
  <c r="Z32" i="1"/>
  <c r="Y499" i="1"/>
  <c r="Z312" i="1"/>
  <c r="Z303" i="1"/>
  <c r="Z283" i="1"/>
  <c r="Z225" i="1"/>
  <c r="Z181" i="1"/>
  <c r="Z112" i="1"/>
  <c r="Z105" i="1"/>
  <c r="Y495" i="1"/>
  <c r="Y498" i="1" l="1"/>
  <c r="Z500" i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<sst xmlns="http://schemas.openxmlformats.org/spreadsheetml/2006/main" count="2359" uniqueCount="782">
  <si>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</si>
  <si>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</si>
  <si>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</si>
  <si>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</si>
  <si>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</si>
  <si>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</si>
  <si>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</si>
  <si>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</si>
  <si>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</si>
  <si>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</si>
  <si>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</si>
  <si>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</si>
  <si>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</si>
  <si>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</si>
  <si>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</si>
  <si>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</si>
  <si>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</si>
  <si>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</si>
  <si>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</si>
  <si>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</si>
  <si>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</si>
  <si>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</si>
  <si>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</si>
  <si>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</si>
  <si>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</si>
  <si>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</si>
  <si>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</si>
  <si>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</si>
  <si>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</si>
  <si>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</si>
  <si>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</si>
  <si>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</si>
  <si>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</si>
  <si>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</si>
  <si>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</si>
  <si>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</si>
  <si>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</si>
  <si>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</si>
  <si>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</si>
  <si>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</si>
  <si>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</si>
  <si>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</si>
  <si>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</si>
  <si>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</si>
  <si>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</si>
  <si>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</si>
  <si>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</si>
  <si>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</si>
  <si>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</si>
  <si>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</si>
  <si>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</si>
  <si>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</si>
  <si>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</si>
  <si>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</si>
  <si>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</si>
  <si>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</si>
  <si>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</si>
  <si>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</si>
  <si>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</si>
  <si>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</si>
  <si>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</si>
  <si>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</si>
  <si>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</si>
  <si>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</si>
  <si>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</si>
  <si>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</si>
  <si>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</si>
  <si>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</si>
  <si>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</si>
  <si>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</si>
  <si>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</si>
  <si>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</si>
  <si>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</si>
  <si>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</si>
  <si>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</si>
  <si>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</si>
  <si>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</si>
  <si>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</si>
  <si>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</si>
  <si>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</si>
  <si>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</si>
  <si>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</si>
  <si>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</si>
  <si>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</si>
  <si>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</si>
  <si>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</si>
  <si>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</si>
  <si>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</si>
  <si>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</si>
  <si>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</si>
  <si>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</si>
  <si>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</si>
  <si>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</si>
  <si>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</si>
  <si>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</si>
  <si>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</si>
  <si>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</si>
  <si>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</si>
  <si>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</si>
  <si>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</si>
  <si>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</si>
  <si>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</si>
  <si>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</si>
  <si>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</si>
  <si>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</si>
  <si>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</si>
  <si>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</si>
  <si>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</si>
  <si>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</si>
  <si>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</si>
  <si>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</si>
  <si>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</si>
  <si>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</si>
  <si>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</si>
  <si>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</si>
  <si>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</si>
  <si>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</si>
  <si>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</si>
  <si>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</si>
  <si>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</si>
  <si>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</si>
  <si>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</si>
  <si>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</si>
  <si>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</si>
  <si>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</si>
  <si>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</si>
  <si>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</si>
  <si>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</si>
  <si>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</si>
  <si>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</si>
  <si>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</si>
  <si>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</si>
  <si>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</si>
  <si>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</si>
  <si>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</si>
  <si>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</si>
  <si>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</si>
  <si>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</si>
  <si>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</si>
  <si>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</si>
  <si>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</si>
  <si>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</si>
  <si>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</si>
  <si>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</si>
  <si>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</si>
  <si>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</si>
  <si>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</si>
  <si>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</si>
  <si>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</si>
  <si>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</si>
  <si>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</si>
  <si>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</si>
  <si>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</si>
  <si>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</si>
  <si>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</si>
  <si>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</si>
  <si>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</si>
  <si>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</si>
  <si>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</si>
  <si>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</si>
  <si>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</si>
  <si>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</si>
  <si>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</si>
  <si>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</si>
  <si>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</si>
  <si>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</si>
  <si>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</si>
  <si>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</si>
  <si>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</si>
  <si>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</si>
  <si>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</si>
  <si>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</si>
  <si>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</si>
  <si>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</si>
  <si>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</si>
  <si>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</si>
  <si>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</si>
  <si>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</si>
  <si>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</si>
  <si>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</si>
  <si>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</si>
  <si>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</si>
  <si>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</si>
  <si>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</si>
  <si>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</si>
  <si>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</si>
  <si>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</si>
  <si>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</si>
  <si>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</si>
  <si>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</si>
  <si>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</si>
  <si>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</si>
  <si>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</si>
  <si>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</si>
  <si>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</si>
  <si>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</si>
  <si>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</si>
  <si>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</si>
  <si>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</si>
  <si>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</si>
  <si>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</si>
  <si>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</si>
  <si>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</si>
  <si>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</si>
  <si>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</si>
  <si>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</si>
  <si>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</si>
  <si>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</si>
  <si>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</si>
  <si>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</si>
  <si>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</si>
  <si>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</si>
  <si>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</si>
  <si>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</si>
  <si>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</si>
  <si>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</si>
  <si>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</si>
  <si>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</si>
  <si>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</si>
  <si>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</si>
  <si>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</si>
  <si>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</si>
  <si>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</si>
  <si>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</si>
  <si>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</si>
  <si>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</si>
  <si>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</si>
  <si>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</si>
  <si>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</si>
  <si>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</si>
  <si>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</si>
  <si>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</si>
  <si>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</si>
  <si>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</si>
  <si>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</si>
  <si>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</si>
  <si>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</si>
  <si>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</si>
  <si>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</si>
  <si>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</si>
  <si>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</si>
  <si>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</si>
  <si>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</si>
  <si>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</si>
  <si>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</si>
  <si>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</si>
  <si>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</si>
  <si>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</si>
  <si>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</si>
  <si>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</si>
  <si>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</si>
  <si>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</si>
  <si>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</si>
  <si>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</si>
  <si>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</si>
  <si>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</si>
  <si>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</si>
  <si>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</si>
  <si>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</si>
  <si>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</si>
  <si>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</si>
  <si>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</si>
  <si>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</si>
  <si>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</si>
  <si>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</si>
  <si>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</si>
  <si>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</si>
  <si>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</si>
  <si>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</si>
  <si>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</si>
  <si>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</si>
  <si>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</si>
  <si>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</si>
  <si>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</si>
  <si>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</si>
  <si>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</si>
  <si>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</si>
  <si>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</si>
  <si>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</si>
  <si>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</si>
  <si>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</si>
  <si>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</si>
  <si>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</si>
  <si>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</si>
  <si>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</si>
  <si>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</si>
  <si>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</si>
  <si>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</si>
  <si>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</si>
  <si>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</si>
  <si>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</si>
  <si>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</si>
  <si>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</si>
  <si>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</si>
  <si>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</si>
  <si>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</si>
  <si>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</si>
  <si>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</si>
  <si>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</si>
  <si>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</si>
  <si>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</si>
  <si>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</si>
  <si>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</si>
  <si>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</si>
  <si>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</si>
  <si>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</si>
  <si>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</si>
  <si>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</si>
  <si>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</si>
  <si>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</si>
  <si>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</si>
  <si>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</si>
  <si>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</si>
  <si>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</si>
  <si>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</si>
  <si>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</si>
  <si>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</si>
  <si>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</si>
  <si>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</si>
  <si>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</si>
  <si>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</si>
  <si>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</si>
  <si>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</si>
  <si>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</si>
  <si>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</si>
  <si>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</si>
  <si>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</si>
  <si>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</si>
  <si>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</si>
  <si>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</si>
  <si>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</si>
  <si>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</si>
  <si>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</si>
  <si>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</si>
  <si>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</si>
  <si>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</si>
  <si>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</si>
  <si>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</si>
  <si>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</si>
  <si>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</si>
  <si>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</si>
  <si>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</si>
  <si>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</si>
  <si>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</si>
  <si>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</si>
  <si>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</si>
  <si>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</si>
  <si>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</si>
  <si>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</si>
  <si>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</si>
  <si>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</si>
  <si>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</si>
  <si>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</si>
  <si>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</si>
  <si>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</si>
  <si>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</si>
  <si>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</si>
  <si>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</si>
  <si>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</si>
  <si>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</si>
  <si>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</si>
  <si>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</si>
  <si>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</si>
  <si>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</si>
  <si>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</si>
  <si>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</si>
  <si>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</si>
  <si>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</si>
  <si>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</si>
  <si>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</si>
  <si>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</si>
  <si>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</si>
  <si>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</si>
  <si>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</si>
  <si>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</si>
  <si>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</si>
  <si>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</si>
  <si>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</si>
  <si>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</si>
  <si>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</si>
  <si>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</si>
  <si>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</si>
  <si>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</si>
  <si>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</si>
  <si>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</si>
  <si>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</si>
  <si>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</si>
  <si>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</si>
  <si>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</si>
  <si>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</si>
  <si>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</si>
  <si>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</si>
  <si>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</si>
  <si>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</si>
  <si>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</si>
  <si>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</si>
  <si>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</si>
  <si>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</si>
  <si>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</si>
  <si>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</si>
  <si>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</si>
  <si>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</si>
  <si>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</si>
  <si>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</si>
  <si>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</si>
  <si>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</si>
  <si>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</si>
  <si>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</si>
  <si>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</si>
  <si>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</si>
  <si>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</si>
  <si>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</si>
  <si>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</si>
  <si>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</si>
  <si>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</si>
  <si>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</si>
  <si>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</si>
  <si>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</si>
  <si>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</si>
  <si>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</si>
  <si>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</si>
  <si>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</si>
  <si>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</si>
  <si>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</si>
  <si>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</si>
  <si>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</si>
  <si>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</si>
  <si>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</si>
  <si>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</si>
  <si>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</si>
  <si>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</si>
  <si>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</si>
  <si>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</si>
  <si>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</si>
  <si>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</si>
  <si>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</si>
  <si>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</si>
  <si>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</si>
  <si>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</si>
  <si>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</si>
  <si>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</si>
  <si>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</si>
  <si>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</si>
  <si>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</si>
  <si>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</si>
  <si>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</si>
  <si>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</si>
  <si>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</si>
  <si>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</si>
  <si>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</si>
  <si>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</si>
  <si>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</si>
  <si>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</si>
  <si>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</si>
  <si>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</si>
  <si>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</si>
  <si>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</si>
  <si>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</si>
  <si>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</si>
  <si>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</si>
  <si>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</si>
  <si>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</si>
  <si>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</si>
  <si>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</si>
  <si>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</si>
  <si>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</si>
  <si>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</si>
  <si>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</si>
  <si>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</si>
  <si>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</si>
  <si>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</si>
  <si>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</si>
  <si>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</si>
  <si>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</si>
  <si>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</si>
  <si>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</si>
  <si>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</si>
  <si>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</si>
  <si>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</si>
  <si>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</si>
  <si>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</si>
  <si>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</si>
  <si>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</si>
  <si>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</si>
  <si>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</si>
  <si>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</si>
  <si>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</si>
  <si>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</si>
  <si>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</si>
  <si>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</si>
  <si>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</si>
  <si>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</si>
  <si>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</si>
  <si>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</si>
  <si>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</si>
  <si>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</si>
  <si>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</si>
  <si>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</si>
  <si>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</si>
  <si>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</si>
  <si>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</si>
  <si>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</si>
  <si>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</si>
  <si>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</si>
  <si>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</si>
  <si>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</si>
  <si>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</si>
  <si>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</si>
  <si>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</si>
  <si>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</si>
  <si>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</si>
  <si>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</si>
  <si>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</si>
  <si>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</si>
  <si>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</si>
  <si>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</si>
  <si>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</si>
  <si>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</si>
  <si>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</si>
  <si>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</si>
  <si>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</si>
  <si>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</si>
  <si>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</si>
  <si>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</si>
  <si>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</si>
  <si>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</si>
  <si>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</si>
  <si>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</si>
  <si>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</si>
  <si>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</si>
  <si>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</si>
  <si>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</si>
  <si>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</si>
  <si>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</si>
  <si>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</si>
  <si>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</si>
  <si>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</si>
  <si>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</si>
  <si>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</si>
  <si>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</si>
  <si>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</si>
  <si>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</si>
  <si>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</si>
  <si>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</si>
  <si>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</si>
  <si>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</si>
  <si>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</si>
  <si>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</si>
  <si>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</si>
  <si>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</si>
  <si>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</si>
  <si>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</si>
  <si>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</si>
  <si>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</si>
  <si>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</si>
  <si>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</si>
  <si>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</si>
  <si>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</si>
  <si>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</si>
  <si>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</si>
  <si>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</si>
  <si>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</si>
  <si>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</si>
  <si>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</si>
  <si>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</si>
  <si>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</si>
  <si>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</si>
  <si>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</si>
  <si>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</si>
  <si>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</si>
  <si>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</si>
  <si>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</si>
  <si>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</si>
  <si>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</si>
  <si>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</si>
  <si>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</si>
  <si>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</si>
  <si>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</si>
  <si>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</si>
  <si>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</si>
  <si>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</si>
  <si>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</si>
  <si>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</si>
  <si>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</si>
  <si>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</si>
  <si>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</si>
  <si>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</si>
  <si>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</si>
  <si>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</si>
  <si>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</si>
  <si>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</si>
  <si>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</si>
  <si>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</si>
  <si>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</si>
  <si>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</si>
  <si>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</si>
  <si>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</si>
  <si>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</si>
  <si>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</si>
  <si>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</si>
  <si>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</si>
  <si>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</si>
  <si>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</si>
  <si>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</si>
  <si>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</si>
  <si>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</si>
  <si>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</si>
  <si>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</si>
  <si>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</si>
  <si>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</si>
  <si>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</si>
  <si>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</si>
  <si>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</si>
  <si>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</si>
  <si>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</si>
  <si>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</si>
  <si>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</si>
  <si>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</si>
  <si>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</si>
  <si>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</si>
  <si>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</si>
  <si>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</si>
  <si>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</si>
  <si>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</si>
  <si>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</si>
  <si>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</si>
  <si>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</si>
  <si>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</si>
  <si>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</si>
  <si>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</si>
  <si>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</si>
  <si>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</si>
  <si>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</si>
  <si>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</si>
  <si>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</si>
  <si>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</si>
  <si>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</si>
  <si>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</si>
  <si>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</si>
  <si>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</si>
  <si>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</si>
  <si>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</si>
  <si>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</si>
  <si>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</si>
  <si>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</si>
  <si>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</si>
  <si>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</si>
  <si>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</si>
  <si>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</si>
  <si>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</si>
  <si>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</si>
  <si>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</si>
  <si>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</si>
  <si>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</si>
  <si>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</si>
  <si>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</si>
  <si>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</si>
  <si>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</si>
  <si>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</si>
  <si>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</si>
  <si>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</si>
  <si>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</si>
  <si>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</si>
  <si>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</si>
  <si>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</si>
  <si>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</si>
  <si>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</si>
  <si>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</si>
  <si>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</si>
  <si>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</si>
  <si>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</si>
  <si>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</si>
  <si>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</si>
  <si>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</si>
  <si>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</si>
  <si>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</si>
  <si>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</si>
  <si>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</si>
  <si>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</si>
  <si>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</si>
  <si>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</si>
  <si>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</si>
  <si>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</si>
  <si>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</si>
  <si>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</si>
  <si>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</si>
  <si>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</si>
  <si>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</si>
  <si>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</si>
  <si>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</si>
  <si>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</si>
  <si>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</si>
  <si>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</si>
  <si>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</si>
  <si>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</si>
  <si>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</si>
  <si>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</si>
  <si>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</si>
  <si>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</si>
  <si>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</si>
  <si>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</si>
  <si>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</si>
  <si>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</si>
  <si>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</si>
  <si>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</si>
  <si>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</si>
  <si>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</si>
  <si>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</si>
  <si>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</si>
  <si>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</si>
  <si>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</si>
  <si>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</si>
  <si>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</si>
  <si>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</si>
  <si>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</si>
  <si>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</si>
  <si>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</si>
  <si>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</si>
  <si>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</si>
  <si>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</si>
  <si>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</si>
  <si>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</si>
  <si>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</si>
  <si>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</si>
  <si>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</si>
  <si>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</si>
  <si>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</si>
  <si>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</si>
  <si>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</si>
  <si>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</si>
  <si>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</si>
  <si>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</si>
  <si>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</si>
  <si>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</si>
  <si>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</si>
  <si>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</si>
  <si>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</si>
  <si>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</si>
  <si>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</si>
  <si>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</si>
  <si>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</si>
  <si>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</si>
  <si>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</si>
  <si>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</si>
  <si>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</si>
  <si>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</si>
  <si>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</si>
  <si>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</si>
  <si>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</si>
  <si>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</si>
  <si>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</si>
  <si>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</si>
  <si>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</si>
  <si>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</si>
  <si>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</si>
  <si>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</si>
  <si>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</si>
  <si>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</si>
  <si>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</si>
  <si>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</si>
  <si>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</si>
  <si>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</si>
  <si>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</si>
  <si>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</si>
  <si>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</si>
  <si>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</si>
  <si>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</si>
  <si>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</si>
  <si>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</si>
  <si>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</si>
  <si>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</si>
  <si>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</si>
  <si>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</si>
  <si>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</si>
  <si>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</si>
  <si>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</si>
  <si>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</si>
  <si>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</si>
  <si>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</si>
  <si>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</si>
  <si>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</si>
  <si>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5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</si>
</sst>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46033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12</v>
      </c>
      <c r="Y42" s="554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12.616216216216216</v>
      </c>
      <c r="BN42" s="64">
        <f>IFERROR(Y42*I42/H42,"0")</f>
        <v>15.56</v>
      </c>
      <c r="BO42" s="64">
        <f>IFERROR(1/J42*(X42/H42),"0")</f>
        <v>2.4570024570024569E-2</v>
      </c>
      <c r="BP42" s="64">
        <f>IFERROR(1/J42*(Y42/H42),"0")</f>
        <v>3.0303030303030304E-2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3.243243243243243</v>
      </c>
      <c r="Y44" s="555">
        <f>IFERROR(Y41/H41,"0")+IFERROR(Y42/H42,"0")+IFERROR(Y43/H43,"0")</f>
        <v>4</v>
      </c>
      <c r="Z44" s="555">
        <f>IFERROR(IF(Z41="",0,Z41),"0")+IFERROR(IF(Z42="",0,Z42),"0")+IFERROR(IF(Z43="",0,Z43),"0")</f>
        <v>3.6080000000000001E-2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12</v>
      </c>
      <c r="Y45" s="555">
        <f>IFERROR(SUM(Y41:Y43),"0")</f>
        <v>14.8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55</v>
      </c>
      <c r="Y55" s="554">
        <f t="shared" si="0"/>
        <v>56</v>
      </c>
      <c r="Z55" s="36">
        <f>IFERROR(IF(Y55=0,"",ROUNDUP(Y55/H55,0)*0.00902),"")</f>
        <v>0.12628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57.612500000000004</v>
      </c>
      <c r="BN55" s="64">
        <f t="shared" si="2"/>
        <v>58.660000000000004</v>
      </c>
      <c r="BO55" s="64">
        <f t="shared" si="3"/>
        <v>0.10416666666666667</v>
      </c>
      <c r="BP55" s="64">
        <f t="shared" si="4"/>
        <v>0.10606060606060606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13.75</v>
      </c>
      <c r="Y58" s="555">
        <f>IFERROR(Y52/H52,"0")+IFERROR(Y53/H53,"0")+IFERROR(Y54/H54,"0")+IFERROR(Y55/H55,"0")+IFERROR(Y56/H56,"0")+IFERROR(Y57/H57,"0")</f>
        <v>14</v>
      </c>
      <c r="Z58" s="555">
        <f>IFERROR(IF(Z52="",0,Z52),"0")+IFERROR(IF(Z53="",0,Z53),"0")+IFERROR(IF(Z54="",0,Z54),"0")+IFERROR(IF(Z55="",0,Z55),"0")+IFERROR(IF(Z56="",0,Z56),"0")+IFERROR(IF(Z57="",0,Z57),"0")</f>
        <v>0.12628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55</v>
      </c>
      <c r="Y59" s="555">
        <f>IFERROR(SUM(Y52:Y57),"0")</f>
        <v>56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11</v>
      </c>
      <c r="Y85" s="554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11.417592592592593</v>
      </c>
      <c r="BN85" s="64">
        <f>IFERROR(Y85*I85/H85,"0")</f>
        <v>22.42</v>
      </c>
      <c r="BO85" s="64">
        <f>IFERROR(1/J85*(X85/H85),"0")</f>
        <v>1.591435185185185E-2</v>
      </c>
      <c r="BP85" s="64">
        <f>IFERROR(1/J85*(Y85/H85),"0")</f>
        <v>3.125E-2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1.0185185185185184</v>
      </c>
      <c r="Y89" s="555">
        <f>IFERROR(Y85/H85,"0")+IFERROR(Y86/H86,"0")+IFERROR(Y87/H87,"0")+IFERROR(Y88/H88,"0")</f>
        <v>2</v>
      </c>
      <c r="Z89" s="555">
        <f>IFERROR(IF(Z85="",0,Z85),"0")+IFERROR(IF(Z86="",0,Z86),"0")+IFERROR(IF(Z87="",0,Z87),"0")+IFERROR(IF(Z88="",0,Z88),"0")</f>
        <v>3.7960000000000001E-2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11</v>
      </c>
      <c r="Y90" s="555">
        <f>IFERROR(SUM(Y85:Y88),"0")</f>
        <v>21.6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60</v>
      </c>
      <c r="Y94" s="554">
        <f>IFERROR(IF(X94="",0,CEILING((X94/$H94),1)*$H94),"")</f>
        <v>62.1</v>
      </c>
      <c r="Z94" s="36">
        <f>IFERROR(IF(Y94=0,"",ROUNDUP(Y94/H94,0)*0.00651),"")</f>
        <v>0.14973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65.599999999999994</v>
      </c>
      <c r="BN94" s="64">
        <f>IFERROR(Y94*I94/H94,"0")</f>
        <v>67.896000000000001</v>
      </c>
      <c r="BO94" s="64">
        <f>IFERROR(1/J94*(X94/H94),"0")</f>
        <v>0.12210012210012211</v>
      </c>
      <c r="BP94" s="64">
        <f>IFERROR(1/J94*(Y94/H94),"0")</f>
        <v>0.1263736263736264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22.222222222222221</v>
      </c>
      <c r="Y96" s="555">
        <f>IFERROR(Y92/H92,"0")+IFERROR(Y93/H93,"0")+IFERROR(Y94/H94,"0")+IFERROR(Y95/H95,"0")</f>
        <v>23</v>
      </c>
      <c r="Z96" s="555">
        <f>IFERROR(IF(Z92="",0,Z92),"0")+IFERROR(IF(Z93="",0,Z93),"0")+IFERROR(IF(Z94="",0,Z94),"0")+IFERROR(IF(Z95="",0,Z95),"0")</f>
        <v>0.14973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60</v>
      </c>
      <c r="Y97" s="555">
        <f>IFERROR(SUM(Y92:Y95),"0")</f>
        <v>62.1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113</v>
      </c>
      <c r="Y103" s="554">
        <f>IFERROR(IF(X103="",0,CEILING((X103/$H103),1)*$H103),"")</f>
        <v>117</v>
      </c>
      <c r="Z103" s="36">
        <f>IFERROR(IF(Y103=0,"",ROUNDUP(Y103/H103,0)*0.00902),"")</f>
        <v>0.23452000000000001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117.77111111111111</v>
      </c>
      <c r="BN103" s="64">
        <f>IFERROR(Y103*I103/H103,"0")</f>
        <v>121.94</v>
      </c>
      <c r="BO103" s="64">
        <f>IFERROR(1/J103*(X103/H103),"0")</f>
        <v>0.19023569023569023</v>
      </c>
      <c r="BP103" s="64">
        <f>IFERROR(1/J103*(Y103/H103),"0")</f>
        <v>0.19696969696969696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25.111111111111111</v>
      </c>
      <c r="Y105" s="555">
        <f>IFERROR(Y100/H100,"0")+IFERROR(Y101/H101,"0")+IFERROR(Y102/H102,"0")+IFERROR(Y103/H103,"0")+IFERROR(Y104/H104,"0")</f>
        <v>26</v>
      </c>
      <c r="Z105" s="555">
        <f>IFERROR(IF(Z100="",0,Z100),"0")+IFERROR(IF(Z101="",0,Z101),"0")+IFERROR(IF(Z102="",0,Z102),"0")+IFERROR(IF(Z103="",0,Z103),"0")+IFERROR(IF(Z104="",0,Z104),"0")</f>
        <v>0.23452000000000001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113</v>
      </c>
      <c r="Y106" s="555">
        <f>IFERROR(SUM(Y100:Y104),"0")</f>
        <v>117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28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29.06296296296296</v>
      </c>
      <c r="BN108" s="64">
        <f>IFERROR(Y108*I108/H108,"0")</f>
        <v>33.630000000000003</v>
      </c>
      <c r="BO108" s="64">
        <f>IFERROR(1/J108*(X108/H108),"0")</f>
        <v>4.0509259259259259E-2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5</v>
      </c>
      <c r="Y111" s="554">
        <f>IFERROR(IF(X111="",0,CEILING((X111/$H111),1)*$H111),"")</f>
        <v>7.1999999999999993</v>
      </c>
      <c r="Z111" s="36">
        <f>IFERROR(IF(Y111=0,"",ROUNDUP(Y111/H111,0)*0.00651),"")</f>
        <v>1.9529999999999999E-2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5.375</v>
      </c>
      <c r="BN111" s="64">
        <f>IFERROR(Y111*I111/H111,"0")</f>
        <v>7.7399999999999993</v>
      </c>
      <c r="BO111" s="64">
        <f>IFERROR(1/J111*(X111/H111),"0")</f>
        <v>1.1446886446886448E-2</v>
      </c>
      <c r="BP111" s="64">
        <f>IFERROR(1/J111*(Y111/H111),"0")</f>
        <v>1.6483516483516484E-2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4.6759259259259256</v>
      </c>
      <c r="Y112" s="555">
        <f>IFERROR(Y108/H108,"0")+IFERROR(Y109/H109,"0")+IFERROR(Y110/H110,"0")+IFERROR(Y111/H111,"0")</f>
        <v>6</v>
      </c>
      <c r="Z112" s="555">
        <f>IFERROR(IF(Z108="",0,Z108),"0")+IFERROR(IF(Z109="",0,Z109),"0")+IFERROR(IF(Z110="",0,Z110),"0")+IFERROR(IF(Z111="",0,Z111),"0")</f>
        <v>7.647000000000001E-2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33</v>
      </c>
      <c r="Y113" s="555">
        <f>IFERROR(SUM(Y108:Y111),"0")</f>
        <v>39.600000000000009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47</v>
      </c>
      <c r="Y115" s="554">
        <f>IFERROR(IF(X115="",0,CEILING((X115/$H115),1)*$H115),"")</f>
        <v>48.599999999999994</v>
      </c>
      <c r="Z115" s="36">
        <f>IFERROR(IF(Y115=0,"",ROUNDUP(Y115/H115,0)*0.01898),"")</f>
        <v>0.11388000000000001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49.831604938271603</v>
      </c>
      <c r="BN115" s="64">
        <f>IFERROR(Y115*I115/H115,"0")</f>
        <v>51.527999999999992</v>
      </c>
      <c r="BO115" s="64">
        <f>IFERROR(1/J115*(X115/H115),"0")</f>
        <v>9.066358024691358E-2</v>
      </c>
      <c r="BP115" s="64">
        <f>IFERROR(1/J115*(Y115/H115),"0")</f>
        <v>9.375E-2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54</v>
      </c>
      <c r="Y117" s="554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25.802469135802468</v>
      </c>
      <c r="Y119" s="555">
        <f>IFERROR(Y115/H115,"0")+IFERROR(Y116/H116,"0")+IFERROR(Y117/H117,"0")+IFERROR(Y118/H118,"0")</f>
        <v>26</v>
      </c>
      <c r="Z119" s="555">
        <f>IFERROR(IF(Z115="",0,Z115),"0")+IFERROR(IF(Z116="",0,Z116),"0")+IFERROR(IF(Z117="",0,Z117),"0")+IFERROR(IF(Z118="",0,Z118),"0")</f>
        <v>0.24408000000000002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101</v>
      </c>
      <c r="Y120" s="555">
        <f>IFERROR(SUM(Y115:Y118),"0")</f>
        <v>102.6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68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72.047619047619051</v>
      </c>
      <c r="BN169" s="64">
        <f t="shared" si="12"/>
        <v>75.650000000000006</v>
      </c>
      <c r="BO169" s="64">
        <f t="shared" si="13"/>
        <v>0.12265512265512266</v>
      </c>
      <c r="BP169" s="64">
        <f t="shared" si="14"/>
        <v>0.12878787878787878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9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38</v>
      </c>
      <c r="Y178" s="554">
        <f t="shared" si="10"/>
        <v>39.9</v>
      </c>
      <c r="Z178" s="36">
        <f>IFERROR(IF(Y178=0,"",ROUNDUP(Y178/H178,0)*0.00502),"")</f>
        <v>9.5380000000000006E-2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39.80952380952381</v>
      </c>
      <c r="BN178" s="64">
        <f t="shared" si="12"/>
        <v>41.8</v>
      </c>
      <c r="BO178" s="64">
        <f t="shared" si="13"/>
        <v>7.7330077330077338E-2</v>
      </c>
      <c r="BP178" s="64">
        <f t="shared" si="14"/>
        <v>8.11965811965812E-2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39.285714285714285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0.27382000000000001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115</v>
      </c>
      <c r="Y182" s="555">
        <f>IFERROR(SUM(Y167:Y180),"0")</f>
        <v>120.30000000000001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117</v>
      </c>
      <c r="Y208" s="554">
        <f t="shared" si="15"/>
        <v>118.80000000000001</v>
      </c>
      <c r="Z208" s="36">
        <f>IFERROR(IF(Y208=0,"",ROUNDUP(Y208/H208,0)*0.00902),"")</f>
        <v>0.19844000000000001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121.11666666666666</v>
      </c>
      <c r="BN208" s="64">
        <f t="shared" si="17"/>
        <v>122.98</v>
      </c>
      <c r="BO208" s="64">
        <f t="shared" si="18"/>
        <v>0.16414141414141412</v>
      </c>
      <c r="BP208" s="64">
        <f t="shared" si="19"/>
        <v>0.16666666666666669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50</v>
      </c>
      <c r="Y209" s="554">
        <f t="shared" si="15"/>
        <v>50.4</v>
      </c>
      <c r="Z209" s="36">
        <f>IFERROR(IF(Y209=0,"",ROUNDUP(Y209/H209,0)*0.00502),"")</f>
        <v>0.14056000000000002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53.611111111111107</v>
      </c>
      <c r="BN209" s="64">
        <f t="shared" si="17"/>
        <v>54.039999999999992</v>
      </c>
      <c r="BO209" s="64">
        <f t="shared" si="18"/>
        <v>0.11870845204178539</v>
      </c>
      <c r="BP209" s="64">
        <f t="shared" si="19"/>
        <v>0.11965811965811968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49.444444444444443</v>
      </c>
      <c r="Y213" s="555">
        <f>IFERROR(Y205/H205,"0")+IFERROR(Y206/H206,"0")+IFERROR(Y207/H207,"0")+IFERROR(Y208/H208,"0")+IFERROR(Y209/H209,"0")+IFERROR(Y210/H210,"0")+IFERROR(Y211/H211,"0")+IFERROR(Y212/H212,"0")</f>
        <v>50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0.33900000000000002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167</v>
      </c>
      <c r="Y214" s="555">
        <f>IFERROR(SUM(Y205:Y212),"0")</f>
        <v>169.20000000000002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138</v>
      </c>
      <c r="Y223" s="554">
        <f t="shared" si="20"/>
        <v>139.19999999999999</v>
      </c>
      <c r="Z223" s="36">
        <f t="shared" si="25"/>
        <v>0.37758000000000003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152.49</v>
      </c>
      <c r="BN223" s="64">
        <f t="shared" si="22"/>
        <v>153.816</v>
      </c>
      <c r="BO223" s="64">
        <f t="shared" si="23"/>
        <v>0.31593406593406598</v>
      </c>
      <c r="BP223" s="64">
        <f t="shared" si="24"/>
        <v>0.31868131868131871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104</v>
      </c>
      <c r="Y224" s="554">
        <f t="shared" si="20"/>
        <v>105.6</v>
      </c>
      <c r="Z224" s="36">
        <f t="shared" si="25"/>
        <v>0.28644000000000003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115.18</v>
      </c>
      <c r="BN224" s="64">
        <f t="shared" si="22"/>
        <v>116.952</v>
      </c>
      <c r="BO224" s="64">
        <f t="shared" si="23"/>
        <v>0.23809523809523814</v>
      </c>
      <c r="BP224" s="64">
        <f t="shared" si="24"/>
        <v>0.24175824175824179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100.83333333333334</v>
      </c>
      <c r="Y225" s="555">
        <f>IFERROR(Y216/H216,"0")+IFERROR(Y217/H217,"0")+IFERROR(Y218/H218,"0")+IFERROR(Y219/H219,"0")+IFERROR(Y220/H220,"0")+IFERROR(Y221/H221,"0")+IFERROR(Y222/H222,"0")+IFERROR(Y223/H223,"0")+IFERROR(Y224/H224,"0")</f>
        <v>102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0.66402000000000005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242</v>
      </c>
      <c r="Y226" s="555">
        <f>IFERROR(SUM(Y216:Y224),"0")</f>
        <v>244.79999999999998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4</v>
      </c>
      <c r="Y228" s="554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4.4200000000000008</v>
      </c>
      <c r="BN228" s="64">
        <f>IFERROR(Y228*I228/H228,"0")</f>
        <v>5.3040000000000003</v>
      </c>
      <c r="BO228" s="64">
        <f>IFERROR(1/J228*(X228/H228),"0")</f>
        <v>9.1575091575091579E-3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37</v>
      </c>
      <c r="Y229" s="554">
        <f>IFERROR(IF(X229="",0,CEILING((X229/$H229),1)*$H229),"")</f>
        <v>38.4</v>
      </c>
      <c r="Z229" s="36">
        <f>IFERROR(IF(Y229=0,"",ROUNDUP(Y229/H229,0)*0.00651),"")</f>
        <v>0.10416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40.885000000000005</v>
      </c>
      <c r="BN229" s="64">
        <f>IFERROR(Y229*I229/H229,"0")</f>
        <v>42.432000000000002</v>
      </c>
      <c r="BO229" s="64">
        <f>IFERROR(1/J229*(X229/H229),"0")</f>
        <v>8.4706959706959725E-2</v>
      </c>
      <c r="BP229" s="64">
        <f>IFERROR(1/J229*(Y229/H229),"0")</f>
        <v>8.7912087912087919E-2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17.083333333333336</v>
      </c>
      <c r="Y230" s="555">
        <f>IFERROR(Y228/H228,"0")+IFERROR(Y229/H229,"0")</f>
        <v>18</v>
      </c>
      <c r="Z230" s="555">
        <f>IFERROR(IF(Z228="",0,Z228),"0")+IFERROR(IF(Z229="",0,Z229),"0")</f>
        <v>0.11718000000000001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41</v>
      </c>
      <c r="Y231" s="555">
        <f>IFERROR(SUM(Y228:Y229),"0")</f>
        <v>43.199999999999996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7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7.2474137931034477</v>
      </c>
      <c r="BN234" s="64">
        <f t="shared" ref="BN234:BN242" si="28">IFERROR(Y234*I234/H234,"0")</f>
        <v>12.01</v>
      </c>
      <c r="BO234" s="64">
        <f t="shared" ref="BO234:BO242" si="29">IFERROR(1/J234*(X234/H234),"0")</f>
        <v>9.4288793103448273E-3</v>
      </c>
      <c r="BP234" s="64">
        <f t="shared" ref="BP234:BP242" si="30">IFERROR(1/J234*(Y234/H234),"0")</f>
        <v>1.5625E-2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0.60344827586206895</v>
      </c>
      <c r="Y243" s="555">
        <f>IFERROR(Y234/H234,"0")+IFERROR(Y235/H235,"0")+IFERROR(Y236/H236,"0")+IFERROR(Y237/H237,"0")+IFERROR(Y238/H238,"0")+IFERROR(Y239/H239,"0")+IFERROR(Y240/H240,"0")+IFERROR(Y241/H241,"0")+IFERROR(Y242/H242,"0")</f>
        <v>1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1.898E-2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7</v>
      </c>
      <c r="Y244" s="555">
        <f>IFERROR(SUM(Y234:Y242),"0")</f>
        <v>11.6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1</v>
      </c>
      <c r="Y257" s="554">
        <f>IFERROR(IF(X257="",0,CEILING((X257/$H257),1)*$H257),"")</f>
        <v>1.98</v>
      </c>
      <c r="Z257" s="36">
        <f>IFERROR(IF(Y257=0,"",ROUNDUP(Y257/H257,0)*0.0059),"")</f>
        <v>1.18E-2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1.1919191919191918</v>
      </c>
      <c r="BN257" s="64">
        <f>IFERROR(Y257*I257/H257,"0")</f>
        <v>2.36</v>
      </c>
      <c r="BO257" s="64">
        <f>IFERROR(1/J257*(X257/H257),"0")</f>
        <v>4.6763935652824546E-3</v>
      </c>
      <c r="BP257" s="64">
        <f>IFERROR(1/J257*(Y257/H257),"0")</f>
        <v>9.2592592592592587E-3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1.0101010101010102</v>
      </c>
      <c r="Y259" s="555">
        <f>IFERROR(Y254/H254,"0")+IFERROR(Y255/H255,"0")+IFERROR(Y256/H256,"0")+IFERROR(Y257/H257,"0")+IFERROR(Y258/H258,"0")</f>
        <v>2</v>
      </c>
      <c r="Z259" s="555">
        <f>IFERROR(IF(Z254="",0,Z254),"0")+IFERROR(IF(Z255="",0,Z255),"0")+IFERROR(IF(Z256="",0,Z256),"0")+IFERROR(IF(Z257="",0,Z257),"0")+IFERROR(IF(Z258="",0,Z258),"0")</f>
        <v>1.18E-2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</v>
      </c>
      <c r="Y260" s="555">
        <f>IFERROR(SUM(Y254:Y258),"0")</f>
        <v>1.98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71</v>
      </c>
      <c r="Y282" s="554">
        <f>IFERROR(IF(X282="",0,CEILING((X282/$H282),1)*$H282),"")</f>
        <v>72</v>
      </c>
      <c r="Z282" s="36">
        <f>IFERROR(IF(Y282=0,"",ROUNDUP(Y282/H282,0)*0.00651),"")</f>
        <v>0.1953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76.325000000000003</v>
      </c>
      <c r="BN282" s="64">
        <f>IFERROR(Y282*I282/H282,"0")</f>
        <v>77.400000000000006</v>
      </c>
      <c r="BO282" s="64">
        <f>IFERROR(1/J282*(X282/H282),"0")</f>
        <v>0.16254578754578758</v>
      </c>
      <c r="BP282" s="64">
        <f>IFERROR(1/J282*(Y282/H282),"0")</f>
        <v>0.16483516483516486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29.583333333333336</v>
      </c>
      <c r="Y283" s="555">
        <f>IFERROR(Y280/H280,"0")+IFERROR(Y281/H281,"0")+IFERROR(Y282/H282,"0")</f>
        <v>30</v>
      </c>
      <c r="Z283" s="555">
        <f>IFERROR(IF(Z280="",0,Z280),"0")+IFERROR(IF(Z281="",0,Z281),"0")+IFERROR(IF(Z282="",0,Z282),"0")</f>
        <v>0.1953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71</v>
      </c>
      <c r="Y284" s="555">
        <f>IFERROR(SUM(Y280:Y282),"0")</f>
        <v>72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</v>
      </c>
      <c r="Y323" s="554">
        <f>IFERROR(IF(X323="",0,CEILING((X323/$H323),1)*$H323),"")</f>
        <v>31.2</v>
      </c>
      <c r="Z323" s="36">
        <f>IFERROR(IF(Y323=0,"",ROUNDUP(Y323/H323,0)*0.01898),"")</f>
        <v>7.5920000000000001E-2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31.900000000000002</v>
      </c>
      <c r="BN323" s="64">
        <f>IFERROR(Y323*I323/H323,"0")</f>
        <v>33.176000000000002</v>
      </c>
      <c r="BO323" s="64">
        <f>IFERROR(1/J323*(X323/H323),"0")</f>
        <v>6.0096153846153848E-2</v>
      </c>
      <c r="BP323" s="64">
        <f>IFERROR(1/J323*(Y323/H323),"0")</f>
        <v>6.25E-2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3.8461538461538463</v>
      </c>
      <c r="Y325" s="555">
        <f>IFERROR(Y322/H322,"0")+IFERROR(Y323/H323,"0")+IFERROR(Y324/H324,"0")</f>
        <v>4</v>
      </c>
      <c r="Z325" s="555">
        <f>IFERROR(IF(Z322="",0,Z322),"0")+IFERROR(IF(Z323="",0,Z323),"0")+IFERROR(IF(Z324="",0,Z324),"0")</f>
        <v>7.5920000000000001E-2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30</v>
      </c>
      <c r="Y326" s="555">
        <f>IFERROR(SUM(Y322:Y324),"0")</f>
        <v>31.2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4.6052631578947372</v>
      </c>
      <c r="Y332" s="555">
        <f>IFERROR(Y328/H328,"0")+IFERROR(Y329/H329,"0")+IFERROR(Y330/H330,"0")+IFERROR(Y331/H331,"0")</f>
        <v>5</v>
      </c>
      <c r="Z332" s="555">
        <f>IFERROR(IF(Z328="",0,Z328),"0")+IFERROR(IF(Z329="",0,Z329),"0")+IFERROR(IF(Z330="",0,Z330),"0")+IFERROR(IF(Z331="",0,Z331),"0")</f>
        <v>4.5100000000000001E-2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14</v>
      </c>
      <c r="Y333" s="555">
        <f>IFERROR(SUM(Y328:Y331),"0")</f>
        <v>15.200000000000001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393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405.31400000000002</v>
      </c>
      <c r="BN352" s="64">
        <f t="shared" si="38"/>
        <v>417.69</v>
      </c>
      <c r="BO352" s="64">
        <f t="shared" si="39"/>
        <v>0.54583333333333328</v>
      </c>
      <c r="BP352" s="64">
        <f t="shared" si="40"/>
        <v>0.5625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26.2</v>
      </c>
      <c r="Y357" s="555">
        <f>IFERROR(Y350/H350,"0")+IFERROR(Y351/H351,"0")+IFERROR(Y352/H352,"0")+IFERROR(Y353/H353,"0")+IFERROR(Y354/H354,"0")+IFERROR(Y355/H355,"0")+IFERROR(Y356/H356,"0")</f>
        <v>27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0.58724999999999994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393</v>
      </c>
      <c r="Y358" s="555">
        <f>IFERROR(SUM(Y350:Y356),"0")</f>
        <v>405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118</v>
      </c>
      <c r="Y370" s="554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124.47688888888888</v>
      </c>
      <c r="BN370" s="64">
        <f>IFERROR(Y370*I370/H370,"0")</f>
        <v>132.916</v>
      </c>
      <c r="BO370" s="64">
        <f>IFERROR(1/J370*(X370/H370),"0")</f>
        <v>0.2048611111111111</v>
      </c>
      <c r="BP370" s="64">
        <f>IFERROR(1/J370*(Y370/H370),"0")</f>
        <v>0.21875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13.111111111111111</v>
      </c>
      <c r="Y371" s="555">
        <f>IFERROR(Y370/H370,"0")</f>
        <v>14</v>
      </c>
      <c r="Z371" s="555">
        <f>IFERROR(IF(Z370="",0,Z370),"0")</f>
        <v>0.26572000000000001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118</v>
      </c>
      <c r="Y372" s="555">
        <f>IFERROR(SUM(Y370:Y370),"0")</f>
        <v>126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151</v>
      </c>
      <c r="Y385" s="554">
        <f>IFERROR(IF(X385="",0,CEILING((X385/$H385),1)*$H385),"")</f>
        <v>153</v>
      </c>
      <c r="Z385" s="36">
        <f>IFERROR(IF(Y385=0,"",ROUNDUP(Y385/H385,0)*0.01898),"")</f>
        <v>0.32266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159.28822222222223</v>
      </c>
      <c r="BN385" s="64">
        <f>IFERROR(Y385*I385/H385,"0")</f>
        <v>161.398</v>
      </c>
      <c r="BO385" s="64">
        <f>IFERROR(1/J385*(X385/H385),"0")</f>
        <v>0.26215277777777779</v>
      </c>
      <c r="BP385" s="64">
        <f>IFERROR(1/J385*(Y385/H385),"0")</f>
        <v>0.265625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16.777777777777779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0.32266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151</v>
      </c>
      <c r="Y389" s="555">
        <f>IFERROR(SUM(Y385:Y387),"0")</f>
        <v>153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41</v>
      </c>
      <c r="Y393" s="554">
        <f t="shared" ref="Y393:Y401" si="41">IFERROR(IF(X393="",0,CEILING((X393/$H393),1)*$H393),"")</f>
        <v>43.2</v>
      </c>
      <c r="Z393" s="36">
        <f>IFERROR(IF(Y393=0,"",ROUNDUP(Y393/H393,0)*0.00902),"")</f>
        <v>7.2160000000000002E-2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42.44259259259259</v>
      </c>
      <c r="BN393" s="64">
        <f t="shared" ref="BN393:BN401" si="43">IFERROR(Y393*I393/H393,"0")</f>
        <v>44.72</v>
      </c>
      <c r="BO393" s="64">
        <f t="shared" ref="BO393:BO401" si="44">IFERROR(1/J393*(X393/H393),"0")</f>
        <v>5.7519640852974181E-2</v>
      </c>
      <c r="BP393" s="64">
        <f t="shared" ref="BP393:BP401" si="45">IFERROR(1/J393*(Y393/H393),"0")</f>
        <v>6.0606060606060608E-2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7.5925925925925917</v>
      </c>
      <c r="Y402" s="555">
        <f>IFERROR(Y393/H393,"0")+IFERROR(Y394/H394,"0")+IFERROR(Y395/H395,"0")+IFERROR(Y396/H396,"0")+IFERROR(Y397/H397,"0")+IFERROR(Y398/H398,"0")+IFERROR(Y399/H399,"0")+IFERROR(Y400/H400,"0")+IFERROR(Y401/H401,"0")</f>
        <v>8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7.2160000000000002E-2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41</v>
      </c>
      <c r="Y403" s="555">
        <f>IFERROR(SUM(Y393:Y401),"0")</f>
        <v>43.2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113</v>
      </c>
      <c r="Y429" s="554">
        <f t="shared" ref="Y429:Y440" si="47">IFERROR(IF(X429="",0,CEILING((X429/$H429),1)*$H429),"")</f>
        <v>116.16000000000001</v>
      </c>
      <c r="Z429" s="36">
        <f t="shared" ref="Z429:Z435" si="48">IFERROR(IF(Y429=0,"",ROUNDUP(Y429/H429,0)*0.01196),"")</f>
        <v>0.26312000000000002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120.49053030303028</v>
      </c>
      <c r="BN429" s="64">
        <f t="shared" ref="BN429:BN440" si="50">IFERROR(Y429*I429/H429,"0")</f>
        <v>123.86</v>
      </c>
      <c r="BO429" s="64">
        <f t="shared" ref="BO429:BO440" si="51">IFERROR(1/J429*(X429/H429),"0")</f>
        <v>0.20578379953379955</v>
      </c>
      <c r="BP429" s="64">
        <f t="shared" ref="BP429:BP440" si="52">IFERROR(1/J429*(Y429/H429),"0")</f>
        <v>0.21153846153846156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61</v>
      </c>
      <c r="Y433" s="554">
        <f t="shared" si="47"/>
        <v>63.36</v>
      </c>
      <c r="Z433" s="36">
        <f t="shared" si="48"/>
        <v>0.14352000000000001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65.043560606060609</v>
      </c>
      <c r="BN433" s="64">
        <f t="shared" si="50"/>
        <v>67.559999999999988</v>
      </c>
      <c r="BO433" s="64">
        <f t="shared" si="51"/>
        <v>0.11108682983682984</v>
      </c>
      <c r="BP433" s="64">
        <f t="shared" si="52"/>
        <v>0.11538461538461539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75</v>
      </c>
      <c r="Y435" s="554">
        <f t="shared" si="47"/>
        <v>79.2</v>
      </c>
      <c r="Z435" s="36">
        <f t="shared" si="48"/>
        <v>0.1794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79.971590909090907</v>
      </c>
      <c r="BN435" s="64">
        <f t="shared" si="50"/>
        <v>84.45</v>
      </c>
      <c r="BO435" s="64">
        <f t="shared" si="51"/>
        <v>0.13658216783216784</v>
      </c>
      <c r="BP435" s="64">
        <f t="shared" si="52"/>
        <v>0.14423076923076925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47.159090909090907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0.58604000000000001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249</v>
      </c>
      <c r="Y442" s="555">
        <f>IFERROR(SUM(Y429:Y440),"0")</f>
        <v>258.72000000000003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52</v>
      </c>
      <c r="Y450" s="554">
        <f t="shared" ref="Y450:Y455" si="53">IFERROR(IF(X450="",0,CEILING((X450/$H450),1)*$H450),"")</f>
        <v>52.800000000000004</v>
      </c>
      <c r="Z450" s="36">
        <f>IFERROR(IF(Y450=0,"",ROUNDUP(Y450/H450,0)*0.01196),"")</f>
        <v>0.1196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55.446969696969695</v>
      </c>
      <c r="BN450" s="64">
        <f t="shared" ref="BN450:BN455" si="55">IFERROR(Y450*I450/H450,"0")</f>
        <v>56.3</v>
      </c>
      <c r="BO450" s="64">
        <f t="shared" ref="BO450:BO455" si="56">IFERROR(1/J450*(X450/H450),"0")</f>
        <v>9.4696969696969696E-2</v>
      </c>
      <c r="BP450" s="64">
        <f t="shared" ref="BP450:BP455" si="57">IFERROR(1/J450*(Y450/H450),"0")</f>
        <v>9.6153846153846159E-2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9.8484848484848477</v>
      </c>
      <c r="Y456" s="555">
        <f>IFERROR(Y450/H450,"0")+IFERROR(Y451/H451,"0")+IFERROR(Y452/H452,"0")+IFERROR(Y453/H453,"0")+IFERROR(Y454/H454,"0")+IFERROR(Y455/H455,"0")</f>
        <v>10</v>
      </c>
      <c r="Z456" s="555">
        <f>IFERROR(IF(Z450="",0,Z450),"0")+IFERROR(IF(Z451="",0,Z451),"0")+IFERROR(IF(Z452="",0,Z452),"0")+IFERROR(IF(Z453="",0,Z453),"0")+IFERROR(IF(Z454="",0,Z454),"0")+IFERROR(IF(Z455="",0,Z455),"0")</f>
        <v>0.1196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52</v>
      </c>
      <c r="Y457" s="555">
        <f>IFERROR(SUM(Y450:Y455),"0")</f>
        <v>52.800000000000004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79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83.336222222222219</v>
      </c>
      <c r="BN482" s="64">
        <f>IFERROR(Y482*I482/H482,"0")</f>
        <v>85.445999999999998</v>
      </c>
      <c r="BO482" s="64">
        <f>IFERROR(1/J482*(X482/H482),"0")</f>
        <v>0.13715277777777779</v>
      </c>
      <c r="BP482" s="64">
        <f>IFERROR(1/J482*(Y482/H482),"0")</f>
        <v>0.140625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8.7777777777777786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79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2156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2242.9000000000005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2285.1499767769119</v>
      </c>
      <c r="Y496" s="555">
        <f>IFERROR(SUM(BN22:BN492),"0")</f>
        <v>2376.7539999999995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4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2385.1499767769119</v>
      </c>
      <c r="Y498" s="555">
        <f>GrossWeightTotalR+PalletQtyTotalR*25</f>
        <v>2501.7539999999995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471.58545019382888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488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4.7704899999999997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14.8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56</v>
      </c>
      <c r="E505" s="46">
        <f>IFERROR(Y85*1,"0")+IFERROR(Y86*1,"0")+IFERROR(Y87*1,"0")+IFERROR(Y88*1,"0")+IFERROR(Y92*1,"0")+IFERROR(Y93*1,"0")+IFERROR(Y94*1,"0")+IFERROR(Y95*1,"0")</f>
        <v>83.7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259.2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120.30000000000001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457.2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13.58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46.400000000000006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531</v>
      </c>
      <c r="T505" s="46">
        <f>IFERROR(Y375*1,"0")+IFERROR(Y376*1,"0")+IFERROR(Y380*1,"0")+IFERROR(Y381*1,"0")+IFERROR(Y385*1,"0")+IFERROR(Y386*1,"0")+IFERROR(Y387*1,"0")</f>
        <v>153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43.2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311.52000000000004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0"/>
        <filter val="1,00"/>
        <filter val="1,01"/>
        <filter val="1,02"/>
        <filter val="100,83"/>
        <filter val="101,00"/>
        <filter val="104,00"/>
        <filter val="11,00"/>
        <filter val="113,00"/>
        <filter val="115,00"/>
        <filter val="117,00"/>
        <filter val="118,00"/>
        <filter val="12,00"/>
        <filter val="13,11"/>
        <filter val="13,75"/>
        <filter val="138,00"/>
        <filter val="14,00"/>
        <filter val="151,00"/>
        <filter val="16,78"/>
        <filter val="167,00"/>
        <filter val="17,08"/>
        <filter val="2 156,00"/>
        <filter val="2 285,15"/>
        <filter val="2 385,15"/>
        <filter val="22,22"/>
        <filter val="242,00"/>
        <filter val="249,00"/>
        <filter val="25,11"/>
        <filter val="25,80"/>
        <filter val="26,20"/>
        <filter val="28,00"/>
        <filter val="29,58"/>
        <filter val="3,24"/>
        <filter val="3,85"/>
        <filter val="30,00"/>
        <filter val="33,00"/>
        <filter val="37,00"/>
        <filter val="38,00"/>
        <filter val="39,29"/>
        <filter val="393,00"/>
        <filter val="4"/>
        <filter val="4,00"/>
        <filter val="4,61"/>
        <filter val="4,68"/>
        <filter val="41,00"/>
        <filter val="47,00"/>
        <filter val="47,16"/>
        <filter val="471,59"/>
        <filter val="49,44"/>
        <filter val="5,00"/>
        <filter val="50,00"/>
        <filter val="52,00"/>
        <filter val="54,00"/>
        <filter val="55,00"/>
        <filter val="6,00"/>
        <filter val="60,00"/>
        <filter val="61,00"/>
        <filter val="68,00"/>
        <filter val="7,00"/>
        <filter val="7,59"/>
        <filter val="71,00"/>
        <filter val="75,00"/>
        <filter val="79,00"/>
        <filter val="8,00"/>
        <filter val="8,78"/>
        <filter val="9,00"/>
        <filter val="9,85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2026-01-09T09:23:26Z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