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ED50E9-C2D3-43AD-8294-78F3F67E24E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BN485" i="1" s="1"/>
  <c r="P485" i="1"/>
  <c r="X483" i="1"/>
  <c r="X482" i="1"/>
  <c r="BO481" i="1"/>
  <c r="BM481" i="1"/>
  <c r="Y481" i="1"/>
  <c r="Y482" i="1" s="1"/>
  <c r="P481" i="1"/>
  <c r="X479" i="1"/>
  <c r="X478" i="1"/>
  <c r="BO477" i="1"/>
  <c r="BM477" i="1"/>
  <c r="Y477" i="1"/>
  <c r="P477" i="1"/>
  <c r="X475" i="1"/>
  <c r="X474" i="1"/>
  <c r="BP473" i="1"/>
  <c r="BO473" i="1"/>
  <c r="BM473" i="1"/>
  <c r="Y473" i="1"/>
  <c r="P473" i="1"/>
  <c r="BO472" i="1"/>
  <c r="BM472" i="1"/>
  <c r="Y472" i="1"/>
  <c r="BN472" i="1" s="1"/>
  <c r="P472" i="1"/>
  <c r="X470" i="1"/>
  <c r="X469" i="1"/>
  <c r="BO468" i="1"/>
  <c r="BM468" i="1"/>
  <c r="Y468" i="1"/>
  <c r="P468" i="1"/>
  <c r="BO467" i="1"/>
  <c r="BM467" i="1"/>
  <c r="Y467" i="1"/>
  <c r="BP467" i="1" s="1"/>
  <c r="P467" i="1"/>
  <c r="BO466" i="1"/>
  <c r="BM466" i="1"/>
  <c r="Y466" i="1"/>
  <c r="P466" i="1"/>
  <c r="BP465" i="1"/>
  <c r="BO465" i="1"/>
  <c r="BM465" i="1"/>
  <c r="Y465" i="1"/>
  <c r="P465" i="1"/>
  <c r="X461" i="1"/>
  <c r="X460" i="1"/>
  <c r="BO459" i="1"/>
  <c r="BM459" i="1"/>
  <c r="Y459" i="1"/>
  <c r="Y461" i="1" s="1"/>
  <c r="P459" i="1"/>
  <c r="X457" i="1"/>
  <c r="X456" i="1"/>
  <c r="BO455" i="1"/>
  <c r="BM455" i="1"/>
  <c r="Y455" i="1"/>
  <c r="BN455" i="1" s="1"/>
  <c r="P455" i="1"/>
  <c r="BO454" i="1"/>
  <c r="BM454" i="1"/>
  <c r="Y454" i="1"/>
  <c r="BP454" i="1" s="1"/>
  <c r="P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O450" i="1"/>
  <c r="BM450" i="1"/>
  <c r="Y450" i="1"/>
  <c r="P450" i="1"/>
  <c r="X448" i="1"/>
  <c r="X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BP444" i="1" s="1"/>
  <c r="P444" i="1"/>
  <c r="X442" i="1"/>
  <c r="X441" i="1"/>
  <c r="BO440" i="1"/>
  <c r="BM440" i="1"/>
  <c r="Y440" i="1"/>
  <c r="P440" i="1"/>
  <c r="BO439" i="1"/>
  <c r="BM439" i="1"/>
  <c r="Y439" i="1"/>
  <c r="Z439" i="1" s="1"/>
  <c r="P439" i="1"/>
  <c r="BO438" i="1"/>
  <c r="BM438" i="1"/>
  <c r="Y438" i="1"/>
  <c r="BP438" i="1" s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BP434" i="1" s="1"/>
  <c r="P434" i="1"/>
  <c r="BP433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BN430" i="1" s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Y420" i="1" s="1"/>
  <c r="P415" i="1"/>
  <c r="X413" i="1"/>
  <c r="X412" i="1"/>
  <c r="BO411" i="1"/>
  <c r="BM411" i="1"/>
  <c r="Y411" i="1"/>
  <c r="Y413" i="1" s="1"/>
  <c r="P411" i="1"/>
  <c r="Y408" i="1"/>
  <c r="X408" i="1"/>
  <c r="Y407" i="1"/>
  <c r="X407" i="1"/>
  <c r="BP406" i="1"/>
  <c r="BO406" i="1"/>
  <c r="BN406" i="1"/>
  <c r="BM406" i="1"/>
  <c r="Z406" i="1"/>
  <c r="Y406" i="1"/>
  <c r="P406" i="1"/>
  <c r="BO405" i="1"/>
  <c r="BN405" i="1"/>
  <c r="BM405" i="1"/>
  <c r="Z405" i="1"/>
  <c r="Z407" i="1" s="1"/>
  <c r="Y405" i="1"/>
  <c r="BP405" i="1" s="1"/>
  <c r="P405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Z395" i="1" s="1"/>
  <c r="P395" i="1"/>
  <c r="BO394" i="1"/>
  <c r="BM394" i="1"/>
  <c r="Y394" i="1"/>
  <c r="BP394" i="1" s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Y372" i="1" s="1"/>
  <c r="P370" i="1"/>
  <c r="X368" i="1"/>
  <c r="X367" i="1"/>
  <c r="BO366" i="1"/>
  <c r="BM366" i="1"/>
  <c r="Y366" i="1"/>
  <c r="P366" i="1"/>
  <c r="BO365" i="1"/>
  <c r="BM365" i="1"/>
  <c r="Y365" i="1"/>
  <c r="BP365" i="1" s="1"/>
  <c r="P365" i="1"/>
  <c r="X363" i="1"/>
  <c r="X362" i="1"/>
  <c r="BO361" i="1"/>
  <c r="BM361" i="1"/>
  <c r="Y361" i="1"/>
  <c r="P361" i="1"/>
  <c r="BO360" i="1"/>
  <c r="BM360" i="1"/>
  <c r="Y360" i="1"/>
  <c r="BP360" i="1" s="1"/>
  <c r="P360" i="1"/>
  <c r="X358" i="1"/>
  <c r="X357" i="1"/>
  <c r="BO356" i="1"/>
  <c r="BM356" i="1"/>
  <c r="Y356" i="1"/>
  <c r="Z356" i="1" s="1"/>
  <c r="P356" i="1"/>
  <c r="BO355" i="1"/>
  <c r="BM355" i="1"/>
  <c r="Y355" i="1"/>
  <c r="BP355" i="1" s="1"/>
  <c r="P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P352" i="1" s="1"/>
  <c r="P352" i="1"/>
  <c r="BO351" i="1"/>
  <c r="BM351" i="1"/>
  <c r="Y351" i="1"/>
  <c r="Y358" i="1" s="1"/>
  <c r="P351" i="1"/>
  <c r="BP350" i="1"/>
  <c r="BO350" i="1"/>
  <c r="BM350" i="1"/>
  <c r="Y350" i="1"/>
  <c r="BN350" i="1" s="1"/>
  <c r="P350" i="1"/>
  <c r="X346" i="1"/>
  <c r="X345" i="1"/>
  <c r="BO344" i="1"/>
  <c r="BM344" i="1"/>
  <c r="Y344" i="1"/>
  <c r="BP344" i="1" s="1"/>
  <c r="P344" i="1"/>
  <c r="BO343" i="1"/>
  <c r="BM343" i="1"/>
  <c r="Y343" i="1"/>
  <c r="BP343" i="1" s="1"/>
  <c r="P343" i="1"/>
  <c r="BO342" i="1"/>
  <c r="BM342" i="1"/>
  <c r="Y342" i="1"/>
  <c r="BP342" i="1" s="1"/>
  <c r="P342" i="1"/>
  <c r="X339" i="1"/>
  <c r="X338" i="1"/>
  <c r="BO337" i="1"/>
  <c r="BM337" i="1"/>
  <c r="Y337" i="1"/>
  <c r="Z337" i="1" s="1"/>
  <c r="P337" i="1"/>
  <c r="BO336" i="1"/>
  <c r="BM336" i="1"/>
  <c r="Y336" i="1"/>
  <c r="BP336" i="1" s="1"/>
  <c r="P336" i="1"/>
  <c r="BO335" i="1"/>
  <c r="BM335" i="1"/>
  <c r="Y335" i="1"/>
  <c r="BP335" i="1" s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Z329" i="1" s="1"/>
  <c r="P329" i="1"/>
  <c r="BO328" i="1"/>
  <c r="BM328" i="1"/>
  <c r="Y328" i="1"/>
  <c r="Y333" i="1" s="1"/>
  <c r="P328" i="1"/>
  <c r="Y326" i="1"/>
  <c r="X326" i="1"/>
  <c r="Y325" i="1"/>
  <c r="X325" i="1"/>
  <c r="BP324" i="1"/>
  <c r="BO324" i="1"/>
  <c r="BN324" i="1"/>
  <c r="BM324" i="1"/>
  <c r="Z324" i="1"/>
  <c r="Y324" i="1"/>
  <c r="P324" i="1"/>
  <c r="BO323" i="1"/>
  <c r="BN323" i="1"/>
  <c r="BM323" i="1"/>
  <c r="Z323" i="1"/>
  <c r="Y323" i="1"/>
  <c r="BP323" i="1" s="1"/>
  <c r="P323" i="1"/>
  <c r="BO322" i="1"/>
  <c r="BM322" i="1"/>
  <c r="Y322" i="1"/>
  <c r="P322" i="1"/>
  <c r="X320" i="1"/>
  <c r="X319" i="1"/>
  <c r="BO318" i="1"/>
  <c r="BM318" i="1"/>
  <c r="Y318" i="1"/>
  <c r="BP318" i="1" s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Z311" i="1" s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Z297" i="1" s="1"/>
  <c r="P297" i="1"/>
  <c r="X294" i="1"/>
  <c r="X293" i="1"/>
  <c r="BO292" i="1"/>
  <c r="BM292" i="1"/>
  <c r="Y292" i="1"/>
  <c r="BP292" i="1" s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Z286" i="1" s="1"/>
  <c r="P286" i="1"/>
  <c r="X283" i="1"/>
  <c r="X282" i="1"/>
  <c r="BO281" i="1"/>
  <c r="BM281" i="1"/>
  <c r="Y281" i="1"/>
  <c r="BP281" i="1" s="1"/>
  <c r="P281" i="1"/>
  <c r="BO280" i="1"/>
  <c r="BM280" i="1"/>
  <c r="Y280" i="1"/>
  <c r="Z280" i="1" s="1"/>
  <c r="P280" i="1"/>
  <c r="BO279" i="1"/>
  <c r="BM279" i="1"/>
  <c r="Z279" i="1"/>
  <c r="Y279" i="1"/>
  <c r="BP279" i="1" s="1"/>
  <c r="P279" i="1"/>
  <c r="X276" i="1"/>
  <c r="X275" i="1"/>
  <c r="BO274" i="1"/>
  <c r="BM274" i="1"/>
  <c r="Y274" i="1"/>
  <c r="BN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Z271" i="1" s="1"/>
  <c r="P271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M264" i="1"/>
  <c r="Y264" i="1"/>
  <c r="BN264" i="1" s="1"/>
  <c r="P264" i="1"/>
  <c r="BO263" i="1"/>
  <c r="BM263" i="1"/>
  <c r="Y263" i="1"/>
  <c r="BP263" i="1" s="1"/>
  <c r="P263" i="1"/>
  <c r="BO262" i="1"/>
  <c r="BM262" i="1"/>
  <c r="Y262" i="1"/>
  <c r="Z262" i="1" s="1"/>
  <c r="P262" i="1"/>
  <c r="X259" i="1"/>
  <c r="X258" i="1"/>
  <c r="BO257" i="1"/>
  <c r="BM257" i="1"/>
  <c r="Y257" i="1"/>
  <c r="BP257" i="1" s="1"/>
  <c r="P257" i="1"/>
  <c r="BO256" i="1"/>
  <c r="BM256" i="1"/>
  <c r="Z256" i="1"/>
  <c r="Y256" i="1"/>
  <c r="BN256" i="1" s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Z253" i="1" s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Y247" i="1" s="1"/>
  <c r="P245" i="1"/>
  <c r="X243" i="1"/>
  <c r="X242" i="1"/>
  <c r="BO241" i="1"/>
  <c r="BM241" i="1"/>
  <c r="Y241" i="1"/>
  <c r="P241" i="1"/>
  <c r="BO240" i="1"/>
  <c r="BM240" i="1"/>
  <c r="Y240" i="1"/>
  <c r="Z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N236" i="1" s="1"/>
  <c r="P236" i="1"/>
  <c r="BO235" i="1"/>
  <c r="BM235" i="1"/>
  <c r="Y235" i="1"/>
  <c r="BP235" i="1" s="1"/>
  <c r="P235" i="1"/>
  <c r="BP234" i="1"/>
  <c r="BO234" i="1"/>
  <c r="BM234" i="1"/>
  <c r="Y234" i="1"/>
  <c r="BN234" i="1" s="1"/>
  <c r="P234" i="1"/>
  <c r="BO233" i="1"/>
  <c r="BM233" i="1"/>
  <c r="Y233" i="1"/>
  <c r="P233" i="1"/>
  <c r="X230" i="1"/>
  <c r="X229" i="1"/>
  <c r="BO228" i="1"/>
  <c r="BM228" i="1"/>
  <c r="Y228" i="1"/>
  <c r="BP228" i="1" s="1"/>
  <c r="P228" i="1"/>
  <c r="BO227" i="1"/>
  <c r="BM227" i="1"/>
  <c r="Y227" i="1"/>
  <c r="BP227" i="1" s="1"/>
  <c r="P227" i="1"/>
  <c r="X225" i="1"/>
  <c r="X224" i="1"/>
  <c r="BO223" i="1"/>
  <c r="BM223" i="1"/>
  <c r="Y223" i="1"/>
  <c r="Z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N219" i="1" s="1"/>
  <c r="P219" i="1"/>
  <c r="BO218" i="1"/>
  <c r="BM218" i="1"/>
  <c r="Y218" i="1"/>
  <c r="BP218" i="1" s="1"/>
  <c r="P218" i="1"/>
  <c r="BP217" i="1"/>
  <c r="BO217" i="1"/>
  <c r="BM217" i="1"/>
  <c r="Y217" i="1"/>
  <c r="BN217" i="1" s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O211" i="1"/>
  <c r="BM211" i="1"/>
  <c r="Y211" i="1"/>
  <c r="BN211" i="1" s="1"/>
  <c r="P211" i="1"/>
  <c r="BO210" i="1"/>
  <c r="BM210" i="1"/>
  <c r="Y210" i="1"/>
  <c r="BP210" i="1" s="1"/>
  <c r="P210" i="1"/>
  <c r="BP209" i="1"/>
  <c r="BO209" i="1"/>
  <c r="BM209" i="1"/>
  <c r="Y209" i="1"/>
  <c r="BN209" i="1" s="1"/>
  <c r="P209" i="1"/>
  <c r="BO208" i="1"/>
  <c r="BM208" i="1"/>
  <c r="Y208" i="1"/>
  <c r="P208" i="1"/>
  <c r="BO207" i="1"/>
  <c r="BM207" i="1"/>
  <c r="Y207" i="1"/>
  <c r="BP207" i="1" s="1"/>
  <c r="P207" i="1"/>
  <c r="BP206" i="1"/>
  <c r="BO206" i="1"/>
  <c r="BM206" i="1"/>
  <c r="Y206" i="1"/>
  <c r="BN206" i="1" s="1"/>
  <c r="P206" i="1"/>
  <c r="BO205" i="1"/>
  <c r="BM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BP199" i="1" s="1"/>
  <c r="P199" i="1"/>
  <c r="X197" i="1"/>
  <c r="X196" i="1"/>
  <c r="BO195" i="1"/>
  <c r="BM195" i="1"/>
  <c r="Y195" i="1"/>
  <c r="BN195" i="1" s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N184" i="1"/>
  <c r="BM184" i="1"/>
  <c r="Z184" i="1"/>
  <c r="Y184" i="1"/>
  <c r="BP184" i="1" s="1"/>
  <c r="P184" i="1"/>
  <c r="BO183" i="1"/>
  <c r="BM183" i="1"/>
  <c r="Y183" i="1"/>
  <c r="P183" i="1"/>
  <c r="X181" i="1"/>
  <c r="X180" i="1"/>
  <c r="BO179" i="1"/>
  <c r="BM179" i="1"/>
  <c r="Y179" i="1"/>
  <c r="BP179" i="1" s="1"/>
  <c r="P179" i="1"/>
  <c r="BO178" i="1"/>
  <c r="BN178" i="1"/>
  <c r="BM178" i="1"/>
  <c r="Z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Z174" i="1" s="1"/>
  <c r="P174" i="1"/>
  <c r="BO173" i="1"/>
  <c r="BM173" i="1"/>
  <c r="Y173" i="1"/>
  <c r="BP173" i="1" s="1"/>
  <c r="P173" i="1"/>
  <c r="BO172" i="1"/>
  <c r="BM172" i="1"/>
  <c r="Y172" i="1"/>
  <c r="Z172" i="1" s="1"/>
  <c r="P172" i="1"/>
  <c r="BO171" i="1"/>
  <c r="BM171" i="1"/>
  <c r="Y171" i="1"/>
  <c r="P171" i="1"/>
  <c r="BO170" i="1"/>
  <c r="BM170" i="1"/>
  <c r="Y170" i="1"/>
  <c r="BN170" i="1" s="1"/>
  <c r="P170" i="1"/>
  <c r="BO169" i="1"/>
  <c r="BM169" i="1"/>
  <c r="Y169" i="1"/>
  <c r="P169" i="1"/>
  <c r="BP168" i="1"/>
  <c r="BO168" i="1"/>
  <c r="BM168" i="1"/>
  <c r="Y168" i="1"/>
  <c r="BN168" i="1" s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Y164" i="1" s="1"/>
  <c r="P162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Z148" i="1" s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X139" i="1"/>
  <c r="X138" i="1"/>
  <c r="BO137" i="1"/>
  <c r="BM137" i="1"/>
  <c r="Y137" i="1"/>
  <c r="Z137" i="1" s="1"/>
  <c r="P137" i="1"/>
  <c r="BO136" i="1"/>
  <c r="BM136" i="1"/>
  <c r="Y136" i="1"/>
  <c r="BP136" i="1" s="1"/>
  <c r="P136" i="1"/>
  <c r="X134" i="1"/>
  <c r="X133" i="1"/>
  <c r="BO132" i="1"/>
  <c r="BM132" i="1"/>
  <c r="Y132" i="1"/>
  <c r="Z132" i="1" s="1"/>
  <c r="P132" i="1"/>
  <c r="BO131" i="1"/>
  <c r="BM131" i="1"/>
  <c r="Y131" i="1"/>
  <c r="BP131" i="1" s="1"/>
  <c r="P131" i="1"/>
  <c r="X129" i="1"/>
  <c r="X128" i="1"/>
  <c r="BO127" i="1"/>
  <c r="BM127" i="1"/>
  <c r="Y127" i="1"/>
  <c r="BN127" i="1" s="1"/>
  <c r="P127" i="1"/>
  <c r="BP126" i="1"/>
  <c r="BO126" i="1"/>
  <c r="BM126" i="1"/>
  <c r="Y126" i="1"/>
  <c r="BN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Z116" i="1" s="1"/>
  <c r="P116" i="1"/>
  <c r="BO115" i="1"/>
  <c r="BM115" i="1"/>
  <c r="Y115" i="1"/>
  <c r="BP115" i="1" s="1"/>
  <c r="P115" i="1"/>
  <c r="BO114" i="1"/>
  <c r="BM114" i="1"/>
  <c r="Y114" i="1"/>
  <c r="Y119" i="1" s="1"/>
  <c r="P114" i="1"/>
  <c r="X112" i="1"/>
  <c r="X111" i="1"/>
  <c r="BO110" i="1"/>
  <c r="BM110" i="1"/>
  <c r="Y110" i="1"/>
  <c r="Z110" i="1" s="1"/>
  <c r="P110" i="1"/>
  <c r="BO109" i="1"/>
  <c r="BM109" i="1"/>
  <c r="Y109" i="1"/>
  <c r="BP109" i="1" s="1"/>
  <c r="P109" i="1"/>
  <c r="BO108" i="1"/>
  <c r="BM108" i="1"/>
  <c r="Y108" i="1"/>
  <c r="Z108" i="1" s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O102" i="1"/>
  <c r="BM102" i="1"/>
  <c r="Y102" i="1"/>
  <c r="Z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F504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Z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N87" i="1"/>
  <c r="BM87" i="1"/>
  <c r="Z87" i="1"/>
  <c r="Y87" i="1"/>
  <c r="BP87" i="1" s="1"/>
  <c r="P87" i="1"/>
  <c r="BO86" i="1"/>
  <c r="BM86" i="1"/>
  <c r="Y86" i="1"/>
  <c r="BP86" i="1" s="1"/>
  <c r="P86" i="1"/>
  <c r="BO85" i="1"/>
  <c r="BM85" i="1"/>
  <c r="Y85" i="1"/>
  <c r="Z85" i="1" s="1"/>
  <c r="P85" i="1"/>
  <c r="BO84" i="1"/>
  <c r="BM84" i="1"/>
  <c r="Y84" i="1"/>
  <c r="E504" i="1" s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X76" i="1"/>
  <c r="X75" i="1"/>
  <c r="BO74" i="1"/>
  <c r="BM74" i="1"/>
  <c r="Y74" i="1"/>
  <c r="Z74" i="1" s="1"/>
  <c r="P74" i="1"/>
  <c r="BO73" i="1"/>
  <c r="BM73" i="1"/>
  <c r="Y73" i="1"/>
  <c r="BP73" i="1" s="1"/>
  <c r="P73" i="1"/>
  <c r="BO72" i="1"/>
  <c r="BN72" i="1"/>
  <c r="BM72" i="1"/>
  <c r="Z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N67" i="1" s="1"/>
  <c r="P67" i="1"/>
  <c r="BO66" i="1"/>
  <c r="BM66" i="1"/>
  <c r="Y66" i="1"/>
  <c r="Z66" i="1" s="1"/>
  <c r="P66" i="1"/>
  <c r="X64" i="1"/>
  <c r="X63" i="1"/>
  <c r="BO62" i="1"/>
  <c r="BM62" i="1"/>
  <c r="Y62" i="1"/>
  <c r="BP62" i="1" s="1"/>
  <c r="P62" i="1"/>
  <c r="BO61" i="1"/>
  <c r="BM61" i="1"/>
  <c r="Y61" i="1"/>
  <c r="Z61" i="1" s="1"/>
  <c r="P61" i="1"/>
  <c r="BO60" i="1"/>
  <c r="BM60" i="1"/>
  <c r="Z60" i="1"/>
  <c r="Y60" i="1"/>
  <c r="BP60" i="1" s="1"/>
  <c r="P60" i="1"/>
  <c r="X58" i="1"/>
  <c r="X57" i="1"/>
  <c r="BO56" i="1"/>
  <c r="BM56" i="1"/>
  <c r="Y56" i="1"/>
  <c r="BN56" i="1" s="1"/>
  <c r="P56" i="1"/>
  <c r="BO55" i="1"/>
  <c r="BM55" i="1"/>
  <c r="Y55" i="1"/>
  <c r="BN55" i="1" s="1"/>
  <c r="P55" i="1"/>
  <c r="BO54" i="1"/>
  <c r="BM54" i="1"/>
  <c r="Y54" i="1"/>
  <c r="BN54" i="1" s="1"/>
  <c r="P54" i="1"/>
  <c r="BO53" i="1"/>
  <c r="BM53" i="1"/>
  <c r="Y53" i="1"/>
  <c r="Z53" i="1" s="1"/>
  <c r="P53" i="1"/>
  <c r="BO52" i="1"/>
  <c r="BM52" i="1"/>
  <c r="Z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N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Z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X498" i="1" s="1"/>
  <c r="BO23" i="1"/>
  <c r="BN23" i="1"/>
  <c r="BM23" i="1"/>
  <c r="Z23" i="1"/>
  <c r="Y23" i="1"/>
  <c r="P23" i="1"/>
  <c r="BO22" i="1"/>
  <c r="BM22" i="1"/>
  <c r="X495" i="1" s="1"/>
  <c r="Y22" i="1"/>
  <c r="P22" i="1"/>
  <c r="H10" i="1"/>
  <c r="A9" i="1"/>
  <c r="F10" i="1" s="1"/>
  <c r="D7" i="1"/>
  <c r="Q6" i="1"/>
  <c r="P2" i="1"/>
  <c r="Z68" i="1" l="1"/>
  <c r="B504" i="1"/>
  <c r="X496" i="1"/>
  <c r="X497" i="1" s="1"/>
  <c r="BP41" i="1"/>
  <c r="Z56" i="1"/>
  <c r="Z67" i="1"/>
  <c r="Z103" i="1"/>
  <c r="BN103" i="1"/>
  <c r="Z131" i="1"/>
  <c r="Z152" i="1"/>
  <c r="BN152" i="1"/>
  <c r="Z175" i="1"/>
  <c r="BN175" i="1"/>
  <c r="Z228" i="1"/>
  <c r="BN228" i="1"/>
  <c r="Z245" i="1"/>
  <c r="Z246" i="1" s="1"/>
  <c r="BN245" i="1"/>
  <c r="BP245" i="1"/>
  <c r="Y246" i="1"/>
  <c r="Z257" i="1"/>
  <c r="Z274" i="1"/>
  <c r="Z292" i="1"/>
  <c r="BN292" i="1"/>
  <c r="Z301" i="1"/>
  <c r="BN301" i="1"/>
  <c r="Z317" i="1"/>
  <c r="BN317" i="1"/>
  <c r="Z331" i="1"/>
  <c r="BN331" i="1"/>
  <c r="Z343" i="1"/>
  <c r="BN343" i="1"/>
  <c r="Z365" i="1"/>
  <c r="Z386" i="1"/>
  <c r="BN386" i="1"/>
  <c r="Z399" i="1"/>
  <c r="BN399" i="1"/>
  <c r="BP430" i="1"/>
  <c r="Z444" i="1"/>
  <c r="BN444" i="1"/>
  <c r="Y448" i="1"/>
  <c r="BP455" i="1"/>
  <c r="BP472" i="1"/>
  <c r="BP481" i="1"/>
  <c r="BP485" i="1"/>
  <c r="J9" i="1"/>
  <c r="BN53" i="1"/>
  <c r="BP53" i="1"/>
  <c r="BN61" i="1"/>
  <c r="BP61" i="1"/>
  <c r="BN66" i="1"/>
  <c r="Y75" i="1"/>
  <c r="Y76" i="1"/>
  <c r="Y81" i="1"/>
  <c r="BN85" i="1"/>
  <c r="BP85" i="1"/>
  <c r="Y112" i="1"/>
  <c r="BP127" i="1"/>
  <c r="Y128" i="1"/>
  <c r="Z133" i="1"/>
  <c r="BN132" i="1"/>
  <c r="BP132" i="1"/>
  <c r="Y133" i="1"/>
  <c r="Y134" i="1"/>
  <c r="BN137" i="1"/>
  <c r="Y139" i="1"/>
  <c r="BN166" i="1"/>
  <c r="Z166" i="1"/>
  <c r="Y180" i="1"/>
  <c r="BP171" i="1"/>
  <c r="BN171" i="1"/>
  <c r="Z171" i="1"/>
  <c r="Y181" i="1"/>
  <c r="BP183" i="1"/>
  <c r="BN183" i="1"/>
  <c r="Z183" i="1"/>
  <c r="Y201" i="1"/>
  <c r="Z200" i="1"/>
  <c r="BP208" i="1"/>
  <c r="Z208" i="1"/>
  <c r="BP216" i="1"/>
  <c r="Z216" i="1"/>
  <c r="Y243" i="1"/>
  <c r="Z233" i="1"/>
  <c r="Y251" i="1"/>
  <c r="Z249" i="1"/>
  <c r="Z250" i="1" s="1"/>
  <c r="BN255" i="1"/>
  <c r="BP255" i="1"/>
  <c r="BN262" i="1"/>
  <c r="BN265" i="1"/>
  <c r="Z265" i="1"/>
  <c r="BP287" i="1"/>
  <c r="BN287" i="1"/>
  <c r="Z287" i="1"/>
  <c r="Z288" i="1" s="1"/>
  <c r="BP291" i="1"/>
  <c r="BN291" i="1"/>
  <c r="Z291" i="1"/>
  <c r="Z293" i="1" s="1"/>
  <c r="Y303" i="1"/>
  <c r="Y304" i="1"/>
  <c r="BP306" i="1"/>
  <c r="BN306" i="1"/>
  <c r="Z306" i="1"/>
  <c r="BN366" i="1"/>
  <c r="BP366" i="1"/>
  <c r="Y378" i="1"/>
  <c r="BN375" i="1"/>
  <c r="Z375" i="1"/>
  <c r="BP376" i="1"/>
  <c r="BN376" i="1"/>
  <c r="Z376" i="1"/>
  <c r="BP380" i="1"/>
  <c r="BN380" i="1"/>
  <c r="Z380" i="1"/>
  <c r="Z382" i="1" s="1"/>
  <c r="Y382" i="1"/>
  <c r="BP401" i="1"/>
  <c r="BN401" i="1"/>
  <c r="Z401" i="1"/>
  <c r="BN431" i="1"/>
  <c r="Z431" i="1"/>
  <c r="BP431" i="1"/>
  <c r="BP486" i="1"/>
  <c r="BN486" i="1"/>
  <c r="Z486" i="1"/>
  <c r="Y488" i="1"/>
  <c r="F9" i="1"/>
  <c r="A10" i="1"/>
  <c r="Z22" i="1"/>
  <c r="Z24" i="1" s="1"/>
  <c r="BN22" i="1"/>
  <c r="BP22" i="1"/>
  <c r="Y25" i="1"/>
  <c r="X494" i="1"/>
  <c r="BN27" i="1"/>
  <c r="BP27" i="1"/>
  <c r="BN29" i="1"/>
  <c r="BP29" i="1"/>
  <c r="Z34" i="1"/>
  <c r="Z35" i="1" s="1"/>
  <c r="BN34" i="1"/>
  <c r="BP34" i="1"/>
  <c r="Y35" i="1"/>
  <c r="C504" i="1"/>
  <c r="BP46" i="1"/>
  <c r="D504" i="1"/>
  <c r="BP55" i="1"/>
  <c r="BP56" i="1"/>
  <c r="Z71" i="1"/>
  <c r="BN71" i="1"/>
  <c r="BN74" i="1"/>
  <c r="Z78" i="1"/>
  <c r="BN78" i="1"/>
  <c r="Z79" i="1"/>
  <c r="BN79" i="1"/>
  <c r="Y80" i="1"/>
  <c r="Z86" i="1"/>
  <c r="BN86" i="1"/>
  <c r="BN91" i="1"/>
  <c r="BP91" i="1"/>
  <c r="BN93" i="1"/>
  <c r="BP93" i="1"/>
  <c r="Z99" i="1"/>
  <c r="BN99" i="1"/>
  <c r="BP99" i="1"/>
  <c r="Y105" i="1"/>
  <c r="BN100" i="1"/>
  <c r="BP100" i="1"/>
  <c r="BN102" i="1"/>
  <c r="BP102" i="1"/>
  <c r="Z107" i="1"/>
  <c r="BN107" i="1"/>
  <c r="BP107" i="1"/>
  <c r="BN108" i="1"/>
  <c r="BP108" i="1"/>
  <c r="BN110" i="1"/>
  <c r="BP110" i="1"/>
  <c r="Z115" i="1"/>
  <c r="BN115" i="1"/>
  <c r="BN116" i="1"/>
  <c r="BP116" i="1"/>
  <c r="Z127" i="1"/>
  <c r="Z142" i="1"/>
  <c r="BN142" i="1"/>
  <c r="Z143" i="1"/>
  <c r="Z144" i="1" s="1"/>
  <c r="BN143" i="1"/>
  <c r="Y144" i="1"/>
  <c r="Y145" i="1"/>
  <c r="Y154" i="1"/>
  <c r="BN148" i="1"/>
  <c r="BP148" i="1"/>
  <c r="Z150" i="1"/>
  <c r="BN150" i="1"/>
  <c r="Z151" i="1"/>
  <c r="BN151" i="1"/>
  <c r="Z156" i="1"/>
  <c r="Z157" i="1" s="1"/>
  <c r="BP156" i="1"/>
  <c r="BN156" i="1"/>
  <c r="BP166" i="1"/>
  <c r="BP167" i="1"/>
  <c r="Z167" i="1"/>
  <c r="BP176" i="1"/>
  <c r="BN176" i="1"/>
  <c r="Z176" i="1"/>
  <c r="BP177" i="1"/>
  <c r="BN177" i="1"/>
  <c r="Z177" i="1"/>
  <c r="Z186" i="1"/>
  <c r="Y186" i="1"/>
  <c r="Y187" i="1"/>
  <c r="Y202" i="1"/>
  <c r="Z199" i="1"/>
  <c r="Z201" i="1" s="1"/>
  <c r="BN207" i="1"/>
  <c r="Z207" i="1"/>
  <c r="Y224" i="1"/>
  <c r="Z215" i="1"/>
  <c r="BP220" i="1"/>
  <c r="BN220" i="1"/>
  <c r="Z220" i="1"/>
  <c r="BP237" i="1"/>
  <c r="BN237" i="1"/>
  <c r="Z237" i="1"/>
  <c r="BN240" i="1"/>
  <c r="BP240" i="1"/>
  <c r="BP241" i="1"/>
  <c r="BN241" i="1"/>
  <c r="Z241" i="1"/>
  <c r="BP265" i="1"/>
  <c r="BP266" i="1"/>
  <c r="Z266" i="1"/>
  <c r="BN273" i="1"/>
  <c r="BP273" i="1"/>
  <c r="BN280" i="1"/>
  <c r="Y293" i="1"/>
  <c r="BP299" i="1"/>
  <c r="BN299" i="1"/>
  <c r="Z299" i="1"/>
  <c r="BP300" i="1"/>
  <c r="BN300" i="1"/>
  <c r="Z300" i="1"/>
  <c r="BN311" i="1"/>
  <c r="Y313" i="1"/>
  <c r="BP315" i="1"/>
  <c r="BN315" i="1"/>
  <c r="Z315" i="1"/>
  <c r="Y320" i="1"/>
  <c r="Y319" i="1"/>
  <c r="BP316" i="1"/>
  <c r="BN316" i="1"/>
  <c r="Z316" i="1"/>
  <c r="BN329" i="1"/>
  <c r="BP329" i="1"/>
  <c r="BP330" i="1"/>
  <c r="BN330" i="1"/>
  <c r="Z330" i="1"/>
  <c r="BN337" i="1"/>
  <c r="BP337" i="1"/>
  <c r="BP436" i="1"/>
  <c r="BN436" i="1"/>
  <c r="Z436" i="1"/>
  <c r="BN439" i="1"/>
  <c r="BP439" i="1"/>
  <c r="BP440" i="1"/>
  <c r="BN440" i="1"/>
  <c r="Z440" i="1"/>
  <c r="BP466" i="1"/>
  <c r="BN466" i="1"/>
  <c r="Z466" i="1"/>
  <c r="Y478" i="1"/>
  <c r="Z477" i="1"/>
  <c r="Z478" i="1" s="1"/>
  <c r="Y479" i="1"/>
  <c r="BN172" i="1"/>
  <c r="BP172" i="1"/>
  <c r="BN174" i="1"/>
  <c r="BP174" i="1"/>
  <c r="BN204" i="1"/>
  <c r="BP204" i="1"/>
  <c r="Y213" i="1"/>
  <c r="BN223" i="1"/>
  <c r="BP223" i="1"/>
  <c r="BN238" i="1"/>
  <c r="BN253" i="1"/>
  <c r="BP256" i="1"/>
  <c r="BN271" i="1"/>
  <c r="BP274" i="1"/>
  <c r="BN286" i="1"/>
  <c r="Y294" i="1"/>
  <c r="BN297" i="1"/>
  <c r="BP297" i="1"/>
  <c r="BP307" i="1"/>
  <c r="BN307" i="1"/>
  <c r="Z307" i="1"/>
  <c r="BP308" i="1"/>
  <c r="BN308" i="1"/>
  <c r="Z308" i="1"/>
  <c r="BP322" i="1"/>
  <c r="BN322" i="1"/>
  <c r="Z322" i="1"/>
  <c r="Z325" i="1" s="1"/>
  <c r="BN344" i="1"/>
  <c r="BP353" i="1"/>
  <c r="BN353" i="1"/>
  <c r="Z353" i="1"/>
  <c r="BN356" i="1"/>
  <c r="BP356" i="1"/>
  <c r="BP361" i="1"/>
  <c r="BN361" i="1"/>
  <c r="Z361" i="1"/>
  <c r="BP387" i="1"/>
  <c r="BN387" i="1"/>
  <c r="Z387" i="1"/>
  <c r="U504" i="1"/>
  <c r="Y403" i="1"/>
  <c r="BN393" i="1"/>
  <c r="BP397" i="1"/>
  <c r="BN397" i="1"/>
  <c r="Z397" i="1"/>
  <c r="BP398" i="1"/>
  <c r="BN398" i="1"/>
  <c r="Z398" i="1"/>
  <c r="BP417" i="1"/>
  <c r="BN417" i="1"/>
  <c r="Z417" i="1"/>
  <c r="W504" i="1"/>
  <c r="Y425" i="1"/>
  <c r="Y424" i="1"/>
  <c r="BP423" i="1"/>
  <c r="BP432" i="1"/>
  <c r="Z432" i="1"/>
  <c r="BN445" i="1"/>
  <c r="BN453" i="1"/>
  <c r="Y504" i="1"/>
  <c r="Z465" i="1"/>
  <c r="BN473" i="1"/>
  <c r="Z473" i="1"/>
  <c r="Y483" i="1"/>
  <c r="Z481" i="1"/>
  <c r="Z482" i="1" s="1"/>
  <c r="Z504" i="1"/>
  <c r="Y493" i="1"/>
  <c r="Y492" i="1"/>
  <c r="BP491" i="1"/>
  <c r="BN491" i="1"/>
  <c r="Z491" i="1"/>
  <c r="Z492" i="1" s="1"/>
  <c r="BN335" i="1"/>
  <c r="Y339" i="1"/>
  <c r="BN354" i="1"/>
  <c r="Y367" i="1"/>
  <c r="Y383" i="1"/>
  <c r="Y389" i="1"/>
  <c r="BN385" i="1"/>
  <c r="BP385" i="1"/>
  <c r="BN395" i="1"/>
  <c r="BP395" i="1"/>
  <c r="BN418" i="1"/>
  <c r="X504" i="1"/>
  <c r="BN437" i="1"/>
  <c r="Y457" i="1"/>
  <c r="Y470" i="1"/>
  <c r="G504" i="1"/>
  <c r="Z42" i="1"/>
  <c r="Z121" i="1"/>
  <c r="Z122" i="1" s="1"/>
  <c r="Z169" i="1"/>
  <c r="Z194" i="1"/>
  <c r="Z210" i="1"/>
  <c r="Z218" i="1"/>
  <c r="Y229" i="1"/>
  <c r="Z235" i="1"/>
  <c r="Z351" i="1"/>
  <c r="Y362" i="1"/>
  <c r="Z415" i="1"/>
  <c r="Z434" i="1"/>
  <c r="Z450" i="1"/>
  <c r="Z468" i="1"/>
  <c r="Z27" i="1"/>
  <c r="Y48" i="1"/>
  <c r="BP66" i="1"/>
  <c r="BP74" i="1"/>
  <c r="Z91" i="1"/>
  <c r="Z100" i="1"/>
  <c r="BP137" i="1"/>
  <c r="Y157" i="1"/>
  <c r="BN199" i="1"/>
  <c r="BN215" i="1"/>
  <c r="Z221" i="1"/>
  <c r="Z238" i="1"/>
  <c r="BP286" i="1"/>
  <c r="BP311" i="1"/>
  <c r="Z335" i="1"/>
  <c r="Y338" i="1"/>
  <c r="Z344" i="1"/>
  <c r="Z354" i="1"/>
  <c r="Y357" i="1"/>
  <c r="BP375" i="1"/>
  <c r="Z393" i="1"/>
  <c r="Z418" i="1"/>
  <c r="Z437" i="1"/>
  <c r="Z445" i="1"/>
  <c r="Z447" i="1" s="1"/>
  <c r="Z453" i="1"/>
  <c r="Y456" i="1"/>
  <c r="BN465" i="1"/>
  <c r="H504" i="1"/>
  <c r="BN42" i="1"/>
  <c r="BN121" i="1"/>
  <c r="BN169" i="1"/>
  <c r="BN194" i="1"/>
  <c r="BN210" i="1"/>
  <c r="BN218" i="1"/>
  <c r="BN235" i="1"/>
  <c r="BP253" i="1"/>
  <c r="BP262" i="1"/>
  <c r="BP271" i="1"/>
  <c r="BP280" i="1"/>
  <c r="BN351" i="1"/>
  <c r="Y368" i="1"/>
  <c r="BN415" i="1"/>
  <c r="BN434" i="1"/>
  <c r="BN450" i="1"/>
  <c r="BN468" i="1"/>
  <c r="I504" i="1"/>
  <c r="Y138" i="1"/>
  <c r="BN221" i="1"/>
  <c r="Y230" i="1"/>
  <c r="Y312" i="1"/>
  <c r="Y363" i="1"/>
  <c r="Y402" i="1"/>
  <c r="J504" i="1"/>
  <c r="Y225" i="1"/>
  <c r="BP351" i="1"/>
  <c r="BP415" i="1"/>
  <c r="BP450" i="1"/>
  <c r="BP468" i="1"/>
  <c r="K504" i="1"/>
  <c r="Z54" i="1"/>
  <c r="Y57" i="1"/>
  <c r="Z62" i="1"/>
  <c r="Z63" i="1" s="1"/>
  <c r="Z205" i="1"/>
  <c r="Z254" i="1"/>
  <c r="Z263" i="1"/>
  <c r="Z272" i="1"/>
  <c r="Y275" i="1"/>
  <c r="Z281" i="1"/>
  <c r="Z282" i="1" s="1"/>
  <c r="Z370" i="1"/>
  <c r="Z371" i="1" s="1"/>
  <c r="BP393" i="1"/>
  <c r="Z429" i="1"/>
  <c r="BP445" i="1"/>
  <c r="Y474" i="1"/>
  <c r="BN481" i="1"/>
  <c r="L504" i="1"/>
  <c r="Y469" i="1"/>
  <c r="M504" i="1"/>
  <c r="Z211" i="1"/>
  <c r="Z219" i="1"/>
  <c r="BN263" i="1"/>
  <c r="BN281" i="1"/>
  <c r="O504" i="1"/>
  <c r="BP169" i="1"/>
  <c r="BN62" i="1"/>
  <c r="Z162" i="1"/>
  <c r="Z163" i="1" s="1"/>
  <c r="Z195" i="1"/>
  <c r="BN205" i="1"/>
  <c r="Z227" i="1"/>
  <c r="Z229" i="1" s="1"/>
  <c r="Z236" i="1"/>
  <c r="BN254" i="1"/>
  <c r="BN272" i="1"/>
  <c r="Z342" i="1"/>
  <c r="Y345" i="1"/>
  <c r="Z352" i="1"/>
  <c r="Z360" i="1"/>
  <c r="BN370" i="1"/>
  <c r="Z416" i="1"/>
  <c r="Y419" i="1"/>
  <c r="BN429" i="1"/>
  <c r="Z435" i="1"/>
  <c r="Z451" i="1"/>
  <c r="Z459" i="1"/>
  <c r="Z460" i="1" s="1"/>
  <c r="Z28" i="1"/>
  <c r="Y31" i="1"/>
  <c r="BN40" i="1"/>
  <c r="BP51" i="1"/>
  <c r="Y58" i="1"/>
  <c r="BP67" i="1"/>
  <c r="Z84" i="1"/>
  <c r="Z92" i="1"/>
  <c r="Y95" i="1"/>
  <c r="Z101" i="1"/>
  <c r="Y104" i="1"/>
  <c r="Z109" i="1"/>
  <c r="Z111" i="1" s="1"/>
  <c r="Z117" i="1"/>
  <c r="Y129" i="1"/>
  <c r="Z147" i="1"/>
  <c r="BN167" i="1"/>
  <c r="Z173" i="1"/>
  <c r="Z189" i="1"/>
  <c r="Z190" i="1" s="1"/>
  <c r="BN200" i="1"/>
  <c r="BN208" i="1"/>
  <c r="BN216" i="1"/>
  <c r="Z222" i="1"/>
  <c r="BN233" i="1"/>
  <c r="Z239" i="1"/>
  <c r="Y242" i="1"/>
  <c r="BN249" i="1"/>
  <c r="BN257" i="1"/>
  <c r="BN266" i="1"/>
  <c r="Y276" i="1"/>
  <c r="Z328" i="1"/>
  <c r="Z332" i="1" s="1"/>
  <c r="Z336" i="1"/>
  <c r="Z355" i="1"/>
  <c r="BN365" i="1"/>
  <c r="Z394" i="1"/>
  <c r="Z411" i="1"/>
  <c r="Z412" i="1" s="1"/>
  <c r="BN432" i="1"/>
  <c r="Z438" i="1"/>
  <c r="Y441" i="1"/>
  <c r="Z446" i="1"/>
  <c r="Z454" i="1"/>
  <c r="Y475" i="1"/>
  <c r="Y487" i="1"/>
  <c r="P504" i="1"/>
  <c r="BN51" i="1"/>
  <c r="BN342" i="1"/>
  <c r="BN352" i="1"/>
  <c r="BN360" i="1"/>
  <c r="BP370" i="1"/>
  <c r="BN416" i="1"/>
  <c r="BP429" i="1"/>
  <c r="BN435" i="1"/>
  <c r="BN451" i="1"/>
  <c r="BN459" i="1"/>
  <c r="Q504" i="1"/>
  <c r="Z40" i="1"/>
  <c r="Y44" i="1"/>
  <c r="BN162" i="1"/>
  <c r="BN28" i="1"/>
  <c r="BP40" i="1"/>
  <c r="Y68" i="1"/>
  <c r="Z73" i="1"/>
  <c r="BN84" i="1"/>
  <c r="BN92" i="1"/>
  <c r="BN101" i="1"/>
  <c r="BN109" i="1"/>
  <c r="BN117" i="1"/>
  <c r="Z136" i="1"/>
  <c r="Z138" i="1" s="1"/>
  <c r="BN147" i="1"/>
  <c r="BN173" i="1"/>
  <c r="Z179" i="1"/>
  <c r="BN189" i="1"/>
  <c r="BP200" i="1"/>
  <c r="BN222" i="1"/>
  <c r="BP233" i="1"/>
  <c r="BN239" i="1"/>
  <c r="BP249" i="1"/>
  <c r="Y288" i="1"/>
  <c r="Z302" i="1"/>
  <c r="Z303" i="1" s="1"/>
  <c r="Z310" i="1"/>
  <c r="Z318" i="1"/>
  <c r="BN328" i="1"/>
  <c r="BN336" i="1"/>
  <c r="Y346" i="1"/>
  <c r="BN355" i="1"/>
  <c r="Y377" i="1"/>
  <c r="BN394" i="1"/>
  <c r="Z400" i="1"/>
  <c r="BN411" i="1"/>
  <c r="BN438" i="1"/>
  <c r="BN446" i="1"/>
  <c r="BN454" i="1"/>
  <c r="R504" i="1"/>
  <c r="Y122" i="1"/>
  <c r="BN227" i="1"/>
  <c r="Y63" i="1"/>
  <c r="BP170" i="1"/>
  <c r="BP211" i="1"/>
  <c r="BP236" i="1"/>
  <c r="Y282" i="1"/>
  <c r="Y371" i="1"/>
  <c r="Y442" i="1"/>
  <c r="BP459" i="1"/>
  <c r="S504" i="1"/>
  <c r="Z51" i="1"/>
  <c r="Y43" i="1"/>
  <c r="Y153" i="1"/>
  <c r="BP205" i="1"/>
  <c r="BP162" i="1"/>
  <c r="BP195" i="1"/>
  <c r="BP219" i="1"/>
  <c r="Z46" i="1"/>
  <c r="Z47" i="1" s="1"/>
  <c r="Z55" i="1"/>
  <c r="BN73" i="1"/>
  <c r="BP84" i="1"/>
  <c r="Z126" i="1"/>
  <c r="BN136" i="1"/>
  <c r="BP147" i="1"/>
  <c r="BN179" i="1"/>
  <c r="BP189" i="1"/>
  <c r="Z206" i="1"/>
  <c r="Y250" i="1"/>
  <c r="Z255" i="1"/>
  <c r="Y258" i="1"/>
  <c r="Z264" i="1"/>
  <c r="Y267" i="1"/>
  <c r="Z273" i="1"/>
  <c r="BN302" i="1"/>
  <c r="BN310" i="1"/>
  <c r="BN318" i="1"/>
  <c r="BP328" i="1"/>
  <c r="BN400" i="1"/>
  <c r="BP411" i="1"/>
  <c r="Z430" i="1"/>
  <c r="Z472" i="1"/>
  <c r="Z474" i="1" s="1"/>
  <c r="T504" i="1"/>
  <c r="Z114" i="1"/>
  <c r="Z118" i="1" s="1"/>
  <c r="BP54" i="1"/>
  <c r="BP114" i="1"/>
  <c r="BP23" i="1"/>
  <c r="Z41" i="1"/>
  <c r="BN52" i="1"/>
  <c r="BN60" i="1"/>
  <c r="Y69" i="1"/>
  <c r="BN131" i="1"/>
  <c r="Y163" i="1"/>
  <c r="Z168" i="1"/>
  <c r="Y196" i="1"/>
  <c r="Z209" i="1"/>
  <c r="Y212" i="1"/>
  <c r="Z217" i="1"/>
  <c r="Z224" i="1" s="1"/>
  <c r="Z234" i="1"/>
  <c r="BN279" i="1"/>
  <c r="Y289" i="1"/>
  <c r="Z350" i="1"/>
  <c r="Z366" i="1"/>
  <c r="Z367" i="1" s="1"/>
  <c r="Z423" i="1"/>
  <c r="Z424" i="1" s="1"/>
  <c r="Z433" i="1"/>
  <c r="Y460" i="1"/>
  <c r="Z467" i="1"/>
  <c r="BN477" i="1"/>
  <c r="Y283" i="1"/>
  <c r="Y412" i="1"/>
  <c r="Y447" i="1"/>
  <c r="V504" i="1"/>
  <c r="BP121" i="1"/>
  <c r="Z170" i="1"/>
  <c r="BN114" i="1"/>
  <c r="BN46" i="1"/>
  <c r="Y64" i="1"/>
  <c r="Y118" i="1"/>
  <c r="Y190" i="1"/>
  <c r="H9" i="1"/>
  <c r="Y24" i="1"/>
  <c r="Y88" i="1"/>
  <c r="Y259" i="1"/>
  <c r="Y268" i="1"/>
  <c r="Y332" i="1"/>
  <c r="Z385" i="1"/>
  <c r="Z388" i="1" s="1"/>
  <c r="Y388" i="1"/>
  <c r="BN423" i="1"/>
  <c r="Z455" i="1"/>
  <c r="BN467" i="1"/>
  <c r="BP477" i="1"/>
  <c r="Z485" i="1"/>
  <c r="Z487" i="1" s="1"/>
  <c r="Y197" i="1"/>
  <c r="Y89" i="1"/>
  <c r="Z128" i="1" l="1"/>
  <c r="Z153" i="1"/>
  <c r="Z319" i="1"/>
  <c r="Z377" i="1"/>
  <c r="Z180" i="1"/>
  <c r="Z57" i="1"/>
  <c r="Y495" i="1"/>
  <c r="Y494" i="1"/>
  <c r="Z275" i="1"/>
  <c r="Z258" i="1"/>
  <c r="Z104" i="1"/>
  <c r="Z469" i="1"/>
  <c r="Z242" i="1"/>
  <c r="Y496" i="1"/>
  <c r="Y497" i="1" s="1"/>
  <c r="Z312" i="1"/>
  <c r="Z75" i="1"/>
  <c r="Z88" i="1"/>
  <c r="Z362" i="1"/>
  <c r="Z267" i="1"/>
  <c r="Z212" i="1"/>
  <c r="Z95" i="1"/>
  <c r="Z80" i="1"/>
  <c r="Z402" i="1"/>
  <c r="Z31" i="1"/>
  <c r="Z456" i="1"/>
  <c r="Z43" i="1"/>
  <c r="Z419" i="1"/>
  <c r="Z357" i="1"/>
  <c r="Z338" i="1"/>
  <c r="Z345" i="1"/>
  <c r="Z441" i="1"/>
  <c r="Z196" i="1"/>
  <c r="Y498" i="1"/>
  <c r="Z499" i="1" l="1"/>
</calcChain>
</file>

<file path=xl/sharedStrings.xml><?xml version="1.0" encoding="utf-8"?>
<sst xmlns="http://schemas.openxmlformats.org/spreadsheetml/2006/main" count="2364" uniqueCount="777">
  <si>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</si>
  <si>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</si>
  <si>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</si>
  <si>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</si>
  <si>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</si>
  <si>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</si>
  <si>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</si>
  <si>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</si>
  <si>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</si>
  <si>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</si>
  <si>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</si>
  <si>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</si>
  <si>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</si>
  <si>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</si>
  <si>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</si>
  <si>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</si>
  <si>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</si>
  <si>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</si>
  <si>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</si>
  <si>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</si>
  <si>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</si>
  <si>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</si>
  <si>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</si>
  <si>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</si>
  <si>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</si>
  <si>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</si>
  <si>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</si>
  <si>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</si>
  <si>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</si>
  <si>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</si>
  <si>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</si>
  <si>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</si>
  <si>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</si>
  <si>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</si>
  <si>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</si>
  <si>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</si>
  <si>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</si>
  <si>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</si>
  <si>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</si>
  <si>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</si>
  <si>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</si>
  <si>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</si>
  <si>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</si>
  <si>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</si>
  <si>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</si>
  <si>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</si>
  <si>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</si>
  <si>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</si>
  <si>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</si>
  <si>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</si>
  <si>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</si>
  <si>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</si>
  <si>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</si>
  <si>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</si>
  <si>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</si>
  <si>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</si>
  <si>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</si>
  <si>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</si>
  <si>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</si>
  <si>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</si>
  <si>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</si>
  <si>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</si>
  <si>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</si>
  <si>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</si>
  <si>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</si>
  <si>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</si>
  <si>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</si>
  <si>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</si>
  <si>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</si>
  <si>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</si>
  <si>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</si>
  <si>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</si>
  <si>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</si>
  <si>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</si>
  <si>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</si>
  <si>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</si>
  <si>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</si>
  <si>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</si>
  <si>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</si>
  <si>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</si>
  <si>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</si>
  <si>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</si>
  <si>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</si>
  <si>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</si>
  <si>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</si>
  <si>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</si>
  <si>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</si>
  <si>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</si>
  <si>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</si>
  <si>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</si>
  <si>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</si>
  <si>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</si>
  <si>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</si>
  <si>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</si>
  <si>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</si>
  <si>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</si>
  <si>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</si>
  <si>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</si>
  <si>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</si>
  <si>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</si>
  <si>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</si>
  <si>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</si>
  <si>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</si>
  <si>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</si>
  <si>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</si>
  <si>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</si>
  <si>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</si>
  <si>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</si>
  <si>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</si>
  <si>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</si>
  <si>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</si>
  <si>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</si>
  <si>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</si>
  <si>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</si>
  <si>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</si>
  <si>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</si>
  <si>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</si>
  <si>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</si>
  <si>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</si>
  <si>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</si>
  <si>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</si>
  <si>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</si>
  <si>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</si>
  <si>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</si>
  <si>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</si>
  <si>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</si>
  <si>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</si>
  <si>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</si>
  <si>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</si>
  <si>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</si>
  <si>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</si>
  <si>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</si>
  <si>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</si>
  <si>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</si>
  <si>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</si>
  <si>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</si>
  <si>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</si>
  <si>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</si>
  <si>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</si>
  <si>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</si>
  <si>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</si>
  <si>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</si>
  <si>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</si>
  <si>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</si>
  <si>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</si>
  <si>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</si>
  <si>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</si>
  <si>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</si>
  <si>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</si>
  <si>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</si>
  <si>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</si>
  <si>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</si>
  <si>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</si>
  <si>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</si>
  <si>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</si>
  <si>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</si>
  <si>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</si>
  <si>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</si>
  <si>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</si>
  <si>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</si>
  <si>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</si>
  <si>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</si>
  <si>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</si>
  <si>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</si>
  <si>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</si>
  <si>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</si>
  <si>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</si>
  <si>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</si>
  <si>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</si>
  <si>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</si>
  <si>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</si>
  <si>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</si>
  <si>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</si>
  <si>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</si>
  <si>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</si>
  <si>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</si>
  <si>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</si>
  <si>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</si>
  <si>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</si>
  <si>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</si>
  <si>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</si>
  <si>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</si>
  <si>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</si>
  <si>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</si>
  <si>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</si>
  <si>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</si>
  <si>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</si>
  <si>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</si>
  <si>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</si>
  <si>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</si>
  <si>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</si>
  <si>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</si>
  <si>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</si>
  <si>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</si>
  <si>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</si>
  <si>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</si>
  <si>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</si>
  <si>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</si>
  <si>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</si>
  <si>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</si>
  <si>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</si>
  <si>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</si>
  <si>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</si>
  <si>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</si>
  <si>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</si>
  <si>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</si>
  <si>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</si>
  <si>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</si>
  <si>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</si>
  <si>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</si>
  <si>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</si>
  <si>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</si>
  <si>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</si>
  <si>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</si>
  <si>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</si>
  <si>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</si>
  <si>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</si>
  <si>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</si>
  <si>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</si>
  <si>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</si>
  <si>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</si>
  <si>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</si>
  <si>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</si>
  <si>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</si>
  <si>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</si>
  <si>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</si>
  <si>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</si>
  <si>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</si>
  <si>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</si>
  <si>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</si>
  <si>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</si>
  <si>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</si>
  <si>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</si>
  <si>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</si>
  <si>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</si>
  <si>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</si>
  <si>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</si>
  <si>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</si>
  <si>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</si>
  <si>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</si>
  <si>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</si>
  <si>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</si>
  <si>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</si>
  <si>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</si>
  <si>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</si>
  <si>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</si>
  <si>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</si>
  <si>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</si>
  <si>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</si>
  <si>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</si>
  <si>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</si>
  <si>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</si>
  <si>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</si>
  <si>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</si>
  <si>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</si>
  <si>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</si>
  <si>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</si>
  <si>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</si>
  <si>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</si>
  <si>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</si>
  <si>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</si>
  <si>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</si>
  <si>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</si>
  <si>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</si>
  <si>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</si>
  <si>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</si>
  <si>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</si>
  <si>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</si>
  <si>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</si>
  <si>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</si>
  <si>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</si>
  <si>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</si>
  <si>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</si>
  <si>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</si>
  <si>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</si>
  <si>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</si>
  <si>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</si>
  <si>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</si>
  <si>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</si>
  <si>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</si>
  <si>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</si>
  <si>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</si>
  <si>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</si>
  <si>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</si>
  <si>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</si>
  <si>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</si>
  <si>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</si>
  <si>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</si>
  <si>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</si>
  <si>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</si>
  <si>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</si>
  <si>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</si>
  <si>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</si>
  <si>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</si>
  <si>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</si>
  <si>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</si>
  <si>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</si>
  <si>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</si>
  <si>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</si>
  <si>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</si>
  <si>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</si>
  <si>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</si>
  <si>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</si>
  <si>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</si>
  <si>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</si>
  <si>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</si>
  <si>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</si>
  <si>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</si>
  <si>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</si>
  <si>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</si>
  <si>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</si>
  <si>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</si>
  <si>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</si>
  <si>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</si>
  <si>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</si>
  <si>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</si>
  <si>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</si>
  <si>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</si>
  <si>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</si>
  <si>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</si>
  <si>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</si>
  <si>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</si>
  <si>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</si>
  <si>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</si>
  <si>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</si>
  <si>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</si>
  <si>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</si>
  <si>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</si>
  <si>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</si>
  <si>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</si>
  <si>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</si>
  <si>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</si>
  <si>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</si>
  <si>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</si>
  <si>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</si>
  <si>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</si>
  <si>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</si>
  <si>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</si>
  <si>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</si>
  <si>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</si>
  <si>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</si>
  <si>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</si>
  <si>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</si>
  <si>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</si>
  <si>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</si>
  <si>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</si>
  <si>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</si>
  <si>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</si>
  <si>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</si>
  <si>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</si>
  <si>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</si>
  <si>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</si>
  <si>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</si>
  <si>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</si>
  <si>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</si>
  <si>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</si>
  <si>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</si>
  <si>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</si>
  <si>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</si>
  <si>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</si>
  <si>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</si>
  <si>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</si>
  <si>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</si>
  <si>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</si>
  <si>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</si>
  <si>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</si>
  <si>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</si>
  <si>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</si>
  <si>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</si>
  <si>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</si>
  <si>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</si>
  <si>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</si>
  <si>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</si>
  <si>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</si>
  <si>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</si>
  <si>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</si>
  <si>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</si>
  <si>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</si>
  <si>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</si>
  <si>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</si>
  <si>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</si>
  <si>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</si>
  <si>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</si>
  <si>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</si>
  <si>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</si>
  <si>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</si>
  <si>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</si>
  <si>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</si>
  <si>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</si>
  <si>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</si>
  <si>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</si>
  <si>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</si>
  <si>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</si>
  <si>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</si>
  <si>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</si>
  <si>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</si>
  <si>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</si>
  <si>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</si>
  <si>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</si>
  <si>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</si>
  <si>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</si>
  <si>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</si>
  <si>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</si>
  <si>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</si>
  <si>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</si>
  <si>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</si>
  <si>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</si>
  <si>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</si>
  <si>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</si>
  <si>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</si>
  <si>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</si>
  <si>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</si>
  <si>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</si>
  <si>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</si>
  <si>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</si>
  <si>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</si>
  <si>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</si>
  <si>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</si>
  <si>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</si>
  <si>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</si>
  <si>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</si>
  <si>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</si>
  <si>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</si>
  <si>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</si>
  <si>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</si>
  <si>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</si>
  <si>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</si>
  <si>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</si>
  <si>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</si>
  <si>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</si>
  <si>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</si>
  <si>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</si>
  <si>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</si>
  <si>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</si>
  <si>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</si>
  <si>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</si>
  <si>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</si>
  <si>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</si>
  <si>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</si>
  <si>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</si>
  <si>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</si>
  <si>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</si>
  <si>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</si>
  <si>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</si>
  <si>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</si>
  <si>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</si>
  <si>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</si>
  <si>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</si>
  <si>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</si>
  <si>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</si>
  <si>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</si>
  <si>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</si>
  <si>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</si>
  <si>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</si>
  <si>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</si>
  <si>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</si>
  <si>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</si>
  <si>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</si>
  <si>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</si>
  <si>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</si>
  <si>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</si>
  <si>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</si>
  <si>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</si>
  <si>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</si>
  <si>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</si>
  <si>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</si>
  <si>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</si>
  <si>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</si>
  <si>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</si>
  <si>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</si>
  <si>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</si>
  <si>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</si>
  <si>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</si>
  <si>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</si>
  <si>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</si>
  <si>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</si>
  <si>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</si>
  <si>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</si>
  <si>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</si>
  <si>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</si>
  <si>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</si>
  <si>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</si>
  <si>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</si>
  <si>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</si>
  <si>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</si>
  <si>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</si>
  <si>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</si>
  <si>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</si>
  <si>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</si>
  <si>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</si>
  <si>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</si>
  <si>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</si>
  <si>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</si>
  <si>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</si>
  <si>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</si>
  <si>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</si>
  <si>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</si>
  <si>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</si>
  <si>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</si>
  <si>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</si>
  <si>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</si>
  <si>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</si>
  <si>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</si>
  <si>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</si>
  <si>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</si>
  <si>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</si>
  <si>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</si>
  <si>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</si>
  <si>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</si>
  <si>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</si>
  <si>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</si>
  <si>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</si>
  <si>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</si>
  <si>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</si>
  <si>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</si>
  <si>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</si>
  <si>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</si>
  <si>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</si>
  <si>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</si>
  <si>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</si>
  <si>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</si>
  <si>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</si>
  <si>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</si>
  <si>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</si>
  <si>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</si>
  <si>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</si>
  <si>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</si>
  <si>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</si>
  <si>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</si>
  <si>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</si>
  <si>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</si>
  <si>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</si>
  <si>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</si>
  <si>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</si>
  <si>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</si>
  <si>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</si>
  <si>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</si>
  <si>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</si>
  <si>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</si>
  <si>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</si>
  <si>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</si>
  <si>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</si>
  <si>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</si>
  <si>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</si>
  <si>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</si>
  <si>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</si>
  <si>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</si>
  <si>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</si>
  <si>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</si>
  <si>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</si>
  <si>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</si>
  <si>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</si>
  <si>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</si>
  <si>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</si>
  <si>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</si>
  <si>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</si>
  <si>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</si>
  <si>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</si>
  <si>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</si>
  <si>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</si>
  <si>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</si>
  <si>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</si>
  <si>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</si>
  <si>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</si>
  <si>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</si>
  <si>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</si>
  <si>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</si>
  <si>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</si>
  <si>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</si>
  <si>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</si>
  <si>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</si>
  <si>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</si>
  <si>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</si>
  <si>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</si>
  <si>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</si>
  <si>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</si>
  <si>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</si>
  <si>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</si>
  <si>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</si>
  <si>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</si>
  <si>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</si>
  <si>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</si>
  <si>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</si>
  <si>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</si>
  <si>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</si>
  <si>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</si>
  <si>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</si>
  <si>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</si>
  <si>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</si>
  <si>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</si>
  <si>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</si>
  <si>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</si>
  <si>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</si>
  <si>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</si>
  <si>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</si>
  <si>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</si>
  <si>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</si>
  <si>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</si>
  <si>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</si>
  <si>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</si>
  <si>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</si>
  <si>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</si>
  <si>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</si>
  <si>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</si>
  <si>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</si>
  <si>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</si>
  <si>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</si>
  <si>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</si>
  <si>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</si>
  <si>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</si>
  <si>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</si>
  <si>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</si>
  <si>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</si>
  <si>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</si>
  <si>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</si>
  <si>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</si>
  <si>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</si>
  <si>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</si>
  <si>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</si>
  <si>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</si>
  <si>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</si>
  <si>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</si>
  <si>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</si>
  <si>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</si>
  <si>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</si>
  <si>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</si>
  <si>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</si>
  <si>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</si>
  <si>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</si>
  <si>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</si>
  <si>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</si>
  <si>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</si>
  <si>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</si>
  <si>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</si>
  <si>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</si>
  <si>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</si>
  <si>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</si>
  <si>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</si>
  <si>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</si>
  <si>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</si>
  <si>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</si>
  <si>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</si>
  <si>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</si>
  <si>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</si>
  <si>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</si>
  <si>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</si>
  <si>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</si>
  <si>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</si>
  <si>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</si>
  <si>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</si>
  <si>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</si>
  <si>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</si>
  <si>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</si>
  <si>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</si>
  <si>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</si>
  <si>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</si>
  <si>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</si>
  <si>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</si>
  <si>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</si>
  <si>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</si>
  <si>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</si>
  <si>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</si>
  <si>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</si>
  <si>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</si>
  <si>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</si>
  <si>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</si>
  <si>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</si>
  <si>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</si>
  <si>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</si>
  <si>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</si>
  <si>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</si>
  <si>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</si>
  <si>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</si>
  <si>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</si>
  <si>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</si>
  <si>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</si>
  <si>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</si>
  <si>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</si>
  <si>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</si>
  <si>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</si>
  <si>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</si>
  <si>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</si>
  <si>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</si>
  <si>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</si>
  <si>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</si>
  <si>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</si>
  <si>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</si>
  <si>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</si>
  <si>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</si>
  <si>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</si>
  <si>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</si>
  <si>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</si>
  <si>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</si>
  <si>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</si>
  <si>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</si>
  <si>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</si>
  <si>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</si>
  <si>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</si>
  <si>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</si>
  <si>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</si>
  <si>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</si>
  <si>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</si>
  <si>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</si>
  <si>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</si>
  <si>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</si>
  <si>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</si>
  <si>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</si>
  <si>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</si>
  <si>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</si>
  <si>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</si>
  <si>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</si>
  <si>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</si>
  <si>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</si>
  <si>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</si>
  <si>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</si>
  <si>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</si>
  <si>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</si>
  <si>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</si>
  <si>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</si>
  <si>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</si>
  <si>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</si>
  <si>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</si>
  <si>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</si>
  <si>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</si>
  <si>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</si>
  <si>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</si>
  <si>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</si>
  <si>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</si>
  <si>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</si>
  <si>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</si>
  <si>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</si>
  <si>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</si>
  <si>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</si>
  <si>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</si>
  <si>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</si>
  <si>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</si>
  <si>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</si>
  <si>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</si>
  <si>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</si>
  <si>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</si>
  <si>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</si>
  <si>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</si>
  <si>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</si>
  <si>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</si>
  <si>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</si>
  <si>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</si>
  <si>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</si>
  <si>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</si>
  <si>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</si>
  <si>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</si>
  <si>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</si>
  <si>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</si>
  <si>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</si>
  <si>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</si>
  <si>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</si>
  <si>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</si>
  <si>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</si>
  <si>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</si>
  <si>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</si>
  <si>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</si>
  <si>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</si>
  <si>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</si>
  <si>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</si>
  <si>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</si>
  <si>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</si>
  <si>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</si>
  <si>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</si>
  <si>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</si>
  <si>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</si>
  <si>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</si>
  <si>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</si>
  <si>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</si>
  <si>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</si>
  <si>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</si>
  <si>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</si>
  <si>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</si>
  <si>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 xml:space="preserve">машина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</si>
</sst>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5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5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34" t="s">
        <v>0</v>
      </c>
      <c r="E1" s="594"/>
      <c r="F1" s="594"/>
      <c r="G1" s="14" t="s">
        <v>1</v>
      </c>
      <c r="H1" s="634" t="s">
        <v>2</v>
      </c>
      <c r="I1" s="594"/>
      <c r="J1" s="594"/>
      <c r="K1" s="594"/>
      <c r="L1" s="594"/>
      <c r="M1" s="594"/>
      <c r="N1" s="594"/>
      <c r="O1" s="594"/>
      <c r="P1" s="594"/>
      <c r="Q1" s="594"/>
      <c r="R1" s="593" t="s">
        <v>3</v>
      </c>
      <c r="S1" s="594"/>
      <c r="T1" s="59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4"/>
      <c r="Q3" s="564"/>
      <c r="R3" s="564"/>
      <c r="S3" s="564"/>
      <c r="T3" s="564"/>
      <c r="U3" s="564"/>
      <c r="V3" s="564"/>
      <c r="W3" s="56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95" t="s">
        <v>8</v>
      </c>
      <c r="B5" s="669"/>
      <c r="C5" s="670"/>
      <c r="D5" s="638"/>
      <c r="E5" s="639"/>
      <c r="F5" s="832" t="s">
        <v>9</v>
      </c>
      <c r="G5" s="670"/>
      <c r="H5" s="638" t="s">
        <v>776</v>
      </c>
      <c r="I5" s="790"/>
      <c r="J5" s="790"/>
      <c r="K5" s="790"/>
      <c r="L5" s="790"/>
      <c r="M5" s="639"/>
      <c r="N5" s="69"/>
      <c r="P5" s="26" t="s">
        <v>10</v>
      </c>
      <c r="Q5" s="849">
        <v>46042</v>
      </c>
      <c r="R5" s="688"/>
      <c r="T5" s="735" t="s">
        <v>11</v>
      </c>
      <c r="U5" s="666"/>
      <c r="V5" s="736" t="s">
        <v>12</v>
      </c>
      <c r="W5" s="688"/>
      <c r="AB5" s="57"/>
      <c r="AC5" s="57"/>
      <c r="AD5" s="57"/>
      <c r="AE5" s="57"/>
    </row>
    <row r="6" spans="1:32" s="17" customFormat="1" ht="24" customHeight="1" x14ac:dyDescent="0.2">
      <c r="A6" s="695" t="s">
        <v>13</v>
      </c>
      <c r="B6" s="669"/>
      <c r="C6" s="670"/>
      <c r="D6" s="792" t="s">
        <v>14</v>
      </c>
      <c r="E6" s="793"/>
      <c r="F6" s="793"/>
      <c r="G6" s="793"/>
      <c r="H6" s="793"/>
      <c r="I6" s="793"/>
      <c r="J6" s="793"/>
      <c r="K6" s="793"/>
      <c r="L6" s="793"/>
      <c r="M6" s="688"/>
      <c r="N6" s="70"/>
      <c r="P6" s="26" t="s">
        <v>15</v>
      </c>
      <c r="Q6" s="858" t="str">
        <f>IF(Q5=0," ",CHOOSE(WEEKDAY(Q5,2),"Понедельник","Вторник","Среда","Четверг","Пятница","Суббота","Воскресенье"))</f>
        <v>Вторник</v>
      </c>
      <c r="R6" s="559"/>
      <c r="T6" s="740" t="s">
        <v>16</v>
      </c>
      <c r="U6" s="666"/>
      <c r="V6" s="775" t="s">
        <v>17</v>
      </c>
      <c r="W6" s="60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1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564"/>
      <c r="U7" s="666"/>
      <c r="V7" s="776"/>
      <c r="W7" s="777"/>
      <c r="AB7" s="57"/>
      <c r="AC7" s="57"/>
      <c r="AD7" s="57"/>
      <c r="AE7" s="57"/>
    </row>
    <row r="8" spans="1:32" s="17" customFormat="1" ht="25.5" customHeight="1" x14ac:dyDescent="0.2">
      <c r="A8" s="879" t="s">
        <v>18</v>
      </c>
      <c r="B8" s="569"/>
      <c r="C8" s="570"/>
      <c r="D8" s="627" t="s">
        <v>19</v>
      </c>
      <c r="E8" s="628"/>
      <c r="F8" s="628"/>
      <c r="G8" s="628"/>
      <c r="H8" s="628"/>
      <c r="I8" s="628"/>
      <c r="J8" s="628"/>
      <c r="K8" s="628"/>
      <c r="L8" s="628"/>
      <c r="M8" s="629"/>
      <c r="N8" s="72"/>
      <c r="P8" s="26" t="s">
        <v>20</v>
      </c>
      <c r="Q8" s="702">
        <v>0.41666666666666669</v>
      </c>
      <c r="R8" s="617"/>
      <c r="T8" s="564"/>
      <c r="U8" s="666"/>
      <c r="V8" s="776"/>
      <c r="W8" s="777"/>
      <c r="AB8" s="57"/>
      <c r="AC8" s="57"/>
      <c r="AD8" s="57"/>
      <c r="AE8" s="57"/>
    </row>
    <row r="9" spans="1:32" s="17" customFormat="1" ht="39.950000000000003" customHeight="1" x14ac:dyDescent="0.2">
      <c r="A9" s="7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6"/>
      <c r="E9" s="575"/>
      <c r="F9" s="7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74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67"/>
      <c r="P9" s="29" t="s">
        <v>21</v>
      </c>
      <c r="Q9" s="684"/>
      <c r="R9" s="685"/>
      <c r="T9" s="564"/>
      <c r="U9" s="666"/>
      <c r="V9" s="778"/>
      <c r="W9" s="77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6"/>
      <c r="E10" s="575"/>
      <c r="F10" s="7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66" t="str">
        <f>IFERROR(VLOOKUP($D$10,Proxy,2,FALSE),"")</f>
        <v/>
      </c>
      <c r="I10" s="564"/>
      <c r="J10" s="564"/>
      <c r="K10" s="564"/>
      <c r="L10" s="564"/>
      <c r="M10" s="564"/>
      <c r="N10" s="68"/>
      <c r="P10" s="29" t="s">
        <v>22</v>
      </c>
      <c r="Q10" s="727"/>
      <c r="R10" s="728"/>
      <c r="U10" s="26" t="s">
        <v>23</v>
      </c>
      <c r="V10" s="603" t="s">
        <v>24</v>
      </c>
      <c r="W10" s="60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87"/>
      <c r="R11" s="688"/>
      <c r="U11" s="26" t="s">
        <v>27</v>
      </c>
      <c r="V11" s="807" t="s">
        <v>28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29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73"/>
      <c r="P12" s="26" t="s">
        <v>30</v>
      </c>
      <c r="Q12" s="702"/>
      <c r="R12" s="617"/>
      <c r="S12" s="27"/>
      <c r="U12" s="26"/>
      <c r="V12" s="594"/>
      <c r="W12" s="564"/>
      <c r="AB12" s="57"/>
      <c r="AC12" s="57"/>
      <c r="AD12" s="57"/>
      <c r="AE12" s="57"/>
    </row>
    <row r="13" spans="1:32" s="17" customFormat="1" ht="23.25" customHeight="1" x14ac:dyDescent="0.2">
      <c r="A13" s="729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73"/>
      <c r="O13" s="29"/>
      <c r="P13" s="29" t="s">
        <v>32</v>
      </c>
      <c r="Q13" s="807"/>
      <c r="R13" s="685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29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4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74"/>
      <c r="P15" s="718" t="s">
        <v>35</v>
      </c>
      <c r="Q15" s="594"/>
      <c r="R15" s="594"/>
      <c r="S15" s="594"/>
      <c r="T15" s="594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9"/>
      <c r="Q16" s="719"/>
      <c r="R16" s="719"/>
      <c r="S16" s="719"/>
      <c r="T16" s="7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1" t="s">
        <v>36</v>
      </c>
      <c r="B17" s="581" t="s">
        <v>37</v>
      </c>
      <c r="C17" s="712" t="s">
        <v>38</v>
      </c>
      <c r="D17" s="581" t="s">
        <v>39</v>
      </c>
      <c r="E17" s="65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55"/>
      <c r="R17" s="655"/>
      <c r="S17" s="655"/>
      <c r="T17" s="656"/>
      <c r="U17" s="871" t="s">
        <v>51</v>
      </c>
      <c r="V17" s="670"/>
      <c r="W17" s="581" t="s">
        <v>52</v>
      </c>
      <c r="X17" s="581" t="s">
        <v>53</v>
      </c>
      <c r="Y17" s="872" t="s">
        <v>54</v>
      </c>
      <c r="Z17" s="787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7"/>
      <c r="AF17" s="828"/>
      <c r="AG17" s="77"/>
      <c r="BD17" s="76" t="s">
        <v>60</v>
      </c>
    </row>
    <row r="18" spans="1:68" ht="14.25" customHeight="1" x14ac:dyDescent="0.2">
      <c r="A18" s="582"/>
      <c r="B18" s="582"/>
      <c r="C18" s="582"/>
      <c r="D18" s="657"/>
      <c r="E18" s="65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57"/>
      <c r="Q18" s="658"/>
      <c r="R18" s="658"/>
      <c r="S18" s="658"/>
      <c r="T18" s="659"/>
      <c r="U18" s="78" t="s">
        <v>61</v>
      </c>
      <c r="V18" s="78" t="s">
        <v>62</v>
      </c>
      <c r="W18" s="582"/>
      <c r="X18" s="582"/>
      <c r="Y18" s="873"/>
      <c r="Z18" s="788"/>
      <c r="AA18" s="765"/>
      <c r="AB18" s="765"/>
      <c r="AC18" s="765"/>
      <c r="AD18" s="829"/>
      <c r="AE18" s="830"/>
      <c r="AF18" s="831"/>
      <c r="AG18" s="77"/>
      <c r="BD18" s="76"/>
    </row>
    <row r="19" spans="1:68" ht="27.75" hidden="1" customHeight="1" x14ac:dyDescent="0.2">
      <c r="A19" s="613" t="s">
        <v>63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52"/>
      <c r="AB19" s="52"/>
      <c r="AC19" s="52"/>
    </row>
    <row r="20" spans="1:68" ht="16.5" hidden="1" customHeight="1" x14ac:dyDescent="0.25">
      <c r="A20" s="576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62"/>
      <c r="AB20" s="62"/>
      <c r="AC20" s="62"/>
    </row>
    <row r="21" spans="1:68" ht="14.25" hidden="1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63"/>
      <c r="AB21" s="63"/>
      <c r="AC21" s="63"/>
    </row>
    <row r="22" spans="1:68" ht="27" hidden="1" customHeight="1" x14ac:dyDescent="0.25">
      <c r="A22" s="60" t="s">
        <v>65</v>
      </c>
      <c r="B22" s="60" t="s">
        <v>66</v>
      </c>
      <c r="C22" s="34">
        <v>4301031446</v>
      </c>
      <c r="D22" s="558">
        <v>4680115887510</v>
      </c>
      <c r="E22" s="559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8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7"/>
      <c r="V22" s="37"/>
      <c r="W22" s="38" t="s">
        <v>69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70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71</v>
      </c>
      <c r="B23" s="60" t="s">
        <v>72</v>
      </c>
      <c r="C23" s="34">
        <v>4301031278</v>
      </c>
      <c r="D23" s="558">
        <v>4680115886643</v>
      </c>
      <c r="E23" s="559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73</v>
      </c>
      <c r="L23" s="35"/>
      <c r="M23" s="36" t="s">
        <v>68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7"/>
      <c r="V23" s="37"/>
      <c r="W23" s="38" t="s">
        <v>69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74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8" t="s">
        <v>75</v>
      </c>
      <c r="Q24" s="569"/>
      <c r="R24" s="569"/>
      <c r="S24" s="569"/>
      <c r="T24" s="569"/>
      <c r="U24" s="569"/>
      <c r="V24" s="570"/>
      <c r="W24" s="40" t="s">
        <v>76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68" t="s">
        <v>75</v>
      </c>
      <c r="Q25" s="569"/>
      <c r="R25" s="569"/>
      <c r="S25" s="569"/>
      <c r="T25" s="569"/>
      <c r="U25" s="569"/>
      <c r="V25" s="570"/>
      <c r="W25" s="40" t="s">
        <v>69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63"/>
      <c r="AB26" s="63"/>
      <c r="AC26" s="63"/>
    </row>
    <row r="27" spans="1:68" ht="27" hidden="1" customHeight="1" x14ac:dyDescent="0.25">
      <c r="A27" s="60" t="s">
        <v>78</v>
      </c>
      <c r="B27" s="60" t="s">
        <v>79</v>
      </c>
      <c r="C27" s="34">
        <v>4301051866</v>
      </c>
      <c r="D27" s="558">
        <v>4680115885912</v>
      </c>
      <c r="E27" s="55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80</v>
      </c>
      <c r="N27" s="36"/>
      <c r="O27" s="35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7"/>
      <c r="V27" s="37"/>
      <c r="W27" s="38" t="s">
        <v>69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81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82</v>
      </c>
      <c r="B28" s="60" t="s">
        <v>83</v>
      </c>
      <c r="C28" s="34">
        <v>4301051776</v>
      </c>
      <c r="D28" s="558">
        <v>4607091388237</v>
      </c>
      <c r="E28" s="55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80</v>
      </c>
      <c r="N28" s="36"/>
      <c r="O28" s="35">
        <v>40</v>
      </c>
      <c r="P28" s="5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7"/>
      <c r="V28" s="37"/>
      <c r="W28" s="38" t="s">
        <v>69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81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84</v>
      </c>
      <c r="B29" s="60" t="s">
        <v>85</v>
      </c>
      <c r="C29" s="34">
        <v>4301052063</v>
      </c>
      <c r="D29" s="558">
        <v>4680115887350</v>
      </c>
      <c r="E29" s="55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86</v>
      </c>
      <c r="N29" s="36"/>
      <c r="O29" s="35">
        <v>40</v>
      </c>
      <c r="P29" s="6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7"/>
      <c r="V29" s="37"/>
      <c r="W29" s="38" t="s">
        <v>69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87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88</v>
      </c>
      <c r="B30" s="60" t="s">
        <v>89</v>
      </c>
      <c r="C30" s="34">
        <v>4301051863</v>
      </c>
      <c r="D30" s="558">
        <v>4680115885905</v>
      </c>
      <c r="E30" s="55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90</v>
      </c>
      <c r="M30" s="36" t="s">
        <v>86</v>
      </c>
      <c r="N30" s="36"/>
      <c r="O30" s="35">
        <v>40</v>
      </c>
      <c r="P30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7"/>
      <c r="V30" s="37"/>
      <c r="W30" s="38" t="s">
        <v>69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91</v>
      </c>
      <c r="AG30" s="75"/>
      <c r="AJ30" s="79" t="s">
        <v>92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8" t="s">
        <v>75</v>
      </c>
      <c r="Q31" s="569"/>
      <c r="R31" s="569"/>
      <c r="S31" s="569"/>
      <c r="T31" s="569"/>
      <c r="U31" s="569"/>
      <c r="V31" s="570"/>
      <c r="W31" s="40" t="s">
        <v>76</v>
      </c>
      <c r="X31" s="41">
        <f>IFERROR(X27/H27,"0")+IFERROR(X28/H28,"0")+IFERROR(X29/H29,"0")+IFERROR(X30/H30,"0")</f>
        <v>0</v>
      </c>
      <c r="Y31" s="41">
        <f>IFERROR(Y27/H27,"0")+IFERROR(Y28/H28,"0")+IFERROR(Y29/H29,"0")+IFERROR(Y30/H30,"0")</f>
        <v>0</v>
      </c>
      <c r="Z31" s="41">
        <f>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8" t="s">
        <v>75</v>
      </c>
      <c r="Q32" s="569"/>
      <c r="R32" s="569"/>
      <c r="S32" s="569"/>
      <c r="T32" s="569"/>
      <c r="U32" s="569"/>
      <c r="V32" s="570"/>
      <c r="W32" s="40" t="s">
        <v>69</v>
      </c>
      <c r="X32" s="41">
        <f>IFERROR(SUM(X27:X30),"0")</f>
        <v>0</v>
      </c>
      <c r="Y32" s="41">
        <f>IFERROR(SUM(Y27:Y30),"0")</f>
        <v>0</v>
      </c>
      <c r="Z32" s="40"/>
      <c r="AA32" s="64"/>
      <c r="AB32" s="64"/>
      <c r="AC32" s="64"/>
    </row>
    <row r="33" spans="1:68" ht="14.25" hidden="1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63"/>
      <c r="AB33" s="63"/>
      <c r="AC33" s="63"/>
    </row>
    <row r="34" spans="1:68" ht="27" hidden="1" customHeight="1" x14ac:dyDescent="0.25">
      <c r="A34" s="60" t="s">
        <v>94</v>
      </c>
      <c r="B34" s="60" t="s">
        <v>95</v>
      </c>
      <c r="C34" s="34">
        <v>4301032013</v>
      </c>
      <c r="D34" s="558">
        <v>4607091388503</v>
      </c>
      <c r="E34" s="559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67</v>
      </c>
      <c r="L34" s="35"/>
      <c r="M34" s="36" t="s">
        <v>96</v>
      </c>
      <c r="N34" s="36"/>
      <c r="O34" s="35">
        <v>120</v>
      </c>
      <c r="P34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7"/>
      <c r="V34" s="37"/>
      <c r="W34" s="38" t="s">
        <v>69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/>
      <c r="AB34" s="66"/>
      <c r="AC34" s="93" t="s">
        <v>97</v>
      </c>
      <c r="AG34" s="75"/>
      <c r="AJ34" s="79"/>
      <c r="AK34" s="79">
        <v>0</v>
      </c>
      <c r="BB34" s="94" t="s">
        <v>98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hidden="1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8" t="s">
        <v>75</v>
      </c>
      <c r="Q35" s="569"/>
      <c r="R35" s="569"/>
      <c r="S35" s="569"/>
      <c r="T35" s="569"/>
      <c r="U35" s="569"/>
      <c r="V35" s="570"/>
      <c r="W35" s="40" t="s">
        <v>76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hidden="1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8" t="s">
        <v>75</v>
      </c>
      <c r="Q36" s="569"/>
      <c r="R36" s="569"/>
      <c r="S36" s="569"/>
      <c r="T36" s="569"/>
      <c r="U36" s="569"/>
      <c r="V36" s="570"/>
      <c r="W36" s="40" t="s">
        <v>69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hidden="1" customHeight="1" x14ac:dyDescent="0.2">
      <c r="A37" s="613" t="s">
        <v>99</v>
      </c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52"/>
      <c r="AB37" s="52"/>
      <c r="AC37" s="52"/>
    </row>
    <row r="38" spans="1:68" ht="16.5" hidden="1" customHeight="1" x14ac:dyDescent="0.25">
      <c r="A38" s="576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62"/>
      <c r="AB38" s="62"/>
      <c r="AC38" s="62"/>
    </row>
    <row r="39" spans="1:68" ht="14.25" hidden="1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63"/>
      <c r="AB39" s="63"/>
      <c r="AC39" s="63"/>
    </row>
    <row r="40" spans="1:68" ht="16.5" hidden="1" customHeight="1" x14ac:dyDescent="0.25">
      <c r="A40" s="60" t="s">
        <v>102</v>
      </c>
      <c r="B40" s="60" t="s">
        <v>103</v>
      </c>
      <c r="C40" s="34">
        <v>4301011380</v>
      </c>
      <c r="D40" s="558">
        <v>4607091385670</v>
      </c>
      <c r="E40" s="559"/>
      <c r="F40" s="59">
        <v>1.35</v>
      </c>
      <c r="G40" s="35">
        <v>8</v>
      </c>
      <c r="H40" s="59">
        <v>10.8</v>
      </c>
      <c r="I40" s="59">
        <v>11.21</v>
      </c>
      <c r="J40" s="35">
        <v>64</v>
      </c>
      <c r="K40" s="35" t="s">
        <v>104</v>
      </c>
      <c r="L40" s="35" t="s">
        <v>105</v>
      </c>
      <c r="M40" s="36" t="s">
        <v>106</v>
      </c>
      <c r="N40" s="36"/>
      <c r="O40" s="35">
        <v>50</v>
      </c>
      <c r="P40" s="78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7"/>
      <c r="V40" s="37"/>
      <c r="W40" s="38" t="s">
        <v>69</v>
      </c>
      <c r="X40" s="56">
        <v>0</v>
      </c>
      <c r="Y40" s="53">
        <f>IFERROR(IF(X40="",0,CEILING((X40/$H40),1)*$H40),"")</f>
        <v>0</v>
      </c>
      <c r="Z40" s="39" t="str">
        <f>IFERROR(IF(Y40=0,"",ROUNDUP(Y40/H40,0)*0.01898),"")</f>
        <v/>
      </c>
      <c r="AA40" s="65"/>
      <c r="AB40" s="66"/>
      <c r="AC40" s="95" t="s">
        <v>107</v>
      </c>
      <c r="AG40" s="75"/>
      <c r="AJ40" s="79" t="s">
        <v>92</v>
      </c>
      <c r="AK40" s="79">
        <v>86.4</v>
      </c>
      <c r="BB40" s="96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108</v>
      </c>
      <c r="B41" s="60" t="s">
        <v>109</v>
      </c>
      <c r="C41" s="34">
        <v>4301011382</v>
      </c>
      <c r="D41" s="558">
        <v>4607091385687</v>
      </c>
      <c r="E41" s="559"/>
      <c r="F41" s="59">
        <v>0.4</v>
      </c>
      <c r="G41" s="35">
        <v>10</v>
      </c>
      <c r="H41" s="59">
        <v>4</v>
      </c>
      <c r="I41" s="59">
        <v>4.1900000000000004</v>
      </c>
      <c r="J41" s="35">
        <v>132</v>
      </c>
      <c r="K41" s="35" t="s">
        <v>110</v>
      </c>
      <c r="L41" s="35" t="s">
        <v>111</v>
      </c>
      <c r="M41" s="36" t="s">
        <v>80</v>
      </c>
      <c r="N41" s="36"/>
      <c r="O41" s="35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7"/>
      <c r="V41" s="37"/>
      <c r="W41" s="38" t="s">
        <v>69</v>
      </c>
      <c r="X41" s="56">
        <v>40</v>
      </c>
      <c r="Y41" s="53">
        <f>IFERROR(IF(X41="",0,CEILING((X41/$H41),1)*$H41),"")</f>
        <v>40</v>
      </c>
      <c r="Z41" s="39">
        <f>IFERROR(IF(Y41=0,"",ROUNDUP(Y41/H41,0)*0.00902),"")</f>
        <v>9.0200000000000002E-2</v>
      </c>
      <c r="AA41" s="65"/>
      <c r="AB41" s="66"/>
      <c r="AC41" s="97" t="s">
        <v>107</v>
      </c>
      <c r="AG41" s="75"/>
      <c r="AJ41" s="79" t="s">
        <v>92</v>
      </c>
      <c r="AK41" s="79">
        <v>48</v>
      </c>
      <c r="BB41" s="98" t="s">
        <v>1</v>
      </c>
      <c r="BM41" s="75">
        <f>IFERROR(X41*I41/H41,"0")</f>
        <v>41.900000000000006</v>
      </c>
      <c r="BN41" s="75">
        <f>IFERROR(Y41*I41/H41,"0")</f>
        <v>41.900000000000006</v>
      </c>
      <c r="BO41" s="75">
        <f>IFERROR(1/J41*(X41/H41),"0")</f>
        <v>7.575757575757576E-2</v>
      </c>
      <c r="BP41" s="75">
        <f>IFERROR(1/J41*(Y41/H41),"0")</f>
        <v>7.575757575757576E-2</v>
      </c>
    </row>
    <row r="42" spans="1:68" ht="27" hidden="1" customHeight="1" x14ac:dyDescent="0.25">
      <c r="A42" s="60" t="s">
        <v>112</v>
      </c>
      <c r="B42" s="60" t="s">
        <v>113</v>
      </c>
      <c r="C42" s="34">
        <v>4301011565</v>
      </c>
      <c r="D42" s="558">
        <v>4680115882539</v>
      </c>
      <c r="E42" s="559"/>
      <c r="F42" s="59">
        <v>0.37</v>
      </c>
      <c r="G42" s="35">
        <v>10</v>
      </c>
      <c r="H42" s="59">
        <v>3.7</v>
      </c>
      <c r="I42" s="59">
        <v>3.89</v>
      </c>
      <c r="J42" s="35">
        <v>132</v>
      </c>
      <c r="K42" s="35" t="s">
        <v>110</v>
      </c>
      <c r="L42" s="35"/>
      <c r="M42" s="36" t="s">
        <v>80</v>
      </c>
      <c r="N42" s="36"/>
      <c r="O42" s="35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7"/>
      <c r="V42" s="37"/>
      <c r="W42" s="38" t="s">
        <v>69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107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8" t="s">
        <v>75</v>
      </c>
      <c r="Q43" s="569"/>
      <c r="R43" s="569"/>
      <c r="S43" s="569"/>
      <c r="T43" s="569"/>
      <c r="U43" s="569"/>
      <c r="V43" s="570"/>
      <c r="W43" s="40" t="s">
        <v>76</v>
      </c>
      <c r="X43" s="41">
        <f>IFERROR(X40/H40,"0")+IFERROR(X41/H41,"0")+IFERROR(X42/H42,"0")</f>
        <v>10</v>
      </c>
      <c r="Y43" s="41">
        <f>IFERROR(Y40/H40,"0")+IFERROR(Y41/H41,"0")+IFERROR(Y42/H42,"0")</f>
        <v>10</v>
      </c>
      <c r="Z43" s="41">
        <f>IFERROR(IF(Z40="",0,Z40),"0")+IFERROR(IF(Z41="",0,Z41),"0")+IFERROR(IF(Z42="",0,Z42),"0")</f>
        <v>9.0200000000000002E-2</v>
      </c>
      <c r="AA43" s="64"/>
      <c r="AB43" s="64"/>
      <c r="AC43" s="6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8" t="s">
        <v>75</v>
      </c>
      <c r="Q44" s="569"/>
      <c r="R44" s="569"/>
      <c r="S44" s="569"/>
      <c r="T44" s="569"/>
      <c r="U44" s="569"/>
      <c r="V44" s="570"/>
      <c r="W44" s="40" t="s">
        <v>69</v>
      </c>
      <c r="X44" s="41">
        <f>IFERROR(SUM(X40:X42),"0")</f>
        <v>40</v>
      </c>
      <c r="Y44" s="41">
        <f>IFERROR(SUM(Y40:Y42),"0")</f>
        <v>40</v>
      </c>
      <c r="Z44" s="40"/>
      <c r="AA44" s="64"/>
      <c r="AB44" s="64"/>
      <c r="AC44" s="64"/>
    </row>
    <row r="45" spans="1:68" ht="14.25" hidden="1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63"/>
      <c r="AB45" s="63"/>
      <c r="AC45" s="63"/>
    </row>
    <row r="46" spans="1:68" ht="16.5" hidden="1" customHeight="1" x14ac:dyDescent="0.25">
      <c r="A46" s="60" t="s">
        <v>114</v>
      </c>
      <c r="B46" s="60" t="s">
        <v>115</v>
      </c>
      <c r="C46" s="34">
        <v>4301051820</v>
      </c>
      <c r="D46" s="558">
        <v>4680115884915</v>
      </c>
      <c r="E46" s="559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67</v>
      </c>
      <c r="L46" s="35" t="s">
        <v>90</v>
      </c>
      <c r="M46" s="36" t="s">
        <v>80</v>
      </c>
      <c r="N46" s="36"/>
      <c r="O46" s="35">
        <v>40</v>
      </c>
      <c r="P46" s="80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7"/>
      <c r="V46" s="37"/>
      <c r="W46" s="38" t="s">
        <v>69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/>
      <c r="AB46" s="66"/>
      <c r="AC46" s="101" t="s">
        <v>116</v>
      </c>
      <c r="AG46" s="75"/>
      <c r="AJ46" s="79" t="s">
        <v>92</v>
      </c>
      <c r="AK46" s="79">
        <v>25.2</v>
      </c>
      <c r="BB46" s="102" t="s">
        <v>1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idden="1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8" t="s">
        <v>75</v>
      </c>
      <c r="Q47" s="569"/>
      <c r="R47" s="569"/>
      <c r="S47" s="569"/>
      <c r="T47" s="569"/>
      <c r="U47" s="569"/>
      <c r="V47" s="570"/>
      <c r="W47" s="40" t="s">
        <v>76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hidden="1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8" t="s">
        <v>75</v>
      </c>
      <c r="Q48" s="569"/>
      <c r="R48" s="569"/>
      <c r="S48" s="569"/>
      <c r="T48" s="569"/>
      <c r="U48" s="569"/>
      <c r="V48" s="570"/>
      <c r="W48" s="40" t="s">
        <v>69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hidden="1" customHeight="1" x14ac:dyDescent="0.25">
      <c r="A49" s="576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62"/>
      <c r="AB49" s="62"/>
      <c r="AC49" s="62"/>
    </row>
    <row r="50" spans="1:68" ht="14.25" hidden="1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63"/>
      <c r="AB50" s="63"/>
      <c r="AC50" s="63"/>
    </row>
    <row r="51" spans="1:68" ht="27" customHeight="1" x14ac:dyDescent="0.25">
      <c r="A51" s="60" t="s">
        <v>118</v>
      </c>
      <c r="B51" s="60" t="s">
        <v>119</v>
      </c>
      <c r="C51" s="34">
        <v>4301012030</v>
      </c>
      <c r="D51" s="558">
        <v>4680115885882</v>
      </c>
      <c r="E51" s="559"/>
      <c r="F51" s="59">
        <v>1.4</v>
      </c>
      <c r="G51" s="35">
        <v>8</v>
      </c>
      <c r="H51" s="59">
        <v>11.2</v>
      </c>
      <c r="I51" s="59">
        <v>11.61</v>
      </c>
      <c r="J51" s="35">
        <v>64</v>
      </c>
      <c r="K51" s="35" t="s">
        <v>104</v>
      </c>
      <c r="L51" s="35" t="s">
        <v>105</v>
      </c>
      <c r="M51" s="36" t="s">
        <v>80</v>
      </c>
      <c r="N51" s="36"/>
      <c r="O51" s="35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7"/>
      <c r="V51" s="37"/>
      <c r="W51" s="38" t="s">
        <v>69</v>
      </c>
      <c r="X51" s="56">
        <v>100</v>
      </c>
      <c r="Y51" s="53">
        <f t="shared" ref="Y51:Y56" si="0">IFERROR(IF(X51="",0,CEILING((X51/$H51),1)*$H51),"")</f>
        <v>100.8</v>
      </c>
      <c r="Z51" s="39">
        <f>IFERROR(IF(Y51=0,"",ROUNDUP(Y51/H51,0)*0.01898),"")</f>
        <v>0.17082</v>
      </c>
      <c r="AA51" s="65"/>
      <c r="AB51" s="66"/>
      <c r="AC51" s="103" t="s">
        <v>120</v>
      </c>
      <c r="AG51" s="75"/>
      <c r="AJ51" s="79" t="s">
        <v>92</v>
      </c>
      <c r="AK51" s="79">
        <v>89.6</v>
      </c>
      <c r="BB51" s="104" t="s">
        <v>1</v>
      </c>
      <c r="BM51" s="75">
        <f t="shared" ref="BM51:BM56" si="1">IFERROR(X51*I51/H51,"0")</f>
        <v>103.66071428571429</v>
      </c>
      <c r="BN51" s="75">
        <f t="shared" ref="BN51:BN56" si="2">IFERROR(Y51*I51/H51,"0")</f>
        <v>104.49000000000001</v>
      </c>
      <c r="BO51" s="75">
        <f t="shared" ref="BO51:BO56" si="3">IFERROR(1/J51*(X51/H51),"0")</f>
        <v>0.13950892857142858</v>
      </c>
      <c r="BP51" s="75">
        <f t="shared" ref="BP51:BP56" si="4">IFERROR(1/J51*(Y51/H51),"0")</f>
        <v>0.140625</v>
      </c>
    </row>
    <row r="52" spans="1:68" ht="27" customHeight="1" x14ac:dyDescent="0.25">
      <c r="A52" s="60" t="s">
        <v>121</v>
      </c>
      <c r="B52" s="60" t="s">
        <v>122</v>
      </c>
      <c r="C52" s="34">
        <v>4301011816</v>
      </c>
      <c r="D52" s="558">
        <v>4680115881426</v>
      </c>
      <c r="E52" s="559"/>
      <c r="F52" s="59">
        <v>1.35</v>
      </c>
      <c r="G52" s="35">
        <v>8</v>
      </c>
      <c r="H52" s="59">
        <v>10.8</v>
      </c>
      <c r="I52" s="59">
        <v>11.21</v>
      </c>
      <c r="J52" s="35">
        <v>64</v>
      </c>
      <c r="K52" s="35" t="s">
        <v>104</v>
      </c>
      <c r="L52" s="35"/>
      <c r="M52" s="36" t="s">
        <v>106</v>
      </c>
      <c r="N52" s="36"/>
      <c r="O52" s="35">
        <v>50</v>
      </c>
      <c r="P52" s="6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7"/>
      <c r="V52" s="37"/>
      <c r="W52" s="38" t="s">
        <v>69</v>
      </c>
      <c r="X52" s="56">
        <v>700</v>
      </c>
      <c r="Y52" s="53">
        <f t="shared" si="0"/>
        <v>702</v>
      </c>
      <c r="Z52" s="39">
        <f>IFERROR(IF(Y52=0,"",ROUNDUP(Y52/H52,0)*0.01898),"")</f>
        <v>1.2337</v>
      </c>
      <c r="AA52" s="65"/>
      <c r="AB52" s="66"/>
      <c r="AC52" s="105" t="s">
        <v>123</v>
      </c>
      <c r="AG52" s="75"/>
      <c r="AJ52" s="79"/>
      <c r="AK52" s="79">
        <v>0</v>
      </c>
      <c r="BB52" s="106" t="s">
        <v>1</v>
      </c>
      <c r="BM52" s="75">
        <f t="shared" si="1"/>
        <v>726.57407407407413</v>
      </c>
      <c r="BN52" s="75">
        <f t="shared" si="2"/>
        <v>728.65000000000009</v>
      </c>
      <c r="BO52" s="75">
        <f t="shared" si="3"/>
        <v>1.0127314814814814</v>
      </c>
      <c r="BP52" s="75">
        <f t="shared" si="4"/>
        <v>1.015625</v>
      </c>
    </row>
    <row r="53" spans="1:68" ht="27" hidden="1" customHeight="1" x14ac:dyDescent="0.25">
      <c r="A53" s="60" t="s">
        <v>124</v>
      </c>
      <c r="B53" s="60" t="s">
        <v>125</v>
      </c>
      <c r="C53" s="34">
        <v>4301011386</v>
      </c>
      <c r="D53" s="558">
        <v>4680115880283</v>
      </c>
      <c r="E53" s="559"/>
      <c r="F53" s="59">
        <v>0.6</v>
      </c>
      <c r="G53" s="35">
        <v>8</v>
      </c>
      <c r="H53" s="59">
        <v>4.8</v>
      </c>
      <c r="I53" s="59">
        <v>4.99</v>
      </c>
      <c r="J53" s="35">
        <v>132</v>
      </c>
      <c r="K53" s="35" t="s">
        <v>110</v>
      </c>
      <c r="L53" s="35"/>
      <c r="M53" s="36" t="s">
        <v>106</v>
      </c>
      <c r="N53" s="36"/>
      <c r="O53" s="35">
        <v>45</v>
      </c>
      <c r="P53" s="70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7"/>
      <c r="V53" s="37"/>
      <c r="W53" s="38" t="s">
        <v>69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/>
      <c r="AB53" s="66"/>
      <c r="AC53" s="107" t="s">
        <v>126</v>
      </c>
      <c r="AG53" s="75"/>
      <c r="AJ53" s="79"/>
      <c r="AK53" s="79">
        <v>0</v>
      </c>
      <c r="BB53" s="108" t="s">
        <v>1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27" hidden="1" customHeight="1" x14ac:dyDescent="0.25">
      <c r="A54" s="60" t="s">
        <v>127</v>
      </c>
      <c r="B54" s="60" t="s">
        <v>128</v>
      </c>
      <c r="C54" s="34">
        <v>4301011806</v>
      </c>
      <c r="D54" s="558">
        <v>4680115881525</v>
      </c>
      <c r="E54" s="559"/>
      <c r="F54" s="59">
        <v>0.4</v>
      </c>
      <c r="G54" s="35">
        <v>10</v>
      </c>
      <c r="H54" s="59">
        <v>4</v>
      </c>
      <c r="I54" s="59">
        <v>4.1900000000000004</v>
      </c>
      <c r="J54" s="35">
        <v>132</v>
      </c>
      <c r="K54" s="35" t="s">
        <v>110</v>
      </c>
      <c r="L54" s="35"/>
      <c r="M54" s="36" t="s">
        <v>106</v>
      </c>
      <c r="N54" s="36"/>
      <c r="O54" s="35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7"/>
      <c r="V54" s="37"/>
      <c r="W54" s="38" t="s">
        <v>69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/>
      <c r="AB54" s="66"/>
      <c r="AC54" s="109" t="s">
        <v>129</v>
      </c>
      <c r="AG54" s="75"/>
      <c r="AJ54" s="79"/>
      <c r="AK54" s="79">
        <v>0</v>
      </c>
      <c r="BB54" s="110" t="s">
        <v>1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hidden="1" customHeight="1" x14ac:dyDescent="0.25">
      <c r="A55" s="60" t="s">
        <v>130</v>
      </c>
      <c r="B55" s="60" t="s">
        <v>131</v>
      </c>
      <c r="C55" s="34">
        <v>4301011589</v>
      </c>
      <c r="D55" s="558">
        <v>4680115885899</v>
      </c>
      <c r="E55" s="559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67</v>
      </c>
      <c r="L55" s="35" t="s">
        <v>90</v>
      </c>
      <c r="M55" s="36" t="s">
        <v>86</v>
      </c>
      <c r="N55" s="36"/>
      <c r="O55" s="35">
        <v>50</v>
      </c>
      <c r="P55" s="7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7"/>
      <c r="V55" s="37"/>
      <c r="W55" s="38" t="s">
        <v>69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/>
      <c r="AB55" s="66"/>
      <c r="AC55" s="111" t="s">
        <v>132</v>
      </c>
      <c r="AG55" s="75"/>
      <c r="AJ55" s="79" t="s">
        <v>92</v>
      </c>
      <c r="AK55" s="79">
        <v>29.4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37.5" customHeight="1" x14ac:dyDescent="0.25">
      <c r="A56" s="60" t="s">
        <v>133</v>
      </c>
      <c r="B56" s="60" t="s">
        <v>134</v>
      </c>
      <c r="C56" s="34">
        <v>4301011801</v>
      </c>
      <c r="D56" s="558">
        <v>4680115881419</v>
      </c>
      <c r="E56" s="559"/>
      <c r="F56" s="59">
        <v>0.45</v>
      </c>
      <c r="G56" s="35">
        <v>10</v>
      </c>
      <c r="H56" s="59">
        <v>4.5</v>
      </c>
      <c r="I56" s="59">
        <v>4.6900000000000004</v>
      </c>
      <c r="J56" s="35">
        <v>132</v>
      </c>
      <c r="K56" s="35" t="s">
        <v>110</v>
      </c>
      <c r="L56" s="35"/>
      <c r="M56" s="36" t="s">
        <v>106</v>
      </c>
      <c r="N56" s="36"/>
      <c r="O56" s="35">
        <v>50</v>
      </c>
      <c r="P56" s="6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7"/>
      <c r="V56" s="37"/>
      <c r="W56" s="38" t="s">
        <v>69</v>
      </c>
      <c r="X56" s="56">
        <v>67.5</v>
      </c>
      <c r="Y56" s="53">
        <f t="shared" si="0"/>
        <v>67.5</v>
      </c>
      <c r="Z56" s="39">
        <f>IFERROR(IF(Y56=0,"",ROUNDUP(Y56/H56,0)*0.00902),"")</f>
        <v>0.1353</v>
      </c>
      <c r="AA56" s="65"/>
      <c r="AB56" s="66"/>
      <c r="AC56" s="113" t="s">
        <v>135</v>
      </c>
      <c r="AG56" s="75"/>
      <c r="AJ56" s="79"/>
      <c r="AK56" s="79">
        <v>0</v>
      </c>
      <c r="BB56" s="114" t="s">
        <v>1</v>
      </c>
      <c r="BM56" s="75">
        <f t="shared" si="1"/>
        <v>70.350000000000009</v>
      </c>
      <c r="BN56" s="75">
        <f t="shared" si="2"/>
        <v>70.350000000000009</v>
      </c>
      <c r="BO56" s="75">
        <f t="shared" si="3"/>
        <v>0.11363636363636365</v>
      </c>
      <c r="BP56" s="75">
        <f t="shared" si="4"/>
        <v>0.11363636363636365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8" t="s">
        <v>75</v>
      </c>
      <c r="Q57" s="569"/>
      <c r="R57" s="569"/>
      <c r="S57" s="569"/>
      <c r="T57" s="569"/>
      <c r="U57" s="569"/>
      <c r="V57" s="570"/>
      <c r="W57" s="40" t="s">
        <v>76</v>
      </c>
      <c r="X57" s="41">
        <f>IFERROR(X51/H51,"0")+IFERROR(X52/H52,"0")+IFERROR(X53/H53,"0")+IFERROR(X54/H54,"0")+IFERROR(X55/H55,"0")+IFERROR(X56/H56,"0")</f>
        <v>88.74338624338624</v>
      </c>
      <c r="Y57" s="41">
        <f>IFERROR(Y51/H51,"0")+IFERROR(Y52/H52,"0")+IFERROR(Y53/H53,"0")+IFERROR(Y54/H54,"0")+IFERROR(Y55/H55,"0")+IFERROR(Y56/H56,"0")</f>
        <v>89</v>
      </c>
      <c r="Z57" s="41">
        <f>IFERROR(IF(Z51="",0,Z51),"0")+IFERROR(IF(Z52="",0,Z52),"0")+IFERROR(IF(Z53="",0,Z53),"0")+IFERROR(IF(Z54="",0,Z54),"0")+IFERROR(IF(Z55="",0,Z55),"0")+IFERROR(IF(Z56="",0,Z56),"0")</f>
        <v>1.53982</v>
      </c>
      <c r="AA57" s="64"/>
      <c r="AB57" s="64"/>
      <c r="AC57" s="6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8" t="s">
        <v>75</v>
      </c>
      <c r="Q58" s="569"/>
      <c r="R58" s="569"/>
      <c r="S58" s="569"/>
      <c r="T58" s="569"/>
      <c r="U58" s="569"/>
      <c r="V58" s="570"/>
      <c r="W58" s="40" t="s">
        <v>69</v>
      </c>
      <c r="X58" s="41">
        <f>IFERROR(SUM(X51:X56),"0")</f>
        <v>867.5</v>
      </c>
      <c r="Y58" s="41">
        <f>IFERROR(SUM(Y51:Y56),"0")</f>
        <v>870.3</v>
      </c>
      <c r="Z58" s="40"/>
      <c r="AA58" s="64"/>
      <c r="AB58" s="64"/>
      <c r="AC58" s="64"/>
    </row>
    <row r="59" spans="1:68" ht="14.25" hidden="1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63"/>
      <c r="AB59" s="63"/>
      <c r="AC59" s="63"/>
    </row>
    <row r="60" spans="1:68" ht="16.5" customHeight="1" x14ac:dyDescent="0.25">
      <c r="A60" s="60" t="s">
        <v>137</v>
      </c>
      <c r="B60" s="60" t="s">
        <v>138</v>
      </c>
      <c r="C60" s="34">
        <v>4301020298</v>
      </c>
      <c r="D60" s="558">
        <v>4680115881440</v>
      </c>
      <c r="E60" s="559"/>
      <c r="F60" s="59">
        <v>1.35</v>
      </c>
      <c r="G60" s="35">
        <v>8</v>
      </c>
      <c r="H60" s="59">
        <v>10.8</v>
      </c>
      <c r="I60" s="59">
        <v>11.21</v>
      </c>
      <c r="J60" s="35">
        <v>64</v>
      </c>
      <c r="K60" s="35" t="s">
        <v>104</v>
      </c>
      <c r="L60" s="35" t="s">
        <v>105</v>
      </c>
      <c r="M60" s="36" t="s">
        <v>106</v>
      </c>
      <c r="N60" s="36"/>
      <c r="O60" s="35">
        <v>50</v>
      </c>
      <c r="P60" s="8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7"/>
      <c r="V60" s="37"/>
      <c r="W60" s="38" t="s">
        <v>69</v>
      </c>
      <c r="X60" s="56">
        <v>150</v>
      </c>
      <c r="Y60" s="53">
        <f>IFERROR(IF(X60="",0,CEILING((X60/$H60),1)*$H60),"")</f>
        <v>151.20000000000002</v>
      </c>
      <c r="Z60" s="39">
        <f>IFERROR(IF(Y60=0,"",ROUNDUP(Y60/H60,0)*0.01898),"")</f>
        <v>0.26572000000000001</v>
      </c>
      <c r="AA60" s="65"/>
      <c r="AB60" s="66"/>
      <c r="AC60" s="115" t="s">
        <v>139</v>
      </c>
      <c r="AG60" s="75"/>
      <c r="AJ60" s="79" t="s">
        <v>92</v>
      </c>
      <c r="AK60" s="79">
        <v>86.4</v>
      </c>
      <c r="BB60" s="116" t="s">
        <v>1</v>
      </c>
      <c r="BM60" s="75">
        <f>IFERROR(X60*I60/H60,"0")</f>
        <v>155.69444444444446</v>
      </c>
      <c r="BN60" s="75">
        <f>IFERROR(Y60*I60/H60,"0")</f>
        <v>156.94</v>
      </c>
      <c r="BO60" s="75">
        <f>IFERROR(1/J60*(X60/H60),"0")</f>
        <v>0.21701388888888887</v>
      </c>
      <c r="BP60" s="75">
        <f>IFERROR(1/J60*(Y60/H60),"0")</f>
        <v>0.21875</v>
      </c>
    </row>
    <row r="61" spans="1:68" ht="16.5" hidden="1" customHeight="1" x14ac:dyDescent="0.25">
      <c r="A61" s="60" t="s">
        <v>140</v>
      </c>
      <c r="B61" s="60" t="s">
        <v>141</v>
      </c>
      <c r="C61" s="34">
        <v>4301020358</v>
      </c>
      <c r="D61" s="558">
        <v>4680115885950</v>
      </c>
      <c r="E61" s="559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67</v>
      </c>
      <c r="L61" s="35"/>
      <c r="M61" s="36" t="s">
        <v>80</v>
      </c>
      <c r="N61" s="36"/>
      <c r="O61" s="35">
        <v>50</v>
      </c>
      <c r="P61" s="8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7"/>
      <c r="V61" s="37"/>
      <c r="W61" s="38" t="s">
        <v>69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/>
      <c r="AB61" s="66"/>
      <c r="AC61" s="117" t="s">
        <v>139</v>
      </c>
      <c r="AG61" s="75"/>
      <c r="AJ61" s="79"/>
      <c r="AK61" s="79">
        <v>0</v>
      </c>
      <c r="BB61" s="118" t="s">
        <v>1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customHeight="1" x14ac:dyDescent="0.25">
      <c r="A62" s="60" t="s">
        <v>142</v>
      </c>
      <c r="B62" s="60" t="s">
        <v>143</v>
      </c>
      <c r="C62" s="34">
        <v>4301020296</v>
      </c>
      <c r="D62" s="558">
        <v>4680115881433</v>
      </c>
      <c r="E62" s="559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67</v>
      </c>
      <c r="L62" s="35"/>
      <c r="M62" s="36" t="s">
        <v>106</v>
      </c>
      <c r="N62" s="36"/>
      <c r="O62" s="35">
        <v>50</v>
      </c>
      <c r="P62" s="7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7"/>
      <c r="V62" s="37"/>
      <c r="W62" s="38" t="s">
        <v>69</v>
      </c>
      <c r="X62" s="56">
        <v>22.5</v>
      </c>
      <c r="Y62" s="53">
        <f>IFERROR(IF(X62="",0,CEILING((X62/$H62),1)*$H62),"")</f>
        <v>24.3</v>
      </c>
      <c r="Z62" s="39">
        <f>IFERROR(IF(Y62=0,"",ROUNDUP(Y62/H62,0)*0.00651),"")</f>
        <v>5.8590000000000003E-2</v>
      </c>
      <c r="AA62" s="65"/>
      <c r="AB62" s="66"/>
      <c r="AC62" s="119" t="s">
        <v>139</v>
      </c>
      <c r="AG62" s="75"/>
      <c r="AJ62" s="79"/>
      <c r="AK62" s="79">
        <v>0</v>
      </c>
      <c r="BB62" s="120" t="s">
        <v>1</v>
      </c>
      <c r="BM62" s="75">
        <f>IFERROR(X62*I62/H62,"0")</f>
        <v>23.999999999999996</v>
      </c>
      <c r="BN62" s="75">
        <f>IFERROR(Y62*I62/H62,"0")</f>
        <v>25.919999999999995</v>
      </c>
      <c r="BO62" s="75">
        <f>IFERROR(1/J62*(X62/H62),"0")</f>
        <v>4.5787545787545784E-2</v>
      </c>
      <c r="BP62" s="75">
        <f>IFERROR(1/J62*(Y62/H62),"0")</f>
        <v>4.9450549450549455E-2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8" t="s">
        <v>75</v>
      </c>
      <c r="Q63" s="569"/>
      <c r="R63" s="569"/>
      <c r="S63" s="569"/>
      <c r="T63" s="569"/>
      <c r="U63" s="569"/>
      <c r="V63" s="570"/>
      <c r="W63" s="40" t="s">
        <v>76</v>
      </c>
      <c r="X63" s="41">
        <f>IFERROR(X60/H60,"0")+IFERROR(X61/H61,"0")+IFERROR(X62/H62,"0")</f>
        <v>22.222222222222221</v>
      </c>
      <c r="Y63" s="41">
        <f>IFERROR(Y60/H60,"0")+IFERROR(Y61/H61,"0")+IFERROR(Y62/H62,"0")</f>
        <v>23</v>
      </c>
      <c r="Z63" s="41">
        <f>IFERROR(IF(Z60="",0,Z60),"0")+IFERROR(IF(Z61="",0,Z61),"0")+IFERROR(IF(Z62="",0,Z62),"0")</f>
        <v>0.32430999999999999</v>
      </c>
      <c r="AA63" s="64"/>
      <c r="AB63" s="64"/>
      <c r="AC63" s="6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8" t="s">
        <v>75</v>
      </c>
      <c r="Q64" s="569"/>
      <c r="R64" s="569"/>
      <c r="S64" s="569"/>
      <c r="T64" s="569"/>
      <c r="U64" s="569"/>
      <c r="V64" s="570"/>
      <c r="W64" s="40" t="s">
        <v>69</v>
      </c>
      <c r="X64" s="41">
        <f>IFERROR(SUM(X60:X62),"0")</f>
        <v>172.5</v>
      </c>
      <c r="Y64" s="41">
        <f>IFERROR(SUM(Y60:Y62),"0")</f>
        <v>175.50000000000003</v>
      </c>
      <c r="Z64" s="40"/>
      <c r="AA64" s="64"/>
      <c r="AB64" s="64"/>
      <c r="AC64" s="64"/>
    </row>
    <row r="65" spans="1:68" ht="14.25" hidden="1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63"/>
      <c r="AB65" s="63"/>
      <c r="AC65" s="63"/>
    </row>
    <row r="66" spans="1:68" ht="27" hidden="1" customHeight="1" x14ac:dyDescent="0.25">
      <c r="A66" s="60" t="s">
        <v>144</v>
      </c>
      <c r="B66" s="60" t="s">
        <v>145</v>
      </c>
      <c r="C66" s="34">
        <v>4301031243</v>
      </c>
      <c r="D66" s="558">
        <v>4680115885073</v>
      </c>
      <c r="E66" s="559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73</v>
      </c>
      <c r="L66" s="35"/>
      <c r="M66" s="36" t="s">
        <v>68</v>
      </c>
      <c r="N66" s="36"/>
      <c r="O66" s="35">
        <v>40</v>
      </c>
      <c r="P66" s="71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7"/>
      <c r="V66" s="37"/>
      <c r="W66" s="38" t="s">
        <v>69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/>
      <c r="AB66" s="66"/>
      <c r="AC66" s="121" t="s">
        <v>146</v>
      </c>
      <c r="AG66" s="75"/>
      <c r="AJ66" s="79"/>
      <c r="AK66" s="79">
        <v>0</v>
      </c>
      <c r="BB66" s="122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147</v>
      </c>
      <c r="B67" s="60" t="s">
        <v>148</v>
      </c>
      <c r="C67" s="34">
        <v>4301031316</v>
      </c>
      <c r="D67" s="558">
        <v>4680115885097</v>
      </c>
      <c r="E67" s="559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73</v>
      </c>
      <c r="L67" s="35"/>
      <c r="M67" s="36" t="s">
        <v>68</v>
      </c>
      <c r="N67" s="36"/>
      <c r="O67" s="35">
        <v>40</v>
      </c>
      <c r="P67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7"/>
      <c r="V67" s="37"/>
      <c r="W67" s="38" t="s">
        <v>69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/>
      <c r="AB67" s="66"/>
      <c r="AC67" s="123" t="s">
        <v>149</v>
      </c>
      <c r="AG67" s="75"/>
      <c r="AJ67" s="79"/>
      <c r="AK67" s="79">
        <v>0</v>
      </c>
      <c r="BB67" s="124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68" t="s">
        <v>75</v>
      </c>
      <c r="Q68" s="569"/>
      <c r="R68" s="569"/>
      <c r="S68" s="569"/>
      <c r="T68" s="569"/>
      <c r="U68" s="569"/>
      <c r="V68" s="570"/>
      <c r="W68" s="40" t="s">
        <v>76</v>
      </c>
      <c r="X68" s="41">
        <f>IFERROR(X66/H66,"0")+IFERROR(X67/H67,"0")</f>
        <v>0</v>
      </c>
      <c r="Y68" s="41">
        <f>IFERROR(Y66/H66,"0")+IFERROR(Y67/H67,"0")</f>
        <v>0</v>
      </c>
      <c r="Z68" s="41">
        <f>IFERROR(IF(Z66="",0,Z66),"0")+IFERROR(IF(Z67="",0,Z67),"0")</f>
        <v>0</v>
      </c>
      <c r="AA68" s="64"/>
      <c r="AB68" s="64"/>
      <c r="AC68" s="64"/>
    </row>
    <row r="69" spans="1:68" hidden="1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8" t="s">
        <v>75</v>
      </c>
      <c r="Q69" s="569"/>
      <c r="R69" s="569"/>
      <c r="S69" s="569"/>
      <c r="T69" s="569"/>
      <c r="U69" s="569"/>
      <c r="V69" s="570"/>
      <c r="W69" s="40" t="s">
        <v>69</v>
      </c>
      <c r="X69" s="41">
        <f>IFERROR(SUM(X66:X67),"0")</f>
        <v>0</v>
      </c>
      <c r="Y69" s="41">
        <f>IFERROR(SUM(Y66:Y67),"0")</f>
        <v>0</v>
      </c>
      <c r="Z69" s="40"/>
      <c r="AA69" s="64"/>
      <c r="AB69" s="64"/>
      <c r="AC69" s="64"/>
    </row>
    <row r="70" spans="1:68" ht="14.25" hidden="1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63"/>
      <c r="AB70" s="63"/>
      <c r="AC70" s="63"/>
    </row>
    <row r="71" spans="1:68" ht="27" hidden="1" customHeight="1" x14ac:dyDescent="0.25">
      <c r="A71" s="60" t="s">
        <v>150</v>
      </c>
      <c r="B71" s="60" t="s">
        <v>151</v>
      </c>
      <c r="C71" s="34">
        <v>4301051846</v>
      </c>
      <c r="D71" s="558">
        <v>4680115885769</v>
      </c>
      <c r="E71" s="559"/>
      <c r="F71" s="59">
        <v>1.4</v>
      </c>
      <c r="G71" s="35">
        <v>6</v>
      </c>
      <c r="H71" s="59">
        <v>8.4</v>
      </c>
      <c r="I71" s="59">
        <v>8.81</v>
      </c>
      <c r="J71" s="35">
        <v>64</v>
      </c>
      <c r="K71" s="35" t="s">
        <v>104</v>
      </c>
      <c r="L71" s="35"/>
      <c r="M71" s="36" t="s">
        <v>80</v>
      </c>
      <c r="N71" s="36"/>
      <c r="O71" s="35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7"/>
      <c r="V71" s="37"/>
      <c r="W71" s="38" t="s">
        <v>69</v>
      </c>
      <c r="X71" s="56">
        <v>0</v>
      </c>
      <c r="Y71" s="53">
        <f>IFERROR(IF(X71="",0,CEILING((X71/$H71),1)*$H71),"")</f>
        <v>0</v>
      </c>
      <c r="Z71" s="39" t="str">
        <f>IFERROR(IF(Y71=0,"",ROUNDUP(Y71/H71,0)*0.01898),"")</f>
        <v/>
      </c>
      <c r="AA71" s="65"/>
      <c r="AB71" s="66"/>
      <c r="AC71" s="125" t="s">
        <v>152</v>
      </c>
      <c r="AG71" s="75"/>
      <c r="AJ71" s="79"/>
      <c r="AK71" s="79">
        <v>0</v>
      </c>
      <c r="BB71" s="126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153</v>
      </c>
      <c r="B72" s="60" t="s">
        <v>154</v>
      </c>
      <c r="C72" s="34">
        <v>4301051837</v>
      </c>
      <c r="D72" s="558">
        <v>4680115884311</v>
      </c>
      <c r="E72" s="55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67</v>
      </c>
      <c r="L72" s="35" t="s">
        <v>90</v>
      </c>
      <c r="M72" s="36" t="s">
        <v>80</v>
      </c>
      <c r="N72" s="36"/>
      <c r="O72" s="35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7"/>
      <c r="V72" s="37"/>
      <c r="W72" s="38" t="s">
        <v>69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27" t="s">
        <v>155</v>
      </c>
      <c r="AG72" s="75"/>
      <c r="AJ72" s="79" t="s">
        <v>92</v>
      </c>
      <c r="AK72" s="79">
        <v>25.2</v>
      </c>
      <c r="BB72" s="128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156</v>
      </c>
      <c r="B73" s="60" t="s">
        <v>157</v>
      </c>
      <c r="C73" s="34">
        <v>4301051844</v>
      </c>
      <c r="D73" s="558">
        <v>4680115885929</v>
      </c>
      <c r="E73" s="559"/>
      <c r="F73" s="59">
        <v>0.42</v>
      </c>
      <c r="G73" s="35">
        <v>6</v>
      </c>
      <c r="H73" s="59">
        <v>2.52</v>
      </c>
      <c r="I73" s="59">
        <v>2.7</v>
      </c>
      <c r="J73" s="35">
        <v>182</v>
      </c>
      <c r="K73" s="35" t="s">
        <v>67</v>
      </c>
      <c r="L73" s="35"/>
      <c r="M73" s="36" t="s">
        <v>80</v>
      </c>
      <c r="N73" s="36"/>
      <c r="O73" s="35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7"/>
      <c r="V73" s="37"/>
      <c r="W73" s="38" t="s">
        <v>69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29" t="s">
        <v>152</v>
      </c>
      <c r="AG73" s="75"/>
      <c r="AJ73" s="79"/>
      <c r="AK73" s="79">
        <v>0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158</v>
      </c>
      <c r="B74" s="60" t="s">
        <v>159</v>
      </c>
      <c r="C74" s="34">
        <v>4301051929</v>
      </c>
      <c r="D74" s="558">
        <v>4680115884403</v>
      </c>
      <c r="E74" s="55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67</v>
      </c>
      <c r="L74" s="35" t="s">
        <v>90</v>
      </c>
      <c r="M74" s="36" t="s">
        <v>80</v>
      </c>
      <c r="N74" s="36"/>
      <c r="O74" s="35">
        <v>40</v>
      </c>
      <c r="P74" s="7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7"/>
      <c r="V74" s="37"/>
      <c r="W74" s="38" t="s">
        <v>69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1" t="s">
        <v>160</v>
      </c>
      <c r="AG74" s="75"/>
      <c r="AJ74" s="79" t="s">
        <v>92</v>
      </c>
      <c r="AK74" s="79">
        <v>25.2</v>
      </c>
      <c r="BB74" s="132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68" t="s">
        <v>75</v>
      </c>
      <c r="Q75" s="569"/>
      <c r="R75" s="569"/>
      <c r="S75" s="569"/>
      <c r="T75" s="569"/>
      <c r="U75" s="569"/>
      <c r="V75" s="570"/>
      <c r="W75" s="40" t="s">
        <v>76</v>
      </c>
      <c r="X75" s="41">
        <f>IFERROR(X71/H71,"0")+IFERROR(X72/H72,"0")+IFERROR(X73/H73,"0")+IFERROR(X74/H74,"0")</f>
        <v>0</v>
      </c>
      <c r="Y75" s="41">
        <f>IFERROR(Y71/H71,"0")+IFERROR(Y72/H72,"0")+IFERROR(Y73/H73,"0")+IFERROR(Y74/H74,"0")</f>
        <v>0</v>
      </c>
      <c r="Z75" s="41">
        <f>IFERROR(IF(Z71="",0,Z71),"0")+IFERROR(IF(Z72="",0,Z72),"0")+IFERROR(IF(Z73="",0,Z73),"0")+IFERROR(IF(Z74="",0,Z74),"0")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68" t="s">
        <v>75</v>
      </c>
      <c r="Q76" s="569"/>
      <c r="R76" s="569"/>
      <c r="S76" s="569"/>
      <c r="T76" s="569"/>
      <c r="U76" s="569"/>
      <c r="V76" s="570"/>
      <c r="W76" s="40" t="s">
        <v>69</v>
      </c>
      <c r="X76" s="41">
        <f>IFERROR(SUM(X71:X74),"0")</f>
        <v>0</v>
      </c>
      <c r="Y76" s="41">
        <f>IFERROR(SUM(Y71:Y74),"0")</f>
        <v>0</v>
      </c>
      <c r="Z76" s="40"/>
      <c r="AA76" s="64"/>
      <c r="AB76" s="64"/>
      <c r="AC76" s="64"/>
    </row>
    <row r="77" spans="1:68" ht="14.25" hidden="1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63"/>
      <c r="AB77" s="63"/>
      <c r="AC77" s="63"/>
    </row>
    <row r="78" spans="1:68" ht="27" hidden="1" customHeight="1" x14ac:dyDescent="0.25">
      <c r="A78" s="60" t="s">
        <v>162</v>
      </c>
      <c r="B78" s="60" t="s">
        <v>163</v>
      </c>
      <c r="C78" s="34">
        <v>4301060455</v>
      </c>
      <c r="D78" s="558">
        <v>4680115881532</v>
      </c>
      <c r="E78" s="55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104</v>
      </c>
      <c r="L78" s="35" t="s">
        <v>105</v>
      </c>
      <c r="M78" s="36" t="s">
        <v>86</v>
      </c>
      <c r="N78" s="36"/>
      <c r="O78" s="35">
        <v>30</v>
      </c>
      <c r="P78" s="68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7"/>
      <c r="V78" s="37"/>
      <c r="W78" s="38" t="s">
        <v>69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33" t="s">
        <v>164</v>
      </c>
      <c r="AG78" s="75"/>
      <c r="AJ78" s="79" t="s">
        <v>92</v>
      </c>
      <c r="AK78" s="79">
        <v>62.4</v>
      </c>
      <c r="BB78" s="134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165</v>
      </c>
      <c r="B79" s="60" t="s">
        <v>166</v>
      </c>
      <c r="C79" s="34">
        <v>4301060351</v>
      </c>
      <c r="D79" s="558">
        <v>4680115881464</v>
      </c>
      <c r="E79" s="559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110</v>
      </c>
      <c r="L79" s="35" t="s">
        <v>111</v>
      </c>
      <c r="M79" s="36" t="s">
        <v>80</v>
      </c>
      <c r="N79" s="36"/>
      <c r="O79" s="35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7"/>
      <c r="V79" s="37"/>
      <c r="W79" s="38" t="s">
        <v>69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35" t="s">
        <v>167</v>
      </c>
      <c r="AG79" s="75"/>
      <c r="AJ79" s="79" t="s">
        <v>92</v>
      </c>
      <c r="AK79" s="79">
        <v>28.8</v>
      </c>
      <c r="BB79" s="136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68" t="s">
        <v>75</v>
      </c>
      <c r="Q80" s="569"/>
      <c r="R80" s="569"/>
      <c r="S80" s="569"/>
      <c r="T80" s="569"/>
      <c r="U80" s="569"/>
      <c r="V80" s="570"/>
      <c r="W80" s="40" t="s">
        <v>76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68" t="s">
        <v>75</v>
      </c>
      <c r="Q81" s="569"/>
      <c r="R81" s="569"/>
      <c r="S81" s="569"/>
      <c r="T81" s="569"/>
      <c r="U81" s="569"/>
      <c r="V81" s="570"/>
      <c r="W81" s="40" t="s">
        <v>69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576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62"/>
      <c r="AB82" s="62"/>
      <c r="AC82" s="62"/>
    </row>
    <row r="83" spans="1:68" ht="14.25" hidden="1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63"/>
      <c r="AB83" s="63"/>
      <c r="AC83" s="63"/>
    </row>
    <row r="84" spans="1:68" ht="27" customHeight="1" x14ac:dyDescent="0.25">
      <c r="A84" s="60" t="s">
        <v>169</v>
      </c>
      <c r="B84" s="60" t="s">
        <v>170</v>
      </c>
      <c r="C84" s="34">
        <v>4301011468</v>
      </c>
      <c r="D84" s="558">
        <v>4680115881327</v>
      </c>
      <c r="E84" s="559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104</v>
      </c>
      <c r="L84" s="35" t="s">
        <v>105</v>
      </c>
      <c r="M84" s="36" t="s">
        <v>86</v>
      </c>
      <c r="N84" s="36"/>
      <c r="O84" s="35">
        <v>50</v>
      </c>
      <c r="P84" s="78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7"/>
      <c r="V84" s="37"/>
      <c r="W84" s="38" t="s">
        <v>69</v>
      </c>
      <c r="X84" s="56">
        <v>500</v>
      </c>
      <c r="Y84" s="53">
        <f>IFERROR(IF(X84="",0,CEILING((X84/$H84),1)*$H84),"")</f>
        <v>507.6</v>
      </c>
      <c r="Z84" s="39">
        <f>IFERROR(IF(Y84=0,"",ROUNDUP(Y84/H84,0)*0.01898),"")</f>
        <v>0.89205999999999996</v>
      </c>
      <c r="AA84" s="65"/>
      <c r="AB84" s="66"/>
      <c r="AC84" s="137" t="s">
        <v>171</v>
      </c>
      <c r="AG84" s="75"/>
      <c r="AJ84" s="79" t="s">
        <v>92</v>
      </c>
      <c r="AK84" s="79">
        <v>86.4</v>
      </c>
      <c r="BB84" s="138" t="s">
        <v>1</v>
      </c>
      <c r="BM84" s="75">
        <f>IFERROR(X84*I84/H84,"0")</f>
        <v>518.98148148148141</v>
      </c>
      <c r="BN84" s="75">
        <f>IFERROR(Y84*I84/H84,"0")</f>
        <v>526.87</v>
      </c>
      <c r="BO84" s="75">
        <f>IFERROR(1/J84*(X84/H84),"0")</f>
        <v>0.72337962962962954</v>
      </c>
      <c r="BP84" s="75">
        <f>IFERROR(1/J84*(Y84/H84),"0")</f>
        <v>0.734375</v>
      </c>
    </row>
    <row r="85" spans="1:68" ht="27" hidden="1" customHeight="1" x14ac:dyDescent="0.25">
      <c r="A85" s="60" t="s">
        <v>172</v>
      </c>
      <c r="B85" s="60" t="s">
        <v>173</v>
      </c>
      <c r="C85" s="34">
        <v>4301011261</v>
      </c>
      <c r="D85" s="558">
        <v>4680115887732</v>
      </c>
      <c r="E85" s="559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174</v>
      </c>
      <c r="L85" s="35"/>
      <c r="M85" s="36" t="s">
        <v>68</v>
      </c>
      <c r="N85" s="36"/>
      <c r="O85" s="35">
        <v>30</v>
      </c>
      <c r="P85" s="8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7"/>
      <c r="V85" s="37"/>
      <c r="W85" s="38" t="s">
        <v>69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39" t="s">
        <v>175</v>
      </c>
      <c r="AG85" s="75"/>
      <c r="AJ85" s="79"/>
      <c r="AK85" s="79">
        <v>0</v>
      </c>
      <c r="BB85" s="140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176</v>
      </c>
      <c r="B86" s="60" t="s">
        <v>177</v>
      </c>
      <c r="C86" s="34">
        <v>4301011476</v>
      </c>
      <c r="D86" s="558">
        <v>4680115881518</v>
      </c>
      <c r="E86" s="559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110</v>
      </c>
      <c r="L86" s="35"/>
      <c r="M86" s="36" t="s">
        <v>80</v>
      </c>
      <c r="N86" s="36"/>
      <c r="O86" s="35">
        <v>50</v>
      </c>
      <c r="P86" s="5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7"/>
      <c r="V86" s="37"/>
      <c r="W86" s="38" t="s">
        <v>69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1" t="s">
        <v>171</v>
      </c>
      <c r="AG86" s="75"/>
      <c r="AJ86" s="79"/>
      <c r="AK86" s="79">
        <v>0</v>
      </c>
      <c r="BB86" s="142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178</v>
      </c>
      <c r="B87" s="60" t="s">
        <v>179</v>
      </c>
      <c r="C87" s="34">
        <v>4301011443</v>
      </c>
      <c r="D87" s="558">
        <v>4680115881303</v>
      </c>
      <c r="E87" s="559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110</v>
      </c>
      <c r="L87" s="35" t="s">
        <v>111</v>
      </c>
      <c r="M87" s="36" t="s">
        <v>86</v>
      </c>
      <c r="N87" s="36"/>
      <c r="O87" s="35">
        <v>50</v>
      </c>
      <c r="P87" s="5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7"/>
      <c r="V87" s="37"/>
      <c r="W87" s="38" t="s">
        <v>69</v>
      </c>
      <c r="X87" s="56">
        <v>67.5</v>
      </c>
      <c r="Y87" s="53">
        <f>IFERROR(IF(X87="",0,CEILING((X87/$H87),1)*$H87),"")</f>
        <v>67.5</v>
      </c>
      <c r="Z87" s="39">
        <f>IFERROR(IF(Y87=0,"",ROUNDUP(Y87/H87,0)*0.00902),"")</f>
        <v>0.1353</v>
      </c>
      <c r="AA87" s="65"/>
      <c r="AB87" s="66"/>
      <c r="AC87" s="143" t="s">
        <v>171</v>
      </c>
      <c r="AG87" s="75"/>
      <c r="AJ87" s="79" t="s">
        <v>92</v>
      </c>
      <c r="AK87" s="79">
        <v>54</v>
      </c>
      <c r="BB87" s="144" t="s">
        <v>1</v>
      </c>
      <c r="BM87" s="75">
        <f>IFERROR(X87*I87/H87,"0")</f>
        <v>70.350000000000009</v>
      </c>
      <c r="BN87" s="75">
        <f>IFERROR(Y87*I87/H87,"0")</f>
        <v>70.350000000000009</v>
      </c>
      <c r="BO87" s="75">
        <f>IFERROR(1/J87*(X87/H87),"0")</f>
        <v>0.11363636363636365</v>
      </c>
      <c r="BP87" s="75">
        <f>IFERROR(1/J87*(Y87/H87),"0")</f>
        <v>0.11363636363636365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68" t="s">
        <v>75</v>
      </c>
      <c r="Q88" s="569"/>
      <c r="R88" s="569"/>
      <c r="S88" s="569"/>
      <c r="T88" s="569"/>
      <c r="U88" s="569"/>
      <c r="V88" s="570"/>
      <c r="W88" s="40" t="s">
        <v>76</v>
      </c>
      <c r="X88" s="41">
        <f>IFERROR(X84/H84,"0")+IFERROR(X85/H85,"0")+IFERROR(X86/H86,"0")+IFERROR(X87/H87,"0")</f>
        <v>61.296296296296291</v>
      </c>
      <c r="Y88" s="41">
        <f>IFERROR(Y84/H84,"0")+IFERROR(Y85/H85,"0")+IFERROR(Y86/H86,"0")+IFERROR(Y87/H87,"0")</f>
        <v>62</v>
      </c>
      <c r="Z88" s="41">
        <f>IFERROR(IF(Z84="",0,Z84),"0")+IFERROR(IF(Z85="",0,Z85),"0")+IFERROR(IF(Z86="",0,Z86),"0")+IFERROR(IF(Z87="",0,Z87),"0")</f>
        <v>1.0273600000000001</v>
      </c>
      <c r="AA88" s="64"/>
      <c r="AB88" s="64"/>
      <c r="AC88" s="6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8" t="s">
        <v>75</v>
      </c>
      <c r="Q89" s="569"/>
      <c r="R89" s="569"/>
      <c r="S89" s="569"/>
      <c r="T89" s="569"/>
      <c r="U89" s="569"/>
      <c r="V89" s="570"/>
      <c r="W89" s="40" t="s">
        <v>69</v>
      </c>
      <c r="X89" s="41">
        <f>IFERROR(SUM(X84:X87),"0")</f>
        <v>567.5</v>
      </c>
      <c r="Y89" s="41">
        <f>IFERROR(SUM(Y84:Y87),"0")</f>
        <v>575.1</v>
      </c>
      <c r="Z89" s="40"/>
      <c r="AA89" s="64"/>
      <c r="AB89" s="64"/>
      <c r="AC89" s="64"/>
    </row>
    <row r="90" spans="1:68" ht="14.25" hidden="1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63"/>
      <c r="AB90" s="63"/>
      <c r="AC90" s="63"/>
    </row>
    <row r="91" spans="1:68" ht="27" customHeight="1" x14ac:dyDescent="0.25">
      <c r="A91" s="60" t="s">
        <v>180</v>
      </c>
      <c r="B91" s="60" t="s">
        <v>181</v>
      </c>
      <c r="C91" s="34">
        <v>4301051712</v>
      </c>
      <c r="D91" s="558">
        <v>4607091386967</v>
      </c>
      <c r="E91" s="559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104</v>
      </c>
      <c r="L91" s="35" t="s">
        <v>105</v>
      </c>
      <c r="M91" s="36" t="s">
        <v>86</v>
      </c>
      <c r="N91" s="36"/>
      <c r="O91" s="35">
        <v>45</v>
      </c>
      <c r="P91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7"/>
      <c r="V91" s="37"/>
      <c r="W91" s="38" t="s">
        <v>69</v>
      </c>
      <c r="X91" s="56">
        <v>320</v>
      </c>
      <c r="Y91" s="53">
        <f>IFERROR(IF(X91="",0,CEILING((X91/$H91),1)*$H91),"")</f>
        <v>324</v>
      </c>
      <c r="Z91" s="39">
        <f>IFERROR(IF(Y91=0,"",ROUNDUP(Y91/H91,0)*0.01898),"")</f>
        <v>0.75919999999999999</v>
      </c>
      <c r="AA91" s="65"/>
      <c r="AB91" s="66"/>
      <c r="AC91" s="145" t="s">
        <v>182</v>
      </c>
      <c r="AG91" s="75"/>
      <c r="AJ91" s="79" t="s">
        <v>92</v>
      </c>
      <c r="AK91" s="79">
        <v>64.8</v>
      </c>
      <c r="BB91" s="146" t="s">
        <v>1</v>
      </c>
      <c r="BM91" s="75">
        <f>IFERROR(X91*I91/H91,"0")</f>
        <v>339.51604938271606</v>
      </c>
      <c r="BN91" s="75">
        <f>IFERROR(Y91*I91/H91,"0")</f>
        <v>343.76</v>
      </c>
      <c r="BO91" s="75">
        <f>IFERROR(1/J91*(X91/H91),"0")</f>
        <v>0.61728395061728403</v>
      </c>
      <c r="BP91" s="75">
        <f>IFERROR(1/J91*(Y91/H91),"0")</f>
        <v>0.625</v>
      </c>
    </row>
    <row r="92" spans="1:68" ht="27" hidden="1" customHeight="1" x14ac:dyDescent="0.25">
      <c r="A92" s="60" t="s">
        <v>183</v>
      </c>
      <c r="B92" s="60" t="s">
        <v>184</v>
      </c>
      <c r="C92" s="34">
        <v>4301051788</v>
      </c>
      <c r="D92" s="558">
        <v>4680115884953</v>
      </c>
      <c r="E92" s="559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67</v>
      </c>
      <c r="L92" s="35"/>
      <c r="M92" s="36" t="s">
        <v>80</v>
      </c>
      <c r="N92" s="36"/>
      <c r="O92" s="35">
        <v>45</v>
      </c>
      <c r="P92" s="6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7"/>
      <c r="V92" s="37"/>
      <c r="W92" s="38" t="s">
        <v>69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47" t="s">
        <v>182</v>
      </c>
      <c r="AG92" s="75"/>
      <c r="AJ92" s="79"/>
      <c r="AK92" s="79">
        <v>0</v>
      </c>
      <c r="BB92" s="148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185</v>
      </c>
      <c r="B93" s="60" t="s">
        <v>186</v>
      </c>
      <c r="C93" s="34">
        <v>4301051718</v>
      </c>
      <c r="D93" s="558">
        <v>4607091385731</v>
      </c>
      <c r="E93" s="559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67</v>
      </c>
      <c r="L93" s="35"/>
      <c r="M93" s="36" t="s">
        <v>86</v>
      </c>
      <c r="N93" s="36"/>
      <c r="O93" s="35">
        <v>45</v>
      </c>
      <c r="P93" s="7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7"/>
      <c r="V93" s="37"/>
      <c r="W93" s="38" t="s">
        <v>69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182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187</v>
      </c>
      <c r="B94" s="60" t="s">
        <v>188</v>
      </c>
      <c r="C94" s="34">
        <v>4301051438</v>
      </c>
      <c r="D94" s="558">
        <v>4680115880894</v>
      </c>
      <c r="E94" s="559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67</v>
      </c>
      <c r="L94" s="35" t="s">
        <v>90</v>
      </c>
      <c r="M94" s="36" t="s">
        <v>80</v>
      </c>
      <c r="N94" s="36"/>
      <c r="O94" s="35">
        <v>45</v>
      </c>
      <c r="P94" s="62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7"/>
      <c r="V94" s="37"/>
      <c r="W94" s="38" t="s">
        <v>69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189</v>
      </c>
      <c r="AG94" s="75"/>
      <c r="AJ94" s="79" t="s">
        <v>92</v>
      </c>
      <c r="AK94" s="79">
        <v>27.72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68" t="s">
        <v>75</v>
      </c>
      <c r="Q95" s="569"/>
      <c r="R95" s="569"/>
      <c r="S95" s="569"/>
      <c r="T95" s="569"/>
      <c r="U95" s="569"/>
      <c r="V95" s="570"/>
      <c r="W95" s="40" t="s">
        <v>76</v>
      </c>
      <c r="X95" s="41">
        <f>IFERROR(X91/H91,"0")+IFERROR(X92/H92,"0")+IFERROR(X93/H93,"0")+IFERROR(X94/H94,"0")</f>
        <v>39.506172839506178</v>
      </c>
      <c r="Y95" s="41">
        <f>IFERROR(Y91/H91,"0")+IFERROR(Y92/H92,"0")+IFERROR(Y93/H93,"0")+IFERROR(Y94/H94,"0")</f>
        <v>40</v>
      </c>
      <c r="Z95" s="41">
        <f>IFERROR(IF(Z91="",0,Z91),"0")+IFERROR(IF(Z92="",0,Z92),"0")+IFERROR(IF(Z93="",0,Z93),"0")+IFERROR(IF(Z94="",0,Z94),"0")</f>
        <v>0.75919999999999999</v>
      </c>
      <c r="AA95" s="64"/>
      <c r="AB95" s="64"/>
      <c r="AC95" s="6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8" t="s">
        <v>75</v>
      </c>
      <c r="Q96" s="569"/>
      <c r="R96" s="569"/>
      <c r="S96" s="569"/>
      <c r="T96" s="569"/>
      <c r="U96" s="569"/>
      <c r="V96" s="570"/>
      <c r="W96" s="40" t="s">
        <v>69</v>
      </c>
      <c r="X96" s="41">
        <f>IFERROR(SUM(X91:X94),"0")</f>
        <v>320</v>
      </c>
      <c r="Y96" s="41">
        <f>IFERROR(SUM(Y91:Y94),"0")</f>
        <v>324</v>
      </c>
      <c r="Z96" s="40"/>
      <c r="AA96" s="64"/>
      <c r="AB96" s="64"/>
      <c r="AC96" s="64"/>
    </row>
    <row r="97" spans="1:68" ht="16.5" hidden="1" customHeight="1" x14ac:dyDescent="0.25">
      <c r="A97" s="576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62"/>
      <c r="AB97" s="62"/>
      <c r="AC97" s="62"/>
    </row>
    <row r="98" spans="1:68" ht="14.25" hidden="1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63"/>
      <c r="AB98" s="63"/>
      <c r="AC98" s="63"/>
    </row>
    <row r="99" spans="1:68" ht="37.5" customHeight="1" x14ac:dyDescent="0.25">
      <c r="A99" s="60" t="s">
        <v>191</v>
      </c>
      <c r="B99" s="60" t="s">
        <v>192</v>
      </c>
      <c r="C99" s="34">
        <v>4301011514</v>
      </c>
      <c r="D99" s="558">
        <v>4680115882133</v>
      </c>
      <c r="E99" s="559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104</v>
      </c>
      <c r="L99" s="35" t="s">
        <v>105</v>
      </c>
      <c r="M99" s="36" t="s">
        <v>106</v>
      </c>
      <c r="N99" s="36"/>
      <c r="O99" s="35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7"/>
      <c r="V99" s="37"/>
      <c r="W99" s="38" t="s">
        <v>69</v>
      </c>
      <c r="X99" s="56">
        <v>100</v>
      </c>
      <c r="Y99" s="53">
        <f>IFERROR(IF(X99="",0,CEILING((X99/$H99),1)*$H99),"")</f>
        <v>108</v>
      </c>
      <c r="Z99" s="39">
        <f>IFERROR(IF(Y99=0,"",ROUNDUP(Y99/H99,0)*0.01898),"")</f>
        <v>0.1898</v>
      </c>
      <c r="AA99" s="65"/>
      <c r="AB99" s="66"/>
      <c r="AC99" s="153" t="s">
        <v>193</v>
      </c>
      <c r="AG99" s="75"/>
      <c r="AJ99" s="79" t="s">
        <v>92</v>
      </c>
      <c r="AK99" s="79">
        <v>86.4</v>
      </c>
      <c r="BB99" s="154" t="s">
        <v>1</v>
      </c>
      <c r="BM99" s="75">
        <f>IFERROR(X99*I99/H99,"0")</f>
        <v>103.79629629629629</v>
      </c>
      <c r="BN99" s="75">
        <f>IFERROR(Y99*I99/H99,"0")</f>
        <v>112.1</v>
      </c>
      <c r="BO99" s="75">
        <f>IFERROR(1/J99*(X99/H99),"0")</f>
        <v>0.14467592592592593</v>
      </c>
      <c r="BP99" s="75">
        <f>IFERROR(1/J99*(Y99/H99),"0")</f>
        <v>0.15625</v>
      </c>
    </row>
    <row r="100" spans="1:68" ht="27" hidden="1" customHeight="1" x14ac:dyDescent="0.25">
      <c r="A100" s="60" t="s">
        <v>194</v>
      </c>
      <c r="B100" s="60" t="s">
        <v>195</v>
      </c>
      <c r="C100" s="34">
        <v>4301012051</v>
      </c>
      <c r="D100" s="558">
        <v>4680115887718</v>
      </c>
      <c r="E100" s="559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174</v>
      </c>
      <c r="L100" s="35"/>
      <c r="M100" s="36" t="s">
        <v>68</v>
      </c>
      <c r="N100" s="36"/>
      <c r="O100" s="35">
        <v>30</v>
      </c>
      <c r="P100" s="62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7"/>
      <c r="V100" s="37"/>
      <c r="W100" s="38" t="s">
        <v>69</v>
      </c>
      <c r="X100" s="56">
        <v>0</v>
      </c>
      <c r="Y100" s="53">
        <f>IFERROR(IF(X100="",0,CEILING((X100/$H100),1)*$H100),"")</f>
        <v>0</v>
      </c>
      <c r="Z100" s="39" t="str">
        <f>IFERROR(IF(Y100=0,"",ROUNDUP(Y100/H100,0)*0.00726),"")</f>
        <v/>
      </c>
      <c r="AA100" s="65"/>
      <c r="AB100" s="66"/>
      <c r="AC100" s="155" t="s">
        <v>196</v>
      </c>
      <c r="AG100" s="75"/>
      <c r="AJ100" s="79"/>
      <c r="AK100" s="79">
        <v>0</v>
      </c>
      <c r="BB100" s="156" t="s">
        <v>1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37.5" hidden="1" customHeight="1" x14ac:dyDescent="0.25">
      <c r="A101" s="60" t="s">
        <v>197</v>
      </c>
      <c r="B101" s="60" t="s">
        <v>198</v>
      </c>
      <c r="C101" s="34">
        <v>4301011417</v>
      </c>
      <c r="D101" s="558">
        <v>4680115880269</v>
      </c>
      <c r="E101" s="559"/>
      <c r="F101" s="59">
        <v>0.375</v>
      </c>
      <c r="G101" s="35">
        <v>10</v>
      </c>
      <c r="H101" s="59">
        <v>3.75</v>
      </c>
      <c r="I101" s="59">
        <v>3.94</v>
      </c>
      <c r="J101" s="35">
        <v>132</v>
      </c>
      <c r="K101" s="35" t="s">
        <v>110</v>
      </c>
      <c r="L101" s="35" t="s">
        <v>111</v>
      </c>
      <c r="M101" s="36" t="s">
        <v>80</v>
      </c>
      <c r="N101" s="36"/>
      <c r="O101" s="35">
        <v>50</v>
      </c>
      <c r="P101" s="87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7"/>
      <c r="V101" s="37"/>
      <c r="W101" s="38" t="s">
        <v>69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/>
      <c r="AB101" s="66"/>
      <c r="AC101" s="157" t="s">
        <v>193</v>
      </c>
      <c r="AG101" s="75"/>
      <c r="AJ101" s="79" t="s">
        <v>92</v>
      </c>
      <c r="AK101" s="79">
        <v>45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hidden="1" customHeight="1" x14ac:dyDescent="0.25">
      <c r="A102" s="60" t="s">
        <v>199</v>
      </c>
      <c r="B102" s="60" t="s">
        <v>200</v>
      </c>
      <c r="C102" s="34">
        <v>4301011415</v>
      </c>
      <c r="D102" s="558">
        <v>4680115880429</v>
      </c>
      <c r="E102" s="559"/>
      <c r="F102" s="59">
        <v>0.45</v>
      </c>
      <c r="G102" s="35">
        <v>10</v>
      </c>
      <c r="H102" s="59">
        <v>4.5</v>
      </c>
      <c r="I102" s="59">
        <v>4.6900000000000004</v>
      </c>
      <c r="J102" s="35">
        <v>132</v>
      </c>
      <c r="K102" s="35" t="s">
        <v>110</v>
      </c>
      <c r="L102" s="35" t="s">
        <v>111</v>
      </c>
      <c r="M102" s="36" t="s">
        <v>80</v>
      </c>
      <c r="N102" s="36"/>
      <c r="O102" s="35">
        <v>50</v>
      </c>
      <c r="P102" s="8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7"/>
      <c r="V102" s="37"/>
      <c r="W102" s="38" t="s">
        <v>69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193</v>
      </c>
      <c r="AG102" s="75"/>
      <c r="AJ102" s="79" t="s">
        <v>92</v>
      </c>
      <c r="AK102" s="79">
        <v>54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201</v>
      </c>
      <c r="B103" s="60" t="s">
        <v>202</v>
      </c>
      <c r="C103" s="34">
        <v>4301011462</v>
      </c>
      <c r="D103" s="558">
        <v>4680115881457</v>
      </c>
      <c r="E103" s="559"/>
      <c r="F103" s="59">
        <v>0.75</v>
      </c>
      <c r="G103" s="35">
        <v>6</v>
      </c>
      <c r="H103" s="59">
        <v>4.5</v>
      </c>
      <c r="I103" s="59">
        <v>4.6900000000000004</v>
      </c>
      <c r="J103" s="35">
        <v>132</v>
      </c>
      <c r="K103" s="35" t="s">
        <v>110</v>
      </c>
      <c r="L103" s="35"/>
      <c r="M103" s="36" t="s">
        <v>80</v>
      </c>
      <c r="N103" s="36"/>
      <c r="O103" s="35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7"/>
      <c r="V103" s="37"/>
      <c r="W103" s="38" t="s">
        <v>69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/>
      <c r="AB103" s="66"/>
      <c r="AC103" s="161" t="s">
        <v>193</v>
      </c>
      <c r="AG103" s="75"/>
      <c r="AJ103" s="79"/>
      <c r="AK103" s="79">
        <v>0</v>
      </c>
      <c r="BB103" s="162" t="s">
        <v>1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8" t="s">
        <v>75</v>
      </c>
      <c r="Q104" s="569"/>
      <c r="R104" s="569"/>
      <c r="S104" s="569"/>
      <c r="T104" s="569"/>
      <c r="U104" s="569"/>
      <c r="V104" s="570"/>
      <c r="W104" s="40" t="s">
        <v>76</v>
      </c>
      <c r="X104" s="41">
        <f>IFERROR(X99/H99,"0")+IFERROR(X100/H100,"0")+IFERROR(X101/H101,"0")+IFERROR(X102/H102,"0")+IFERROR(X103/H103,"0")</f>
        <v>9.2592592592592595</v>
      </c>
      <c r="Y104" s="41">
        <f>IFERROR(Y99/H99,"0")+IFERROR(Y100/H100,"0")+IFERROR(Y101/H101,"0")+IFERROR(Y102/H102,"0")+IFERROR(Y103/H103,"0")</f>
        <v>10</v>
      </c>
      <c r="Z104" s="41">
        <f>IFERROR(IF(Z99="",0,Z99),"0")+IFERROR(IF(Z100="",0,Z100),"0")+IFERROR(IF(Z101="",0,Z101),"0")+IFERROR(IF(Z102="",0,Z102),"0")+IFERROR(IF(Z103="",0,Z103),"0")</f>
        <v>0.1898</v>
      </c>
      <c r="AA104" s="64"/>
      <c r="AB104" s="64"/>
      <c r="AC104" s="6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8" t="s">
        <v>75</v>
      </c>
      <c r="Q105" s="569"/>
      <c r="R105" s="569"/>
      <c r="S105" s="569"/>
      <c r="T105" s="569"/>
      <c r="U105" s="569"/>
      <c r="V105" s="570"/>
      <c r="W105" s="40" t="s">
        <v>69</v>
      </c>
      <c r="X105" s="41">
        <f>IFERROR(SUM(X99:X103),"0")</f>
        <v>100</v>
      </c>
      <c r="Y105" s="41">
        <f>IFERROR(SUM(Y99:Y103),"0")</f>
        <v>108</v>
      </c>
      <c r="Z105" s="40"/>
      <c r="AA105" s="64"/>
      <c r="AB105" s="64"/>
      <c r="AC105" s="64"/>
    </row>
    <row r="106" spans="1:68" ht="14.25" hidden="1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63"/>
      <c r="AB106" s="63"/>
      <c r="AC106" s="63"/>
    </row>
    <row r="107" spans="1:68" ht="16.5" hidden="1" customHeight="1" x14ac:dyDescent="0.25">
      <c r="A107" s="60" t="s">
        <v>203</v>
      </c>
      <c r="B107" s="60" t="s">
        <v>204</v>
      </c>
      <c r="C107" s="34">
        <v>4301020345</v>
      </c>
      <c r="D107" s="558">
        <v>4680115881488</v>
      </c>
      <c r="E107" s="559"/>
      <c r="F107" s="59">
        <v>1.35</v>
      </c>
      <c r="G107" s="35">
        <v>8</v>
      </c>
      <c r="H107" s="59">
        <v>10.8</v>
      </c>
      <c r="I107" s="59">
        <v>11.21</v>
      </c>
      <c r="J107" s="35">
        <v>64</v>
      </c>
      <c r="K107" s="35" t="s">
        <v>104</v>
      </c>
      <c r="L107" s="35"/>
      <c r="M107" s="36" t="s">
        <v>106</v>
      </c>
      <c r="N107" s="36"/>
      <c r="O107" s="35">
        <v>55</v>
      </c>
      <c r="P107" s="80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7"/>
      <c r="V107" s="37"/>
      <c r="W107" s="38" t="s">
        <v>69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/>
      <c r="AB107" s="66"/>
      <c r="AC107" s="163" t="s">
        <v>205</v>
      </c>
      <c r="AG107" s="75"/>
      <c r="AJ107" s="79"/>
      <c r="AK107" s="79">
        <v>0</v>
      </c>
      <c r="BB107" s="164" t="s">
        <v>1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27" hidden="1" customHeight="1" x14ac:dyDescent="0.25">
      <c r="A108" s="60" t="s">
        <v>206</v>
      </c>
      <c r="B108" s="60" t="s">
        <v>207</v>
      </c>
      <c r="C108" s="34">
        <v>4301020186</v>
      </c>
      <c r="D108" s="558">
        <v>4680115887664</v>
      </c>
      <c r="E108" s="559"/>
      <c r="F108" s="59">
        <v>0.1</v>
      </c>
      <c r="G108" s="35">
        <v>10</v>
      </c>
      <c r="H108" s="59">
        <v>1</v>
      </c>
      <c r="I108" s="59">
        <v>1.21</v>
      </c>
      <c r="J108" s="35">
        <v>392</v>
      </c>
      <c r="K108" s="35" t="s">
        <v>208</v>
      </c>
      <c r="L108" s="35"/>
      <c r="M108" s="36" t="s">
        <v>68</v>
      </c>
      <c r="N108" s="36"/>
      <c r="O108" s="35">
        <v>30</v>
      </c>
      <c r="P108" s="7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7"/>
      <c r="V108" s="37"/>
      <c r="W108" s="38" t="s">
        <v>69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IFERROR(IF(Y108=0,"",ROUNDUP(Y108/H108,0)*0.00358),"")</f>
        <v/>
      </c>
      <c r="AA108" s="65"/>
      <c r="AB108" s="66"/>
      <c r="AC108" s="165" t="s">
        <v>209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210</v>
      </c>
      <c r="B109" s="60" t="s">
        <v>211</v>
      </c>
      <c r="C109" s="34">
        <v>4301020346</v>
      </c>
      <c r="D109" s="558">
        <v>4680115882775</v>
      </c>
      <c r="E109" s="559"/>
      <c r="F109" s="59">
        <v>0.3</v>
      </c>
      <c r="G109" s="35">
        <v>8</v>
      </c>
      <c r="H109" s="59">
        <v>2.4</v>
      </c>
      <c r="I109" s="59">
        <v>2.5</v>
      </c>
      <c r="J109" s="35">
        <v>234</v>
      </c>
      <c r="K109" s="35" t="s">
        <v>73</v>
      </c>
      <c r="L109" s="35"/>
      <c r="M109" s="36" t="s">
        <v>106</v>
      </c>
      <c r="N109" s="36"/>
      <c r="O109" s="35">
        <v>55</v>
      </c>
      <c r="P109" s="7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7"/>
      <c r="V109" s="37"/>
      <c r="W109" s="38" t="s">
        <v>69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IFERROR(IF(Y109=0,"",ROUNDUP(Y109/H109,0)*0.00502),"")</f>
        <v/>
      </c>
      <c r="AA109" s="65"/>
      <c r="AB109" s="66"/>
      <c r="AC109" s="167" t="s">
        <v>205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16.5" hidden="1" customHeight="1" x14ac:dyDescent="0.25">
      <c r="A110" s="60" t="s">
        <v>212</v>
      </c>
      <c r="B110" s="60" t="s">
        <v>213</v>
      </c>
      <c r="C110" s="34">
        <v>4301020344</v>
      </c>
      <c r="D110" s="558">
        <v>4680115880658</v>
      </c>
      <c r="E110" s="559"/>
      <c r="F110" s="59">
        <v>0.4</v>
      </c>
      <c r="G110" s="35">
        <v>6</v>
      </c>
      <c r="H110" s="59">
        <v>2.4</v>
      </c>
      <c r="I110" s="59">
        <v>2.58</v>
      </c>
      <c r="J110" s="35">
        <v>182</v>
      </c>
      <c r="K110" s="35" t="s">
        <v>67</v>
      </c>
      <c r="L110" s="35"/>
      <c r="M110" s="36" t="s">
        <v>106</v>
      </c>
      <c r="N110" s="36"/>
      <c r="O110" s="35">
        <v>55</v>
      </c>
      <c r="P110" s="8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7"/>
      <c r="V110" s="37"/>
      <c r="W110" s="38" t="s">
        <v>69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IFERROR(IF(Y110=0,"",ROUNDUP(Y110/H110,0)*0.00651),"")</f>
        <v/>
      </c>
      <c r="AA110" s="65"/>
      <c r="AB110" s="66"/>
      <c r="AC110" s="169" t="s">
        <v>205</v>
      </c>
      <c r="AG110" s="75"/>
      <c r="AJ110" s="79"/>
      <c r="AK110" s="79">
        <v>0</v>
      </c>
      <c r="BB110" s="170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idden="1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8" t="s">
        <v>75</v>
      </c>
      <c r="Q111" s="569"/>
      <c r="R111" s="569"/>
      <c r="S111" s="569"/>
      <c r="T111" s="569"/>
      <c r="U111" s="569"/>
      <c r="V111" s="570"/>
      <c r="W111" s="40" t="s">
        <v>76</v>
      </c>
      <c r="X111" s="41">
        <f>IFERROR(X107/H107,"0")+IFERROR(X108/H108,"0")+IFERROR(X109/H109,"0")+IFERROR(X110/H110,"0")</f>
        <v>0</v>
      </c>
      <c r="Y111" s="41">
        <f>IFERROR(Y107/H107,"0")+IFERROR(Y108/H108,"0")+IFERROR(Y109/H109,"0")+IFERROR(Y110/H110,"0")</f>
        <v>0</v>
      </c>
      <c r="Z111" s="41">
        <f>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68" t="s">
        <v>75</v>
      </c>
      <c r="Q112" s="569"/>
      <c r="R112" s="569"/>
      <c r="S112" s="569"/>
      <c r="T112" s="569"/>
      <c r="U112" s="569"/>
      <c r="V112" s="570"/>
      <c r="W112" s="40" t="s">
        <v>69</v>
      </c>
      <c r="X112" s="41">
        <f>IFERROR(SUM(X107:X110),"0")</f>
        <v>0</v>
      </c>
      <c r="Y112" s="41">
        <f>IFERROR(SUM(Y107:Y110),"0")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63"/>
      <c r="AB113" s="63"/>
      <c r="AC113" s="63"/>
    </row>
    <row r="114" spans="1:68" ht="27" customHeight="1" x14ac:dyDescent="0.25">
      <c r="A114" s="60" t="s">
        <v>214</v>
      </c>
      <c r="B114" s="60" t="s">
        <v>215</v>
      </c>
      <c r="C114" s="34">
        <v>4301051724</v>
      </c>
      <c r="D114" s="558">
        <v>4607091385168</v>
      </c>
      <c r="E114" s="559"/>
      <c r="F114" s="59">
        <v>1.35</v>
      </c>
      <c r="G114" s="35">
        <v>6</v>
      </c>
      <c r="H114" s="59">
        <v>8.1</v>
      </c>
      <c r="I114" s="59">
        <v>8.5879999999999992</v>
      </c>
      <c r="J114" s="35">
        <v>64</v>
      </c>
      <c r="K114" s="35" t="s">
        <v>104</v>
      </c>
      <c r="L114" s="35" t="s">
        <v>105</v>
      </c>
      <c r="M114" s="36" t="s">
        <v>86</v>
      </c>
      <c r="N114" s="36"/>
      <c r="O114" s="35">
        <v>45</v>
      </c>
      <c r="P114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7"/>
      <c r="V114" s="37"/>
      <c r="W114" s="38" t="s">
        <v>69</v>
      </c>
      <c r="X114" s="56">
        <v>600</v>
      </c>
      <c r="Y114" s="53">
        <f>IFERROR(IF(X114="",0,CEILING((X114/$H114),1)*$H114),"")</f>
        <v>607.5</v>
      </c>
      <c r="Z114" s="39">
        <f>IFERROR(IF(Y114=0,"",ROUNDUP(Y114/H114,0)*0.01898),"")</f>
        <v>1.4235</v>
      </c>
      <c r="AA114" s="65"/>
      <c r="AB114" s="66"/>
      <c r="AC114" s="171" t="s">
        <v>216</v>
      </c>
      <c r="AG114" s="75"/>
      <c r="AJ114" s="79" t="s">
        <v>92</v>
      </c>
      <c r="AK114" s="79">
        <v>64.8</v>
      </c>
      <c r="BB114" s="172" t="s">
        <v>1</v>
      </c>
      <c r="BM114" s="75">
        <f>IFERROR(X114*I114/H114,"0")</f>
        <v>636.14814814814804</v>
      </c>
      <c r="BN114" s="75">
        <f>IFERROR(Y114*I114/H114,"0")</f>
        <v>644.09999999999991</v>
      </c>
      <c r="BO114" s="75">
        <f>IFERROR(1/J114*(X114/H114),"0")</f>
        <v>1.1574074074074074</v>
      </c>
      <c r="BP114" s="75">
        <f>IFERROR(1/J114*(Y114/H114),"0")</f>
        <v>1.171875</v>
      </c>
    </row>
    <row r="115" spans="1:68" ht="27" hidden="1" customHeight="1" x14ac:dyDescent="0.25">
      <c r="A115" s="60" t="s">
        <v>217</v>
      </c>
      <c r="B115" s="60" t="s">
        <v>218</v>
      </c>
      <c r="C115" s="34">
        <v>4301051730</v>
      </c>
      <c r="D115" s="558">
        <v>4607091383256</v>
      </c>
      <c r="E115" s="559"/>
      <c r="F115" s="59">
        <v>0.33</v>
      </c>
      <c r="G115" s="35">
        <v>6</v>
      </c>
      <c r="H115" s="59">
        <v>1.98</v>
      </c>
      <c r="I115" s="59">
        <v>2.226</v>
      </c>
      <c r="J115" s="35">
        <v>182</v>
      </c>
      <c r="K115" s="35" t="s">
        <v>67</v>
      </c>
      <c r="L115" s="35" t="s">
        <v>90</v>
      </c>
      <c r="M115" s="36" t="s">
        <v>86</v>
      </c>
      <c r="N115" s="36"/>
      <c r="O115" s="35">
        <v>45</v>
      </c>
      <c r="P115" s="7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7"/>
      <c r="V115" s="37"/>
      <c r="W115" s="38" t="s">
        <v>69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/>
      <c r="AB115" s="66"/>
      <c r="AC115" s="173" t="s">
        <v>216</v>
      </c>
      <c r="AG115" s="75"/>
      <c r="AJ115" s="79" t="s">
        <v>92</v>
      </c>
      <c r="AK115" s="79">
        <v>27.72</v>
      </c>
      <c r="BB115" s="174" t="s">
        <v>1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219</v>
      </c>
      <c r="B116" s="60" t="s">
        <v>220</v>
      </c>
      <c r="C116" s="34">
        <v>4301051721</v>
      </c>
      <c r="D116" s="558">
        <v>4607091385748</v>
      </c>
      <c r="E116" s="559"/>
      <c r="F116" s="59">
        <v>0.45</v>
      </c>
      <c r="G116" s="35">
        <v>6</v>
      </c>
      <c r="H116" s="59">
        <v>2.7</v>
      </c>
      <c r="I116" s="59">
        <v>2.952</v>
      </c>
      <c r="J116" s="35">
        <v>182</v>
      </c>
      <c r="K116" s="35" t="s">
        <v>67</v>
      </c>
      <c r="L116" s="35" t="s">
        <v>90</v>
      </c>
      <c r="M116" s="36" t="s">
        <v>86</v>
      </c>
      <c r="N116" s="36"/>
      <c r="O116" s="35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7"/>
      <c r="V116" s="37"/>
      <c r="W116" s="38" t="s">
        <v>69</v>
      </c>
      <c r="X116" s="56">
        <v>112.5</v>
      </c>
      <c r="Y116" s="53">
        <f>IFERROR(IF(X116="",0,CEILING((X116/$H116),1)*$H116),"")</f>
        <v>113.4</v>
      </c>
      <c r="Z116" s="39">
        <f>IFERROR(IF(Y116=0,"",ROUNDUP(Y116/H116,0)*0.00651),"")</f>
        <v>0.27342</v>
      </c>
      <c r="AA116" s="65"/>
      <c r="AB116" s="66"/>
      <c r="AC116" s="175" t="s">
        <v>216</v>
      </c>
      <c r="AG116" s="75"/>
      <c r="AJ116" s="79" t="s">
        <v>92</v>
      </c>
      <c r="AK116" s="79">
        <v>37.799999999999997</v>
      </c>
      <c r="BB116" s="176" t="s">
        <v>1</v>
      </c>
      <c r="BM116" s="75">
        <f>IFERROR(X116*I116/H116,"0")</f>
        <v>123</v>
      </c>
      <c r="BN116" s="75">
        <f>IFERROR(Y116*I116/H116,"0")</f>
        <v>123.98399999999999</v>
      </c>
      <c r="BO116" s="75">
        <f>IFERROR(1/J116*(X116/H116),"0")</f>
        <v>0.22893772893772893</v>
      </c>
      <c r="BP116" s="75">
        <f>IFERROR(1/J116*(Y116/H116),"0")</f>
        <v>0.23076923076923078</v>
      </c>
    </row>
    <row r="117" spans="1:68" ht="16.5" hidden="1" customHeight="1" x14ac:dyDescent="0.25">
      <c r="A117" s="60" t="s">
        <v>221</v>
      </c>
      <c r="B117" s="60" t="s">
        <v>222</v>
      </c>
      <c r="C117" s="34">
        <v>4301051740</v>
      </c>
      <c r="D117" s="558">
        <v>4680115884533</v>
      </c>
      <c r="E117" s="559"/>
      <c r="F117" s="59">
        <v>0.3</v>
      </c>
      <c r="G117" s="35">
        <v>6</v>
      </c>
      <c r="H117" s="59">
        <v>1.8</v>
      </c>
      <c r="I117" s="59">
        <v>1.98</v>
      </c>
      <c r="J117" s="35">
        <v>182</v>
      </c>
      <c r="K117" s="35" t="s">
        <v>67</v>
      </c>
      <c r="L117" s="35" t="s">
        <v>90</v>
      </c>
      <c r="M117" s="36" t="s">
        <v>80</v>
      </c>
      <c r="N117" s="36"/>
      <c r="O117" s="35">
        <v>45</v>
      </c>
      <c r="P117" s="69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7"/>
      <c r="V117" s="37"/>
      <c r="W117" s="38" t="s">
        <v>69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/>
      <c r="AB117" s="66"/>
      <c r="AC117" s="177" t="s">
        <v>223</v>
      </c>
      <c r="AG117" s="75"/>
      <c r="AJ117" s="79" t="s">
        <v>92</v>
      </c>
      <c r="AK117" s="79">
        <v>25.2</v>
      </c>
      <c r="BB117" s="178" t="s">
        <v>1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8" t="s">
        <v>75</v>
      </c>
      <c r="Q118" s="569"/>
      <c r="R118" s="569"/>
      <c r="S118" s="569"/>
      <c r="T118" s="569"/>
      <c r="U118" s="569"/>
      <c r="V118" s="570"/>
      <c r="W118" s="40" t="s">
        <v>76</v>
      </c>
      <c r="X118" s="41">
        <f>IFERROR(X114/H114,"0")+IFERROR(X115/H115,"0")+IFERROR(X116/H116,"0")+IFERROR(X117/H117,"0")</f>
        <v>115.74074074074073</v>
      </c>
      <c r="Y118" s="41">
        <f>IFERROR(Y114/H114,"0")+IFERROR(Y115/H115,"0")+IFERROR(Y116/H116,"0")+IFERROR(Y117/H117,"0")</f>
        <v>117</v>
      </c>
      <c r="Z118" s="41">
        <f>IFERROR(IF(Z114="",0,Z114),"0")+IFERROR(IF(Z115="",0,Z115),"0")+IFERROR(IF(Z116="",0,Z116),"0")+IFERROR(IF(Z117="",0,Z117),"0")</f>
        <v>1.69692</v>
      </c>
      <c r="AA118" s="64"/>
      <c r="AB118" s="64"/>
      <c r="AC118" s="6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68" t="s">
        <v>75</v>
      </c>
      <c r="Q119" s="569"/>
      <c r="R119" s="569"/>
      <c r="S119" s="569"/>
      <c r="T119" s="569"/>
      <c r="U119" s="569"/>
      <c r="V119" s="570"/>
      <c r="W119" s="40" t="s">
        <v>69</v>
      </c>
      <c r="X119" s="41">
        <f>IFERROR(SUM(X114:X117),"0")</f>
        <v>712.5</v>
      </c>
      <c r="Y119" s="41">
        <f>IFERROR(SUM(Y114:Y117),"0")</f>
        <v>720.9</v>
      </c>
      <c r="Z119" s="40"/>
      <c r="AA119" s="64"/>
      <c r="AB119" s="64"/>
      <c r="AC119" s="64"/>
    </row>
    <row r="120" spans="1:68" ht="14.25" hidden="1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63"/>
      <c r="AB120" s="63"/>
      <c r="AC120" s="63"/>
    </row>
    <row r="121" spans="1:68" ht="16.5" hidden="1" customHeight="1" x14ac:dyDescent="0.25">
      <c r="A121" s="60" t="s">
        <v>224</v>
      </c>
      <c r="B121" s="60" t="s">
        <v>225</v>
      </c>
      <c r="C121" s="34">
        <v>4301060317</v>
      </c>
      <c r="D121" s="558">
        <v>4680115880238</v>
      </c>
      <c r="E121" s="559"/>
      <c r="F121" s="59">
        <v>0.33</v>
      </c>
      <c r="G121" s="35">
        <v>6</v>
      </c>
      <c r="H121" s="59">
        <v>1.98</v>
      </c>
      <c r="I121" s="59">
        <v>2.238</v>
      </c>
      <c r="J121" s="35">
        <v>182</v>
      </c>
      <c r="K121" s="35" t="s">
        <v>67</v>
      </c>
      <c r="L121" s="35" t="s">
        <v>90</v>
      </c>
      <c r="M121" s="36" t="s">
        <v>80</v>
      </c>
      <c r="N121" s="36"/>
      <c r="O121" s="35">
        <v>40</v>
      </c>
      <c r="P121" s="8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7"/>
      <c r="V121" s="37"/>
      <c r="W121" s="38" t="s">
        <v>69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/>
      <c r="AB121" s="66"/>
      <c r="AC121" s="179" t="s">
        <v>226</v>
      </c>
      <c r="AG121" s="75"/>
      <c r="AJ121" s="79" t="s">
        <v>92</v>
      </c>
      <c r="AK121" s="79">
        <v>27.72</v>
      </c>
      <c r="BB121" s="180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idden="1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8" t="s">
        <v>75</v>
      </c>
      <c r="Q122" s="569"/>
      <c r="R122" s="569"/>
      <c r="S122" s="569"/>
      <c r="T122" s="569"/>
      <c r="U122" s="569"/>
      <c r="V122" s="570"/>
      <c r="W122" s="40" t="s">
        <v>76</v>
      </c>
      <c r="X122" s="41">
        <f>IFERROR(X121/H121,"0")</f>
        <v>0</v>
      </c>
      <c r="Y122" s="41">
        <f>IFERROR(Y121/H121,"0")</f>
        <v>0</v>
      </c>
      <c r="Z122" s="41">
        <f>IFERROR(IF(Z121="",0,Z121),"0")</f>
        <v>0</v>
      </c>
      <c r="AA122" s="64"/>
      <c r="AB122" s="64"/>
      <c r="AC122" s="64"/>
    </row>
    <row r="123" spans="1:68" hidden="1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68" t="s">
        <v>75</v>
      </c>
      <c r="Q123" s="569"/>
      <c r="R123" s="569"/>
      <c r="S123" s="569"/>
      <c r="T123" s="569"/>
      <c r="U123" s="569"/>
      <c r="V123" s="570"/>
      <c r="W123" s="40" t="s">
        <v>69</v>
      </c>
      <c r="X123" s="41">
        <f>IFERROR(SUM(X121:X121),"0")</f>
        <v>0</v>
      </c>
      <c r="Y123" s="41">
        <f>IFERROR(SUM(Y121:Y121),"0")</f>
        <v>0</v>
      </c>
      <c r="Z123" s="40"/>
      <c r="AA123" s="64"/>
      <c r="AB123" s="64"/>
      <c r="AC123" s="64"/>
    </row>
    <row r="124" spans="1:68" ht="16.5" hidden="1" customHeight="1" x14ac:dyDescent="0.25">
      <c r="A124" s="576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62"/>
      <c r="AB124" s="62"/>
      <c r="AC124" s="62"/>
    </row>
    <row r="125" spans="1:68" ht="14.25" hidden="1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63"/>
      <c r="AB125" s="63"/>
      <c r="AC125" s="63"/>
    </row>
    <row r="126" spans="1:68" ht="27" hidden="1" customHeight="1" x14ac:dyDescent="0.25">
      <c r="A126" s="60" t="s">
        <v>228</v>
      </c>
      <c r="B126" s="60" t="s">
        <v>229</v>
      </c>
      <c r="C126" s="34">
        <v>4301011564</v>
      </c>
      <c r="D126" s="558">
        <v>4680115882577</v>
      </c>
      <c r="E126" s="559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67</v>
      </c>
      <c r="L126" s="35" t="s">
        <v>90</v>
      </c>
      <c r="M126" s="36" t="s">
        <v>96</v>
      </c>
      <c r="N126" s="36"/>
      <c r="O126" s="35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7"/>
      <c r="V126" s="37"/>
      <c r="W126" s="38" t="s">
        <v>69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/>
      <c r="AB126" s="66"/>
      <c r="AC126" s="181" t="s">
        <v>230</v>
      </c>
      <c r="AG126" s="75"/>
      <c r="AJ126" s="79" t="s">
        <v>92</v>
      </c>
      <c r="AK126" s="79">
        <v>44.8</v>
      </c>
      <c r="BB126" s="182" t="s">
        <v>1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27" hidden="1" customHeight="1" x14ac:dyDescent="0.25">
      <c r="A127" s="60" t="s">
        <v>228</v>
      </c>
      <c r="B127" s="60" t="s">
        <v>231</v>
      </c>
      <c r="C127" s="34">
        <v>4301011562</v>
      </c>
      <c r="D127" s="558">
        <v>4680115882577</v>
      </c>
      <c r="E127" s="559"/>
      <c r="F127" s="59">
        <v>0.4</v>
      </c>
      <c r="G127" s="35">
        <v>8</v>
      </c>
      <c r="H127" s="59">
        <v>3.2</v>
      </c>
      <c r="I127" s="59">
        <v>3.38</v>
      </c>
      <c r="J127" s="35">
        <v>182</v>
      </c>
      <c r="K127" s="35" t="s">
        <v>67</v>
      </c>
      <c r="L127" s="35" t="s">
        <v>90</v>
      </c>
      <c r="M127" s="36" t="s">
        <v>96</v>
      </c>
      <c r="N127" s="36"/>
      <c r="O127" s="35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7"/>
      <c r="V127" s="37"/>
      <c r="W127" s="38" t="s">
        <v>69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83" t="s">
        <v>230</v>
      </c>
      <c r="AG127" s="75"/>
      <c r="AJ127" s="79" t="s">
        <v>92</v>
      </c>
      <c r="AK127" s="79">
        <v>44.8</v>
      </c>
      <c r="BB127" s="18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8" t="s">
        <v>75</v>
      </c>
      <c r="Q128" s="569"/>
      <c r="R128" s="569"/>
      <c r="S128" s="569"/>
      <c r="T128" s="569"/>
      <c r="U128" s="569"/>
      <c r="V128" s="570"/>
      <c r="W128" s="40" t="s">
        <v>76</v>
      </c>
      <c r="X128" s="41">
        <f>IFERROR(X126/H126,"0")+IFERROR(X127/H127,"0")</f>
        <v>0</v>
      </c>
      <c r="Y128" s="41">
        <f>IFERROR(Y126/H126,"0")+IFERROR(Y127/H127,"0")</f>
        <v>0</v>
      </c>
      <c r="Z128" s="41">
        <f>IFERROR(IF(Z126="",0,Z126),"0")+IFERROR(IF(Z127="",0,Z127),"0")</f>
        <v>0</v>
      </c>
      <c r="AA128" s="64"/>
      <c r="AB128" s="64"/>
      <c r="AC128" s="64"/>
    </row>
    <row r="129" spans="1:68" hidden="1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68" t="s">
        <v>75</v>
      </c>
      <c r="Q129" s="569"/>
      <c r="R129" s="569"/>
      <c r="S129" s="569"/>
      <c r="T129" s="569"/>
      <c r="U129" s="569"/>
      <c r="V129" s="570"/>
      <c r="W129" s="40" t="s">
        <v>69</v>
      </c>
      <c r="X129" s="41">
        <f>IFERROR(SUM(X126:X127),"0")</f>
        <v>0</v>
      </c>
      <c r="Y129" s="41">
        <f>IFERROR(SUM(Y126:Y127),"0")</f>
        <v>0</v>
      </c>
      <c r="Z129" s="40"/>
      <c r="AA129" s="64"/>
      <c r="AB129" s="64"/>
      <c r="AC129" s="64"/>
    </row>
    <row r="130" spans="1:68" ht="14.25" hidden="1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63"/>
      <c r="AB130" s="63"/>
      <c r="AC130" s="63"/>
    </row>
    <row r="131" spans="1:68" ht="27" hidden="1" customHeight="1" x14ac:dyDescent="0.25">
      <c r="A131" s="60" t="s">
        <v>232</v>
      </c>
      <c r="B131" s="60" t="s">
        <v>233</v>
      </c>
      <c r="C131" s="34">
        <v>4301031234</v>
      </c>
      <c r="D131" s="558">
        <v>4680115883444</v>
      </c>
      <c r="E131" s="559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67</v>
      </c>
      <c r="L131" s="35" t="s">
        <v>90</v>
      </c>
      <c r="M131" s="36" t="s">
        <v>96</v>
      </c>
      <c r="N131" s="36"/>
      <c r="O131" s="35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7"/>
      <c r="V131" s="37"/>
      <c r="W131" s="38" t="s">
        <v>69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85" t="s">
        <v>234</v>
      </c>
      <c r="AG131" s="75"/>
      <c r="AJ131" s="79" t="s">
        <v>92</v>
      </c>
      <c r="AK131" s="79">
        <v>39.200000000000003</v>
      </c>
      <c r="BB131" s="186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232</v>
      </c>
      <c r="B132" s="60" t="s">
        <v>235</v>
      </c>
      <c r="C132" s="34">
        <v>4301031235</v>
      </c>
      <c r="D132" s="558">
        <v>4680115883444</v>
      </c>
      <c r="E132" s="559"/>
      <c r="F132" s="59">
        <v>0.35</v>
      </c>
      <c r="G132" s="35">
        <v>8</v>
      </c>
      <c r="H132" s="59">
        <v>2.8</v>
      </c>
      <c r="I132" s="59">
        <v>3.0680000000000001</v>
      </c>
      <c r="J132" s="35">
        <v>182</v>
      </c>
      <c r="K132" s="35" t="s">
        <v>67</v>
      </c>
      <c r="L132" s="35" t="s">
        <v>90</v>
      </c>
      <c r="M132" s="36" t="s">
        <v>96</v>
      </c>
      <c r="N132" s="36"/>
      <c r="O132" s="35">
        <v>90</v>
      </c>
      <c r="P132" s="71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7"/>
      <c r="V132" s="37"/>
      <c r="W132" s="38" t="s">
        <v>69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87" t="s">
        <v>234</v>
      </c>
      <c r="AG132" s="75"/>
      <c r="AJ132" s="79" t="s">
        <v>92</v>
      </c>
      <c r="AK132" s="79">
        <v>39.200000000000003</v>
      </c>
      <c r="BB132" s="188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8" t="s">
        <v>75</v>
      </c>
      <c r="Q133" s="569"/>
      <c r="R133" s="569"/>
      <c r="S133" s="569"/>
      <c r="T133" s="569"/>
      <c r="U133" s="569"/>
      <c r="V133" s="570"/>
      <c r="W133" s="40" t="s">
        <v>76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68" t="s">
        <v>75</v>
      </c>
      <c r="Q134" s="569"/>
      <c r="R134" s="569"/>
      <c r="S134" s="569"/>
      <c r="T134" s="569"/>
      <c r="U134" s="569"/>
      <c r="V134" s="570"/>
      <c r="W134" s="40" t="s">
        <v>69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63"/>
      <c r="AB135" s="63"/>
      <c r="AC135" s="63"/>
    </row>
    <row r="136" spans="1:68" ht="16.5" hidden="1" customHeight="1" x14ac:dyDescent="0.25">
      <c r="A136" s="60" t="s">
        <v>236</v>
      </c>
      <c r="B136" s="60" t="s">
        <v>237</v>
      </c>
      <c r="C136" s="34">
        <v>4301051477</v>
      </c>
      <c r="D136" s="558">
        <v>4680115882584</v>
      </c>
      <c r="E136" s="559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67</v>
      </c>
      <c r="L136" s="35"/>
      <c r="M136" s="36" t="s">
        <v>96</v>
      </c>
      <c r="N136" s="36"/>
      <c r="O136" s="35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7"/>
      <c r="V136" s="37"/>
      <c r="W136" s="38" t="s">
        <v>69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189" t="s">
        <v>230</v>
      </c>
      <c r="AG136" s="75"/>
      <c r="AJ136" s="79"/>
      <c r="AK136" s="79">
        <v>0</v>
      </c>
      <c r="BB136" s="190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hidden="1" customHeight="1" x14ac:dyDescent="0.25">
      <c r="A137" s="60" t="s">
        <v>236</v>
      </c>
      <c r="B137" s="60" t="s">
        <v>238</v>
      </c>
      <c r="C137" s="34">
        <v>4301051476</v>
      </c>
      <c r="D137" s="558">
        <v>4680115882584</v>
      </c>
      <c r="E137" s="559"/>
      <c r="F137" s="59">
        <v>0.33</v>
      </c>
      <c r="G137" s="35">
        <v>8</v>
      </c>
      <c r="H137" s="59">
        <v>2.64</v>
      </c>
      <c r="I137" s="59">
        <v>2.9079999999999999</v>
      </c>
      <c r="J137" s="35">
        <v>182</v>
      </c>
      <c r="K137" s="35" t="s">
        <v>67</v>
      </c>
      <c r="L137" s="35" t="s">
        <v>90</v>
      </c>
      <c r="M137" s="36" t="s">
        <v>96</v>
      </c>
      <c r="N137" s="36"/>
      <c r="O137" s="35">
        <v>60</v>
      </c>
      <c r="P137" s="70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7"/>
      <c r="V137" s="37"/>
      <c r="W137" s="38" t="s">
        <v>69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1" t="s">
        <v>230</v>
      </c>
      <c r="AG137" s="75"/>
      <c r="AJ137" s="79" t="s">
        <v>92</v>
      </c>
      <c r="AK137" s="79">
        <v>36.96</v>
      </c>
      <c r="BB137" s="192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8" t="s">
        <v>75</v>
      </c>
      <c r="Q138" s="569"/>
      <c r="R138" s="569"/>
      <c r="S138" s="569"/>
      <c r="T138" s="569"/>
      <c r="U138" s="569"/>
      <c r="V138" s="570"/>
      <c r="W138" s="40" t="s">
        <v>76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68" t="s">
        <v>75</v>
      </c>
      <c r="Q139" s="569"/>
      <c r="R139" s="569"/>
      <c r="S139" s="569"/>
      <c r="T139" s="569"/>
      <c r="U139" s="569"/>
      <c r="V139" s="570"/>
      <c r="W139" s="40" t="s">
        <v>69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6.5" hidden="1" customHeight="1" x14ac:dyDescent="0.25">
      <c r="A140" s="576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62"/>
      <c r="AB140" s="62"/>
      <c r="AC140" s="62"/>
    </row>
    <row r="141" spans="1:68" ht="14.25" hidden="1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63"/>
      <c r="AB141" s="63"/>
      <c r="AC141" s="63"/>
    </row>
    <row r="142" spans="1:68" ht="27" hidden="1" customHeight="1" x14ac:dyDescent="0.25">
      <c r="A142" s="60" t="s">
        <v>239</v>
      </c>
      <c r="B142" s="60" t="s">
        <v>240</v>
      </c>
      <c r="C142" s="34">
        <v>4301012244</v>
      </c>
      <c r="D142" s="558">
        <v>4680115887374</v>
      </c>
      <c r="E142" s="559"/>
      <c r="F142" s="59">
        <v>1.6</v>
      </c>
      <c r="G142" s="35">
        <v>8</v>
      </c>
      <c r="H142" s="59">
        <v>12.8</v>
      </c>
      <c r="I142" s="59">
        <v>13.21</v>
      </c>
      <c r="J142" s="35">
        <v>64</v>
      </c>
      <c r="K142" s="35" t="s">
        <v>104</v>
      </c>
      <c r="L142" s="35"/>
      <c r="M142" s="36" t="s">
        <v>106</v>
      </c>
      <c r="N142" s="36"/>
      <c r="O142" s="35">
        <v>55</v>
      </c>
      <c r="P142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7"/>
      <c r="V142" s="37"/>
      <c r="W142" s="38" t="s">
        <v>69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IFERROR(IF(Y142=0,"",ROUNDUP(Y142/H142,0)*0.01898),"")</f>
        <v/>
      </c>
      <c r="AA142" s="65"/>
      <c r="AB142" s="66"/>
      <c r="AC142" s="193" t="s">
        <v>241</v>
      </c>
      <c r="AG142" s="75"/>
      <c r="AJ142" s="79"/>
      <c r="AK142" s="79">
        <v>0</v>
      </c>
      <c r="BB142" s="19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242</v>
      </c>
      <c r="B143" s="60" t="s">
        <v>243</v>
      </c>
      <c r="C143" s="34">
        <v>4301011705</v>
      </c>
      <c r="D143" s="558">
        <v>4607091384604</v>
      </c>
      <c r="E143" s="559"/>
      <c r="F143" s="59">
        <v>0.4</v>
      </c>
      <c r="G143" s="35">
        <v>10</v>
      </c>
      <c r="H143" s="59">
        <v>4</v>
      </c>
      <c r="I143" s="59">
        <v>4.1900000000000004</v>
      </c>
      <c r="J143" s="35">
        <v>132</v>
      </c>
      <c r="K143" s="35" t="s">
        <v>110</v>
      </c>
      <c r="L143" s="35" t="s">
        <v>111</v>
      </c>
      <c r="M143" s="36" t="s">
        <v>106</v>
      </c>
      <c r="N143" s="36"/>
      <c r="O143" s="35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7"/>
      <c r="V143" s="37"/>
      <c r="W143" s="38" t="s">
        <v>69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IFERROR(IF(Y143=0,"",ROUNDUP(Y143/H143,0)*0.00902),"")</f>
        <v/>
      </c>
      <c r="AA143" s="65"/>
      <c r="AB143" s="66"/>
      <c r="AC143" s="195" t="s">
        <v>244</v>
      </c>
      <c r="AG143" s="75"/>
      <c r="AJ143" s="79" t="s">
        <v>92</v>
      </c>
      <c r="AK143" s="79">
        <v>48</v>
      </c>
      <c r="BB143" s="19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8" t="s">
        <v>75</v>
      </c>
      <c r="Q144" s="569"/>
      <c r="R144" s="569"/>
      <c r="S144" s="569"/>
      <c r="T144" s="569"/>
      <c r="U144" s="569"/>
      <c r="V144" s="570"/>
      <c r="W144" s="40" t="s">
        <v>76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8" t="s">
        <v>75</v>
      </c>
      <c r="Q145" s="569"/>
      <c r="R145" s="569"/>
      <c r="S145" s="569"/>
      <c r="T145" s="569"/>
      <c r="U145" s="569"/>
      <c r="V145" s="570"/>
      <c r="W145" s="40" t="s">
        <v>69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63"/>
      <c r="AB146" s="63"/>
      <c r="AC146" s="63"/>
    </row>
    <row r="147" spans="1:68" ht="16.5" hidden="1" customHeight="1" x14ac:dyDescent="0.25">
      <c r="A147" s="60" t="s">
        <v>245</v>
      </c>
      <c r="B147" s="60" t="s">
        <v>246</v>
      </c>
      <c r="C147" s="34">
        <v>4301030895</v>
      </c>
      <c r="D147" s="558">
        <v>4607091387667</v>
      </c>
      <c r="E147" s="559"/>
      <c r="F147" s="59">
        <v>0.9</v>
      </c>
      <c r="G147" s="35">
        <v>10</v>
      </c>
      <c r="H147" s="59">
        <v>9</v>
      </c>
      <c r="I147" s="59">
        <v>9.56</v>
      </c>
      <c r="J147" s="35">
        <v>64</v>
      </c>
      <c r="K147" s="35" t="s">
        <v>104</v>
      </c>
      <c r="L147" s="35" t="s">
        <v>105</v>
      </c>
      <c r="M147" s="36" t="s">
        <v>106</v>
      </c>
      <c r="N147" s="36"/>
      <c r="O147" s="35">
        <v>40</v>
      </c>
      <c r="P147" s="6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7"/>
      <c r="V147" s="37"/>
      <c r="W147" s="38" t="s">
        <v>69</v>
      </c>
      <c r="X147" s="56">
        <v>0</v>
      </c>
      <c r="Y147" s="53">
        <f t="shared" ref="Y147:Y152" si="5">IFERROR(IF(X147="",0,CEILING((X147/$H147),1)*$H147),"")</f>
        <v>0</v>
      </c>
      <c r="Z147" s="39" t="str">
        <f>IFERROR(IF(Y147=0,"",ROUNDUP(Y147/H147,0)*0.01898),"")</f>
        <v/>
      </c>
      <c r="AA147" s="65"/>
      <c r="AB147" s="66"/>
      <c r="AC147" s="197" t="s">
        <v>247</v>
      </c>
      <c r="AG147" s="75"/>
      <c r="AJ147" s="79" t="s">
        <v>92</v>
      </c>
      <c r="AK147" s="79">
        <v>72</v>
      </c>
      <c r="BB147" s="198" t="s">
        <v>1</v>
      </c>
      <c r="BM147" s="75">
        <f t="shared" ref="BM147:BM152" si="6">IFERROR(X147*I147/H147,"0")</f>
        <v>0</v>
      </c>
      <c r="BN147" s="75">
        <f t="shared" ref="BN147:BN152" si="7">IFERROR(Y147*I147/H147,"0")</f>
        <v>0</v>
      </c>
      <c r="BO147" s="75">
        <f t="shared" ref="BO147:BO152" si="8">IFERROR(1/J147*(X147/H147),"0")</f>
        <v>0</v>
      </c>
      <c r="BP147" s="75">
        <f t="shared" ref="BP147:BP152" si="9">IFERROR(1/J147*(Y147/H147),"0")</f>
        <v>0</v>
      </c>
    </row>
    <row r="148" spans="1:68" ht="16.5" hidden="1" customHeight="1" x14ac:dyDescent="0.25">
      <c r="A148" s="60" t="s">
        <v>248</v>
      </c>
      <c r="B148" s="60" t="s">
        <v>249</v>
      </c>
      <c r="C148" s="34">
        <v>4301031450</v>
      </c>
      <c r="D148" s="558">
        <v>4680115887428</v>
      </c>
      <c r="E148" s="559"/>
      <c r="F148" s="59">
        <v>0.7</v>
      </c>
      <c r="G148" s="35">
        <v>6</v>
      </c>
      <c r="H148" s="59">
        <v>4.2</v>
      </c>
      <c r="I148" s="59">
        <v>4.3899999999999997</v>
      </c>
      <c r="J148" s="35">
        <v>132</v>
      </c>
      <c r="K148" s="35" t="s">
        <v>110</v>
      </c>
      <c r="L148" s="35"/>
      <c r="M148" s="36" t="s">
        <v>68</v>
      </c>
      <c r="N148" s="36"/>
      <c r="O148" s="35">
        <v>40</v>
      </c>
      <c r="P148" s="64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7"/>
      <c r="V148" s="37"/>
      <c r="W148" s="38" t="s">
        <v>69</v>
      </c>
      <c r="X148" s="56">
        <v>0</v>
      </c>
      <c r="Y148" s="53">
        <f t="shared" si="5"/>
        <v>0</v>
      </c>
      <c r="Z148" s="39" t="str">
        <f>IFERROR(IF(Y148=0,"",ROUNDUP(Y148/H148,0)*0.00902),"")</f>
        <v/>
      </c>
      <c r="AA148" s="65"/>
      <c r="AB148" s="66"/>
      <c r="AC148" s="199" t="s">
        <v>250</v>
      </c>
      <c r="AG148" s="75"/>
      <c r="AJ148" s="79"/>
      <c r="AK148" s="79">
        <v>0</v>
      </c>
      <c r="BB148" s="200" t="s">
        <v>1</v>
      </c>
      <c r="BM148" s="75">
        <f t="shared" si="6"/>
        <v>0</v>
      </c>
      <c r="BN148" s="75">
        <f t="shared" si="7"/>
        <v>0</v>
      </c>
      <c r="BO148" s="75">
        <f t="shared" si="8"/>
        <v>0</v>
      </c>
      <c r="BP148" s="75">
        <f t="shared" si="9"/>
        <v>0</v>
      </c>
    </row>
    <row r="149" spans="1:68" ht="16.5" hidden="1" customHeight="1" x14ac:dyDescent="0.25">
      <c r="A149" s="60" t="s">
        <v>251</v>
      </c>
      <c r="B149" s="60" t="s">
        <v>252</v>
      </c>
      <c r="C149" s="34">
        <v>4301030961</v>
      </c>
      <c r="D149" s="558">
        <v>4607091387636</v>
      </c>
      <c r="E149" s="559"/>
      <c r="F149" s="59">
        <v>0.7</v>
      </c>
      <c r="G149" s="35">
        <v>6</v>
      </c>
      <c r="H149" s="59">
        <v>4.2</v>
      </c>
      <c r="I149" s="59">
        <v>4.47</v>
      </c>
      <c r="J149" s="35">
        <v>182</v>
      </c>
      <c r="K149" s="35" t="s">
        <v>67</v>
      </c>
      <c r="L149" s="35"/>
      <c r="M149" s="36" t="s">
        <v>68</v>
      </c>
      <c r="N149" s="36"/>
      <c r="O149" s="35">
        <v>40</v>
      </c>
      <c r="P149" s="86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7"/>
      <c r="V149" s="37"/>
      <c r="W149" s="38" t="s">
        <v>69</v>
      </c>
      <c r="X149" s="56">
        <v>0</v>
      </c>
      <c r="Y149" s="53">
        <f t="shared" si="5"/>
        <v>0</v>
      </c>
      <c r="Z149" s="39" t="str">
        <f>IFERROR(IF(Y149=0,"",ROUNDUP(Y149/H149,0)*0.00651),"")</f>
        <v/>
      </c>
      <c r="AA149" s="65"/>
      <c r="AB149" s="66"/>
      <c r="AC149" s="201" t="s">
        <v>253</v>
      </c>
      <c r="AG149" s="75"/>
      <c r="AJ149" s="79"/>
      <c r="AK149" s="79">
        <v>0</v>
      </c>
      <c r="BB149" s="202" t="s">
        <v>1</v>
      </c>
      <c r="BM149" s="75">
        <f t="shared" si="6"/>
        <v>0</v>
      </c>
      <c r="BN149" s="75">
        <f t="shared" si="7"/>
        <v>0</v>
      </c>
      <c r="BO149" s="75">
        <f t="shared" si="8"/>
        <v>0</v>
      </c>
      <c r="BP149" s="75">
        <f t="shared" si="9"/>
        <v>0</v>
      </c>
    </row>
    <row r="150" spans="1:68" ht="27" hidden="1" customHeight="1" x14ac:dyDescent="0.25">
      <c r="A150" s="60" t="s">
        <v>254</v>
      </c>
      <c r="B150" s="60" t="s">
        <v>255</v>
      </c>
      <c r="C150" s="34">
        <v>4301031453</v>
      </c>
      <c r="D150" s="558">
        <v>4680115887336</v>
      </c>
      <c r="E150" s="559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110</v>
      </c>
      <c r="L150" s="35"/>
      <c r="M150" s="36" t="s">
        <v>68</v>
      </c>
      <c r="N150" s="36"/>
      <c r="O150" s="35">
        <v>40</v>
      </c>
      <c r="P150" s="59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7"/>
      <c r="V150" s="37"/>
      <c r="W150" s="38" t="s">
        <v>69</v>
      </c>
      <c r="X150" s="56">
        <v>0</v>
      </c>
      <c r="Y150" s="53">
        <f t="shared" si="5"/>
        <v>0</v>
      </c>
      <c r="Z150" s="39" t="str">
        <f>IFERROR(IF(Y150=0,"",ROUNDUP(Y150/H150,0)*0.00902),"")</f>
        <v/>
      </c>
      <c r="AA150" s="65"/>
      <c r="AB150" s="66"/>
      <c r="AC150" s="203" t="s">
        <v>256</v>
      </c>
      <c r="AG150" s="75"/>
      <c r="AJ150" s="79"/>
      <c r="AK150" s="79">
        <v>0</v>
      </c>
      <c r="BB150" s="204" t="s">
        <v>1</v>
      </c>
      <c r="BM150" s="75">
        <f t="shared" si="6"/>
        <v>0</v>
      </c>
      <c r="BN150" s="75">
        <f t="shared" si="7"/>
        <v>0</v>
      </c>
      <c r="BO150" s="75">
        <f t="shared" si="8"/>
        <v>0</v>
      </c>
      <c r="BP150" s="75">
        <f t="shared" si="9"/>
        <v>0</v>
      </c>
    </row>
    <row r="151" spans="1:68" ht="27" hidden="1" customHeight="1" x14ac:dyDescent="0.25">
      <c r="A151" s="60" t="s">
        <v>257</v>
      </c>
      <c r="B151" s="60" t="s">
        <v>258</v>
      </c>
      <c r="C151" s="34">
        <v>4301030963</v>
      </c>
      <c r="D151" s="558">
        <v>4607091382426</v>
      </c>
      <c r="E151" s="559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104</v>
      </c>
      <c r="L151" s="35" t="s">
        <v>105</v>
      </c>
      <c r="M151" s="36" t="s">
        <v>68</v>
      </c>
      <c r="N151" s="36"/>
      <c r="O151" s="35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7"/>
      <c r="V151" s="37"/>
      <c r="W151" s="38" t="s">
        <v>69</v>
      </c>
      <c r="X151" s="56">
        <v>0</v>
      </c>
      <c r="Y151" s="53">
        <f t="shared" si="5"/>
        <v>0</v>
      </c>
      <c r="Z151" s="39" t="str">
        <f>IFERROR(IF(Y151=0,"",ROUNDUP(Y151/H151,0)*0.01898),"")</f>
        <v/>
      </c>
      <c r="AA151" s="65"/>
      <c r="AB151" s="66"/>
      <c r="AC151" s="205" t="s">
        <v>259</v>
      </c>
      <c r="AG151" s="75"/>
      <c r="AJ151" s="79" t="s">
        <v>92</v>
      </c>
      <c r="AK151" s="79">
        <v>72</v>
      </c>
      <c r="BB151" s="206" t="s">
        <v>1</v>
      </c>
      <c r="BM151" s="75">
        <f t="shared" si="6"/>
        <v>0</v>
      </c>
      <c r="BN151" s="75">
        <f t="shared" si="7"/>
        <v>0</v>
      </c>
      <c r="BO151" s="75">
        <f t="shared" si="8"/>
        <v>0</v>
      </c>
      <c r="BP151" s="75">
        <f t="shared" si="9"/>
        <v>0</v>
      </c>
    </row>
    <row r="152" spans="1:68" ht="27" hidden="1" customHeight="1" x14ac:dyDescent="0.25">
      <c r="A152" s="60" t="s">
        <v>260</v>
      </c>
      <c r="B152" s="60" t="s">
        <v>261</v>
      </c>
      <c r="C152" s="34">
        <v>4301031456</v>
      </c>
      <c r="D152" s="558">
        <v>4680115887398</v>
      </c>
      <c r="E152" s="559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110</v>
      </c>
      <c r="L152" s="35"/>
      <c r="M152" s="36" t="s">
        <v>68</v>
      </c>
      <c r="N152" s="36"/>
      <c r="O152" s="35">
        <v>40</v>
      </c>
      <c r="P152" s="60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7"/>
      <c r="V152" s="37"/>
      <c r="W152" s="38" t="s">
        <v>69</v>
      </c>
      <c r="X152" s="56">
        <v>0</v>
      </c>
      <c r="Y152" s="53">
        <f t="shared" si="5"/>
        <v>0</v>
      </c>
      <c r="Z152" s="39" t="str">
        <f>IFERROR(IF(Y152=0,"",ROUNDUP(Y152/H152,0)*0.00902),"")</f>
        <v/>
      </c>
      <c r="AA152" s="65"/>
      <c r="AB152" s="66"/>
      <c r="AC152" s="207" t="s">
        <v>262</v>
      </c>
      <c r="AG152" s="75"/>
      <c r="AJ152" s="79"/>
      <c r="AK152" s="79">
        <v>0</v>
      </c>
      <c r="BB152" s="208" t="s">
        <v>1</v>
      </c>
      <c r="BM152" s="75">
        <f t="shared" si="6"/>
        <v>0</v>
      </c>
      <c r="BN152" s="75">
        <f t="shared" si="7"/>
        <v>0</v>
      </c>
      <c r="BO152" s="75">
        <f t="shared" si="8"/>
        <v>0</v>
      </c>
      <c r="BP152" s="75">
        <f t="shared" si="9"/>
        <v>0</v>
      </c>
    </row>
    <row r="153" spans="1:68" hidden="1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68" t="s">
        <v>75</v>
      </c>
      <c r="Q153" s="569"/>
      <c r="R153" s="569"/>
      <c r="S153" s="569"/>
      <c r="T153" s="569"/>
      <c r="U153" s="569"/>
      <c r="V153" s="570"/>
      <c r="W153" s="40" t="s">
        <v>76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8" t="s">
        <v>75</v>
      </c>
      <c r="Q154" s="569"/>
      <c r="R154" s="569"/>
      <c r="S154" s="569"/>
      <c r="T154" s="569"/>
      <c r="U154" s="569"/>
      <c r="V154" s="570"/>
      <c r="W154" s="40" t="s">
        <v>69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63"/>
      <c r="AB155" s="63"/>
      <c r="AC155" s="63"/>
    </row>
    <row r="156" spans="1:68" ht="27" hidden="1" customHeight="1" x14ac:dyDescent="0.25">
      <c r="A156" s="60" t="s">
        <v>263</v>
      </c>
      <c r="B156" s="60" t="s">
        <v>264</v>
      </c>
      <c r="C156" s="34">
        <v>4301052064</v>
      </c>
      <c r="D156" s="558">
        <v>4680115887459</v>
      </c>
      <c r="E156" s="559"/>
      <c r="F156" s="59">
        <v>0.3</v>
      </c>
      <c r="G156" s="35">
        <v>6</v>
      </c>
      <c r="H156" s="59">
        <v>1.8</v>
      </c>
      <c r="I156" s="59">
        <v>2.0579999999999998</v>
      </c>
      <c r="J156" s="35">
        <v>182</v>
      </c>
      <c r="K156" s="35" t="s">
        <v>67</v>
      </c>
      <c r="L156" s="35"/>
      <c r="M156" s="36" t="s">
        <v>80</v>
      </c>
      <c r="N156" s="36"/>
      <c r="O156" s="35">
        <v>45</v>
      </c>
      <c r="P156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7"/>
      <c r="V156" s="37"/>
      <c r="W156" s="38" t="s">
        <v>69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/>
      <c r="AB156" s="66"/>
      <c r="AC156" s="209" t="s">
        <v>265</v>
      </c>
      <c r="AG156" s="75"/>
      <c r="AJ156" s="79"/>
      <c r="AK156" s="79">
        <v>0</v>
      </c>
      <c r="BB156" s="210" t="s">
        <v>1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68" t="s">
        <v>75</v>
      </c>
      <c r="Q157" s="569"/>
      <c r="R157" s="569"/>
      <c r="S157" s="569"/>
      <c r="T157" s="569"/>
      <c r="U157" s="569"/>
      <c r="V157" s="570"/>
      <c r="W157" s="40" t="s">
        <v>76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68" t="s">
        <v>75</v>
      </c>
      <c r="Q158" s="569"/>
      <c r="R158" s="569"/>
      <c r="S158" s="569"/>
      <c r="T158" s="569"/>
      <c r="U158" s="569"/>
      <c r="V158" s="570"/>
      <c r="W158" s="40" t="s">
        <v>69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27.75" hidden="1" customHeight="1" x14ac:dyDescent="0.2">
      <c r="A159" s="613" t="s">
        <v>266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52"/>
      <c r="AB159" s="52"/>
      <c r="AC159" s="52"/>
    </row>
    <row r="160" spans="1:68" ht="16.5" hidden="1" customHeight="1" x14ac:dyDescent="0.25">
      <c r="A160" s="576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62"/>
      <c r="AB160" s="62"/>
      <c r="AC160" s="62"/>
    </row>
    <row r="161" spans="1:68" ht="14.25" hidden="1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63"/>
      <c r="AB161" s="63"/>
      <c r="AC161" s="63"/>
    </row>
    <row r="162" spans="1:68" ht="27" hidden="1" customHeight="1" x14ac:dyDescent="0.25">
      <c r="A162" s="60" t="s">
        <v>268</v>
      </c>
      <c r="B162" s="60" t="s">
        <v>269</v>
      </c>
      <c r="C162" s="34">
        <v>4301020323</v>
      </c>
      <c r="D162" s="558">
        <v>4680115886223</v>
      </c>
      <c r="E162" s="559"/>
      <c r="F162" s="59">
        <v>0.33</v>
      </c>
      <c r="G162" s="35">
        <v>6</v>
      </c>
      <c r="H162" s="59">
        <v>1.98</v>
      </c>
      <c r="I162" s="59">
        <v>2.08</v>
      </c>
      <c r="J162" s="35">
        <v>234</v>
      </c>
      <c r="K162" s="35" t="s">
        <v>73</v>
      </c>
      <c r="L162" s="35"/>
      <c r="M162" s="36" t="s">
        <v>68</v>
      </c>
      <c r="N162" s="36"/>
      <c r="O162" s="35">
        <v>40</v>
      </c>
      <c r="P162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7"/>
      <c r="V162" s="37"/>
      <c r="W162" s="38" t="s">
        <v>69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IFERROR(IF(Y162=0,"",ROUNDUP(Y162/H162,0)*0.00502),"")</f>
        <v/>
      </c>
      <c r="AA162" s="65"/>
      <c r="AB162" s="66"/>
      <c r="AC162" s="211" t="s">
        <v>270</v>
      </c>
      <c r="AG162" s="75"/>
      <c r="AJ162" s="79"/>
      <c r="AK162" s="79">
        <v>0</v>
      </c>
      <c r="BB162" s="21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68" t="s">
        <v>75</v>
      </c>
      <c r="Q163" s="569"/>
      <c r="R163" s="569"/>
      <c r="S163" s="569"/>
      <c r="T163" s="569"/>
      <c r="U163" s="569"/>
      <c r="V163" s="570"/>
      <c r="W163" s="40" t="s">
        <v>76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68" t="s">
        <v>75</v>
      </c>
      <c r="Q164" s="569"/>
      <c r="R164" s="569"/>
      <c r="S164" s="569"/>
      <c r="T164" s="569"/>
      <c r="U164" s="569"/>
      <c r="V164" s="570"/>
      <c r="W164" s="40" t="s">
        <v>69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63"/>
      <c r="AB165" s="63"/>
      <c r="AC165" s="63"/>
    </row>
    <row r="166" spans="1:68" ht="27" customHeight="1" x14ac:dyDescent="0.25">
      <c r="A166" s="60" t="s">
        <v>271</v>
      </c>
      <c r="B166" s="60" t="s">
        <v>272</v>
      </c>
      <c r="C166" s="34">
        <v>4301031191</v>
      </c>
      <c r="D166" s="558">
        <v>4680115880993</v>
      </c>
      <c r="E166" s="559"/>
      <c r="F166" s="59">
        <v>0.7</v>
      </c>
      <c r="G166" s="35">
        <v>6</v>
      </c>
      <c r="H166" s="59">
        <v>4.2</v>
      </c>
      <c r="I166" s="59">
        <v>4.45</v>
      </c>
      <c r="J166" s="35">
        <v>132</v>
      </c>
      <c r="K166" s="35" t="s">
        <v>110</v>
      </c>
      <c r="L166" s="35" t="s">
        <v>111</v>
      </c>
      <c r="M166" s="36" t="s">
        <v>68</v>
      </c>
      <c r="N166" s="36"/>
      <c r="O166" s="35">
        <v>40</v>
      </c>
      <c r="P166" s="6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7"/>
      <c r="V166" s="37"/>
      <c r="W166" s="38" t="s">
        <v>69</v>
      </c>
      <c r="X166" s="56">
        <v>40</v>
      </c>
      <c r="Y166" s="53">
        <f t="shared" ref="Y166:Y179" si="10">IFERROR(IF(X166="",0,CEILING((X166/$H166),1)*$H166),"")</f>
        <v>42</v>
      </c>
      <c r="Z166" s="39">
        <f>IFERROR(IF(Y166=0,"",ROUNDUP(Y166/H166,0)*0.00902),"")</f>
        <v>9.0200000000000002E-2</v>
      </c>
      <c r="AA166" s="65"/>
      <c r="AB166" s="66"/>
      <c r="AC166" s="213" t="s">
        <v>273</v>
      </c>
      <c r="AG166" s="75"/>
      <c r="AJ166" s="79" t="s">
        <v>92</v>
      </c>
      <c r="AK166" s="79">
        <v>50.4</v>
      </c>
      <c r="BB166" s="214" t="s">
        <v>1</v>
      </c>
      <c r="BM166" s="75">
        <f t="shared" ref="BM166:BM179" si="11">IFERROR(X166*I166/H166,"0")</f>
        <v>42.38095238095238</v>
      </c>
      <c r="BN166" s="75">
        <f t="shared" ref="BN166:BN179" si="12">IFERROR(Y166*I166/H166,"0")</f>
        <v>44.5</v>
      </c>
      <c r="BO166" s="75">
        <f t="shared" ref="BO166:BO179" si="13">IFERROR(1/J166*(X166/H166),"0")</f>
        <v>7.2150072150072145E-2</v>
      </c>
      <c r="BP166" s="75">
        <f t="shared" ref="BP166:BP179" si="14">IFERROR(1/J166*(Y166/H166),"0")</f>
        <v>7.575757575757576E-2</v>
      </c>
    </row>
    <row r="167" spans="1:68" ht="27" hidden="1" customHeight="1" x14ac:dyDescent="0.25">
      <c r="A167" s="60" t="s">
        <v>274</v>
      </c>
      <c r="B167" s="60" t="s">
        <v>275</v>
      </c>
      <c r="C167" s="34">
        <v>4301031204</v>
      </c>
      <c r="D167" s="558">
        <v>4680115881761</v>
      </c>
      <c r="E167" s="559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110</v>
      </c>
      <c r="L167" s="35"/>
      <c r="M167" s="36" t="s">
        <v>68</v>
      </c>
      <c r="N167" s="36"/>
      <c r="O167" s="35">
        <v>40</v>
      </c>
      <c r="P167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7"/>
      <c r="V167" s="37"/>
      <c r="W167" s="38" t="s">
        <v>69</v>
      </c>
      <c r="X167" s="56">
        <v>0</v>
      </c>
      <c r="Y167" s="53">
        <f t="shared" si="10"/>
        <v>0</v>
      </c>
      <c r="Z167" s="39" t="str">
        <f>IFERROR(IF(Y167=0,"",ROUNDUP(Y167/H167,0)*0.00902),"")</f>
        <v/>
      </c>
      <c r="AA167" s="65"/>
      <c r="AB167" s="66"/>
      <c r="AC167" s="215" t="s">
        <v>276</v>
      </c>
      <c r="AG167" s="75"/>
      <c r="AJ167" s="79"/>
      <c r="AK167" s="79">
        <v>0</v>
      </c>
      <c r="BB167" s="216" t="s">
        <v>1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277</v>
      </c>
      <c r="B168" s="60" t="s">
        <v>278</v>
      </c>
      <c r="C168" s="34">
        <v>4301031201</v>
      </c>
      <c r="D168" s="558">
        <v>4680115881563</v>
      </c>
      <c r="E168" s="559"/>
      <c r="F168" s="59">
        <v>0.7</v>
      </c>
      <c r="G168" s="35">
        <v>6</v>
      </c>
      <c r="H168" s="59">
        <v>4.2</v>
      </c>
      <c r="I168" s="59">
        <v>4.3899999999999997</v>
      </c>
      <c r="J168" s="35">
        <v>132</v>
      </c>
      <c r="K168" s="35" t="s">
        <v>110</v>
      </c>
      <c r="L168" s="35" t="s">
        <v>111</v>
      </c>
      <c r="M168" s="36" t="s">
        <v>68</v>
      </c>
      <c r="N168" s="36"/>
      <c r="O168" s="35">
        <v>40</v>
      </c>
      <c r="P168" s="6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7"/>
      <c r="V168" s="37"/>
      <c r="W168" s="38" t="s">
        <v>69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/>
      <c r="AB168" s="66"/>
      <c r="AC168" s="217" t="s">
        <v>279</v>
      </c>
      <c r="AG168" s="75"/>
      <c r="AJ168" s="79" t="s">
        <v>92</v>
      </c>
      <c r="AK168" s="79">
        <v>50.4</v>
      </c>
      <c r="BB168" s="21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37.5" hidden="1" customHeight="1" x14ac:dyDescent="0.25">
      <c r="A169" s="60" t="s">
        <v>280</v>
      </c>
      <c r="B169" s="60" t="s">
        <v>281</v>
      </c>
      <c r="C169" s="34">
        <v>4301031447</v>
      </c>
      <c r="D169" s="558">
        <v>4680115887565</v>
      </c>
      <c r="E169" s="559"/>
      <c r="F169" s="59">
        <v>0.08</v>
      </c>
      <c r="G169" s="35">
        <v>10</v>
      </c>
      <c r="H169" s="59">
        <v>0.8</v>
      </c>
      <c r="I169" s="59">
        <v>0.93</v>
      </c>
      <c r="J169" s="35">
        <v>216</v>
      </c>
      <c r="K169" s="35" t="s">
        <v>73</v>
      </c>
      <c r="L169" s="35"/>
      <c r="M169" s="36" t="s">
        <v>68</v>
      </c>
      <c r="N169" s="36"/>
      <c r="O169" s="35">
        <v>45</v>
      </c>
      <c r="P169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7"/>
      <c r="V169" s="37"/>
      <c r="W169" s="38" t="s">
        <v>69</v>
      </c>
      <c r="X169" s="56">
        <v>0</v>
      </c>
      <c r="Y169" s="53">
        <f t="shared" si="10"/>
        <v>0</v>
      </c>
      <c r="Z169" s="39" t="str">
        <f>IFERROR(IF(Y169=0,"",ROUNDUP(Y169/H169,0)*0.00556),"")</f>
        <v/>
      </c>
      <c r="AA169" s="65"/>
      <c r="AB169" s="66"/>
      <c r="AC169" s="219" t="s">
        <v>282</v>
      </c>
      <c r="AG169" s="75"/>
      <c r="AJ169" s="79"/>
      <c r="AK169" s="79">
        <v>0</v>
      </c>
      <c r="BB169" s="220" t="s">
        <v>1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283</v>
      </c>
      <c r="B170" s="60" t="s">
        <v>284</v>
      </c>
      <c r="C170" s="34">
        <v>4301031199</v>
      </c>
      <c r="D170" s="558">
        <v>4680115880986</v>
      </c>
      <c r="E170" s="559"/>
      <c r="F170" s="59">
        <v>0.35</v>
      </c>
      <c r="G170" s="35">
        <v>6</v>
      </c>
      <c r="H170" s="59">
        <v>2.1</v>
      </c>
      <c r="I170" s="59">
        <v>2.23</v>
      </c>
      <c r="J170" s="35">
        <v>234</v>
      </c>
      <c r="K170" s="35" t="s">
        <v>73</v>
      </c>
      <c r="L170" s="35" t="s">
        <v>285</v>
      </c>
      <c r="M170" s="36" t="s">
        <v>68</v>
      </c>
      <c r="N170" s="36"/>
      <c r="O170" s="35">
        <v>40</v>
      </c>
      <c r="P170" s="5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7"/>
      <c r="V170" s="37"/>
      <c r="W170" s="38" t="s">
        <v>69</v>
      </c>
      <c r="X170" s="56">
        <v>0</v>
      </c>
      <c r="Y170" s="53">
        <f t="shared" si="10"/>
        <v>0</v>
      </c>
      <c r="Z170" s="39" t="str">
        <f>IFERROR(IF(Y170=0,"",ROUNDUP(Y170/H170,0)*0.00502),"")</f>
        <v/>
      </c>
      <c r="AA170" s="65"/>
      <c r="AB170" s="66"/>
      <c r="AC170" s="221" t="s">
        <v>273</v>
      </c>
      <c r="AG170" s="75"/>
      <c r="AJ170" s="79" t="s">
        <v>92</v>
      </c>
      <c r="AK170" s="79">
        <v>37.799999999999997</v>
      </c>
      <c r="BB170" s="22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27" hidden="1" customHeight="1" x14ac:dyDescent="0.25">
      <c r="A171" s="60" t="s">
        <v>286</v>
      </c>
      <c r="B171" s="60" t="s">
        <v>287</v>
      </c>
      <c r="C171" s="34">
        <v>4301031443</v>
      </c>
      <c r="D171" s="558">
        <v>4680115887213</v>
      </c>
      <c r="E171" s="559"/>
      <c r="F171" s="59">
        <v>0.3</v>
      </c>
      <c r="G171" s="35">
        <v>6</v>
      </c>
      <c r="H171" s="59">
        <v>1.8</v>
      </c>
      <c r="I171" s="59">
        <v>1.9</v>
      </c>
      <c r="J171" s="35">
        <v>234</v>
      </c>
      <c r="K171" s="35" t="s">
        <v>73</v>
      </c>
      <c r="L171" s="35"/>
      <c r="M171" s="36" t="s">
        <v>68</v>
      </c>
      <c r="N171" s="36"/>
      <c r="O171" s="35">
        <v>45</v>
      </c>
      <c r="P171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7"/>
      <c r="V171" s="37"/>
      <c r="W171" s="38" t="s">
        <v>69</v>
      </c>
      <c r="X171" s="56">
        <v>0</v>
      </c>
      <c r="Y171" s="53">
        <f t="shared" si="10"/>
        <v>0</v>
      </c>
      <c r="Z171" s="39" t="str">
        <f>IFERROR(IF(Y171=0,"",ROUNDUP(Y171/H171,0)*0.00502),"")</f>
        <v/>
      </c>
      <c r="AA171" s="65"/>
      <c r="AB171" s="66"/>
      <c r="AC171" s="223" t="s">
        <v>288</v>
      </c>
      <c r="AG171" s="75"/>
      <c r="AJ171" s="79"/>
      <c r="AK171" s="79">
        <v>0</v>
      </c>
      <c r="BB171" s="22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289</v>
      </c>
      <c r="B172" s="60" t="s">
        <v>290</v>
      </c>
      <c r="C172" s="34">
        <v>4301031205</v>
      </c>
      <c r="D172" s="558">
        <v>4680115881785</v>
      </c>
      <c r="E172" s="559"/>
      <c r="F172" s="59">
        <v>0.35</v>
      </c>
      <c r="G172" s="35">
        <v>6</v>
      </c>
      <c r="H172" s="59">
        <v>2.1</v>
      </c>
      <c r="I172" s="59">
        <v>2.23</v>
      </c>
      <c r="J172" s="35">
        <v>234</v>
      </c>
      <c r="K172" s="35" t="s">
        <v>73</v>
      </c>
      <c r="L172" s="35" t="s">
        <v>285</v>
      </c>
      <c r="M172" s="36" t="s">
        <v>68</v>
      </c>
      <c r="N172" s="36"/>
      <c r="O172" s="35">
        <v>40</v>
      </c>
      <c r="P172" s="5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7"/>
      <c r="V172" s="37"/>
      <c r="W172" s="38" t="s">
        <v>69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25" t="s">
        <v>276</v>
      </c>
      <c r="AG172" s="75"/>
      <c r="AJ172" s="79" t="s">
        <v>92</v>
      </c>
      <c r="AK172" s="79">
        <v>37.799999999999997</v>
      </c>
      <c r="BB172" s="22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291</v>
      </c>
      <c r="B173" s="60" t="s">
        <v>292</v>
      </c>
      <c r="C173" s="34">
        <v>4301031463</v>
      </c>
      <c r="D173" s="558">
        <v>4680115887824</v>
      </c>
      <c r="E173" s="559"/>
      <c r="F173" s="59">
        <v>0.15</v>
      </c>
      <c r="G173" s="35">
        <v>16</v>
      </c>
      <c r="H173" s="59">
        <v>2.4</v>
      </c>
      <c r="I173" s="59">
        <v>2.58</v>
      </c>
      <c r="J173" s="35">
        <v>182</v>
      </c>
      <c r="K173" s="35" t="s">
        <v>67</v>
      </c>
      <c r="L173" s="35"/>
      <c r="M173" s="36" t="s">
        <v>293</v>
      </c>
      <c r="N173" s="36"/>
      <c r="O173" s="35">
        <v>60</v>
      </c>
      <c r="P173" s="62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7"/>
      <c r="V173" s="37"/>
      <c r="W173" s="38" t="s">
        <v>69</v>
      </c>
      <c r="X173" s="56">
        <v>0</v>
      </c>
      <c r="Y173" s="53">
        <f t="shared" si="10"/>
        <v>0</v>
      </c>
      <c r="Z173" s="39" t="str">
        <f>IFERROR(IF(Y173=0,"",ROUNDUP(Y173/H173,0)*0.00651),"")</f>
        <v/>
      </c>
      <c r="AA173" s="65"/>
      <c r="AB173" s="66"/>
      <c r="AC173" s="227" t="s">
        <v>294</v>
      </c>
      <c r="AG173" s="75"/>
      <c r="AJ173" s="79"/>
      <c r="AK173" s="79">
        <v>0</v>
      </c>
      <c r="BB173" s="22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295</v>
      </c>
      <c r="B174" s="60" t="s">
        <v>296</v>
      </c>
      <c r="C174" s="34">
        <v>4301031464</v>
      </c>
      <c r="D174" s="558">
        <v>4680115887701</v>
      </c>
      <c r="E174" s="559"/>
      <c r="F174" s="59">
        <v>0.3</v>
      </c>
      <c r="G174" s="35">
        <v>8</v>
      </c>
      <c r="H174" s="59">
        <v>2.4</v>
      </c>
      <c r="I174" s="59">
        <v>2.58</v>
      </c>
      <c r="J174" s="35">
        <v>182</v>
      </c>
      <c r="K174" s="35" t="s">
        <v>67</v>
      </c>
      <c r="L174" s="35"/>
      <c r="M174" s="36" t="s">
        <v>293</v>
      </c>
      <c r="N174" s="36"/>
      <c r="O174" s="35">
        <v>60</v>
      </c>
      <c r="P174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7"/>
      <c r="V174" s="37"/>
      <c r="W174" s="38" t="s">
        <v>69</v>
      </c>
      <c r="X174" s="56">
        <v>0</v>
      </c>
      <c r="Y174" s="53">
        <f t="shared" si="10"/>
        <v>0</v>
      </c>
      <c r="Z174" s="39" t="str">
        <f>IFERROR(IF(Y174=0,"",ROUNDUP(Y174/H174,0)*0.00651),"")</f>
        <v/>
      </c>
      <c r="AA174" s="65"/>
      <c r="AB174" s="66"/>
      <c r="AC174" s="229" t="s">
        <v>294</v>
      </c>
      <c r="AG174" s="75"/>
      <c r="AJ174" s="79"/>
      <c r="AK174" s="79">
        <v>0</v>
      </c>
      <c r="BB174" s="23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297</v>
      </c>
      <c r="B175" s="60" t="s">
        <v>298</v>
      </c>
      <c r="C175" s="34">
        <v>4301031399</v>
      </c>
      <c r="D175" s="558">
        <v>4680115886537</v>
      </c>
      <c r="E175" s="559"/>
      <c r="F175" s="59">
        <v>0.3</v>
      </c>
      <c r="G175" s="35">
        <v>6</v>
      </c>
      <c r="H175" s="59">
        <v>1.8</v>
      </c>
      <c r="I175" s="59">
        <v>1.93</v>
      </c>
      <c r="J175" s="35">
        <v>234</v>
      </c>
      <c r="K175" s="35" t="s">
        <v>73</v>
      </c>
      <c r="L175" s="35"/>
      <c r="M175" s="36" t="s">
        <v>68</v>
      </c>
      <c r="N175" s="36"/>
      <c r="O175" s="35">
        <v>40</v>
      </c>
      <c r="P175" s="7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7"/>
      <c r="V175" s="37"/>
      <c r="W175" s="38" t="s">
        <v>69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31" t="s">
        <v>299</v>
      </c>
      <c r="AG175" s="75"/>
      <c r="AJ175" s="79"/>
      <c r="AK175" s="79">
        <v>0</v>
      </c>
      <c r="BB175" s="23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300</v>
      </c>
      <c r="B176" s="60" t="s">
        <v>301</v>
      </c>
      <c r="C176" s="34">
        <v>4301031279</v>
      </c>
      <c r="D176" s="558">
        <v>4680115887596</v>
      </c>
      <c r="E176" s="559"/>
      <c r="F176" s="59">
        <v>0.08</v>
      </c>
      <c r="G176" s="35">
        <v>10</v>
      </c>
      <c r="H176" s="59">
        <v>0.8</v>
      </c>
      <c r="I176" s="59">
        <v>1.01</v>
      </c>
      <c r="J176" s="35">
        <v>336</v>
      </c>
      <c r="K176" s="35" t="s">
        <v>174</v>
      </c>
      <c r="L176" s="35"/>
      <c r="M176" s="36" t="s">
        <v>68</v>
      </c>
      <c r="N176" s="36"/>
      <c r="O176" s="35">
        <v>45</v>
      </c>
      <c r="P176" s="8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7"/>
      <c r="V176" s="37"/>
      <c r="W176" s="38" t="s">
        <v>69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/>
      <c r="AB176" s="66"/>
      <c r="AC176" s="233" t="s">
        <v>302</v>
      </c>
      <c r="AG176" s="75"/>
      <c r="AJ176" s="79"/>
      <c r="AK176" s="79">
        <v>0</v>
      </c>
      <c r="BB176" s="23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37.5" hidden="1" customHeight="1" x14ac:dyDescent="0.25">
      <c r="A177" s="60" t="s">
        <v>303</v>
      </c>
      <c r="B177" s="60" t="s">
        <v>304</v>
      </c>
      <c r="C177" s="34">
        <v>4301031202</v>
      </c>
      <c r="D177" s="558">
        <v>4680115881679</v>
      </c>
      <c r="E177" s="559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73</v>
      </c>
      <c r="L177" s="35" t="s">
        <v>285</v>
      </c>
      <c r="M177" s="36" t="s">
        <v>68</v>
      </c>
      <c r="N177" s="36"/>
      <c r="O177" s="35">
        <v>40</v>
      </c>
      <c r="P177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7"/>
      <c r="V177" s="37"/>
      <c r="W177" s="38" t="s">
        <v>69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/>
      <c r="AB177" s="66"/>
      <c r="AC177" s="235" t="s">
        <v>279</v>
      </c>
      <c r="AG177" s="75"/>
      <c r="AJ177" s="79" t="s">
        <v>92</v>
      </c>
      <c r="AK177" s="79">
        <v>37.799999999999997</v>
      </c>
      <c r="BB177" s="23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t="27" hidden="1" customHeight="1" x14ac:dyDescent="0.25">
      <c r="A178" s="60" t="s">
        <v>305</v>
      </c>
      <c r="B178" s="60" t="s">
        <v>306</v>
      </c>
      <c r="C178" s="34">
        <v>4301031158</v>
      </c>
      <c r="D178" s="558">
        <v>4680115880191</v>
      </c>
      <c r="E178" s="559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67</v>
      </c>
      <c r="L178" s="35"/>
      <c r="M178" s="36" t="s">
        <v>68</v>
      </c>
      <c r="N178" s="36"/>
      <c r="O178" s="35">
        <v>40</v>
      </c>
      <c r="P178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7"/>
      <c r="V178" s="37"/>
      <c r="W178" s="38" t="s">
        <v>69</v>
      </c>
      <c r="X178" s="56">
        <v>0</v>
      </c>
      <c r="Y178" s="53">
        <f t="shared" si="10"/>
        <v>0</v>
      </c>
      <c r="Z178" s="39" t="str">
        <f>IFERROR(IF(Y178=0,"",ROUNDUP(Y178/H178,0)*0.00651),"")</f>
        <v/>
      </c>
      <c r="AA178" s="65"/>
      <c r="AB178" s="66"/>
      <c r="AC178" s="237" t="s">
        <v>279</v>
      </c>
      <c r="AG178" s="75"/>
      <c r="AJ178" s="79"/>
      <c r="AK178" s="79">
        <v>0</v>
      </c>
      <c r="BB178" s="238" t="s">
        <v>1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307</v>
      </c>
      <c r="B179" s="60" t="s">
        <v>308</v>
      </c>
      <c r="C179" s="34">
        <v>4301031245</v>
      </c>
      <c r="D179" s="558">
        <v>4680115883963</v>
      </c>
      <c r="E179" s="559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73</v>
      </c>
      <c r="L179" s="35"/>
      <c r="M179" s="36" t="s">
        <v>68</v>
      </c>
      <c r="N179" s="36"/>
      <c r="O179" s="35">
        <v>40</v>
      </c>
      <c r="P179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7"/>
      <c r="V179" s="37"/>
      <c r="W179" s="38" t="s">
        <v>69</v>
      </c>
      <c r="X179" s="56">
        <v>0</v>
      </c>
      <c r="Y179" s="53">
        <f t="shared" si="10"/>
        <v>0</v>
      </c>
      <c r="Z179" s="39" t="str">
        <f>IFERROR(IF(Y179=0,"",ROUNDUP(Y179/H179,0)*0.00502),"")</f>
        <v/>
      </c>
      <c r="AA179" s="65"/>
      <c r="AB179" s="66"/>
      <c r="AC179" s="239" t="s">
        <v>309</v>
      </c>
      <c r="AG179" s="75"/>
      <c r="AJ179" s="79"/>
      <c r="AK179" s="79">
        <v>0</v>
      </c>
      <c r="BB179" s="240" t="s">
        <v>1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68" t="s">
        <v>75</v>
      </c>
      <c r="Q180" s="569"/>
      <c r="R180" s="569"/>
      <c r="S180" s="569"/>
      <c r="T180" s="569"/>
      <c r="U180" s="569"/>
      <c r="V180" s="570"/>
      <c r="W180" s="40" t="s">
        <v>76</v>
      </c>
      <c r="X180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9.5238095238095237</v>
      </c>
      <c r="Y180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10</v>
      </c>
      <c r="Z180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9.0200000000000002E-2</v>
      </c>
      <c r="AA180" s="64"/>
      <c r="AB180" s="64"/>
      <c r="AC180" s="6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68" t="s">
        <v>75</v>
      </c>
      <c r="Q181" s="569"/>
      <c r="R181" s="569"/>
      <c r="S181" s="569"/>
      <c r="T181" s="569"/>
      <c r="U181" s="569"/>
      <c r="V181" s="570"/>
      <c r="W181" s="40" t="s">
        <v>69</v>
      </c>
      <c r="X181" s="41">
        <f>IFERROR(SUM(X166:X179),"0")</f>
        <v>40</v>
      </c>
      <c r="Y181" s="41">
        <f>IFERROR(SUM(Y166:Y179),"0")</f>
        <v>42</v>
      </c>
      <c r="Z181" s="40"/>
      <c r="AA181" s="64"/>
      <c r="AB181" s="64"/>
      <c r="AC181" s="64"/>
    </row>
    <row r="182" spans="1:68" ht="14.25" hidden="1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63"/>
      <c r="AB182" s="63"/>
      <c r="AC182" s="63"/>
    </row>
    <row r="183" spans="1:68" ht="27" hidden="1" customHeight="1" x14ac:dyDescent="0.25">
      <c r="A183" s="60" t="s">
        <v>310</v>
      </c>
      <c r="B183" s="60" t="s">
        <v>311</v>
      </c>
      <c r="C183" s="34">
        <v>4301032053</v>
      </c>
      <c r="D183" s="558">
        <v>4680115886780</v>
      </c>
      <c r="E183" s="559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312</v>
      </c>
      <c r="L183" s="35"/>
      <c r="M183" s="36" t="s">
        <v>293</v>
      </c>
      <c r="N183" s="36"/>
      <c r="O183" s="35">
        <v>60</v>
      </c>
      <c r="P183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7"/>
      <c r="V183" s="37"/>
      <c r="W183" s="38" t="s">
        <v>69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/>
      <c r="AB183" s="66"/>
      <c r="AC183" s="241" t="s">
        <v>313</v>
      </c>
      <c r="AG183" s="75"/>
      <c r="AJ183" s="79"/>
      <c r="AK183" s="79">
        <v>0</v>
      </c>
      <c r="BB183" s="24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hidden="1" customHeight="1" x14ac:dyDescent="0.25">
      <c r="A184" s="60" t="s">
        <v>314</v>
      </c>
      <c r="B184" s="60" t="s">
        <v>315</v>
      </c>
      <c r="C184" s="34">
        <v>4301032051</v>
      </c>
      <c r="D184" s="558">
        <v>4680115886742</v>
      </c>
      <c r="E184" s="559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312</v>
      </c>
      <c r="L184" s="35"/>
      <c r="M184" s="36" t="s">
        <v>293</v>
      </c>
      <c r="N184" s="36"/>
      <c r="O184" s="35">
        <v>90</v>
      </c>
      <c r="P184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7"/>
      <c r="V184" s="37"/>
      <c r="W184" s="38" t="s">
        <v>69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/>
      <c r="AB184" s="66"/>
      <c r="AC184" s="243" t="s">
        <v>316</v>
      </c>
      <c r="AG184" s="75"/>
      <c r="AJ184" s="79"/>
      <c r="AK184" s="79">
        <v>0</v>
      </c>
      <c r="BB184" s="244" t="s">
        <v>1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hidden="1" customHeight="1" x14ac:dyDescent="0.25">
      <c r="A185" s="60" t="s">
        <v>317</v>
      </c>
      <c r="B185" s="60" t="s">
        <v>318</v>
      </c>
      <c r="C185" s="34">
        <v>4301032052</v>
      </c>
      <c r="D185" s="558">
        <v>4680115886766</v>
      </c>
      <c r="E185" s="559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312</v>
      </c>
      <c r="L185" s="35"/>
      <c r="M185" s="36" t="s">
        <v>293</v>
      </c>
      <c r="N185" s="36"/>
      <c r="O185" s="35">
        <v>90</v>
      </c>
      <c r="P185" s="7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7"/>
      <c r="V185" s="37"/>
      <c r="W185" s="38" t="s">
        <v>69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5" t="s">
        <v>316</v>
      </c>
      <c r="AG185" s="75"/>
      <c r="AJ185" s="79"/>
      <c r="AK185" s="79">
        <v>0</v>
      </c>
      <c r="BB185" s="246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68" t="s">
        <v>75</v>
      </c>
      <c r="Q186" s="569"/>
      <c r="R186" s="569"/>
      <c r="S186" s="569"/>
      <c r="T186" s="569"/>
      <c r="U186" s="569"/>
      <c r="V186" s="570"/>
      <c r="W186" s="40" t="s">
        <v>76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68" t="s">
        <v>75</v>
      </c>
      <c r="Q187" s="569"/>
      <c r="R187" s="569"/>
      <c r="S187" s="569"/>
      <c r="T187" s="569"/>
      <c r="U187" s="569"/>
      <c r="V187" s="570"/>
      <c r="W187" s="40" t="s">
        <v>69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63"/>
      <c r="AB188" s="63"/>
      <c r="AC188" s="63"/>
    </row>
    <row r="189" spans="1:68" ht="27" hidden="1" customHeight="1" x14ac:dyDescent="0.25">
      <c r="A189" s="60" t="s">
        <v>320</v>
      </c>
      <c r="B189" s="60" t="s">
        <v>321</v>
      </c>
      <c r="C189" s="34">
        <v>4301170013</v>
      </c>
      <c r="D189" s="558">
        <v>4680115886797</v>
      </c>
      <c r="E189" s="559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312</v>
      </c>
      <c r="L189" s="35"/>
      <c r="M189" s="36" t="s">
        <v>293</v>
      </c>
      <c r="N189" s="36"/>
      <c r="O189" s="35">
        <v>90</v>
      </c>
      <c r="P189" s="6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7"/>
      <c r="V189" s="37"/>
      <c r="W189" s="38" t="s">
        <v>69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/>
      <c r="AB189" s="66"/>
      <c r="AC189" s="247" t="s">
        <v>316</v>
      </c>
      <c r="AG189" s="75"/>
      <c r="AJ189" s="79"/>
      <c r="AK189" s="79">
        <v>0</v>
      </c>
      <c r="BB189" s="248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68" t="s">
        <v>75</v>
      </c>
      <c r="Q190" s="569"/>
      <c r="R190" s="569"/>
      <c r="S190" s="569"/>
      <c r="T190" s="569"/>
      <c r="U190" s="569"/>
      <c r="V190" s="570"/>
      <c r="W190" s="40" t="s">
        <v>76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68" t="s">
        <v>75</v>
      </c>
      <c r="Q191" s="569"/>
      <c r="R191" s="569"/>
      <c r="S191" s="569"/>
      <c r="T191" s="569"/>
      <c r="U191" s="569"/>
      <c r="V191" s="570"/>
      <c r="W191" s="40" t="s">
        <v>69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hidden="1" customHeight="1" x14ac:dyDescent="0.25">
      <c r="A192" s="576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62"/>
      <c r="AB192" s="62"/>
      <c r="AC192" s="62"/>
    </row>
    <row r="193" spans="1:68" ht="14.25" hidden="1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63"/>
      <c r="AB193" s="63"/>
      <c r="AC193" s="63"/>
    </row>
    <row r="194" spans="1:68" ht="27" hidden="1" customHeight="1" x14ac:dyDescent="0.25">
      <c r="A194" s="60" t="s">
        <v>323</v>
      </c>
      <c r="B194" s="60" t="s">
        <v>324</v>
      </c>
      <c r="C194" s="34">
        <v>4301011450</v>
      </c>
      <c r="D194" s="558">
        <v>4680115881402</v>
      </c>
      <c r="E194" s="559"/>
      <c r="F194" s="59">
        <v>1.35</v>
      </c>
      <c r="G194" s="35">
        <v>8</v>
      </c>
      <c r="H194" s="59">
        <v>10.8</v>
      </c>
      <c r="I194" s="59">
        <v>11.21</v>
      </c>
      <c r="J194" s="35">
        <v>64</v>
      </c>
      <c r="K194" s="35" t="s">
        <v>104</v>
      </c>
      <c r="L194" s="35"/>
      <c r="M194" s="36" t="s">
        <v>106</v>
      </c>
      <c r="N194" s="36"/>
      <c r="O194" s="35">
        <v>55</v>
      </c>
      <c r="P194" s="6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7"/>
      <c r="V194" s="37"/>
      <c r="W194" s="38" t="s">
        <v>69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/>
      <c r="AB194" s="66"/>
      <c r="AC194" s="249" t="s">
        <v>325</v>
      </c>
      <c r="AG194" s="75"/>
      <c r="AJ194" s="79"/>
      <c r="AK194" s="79">
        <v>0</v>
      </c>
      <c r="BB194" s="250" t="s">
        <v>1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hidden="1" customHeight="1" x14ac:dyDescent="0.25">
      <c r="A195" s="60" t="s">
        <v>326</v>
      </c>
      <c r="B195" s="60" t="s">
        <v>327</v>
      </c>
      <c r="C195" s="34">
        <v>4301011768</v>
      </c>
      <c r="D195" s="558">
        <v>4680115881396</v>
      </c>
      <c r="E195" s="559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67</v>
      </c>
      <c r="L195" s="35" t="s">
        <v>90</v>
      </c>
      <c r="M195" s="36" t="s">
        <v>106</v>
      </c>
      <c r="N195" s="36"/>
      <c r="O195" s="35">
        <v>55</v>
      </c>
      <c r="P195" s="7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7"/>
      <c r="V195" s="37"/>
      <c r="W195" s="38" t="s">
        <v>69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/>
      <c r="AB195" s="66"/>
      <c r="AC195" s="251" t="s">
        <v>325</v>
      </c>
      <c r="AG195" s="75"/>
      <c r="AJ195" s="79" t="s">
        <v>92</v>
      </c>
      <c r="AK195" s="79">
        <v>37.799999999999997</v>
      </c>
      <c r="BB195" s="252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68" t="s">
        <v>75</v>
      </c>
      <c r="Q196" s="569"/>
      <c r="R196" s="569"/>
      <c r="S196" s="569"/>
      <c r="T196" s="569"/>
      <c r="U196" s="569"/>
      <c r="V196" s="570"/>
      <c r="W196" s="40" t="s">
        <v>76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hidden="1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68" t="s">
        <v>75</v>
      </c>
      <c r="Q197" s="569"/>
      <c r="R197" s="569"/>
      <c r="S197" s="569"/>
      <c r="T197" s="569"/>
      <c r="U197" s="569"/>
      <c r="V197" s="570"/>
      <c r="W197" s="40" t="s">
        <v>69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63"/>
      <c r="AB198" s="63"/>
      <c r="AC198" s="63"/>
    </row>
    <row r="199" spans="1:68" ht="16.5" hidden="1" customHeight="1" x14ac:dyDescent="0.25">
      <c r="A199" s="60" t="s">
        <v>328</v>
      </c>
      <c r="B199" s="60" t="s">
        <v>329</v>
      </c>
      <c r="C199" s="34">
        <v>4301020261</v>
      </c>
      <c r="D199" s="558">
        <v>4680115882935</v>
      </c>
      <c r="E199" s="559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104</v>
      </c>
      <c r="L199" s="35"/>
      <c r="M199" s="36" t="s">
        <v>106</v>
      </c>
      <c r="N199" s="36"/>
      <c r="O199" s="35">
        <v>50</v>
      </c>
      <c r="P199" s="86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7"/>
      <c r="V199" s="37"/>
      <c r="W199" s="38" t="s">
        <v>69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53" t="s">
        <v>330</v>
      </c>
      <c r="AG199" s="75"/>
      <c r="AJ199" s="79"/>
      <c r="AK199" s="79">
        <v>0</v>
      </c>
      <c r="BB199" s="254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331</v>
      </c>
      <c r="B200" s="60" t="s">
        <v>332</v>
      </c>
      <c r="C200" s="34">
        <v>4301020220</v>
      </c>
      <c r="D200" s="558">
        <v>4680115880764</v>
      </c>
      <c r="E200" s="559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67</v>
      </c>
      <c r="L200" s="35"/>
      <c r="M200" s="36" t="s">
        <v>106</v>
      </c>
      <c r="N200" s="36"/>
      <c r="O200" s="35">
        <v>50</v>
      </c>
      <c r="P200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7"/>
      <c r="V200" s="37"/>
      <c r="W200" s="38" t="s">
        <v>69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/>
      <c r="AB200" s="66"/>
      <c r="AC200" s="255" t="s">
        <v>330</v>
      </c>
      <c r="AG200" s="75"/>
      <c r="AJ200" s="79"/>
      <c r="AK200" s="79">
        <v>0</v>
      </c>
      <c r="BB200" s="256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68" t="s">
        <v>75</v>
      </c>
      <c r="Q201" s="569"/>
      <c r="R201" s="569"/>
      <c r="S201" s="569"/>
      <c r="T201" s="569"/>
      <c r="U201" s="569"/>
      <c r="V201" s="570"/>
      <c r="W201" s="40" t="s">
        <v>76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hidden="1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68" t="s">
        <v>75</v>
      </c>
      <c r="Q202" s="569"/>
      <c r="R202" s="569"/>
      <c r="S202" s="569"/>
      <c r="T202" s="569"/>
      <c r="U202" s="569"/>
      <c r="V202" s="570"/>
      <c r="W202" s="40" t="s">
        <v>69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hidden="1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63"/>
      <c r="AB203" s="63"/>
      <c r="AC203" s="63"/>
    </row>
    <row r="204" spans="1:68" ht="27" customHeight="1" x14ac:dyDescent="0.25">
      <c r="A204" s="60" t="s">
        <v>333</v>
      </c>
      <c r="B204" s="60" t="s">
        <v>334</v>
      </c>
      <c r="C204" s="34">
        <v>4301031224</v>
      </c>
      <c r="D204" s="558">
        <v>4680115882683</v>
      </c>
      <c r="E204" s="559"/>
      <c r="F204" s="59">
        <v>0.9</v>
      </c>
      <c r="G204" s="35">
        <v>6</v>
      </c>
      <c r="H204" s="59">
        <v>5.4</v>
      </c>
      <c r="I204" s="59">
        <v>5.59</v>
      </c>
      <c r="J204" s="35">
        <v>132</v>
      </c>
      <c r="K204" s="35" t="s">
        <v>110</v>
      </c>
      <c r="L204" s="35" t="s">
        <v>111</v>
      </c>
      <c r="M204" s="36" t="s">
        <v>68</v>
      </c>
      <c r="N204" s="36"/>
      <c r="O204" s="35">
        <v>40</v>
      </c>
      <c r="P204" s="7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7"/>
      <c r="V204" s="37"/>
      <c r="W204" s="38" t="s">
        <v>69</v>
      </c>
      <c r="X204" s="56">
        <v>150</v>
      </c>
      <c r="Y204" s="53">
        <f t="shared" ref="Y204:Y211" si="15">IFERROR(IF(X204="",0,CEILING((X204/$H204),1)*$H204),"")</f>
        <v>151.20000000000002</v>
      </c>
      <c r="Z204" s="39">
        <f>IFERROR(IF(Y204=0,"",ROUNDUP(Y204/H204,0)*0.00902),"")</f>
        <v>0.25256000000000001</v>
      </c>
      <c r="AA204" s="65"/>
      <c r="AB204" s="66"/>
      <c r="AC204" s="257" t="s">
        <v>335</v>
      </c>
      <c r="AG204" s="75"/>
      <c r="AJ204" s="79" t="s">
        <v>92</v>
      </c>
      <c r="AK204" s="79">
        <v>64.8</v>
      </c>
      <c r="BB204" s="258" t="s">
        <v>1</v>
      </c>
      <c r="BM204" s="75">
        <f t="shared" ref="BM204:BM211" si="16">IFERROR(X204*I204/H204,"0")</f>
        <v>155.27777777777777</v>
      </c>
      <c r="BN204" s="75">
        <f t="shared" ref="BN204:BN211" si="17">IFERROR(Y204*I204/H204,"0")</f>
        <v>156.52000000000001</v>
      </c>
      <c r="BO204" s="75">
        <f t="shared" ref="BO204:BO211" si="18">IFERROR(1/J204*(X204/H204),"0")</f>
        <v>0.21043771043771042</v>
      </c>
      <c r="BP204" s="75">
        <f t="shared" ref="BP204:BP211" si="19">IFERROR(1/J204*(Y204/H204),"0")</f>
        <v>0.21212121212121213</v>
      </c>
    </row>
    <row r="205" spans="1:68" ht="27" customHeight="1" x14ac:dyDescent="0.25">
      <c r="A205" s="60" t="s">
        <v>336</v>
      </c>
      <c r="B205" s="60" t="s">
        <v>337</v>
      </c>
      <c r="C205" s="34">
        <v>4301031230</v>
      </c>
      <c r="D205" s="558">
        <v>4680115882690</v>
      </c>
      <c r="E205" s="559"/>
      <c r="F205" s="59">
        <v>0.9</v>
      </c>
      <c r="G205" s="35">
        <v>6</v>
      </c>
      <c r="H205" s="59">
        <v>5.4</v>
      </c>
      <c r="I205" s="59">
        <v>5.59</v>
      </c>
      <c r="J205" s="35">
        <v>132</v>
      </c>
      <c r="K205" s="35" t="s">
        <v>110</v>
      </c>
      <c r="L205" s="35" t="s">
        <v>111</v>
      </c>
      <c r="M205" s="36" t="s">
        <v>68</v>
      </c>
      <c r="N205" s="36"/>
      <c r="O205" s="35">
        <v>40</v>
      </c>
      <c r="P205" s="6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7"/>
      <c r="V205" s="37"/>
      <c r="W205" s="38" t="s">
        <v>69</v>
      </c>
      <c r="X205" s="56">
        <v>100</v>
      </c>
      <c r="Y205" s="53">
        <f t="shared" si="15"/>
        <v>102.60000000000001</v>
      </c>
      <c r="Z205" s="39">
        <f>IFERROR(IF(Y205=0,"",ROUNDUP(Y205/H205,0)*0.00902),"")</f>
        <v>0.17138</v>
      </c>
      <c r="AA205" s="65"/>
      <c r="AB205" s="66"/>
      <c r="AC205" s="259" t="s">
        <v>338</v>
      </c>
      <c r="AG205" s="75"/>
      <c r="AJ205" s="79" t="s">
        <v>92</v>
      </c>
      <c r="AK205" s="79">
        <v>64.8</v>
      </c>
      <c r="BB205" s="260" t="s">
        <v>1</v>
      </c>
      <c r="BM205" s="75">
        <f t="shared" si="16"/>
        <v>103.5185185185185</v>
      </c>
      <c r="BN205" s="75">
        <f t="shared" si="17"/>
        <v>106.21</v>
      </c>
      <c r="BO205" s="75">
        <f t="shared" si="18"/>
        <v>0.14029180695847362</v>
      </c>
      <c r="BP205" s="75">
        <f t="shared" si="19"/>
        <v>0.14393939393939395</v>
      </c>
    </row>
    <row r="206" spans="1:68" ht="27" customHeight="1" x14ac:dyDescent="0.25">
      <c r="A206" s="60" t="s">
        <v>339</v>
      </c>
      <c r="B206" s="60" t="s">
        <v>340</v>
      </c>
      <c r="C206" s="34">
        <v>4301031220</v>
      </c>
      <c r="D206" s="558">
        <v>4680115882669</v>
      </c>
      <c r="E206" s="559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110</v>
      </c>
      <c r="L206" s="35" t="s">
        <v>111</v>
      </c>
      <c r="M206" s="36" t="s">
        <v>68</v>
      </c>
      <c r="N206" s="36"/>
      <c r="O206" s="35">
        <v>40</v>
      </c>
      <c r="P206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7"/>
      <c r="V206" s="37"/>
      <c r="W206" s="38" t="s">
        <v>69</v>
      </c>
      <c r="X206" s="56">
        <v>150</v>
      </c>
      <c r="Y206" s="53">
        <f t="shared" si="15"/>
        <v>151.20000000000002</v>
      </c>
      <c r="Z206" s="39">
        <f>IFERROR(IF(Y206=0,"",ROUNDUP(Y206/H206,0)*0.00902),"")</f>
        <v>0.25256000000000001</v>
      </c>
      <c r="AA206" s="65"/>
      <c r="AB206" s="66"/>
      <c r="AC206" s="261" t="s">
        <v>341</v>
      </c>
      <c r="AG206" s="75"/>
      <c r="AJ206" s="79" t="s">
        <v>92</v>
      </c>
      <c r="AK206" s="79">
        <v>64.8</v>
      </c>
      <c r="BB206" s="262" t="s">
        <v>1</v>
      </c>
      <c r="BM206" s="75">
        <f t="shared" si="16"/>
        <v>155.27777777777777</v>
      </c>
      <c r="BN206" s="75">
        <f t="shared" si="17"/>
        <v>156.52000000000001</v>
      </c>
      <c r="BO206" s="75">
        <f t="shared" si="18"/>
        <v>0.21043771043771042</v>
      </c>
      <c r="BP206" s="75">
        <f t="shared" si="19"/>
        <v>0.21212121212121213</v>
      </c>
    </row>
    <row r="207" spans="1:68" ht="27" customHeight="1" x14ac:dyDescent="0.25">
      <c r="A207" s="60" t="s">
        <v>342</v>
      </c>
      <c r="B207" s="60" t="s">
        <v>343</v>
      </c>
      <c r="C207" s="34">
        <v>4301031221</v>
      </c>
      <c r="D207" s="558">
        <v>4680115882676</v>
      </c>
      <c r="E207" s="559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110</v>
      </c>
      <c r="L207" s="35" t="s">
        <v>111</v>
      </c>
      <c r="M207" s="36" t="s">
        <v>68</v>
      </c>
      <c r="N207" s="36"/>
      <c r="O207" s="35">
        <v>40</v>
      </c>
      <c r="P207" s="7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7"/>
      <c r="V207" s="37"/>
      <c r="W207" s="38" t="s">
        <v>69</v>
      </c>
      <c r="X207" s="56">
        <v>250</v>
      </c>
      <c r="Y207" s="53">
        <f t="shared" si="15"/>
        <v>253.8</v>
      </c>
      <c r="Z207" s="39">
        <f>IFERROR(IF(Y207=0,"",ROUNDUP(Y207/H207,0)*0.00902),"")</f>
        <v>0.42393999999999998</v>
      </c>
      <c r="AA207" s="65"/>
      <c r="AB207" s="66"/>
      <c r="AC207" s="263" t="s">
        <v>344</v>
      </c>
      <c r="AG207" s="75"/>
      <c r="AJ207" s="79" t="s">
        <v>92</v>
      </c>
      <c r="AK207" s="79">
        <v>64.8</v>
      </c>
      <c r="BB207" s="264" t="s">
        <v>1</v>
      </c>
      <c r="BM207" s="75">
        <f t="shared" si="16"/>
        <v>258.7962962962963</v>
      </c>
      <c r="BN207" s="75">
        <f t="shared" si="17"/>
        <v>262.72999999999996</v>
      </c>
      <c r="BO207" s="75">
        <f t="shared" si="18"/>
        <v>0.35072951739618402</v>
      </c>
      <c r="BP207" s="75">
        <f t="shared" si="19"/>
        <v>0.35606060606060608</v>
      </c>
    </row>
    <row r="208" spans="1:68" ht="27" hidden="1" customHeight="1" x14ac:dyDescent="0.25">
      <c r="A208" s="60" t="s">
        <v>345</v>
      </c>
      <c r="B208" s="60" t="s">
        <v>346</v>
      </c>
      <c r="C208" s="34">
        <v>4301031223</v>
      </c>
      <c r="D208" s="558">
        <v>4680115884014</v>
      </c>
      <c r="E208" s="559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73</v>
      </c>
      <c r="L208" s="35" t="s">
        <v>285</v>
      </c>
      <c r="M208" s="36" t="s">
        <v>68</v>
      </c>
      <c r="N208" s="36"/>
      <c r="O208" s="35">
        <v>40</v>
      </c>
      <c r="P208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7"/>
      <c r="V208" s="37"/>
      <c r="W208" s="38" t="s">
        <v>69</v>
      </c>
      <c r="X208" s="56">
        <v>0</v>
      </c>
      <c r="Y208" s="53">
        <f t="shared" si="15"/>
        <v>0</v>
      </c>
      <c r="Z208" s="39" t="str">
        <f>IFERROR(IF(Y208=0,"",ROUNDUP(Y208/H208,0)*0.00502),"")</f>
        <v/>
      </c>
      <c r="AA208" s="65"/>
      <c r="AB208" s="66"/>
      <c r="AC208" s="265" t="s">
        <v>335</v>
      </c>
      <c r="AG208" s="75"/>
      <c r="AJ208" s="79" t="s">
        <v>92</v>
      </c>
      <c r="AK208" s="79">
        <v>32.4</v>
      </c>
      <c r="BB208" s="266" t="s">
        <v>1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hidden="1" customHeight="1" x14ac:dyDescent="0.25">
      <c r="A209" s="60" t="s">
        <v>347</v>
      </c>
      <c r="B209" s="60" t="s">
        <v>348</v>
      </c>
      <c r="C209" s="34">
        <v>4301031222</v>
      </c>
      <c r="D209" s="558">
        <v>4680115884007</v>
      </c>
      <c r="E209" s="559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73</v>
      </c>
      <c r="L209" s="35" t="s">
        <v>285</v>
      </c>
      <c r="M209" s="36" t="s">
        <v>68</v>
      </c>
      <c r="N209" s="36"/>
      <c r="O209" s="35">
        <v>40</v>
      </c>
      <c r="P209" s="6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7"/>
      <c r="V209" s="37"/>
      <c r="W209" s="38" t="s">
        <v>69</v>
      </c>
      <c r="X209" s="56">
        <v>0</v>
      </c>
      <c r="Y209" s="53">
        <f t="shared" si="15"/>
        <v>0</v>
      </c>
      <c r="Z209" s="39" t="str">
        <f>IFERROR(IF(Y209=0,"",ROUNDUP(Y209/H209,0)*0.00502),"")</f>
        <v/>
      </c>
      <c r="AA209" s="65"/>
      <c r="AB209" s="66"/>
      <c r="AC209" s="267" t="s">
        <v>338</v>
      </c>
      <c r="AG209" s="75"/>
      <c r="AJ209" s="79" t="s">
        <v>92</v>
      </c>
      <c r="AK209" s="79">
        <v>32.4</v>
      </c>
      <c r="BB209" s="268" t="s">
        <v>1</v>
      </c>
      <c r="BM209" s="75">
        <f t="shared" si="16"/>
        <v>0</v>
      </c>
      <c r="BN209" s="75">
        <f t="shared" si="17"/>
        <v>0</v>
      </c>
      <c r="BO209" s="75">
        <f t="shared" si="18"/>
        <v>0</v>
      </c>
      <c r="BP209" s="75">
        <f t="shared" si="19"/>
        <v>0</v>
      </c>
    </row>
    <row r="210" spans="1:68" ht="27" hidden="1" customHeight="1" x14ac:dyDescent="0.25">
      <c r="A210" s="60" t="s">
        <v>349</v>
      </c>
      <c r="B210" s="60" t="s">
        <v>350</v>
      </c>
      <c r="C210" s="34">
        <v>4301031229</v>
      </c>
      <c r="D210" s="558">
        <v>4680115884038</v>
      </c>
      <c r="E210" s="559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73</v>
      </c>
      <c r="L210" s="35"/>
      <c r="M210" s="36" t="s">
        <v>68</v>
      </c>
      <c r="N210" s="36"/>
      <c r="O210" s="35">
        <v>40</v>
      </c>
      <c r="P210" s="7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7"/>
      <c r="V210" s="37"/>
      <c r="W210" s="38" t="s">
        <v>69</v>
      </c>
      <c r="X210" s="56">
        <v>0</v>
      </c>
      <c r="Y210" s="53">
        <f t="shared" si="15"/>
        <v>0</v>
      </c>
      <c r="Z210" s="39" t="str">
        <f>IFERROR(IF(Y210=0,"",ROUNDUP(Y210/H210,0)*0.00502),"")</f>
        <v/>
      </c>
      <c r="AA210" s="65"/>
      <c r="AB210" s="66"/>
      <c r="AC210" s="269" t="s">
        <v>341</v>
      </c>
      <c r="AG210" s="75"/>
      <c r="AJ210" s="79"/>
      <c r="AK210" s="79">
        <v>0</v>
      </c>
      <c r="BB210" s="270" t="s">
        <v>1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hidden="1" customHeight="1" x14ac:dyDescent="0.25">
      <c r="A211" s="60" t="s">
        <v>351</v>
      </c>
      <c r="B211" s="60" t="s">
        <v>352</v>
      </c>
      <c r="C211" s="34">
        <v>4301031225</v>
      </c>
      <c r="D211" s="558">
        <v>4680115884021</v>
      </c>
      <c r="E211" s="559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73</v>
      </c>
      <c r="L211" s="35" t="s">
        <v>285</v>
      </c>
      <c r="M211" s="36" t="s">
        <v>68</v>
      </c>
      <c r="N211" s="36"/>
      <c r="O211" s="35">
        <v>40</v>
      </c>
      <c r="P211" s="6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7"/>
      <c r="V211" s="37"/>
      <c r="W211" s="38" t="s">
        <v>69</v>
      </c>
      <c r="X211" s="56">
        <v>0</v>
      </c>
      <c r="Y211" s="53">
        <f t="shared" si="15"/>
        <v>0</v>
      </c>
      <c r="Z211" s="39" t="str">
        <f>IFERROR(IF(Y211=0,"",ROUNDUP(Y211/H211,0)*0.00502),"")</f>
        <v/>
      </c>
      <c r="AA211" s="65"/>
      <c r="AB211" s="66"/>
      <c r="AC211" s="271" t="s">
        <v>344</v>
      </c>
      <c r="AG211" s="75"/>
      <c r="AJ211" s="79" t="s">
        <v>92</v>
      </c>
      <c r="AK211" s="79">
        <v>32.4</v>
      </c>
      <c r="BB211" s="272" t="s">
        <v>1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68" t="s">
        <v>75</v>
      </c>
      <c r="Q212" s="569"/>
      <c r="R212" s="569"/>
      <c r="S212" s="569"/>
      <c r="T212" s="569"/>
      <c r="U212" s="569"/>
      <c r="V212" s="570"/>
      <c r="W212" s="40" t="s">
        <v>76</v>
      </c>
      <c r="X212" s="41">
        <f>IFERROR(X204/H204,"0")+IFERROR(X205/H205,"0")+IFERROR(X206/H206,"0")+IFERROR(X207/H207,"0")+IFERROR(X208/H208,"0")+IFERROR(X209/H209,"0")+IFERROR(X210/H210,"0")+IFERROR(X211/H211,"0")</f>
        <v>120.37037037037035</v>
      </c>
      <c r="Y212" s="41">
        <f>IFERROR(Y204/H204,"0")+IFERROR(Y205/H205,"0")+IFERROR(Y206/H206,"0")+IFERROR(Y207/H207,"0")+IFERROR(Y208/H208,"0")+IFERROR(Y209/H209,"0")+IFERROR(Y210/H210,"0")+IFERROR(Y211/H211,"0")</f>
        <v>122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1.1004399999999999</v>
      </c>
      <c r="AA212" s="64"/>
      <c r="AB212" s="64"/>
      <c r="AC212" s="6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68" t="s">
        <v>75</v>
      </c>
      <c r="Q213" s="569"/>
      <c r="R213" s="569"/>
      <c r="S213" s="569"/>
      <c r="T213" s="569"/>
      <c r="U213" s="569"/>
      <c r="V213" s="570"/>
      <c r="W213" s="40" t="s">
        <v>69</v>
      </c>
      <c r="X213" s="41">
        <f>IFERROR(SUM(X204:X211),"0")</f>
        <v>650</v>
      </c>
      <c r="Y213" s="41">
        <f>IFERROR(SUM(Y204:Y211),"0")</f>
        <v>658.8</v>
      </c>
      <c r="Z213" s="40"/>
      <c r="AA213" s="64"/>
      <c r="AB213" s="64"/>
      <c r="AC213" s="64"/>
    </row>
    <row r="214" spans="1:68" ht="14.25" hidden="1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63"/>
      <c r="AB214" s="63"/>
      <c r="AC214" s="63"/>
    </row>
    <row r="215" spans="1:68" ht="27" hidden="1" customHeight="1" x14ac:dyDescent="0.25">
      <c r="A215" s="60" t="s">
        <v>353</v>
      </c>
      <c r="B215" s="60" t="s">
        <v>354</v>
      </c>
      <c r="C215" s="34">
        <v>4301051408</v>
      </c>
      <c r="D215" s="558">
        <v>4680115881594</v>
      </c>
      <c r="E215" s="559"/>
      <c r="F215" s="59">
        <v>1.35</v>
      </c>
      <c r="G215" s="35">
        <v>6</v>
      </c>
      <c r="H215" s="59">
        <v>8.1</v>
      </c>
      <c r="I215" s="59">
        <v>8.5939999999999994</v>
      </c>
      <c r="J215" s="35">
        <v>64</v>
      </c>
      <c r="K215" s="35" t="s">
        <v>104</v>
      </c>
      <c r="L215" s="35"/>
      <c r="M215" s="36" t="s">
        <v>80</v>
      </c>
      <c r="N215" s="36"/>
      <c r="O215" s="35">
        <v>40</v>
      </c>
      <c r="P215" s="5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7"/>
      <c r="V215" s="37"/>
      <c r="W215" s="38" t="s">
        <v>69</v>
      </c>
      <c r="X215" s="56">
        <v>0</v>
      </c>
      <c r="Y215" s="53">
        <f t="shared" ref="Y215:Y223" si="20">IFERROR(IF(X215="",0,CEILING((X215/$H215),1)*$H215),"")</f>
        <v>0</v>
      </c>
      <c r="Z215" s="39" t="str">
        <f>IFERROR(IF(Y215=0,"",ROUNDUP(Y215/H215,0)*0.01898),"")</f>
        <v/>
      </c>
      <c r="AA215" s="65"/>
      <c r="AB215" s="66"/>
      <c r="AC215" s="273" t="s">
        <v>355</v>
      </c>
      <c r="AG215" s="75"/>
      <c r="AJ215" s="79"/>
      <c r="AK215" s="79">
        <v>0</v>
      </c>
      <c r="BB215" s="274" t="s">
        <v>1</v>
      </c>
      <c r="BM215" s="75">
        <f t="shared" ref="BM215:BM223" si="21">IFERROR(X215*I215/H215,"0")</f>
        <v>0</v>
      </c>
      <c r="BN215" s="75">
        <f t="shared" ref="BN215:BN223" si="22">IFERROR(Y215*I215/H215,"0")</f>
        <v>0</v>
      </c>
      <c r="BO215" s="75">
        <f t="shared" ref="BO215:BO223" si="23">IFERROR(1/J215*(X215/H215),"0")</f>
        <v>0</v>
      </c>
      <c r="BP215" s="75">
        <f t="shared" ref="BP215:BP223" si="24">IFERROR(1/J215*(Y215/H215),"0")</f>
        <v>0</v>
      </c>
    </row>
    <row r="216" spans="1:68" ht="27" hidden="1" customHeight="1" x14ac:dyDescent="0.25">
      <c r="A216" s="60" t="s">
        <v>356</v>
      </c>
      <c r="B216" s="60" t="s">
        <v>357</v>
      </c>
      <c r="C216" s="34">
        <v>4301051411</v>
      </c>
      <c r="D216" s="558">
        <v>4680115881617</v>
      </c>
      <c r="E216" s="559"/>
      <c r="F216" s="59">
        <v>1.35</v>
      </c>
      <c r="G216" s="35">
        <v>6</v>
      </c>
      <c r="H216" s="59">
        <v>8.1</v>
      </c>
      <c r="I216" s="59">
        <v>8.5760000000000005</v>
      </c>
      <c r="J216" s="35">
        <v>64</v>
      </c>
      <c r="K216" s="35" t="s">
        <v>104</v>
      </c>
      <c r="L216" s="35"/>
      <c r="M216" s="36" t="s">
        <v>80</v>
      </c>
      <c r="N216" s="36"/>
      <c r="O216" s="35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7"/>
      <c r="V216" s="37"/>
      <c r="W216" s="38" t="s">
        <v>69</v>
      </c>
      <c r="X216" s="56">
        <v>0</v>
      </c>
      <c r="Y216" s="53">
        <f t="shared" si="20"/>
        <v>0</v>
      </c>
      <c r="Z216" s="39" t="str">
        <f>IFERROR(IF(Y216=0,"",ROUNDUP(Y216/H216,0)*0.01898),"")</f>
        <v/>
      </c>
      <c r="AA216" s="65"/>
      <c r="AB216" s="66"/>
      <c r="AC216" s="275" t="s">
        <v>358</v>
      </c>
      <c r="AG216" s="75"/>
      <c r="AJ216" s="79"/>
      <c r="AK216" s="79">
        <v>0</v>
      </c>
      <c r="BB216" s="276" t="s">
        <v>1</v>
      </c>
      <c r="BM216" s="75">
        <f t="shared" si="21"/>
        <v>0</v>
      </c>
      <c r="BN216" s="75">
        <f t="shared" si="22"/>
        <v>0</v>
      </c>
      <c r="BO216" s="75">
        <f t="shared" si="23"/>
        <v>0</v>
      </c>
      <c r="BP216" s="75">
        <f t="shared" si="24"/>
        <v>0</v>
      </c>
    </row>
    <row r="217" spans="1:68" ht="27" customHeight="1" x14ac:dyDescent="0.25">
      <c r="A217" s="60" t="s">
        <v>359</v>
      </c>
      <c r="B217" s="60" t="s">
        <v>360</v>
      </c>
      <c r="C217" s="34">
        <v>4301051656</v>
      </c>
      <c r="D217" s="558">
        <v>4680115880573</v>
      </c>
      <c r="E217" s="559"/>
      <c r="F217" s="59">
        <v>1.45</v>
      </c>
      <c r="G217" s="35">
        <v>6</v>
      </c>
      <c r="H217" s="59">
        <v>8.6999999999999993</v>
      </c>
      <c r="I217" s="59">
        <v>9.1940000000000008</v>
      </c>
      <c r="J217" s="35">
        <v>64</v>
      </c>
      <c r="K217" s="35" t="s">
        <v>104</v>
      </c>
      <c r="L217" s="35" t="s">
        <v>105</v>
      </c>
      <c r="M217" s="36" t="s">
        <v>80</v>
      </c>
      <c r="N217" s="36"/>
      <c r="O217" s="35">
        <v>45</v>
      </c>
      <c r="P217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7"/>
      <c r="V217" s="37"/>
      <c r="W217" s="38" t="s">
        <v>69</v>
      </c>
      <c r="X217" s="56">
        <v>100</v>
      </c>
      <c r="Y217" s="53">
        <f t="shared" si="20"/>
        <v>104.39999999999999</v>
      </c>
      <c r="Z217" s="39">
        <f>IFERROR(IF(Y217=0,"",ROUNDUP(Y217/H217,0)*0.01898),"")</f>
        <v>0.22776000000000002</v>
      </c>
      <c r="AA217" s="65"/>
      <c r="AB217" s="66"/>
      <c r="AC217" s="277" t="s">
        <v>361</v>
      </c>
      <c r="AG217" s="75"/>
      <c r="AJ217" s="79" t="s">
        <v>92</v>
      </c>
      <c r="AK217" s="79">
        <v>69.599999999999994</v>
      </c>
      <c r="BB217" s="278" t="s">
        <v>1</v>
      </c>
      <c r="BM217" s="75">
        <f t="shared" si="21"/>
        <v>105.67816091954025</v>
      </c>
      <c r="BN217" s="75">
        <f t="shared" si="22"/>
        <v>110.32800000000002</v>
      </c>
      <c r="BO217" s="75">
        <f t="shared" si="23"/>
        <v>0.1795977011494253</v>
      </c>
      <c r="BP217" s="75">
        <f t="shared" si="24"/>
        <v>0.1875</v>
      </c>
    </row>
    <row r="218" spans="1:68" ht="37.5" hidden="1" customHeight="1" x14ac:dyDescent="0.25">
      <c r="A218" s="60" t="s">
        <v>362</v>
      </c>
      <c r="B218" s="60" t="s">
        <v>363</v>
      </c>
      <c r="C218" s="34">
        <v>4301051407</v>
      </c>
      <c r="D218" s="558">
        <v>4680115882195</v>
      </c>
      <c r="E218" s="559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67</v>
      </c>
      <c r="L218" s="35" t="s">
        <v>90</v>
      </c>
      <c r="M218" s="36" t="s">
        <v>80</v>
      </c>
      <c r="N218" s="36"/>
      <c r="O218" s="35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7"/>
      <c r="V218" s="37"/>
      <c r="W218" s="38" t="s">
        <v>69</v>
      </c>
      <c r="X218" s="56">
        <v>0</v>
      </c>
      <c r="Y218" s="53">
        <f t="shared" si="20"/>
        <v>0</v>
      </c>
      <c r="Z218" s="39" t="str">
        <f t="shared" ref="Z218:Z223" si="25">IFERROR(IF(Y218=0,"",ROUNDUP(Y218/H218,0)*0.00651),"")</f>
        <v/>
      </c>
      <c r="AA218" s="65"/>
      <c r="AB218" s="66"/>
      <c r="AC218" s="279" t="s">
        <v>364</v>
      </c>
      <c r="AG218" s="75"/>
      <c r="AJ218" s="79" t="s">
        <v>92</v>
      </c>
      <c r="AK218" s="79">
        <v>33.6</v>
      </c>
      <c r="BB218" s="280" t="s">
        <v>1</v>
      </c>
      <c r="BM218" s="75">
        <f t="shared" si="21"/>
        <v>0</v>
      </c>
      <c r="BN218" s="75">
        <f t="shared" si="22"/>
        <v>0</v>
      </c>
      <c r="BO218" s="75">
        <f t="shared" si="23"/>
        <v>0</v>
      </c>
      <c r="BP218" s="75">
        <f t="shared" si="24"/>
        <v>0</v>
      </c>
    </row>
    <row r="219" spans="1:68" ht="27" hidden="1" customHeight="1" x14ac:dyDescent="0.25">
      <c r="A219" s="60" t="s">
        <v>365</v>
      </c>
      <c r="B219" s="60" t="s">
        <v>366</v>
      </c>
      <c r="C219" s="34">
        <v>4301051752</v>
      </c>
      <c r="D219" s="558">
        <v>4680115882607</v>
      </c>
      <c r="E219" s="559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67</v>
      </c>
      <c r="L219" s="35" t="s">
        <v>90</v>
      </c>
      <c r="M219" s="36" t="s">
        <v>86</v>
      </c>
      <c r="N219" s="36"/>
      <c r="O219" s="35">
        <v>45</v>
      </c>
      <c r="P219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7"/>
      <c r="V219" s="37"/>
      <c r="W219" s="38" t="s">
        <v>69</v>
      </c>
      <c r="X219" s="56">
        <v>0</v>
      </c>
      <c r="Y219" s="53">
        <f t="shared" si="20"/>
        <v>0</v>
      </c>
      <c r="Z219" s="39" t="str">
        <f t="shared" si="25"/>
        <v/>
      </c>
      <c r="AA219" s="65"/>
      <c r="AB219" s="66"/>
      <c r="AC219" s="281" t="s">
        <v>361</v>
      </c>
      <c r="AG219" s="75"/>
      <c r="AJ219" s="79" t="s">
        <v>92</v>
      </c>
      <c r="AK219" s="79">
        <v>25.2</v>
      </c>
      <c r="BB219" s="282" t="s">
        <v>1</v>
      </c>
      <c r="BM219" s="75">
        <f t="shared" si="21"/>
        <v>0</v>
      </c>
      <c r="BN219" s="75">
        <f t="shared" si="22"/>
        <v>0</v>
      </c>
      <c r="BO219" s="75">
        <f t="shared" si="23"/>
        <v>0</v>
      </c>
      <c r="BP219" s="75">
        <f t="shared" si="24"/>
        <v>0</v>
      </c>
    </row>
    <row r="220" spans="1:68" ht="27" customHeight="1" x14ac:dyDescent="0.25">
      <c r="A220" s="60" t="s">
        <v>367</v>
      </c>
      <c r="B220" s="60" t="s">
        <v>368</v>
      </c>
      <c r="C220" s="34">
        <v>4301051666</v>
      </c>
      <c r="D220" s="558">
        <v>4680115880092</v>
      </c>
      <c r="E220" s="559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67</v>
      </c>
      <c r="L220" s="35" t="s">
        <v>90</v>
      </c>
      <c r="M220" s="36" t="s">
        <v>80</v>
      </c>
      <c r="N220" s="36"/>
      <c r="O220" s="35">
        <v>45</v>
      </c>
      <c r="P220" s="57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7"/>
      <c r="V220" s="37"/>
      <c r="W220" s="38" t="s">
        <v>69</v>
      </c>
      <c r="X220" s="56">
        <v>120</v>
      </c>
      <c r="Y220" s="53">
        <f t="shared" si="20"/>
        <v>120</v>
      </c>
      <c r="Z220" s="39">
        <f t="shared" si="25"/>
        <v>0.32550000000000001</v>
      </c>
      <c r="AA220" s="65"/>
      <c r="AB220" s="66"/>
      <c r="AC220" s="283" t="s">
        <v>361</v>
      </c>
      <c r="AG220" s="75"/>
      <c r="AJ220" s="79" t="s">
        <v>92</v>
      </c>
      <c r="AK220" s="79">
        <v>33.6</v>
      </c>
      <c r="BB220" s="284" t="s">
        <v>1</v>
      </c>
      <c r="BM220" s="75">
        <f t="shared" si="21"/>
        <v>132.60000000000002</v>
      </c>
      <c r="BN220" s="75">
        <f t="shared" si="22"/>
        <v>132.60000000000002</v>
      </c>
      <c r="BO220" s="75">
        <f t="shared" si="23"/>
        <v>0.27472527472527475</v>
      </c>
      <c r="BP220" s="75">
        <f t="shared" si="24"/>
        <v>0.27472527472527475</v>
      </c>
    </row>
    <row r="221" spans="1:68" ht="27" hidden="1" customHeight="1" x14ac:dyDescent="0.25">
      <c r="A221" s="60" t="s">
        <v>369</v>
      </c>
      <c r="B221" s="60" t="s">
        <v>370</v>
      </c>
      <c r="C221" s="34">
        <v>4301051668</v>
      </c>
      <c r="D221" s="558">
        <v>4680115880221</v>
      </c>
      <c r="E221" s="559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67</v>
      </c>
      <c r="L221" s="35" t="s">
        <v>90</v>
      </c>
      <c r="M221" s="36" t="s">
        <v>80</v>
      </c>
      <c r="N221" s="36"/>
      <c r="O221" s="35">
        <v>45</v>
      </c>
      <c r="P221" s="5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7"/>
      <c r="V221" s="37"/>
      <c r="W221" s="38" t="s">
        <v>69</v>
      </c>
      <c r="X221" s="56">
        <v>0</v>
      </c>
      <c r="Y221" s="53">
        <f t="shared" si="20"/>
        <v>0</v>
      </c>
      <c r="Z221" s="39" t="str">
        <f t="shared" si="25"/>
        <v/>
      </c>
      <c r="AA221" s="65"/>
      <c r="AB221" s="66"/>
      <c r="AC221" s="285" t="s">
        <v>361</v>
      </c>
      <c r="AG221" s="75"/>
      <c r="AJ221" s="79" t="s">
        <v>92</v>
      </c>
      <c r="AK221" s="79">
        <v>33.6</v>
      </c>
      <c r="BB221" s="286" t="s">
        <v>1</v>
      </c>
      <c r="BM221" s="75">
        <f t="shared" si="21"/>
        <v>0</v>
      </c>
      <c r="BN221" s="75">
        <f t="shared" si="22"/>
        <v>0</v>
      </c>
      <c r="BO221" s="75">
        <f t="shared" si="23"/>
        <v>0</v>
      </c>
      <c r="BP221" s="75">
        <f t="shared" si="24"/>
        <v>0</v>
      </c>
    </row>
    <row r="222" spans="1:68" ht="27" hidden="1" customHeight="1" x14ac:dyDescent="0.25">
      <c r="A222" s="60" t="s">
        <v>371</v>
      </c>
      <c r="B222" s="60" t="s">
        <v>372</v>
      </c>
      <c r="C222" s="34">
        <v>4301051945</v>
      </c>
      <c r="D222" s="558">
        <v>4680115880504</v>
      </c>
      <c r="E222" s="559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67</v>
      </c>
      <c r="L222" s="35" t="s">
        <v>90</v>
      </c>
      <c r="M222" s="36" t="s">
        <v>86</v>
      </c>
      <c r="N222" s="36"/>
      <c r="O222" s="35">
        <v>40</v>
      </c>
      <c r="P222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7"/>
      <c r="V222" s="37"/>
      <c r="W222" s="38" t="s">
        <v>69</v>
      </c>
      <c r="X222" s="56">
        <v>0</v>
      </c>
      <c r="Y222" s="53">
        <f t="shared" si="20"/>
        <v>0</v>
      </c>
      <c r="Z222" s="39" t="str">
        <f t="shared" si="25"/>
        <v/>
      </c>
      <c r="AA222" s="65"/>
      <c r="AB222" s="66"/>
      <c r="AC222" s="287" t="s">
        <v>373</v>
      </c>
      <c r="AG222" s="75"/>
      <c r="AJ222" s="79" t="s">
        <v>92</v>
      </c>
      <c r="AK222" s="79">
        <v>33.6</v>
      </c>
      <c r="BB222" s="288" t="s">
        <v>1</v>
      </c>
      <c r="BM222" s="75">
        <f t="shared" si="21"/>
        <v>0</v>
      </c>
      <c r="BN222" s="75">
        <f t="shared" si="22"/>
        <v>0</v>
      </c>
      <c r="BO222" s="75">
        <f t="shared" si="23"/>
        <v>0</v>
      </c>
      <c r="BP222" s="75">
        <f t="shared" si="24"/>
        <v>0</v>
      </c>
    </row>
    <row r="223" spans="1:68" ht="27" hidden="1" customHeight="1" x14ac:dyDescent="0.25">
      <c r="A223" s="60" t="s">
        <v>374</v>
      </c>
      <c r="B223" s="60" t="s">
        <v>375</v>
      </c>
      <c r="C223" s="34">
        <v>4301051410</v>
      </c>
      <c r="D223" s="558">
        <v>4680115882164</v>
      </c>
      <c r="E223" s="559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67</v>
      </c>
      <c r="L223" s="35" t="s">
        <v>90</v>
      </c>
      <c r="M223" s="36" t="s">
        <v>80</v>
      </c>
      <c r="N223" s="36"/>
      <c r="O223" s="35">
        <v>40</v>
      </c>
      <c r="P223" s="6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7"/>
      <c r="V223" s="37"/>
      <c r="W223" s="38" t="s">
        <v>69</v>
      </c>
      <c r="X223" s="56">
        <v>0</v>
      </c>
      <c r="Y223" s="53">
        <f t="shared" si="20"/>
        <v>0</v>
      </c>
      <c r="Z223" s="39" t="str">
        <f t="shared" si="25"/>
        <v/>
      </c>
      <c r="AA223" s="65"/>
      <c r="AB223" s="66"/>
      <c r="AC223" s="289" t="s">
        <v>358</v>
      </c>
      <c r="AG223" s="75"/>
      <c r="AJ223" s="79" t="s">
        <v>92</v>
      </c>
      <c r="AK223" s="79">
        <v>33.6</v>
      </c>
      <c r="BB223" s="290" t="s">
        <v>1</v>
      </c>
      <c r="BM223" s="75">
        <f t="shared" si="21"/>
        <v>0</v>
      </c>
      <c r="BN223" s="75">
        <f t="shared" si="22"/>
        <v>0</v>
      </c>
      <c r="BO223" s="75">
        <f t="shared" si="23"/>
        <v>0</v>
      </c>
      <c r="BP223" s="75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68" t="s">
        <v>75</v>
      </c>
      <c r="Q224" s="569"/>
      <c r="R224" s="569"/>
      <c r="S224" s="569"/>
      <c r="T224" s="569"/>
      <c r="U224" s="569"/>
      <c r="V224" s="570"/>
      <c r="W224" s="40" t="s">
        <v>76</v>
      </c>
      <c r="X224" s="41">
        <f>IFERROR(X215/H215,"0")+IFERROR(X216/H216,"0")+IFERROR(X217/H217,"0")+IFERROR(X218/H218,"0")+IFERROR(X219/H219,"0")+IFERROR(X220/H220,"0")+IFERROR(X221/H221,"0")+IFERROR(X222/H222,"0")+IFERROR(X223/H223,"0")</f>
        <v>61.494252873563219</v>
      </c>
      <c r="Y224" s="41">
        <f>IFERROR(Y215/H215,"0")+IFERROR(Y216/H216,"0")+IFERROR(Y217/H217,"0")+IFERROR(Y218/H218,"0")+IFERROR(Y219/H219,"0")+IFERROR(Y220/H220,"0")+IFERROR(Y221/H221,"0")+IFERROR(Y222/H222,"0")+IFERROR(Y223/H223,"0")</f>
        <v>62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0.55326000000000009</v>
      </c>
      <c r="AA224" s="64"/>
      <c r="AB224" s="64"/>
      <c r="AC224" s="6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68" t="s">
        <v>75</v>
      </c>
      <c r="Q225" s="569"/>
      <c r="R225" s="569"/>
      <c r="S225" s="569"/>
      <c r="T225" s="569"/>
      <c r="U225" s="569"/>
      <c r="V225" s="570"/>
      <c r="W225" s="40" t="s">
        <v>69</v>
      </c>
      <c r="X225" s="41">
        <f>IFERROR(SUM(X215:X223),"0")</f>
        <v>220</v>
      </c>
      <c r="Y225" s="41">
        <f>IFERROR(SUM(Y215:Y223),"0")</f>
        <v>224.39999999999998</v>
      </c>
      <c r="Z225" s="40"/>
      <c r="AA225" s="64"/>
      <c r="AB225" s="64"/>
      <c r="AC225" s="64"/>
    </row>
    <row r="226" spans="1:68" ht="14.25" hidden="1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63"/>
      <c r="AB226" s="63"/>
      <c r="AC226" s="63"/>
    </row>
    <row r="227" spans="1:68" ht="27" hidden="1" customHeight="1" x14ac:dyDescent="0.25">
      <c r="A227" s="60" t="s">
        <v>376</v>
      </c>
      <c r="B227" s="60" t="s">
        <v>377</v>
      </c>
      <c r="C227" s="34">
        <v>4301060463</v>
      </c>
      <c r="D227" s="558">
        <v>4680115880818</v>
      </c>
      <c r="E227" s="559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67</v>
      </c>
      <c r="L227" s="35" t="s">
        <v>90</v>
      </c>
      <c r="M227" s="36" t="s">
        <v>86</v>
      </c>
      <c r="N227" s="36"/>
      <c r="O227" s="35">
        <v>40</v>
      </c>
      <c r="P227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7"/>
      <c r="V227" s="37"/>
      <c r="W227" s="38" t="s">
        <v>69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IFERROR(IF(Y227=0,"",ROUNDUP(Y227/H227,0)*0.00651),"")</f>
        <v/>
      </c>
      <c r="AA227" s="65"/>
      <c r="AB227" s="66"/>
      <c r="AC227" s="291" t="s">
        <v>378</v>
      </c>
      <c r="AG227" s="75"/>
      <c r="AJ227" s="79" t="s">
        <v>92</v>
      </c>
      <c r="AK227" s="79">
        <v>33.6</v>
      </c>
      <c r="BB227" s="292" t="s">
        <v>1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37.5" hidden="1" customHeight="1" x14ac:dyDescent="0.25">
      <c r="A228" s="60" t="s">
        <v>379</v>
      </c>
      <c r="B228" s="60" t="s">
        <v>380</v>
      </c>
      <c r="C228" s="34">
        <v>4301060389</v>
      </c>
      <c r="D228" s="558">
        <v>4680115880801</v>
      </c>
      <c r="E228" s="559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67</v>
      </c>
      <c r="L228" s="35"/>
      <c r="M228" s="36" t="s">
        <v>80</v>
      </c>
      <c r="N228" s="36"/>
      <c r="O228" s="35">
        <v>40</v>
      </c>
      <c r="P228" s="85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7"/>
      <c r="V228" s="37"/>
      <c r="W228" s="38" t="s">
        <v>69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/>
      <c r="AB228" s="66"/>
      <c r="AC228" s="293" t="s">
        <v>381</v>
      </c>
      <c r="AG228" s="75"/>
      <c r="AJ228" s="79"/>
      <c r="AK228" s="79">
        <v>0</v>
      </c>
      <c r="BB228" s="294" t="s">
        <v>1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idden="1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68" t="s">
        <v>75</v>
      </c>
      <c r="Q229" s="569"/>
      <c r="R229" s="569"/>
      <c r="S229" s="569"/>
      <c r="T229" s="569"/>
      <c r="U229" s="569"/>
      <c r="V229" s="570"/>
      <c r="W229" s="40" t="s">
        <v>76</v>
      </c>
      <c r="X229" s="41">
        <f>IFERROR(X227/H227,"0")+IFERROR(X228/H228,"0")</f>
        <v>0</v>
      </c>
      <c r="Y229" s="41">
        <f>IFERROR(Y227/H227,"0")+IFERROR(Y228/H228,"0")</f>
        <v>0</v>
      </c>
      <c r="Z229" s="41">
        <f>IFERROR(IF(Z227="",0,Z227),"0")+IFERROR(IF(Z228="",0,Z228),"0")</f>
        <v>0</v>
      </c>
      <c r="AA229" s="64"/>
      <c r="AB229" s="64"/>
      <c r="AC229" s="64"/>
    </row>
    <row r="230" spans="1:68" hidden="1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68" t="s">
        <v>75</v>
      </c>
      <c r="Q230" s="569"/>
      <c r="R230" s="569"/>
      <c r="S230" s="569"/>
      <c r="T230" s="569"/>
      <c r="U230" s="569"/>
      <c r="V230" s="570"/>
      <c r="W230" s="40" t="s">
        <v>69</v>
      </c>
      <c r="X230" s="41">
        <f>IFERROR(SUM(X227:X228),"0")</f>
        <v>0</v>
      </c>
      <c r="Y230" s="41">
        <f>IFERROR(SUM(Y227:Y228),"0")</f>
        <v>0</v>
      </c>
      <c r="Z230" s="40"/>
      <c r="AA230" s="64"/>
      <c r="AB230" s="64"/>
      <c r="AC230" s="64"/>
    </row>
    <row r="231" spans="1:68" ht="16.5" hidden="1" customHeight="1" x14ac:dyDescent="0.25">
      <c r="A231" s="576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62"/>
      <c r="AB231" s="62"/>
      <c r="AC231" s="62"/>
    </row>
    <row r="232" spans="1:68" ht="14.25" hidden="1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63"/>
      <c r="AB232" s="63"/>
      <c r="AC232" s="63"/>
    </row>
    <row r="233" spans="1:68" ht="27" hidden="1" customHeight="1" x14ac:dyDescent="0.25">
      <c r="A233" s="60" t="s">
        <v>383</v>
      </c>
      <c r="B233" s="60" t="s">
        <v>384</v>
      </c>
      <c r="C233" s="34">
        <v>4301011826</v>
      </c>
      <c r="D233" s="558">
        <v>4680115884137</v>
      </c>
      <c r="E233" s="559"/>
      <c r="F233" s="59">
        <v>1.45</v>
      </c>
      <c r="G233" s="35">
        <v>8</v>
      </c>
      <c r="H233" s="59">
        <v>11.6</v>
      </c>
      <c r="I233" s="59">
        <v>12.01</v>
      </c>
      <c r="J233" s="35">
        <v>64</v>
      </c>
      <c r="K233" s="35" t="s">
        <v>104</v>
      </c>
      <c r="L233" s="35"/>
      <c r="M233" s="36" t="s">
        <v>106</v>
      </c>
      <c r="N233" s="36"/>
      <c r="O233" s="35">
        <v>55</v>
      </c>
      <c r="P233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7"/>
      <c r="V233" s="37"/>
      <c r="W233" s="38" t="s">
        <v>69</v>
      </c>
      <c r="X233" s="56">
        <v>0</v>
      </c>
      <c r="Y233" s="53">
        <f t="shared" ref="Y233:Y241" si="26">IFERROR(IF(X233="",0,CEILING((X233/$H233),1)*$H233),"")</f>
        <v>0</v>
      </c>
      <c r="Z233" s="39" t="str">
        <f>IFERROR(IF(Y233=0,"",ROUNDUP(Y233/H233,0)*0.01898),"")</f>
        <v/>
      </c>
      <c r="AA233" s="65"/>
      <c r="AB233" s="66"/>
      <c r="AC233" s="295" t="s">
        <v>385</v>
      </c>
      <c r="AG233" s="75"/>
      <c r="AJ233" s="79"/>
      <c r="AK233" s="79">
        <v>0</v>
      </c>
      <c r="BB233" s="296" t="s">
        <v>1</v>
      </c>
      <c r="BM233" s="75">
        <f t="shared" ref="BM233:BM241" si="27">IFERROR(X233*I233/H233,"0")</f>
        <v>0</v>
      </c>
      <c r="BN233" s="75">
        <f t="shared" ref="BN233:BN241" si="28">IFERROR(Y233*I233/H233,"0")</f>
        <v>0</v>
      </c>
      <c r="BO233" s="75">
        <f t="shared" ref="BO233:BO241" si="29">IFERROR(1/J233*(X233/H233),"0")</f>
        <v>0</v>
      </c>
      <c r="BP233" s="75">
        <f t="shared" ref="BP233:BP241" si="30">IFERROR(1/J233*(Y233/H233),"0")</f>
        <v>0</v>
      </c>
    </row>
    <row r="234" spans="1:68" ht="27" hidden="1" customHeight="1" x14ac:dyDescent="0.25">
      <c r="A234" s="60" t="s">
        <v>386</v>
      </c>
      <c r="B234" s="60" t="s">
        <v>387</v>
      </c>
      <c r="C234" s="34">
        <v>4301011724</v>
      </c>
      <c r="D234" s="558">
        <v>4680115884236</v>
      </c>
      <c r="E234" s="559"/>
      <c r="F234" s="59">
        <v>1.45</v>
      </c>
      <c r="G234" s="35">
        <v>8</v>
      </c>
      <c r="H234" s="59">
        <v>11.6</v>
      </c>
      <c r="I234" s="59">
        <v>12.01</v>
      </c>
      <c r="J234" s="35">
        <v>64</v>
      </c>
      <c r="K234" s="35" t="s">
        <v>104</v>
      </c>
      <c r="L234" s="35"/>
      <c r="M234" s="36" t="s">
        <v>106</v>
      </c>
      <c r="N234" s="36"/>
      <c r="O234" s="35">
        <v>55</v>
      </c>
      <c r="P234" s="6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7"/>
      <c r="V234" s="37"/>
      <c r="W234" s="38" t="s">
        <v>69</v>
      </c>
      <c r="X234" s="56">
        <v>0</v>
      </c>
      <c r="Y234" s="53">
        <f t="shared" si="26"/>
        <v>0</v>
      </c>
      <c r="Z234" s="39" t="str">
        <f>IFERROR(IF(Y234=0,"",ROUNDUP(Y234/H234,0)*0.01898),"")</f>
        <v/>
      </c>
      <c r="AA234" s="65"/>
      <c r="AB234" s="66"/>
      <c r="AC234" s="297" t="s">
        <v>388</v>
      </c>
      <c r="AG234" s="75"/>
      <c r="AJ234" s="79"/>
      <c r="AK234" s="79">
        <v>0</v>
      </c>
      <c r="BB234" s="298" t="s">
        <v>1</v>
      </c>
      <c r="BM234" s="75">
        <f t="shared" si="27"/>
        <v>0</v>
      </c>
      <c r="BN234" s="75">
        <f t="shared" si="28"/>
        <v>0</v>
      </c>
      <c r="BO234" s="75">
        <f t="shared" si="29"/>
        <v>0</v>
      </c>
      <c r="BP234" s="75">
        <f t="shared" si="30"/>
        <v>0</v>
      </c>
    </row>
    <row r="235" spans="1:68" ht="27" hidden="1" customHeight="1" x14ac:dyDescent="0.25">
      <c r="A235" s="60" t="s">
        <v>389</v>
      </c>
      <c r="B235" s="60" t="s">
        <v>390</v>
      </c>
      <c r="C235" s="34">
        <v>4301011721</v>
      </c>
      <c r="D235" s="558">
        <v>4680115884175</v>
      </c>
      <c r="E235" s="559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104</v>
      </c>
      <c r="L235" s="35"/>
      <c r="M235" s="36" t="s">
        <v>106</v>
      </c>
      <c r="N235" s="36"/>
      <c r="O235" s="35">
        <v>55</v>
      </c>
      <c r="P235" s="75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7"/>
      <c r="V235" s="37"/>
      <c r="W235" s="38" t="s">
        <v>69</v>
      </c>
      <c r="X235" s="56">
        <v>0</v>
      </c>
      <c r="Y235" s="53">
        <f t="shared" si="26"/>
        <v>0</v>
      </c>
      <c r="Z235" s="39" t="str">
        <f>IFERROR(IF(Y235=0,"",ROUNDUP(Y235/H235,0)*0.01898),"")</f>
        <v/>
      </c>
      <c r="AA235" s="65"/>
      <c r="AB235" s="66"/>
      <c r="AC235" s="299" t="s">
        <v>391</v>
      </c>
      <c r="AG235" s="75"/>
      <c r="AJ235" s="79"/>
      <c r="AK235" s="79">
        <v>0</v>
      </c>
      <c r="BB235" s="300" t="s">
        <v>1</v>
      </c>
      <c r="BM235" s="75">
        <f t="shared" si="27"/>
        <v>0</v>
      </c>
      <c r="BN235" s="75">
        <f t="shared" si="28"/>
        <v>0</v>
      </c>
      <c r="BO235" s="75">
        <f t="shared" si="29"/>
        <v>0</v>
      </c>
      <c r="BP235" s="75">
        <f t="shared" si="30"/>
        <v>0</v>
      </c>
    </row>
    <row r="236" spans="1:68" ht="27" hidden="1" customHeight="1" x14ac:dyDescent="0.25">
      <c r="A236" s="60" t="s">
        <v>392</v>
      </c>
      <c r="B236" s="60" t="s">
        <v>393</v>
      </c>
      <c r="C236" s="34">
        <v>4301011824</v>
      </c>
      <c r="D236" s="558">
        <v>4680115884144</v>
      </c>
      <c r="E236" s="559"/>
      <c r="F236" s="59">
        <v>0.4</v>
      </c>
      <c r="G236" s="35">
        <v>10</v>
      </c>
      <c r="H236" s="59">
        <v>4</v>
      </c>
      <c r="I236" s="59">
        <v>4.1900000000000004</v>
      </c>
      <c r="J236" s="35">
        <v>132</v>
      </c>
      <c r="K236" s="35" t="s">
        <v>110</v>
      </c>
      <c r="L236" s="35" t="s">
        <v>111</v>
      </c>
      <c r="M236" s="36" t="s">
        <v>106</v>
      </c>
      <c r="N236" s="36"/>
      <c r="O236" s="35">
        <v>55</v>
      </c>
      <c r="P236" s="6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7"/>
      <c r="V236" s="37"/>
      <c r="W236" s="38" t="s">
        <v>69</v>
      </c>
      <c r="X236" s="56">
        <v>0</v>
      </c>
      <c r="Y236" s="53">
        <f t="shared" si="26"/>
        <v>0</v>
      </c>
      <c r="Z236" s="39" t="str">
        <f>IFERROR(IF(Y236=0,"",ROUNDUP(Y236/H236,0)*0.00902),"")</f>
        <v/>
      </c>
      <c r="AA236" s="65"/>
      <c r="AB236" s="66"/>
      <c r="AC236" s="301" t="s">
        <v>385</v>
      </c>
      <c r="AG236" s="75"/>
      <c r="AJ236" s="79" t="s">
        <v>92</v>
      </c>
      <c r="AK236" s="79">
        <v>48</v>
      </c>
      <c r="BB236" s="302" t="s">
        <v>1</v>
      </c>
      <c r="BM236" s="75">
        <f t="shared" si="27"/>
        <v>0</v>
      </c>
      <c r="BN236" s="75">
        <f t="shared" si="28"/>
        <v>0</v>
      </c>
      <c r="BO236" s="75">
        <f t="shared" si="29"/>
        <v>0</v>
      </c>
      <c r="BP236" s="75">
        <f t="shared" si="30"/>
        <v>0</v>
      </c>
    </row>
    <row r="237" spans="1:68" ht="27" hidden="1" customHeight="1" x14ac:dyDescent="0.25">
      <c r="A237" s="60" t="s">
        <v>392</v>
      </c>
      <c r="B237" s="60" t="s">
        <v>394</v>
      </c>
      <c r="C237" s="34">
        <v>4301012196</v>
      </c>
      <c r="D237" s="558">
        <v>4680115884144</v>
      </c>
      <c r="E237" s="559"/>
      <c r="F237" s="59">
        <v>0.4</v>
      </c>
      <c r="G237" s="35">
        <v>10</v>
      </c>
      <c r="H237" s="59">
        <v>4</v>
      </c>
      <c r="I237" s="59">
        <v>4.1900000000000004</v>
      </c>
      <c r="J237" s="35">
        <v>132</v>
      </c>
      <c r="K237" s="35" t="s">
        <v>110</v>
      </c>
      <c r="L237" s="35"/>
      <c r="M237" s="36" t="s">
        <v>106</v>
      </c>
      <c r="N237" s="36"/>
      <c r="O237" s="35">
        <v>55</v>
      </c>
      <c r="P237" s="63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7"/>
      <c r="V237" s="37"/>
      <c r="W237" s="38" t="s">
        <v>69</v>
      </c>
      <c r="X237" s="56">
        <v>0</v>
      </c>
      <c r="Y237" s="53">
        <f t="shared" si="26"/>
        <v>0</v>
      </c>
      <c r="Z237" s="39" t="str">
        <f>IFERROR(IF(Y237=0,"",ROUNDUP(Y237/H237,0)*0.00902),"")</f>
        <v/>
      </c>
      <c r="AA237" s="65"/>
      <c r="AB237" s="66"/>
      <c r="AC237" s="303" t="s">
        <v>385</v>
      </c>
      <c r="AG237" s="75"/>
      <c r="AJ237" s="79"/>
      <c r="AK237" s="79">
        <v>0</v>
      </c>
      <c r="BB237" s="304" t="s">
        <v>1</v>
      </c>
      <c r="BM237" s="75">
        <f t="shared" si="27"/>
        <v>0</v>
      </c>
      <c r="BN237" s="75">
        <f t="shared" si="28"/>
        <v>0</v>
      </c>
      <c r="BO237" s="75">
        <f t="shared" si="29"/>
        <v>0</v>
      </c>
      <c r="BP237" s="75">
        <f t="shared" si="30"/>
        <v>0</v>
      </c>
    </row>
    <row r="238" spans="1:68" ht="27" hidden="1" customHeight="1" x14ac:dyDescent="0.25">
      <c r="A238" s="60" t="s">
        <v>395</v>
      </c>
      <c r="B238" s="60" t="s">
        <v>396</v>
      </c>
      <c r="C238" s="34">
        <v>4301012149</v>
      </c>
      <c r="D238" s="558">
        <v>4680115886551</v>
      </c>
      <c r="E238" s="559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110</v>
      </c>
      <c r="L238" s="35"/>
      <c r="M238" s="36" t="s">
        <v>106</v>
      </c>
      <c r="N238" s="36"/>
      <c r="O238" s="35">
        <v>55</v>
      </c>
      <c r="P238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7"/>
      <c r="V238" s="37"/>
      <c r="W238" s="38" t="s">
        <v>69</v>
      </c>
      <c r="X238" s="56">
        <v>0</v>
      </c>
      <c r="Y238" s="53">
        <f t="shared" si="26"/>
        <v>0</v>
      </c>
      <c r="Z238" s="39" t="str">
        <f>IFERROR(IF(Y238=0,"",ROUNDUP(Y238/H238,0)*0.00902),"")</f>
        <v/>
      </c>
      <c r="AA238" s="65"/>
      <c r="AB238" s="66"/>
      <c r="AC238" s="305" t="s">
        <v>397</v>
      </c>
      <c r="AG238" s="75"/>
      <c r="AJ238" s="79"/>
      <c r="AK238" s="79">
        <v>0</v>
      </c>
      <c r="BB238" s="306" t="s">
        <v>1</v>
      </c>
      <c r="BM238" s="75">
        <f t="shared" si="27"/>
        <v>0</v>
      </c>
      <c r="BN238" s="75">
        <f t="shared" si="28"/>
        <v>0</v>
      </c>
      <c r="BO238" s="75">
        <f t="shared" si="29"/>
        <v>0</v>
      </c>
      <c r="BP238" s="75">
        <f t="shared" si="30"/>
        <v>0</v>
      </c>
    </row>
    <row r="239" spans="1:68" ht="27" hidden="1" customHeight="1" x14ac:dyDescent="0.25">
      <c r="A239" s="60" t="s">
        <v>398</v>
      </c>
      <c r="B239" s="60" t="s">
        <v>399</v>
      </c>
      <c r="C239" s="34">
        <v>4301012228</v>
      </c>
      <c r="D239" s="558">
        <v>4680115887282</v>
      </c>
      <c r="E239" s="559"/>
      <c r="F239" s="59">
        <v>0.4</v>
      </c>
      <c r="G239" s="35">
        <v>6</v>
      </c>
      <c r="H239" s="59">
        <v>2.4</v>
      </c>
      <c r="I239" s="59">
        <v>2.58</v>
      </c>
      <c r="J239" s="35">
        <v>182</v>
      </c>
      <c r="K239" s="35" t="s">
        <v>67</v>
      </c>
      <c r="L239" s="35"/>
      <c r="M239" s="36" t="s">
        <v>106</v>
      </c>
      <c r="N239" s="36"/>
      <c r="O239" s="35">
        <v>55</v>
      </c>
      <c r="P239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7"/>
      <c r="V239" s="37"/>
      <c r="W239" s="38" t="s">
        <v>69</v>
      </c>
      <c r="X239" s="56">
        <v>0</v>
      </c>
      <c r="Y239" s="53">
        <f t="shared" si="26"/>
        <v>0</v>
      </c>
      <c r="Z239" s="39" t="str">
        <f>IFERROR(IF(Y239=0,"",ROUNDUP(Y239/H239,0)*0.00651),"")</f>
        <v/>
      </c>
      <c r="AA239" s="65"/>
      <c r="AB239" s="66"/>
      <c r="AC239" s="307" t="s">
        <v>400</v>
      </c>
      <c r="AG239" s="75"/>
      <c r="AJ239" s="79"/>
      <c r="AK239" s="79">
        <v>0</v>
      </c>
      <c r="BB239" s="308" t="s">
        <v>1</v>
      </c>
      <c r="BM239" s="75">
        <f t="shared" si="27"/>
        <v>0</v>
      </c>
      <c r="BN239" s="75">
        <f t="shared" si="28"/>
        <v>0</v>
      </c>
      <c r="BO239" s="75">
        <f t="shared" si="29"/>
        <v>0</v>
      </c>
      <c r="BP239" s="75">
        <f t="shared" si="30"/>
        <v>0</v>
      </c>
    </row>
    <row r="240" spans="1:68" ht="27" hidden="1" customHeight="1" x14ac:dyDescent="0.25">
      <c r="A240" s="60" t="s">
        <v>401</v>
      </c>
      <c r="B240" s="60" t="s">
        <v>402</v>
      </c>
      <c r="C240" s="34">
        <v>4301011722</v>
      </c>
      <c r="D240" s="558">
        <v>4680115884205</v>
      </c>
      <c r="E240" s="559"/>
      <c r="F240" s="59">
        <v>0.4</v>
      </c>
      <c r="G240" s="35">
        <v>10</v>
      </c>
      <c r="H240" s="59">
        <v>4</v>
      </c>
      <c r="I240" s="59">
        <v>4.1900000000000004</v>
      </c>
      <c r="J240" s="35">
        <v>132</v>
      </c>
      <c r="K240" s="35" t="s">
        <v>110</v>
      </c>
      <c r="L240" s="35" t="s">
        <v>111</v>
      </c>
      <c r="M240" s="36" t="s">
        <v>106</v>
      </c>
      <c r="N240" s="36"/>
      <c r="O240" s="35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7"/>
      <c r="V240" s="37"/>
      <c r="W240" s="38" t="s">
        <v>69</v>
      </c>
      <c r="X240" s="56">
        <v>0</v>
      </c>
      <c r="Y240" s="53">
        <f t="shared" si="26"/>
        <v>0</v>
      </c>
      <c r="Z240" s="39" t="str">
        <f>IFERROR(IF(Y240=0,"",ROUNDUP(Y240/H240,0)*0.00902),"")</f>
        <v/>
      </c>
      <c r="AA240" s="65"/>
      <c r="AB240" s="66"/>
      <c r="AC240" s="309" t="s">
        <v>391</v>
      </c>
      <c r="AG240" s="75"/>
      <c r="AJ240" s="79" t="s">
        <v>92</v>
      </c>
      <c r="AK240" s="79">
        <v>48</v>
      </c>
      <c r="BB240" s="310" t="s">
        <v>1</v>
      </c>
      <c r="BM240" s="75">
        <f t="shared" si="27"/>
        <v>0</v>
      </c>
      <c r="BN240" s="75">
        <f t="shared" si="28"/>
        <v>0</v>
      </c>
      <c r="BO240" s="75">
        <f t="shared" si="29"/>
        <v>0</v>
      </c>
      <c r="BP240" s="75">
        <f t="shared" si="30"/>
        <v>0</v>
      </c>
    </row>
    <row r="241" spans="1:68" ht="27" hidden="1" customHeight="1" x14ac:dyDescent="0.25">
      <c r="A241" s="60" t="s">
        <v>401</v>
      </c>
      <c r="B241" s="60" t="s">
        <v>403</v>
      </c>
      <c r="C241" s="34">
        <v>4301012195</v>
      </c>
      <c r="D241" s="558">
        <v>4680115884205</v>
      </c>
      <c r="E241" s="559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110</v>
      </c>
      <c r="L241" s="35"/>
      <c r="M241" s="36" t="s">
        <v>106</v>
      </c>
      <c r="N241" s="36"/>
      <c r="O241" s="35">
        <v>55</v>
      </c>
      <c r="P241" s="8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7"/>
      <c r="V241" s="37"/>
      <c r="W241" s="38" t="s">
        <v>69</v>
      </c>
      <c r="X241" s="56">
        <v>0</v>
      </c>
      <c r="Y241" s="53">
        <f t="shared" si="26"/>
        <v>0</v>
      </c>
      <c r="Z241" s="39" t="str">
        <f>IFERROR(IF(Y241=0,"",ROUNDUP(Y241/H241,0)*0.00902),"")</f>
        <v/>
      </c>
      <c r="AA241" s="65"/>
      <c r="AB241" s="66"/>
      <c r="AC241" s="311" t="s">
        <v>391</v>
      </c>
      <c r="AG241" s="75"/>
      <c r="AJ241" s="79"/>
      <c r="AK241" s="79">
        <v>0</v>
      </c>
      <c r="BB241" s="312" t="s">
        <v>1</v>
      </c>
      <c r="BM241" s="75">
        <f t="shared" si="27"/>
        <v>0</v>
      </c>
      <c r="BN241" s="75">
        <f t="shared" si="28"/>
        <v>0</v>
      </c>
      <c r="BO241" s="75">
        <f t="shared" si="29"/>
        <v>0</v>
      </c>
      <c r="BP241" s="75">
        <f t="shared" si="30"/>
        <v>0</v>
      </c>
    </row>
    <row r="242" spans="1:68" hidden="1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68" t="s">
        <v>75</v>
      </c>
      <c r="Q242" s="569"/>
      <c r="R242" s="569"/>
      <c r="S242" s="569"/>
      <c r="T242" s="569"/>
      <c r="U242" s="569"/>
      <c r="V242" s="570"/>
      <c r="W242" s="40" t="s">
        <v>76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8" t="s">
        <v>75</v>
      </c>
      <c r="Q243" s="569"/>
      <c r="R243" s="569"/>
      <c r="S243" s="569"/>
      <c r="T243" s="569"/>
      <c r="U243" s="569"/>
      <c r="V243" s="570"/>
      <c r="W243" s="40" t="s">
        <v>69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63"/>
      <c r="AB244" s="63"/>
      <c r="AC244" s="63"/>
    </row>
    <row r="245" spans="1:68" ht="27" hidden="1" customHeight="1" x14ac:dyDescent="0.25">
      <c r="A245" s="60" t="s">
        <v>404</v>
      </c>
      <c r="B245" s="60" t="s">
        <v>405</v>
      </c>
      <c r="C245" s="34">
        <v>4301020377</v>
      </c>
      <c r="D245" s="558">
        <v>4680115885981</v>
      </c>
      <c r="E245" s="559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73</v>
      </c>
      <c r="L245" s="35"/>
      <c r="M245" s="36" t="s">
        <v>80</v>
      </c>
      <c r="N245" s="36"/>
      <c r="O245" s="35">
        <v>50</v>
      </c>
      <c r="P245" s="6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7"/>
      <c r="V245" s="37"/>
      <c r="W245" s="38" t="s">
        <v>69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/>
      <c r="AB245" s="66"/>
      <c r="AC245" s="313" t="s">
        <v>406</v>
      </c>
      <c r="AG245" s="75"/>
      <c r="AJ245" s="79"/>
      <c r="AK245" s="79">
        <v>0</v>
      </c>
      <c r="BB245" s="314" t="s">
        <v>1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68" t="s">
        <v>75</v>
      </c>
      <c r="Q246" s="569"/>
      <c r="R246" s="569"/>
      <c r="S246" s="569"/>
      <c r="T246" s="569"/>
      <c r="U246" s="569"/>
      <c r="V246" s="570"/>
      <c r="W246" s="40" t="s">
        <v>76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68" t="s">
        <v>75</v>
      </c>
      <c r="Q247" s="569"/>
      <c r="R247" s="569"/>
      <c r="S247" s="569"/>
      <c r="T247" s="569"/>
      <c r="U247" s="569"/>
      <c r="V247" s="570"/>
      <c r="W247" s="40" t="s">
        <v>69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63"/>
      <c r="AB248" s="63"/>
      <c r="AC248" s="63"/>
    </row>
    <row r="249" spans="1:68" ht="27" hidden="1" customHeight="1" x14ac:dyDescent="0.25">
      <c r="A249" s="60" t="s">
        <v>408</v>
      </c>
      <c r="B249" s="60" t="s">
        <v>409</v>
      </c>
      <c r="C249" s="34">
        <v>4301040362</v>
      </c>
      <c r="D249" s="558">
        <v>4680115886803</v>
      </c>
      <c r="E249" s="559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312</v>
      </c>
      <c r="L249" s="35"/>
      <c r="M249" s="36" t="s">
        <v>293</v>
      </c>
      <c r="N249" s="36"/>
      <c r="O249" s="35">
        <v>45</v>
      </c>
      <c r="P249" s="5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7"/>
      <c r="V249" s="37"/>
      <c r="W249" s="38" t="s">
        <v>69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/>
      <c r="AB249" s="66"/>
      <c r="AC249" s="315" t="s">
        <v>410</v>
      </c>
      <c r="AG249" s="75"/>
      <c r="AJ249" s="79"/>
      <c r="AK249" s="79">
        <v>0</v>
      </c>
      <c r="BB249" s="316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68" t="s">
        <v>75</v>
      </c>
      <c r="Q250" s="569"/>
      <c r="R250" s="569"/>
      <c r="S250" s="569"/>
      <c r="T250" s="569"/>
      <c r="U250" s="569"/>
      <c r="V250" s="570"/>
      <c r="W250" s="40" t="s">
        <v>76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8" t="s">
        <v>75</v>
      </c>
      <c r="Q251" s="569"/>
      <c r="R251" s="569"/>
      <c r="S251" s="569"/>
      <c r="T251" s="569"/>
      <c r="U251" s="569"/>
      <c r="V251" s="570"/>
      <c r="W251" s="40" t="s">
        <v>69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63"/>
      <c r="AB252" s="63"/>
      <c r="AC252" s="63"/>
    </row>
    <row r="253" spans="1:68" ht="27" hidden="1" customHeight="1" x14ac:dyDescent="0.25">
      <c r="A253" s="60" t="s">
        <v>412</v>
      </c>
      <c r="B253" s="60" t="s">
        <v>413</v>
      </c>
      <c r="C253" s="34">
        <v>4301041004</v>
      </c>
      <c r="D253" s="558">
        <v>4680115886704</v>
      </c>
      <c r="E253" s="559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312</v>
      </c>
      <c r="L253" s="35"/>
      <c r="M253" s="36" t="s">
        <v>293</v>
      </c>
      <c r="N253" s="36"/>
      <c r="O253" s="35">
        <v>90</v>
      </c>
      <c r="P253" s="83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7"/>
      <c r="V253" s="37"/>
      <c r="W253" s="38" t="s">
        <v>69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/>
      <c r="AB253" s="66"/>
      <c r="AC253" s="317" t="s">
        <v>414</v>
      </c>
      <c r="AG253" s="75"/>
      <c r="AJ253" s="79"/>
      <c r="AK253" s="79">
        <v>0</v>
      </c>
      <c r="BB253" s="318" t="s">
        <v>1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415</v>
      </c>
      <c r="B254" s="60" t="s">
        <v>416</v>
      </c>
      <c r="C254" s="34">
        <v>4301041008</v>
      </c>
      <c r="D254" s="558">
        <v>4680115886681</v>
      </c>
      <c r="E254" s="559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312</v>
      </c>
      <c r="L254" s="35"/>
      <c r="M254" s="36" t="s">
        <v>293</v>
      </c>
      <c r="N254" s="36"/>
      <c r="O254" s="35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7"/>
      <c r="V254" s="37"/>
      <c r="W254" s="38" t="s">
        <v>69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/>
      <c r="AB254" s="66"/>
      <c r="AC254" s="319" t="s">
        <v>414</v>
      </c>
      <c r="AG254" s="75"/>
      <c r="AJ254" s="79"/>
      <c r="AK254" s="79">
        <v>0</v>
      </c>
      <c r="BB254" s="320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417</v>
      </c>
      <c r="B255" s="60" t="s">
        <v>418</v>
      </c>
      <c r="C255" s="34">
        <v>4301041007</v>
      </c>
      <c r="D255" s="558">
        <v>4680115886735</v>
      </c>
      <c r="E255" s="559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312</v>
      </c>
      <c r="L255" s="35"/>
      <c r="M255" s="36" t="s">
        <v>293</v>
      </c>
      <c r="N255" s="36"/>
      <c r="O255" s="35">
        <v>90</v>
      </c>
      <c r="P255" s="6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7"/>
      <c r="V255" s="37"/>
      <c r="W255" s="38" t="s">
        <v>69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/>
      <c r="AB255" s="66"/>
      <c r="AC255" s="321" t="s">
        <v>414</v>
      </c>
      <c r="AG255" s="75"/>
      <c r="AJ255" s="79"/>
      <c r="AK255" s="79">
        <v>0</v>
      </c>
      <c r="BB255" s="322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419</v>
      </c>
      <c r="B256" s="60" t="s">
        <v>420</v>
      </c>
      <c r="C256" s="34">
        <v>4301041006</v>
      </c>
      <c r="D256" s="558">
        <v>4680115886728</v>
      </c>
      <c r="E256" s="559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312</v>
      </c>
      <c r="L256" s="35"/>
      <c r="M256" s="36" t="s">
        <v>293</v>
      </c>
      <c r="N256" s="36"/>
      <c r="O256" s="35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7"/>
      <c r="V256" s="37"/>
      <c r="W256" s="38" t="s">
        <v>69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/>
      <c r="AB256" s="66"/>
      <c r="AC256" s="323" t="s">
        <v>414</v>
      </c>
      <c r="AG256" s="75"/>
      <c r="AJ256" s="79"/>
      <c r="AK256" s="79">
        <v>0</v>
      </c>
      <c r="BB256" s="324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421</v>
      </c>
      <c r="B257" s="60" t="s">
        <v>422</v>
      </c>
      <c r="C257" s="34">
        <v>4301041005</v>
      </c>
      <c r="D257" s="558">
        <v>4680115886711</v>
      </c>
      <c r="E257" s="559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312</v>
      </c>
      <c r="L257" s="35"/>
      <c r="M257" s="36" t="s">
        <v>293</v>
      </c>
      <c r="N257" s="36"/>
      <c r="O257" s="35">
        <v>90</v>
      </c>
      <c r="P257" s="78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7"/>
      <c r="V257" s="37"/>
      <c r="W257" s="38" t="s">
        <v>69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/>
      <c r="AB257" s="66"/>
      <c r="AC257" s="325" t="s">
        <v>414</v>
      </c>
      <c r="AG257" s="75"/>
      <c r="AJ257" s="79"/>
      <c r="AK257" s="79">
        <v>0</v>
      </c>
      <c r="BB257" s="326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68" t="s">
        <v>75</v>
      </c>
      <c r="Q258" s="569"/>
      <c r="R258" s="569"/>
      <c r="S258" s="569"/>
      <c r="T258" s="569"/>
      <c r="U258" s="569"/>
      <c r="V258" s="570"/>
      <c r="W258" s="40" t="s">
        <v>76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68" t="s">
        <v>75</v>
      </c>
      <c r="Q259" s="569"/>
      <c r="R259" s="569"/>
      <c r="S259" s="569"/>
      <c r="T259" s="569"/>
      <c r="U259" s="569"/>
      <c r="V259" s="570"/>
      <c r="W259" s="40" t="s">
        <v>69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76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62"/>
      <c r="AB260" s="62"/>
      <c r="AC260" s="62"/>
    </row>
    <row r="261" spans="1:68" ht="14.25" hidden="1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63"/>
      <c r="AB261" s="63"/>
      <c r="AC261" s="63"/>
    </row>
    <row r="262" spans="1:68" ht="27" hidden="1" customHeight="1" x14ac:dyDescent="0.25">
      <c r="A262" s="60" t="s">
        <v>424</v>
      </c>
      <c r="B262" s="60" t="s">
        <v>425</v>
      </c>
      <c r="C262" s="34">
        <v>4301011855</v>
      </c>
      <c r="D262" s="558">
        <v>4680115885837</v>
      </c>
      <c r="E262" s="559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104</v>
      </c>
      <c r="L262" s="35" t="s">
        <v>105</v>
      </c>
      <c r="M262" s="36" t="s">
        <v>106</v>
      </c>
      <c r="N262" s="36"/>
      <c r="O262" s="35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7"/>
      <c r="V262" s="37"/>
      <c r="W262" s="38" t="s">
        <v>69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7" t="s">
        <v>426</v>
      </c>
      <c r="AG262" s="75"/>
      <c r="AJ262" s="79" t="s">
        <v>92</v>
      </c>
      <c r="AK262" s="79">
        <v>86.4</v>
      </c>
      <c r="BB262" s="328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427</v>
      </c>
      <c r="B263" s="60" t="s">
        <v>428</v>
      </c>
      <c r="C263" s="34">
        <v>4301011853</v>
      </c>
      <c r="D263" s="558">
        <v>4680115885851</v>
      </c>
      <c r="E263" s="559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104</v>
      </c>
      <c r="L263" s="35"/>
      <c r="M263" s="36" t="s">
        <v>106</v>
      </c>
      <c r="N263" s="36"/>
      <c r="O263" s="35">
        <v>55</v>
      </c>
      <c r="P263" s="85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7"/>
      <c r="V263" s="37"/>
      <c r="W263" s="38" t="s">
        <v>69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/>
      <c r="AB263" s="66"/>
      <c r="AC263" s="329" t="s">
        <v>429</v>
      </c>
      <c r="AG263" s="75"/>
      <c r="AJ263" s="79"/>
      <c r="AK263" s="79">
        <v>0</v>
      </c>
      <c r="BB263" s="330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430</v>
      </c>
      <c r="B264" s="60" t="s">
        <v>431</v>
      </c>
      <c r="C264" s="34">
        <v>4301011850</v>
      </c>
      <c r="D264" s="558">
        <v>4680115885806</v>
      </c>
      <c r="E264" s="559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104</v>
      </c>
      <c r="L264" s="35" t="s">
        <v>105</v>
      </c>
      <c r="M264" s="36" t="s">
        <v>106</v>
      </c>
      <c r="N264" s="36"/>
      <c r="O264" s="35">
        <v>55</v>
      </c>
      <c r="P264" s="6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7"/>
      <c r="V264" s="37"/>
      <c r="W264" s="38" t="s">
        <v>69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/>
      <c r="AB264" s="66"/>
      <c r="AC264" s="331" t="s">
        <v>432</v>
      </c>
      <c r="AG264" s="75"/>
      <c r="AJ264" s="79" t="s">
        <v>92</v>
      </c>
      <c r="AK264" s="79">
        <v>86.4</v>
      </c>
      <c r="BB264" s="332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433</v>
      </c>
      <c r="B265" s="60" t="s">
        <v>434</v>
      </c>
      <c r="C265" s="34">
        <v>4301011852</v>
      </c>
      <c r="D265" s="558">
        <v>4680115885844</v>
      </c>
      <c r="E265" s="559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110</v>
      </c>
      <c r="L265" s="35"/>
      <c r="M265" s="36" t="s">
        <v>106</v>
      </c>
      <c r="N265" s="36"/>
      <c r="O265" s="35">
        <v>55</v>
      </c>
      <c r="P265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7"/>
      <c r="V265" s="37"/>
      <c r="W265" s="38" t="s">
        <v>69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/>
      <c r="AB265" s="66"/>
      <c r="AC265" s="333" t="s">
        <v>435</v>
      </c>
      <c r="AG265" s="75"/>
      <c r="AJ265" s="79"/>
      <c r="AK265" s="79">
        <v>0</v>
      </c>
      <c r="BB265" s="334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436</v>
      </c>
      <c r="B266" s="60" t="s">
        <v>437</v>
      </c>
      <c r="C266" s="34">
        <v>4301011851</v>
      </c>
      <c r="D266" s="558">
        <v>4680115885820</v>
      </c>
      <c r="E266" s="559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110</v>
      </c>
      <c r="L266" s="35" t="s">
        <v>111</v>
      </c>
      <c r="M266" s="36" t="s">
        <v>106</v>
      </c>
      <c r="N266" s="36"/>
      <c r="O266" s="35">
        <v>55</v>
      </c>
      <c r="P266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7"/>
      <c r="V266" s="37"/>
      <c r="W266" s="38" t="s">
        <v>69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/>
      <c r="AB266" s="66"/>
      <c r="AC266" s="335" t="s">
        <v>438</v>
      </c>
      <c r="AG266" s="75"/>
      <c r="AJ266" s="79" t="s">
        <v>92</v>
      </c>
      <c r="AK266" s="79">
        <v>48</v>
      </c>
      <c r="BB266" s="336" t="s">
        <v>1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68" t="s">
        <v>75</v>
      </c>
      <c r="Q267" s="569"/>
      <c r="R267" s="569"/>
      <c r="S267" s="569"/>
      <c r="T267" s="569"/>
      <c r="U267" s="569"/>
      <c r="V267" s="570"/>
      <c r="W267" s="40" t="s">
        <v>76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8" t="s">
        <v>75</v>
      </c>
      <c r="Q268" s="569"/>
      <c r="R268" s="569"/>
      <c r="S268" s="569"/>
      <c r="T268" s="569"/>
      <c r="U268" s="569"/>
      <c r="V268" s="570"/>
      <c r="W268" s="40" t="s">
        <v>69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76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62"/>
      <c r="AB269" s="62"/>
      <c r="AC269" s="62"/>
    </row>
    <row r="270" spans="1:68" ht="14.25" hidden="1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63"/>
      <c r="AB270" s="63"/>
      <c r="AC270" s="63"/>
    </row>
    <row r="271" spans="1:68" ht="27" hidden="1" customHeight="1" x14ac:dyDescent="0.25">
      <c r="A271" s="60" t="s">
        <v>440</v>
      </c>
      <c r="B271" s="60" t="s">
        <v>441</v>
      </c>
      <c r="C271" s="34">
        <v>4301011223</v>
      </c>
      <c r="D271" s="558">
        <v>4607091383423</v>
      </c>
      <c r="E271" s="559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104</v>
      </c>
      <c r="L271" s="35"/>
      <c r="M271" s="36" t="s">
        <v>80</v>
      </c>
      <c r="N271" s="36"/>
      <c r="O271" s="35">
        <v>35</v>
      </c>
      <c r="P271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7"/>
      <c r="V271" s="37"/>
      <c r="W271" s="38" t="s">
        <v>69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/>
      <c r="AB271" s="66"/>
      <c r="AC271" s="337" t="s">
        <v>107</v>
      </c>
      <c r="AG271" s="75"/>
      <c r="AJ271" s="79"/>
      <c r="AK271" s="79">
        <v>0</v>
      </c>
      <c r="BB271" s="338" t="s">
        <v>1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442</v>
      </c>
      <c r="B272" s="60" t="s">
        <v>443</v>
      </c>
      <c r="C272" s="34">
        <v>4301012199</v>
      </c>
      <c r="D272" s="558">
        <v>4680115886957</v>
      </c>
      <c r="E272" s="559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104</v>
      </c>
      <c r="L272" s="35"/>
      <c r="M272" s="36" t="s">
        <v>80</v>
      </c>
      <c r="N272" s="36"/>
      <c r="O272" s="35">
        <v>30</v>
      </c>
      <c r="P272" s="7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7"/>
      <c r="V272" s="37"/>
      <c r="W272" s="38" t="s">
        <v>69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/>
      <c r="AB272" s="66"/>
      <c r="AC272" s="339" t="s">
        <v>444</v>
      </c>
      <c r="AG272" s="75"/>
      <c r="AJ272" s="79"/>
      <c r="AK272" s="79">
        <v>0</v>
      </c>
      <c r="BB272" s="340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445</v>
      </c>
      <c r="B273" s="60" t="s">
        <v>446</v>
      </c>
      <c r="C273" s="34">
        <v>4301012098</v>
      </c>
      <c r="D273" s="558">
        <v>4680115885660</v>
      </c>
      <c r="E273" s="559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104</v>
      </c>
      <c r="L273" s="35"/>
      <c r="M273" s="36" t="s">
        <v>80</v>
      </c>
      <c r="N273" s="36"/>
      <c r="O273" s="35">
        <v>35</v>
      </c>
      <c r="P273" s="6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7"/>
      <c r="V273" s="37"/>
      <c r="W273" s="38" t="s">
        <v>69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/>
      <c r="AB273" s="66"/>
      <c r="AC273" s="341" t="s">
        <v>391</v>
      </c>
      <c r="AG273" s="75"/>
      <c r="AJ273" s="79"/>
      <c r="AK273" s="79">
        <v>0</v>
      </c>
      <c r="BB273" s="342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447</v>
      </c>
      <c r="B274" s="60" t="s">
        <v>448</v>
      </c>
      <c r="C274" s="34">
        <v>4301012176</v>
      </c>
      <c r="D274" s="558">
        <v>4680115886773</v>
      </c>
      <c r="E274" s="559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104</v>
      </c>
      <c r="L274" s="35"/>
      <c r="M274" s="36" t="s">
        <v>106</v>
      </c>
      <c r="N274" s="36"/>
      <c r="O274" s="35">
        <v>31</v>
      </c>
      <c r="P274" s="7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7"/>
      <c r="V274" s="37"/>
      <c r="W274" s="38" t="s">
        <v>69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/>
      <c r="AB274" s="66"/>
      <c r="AC274" s="343" t="s">
        <v>449</v>
      </c>
      <c r="AG274" s="75"/>
      <c r="AJ274" s="79"/>
      <c r="AK274" s="79">
        <v>0</v>
      </c>
      <c r="BB274" s="344" t="s">
        <v>1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8" t="s">
        <v>75</v>
      </c>
      <c r="Q275" s="569"/>
      <c r="R275" s="569"/>
      <c r="S275" s="569"/>
      <c r="T275" s="569"/>
      <c r="U275" s="569"/>
      <c r="V275" s="570"/>
      <c r="W275" s="40" t="s">
        <v>76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8" t="s">
        <v>75</v>
      </c>
      <c r="Q276" s="569"/>
      <c r="R276" s="569"/>
      <c r="S276" s="569"/>
      <c r="T276" s="569"/>
      <c r="U276" s="569"/>
      <c r="V276" s="570"/>
      <c r="W276" s="40" t="s">
        <v>69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76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62"/>
      <c r="AB277" s="62"/>
      <c r="AC277" s="62"/>
    </row>
    <row r="278" spans="1:68" ht="14.25" hidden="1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63"/>
      <c r="AB278" s="63"/>
      <c r="AC278" s="63"/>
    </row>
    <row r="279" spans="1:68" ht="27" hidden="1" customHeight="1" x14ac:dyDescent="0.25">
      <c r="A279" s="60" t="s">
        <v>451</v>
      </c>
      <c r="B279" s="60" t="s">
        <v>452</v>
      </c>
      <c r="C279" s="34">
        <v>4301051893</v>
      </c>
      <c r="D279" s="558">
        <v>4680115886186</v>
      </c>
      <c r="E279" s="559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67</v>
      </c>
      <c r="L279" s="35"/>
      <c r="M279" s="36" t="s">
        <v>80</v>
      </c>
      <c r="N279" s="36"/>
      <c r="O279" s="35">
        <v>45</v>
      </c>
      <c r="P279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7"/>
      <c r="V279" s="37"/>
      <c r="W279" s="38" t="s">
        <v>69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/>
      <c r="AB279" s="66"/>
      <c r="AC279" s="345" t="s">
        <v>453</v>
      </c>
      <c r="AG279" s="75"/>
      <c r="AJ279" s="79"/>
      <c r="AK279" s="79">
        <v>0</v>
      </c>
      <c r="BB279" s="346" t="s">
        <v>1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hidden="1" customHeight="1" x14ac:dyDescent="0.25">
      <c r="A280" s="60" t="s">
        <v>454</v>
      </c>
      <c r="B280" s="60" t="s">
        <v>455</v>
      </c>
      <c r="C280" s="34">
        <v>4301051795</v>
      </c>
      <c r="D280" s="558">
        <v>4680115881228</v>
      </c>
      <c r="E280" s="559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67</v>
      </c>
      <c r="L280" s="35"/>
      <c r="M280" s="36" t="s">
        <v>86</v>
      </c>
      <c r="N280" s="36"/>
      <c r="O280" s="35">
        <v>40</v>
      </c>
      <c r="P280" s="7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7"/>
      <c r="V280" s="37"/>
      <c r="W280" s="38" t="s">
        <v>69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47" t="s">
        <v>456</v>
      </c>
      <c r="AG280" s="75"/>
      <c r="AJ280" s="79"/>
      <c r="AK280" s="79">
        <v>0</v>
      </c>
      <c r="BB280" s="348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457</v>
      </c>
      <c r="B281" s="60" t="s">
        <v>458</v>
      </c>
      <c r="C281" s="34">
        <v>4301051388</v>
      </c>
      <c r="D281" s="558">
        <v>4680115881211</v>
      </c>
      <c r="E281" s="559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67</v>
      </c>
      <c r="L281" s="35" t="s">
        <v>90</v>
      </c>
      <c r="M281" s="36" t="s">
        <v>80</v>
      </c>
      <c r="N281" s="36"/>
      <c r="O281" s="35">
        <v>45</v>
      </c>
      <c r="P281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7"/>
      <c r="V281" s="37"/>
      <c r="W281" s="38" t="s">
        <v>69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IFERROR(IF(Y281=0,"",ROUNDUP(Y281/H281,0)*0.00651),"")</f>
        <v/>
      </c>
      <c r="AA281" s="65"/>
      <c r="AB281" s="66"/>
      <c r="AC281" s="349" t="s">
        <v>453</v>
      </c>
      <c r="AG281" s="75"/>
      <c r="AJ281" s="79" t="s">
        <v>92</v>
      </c>
      <c r="AK281" s="79">
        <v>33.6</v>
      </c>
      <c r="BB281" s="350" t="s">
        <v>1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8" t="s">
        <v>75</v>
      </c>
      <c r="Q282" s="569"/>
      <c r="R282" s="569"/>
      <c r="S282" s="569"/>
      <c r="T282" s="569"/>
      <c r="U282" s="569"/>
      <c r="V282" s="570"/>
      <c r="W282" s="40" t="s">
        <v>76</v>
      </c>
      <c r="X282" s="41">
        <f>IFERROR(X279/H279,"0")+IFERROR(X280/H280,"0")+IFERROR(X281/H281,"0")</f>
        <v>0</v>
      </c>
      <c r="Y282" s="41">
        <f>IFERROR(Y279/H279,"0")+IFERROR(Y280/H280,"0")+IFERROR(Y281/H281,"0")</f>
        <v>0</v>
      </c>
      <c r="Z282" s="41">
        <f>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68" t="s">
        <v>75</v>
      </c>
      <c r="Q283" s="569"/>
      <c r="R283" s="569"/>
      <c r="S283" s="569"/>
      <c r="T283" s="569"/>
      <c r="U283" s="569"/>
      <c r="V283" s="570"/>
      <c r="W283" s="40" t="s">
        <v>69</v>
      </c>
      <c r="X283" s="41">
        <f>IFERROR(SUM(X279:X281),"0")</f>
        <v>0</v>
      </c>
      <c r="Y283" s="41">
        <f>IFERROR(SUM(Y279:Y281),"0")</f>
        <v>0</v>
      </c>
      <c r="Z283" s="40"/>
      <c r="AA283" s="64"/>
      <c r="AB283" s="64"/>
      <c r="AC283" s="64"/>
    </row>
    <row r="284" spans="1:68" ht="16.5" hidden="1" customHeight="1" x14ac:dyDescent="0.25">
      <c r="A284" s="576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62"/>
      <c r="AB284" s="62"/>
      <c r="AC284" s="62"/>
    </row>
    <row r="285" spans="1:68" ht="14.25" hidden="1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63"/>
      <c r="AB285" s="63"/>
      <c r="AC285" s="63"/>
    </row>
    <row r="286" spans="1:68" ht="27" hidden="1" customHeight="1" x14ac:dyDescent="0.25">
      <c r="A286" s="60" t="s">
        <v>460</v>
      </c>
      <c r="B286" s="60" t="s">
        <v>461</v>
      </c>
      <c r="C286" s="34">
        <v>4301031307</v>
      </c>
      <c r="D286" s="558">
        <v>4680115880344</v>
      </c>
      <c r="E286" s="559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73</v>
      </c>
      <c r="L286" s="35"/>
      <c r="M286" s="36" t="s">
        <v>68</v>
      </c>
      <c r="N286" s="36"/>
      <c r="O286" s="35">
        <v>40</v>
      </c>
      <c r="P286" s="6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7"/>
      <c r="V286" s="37"/>
      <c r="W286" s="38" t="s">
        <v>69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/>
      <c r="AB286" s="66"/>
      <c r="AC286" s="351" t="s">
        <v>462</v>
      </c>
      <c r="AG286" s="75"/>
      <c r="AJ286" s="79"/>
      <c r="AK286" s="79">
        <v>0</v>
      </c>
      <c r="BB286" s="35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463</v>
      </c>
      <c r="B287" s="60" t="s">
        <v>464</v>
      </c>
      <c r="C287" s="34">
        <v>4301031429</v>
      </c>
      <c r="D287" s="558">
        <v>4680115886919</v>
      </c>
      <c r="E287" s="559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67</v>
      </c>
      <c r="L287" s="35"/>
      <c r="M287" s="36" t="s">
        <v>68</v>
      </c>
      <c r="N287" s="36"/>
      <c r="O287" s="35">
        <v>40</v>
      </c>
      <c r="P287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7"/>
      <c r="V287" s="37"/>
      <c r="W287" s="38" t="s">
        <v>69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/>
      <c r="AB287" s="66"/>
      <c r="AC287" s="353" t="s">
        <v>465</v>
      </c>
      <c r="AG287" s="75"/>
      <c r="AJ287" s="79"/>
      <c r="AK287" s="79">
        <v>0</v>
      </c>
      <c r="BB287" s="354" t="s">
        <v>1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68" t="s">
        <v>75</v>
      </c>
      <c r="Q288" s="569"/>
      <c r="R288" s="569"/>
      <c r="S288" s="569"/>
      <c r="T288" s="569"/>
      <c r="U288" s="569"/>
      <c r="V288" s="570"/>
      <c r="W288" s="40" t="s">
        <v>76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68" t="s">
        <v>75</v>
      </c>
      <c r="Q289" s="569"/>
      <c r="R289" s="569"/>
      <c r="S289" s="569"/>
      <c r="T289" s="569"/>
      <c r="U289" s="569"/>
      <c r="V289" s="570"/>
      <c r="W289" s="40" t="s">
        <v>69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63"/>
      <c r="AB290" s="63"/>
      <c r="AC290" s="63"/>
    </row>
    <row r="291" spans="1:68" ht="37.5" hidden="1" customHeight="1" x14ac:dyDescent="0.25">
      <c r="A291" s="60" t="s">
        <v>466</v>
      </c>
      <c r="B291" s="60" t="s">
        <v>467</v>
      </c>
      <c r="C291" s="34">
        <v>4301051782</v>
      </c>
      <c r="D291" s="558">
        <v>4680115884618</v>
      </c>
      <c r="E291" s="559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110</v>
      </c>
      <c r="L291" s="35" t="s">
        <v>111</v>
      </c>
      <c r="M291" s="36" t="s">
        <v>80</v>
      </c>
      <c r="N291" s="36"/>
      <c r="O291" s="35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7"/>
      <c r="V291" s="37"/>
      <c r="W291" s="38" t="s">
        <v>69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/>
      <c r="AB291" s="66"/>
      <c r="AC291" s="355" t="s">
        <v>468</v>
      </c>
      <c r="AG291" s="75"/>
      <c r="AJ291" s="79" t="s">
        <v>92</v>
      </c>
      <c r="AK291" s="79">
        <v>43.2</v>
      </c>
      <c r="BB291" s="356" t="s">
        <v>1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469</v>
      </c>
      <c r="B292" s="60" t="s">
        <v>470</v>
      </c>
      <c r="C292" s="34">
        <v>4301052057</v>
      </c>
      <c r="D292" s="558">
        <v>4680115887114</v>
      </c>
      <c r="E292" s="559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110</v>
      </c>
      <c r="L292" s="35"/>
      <c r="M292" s="36" t="s">
        <v>80</v>
      </c>
      <c r="N292" s="36"/>
      <c r="O292" s="35">
        <v>45</v>
      </c>
      <c r="P292" s="8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7"/>
      <c r="V292" s="37"/>
      <c r="W292" s="38" t="s">
        <v>69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/>
      <c r="AB292" s="66"/>
      <c r="AC292" s="357" t="s">
        <v>471</v>
      </c>
      <c r="AG292" s="75"/>
      <c r="AJ292" s="79"/>
      <c r="AK292" s="79">
        <v>0</v>
      </c>
      <c r="BB292" s="358" t="s">
        <v>1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68" t="s">
        <v>75</v>
      </c>
      <c r="Q293" s="569"/>
      <c r="R293" s="569"/>
      <c r="S293" s="569"/>
      <c r="T293" s="569"/>
      <c r="U293" s="569"/>
      <c r="V293" s="570"/>
      <c r="W293" s="40" t="s">
        <v>76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68" t="s">
        <v>75</v>
      </c>
      <c r="Q294" s="569"/>
      <c r="R294" s="569"/>
      <c r="S294" s="569"/>
      <c r="T294" s="569"/>
      <c r="U294" s="569"/>
      <c r="V294" s="570"/>
      <c r="W294" s="40" t="s">
        <v>69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76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62"/>
      <c r="AB295" s="62"/>
      <c r="AC295" s="62"/>
    </row>
    <row r="296" spans="1:68" ht="14.25" hidden="1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63"/>
      <c r="AB296" s="63"/>
      <c r="AC296" s="63"/>
    </row>
    <row r="297" spans="1:68" ht="27" hidden="1" customHeight="1" x14ac:dyDescent="0.25">
      <c r="A297" s="60" t="s">
        <v>473</v>
      </c>
      <c r="B297" s="60" t="s">
        <v>474</v>
      </c>
      <c r="C297" s="34">
        <v>4301012126</v>
      </c>
      <c r="D297" s="558">
        <v>4607091386004</v>
      </c>
      <c r="E297" s="559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104</v>
      </c>
      <c r="L297" s="35"/>
      <c r="M297" s="36" t="s">
        <v>106</v>
      </c>
      <c r="N297" s="36"/>
      <c r="O297" s="35">
        <v>55</v>
      </c>
      <c r="P297" s="8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7"/>
      <c r="V297" s="37"/>
      <c r="W297" s="38" t="s">
        <v>69</v>
      </c>
      <c r="X297" s="56">
        <v>0</v>
      </c>
      <c r="Y297" s="53">
        <f t="shared" ref="Y297:Y302" si="31">IFERROR(IF(X297="",0,CEILING((X297/$H297),1)*$H297),"")</f>
        <v>0</v>
      </c>
      <c r="Z297" s="39" t="str">
        <f>IFERROR(IF(Y297=0,"",ROUNDUP(Y297/H297,0)*0.01898),"")</f>
        <v/>
      </c>
      <c r="AA297" s="65"/>
      <c r="AB297" s="66"/>
      <c r="AC297" s="359" t="s">
        <v>475</v>
      </c>
      <c r="AG297" s="75"/>
      <c r="AJ297" s="79"/>
      <c r="AK297" s="79">
        <v>0</v>
      </c>
      <c r="BB297" s="360" t="s">
        <v>1</v>
      </c>
      <c r="BM297" s="75">
        <f t="shared" ref="BM297:BM302" si="32">IFERROR(X297*I297/H297,"0")</f>
        <v>0</v>
      </c>
      <c r="BN297" s="75">
        <f t="shared" ref="BN297:BN302" si="33">IFERROR(Y297*I297/H297,"0")</f>
        <v>0</v>
      </c>
      <c r="BO297" s="75">
        <f t="shared" ref="BO297:BO302" si="34">IFERROR(1/J297*(X297/H297),"0")</f>
        <v>0</v>
      </c>
      <c r="BP297" s="75">
        <f t="shared" ref="BP297:BP302" si="35">IFERROR(1/J297*(Y297/H297),"0")</f>
        <v>0</v>
      </c>
    </row>
    <row r="298" spans="1:68" ht="27" hidden="1" customHeight="1" x14ac:dyDescent="0.25">
      <c r="A298" s="60" t="s">
        <v>476</v>
      </c>
      <c r="B298" s="60" t="s">
        <v>477</v>
      </c>
      <c r="C298" s="34">
        <v>4301012024</v>
      </c>
      <c r="D298" s="558">
        <v>4680115885615</v>
      </c>
      <c r="E298" s="559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104</v>
      </c>
      <c r="L298" s="35" t="s">
        <v>105</v>
      </c>
      <c r="M298" s="36" t="s">
        <v>80</v>
      </c>
      <c r="N298" s="36"/>
      <c r="O298" s="35">
        <v>55</v>
      </c>
      <c r="P298" s="8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7"/>
      <c r="V298" s="37"/>
      <c r="W298" s="38" t="s">
        <v>69</v>
      </c>
      <c r="X298" s="56">
        <v>0</v>
      </c>
      <c r="Y298" s="53">
        <f t="shared" si="31"/>
        <v>0</v>
      </c>
      <c r="Z298" s="39" t="str">
        <f>IFERROR(IF(Y298=0,"",ROUNDUP(Y298/H298,0)*0.01898),"")</f>
        <v/>
      </c>
      <c r="AA298" s="65"/>
      <c r="AB298" s="66"/>
      <c r="AC298" s="361" t="s">
        <v>478</v>
      </c>
      <c r="AG298" s="75"/>
      <c r="AJ298" s="79" t="s">
        <v>92</v>
      </c>
      <c r="AK298" s="79">
        <v>86.4</v>
      </c>
      <c r="BB298" s="362" t="s">
        <v>1</v>
      </c>
      <c r="BM298" s="75">
        <f t="shared" si="32"/>
        <v>0</v>
      </c>
      <c r="BN298" s="75">
        <f t="shared" si="33"/>
        <v>0</v>
      </c>
      <c r="BO298" s="75">
        <f t="shared" si="34"/>
        <v>0</v>
      </c>
      <c r="BP298" s="75">
        <f t="shared" si="35"/>
        <v>0</v>
      </c>
    </row>
    <row r="299" spans="1:68" ht="37.5" hidden="1" customHeight="1" x14ac:dyDescent="0.25">
      <c r="A299" s="60" t="s">
        <v>479</v>
      </c>
      <c r="B299" s="60" t="s">
        <v>480</v>
      </c>
      <c r="C299" s="34">
        <v>4301011858</v>
      </c>
      <c r="D299" s="558">
        <v>4680115885646</v>
      </c>
      <c r="E299" s="559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104</v>
      </c>
      <c r="L299" s="35" t="s">
        <v>105</v>
      </c>
      <c r="M299" s="36" t="s">
        <v>106</v>
      </c>
      <c r="N299" s="36"/>
      <c r="O299" s="35">
        <v>55</v>
      </c>
      <c r="P29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7"/>
      <c r="V299" s="37"/>
      <c r="W299" s="38" t="s">
        <v>69</v>
      </c>
      <c r="X299" s="56">
        <v>0</v>
      </c>
      <c r="Y299" s="53">
        <f t="shared" si="31"/>
        <v>0</v>
      </c>
      <c r="Z299" s="39" t="str">
        <f>IFERROR(IF(Y299=0,"",ROUNDUP(Y299/H299,0)*0.01898),"")</f>
        <v/>
      </c>
      <c r="AA299" s="65"/>
      <c r="AB299" s="66"/>
      <c r="AC299" s="363" t="s">
        <v>481</v>
      </c>
      <c r="AG299" s="75"/>
      <c r="AJ299" s="79" t="s">
        <v>92</v>
      </c>
      <c r="AK299" s="79">
        <v>86.4</v>
      </c>
      <c r="BB299" s="364" t="s">
        <v>1</v>
      </c>
      <c r="BM299" s="75">
        <f t="shared" si="32"/>
        <v>0</v>
      </c>
      <c r="BN299" s="75">
        <f t="shared" si="33"/>
        <v>0</v>
      </c>
      <c r="BO299" s="75">
        <f t="shared" si="34"/>
        <v>0</v>
      </c>
      <c r="BP299" s="75">
        <f t="shared" si="35"/>
        <v>0</v>
      </c>
    </row>
    <row r="300" spans="1:68" ht="27" hidden="1" customHeight="1" x14ac:dyDescent="0.25">
      <c r="A300" s="60" t="s">
        <v>482</v>
      </c>
      <c r="B300" s="60" t="s">
        <v>483</v>
      </c>
      <c r="C300" s="34">
        <v>4301012016</v>
      </c>
      <c r="D300" s="558">
        <v>4680115885554</v>
      </c>
      <c r="E300" s="559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104</v>
      </c>
      <c r="L300" s="35"/>
      <c r="M300" s="36" t="s">
        <v>80</v>
      </c>
      <c r="N300" s="36"/>
      <c r="O300" s="35">
        <v>55</v>
      </c>
      <c r="P300" s="7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7"/>
      <c r="V300" s="37"/>
      <c r="W300" s="38" t="s">
        <v>69</v>
      </c>
      <c r="X300" s="56">
        <v>0</v>
      </c>
      <c r="Y300" s="53">
        <f t="shared" si="31"/>
        <v>0</v>
      </c>
      <c r="Z300" s="39" t="str">
        <f>IFERROR(IF(Y300=0,"",ROUNDUP(Y300/H300,0)*0.01898),"")</f>
        <v/>
      </c>
      <c r="AA300" s="65"/>
      <c r="AB300" s="66"/>
      <c r="AC300" s="365" t="s">
        <v>484</v>
      </c>
      <c r="AG300" s="75"/>
      <c r="AJ300" s="79"/>
      <c r="AK300" s="79">
        <v>0</v>
      </c>
      <c r="BB300" s="366" t="s">
        <v>1</v>
      </c>
      <c r="BM300" s="75">
        <f t="shared" si="32"/>
        <v>0</v>
      </c>
      <c r="BN300" s="75">
        <f t="shared" si="33"/>
        <v>0</v>
      </c>
      <c r="BO300" s="75">
        <f t="shared" si="34"/>
        <v>0</v>
      </c>
      <c r="BP300" s="75">
        <f t="shared" si="35"/>
        <v>0</v>
      </c>
    </row>
    <row r="301" spans="1:68" ht="27" hidden="1" customHeight="1" x14ac:dyDescent="0.25">
      <c r="A301" s="60" t="s">
        <v>485</v>
      </c>
      <c r="B301" s="60" t="s">
        <v>486</v>
      </c>
      <c r="C301" s="34">
        <v>4301011857</v>
      </c>
      <c r="D301" s="558">
        <v>4680115885622</v>
      </c>
      <c r="E301" s="55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110</v>
      </c>
      <c r="L301" s="35" t="s">
        <v>111</v>
      </c>
      <c r="M301" s="36" t="s">
        <v>106</v>
      </c>
      <c r="N301" s="36"/>
      <c r="O301" s="35">
        <v>55</v>
      </c>
      <c r="P301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7"/>
      <c r="V301" s="37"/>
      <c r="W301" s="38" t="s">
        <v>69</v>
      </c>
      <c r="X301" s="56">
        <v>0</v>
      </c>
      <c r="Y301" s="53">
        <f t="shared" si="31"/>
        <v>0</v>
      </c>
      <c r="Z301" s="39" t="str">
        <f>IFERROR(IF(Y301=0,"",ROUNDUP(Y301/H301,0)*0.00902),"")</f>
        <v/>
      </c>
      <c r="AA301" s="65"/>
      <c r="AB301" s="66"/>
      <c r="AC301" s="367" t="s">
        <v>478</v>
      </c>
      <c r="AG301" s="75"/>
      <c r="AJ301" s="79" t="s">
        <v>92</v>
      </c>
      <c r="AK301" s="79">
        <v>48</v>
      </c>
      <c r="BB301" s="368" t="s">
        <v>1</v>
      </c>
      <c r="BM301" s="75">
        <f t="shared" si="32"/>
        <v>0</v>
      </c>
      <c r="BN301" s="75">
        <f t="shared" si="33"/>
        <v>0</v>
      </c>
      <c r="BO301" s="75">
        <f t="shared" si="34"/>
        <v>0</v>
      </c>
      <c r="BP301" s="75">
        <f t="shared" si="35"/>
        <v>0</v>
      </c>
    </row>
    <row r="302" spans="1:68" ht="27" hidden="1" customHeight="1" x14ac:dyDescent="0.25">
      <c r="A302" s="60" t="s">
        <v>487</v>
      </c>
      <c r="B302" s="60" t="s">
        <v>488</v>
      </c>
      <c r="C302" s="34">
        <v>4301011859</v>
      </c>
      <c r="D302" s="558">
        <v>4680115885608</v>
      </c>
      <c r="E302" s="55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110</v>
      </c>
      <c r="L302" s="35" t="s">
        <v>111</v>
      </c>
      <c r="M302" s="36" t="s">
        <v>106</v>
      </c>
      <c r="N302" s="36"/>
      <c r="O302" s="35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7"/>
      <c r="V302" s="37"/>
      <c r="W302" s="38" t="s">
        <v>69</v>
      </c>
      <c r="X302" s="56">
        <v>0</v>
      </c>
      <c r="Y302" s="53">
        <f t="shared" si="31"/>
        <v>0</v>
      </c>
      <c r="Z302" s="39" t="str">
        <f>IFERROR(IF(Y302=0,"",ROUNDUP(Y302/H302,0)*0.00902),"")</f>
        <v/>
      </c>
      <c r="AA302" s="65"/>
      <c r="AB302" s="66"/>
      <c r="AC302" s="369" t="s">
        <v>489</v>
      </c>
      <c r="AG302" s="75"/>
      <c r="AJ302" s="79" t="s">
        <v>92</v>
      </c>
      <c r="AK302" s="79">
        <v>48</v>
      </c>
      <c r="BB302" s="370" t="s">
        <v>1</v>
      </c>
      <c r="BM302" s="75">
        <f t="shared" si="32"/>
        <v>0</v>
      </c>
      <c r="BN302" s="75">
        <f t="shared" si="33"/>
        <v>0</v>
      </c>
      <c r="BO302" s="75">
        <f t="shared" si="34"/>
        <v>0</v>
      </c>
      <c r="BP302" s="75">
        <f t="shared" si="35"/>
        <v>0</v>
      </c>
    </row>
    <row r="303" spans="1:68" hidden="1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68" t="s">
        <v>75</v>
      </c>
      <c r="Q303" s="569"/>
      <c r="R303" s="569"/>
      <c r="S303" s="569"/>
      <c r="T303" s="569"/>
      <c r="U303" s="569"/>
      <c r="V303" s="570"/>
      <c r="W303" s="40" t="s">
        <v>76</v>
      </c>
      <c r="X303" s="41">
        <f>IFERROR(X297/H297,"0")+IFERROR(X298/H298,"0")+IFERROR(X299/H299,"0")+IFERROR(X300/H300,"0")+IFERROR(X301/H301,"0")+IFERROR(X302/H302,"0")</f>
        <v>0</v>
      </c>
      <c r="Y303" s="41">
        <f>IFERROR(Y297/H297,"0")+IFERROR(Y298/H298,"0")+IFERROR(Y299/H299,"0")+IFERROR(Y300/H300,"0")+IFERROR(Y301/H301,"0")+IFERROR(Y302/H302,"0")</f>
        <v>0</v>
      </c>
      <c r="Z303" s="41">
        <f>IFERROR(IF(Z297="",0,Z297),"0")+IFERROR(IF(Z298="",0,Z298),"0")+IFERROR(IF(Z299="",0,Z299),"0")+IFERROR(IF(Z300="",0,Z300),"0")+IFERROR(IF(Z301="",0,Z301),"0")+IFERROR(IF(Z302="",0,Z302),"0")</f>
        <v>0</v>
      </c>
      <c r="AA303" s="64"/>
      <c r="AB303" s="64"/>
      <c r="AC303" s="64"/>
    </row>
    <row r="304" spans="1:68" hidden="1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68" t="s">
        <v>75</v>
      </c>
      <c r="Q304" s="569"/>
      <c r="R304" s="569"/>
      <c r="S304" s="569"/>
      <c r="T304" s="569"/>
      <c r="U304" s="569"/>
      <c r="V304" s="570"/>
      <c r="W304" s="40" t="s">
        <v>69</v>
      </c>
      <c r="X304" s="41">
        <f>IFERROR(SUM(X297:X302),"0")</f>
        <v>0</v>
      </c>
      <c r="Y304" s="41">
        <f>IFERROR(SUM(Y297:Y302),"0")</f>
        <v>0</v>
      </c>
      <c r="Z304" s="40"/>
      <c r="AA304" s="64"/>
      <c r="AB304" s="64"/>
      <c r="AC304" s="64"/>
    </row>
    <row r="305" spans="1:68" ht="14.25" hidden="1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63"/>
      <c r="AB305" s="63"/>
      <c r="AC305" s="63"/>
    </row>
    <row r="306" spans="1:68" ht="27" hidden="1" customHeight="1" x14ac:dyDescent="0.25">
      <c r="A306" s="60" t="s">
        <v>490</v>
      </c>
      <c r="B306" s="60" t="s">
        <v>491</v>
      </c>
      <c r="C306" s="34">
        <v>4301030878</v>
      </c>
      <c r="D306" s="558">
        <v>4607091387193</v>
      </c>
      <c r="E306" s="559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110</v>
      </c>
      <c r="L306" s="35" t="s">
        <v>111</v>
      </c>
      <c r="M306" s="36" t="s">
        <v>68</v>
      </c>
      <c r="N306" s="36"/>
      <c r="O306" s="35">
        <v>35</v>
      </c>
      <c r="P306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7"/>
      <c r="V306" s="37"/>
      <c r="W306" s="38" t="s">
        <v>69</v>
      </c>
      <c r="X306" s="56">
        <v>0</v>
      </c>
      <c r="Y306" s="53">
        <f t="shared" ref="Y306:Y311" si="36">IFERROR(IF(X306="",0,CEILING((X306/$H306),1)*$H306),"")</f>
        <v>0</v>
      </c>
      <c r="Z306" s="39" t="str">
        <f>IFERROR(IF(Y306=0,"",ROUNDUP(Y306/H306,0)*0.00902),"")</f>
        <v/>
      </c>
      <c r="AA306" s="65"/>
      <c r="AB306" s="66"/>
      <c r="AC306" s="371" t="s">
        <v>492</v>
      </c>
      <c r="AG306" s="75"/>
      <c r="AJ306" s="79" t="s">
        <v>92</v>
      </c>
      <c r="AK306" s="79">
        <v>50.4</v>
      </c>
      <c r="BB306" s="372" t="s">
        <v>1</v>
      </c>
      <c r="BM306" s="75">
        <f t="shared" ref="BM306:BM311" si="37">IFERROR(X306*I306/H306,"0")</f>
        <v>0</v>
      </c>
      <c r="BN306" s="75">
        <f t="shared" ref="BN306:BN311" si="38">IFERROR(Y306*I306/H306,"0")</f>
        <v>0</v>
      </c>
      <c r="BO306" s="75">
        <f t="shared" ref="BO306:BO311" si="39">IFERROR(1/J306*(X306/H306),"0")</f>
        <v>0</v>
      </c>
      <c r="BP306" s="75">
        <f t="shared" ref="BP306:BP311" si="40">IFERROR(1/J306*(Y306/H306),"0")</f>
        <v>0</v>
      </c>
    </row>
    <row r="307" spans="1:68" ht="27" customHeight="1" x14ac:dyDescent="0.25">
      <c r="A307" s="60" t="s">
        <v>493</v>
      </c>
      <c r="B307" s="60" t="s">
        <v>494</v>
      </c>
      <c r="C307" s="34">
        <v>4301031153</v>
      </c>
      <c r="D307" s="558">
        <v>4607091387230</v>
      </c>
      <c r="E307" s="559"/>
      <c r="F307" s="59">
        <v>0.7</v>
      </c>
      <c r="G307" s="35">
        <v>6</v>
      </c>
      <c r="H307" s="59">
        <v>4.2</v>
      </c>
      <c r="I307" s="59">
        <v>4.45</v>
      </c>
      <c r="J307" s="35">
        <v>132</v>
      </c>
      <c r="K307" s="35" t="s">
        <v>110</v>
      </c>
      <c r="L307" s="35" t="s">
        <v>111</v>
      </c>
      <c r="M307" s="36" t="s">
        <v>68</v>
      </c>
      <c r="N307" s="36"/>
      <c r="O307" s="35">
        <v>40</v>
      </c>
      <c r="P307" s="8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7"/>
      <c r="V307" s="37"/>
      <c r="W307" s="38" t="s">
        <v>69</v>
      </c>
      <c r="X307" s="56">
        <v>80</v>
      </c>
      <c r="Y307" s="53">
        <f t="shared" si="36"/>
        <v>84</v>
      </c>
      <c r="Z307" s="39">
        <f>IFERROR(IF(Y307=0,"",ROUNDUP(Y307/H307,0)*0.00902),"")</f>
        <v>0.1804</v>
      </c>
      <c r="AA307" s="65"/>
      <c r="AB307" s="66"/>
      <c r="AC307" s="373" t="s">
        <v>495</v>
      </c>
      <c r="AG307" s="75"/>
      <c r="AJ307" s="79" t="s">
        <v>92</v>
      </c>
      <c r="AK307" s="79">
        <v>50.4</v>
      </c>
      <c r="BB307" s="374" t="s">
        <v>1</v>
      </c>
      <c r="BM307" s="75">
        <f t="shared" si="37"/>
        <v>84.761904761904759</v>
      </c>
      <c r="BN307" s="75">
        <f t="shared" si="38"/>
        <v>89</v>
      </c>
      <c r="BO307" s="75">
        <f t="shared" si="39"/>
        <v>0.14430014430014429</v>
      </c>
      <c r="BP307" s="75">
        <f t="shared" si="40"/>
        <v>0.15151515151515152</v>
      </c>
    </row>
    <row r="308" spans="1:68" ht="27" hidden="1" customHeight="1" x14ac:dyDescent="0.25">
      <c r="A308" s="60" t="s">
        <v>496</v>
      </c>
      <c r="B308" s="60" t="s">
        <v>497</v>
      </c>
      <c r="C308" s="34">
        <v>4301031154</v>
      </c>
      <c r="D308" s="558">
        <v>4607091387292</v>
      </c>
      <c r="E308" s="559"/>
      <c r="F308" s="59">
        <v>0.73</v>
      </c>
      <c r="G308" s="35">
        <v>6</v>
      </c>
      <c r="H308" s="59">
        <v>4.38</v>
      </c>
      <c r="I308" s="59">
        <v>4.63</v>
      </c>
      <c r="J308" s="35">
        <v>132</v>
      </c>
      <c r="K308" s="35" t="s">
        <v>110</v>
      </c>
      <c r="L308" s="35"/>
      <c r="M308" s="36" t="s">
        <v>68</v>
      </c>
      <c r="N308" s="36"/>
      <c r="O308" s="35">
        <v>45</v>
      </c>
      <c r="P308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7"/>
      <c r="V308" s="37"/>
      <c r="W308" s="38" t="s">
        <v>69</v>
      </c>
      <c r="X308" s="56">
        <v>0</v>
      </c>
      <c r="Y308" s="53">
        <f t="shared" si="36"/>
        <v>0</v>
      </c>
      <c r="Z308" s="39" t="str">
        <f>IFERROR(IF(Y308=0,"",ROUNDUP(Y308/H308,0)*0.00902),"")</f>
        <v/>
      </c>
      <c r="AA308" s="65"/>
      <c r="AB308" s="66"/>
      <c r="AC308" s="375" t="s">
        <v>498</v>
      </c>
      <c r="AG308" s="75"/>
      <c r="AJ308" s="79"/>
      <c r="AK308" s="79">
        <v>0</v>
      </c>
      <c r="BB308" s="376" t="s">
        <v>1</v>
      </c>
      <c r="BM308" s="75">
        <f t="shared" si="37"/>
        <v>0</v>
      </c>
      <c r="BN308" s="75">
        <f t="shared" si="38"/>
        <v>0</v>
      </c>
      <c r="BO308" s="75">
        <f t="shared" si="39"/>
        <v>0</v>
      </c>
      <c r="BP308" s="75">
        <f t="shared" si="40"/>
        <v>0</v>
      </c>
    </row>
    <row r="309" spans="1:68" ht="27" hidden="1" customHeight="1" x14ac:dyDescent="0.25">
      <c r="A309" s="60" t="s">
        <v>499</v>
      </c>
      <c r="B309" s="60" t="s">
        <v>500</v>
      </c>
      <c r="C309" s="34">
        <v>4301031152</v>
      </c>
      <c r="D309" s="558">
        <v>4607091387285</v>
      </c>
      <c r="E309" s="559"/>
      <c r="F309" s="59">
        <v>0.35</v>
      </c>
      <c r="G309" s="35">
        <v>6</v>
      </c>
      <c r="H309" s="59">
        <v>2.1</v>
      </c>
      <c r="I309" s="59">
        <v>2.23</v>
      </c>
      <c r="J309" s="35">
        <v>234</v>
      </c>
      <c r="K309" s="35" t="s">
        <v>73</v>
      </c>
      <c r="L309" s="35" t="s">
        <v>285</v>
      </c>
      <c r="M309" s="36" t="s">
        <v>68</v>
      </c>
      <c r="N309" s="36"/>
      <c r="O309" s="35">
        <v>40</v>
      </c>
      <c r="P309" s="5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7"/>
      <c r="V309" s="37"/>
      <c r="W309" s="38" t="s">
        <v>69</v>
      </c>
      <c r="X309" s="56">
        <v>0</v>
      </c>
      <c r="Y309" s="53">
        <f t="shared" si="36"/>
        <v>0</v>
      </c>
      <c r="Z309" s="39" t="str">
        <f>IFERROR(IF(Y309=0,"",ROUNDUP(Y309/H309,0)*0.00502),"")</f>
        <v/>
      </c>
      <c r="AA309" s="65"/>
      <c r="AB309" s="66"/>
      <c r="AC309" s="377" t="s">
        <v>495</v>
      </c>
      <c r="AG309" s="75"/>
      <c r="AJ309" s="79" t="s">
        <v>92</v>
      </c>
      <c r="AK309" s="79">
        <v>37.799999999999997</v>
      </c>
      <c r="BB309" s="378" t="s">
        <v>1</v>
      </c>
      <c r="BM309" s="75">
        <f t="shared" si="37"/>
        <v>0</v>
      </c>
      <c r="BN309" s="75">
        <f t="shared" si="38"/>
        <v>0</v>
      </c>
      <c r="BO309" s="75">
        <f t="shared" si="39"/>
        <v>0</v>
      </c>
      <c r="BP309" s="75">
        <f t="shared" si="40"/>
        <v>0</v>
      </c>
    </row>
    <row r="310" spans="1:68" ht="27" hidden="1" customHeight="1" x14ac:dyDescent="0.25">
      <c r="A310" s="60" t="s">
        <v>501</v>
      </c>
      <c r="B310" s="60" t="s">
        <v>502</v>
      </c>
      <c r="C310" s="34">
        <v>4301031305</v>
      </c>
      <c r="D310" s="558">
        <v>4607091389845</v>
      </c>
      <c r="E310" s="559"/>
      <c r="F310" s="59">
        <v>0.35</v>
      </c>
      <c r="G310" s="35">
        <v>6</v>
      </c>
      <c r="H310" s="59">
        <v>2.1</v>
      </c>
      <c r="I310" s="59">
        <v>2.2000000000000002</v>
      </c>
      <c r="J310" s="35">
        <v>234</v>
      </c>
      <c r="K310" s="35" t="s">
        <v>73</v>
      </c>
      <c r="L310" s="35" t="s">
        <v>285</v>
      </c>
      <c r="M310" s="36" t="s">
        <v>68</v>
      </c>
      <c r="N310" s="36"/>
      <c r="O310" s="35">
        <v>40</v>
      </c>
      <c r="P310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7"/>
      <c r="V310" s="37"/>
      <c r="W310" s="38" t="s">
        <v>69</v>
      </c>
      <c r="X310" s="56">
        <v>0</v>
      </c>
      <c r="Y310" s="53">
        <f t="shared" si="36"/>
        <v>0</v>
      </c>
      <c r="Z310" s="39" t="str">
        <f>IFERROR(IF(Y310=0,"",ROUNDUP(Y310/H310,0)*0.00502),"")</f>
        <v/>
      </c>
      <c r="AA310" s="65"/>
      <c r="AB310" s="66"/>
      <c r="AC310" s="379" t="s">
        <v>503</v>
      </c>
      <c r="AG310" s="75"/>
      <c r="AJ310" s="79" t="s">
        <v>92</v>
      </c>
      <c r="AK310" s="79">
        <v>37.799999999999997</v>
      </c>
      <c r="BB310" s="380" t="s">
        <v>1</v>
      </c>
      <c r="BM310" s="75">
        <f t="shared" si="37"/>
        <v>0</v>
      </c>
      <c r="BN310" s="75">
        <f t="shared" si="38"/>
        <v>0</v>
      </c>
      <c r="BO310" s="75">
        <f t="shared" si="39"/>
        <v>0</v>
      </c>
      <c r="BP310" s="75">
        <f t="shared" si="40"/>
        <v>0</v>
      </c>
    </row>
    <row r="311" spans="1:68" ht="27" hidden="1" customHeight="1" x14ac:dyDescent="0.25">
      <c r="A311" s="60" t="s">
        <v>504</v>
      </c>
      <c r="B311" s="60" t="s">
        <v>505</v>
      </c>
      <c r="C311" s="34">
        <v>4301031066</v>
      </c>
      <c r="D311" s="558">
        <v>4607091383836</v>
      </c>
      <c r="E311" s="559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67</v>
      </c>
      <c r="L311" s="35" t="s">
        <v>90</v>
      </c>
      <c r="M311" s="36" t="s">
        <v>68</v>
      </c>
      <c r="N311" s="36"/>
      <c r="O311" s="35">
        <v>40</v>
      </c>
      <c r="P311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7"/>
      <c r="V311" s="37"/>
      <c r="W311" s="38" t="s">
        <v>69</v>
      </c>
      <c r="X311" s="56">
        <v>0</v>
      </c>
      <c r="Y311" s="53">
        <f t="shared" si="36"/>
        <v>0</v>
      </c>
      <c r="Z311" s="39" t="str">
        <f>IFERROR(IF(Y311=0,"",ROUNDUP(Y311/H311,0)*0.00651),"")</f>
        <v/>
      </c>
      <c r="AA311" s="65"/>
      <c r="AB311" s="66"/>
      <c r="AC311" s="381" t="s">
        <v>506</v>
      </c>
      <c r="AG311" s="75"/>
      <c r="AJ311" s="79" t="s">
        <v>92</v>
      </c>
      <c r="AK311" s="79">
        <v>25.2</v>
      </c>
      <c r="BB311" s="382" t="s">
        <v>1</v>
      </c>
      <c r="BM311" s="75">
        <f t="shared" si="37"/>
        <v>0</v>
      </c>
      <c r="BN311" s="75">
        <f t="shared" si="38"/>
        <v>0</v>
      </c>
      <c r="BO311" s="75">
        <f t="shared" si="39"/>
        <v>0</v>
      </c>
      <c r="BP311" s="75">
        <f t="shared" si="40"/>
        <v>0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68" t="s">
        <v>75</v>
      </c>
      <c r="Q312" s="569"/>
      <c r="R312" s="569"/>
      <c r="S312" s="569"/>
      <c r="T312" s="569"/>
      <c r="U312" s="569"/>
      <c r="V312" s="570"/>
      <c r="W312" s="40" t="s">
        <v>76</v>
      </c>
      <c r="X312" s="41">
        <f>IFERROR(X306/H306,"0")+IFERROR(X307/H307,"0")+IFERROR(X308/H308,"0")+IFERROR(X309/H309,"0")+IFERROR(X310/H310,"0")+IFERROR(X311/H311,"0")</f>
        <v>19.047619047619047</v>
      </c>
      <c r="Y312" s="41">
        <f>IFERROR(Y306/H306,"0")+IFERROR(Y307/H307,"0")+IFERROR(Y308/H308,"0")+IFERROR(Y309/H309,"0")+IFERROR(Y310/H310,"0")+IFERROR(Y311/H311,"0")</f>
        <v>20</v>
      </c>
      <c r="Z312" s="41">
        <f>IFERROR(IF(Z306="",0,Z306),"0")+IFERROR(IF(Z307="",0,Z307),"0")+IFERROR(IF(Z308="",0,Z308),"0")+IFERROR(IF(Z309="",0,Z309),"0")+IFERROR(IF(Z310="",0,Z310),"0")+IFERROR(IF(Z311="",0,Z311),"0")</f>
        <v>0.1804</v>
      </c>
      <c r="AA312" s="64"/>
      <c r="AB312" s="64"/>
      <c r="AC312" s="6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8" t="s">
        <v>75</v>
      </c>
      <c r="Q313" s="569"/>
      <c r="R313" s="569"/>
      <c r="S313" s="569"/>
      <c r="T313" s="569"/>
      <c r="U313" s="569"/>
      <c r="V313" s="570"/>
      <c r="W313" s="40" t="s">
        <v>69</v>
      </c>
      <c r="X313" s="41">
        <f>IFERROR(SUM(X306:X311),"0")</f>
        <v>80</v>
      </c>
      <c r="Y313" s="41">
        <f>IFERROR(SUM(Y306:Y311),"0")</f>
        <v>84</v>
      </c>
      <c r="Z313" s="40"/>
      <c r="AA313" s="64"/>
      <c r="AB313" s="64"/>
      <c r="AC313" s="64"/>
    </row>
    <row r="314" spans="1:68" ht="14.25" hidden="1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63"/>
      <c r="AB314" s="63"/>
      <c r="AC314" s="63"/>
    </row>
    <row r="315" spans="1:68" ht="27" hidden="1" customHeight="1" x14ac:dyDescent="0.25">
      <c r="A315" s="60" t="s">
        <v>507</v>
      </c>
      <c r="B315" s="60" t="s">
        <v>508</v>
      </c>
      <c r="C315" s="34">
        <v>4301051100</v>
      </c>
      <c r="D315" s="558">
        <v>4607091387766</v>
      </c>
      <c r="E315" s="559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104</v>
      </c>
      <c r="L315" s="35" t="s">
        <v>105</v>
      </c>
      <c r="M315" s="36" t="s">
        <v>80</v>
      </c>
      <c r="N315" s="36"/>
      <c r="O315" s="35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7"/>
      <c r="V315" s="37"/>
      <c r="W315" s="38" t="s">
        <v>69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/>
      <c r="AB315" s="66"/>
      <c r="AC315" s="383" t="s">
        <v>509</v>
      </c>
      <c r="AG315" s="75"/>
      <c r="AJ315" s="79" t="s">
        <v>92</v>
      </c>
      <c r="AK315" s="79">
        <v>62.4</v>
      </c>
      <c r="BB315" s="384" t="s">
        <v>1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510</v>
      </c>
      <c r="B316" s="60" t="s">
        <v>511</v>
      </c>
      <c r="C316" s="34">
        <v>4301051818</v>
      </c>
      <c r="D316" s="558">
        <v>4607091387957</v>
      </c>
      <c r="E316" s="559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104</v>
      </c>
      <c r="L316" s="35"/>
      <c r="M316" s="36" t="s">
        <v>80</v>
      </c>
      <c r="N316" s="36"/>
      <c r="O316" s="35">
        <v>40</v>
      </c>
      <c r="P316" s="5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7"/>
      <c r="V316" s="37"/>
      <c r="W316" s="38" t="s">
        <v>69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85" t="s">
        <v>512</v>
      </c>
      <c r="AG316" s="75"/>
      <c r="AJ316" s="79"/>
      <c r="AK316" s="79">
        <v>0</v>
      </c>
      <c r="BB316" s="386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513</v>
      </c>
      <c r="B317" s="60" t="s">
        <v>514</v>
      </c>
      <c r="C317" s="34">
        <v>4301051819</v>
      </c>
      <c r="D317" s="558">
        <v>4607091387964</v>
      </c>
      <c r="E317" s="559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104</v>
      </c>
      <c r="L317" s="35"/>
      <c r="M317" s="36" t="s">
        <v>80</v>
      </c>
      <c r="N317" s="36"/>
      <c r="O317" s="35">
        <v>40</v>
      </c>
      <c r="P317" s="8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7"/>
      <c r="V317" s="37"/>
      <c r="W317" s="38" t="s">
        <v>69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87" t="s">
        <v>515</v>
      </c>
      <c r="AG317" s="75"/>
      <c r="AJ317" s="79"/>
      <c r="AK317" s="79">
        <v>0</v>
      </c>
      <c r="BB317" s="38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516</v>
      </c>
      <c r="B318" s="60" t="s">
        <v>517</v>
      </c>
      <c r="C318" s="34">
        <v>4301051734</v>
      </c>
      <c r="D318" s="558">
        <v>4680115884588</v>
      </c>
      <c r="E318" s="559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67</v>
      </c>
      <c r="L318" s="35" t="s">
        <v>90</v>
      </c>
      <c r="M318" s="36" t="s">
        <v>80</v>
      </c>
      <c r="N318" s="36"/>
      <c r="O318" s="35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7"/>
      <c r="V318" s="37"/>
      <c r="W318" s="38" t="s">
        <v>69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89" t="s">
        <v>518</v>
      </c>
      <c r="AG318" s="75"/>
      <c r="AJ318" s="79" t="s">
        <v>92</v>
      </c>
      <c r="AK318" s="79">
        <v>42</v>
      </c>
      <c r="BB318" s="39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8" t="s">
        <v>75</v>
      </c>
      <c r="Q319" s="569"/>
      <c r="R319" s="569"/>
      <c r="S319" s="569"/>
      <c r="T319" s="569"/>
      <c r="U319" s="569"/>
      <c r="V319" s="570"/>
      <c r="W319" s="40" t="s">
        <v>76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8" t="s">
        <v>75</v>
      </c>
      <c r="Q320" s="569"/>
      <c r="R320" s="569"/>
      <c r="S320" s="569"/>
      <c r="T320" s="569"/>
      <c r="U320" s="569"/>
      <c r="V320" s="570"/>
      <c r="W320" s="40" t="s">
        <v>69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63"/>
      <c r="AB321" s="63"/>
      <c r="AC321" s="63"/>
    </row>
    <row r="322" spans="1:68" ht="27" hidden="1" customHeight="1" x14ac:dyDescent="0.25">
      <c r="A322" s="60" t="s">
        <v>519</v>
      </c>
      <c r="B322" s="60" t="s">
        <v>520</v>
      </c>
      <c r="C322" s="34">
        <v>4301060387</v>
      </c>
      <c r="D322" s="558">
        <v>4607091380880</v>
      </c>
      <c r="E322" s="559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104</v>
      </c>
      <c r="L322" s="35" t="s">
        <v>105</v>
      </c>
      <c r="M322" s="36" t="s">
        <v>80</v>
      </c>
      <c r="N322" s="36"/>
      <c r="O322" s="35">
        <v>30</v>
      </c>
      <c r="P322" s="6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7"/>
      <c r="V322" s="37"/>
      <c r="W322" s="38" t="s">
        <v>69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/>
      <c r="AB322" s="66"/>
      <c r="AC322" s="391" t="s">
        <v>521</v>
      </c>
      <c r="AG322" s="75"/>
      <c r="AJ322" s="79" t="s">
        <v>92</v>
      </c>
      <c r="AK322" s="79">
        <v>67.2</v>
      </c>
      <c r="BB322" s="392" t="s">
        <v>1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522</v>
      </c>
      <c r="B323" s="60" t="s">
        <v>523</v>
      </c>
      <c r="C323" s="34">
        <v>4301060406</v>
      </c>
      <c r="D323" s="558">
        <v>4607091384482</v>
      </c>
      <c r="E323" s="559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104</v>
      </c>
      <c r="L323" s="35" t="s">
        <v>105</v>
      </c>
      <c r="M323" s="36" t="s">
        <v>80</v>
      </c>
      <c r="N323" s="36"/>
      <c r="O323" s="35">
        <v>30</v>
      </c>
      <c r="P323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7"/>
      <c r="V323" s="37"/>
      <c r="W323" s="38" t="s">
        <v>69</v>
      </c>
      <c r="X323" s="56">
        <v>200</v>
      </c>
      <c r="Y323" s="53">
        <f>IFERROR(IF(X323="",0,CEILING((X323/$H323),1)*$H323),"")</f>
        <v>202.79999999999998</v>
      </c>
      <c r="Z323" s="39">
        <f>IFERROR(IF(Y323=0,"",ROUNDUP(Y323/H323,0)*0.01898),"")</f>
        <v>0.49348000000000003</v>
      </c>
      <c r="AA323" s="65"/>
      <c r="AB323" s="66"/>
      <c r="AC323" s="393" t="s">
        <v>524</v>
      </c>
      <c r="AG323" s="75"/>
      <c r="AJ323" s="79" t="s">
        <v>92</v>
      </c>
      <c r="AK323" s="79">
        <v>62.4</v>
      </c>
      <c r="BB323" s="394" t="s">
        <v>1</v>
      </c>
      <c r="BM323" s="75">
        <f>IFERROR(X323*I323/H323,"0")</f>
        <v>212.66666666666669</v>
      </c>
      <c r="BN323" s="75">
        <f>IFERROR(Y323*I323/H323,"0")</f>
        <v>215.64399999999998</v>
      </c>
      <c r="BO323" s="75">
        <f>IFERROR(1/J323*(X323/H323),"0")</f>
        <v>0.40064102564102566</v>
      </c>
      <c r="BP323" s="75">
        <f>IFERROR(1/J323*(Y323/H323),"0")</f>
        <v>0.40625</v>
      </c>
    </row>
    <row r="324" spans="1:68" ht="16.5" hidden="1" customHeight="1" x14ac:dyDescent="0.25">
      <c r="A324" s="60" t="s">
        <v>525</v>
      </c>
      <c r="B324" s="60" t="s">
        <v>526</v>
      </c>
      <c r="C324" s="34">
        <v>4301060484</v>
      </c>
      <c r="D324" s="558">
        <v>4607091380897</v>
      </c>
      <c r="E324" s="559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104</v>
      </c>
      <c r="L324" s="35" t="s">
        <v>105</v>
      </c>
      <c r="M324" s="36" t="s">
        <v>86</v>
      </c>
      <c r="N324" s="36"/>
      <c r="O324" s="35">
        <v>30</v>
      </c>
      <c r="P324" s="7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7"/>
      <c r="V324" s="37"/>
      <c r="W324" s="38" t="s">
        <v>69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395" t="s">
        <v>527</v>
      </c>
      <c r="AG324" s="75"/>
      <c r="AJ324" s="79" t="s">
        <v>92</v>
      </c>
      <c r="AK324" s="79">
        <v>67.2</v>
      </c>
      <c r="BB324" s="396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68" t="s">
        <v>75</v>
      </c>
      <c r="Q325" s="569"/>
      <c r="R325" s="569"/>
      <c r="S325" s="569"/>
      <c r="T325" s="569"/>
      <c r="U325" s="569"/>
      <c r="V325" s="570"/>
      <c r="W325" s="40" t="s">
        <v>76</v>
      </c>
      <c r="X325" s="41">
        <f>IFERROR(X322/H322,"0")+IFERROR(X323/H323,"0")+IFERROR(X324/H324,"0")</f>
        <v>25.641025641025642</v>
      </c>
      <c r="Y325" s="41">
        <f>IFERROR(Y322/H322,"0")+IFERROR(Y323/H323,"0")+IFERROR(Y324/H324,"0")</f>
        <v>26</v>
      </c>
      <c r="Z325" s="41">
        <f>IFERROR(IF(Z322="",0,Z322),"0")+IFERROR(IF(Z323="",0,Z323),"0")+IFERROR(IF(Z324="",0,Z324),"0")</f>
        <v>0.49348000000000003</v>
      </c>
      <c r="AA325" s="64"/>
      <c r="AB325" s="64"/>
      <c r="AC325" s="6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8" t="s">
        <v>75</v>
      </c>
      <c r="Q326" s="569"/>
      <c r="R326" s="569"/>
      <c r="S326" s="569"/>
      <c r="T326" s="569"/>
      <c r="U326" s="569"/>
      <c r="V326" s="570"/>
      <c r="W326" s="40" t="s">
        <v>69</v>
      </c>
      <c r="X326" s="41">
        <f>IFERROR(SUM(X322:X324),"0")</f>
        <v>200</v>
      </c>
      <c r="Y326" s="41">
        <f>IFERROR(SUM(Y322:Y324),"0")</f>
        <v>202.79999999999998</v>
      </c>
      <c r="Z326" s="40"/>
      <c r="AA326" s="64"/>
      <c r="AB326" s="64"/>
      <c r="AC326" s="64"/>
    </row>
    <row r="327" spans="1:68" ht="14.25" hidden="1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63"/>
      <c r="AB327" s="63"/>
      <c r="AC327" s="63"/>
    </row>
    <row r="328" spans="1:68" ht="27" hidden="1" customHeight="1" x14ac:dyDescent="0.25">
      <c r="A328" s="60" t="s">
        <v>528</v>
      </c>
      <c r="B328" s="60" t="s">
        <v>529</v>
      </c>
      <c r="C328" s="34">
        <v>4301030235</v>
      </c>
      <c r="D328" s="558">
        <v>4607091388381</v>
      </c>
      <c r="E328" s="559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110</v>
      </c>
      <c r="L328" s="35"/>
      <c r="M328" s="36" t="s">
        <v>96</v>
      </c>
      <c r="N328" s="36"/>
      <c r="O328" s="35">
        <v>180</v>
      </c>
      <c r="P328" s="5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7"/>
      <c r="V328" s="37"/>
      <c r="W328" s="38" t="s">
        <v>69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397" t="s">
        <v>530</v>
      </c>
      <c r="AG328" s="75"/>
      <c r="AJ328" s="79"/>
      <c r="AK328" s="79">
        <v>0</v>
      </c>
      <c r="BB328" s="398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531</v>
      </c>
      <c r="B329" s="60" t="s">
        <v>532</v>
      </c>
      <c r="C329" s="34">
        <v>4301030232</v>
      </c>
      <c r="D329" s="558">
        <v>4607091388374</v>
      </c>
      <c r="E329" s="559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110</v>
      </c>
      <c r="L329" s="35"/>
      <c r="M329" s="36" t="s">
        <v>96</v>
      </c>
      <c r="N329" s="36"/>
      <c r="O329" s="35">
        <v>180</v>
      </c>
      <c r="P329" s="6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7"/>
      <c r="V329" s="37"/>
      <c r="W329" s="38" t="s">
        <v>69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/>
      <c r="AB329" s="66"/>
      <c r="AC329" s="399" t="s">
        <v>530</v>
      </c>
      <c r="AG329" s="75"/>
      <c r="AJ329" s="79"/>
      <c r="AK329" s="79">
        <v>0</v>
      </c>
      <c r="BB329" s="400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533</v>
      </c>
      <c r="B330" s="60" t="s">
        <v>534</v>
      </c>
      <c r="C330" s="34">
        <v>4301032015</v>
      </c>
      <c r="D330" s="558">
        <v>4607091383102</v>
      </c>
      <c r="E330" s="559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67</v>
      </c>
      <c r="L330" s="35"/>
      <c r="M330" s="36" t="s">
        <v>96</v>
      </c>
      <c r="N330" s="36"/>
      <c r="O330" s="35">
        <v>180</v>
      </c>
      <c r="P330" s="8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7"/>
      <c r="V330" s="37"/>
      <c r="W330" s="38" t="s">
        <v>69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/>
      <c r="AB330" s="66"/>
      <c r="AC330" s="401" t="s">
        <v>530</v>
      </c>
      <c r="AG330" s="75"/>
      <c r="AJ330" s="79"/>
      <c r="AK330" s="79">
        <v>0</v>
      </c>
      <c r="BB330" s="402" t="s">
        <v>1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535</v>
      </c>
      <c r="B331" s="60" t="s">
        <v>536</v>
      </c>
      <c r="C331" s="34">
        <v>4301030233</v>
      </c>
      <c r="D331" s="558">
        <v>4607091388404</v>
      </c>
      <c r="E331" s="559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67</v>
      </c>
      <c r="L331" s="35" t="s">
        <v>90</v>
      </c>
      <c r="M331" s="36" t="s">
        <v>96</v>
      </c>
      <c r="N331" s="36"/>
      <c r="O331" s="35">
        <v>180</v>
      </c>
      <c r="P331" s="6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7"/>
      <c r="V331" s="37"/>
      <c r="W331" s="38" t="s">
        <v>69</v>
      </c>
      <c r="X331" s="56">
        <v>25</v>
      </c>
      <c r="Y331" s="53">
        <f>IFERROR(IF(X331="",0,CEILING((X331/$H331),1)*$H331),"")</f>
        <v>25.5</v>
      </c>
      <c r="Z331" s="39">
        <f>IFERROR(IF(Y331=0,"",ROUNDUP(Y331/H331,0)*0.00651),"")</f>
        <v>6.5100000000000005E-2</v>
      </c>
      <c r="AA331" s="65"/>
      <c r="AB331" s="66"/>
      <c r="AC331" s="403" t="s">
        <v>530</v>
      </c>
      <c r="AG331" s="75"/>
      <c r="AJ331" s="79" t="s">
        <v>92</v>
      </c>
      <c r="AK331" s="79">
        <v>35.700000000000003</v>
      </c>
      <c r="BB331" s="404" t="s">
        <v>1</v>
      </c>
      <c r="BM331" s="75">
        <f>IFERROR(X331*I331/H331,"0")</f>
        <v>28.235294117647062</v>
      </c>
      <c r="BN331" s="75">
        <f>IFERROR(Y331*I331/H331,"0")</f>
        <v>28.8</v>
      </c>
      <c r="BO331" s="75">
        <f>IFERROR(1/J331*(X331/H331),"0")</f>
        <v>5.3867700926524466E-2</v>
      </c>
      <c r="BP331" s="75">
        <f>IFERROR(1/J331*(Y331/H331),"0")</f>
        <v>5.4945054945054951E-2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8" t="s">
        <v>75</v>
      </c>
      <c r="Q332" s="569"/>
      <c r="R332" s="569"/>
      <c r="S332" s="569"/>
      <c r="T332" s="569"/>
      <c r="U332" s="569"/>
      <c r="V332" s="570"/>
      <c r="W332" s="40" t="s">
        <v>76</v>
      </c>
      <c r="X332" s="41">
        <f>IFERROR(X328/H328,"0")+IFERROR(X329/H329,"0")+IFERROR(X330/H330,"0")+IFERROR(X331/H331,"0")</f>
        <v>9.8039215686274517</v>
      </c>
      <c r="Y332" s="41">
        <f>IFERROR(Y328/H328,"0")+IFERROR(Y329/H329,"0")+IFERROR(Y330/H330,"0")+IFERROR(Y331/H331,"0")</f>
        <v>10</v>
      </c>
      <c r="Z332" s="41">
        <f>IFERROR(IF(Z328="",0,Z328),"0")+IFERROR(IF(Z329="",0,Z329),"0")+IFERROR(IF(Z330="",0,Z330),"0")+IFERROR(IF(Z331="",0,Z331),"0")</f>
        <v>6.5100000000000005E-2</v>
      </c>
      <c r="AA332" s="64"/>
      <c r="AB332" s="64"/>
      <c r="AC332" s="6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8" t="s">
        <v>75</v>
      </c>
      <c r="Q333" s="569"/>
      <c r="R333" s="569"/>
      <c r="S333" s="569"/>
      <c r="T333" s="569"/>
      <c r="U333" s="569"/>
      <c r="V333" s="570"/>
      <c r="W333" s="40" t="s">
        <v>69</v>
      </c>
      <c r="X333" s="41">
        <f>IFERROR(SUM(X328:X331),"0")</f>
        <v>25</v>
      </c>
      <c r="Y333" s="41">
        <f>IFERROR(SUM(Y328:Y331),"0")</f>
        <v>25.5</v>
      </c>
      <c r="Z333" s="40"/>
      <c r="AA333" s="64"/>
      <c r="AB333" s="64"/>
      <c r="AC333" s="64"/>
    </row>
    <row r="334" spans="1:68" ht="14.25" hidden="1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63"/>
      <c r="AB334" s="63"/>
      <c r="AC334" s="63"/>
    </row>
    <row r="335" spans="1:68" ht="16.5" hidden="1" customHeight="1" x14ac:dyDescent="0.25">
      <c r="A335" s="60" t="s">
        <v>538</v>
      </c>
      <c r="B335" s="60" t="s">
        <v>539</v>
      </c>
      <c r="C335" s="34">
        <v>4301180007</v>
      </c>
      <c r="D335" s="558">
        <v>4680115881808</v>
      </c>
      <c r="E335" s="559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67</v>
      </c>
      <c r="L335" s="35"/>
      <c r="M335" s="36" t="s">
        <v>540</v>
      </c>
      <c r="N335" s="36"/>
      <c r="O335" s="35">
        <v>730</v>
      </c>
      <c r="P335" s="8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7"/>
      <c r="V335" s="37"/>
      <c r="W335" s="38" t="s">
        <v>69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/>
      <c r="AB335" s="66"/>
      <c r="AC335" s="405" t="s">
        <v>541</v>
      </c>
      <c r="AG335" s="75"/>
      <c r="AJ335" s="79"/>
      <c r="AK335" s="79">
        <v>0</v>
      </c>
      <c r="BB335" s="406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542</v>
      </c>
      <c r="B336" s="60" t="s">
        <v>543</v>
      </c>
      <c r="C336" s="34">
        <v>4301180006</v>
      </c>
      <c r="D336" s="558">
        <v>4680115881822</v>
      </c>
      <c r="E336" s="559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67</v>
      </c>
      <c r="L336" s="35"/>
      <c r="M336" s="36" t="s">
        <v>540</v>
      </c>
      <c r="N336" s="36"/>
      <c r="O336" s="35">
        <v>730</v>
      </c>
      <c r="P336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7"/>
      <c r="V336" s="37"/>
      <c r="W336" s="38" t="s">
        <v>69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/>
      <c r="AB336" s="66"/>
      <c r="AC336" s="407" t="s">
        <v>541</v>
      </c>
      <c r="AG336" s="75"/>
      <c r="AJ336" s="79"/>
      <c r="AK336" s="79">
        <v>0</v>
      </c>
      <c r="BB336" s="408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544</v>
      </c>
      <c r="B337" s="60" t="s">
        <v>545</v>
      </c>
      <c r="C337" s="34">
        <v>4301180001</v>
      </c>
      <c r="D337" s="558">
        <v>4680115880016</v>
      </c>
      <c r="E337" s="559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67</v>
      </c>
      <c r="L337" s="35"/>
      <c r="M337" s="36" t="s">
        <v>540</v>
      </c>
      <c r="N337" s="36"/>
      <c r="O337" s="35">
        <v>730</v>
      </c>
      <c r="P337" s="6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7"/>
      <c r="V337" s="37"/>
      <c r="W337" s="38" t="s">
        <v>69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/>
      <c r="AB337" s="66"/>
      <c r="AC337" s="409" t="s">
        <v>541</v>
      </c>
      <c r="AG337" s="75"/>
      <c r="AJ337" s="79"/>
      <c r="AK337" s="79">
        <v>0</v>
      </c>
      <c r="BB337" s="410" t="s">
        <v>1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68" t="s">
        <v>75</v>
      </c>
      <c r="Q338" s="569"/>
      <c r="R338" s="569"/>
      <c r="S338" s="569"/>
      <c r="T338" s="569"/>
      <c r="U338" s="569"/>
      <c r="V338" s="570"/>
      <c r="W338" s="40" t="s">
        <v>76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8" t="s">
        <v>75</v>
      </c>
      <c r="Q339" s="569"/>
      <c r="R339" s="569"/>
      <c r="S339" s="569"/>
      <c r="T339" s="569"/>
      <c r="U339" s="569"/>
      <c r="V339" s="570"/>
      <c r="W339" s="40" t="s">
        <v>69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76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62"/>
      <c r="AB340" s="62"/>
      <c r="AC340" s="62"/>
    </row>
    <row r="341" spans="1:68" ht="14.25" hidden="1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63"/>
      <c r="AB341" s="63"/>
      <c r="AC341" s="63"/>
    </row>
    <row r="342" spans="1:68" ht="27" hidden="1" customHeight="1" x14ac:dyDescent="0.25">
      <c r="A342" s="60" t="s">
        <v>547</v>
      </c>
      <c r="B342" s="60" t="s">
        <v>548</v>
      </c>
      <c r="C342" s="34">
        <v>4301051489</v>
      </c>
      <c r="D342" s="558">
        <v>4607091387919</v>
      </c>
      <c r="E342" s="559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104</v>
      </c>
      <c r="L342" s="35" t="s">
        <v>105</v>
      </c>
      <c r="M342" s="36" t="s">
        <v>86</v>
      </c>
      <c r="N342" s="36"/>
      <c r="O342" s="35">
        <v>45</v>
      </c>
      <c r="P342" s="8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7"/>
      <c r="V342" s="37"/>
      <c r="W342" s="38" t="s">
        <v>69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/>
      <c r="AB342" s="66"/>
      <c r="AC342" s="411" t="s">
        <v>549</v>
      </c>
      <c r="AG342" s="75"/>
      <c r="AJ342" s="79" t="s">
        <v>92</v>
      </c>
      <c r="AK342" s="79">
        <v>64.8</v>
      </c>
      <c r="BB342" s="412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550</v>
      </c>
      <c r="B343" s="60" t="s">
        <v>551</v>
      </c>
      <c r="C343" s="34">
        <v>4301051461</v>
      </c>
      <c r="D343" s="558">
        <v>4680115883604</v>
      </c>
      <c r="E343" s="559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67</v>
      </c>
      <c r="L343" s="35" t="s">
        <v>90</v>
      </c>
      <c r="M343" s="36" t="s">
        <v>80</v>
      </c>
      <c r="N343" s="36"/>
      <c r="O343" s="35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7"/>
      <c r="V343" s="37"/>
      <c r="W343" s="38" t="s">
        <v>69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13" t="s">
        <v>552</v>
      </c>
      <c r="AG343" s="75"/>
      <c r="AJ343" s="79" t="s">
        <v>92</v>
      </c>
      <c r="AK343" s="79">
        <v>29.4</v>
      </c>
      <c r="BB343" s="414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553</v>
      </c>
      <c r="B344" s="60" t="s">
        <v>554</v>
      </c>
      <c r="C344" s="34">
        <v>4301051864</v>
      </c>
      <c r="D344" s="558">
        <v>4680115883567</v>
      </c>
      <c r="E344" s="559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67</v>
      </c>
      <c r="L344" s="35" t="s">
        <v>90</v>
      </c>
      <c r="M344" s="36" t="s">
        <v>86</v>
      </c>
      <c r="N344" s="36"/>
      <c r="O344" s="35">
        <v>40</v>
      </c>
      <c r="P344" s="8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7"/>
      <c r="V344" s="37"/>
      <c r="W344" s="38" t="s">
        <v>69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/>
      <c r="AB344" s="66"/>
      <c r="AC344" s="415" t="s">
        <v>555</v>
      </c>
      <c r="AG344" s="75"/>
      <c r="AJ344" s="79" t="s">
        <v>92</v>
      </c>
      <c r="AK344" s="79">
        <v>29.4</v>
      </c>
      <c r="BB344" s="416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68" t="s">
        <v>75</v>
      </c>
      <c r="Q345" s="569"/>
      <c r="R345" s="569"/>
      <c r="S345" s="569"/>
      <c r="T345" s="569"/>
      <c r="U345" s="569"/>
      <c r="V345" s="570"/>
      <c r="W345" s="40" t="s">
        <v>76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68" t="s">
        <v>75</v>
      </c>
      <c r="Q346" s="569"/>
      <c r="R346" s="569"/>
      <c r="S346" s="569"/>
      <c r="T346" s="569"/>
      <c r="U346" s="569"/>
      <c r="V346" s="570"/>
      <c r="W346" s="40" t="s">
        <v>69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hidden="1" customHeight="1" x14ac:dyDescent="0.2">
      <c r="A347" s="613" t="s">
        <v>556</v>
      </c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52"/>
      <c r="AB347" s="52"/>
      <c r="AC347" s="52"/>
    </row>
    <row r="348" spans="1:68" ht="16.5" hidden="1" customHeight="1" x14ac:dyDescent="0.25">
      <c r="A348" s="576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62"/>
      <c r="AB348" s="62"/>
      <c r="AC348" s="62"/>
    </row>
    <row r="349" spans="1:68" ht="14.25" hidden="1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63"/>
      <c r="AB349" s="63"/>
      <c r="AC349" s="63"/>
    </row>
    <row r="350" spans="1:68" ht="37.5" customHeight="1" x14ac:dyDescent="0.25">
      <c r="A350" s="60" t="s">
        <v>558</v>
      </c>
      <c r="B350" s="60" t="s">
        <v>559</v>
      </c>
      <c r="C350" s="34">
        <v>4301011869</v>
      </c>
      <c r="D350" s="558">
        <v>4680115884847</v>
      </c>
      <c r="E350" s="559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104</v>
      </c>
      <c r="L350" s="35"/>
      <c r="M350" s="36" t="s">
        <v>68</v>
      </c>
      <c r="N350" s="36"/>
      <c r="O350" s="35">
        <v>60</v>
      </c>
      <c r="P350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7"/>
      <c r="V350" s="37"/>
      <c r="W350" s="38" t="s">
        <v>69</v>
      </c>
      <c r="X350" s="56">
        <v>1600</v>
      </c>
      <c r="Y350" s="53">
        <f t="shared" ref="Y350:Y356" si="41">IFERROR(IF(X350="",0,CEILING((X350/$H350),1)*$H350),"")</f>
        <v>1605</v>
      </c>
      <c r="Z350" s="39">
        <f>IFERROR(IF(Y350=0,"",ROUNDUP(Y350/H350,0)*0.02175),"")</f>
        <v>2.3272499999999998</v>
      </c>
      <c r="AA350" s="65"/>
      <c r="AB350" s="66"/>
      <c r="AC350" s="417" t="s">
        <v>560</v>
      </c>
      <c r="AG350" s="75"/>
      <c r="AJ350" s="79"/>
      <c r="AK350" s="79">
        <v>0</v>
      </c>
      <c r="BB350" s="418" t="s">
        <v>1</v>
      </c>
      <c r="BM350" s="75">
        <f t="shared" ref="BM350:BM356" si="42">IFERROR(X350*I350/H350,"0")</f>
        <v>1650.1333333333334</v>
      </c>
      <c r="BN350" s="75">
        <f t="shared" ref="BN350:BN356" si="43">IFERROR(Y350*I350/H350,"0")</f>
        <v>1655.2900000000002</v>
      </c>
      <c r="BO350" s="75">
        <f t="shared" ref="BO350:BO356" si="44">IFERROR(1/J350*(X350/H350),"0")</f>
        <v>2.2222222222222223</v>
      </c>
      <c r="BP350" s="75">
        <f t="shared" ref="BP350:BP356" si="45">IFERROR(1/J350*(Y350/H350),"0")</f>
        <v>2.2291666666666665</v>
      </c>
    </row>
    <row r="351" spans="1:68" ht="27" customHeight="1" x14ac:dyDescent="0.25">
      <c r="A351" s="60" t="s">
        <v>561</v>
      </c>
      <c r="B351" s="60" t="s">
        <v>562</v>
      </c>
      <c r="C351" s="34">
        <v>4301011870</v>
      </c>
      <c r="D351" s="558">
        <v>4680115884854</v>
      </c>
      <c r="E351" s="559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104</v>
      </c>
      <c r="L351" s="35"/>
      <c r="M351" s="36" t="s">
        <v>68</v>
      </c>
      <c r="N351" s="36"/>
      <c r="O351" s="35">
        <v>60</v>
      </c>
      <c r="P351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7"/>
      <c r="V351" s="37"/>
      <c r="W351" s="38" t="s">
        <v>69</v>
      </c>
      <c r="X351" s="56">
        <v>1070</v>
      </c>
      <c r="Y351" s="53">
        <f t="shared" si="41"/>
        <v>1080</v>
      </c>
      <c r="Z351" s="39">
        <f>IFERROR(IF(Y351=0,"",ROUNDUP(Y351/H351,0)*0.02175),"")</f>
        <v>1.5659999999999998</v>
      </c>
      <c r="AA351" s="65"/>
      <c r="AB351" s="66"/>
      <c r="AC351" s="419" t="s">
        <v>563</v>
      </c>
      <c r="AG351" s="75"/>
      <c r="AJ351" s="79"/>
      <c r="AK351" s="79">
        <v>0</v>
      </c>
      <c r="BB351" s="420" t="s">
        <v>1</v>
      </c>
      <c r="BM351" s="75">
        <f t="shared" si="42"/>
        <v>1103.5266666666669</v>
      </c>
      <c r="BN351" s="75">
        <f t="shared" si="43"/>
        <v>1113.8400000000001</v>
      </c>
      <c r="BO351" s="75">
        <f t="shared" si="44"/>
        <v>1.4861111111111109</v>
      </c>
      <c r="BP351" s="75">
        <f t="shared" si="45"/>
        <v>1.5</v>
      </c>
    </row>
    <row r="352" spans="1:68" ht="37.5" customHeight="1" x14ac:dyDescent="0.25">
      <c r="A352" s="60" t="s">
        <v>564</v>
      </c>
      <c r="B352" s="60" t="s">
        <v>565</v>
      </c>
      <c r="C352" s="34">
        <v>4301011867</v>
      </c>
      <c r="D352" s="558">
        <v>4680115884830</v>
      </c>
      <c r="E352" s="559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104</v>
      </c>
      <c r="L352" s="35"/>
      <c r="M352" s="36" t="s">
        <v>68</v>
      </c>
      <c r="N352" s="36"/>
      <c r="O352" s="35">
        <v>60</v>
      </c>
      <c r="P352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7"/>
      <c r="V352" s="37"/>
      <c r="W352" s="38" t="s">
        <v>69</v>
      </c>
      <c r="X352" s="56">
        <v>2150</v>
      </c>
      <c r="Y352" s="53">
        <f t="shared" si="41"/>
        <v>2160</v>
      </c>
      <c r="Z352" s="39">
        <f>IFERROR(IF(Y352=0,"",ROUNDUP(Y352/H352,0)*0.02175),"")</f>
        <v>3.1319999999999997</v>
      </c>
      <c r="AA352" s="65"/>
      <c r="AB352" s="66"/>
      <c r="AC352" s="421" t="s">
        <v>566</v>
      </c>
      <c r="AG352" s="75"/>
      <c r="AJ352" s="79"/>
      <c r="AK352" s="79">
        <v>0</v>
      </c>
      <c r="BB352" s="422" t="s">
        <v>1</v>
      </c>
      <c r="BM352" s="75">
        <f t="shared" si="42"/>
        <v>2217.3666666666668</v>
      </c>
      <c r="BN352" s="75">
        <f t="shared" si="43"/>
        <v>2227.6800000000003</v>
      </c>
      <c r="BO352" s="75">
        <f t="shared" si="44"/>
        <v>2.9861111111111112</v>
      </c>
      <c r="BP352" s="75">
        <f t="shared" si="45"/>
        <v>3</v>
      </c>
    </row>
    <row r="353" spans="1:68" ht="27" hidden="1" customHeight="1" x14ac:dyDescent="0.25">
      <c r="A353" s="60" t="s">
        <v>567</v>
      </c>
      <c r="B353" s="60" t="s">
        <v>568</v>
      </c>
      <c r="C353" s="34">
        <v>4301012215</v>
      </c>
      <c r="D353" s="558">
        <v>4680115887046</v>
      </c>
      <c r="E353" s="559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104</v>
      </c>
      <c r="L353" s="35"/>
      <c r="M353" s="36" t="s">
        <v>86</v>
      </c>
      <c r="N353" s="36"/>
      <c r="O353" s="35">
        <v>60</v>
      </c>
      <c r="P353" s="68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7"/>
      <c r="V353" s="37"/>
      <c r="W353" s="38" t="s">
        <v>69</v>
      </c>
      <c r="X353" s="56">
        <v>0</v>
      </c>
      <c r="Y353" s="53">
        <f t="shared" si="41"/>
        <v>0</v>
      </c>
      <c r="Z353" s="39" t="str">
        <f>IFERROR(IF(Y353=0,"",ROUNDUP(Y353/H353,0)*0.02175),"")</f>
        <v/>
      </c>
      <c r="AA353" s="65"/>
      <c r="AB353" s="66"/>
      <c r="AC353" s="423" t="s">
        <v>569</v>
      </c>
      <c r="AG353" s="75"/>
      <c r="AJ353" s="79"/>
      <c r="AK353" s="79">
        <v>0</v>
      </c>
      <c r="BB353" s="424" t="s">
        <v>1</v>
      </c>
      <c r="BM353" s="75">
        <f t="shared" si="42"/>
        <v>0</v>
      </c>
      <c r="BN353" s="75">
        <f t="shared" si="43"/>
        <v>0</v>
      </c>
      <c r="BO353" s="75">
        <f t="shared" si="44"/>
        <v>0</v>
      </c>
      <c r="BP353" s="75">
        <f t="shared" si="45"/>
        <v>0</v>
      </c>
    </row>
    <row r="354" spans="1:68" ht="27" hidden="1" customHeight="1" x14ac:dyDescent="0.25">
      <c r="A354" s="60" t="s">
        <v>570</v>
      </c>
      <c r="B354" s="60" t="s">
        <v>571</v>
      </c>
      <c r="C354" s="34">
        <v>4301011433</v>
      </c>
      <c r="D354" s="558">
        <v>4680115882638</v>
      </c>
      <c r="E354" s="559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110</v>
      </c>
      <c r="L354" s="35"/>
      <c r="M354" s="36" t="s">
        <v>106</v>
      </c>
      <c r="N354" s="36"/>
      <c r="O354" s="35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7"/>
      <c r="V354" s="37"/>
      <c r="W354" s="38" t="s">
        <v>69</v>
      </c>
      <c r="X354" s="56">
        <v>0</v>
      </c>
      <c r="Y354" s="53">
        <f t="shared" si="41"/>
        <v>0</v>
      </c>
      <c r="Z354" s="39" t="str">
        <f>IFERROR(IF(Y354=0,"",ROUNDUP(Y354/H354,0)*0.00902),"")</f>
        <v/>
      </c>
      <c r="AA354" s="65"/>
      <c r="AB354" s="66"/>
      <c r="AC354" s="425" t="s">
        <v>572</v>
      </c>
      <c r="AG354" s="75"/>
      <c r="AJ354" s="79"/>
      <c r="AK354" s="79">
        <v>0</v>
      </c>
      <c r="BB354" s="426" t="s">
        <v>1</v>
      </c>
      <c r="BM354" s="75">
        <f t="shared" si="42"/>
        <v>0</v>
      </c>
      <c r="BN354" s="75">
        <f t="shared" si="43"/>
        <v>0</v>
      </c>
      <c r="BO354" s="75">
        <f t="shared" si="44"/>
        <v>0</v>
      </c>
      <c r="BP354" s="75">
        <f t="shared" si="45"/>
        <v>0</v>
      </c>
    </row>
    <row r="355" spans="1:68" ht="27" hidden="1" customHeight="1" x14ac:dyDescent="0.25">
      <c r="A355" s="60" t="s">
        <v>573</v>
      </c>
      <c r="B355" s="60" t="s">
        <v>574</v>
      </c>
      <c r="C355" s="34">
        <v>4301011952</v>
      </c>
      <c r="D355" s="558">
        <v>4680115884922</v>
      </c>
      <c r="E355" s="559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110</v>
      </c>
      <c r="L355" s="35"/>
      <c r="M355" s="36" t="s">
        <v>68</v>
      </c>
      <c r="N355" s="36"/>
      <c r="O355" s="35">
        <v>60</v>
      </c>
      <c r="P355" s="8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7"/>
      <c r="V355" s="37"/>
      <c r="W355" s="38" t="s">
        <v>69</v>
      </c>
      <c r="X355" s="56">
        <v>0</v>
      </c>
      <c r="Y355" s="53">
        <f t="shared" si="41"/>
        <v>0</v>
      </c>
      <c r="Z355" s="39" t="str">
        <f>IFERROR(IF(Y355=0,"",ROUNDUP(Y355/H355,0)*0.00902),"")</f>
        <v/>
      </c>
      <c r="AA355" s="65"/>
      <c r="AB355" s="66"/>
      <c r="AC355" s="427" t="s">
        <v>563</v>
      </c>
      <c r="AG355" s="75"/>
      <c r="AJ355" s="79"/>
      <c r="AK355" s="79">
        <v>0</v>
      </c>
      <c r="BB355" s="428" t="s">
        <v>1</v>
      </c>
      <c r="BM355" s="75">
        <f t="shared" si="42"/>
        <v>0</v>
      </c>
      <c r="BN355" s="75">
        <f t="shared" si="43"/>
        <v>0</v>
      </c>
      <c r="BO355" s="75">
        <f t="shared" si="44"/>
        <v>0</v>
      </c>
      <c r="BP355" s="75">
        <f t="shared" si="45"/>
        <v>0</v>
      </c>
    </row>
    <row r="356" spans="1:68" ht="37.5" hidden="1" customHeight="1" x14ac:dyDescent="0.25">
      <c r="A356" s="60" t="s">
        <v>575</v>
      </c>
      <c r="B356" s="60" t="s">
        <v>576</v>
      </c>
      <c r="C356" s="34">
        <v>4301011868</v>
      </c>
      <c r="D356" s="558">
        <v>4680115884861</v>
      </c>
      <c r="E356" s="559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110</v>
      </c>
      <c r="L356" s="35" t="s">
        <v>111</v>
      </c>
      <c r="M356" s="36" t="s">
        <v>68</v>
      </c>
      <c r="N356" s="36"/>
      <c r="O356" s="35">
        <v>60</v>
      </c>
      <c r="P356" s="7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7"/>
      <c r="V356" s="37"/>
      <c r="W356" s="38" t="s">
        <v>69</v>
      </c>
      <c r="X356" s="56">
        <v>0</v>
      </c>
      <c r="Y356" s="53">
        <f t="shared" si="41"/>
        <v>0</v>
      </c>
      <c r="Z356" s="39" t="str">
        <f>IFERROR(IF(Y356=0,"",ROUNDUP(Y356/H356,0)*0.00902),"")</f>
        <v/>
      </c>
      <c r="AA356" s="65"/>
      <c r="AB356" s="66"/>
      <c r="AC356" s="429" t="s">
        <v>566</v>
      </c>
      <c r="AG356" s="75"/>
      <c r="AJ356" s="79" t="s">
        <v>92</v>
      </c>
      <c r="AK356" s="79">
        <v>60</v>
      </c>
      <c r="BB356" s="430" t="s">
        <v>1</v>
      </c>
      <c r="BM356" s="75">
        <f t="shared" si="42"/>
        <v>0</v>
      </c>
      <c r="BN356" s="75">
        <f t="shared" si="43"/>
        <v>0</v>
      </c>
      <c r="BO356" s="75">
        <f t="shared" si="44"/>
        <v>0</v>
      </c>
      <c r="BP356" s="75">
        <f t="shared" si="45"/>
        <v>0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8" t="s">
        <v>75</v>
      </c>
      <c r="Q357" s="569"/>
      <c r="R357" s="569"/>
      <c r="S357" s="569"/>
      <c r="T357" s="569"/>
      <c r="U357" s="569"/>
      <c r="V357" s="570"/>
      <c r="W357" s="40" t="s">
        <v>76</v>
      </c>
      <c r="X357" s="41">
        <f>IFERROR(X350/H350,"0")+IFERROR(X351/H351,"0")+IFERROR(X352/H352,"0")+IFERROR(X353/H353,"0")+IFERROR(X354/H354,"0")+IFERROR(X355/H355,"0")+IFERROR(X356/H356,"0")</f>
        <v>321.33333333333337</v>
      </c>
      <c r="Y357" s="41">
        <f>IFERROR(Y350/H350,"0")+IFERROR(Y351/H351,"0")+IFERROR(Y352/H352,"0")+IFERROR(Y353/H353,"0")+IFERROR(Y354/H354,"0")+IFERROR(Y355/H355,"0")+IFERROR(Y356/H356,"0")</f>
        <v>323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7.0252499999999998</v>
      </c>
      <c r="AA357" s="64"/>
      <c r="AB357" s="64"/>
      <c r="AC357" s="6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68" t="s">
        <v>75</v>
      </c>
      <c r="Q358" s="569"/>
      <c r="R358" s="569"/>
      <c r="S358" s="569"/>
      <c r="T358" s="569"/>
      <c r="U358" s="569"/>
      <c r="V358" s="570"/>
      <c r="W358" s="40" t="s">
        <v>69</v>
      </c>
      <c r="X358" s="41">
        <f>IFERROR(SUM(X350:X356),"0")</f>
        <v>4820</v>
      </c>
      <c r="Y358" s="41">
        <f>IFERROR(SUM(Y350:Y356),"0")</f>
        <v>4845</v>
      </c>
      <c r="Z358" s="40"/>
      <c r="AA358" s="64"/>
      <c r="AB358" s="64"/>
      <c r="AC358" s="64"/>
    </row>
    <row r="359" spans="1:68" ht="14.25" hidden="1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63"/>
      <c r="AB359" s="63"/>
      <c r="AC359" s="63"/>
    </row>
    <row r="360" spans="1:68" ht="27" customHeight="1" x14ac:dyDescent="0.25">
      <c r="A360" s="60" t="s">
        <v>577</v>
      </c>
      <c r="B360" s="60" t="s">
        <v>578</v>
      </c>
      <c r="C360" s="34">
        <v>4301020178</v>
      </c>
      <c r="D360" s="558">
        <v>4607091383980</v>
      </c>
      <c r="E360" s="559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104</v>
      </c>
      <c r="L360" s="35"/>
      <c r="M360" s="36" t="s">
        <v>106</v>
      </c>
      <c r="N360" s="36"/>
      <c r="O360" s="35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7"/>
      <c r="V360" s="37"/>
      <c r="W360" s="38" t="s">
        <v>69</v>
      </c>
      <c r="X360" s="56">
        <v>1500</v>
      </c>
      <c r="Y360" s="53">
        <f>IFERROR(IF(X360="",0,CEILING((X360/$H360),1)*$H360),"")</f>
        <v>1500</v>
      </c>
      <c r="Z360" s="39">
        <f>IFERROR(IF(Y360=0,"",ROUNDUP(Y360/H360,0)*0.02175),"")</f>
        <v>2.1749999999999998</v>
      </c>
      <c r="AA360" s="65"/>
      <c r="AB360" s="66"/>
      <c r="AC360" s="431" t="s">
        <v>579</v>
      </c>
      <c r="AG360" s="75"/>
      <c r="AJ360" s="79"/>
      <c r="AK360" s="79">
        <v>0</v>
      </c>
      <c r="BB360" s="432" t="s">
        <v>1</v>
      </c>
      <c r="BM360" s="75">
        <f>IFERROR(X360*I360/H360,"0")</f>
        <v>1547</v>
      </c>
      <c r="BN360" s="75">
        <f>IFERROR(Y360*I360/H360,"0")</f>
        <v>1547</v>
      </c>
      <c r="BO360" s="75">
        <f>IFERROR(1/J360*(X360/H360),"0")</f>
        <v>2.083333333333333</v>
      </c>
      <c r="BP360" s="75">
        <f>IFERROR(1/J360*(Y360/H360),"0")</f>
        <v>2.083333333333333</v>
      </c>
    </row>
    <row r="361" spans="1:68" ht="27" hidden="1" customHeight="1" x14ac:dyDescent="0.25">
      <c r="A361" s="60" t="s">
        <v>580</v>
      </c>
      <c r="B361" s="60" t="s">
        <v>581</v>
      </c>
      <c r="C361" s="34">
        <v>4301020179</v>
      </c>
      <c r="D361" s="558">
        <v>4607091384178</v>
      </c>
      <c r="E361" s="559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110</v>
      </c>
      <c r="L361" s="35"/>
      <c r="M361" s="36" t="s">
        <v>106</v>
      </c>
      <c r="N361" s="36"/>
      <c r="O361" s="35">
        <v>50</v>
      </c>
      <c r="P361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7"/>
      <c r="V361" s="37"/>
      <c r="W361" s="38" t="s">
        <v>69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/>
      <c r="AB361" s="66"/>
      <c r="AC361" s="433" t="s">
        <v>582</v>
      </c>
      <c r="AG361" s="75"/>
      <c r="AJ361" s="79"/>
      <c r="AK361" s="79">
        <v>0</v>
      </c>
      <c r="BB361" s="434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8" t="s">
        <v>75</v>
      </c>
      <c r="Q362" s="569"/>
      <c r="R362" s="569"/>
      <c r="S362" s="569"/>
      <c r="T362" s="569"/>
      <c r="U362" s="569"/>
      <c r="V362" s="570"/>
      <c r="W362" s="40" t="s">
        <v>76</v>
      </c>
      <c r="X362" s="41">
        <f>IFERROR(X360/H360,"0")+IFERROR(X361/H361,"0")</f>
        <v>100</v>
      </c>
      <c r="Y362" s="41">
        <f>IFERROR(Y360/H360,"0")+IFERROR(Y361/H361,"0")</f>
        <v>100</v>
      </c>
      <c r="Z362" s="41">
        <f>IFERROR(IF(Z360="",0,Z360),"0")+IFERROR(IF(Z361="",0,Z361),"0")</f>
        <v>2.1749999999999998</v>
      </c>
      <c r="AA362" s="64"/>
      <c r="AB362" s="64"/>
      <c r="AC362" s="6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68" t="s">
        <v>75</v>
      </c>
      <c r="Q363" s="569"/>
      <c r="R363" s="569"/>
      <c r="S363" s="569"/>
      <c r="T363" s="569"/>
      <c r="U363" s="569"/>
      <c r="V363" s="570"/>
      <c r="W363" s="40" t="s">
        <v>69</v>
      </c>
      <c r="X363" s="41">
        <f>IFERROR(SUM(X360:X361),"0")</f>
        <v>1500</v>
      </c>
      <c r="Y363" s="41">
        <f>IFERROR(SUM(Y360:Y361),"0")</f>
        <v>1500</v>
      </c>
      <c r="Z363" s="40"/>
      <c r="AA363" s="64"/>
      <c r="AB363" s="64"/>
      <c r="AC363" s="64"/>
    </row>
    <row r="364" spans="1:68" ht="14.25" hidden="1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63"/>
      <c r="AB364" s="63"/>
      <c r="AC364" s="63"/>
    </row>
    <row r="365" spans="1:68" ht="27" customHeight="1" x14ac:dyDescent="0.25">
      <c r="A365" s="60" t="s">
        <v>583</v>
      </c>
      <c r="B365" s="60" t="s">
        <v>584</v>
      </c>
      <c r="C365" s="34">
        <v>4301051903</v>
      </c>
      <c r="D365" s="558">
        <v>4607091383928</v>
      </c>
      <c r="E365" s="559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104</v>
      </c>
      <c r="L365" s="35" t="s">
        <v>105</v>
      </c>
      <c r="M365" s="36" t="s">
        <v>80</v>
      </c>
      <c r="N365" s="36"/>
      <c r="O365" s="35">
        <v>40</v>
      </c>
      <c r="P365" s="8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7"/>
      <c r="V365" s="37"/>
      <c r="W365" s="38" t="s">
        <v>69</v>
      </c>
      <c r="X365" s="56">
        <v>210</v>
      </c>
      <c r="Y365" s="53">
        <f>IFERROR(IF(X365="",0,CEILING((X365/$H365),1)*$H365),"")</f>
        <v>216</v>
      </c>
      <c r="Z365" s="39">
        <f>IFERROR(IF(Y365=0,"",ROUNDUP(Y365/H365,0)*0.01898),"")</f>
        <v>0.45552000000000004</v>
      </c>
      <c r="AA365" s="65"/>
      <c r="AB365" s="66"/>
      <c r="AC365" s="435" t="s">
        <v>585</v>
      </c>
      <c r="AG365" s="75"/>
      <c r="AJ365" s="79" t="s">
        <v>92</v>
      </c>
      <c r="AK365" s="79">
        <v>72</v>
      </c>
      <c r="BB365" s="436" t="s">
        <v>1</v>
      </c>
      <c r="BM365" s="75">
        <f>IFERROR(X365*I365/H365,"0")</f>
        <v>221.66666666666666</v>
      </c>
      <c r="BN365" s="75">
        <f>IFERROR(Y365*I365/H365,"0")</f>
        <v>228</v>
      </c>
      <c r="BO365" s="75">
        <f>IFERROR(1/J365*(X365/H365),"0")</f>
        <v>0.36458333333333331</v>
      </c>
      <c r="BP365" s="75">
        <f>IFERROR(1/J365*(Y365/H365),"0")</f>
        <v>0.375</v>
      </c>
    </row>
    <row r="366" spans="1:68" ht="27" customHeight="1" x14ac:dyDescent="0.25">
      <c r="A366" s="60" t="s">
        <v>586</v>
      </c>
      <c r="B366" s="60" t="s">
        <v>587</v>
      </c>
      <c r="C366" s="34">
        <v>4301051897</v>
      </c>
      <c r="D366" s="558">
        <v>4607091384260</v>
      </c>
      <c r="E366" s="559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104</v>
      </c>
      <c r="L366" s="35" t="s">
        <v>105</v>
      </c>
      <c r="M366" s="36" t="s">
        <v>80</v>
      </c>
      <c r="N366" s="36"/>
      <c r="O366" s="35">
        <v>40</v>
      </c>
      <c r="P366" s="5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7"/>
      <c r="V366" s="37"/>
      <c r="W366" s="38" t="s">
        <v>69</v>
      </c>
      <c r="X366" s="56">
        <v>100</v>
      </c>
      <c r="Y366" s="53">
        <f>IFERROR(IF(X366="",0,CEILING((X366/$H366),1)*$H366),"")</f>
        <v>108</v>
      </c>
      <c r="Z366" s="39">
        <f>IFERROR(IF(Y366=0,"",ROUNDUP(Y366/H366,0)*0.01898),"")</f>
        <v>0.22776000000000002</v>
      </c>
      <c r="AA366" s="65"/>
      <c r="AB366" s="66"/>
      <c r="AC366" s="437" t="s">
        <v>588</v>
      </c>
      <c r="AG366" s="75"/>
      <c r="AJ366" s="79" t="s">
        <v>92</v>
      </c>
      <c r="AK366" s="79">
        <v>72</v>
      </c>
      <c r="BB366" s="438" t="s">
        <v>1</v>
      </c>
      <c r="BM366" s="75">
        <f>IFERROR(X366*I366/H366,"0")</f>
        <v>105.48888888888888</v>
      </c>
      <c r="BN366" s="75">
        <f>IFERROR(Y366*I366/H366,"0")</f>
        <v>113.92799999999998</v>
      </c>
      <c r="BO366" s="75">
        <f>IFERROR(1/J366*(X366/H366),"0")</f>
        <v>0.1736111111111111</v>
      </c>
      <c r="BP366" s="75">
        <f>IFERROR(1/J366*(Y366/H366),"0")</f>
        <v>0.1875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68" t="s">
        <v>75</v>
      </c>
      <c r="Q367" s="569"/>
      <c r="R367" s="569"/>
      <c r="S367" s="569"/>
      <c r="T367" s="569"/>
      <c r="U367" s="569"/>
      <c r="V367" s="570"/>
      <c r="W367" s="40" t="s">
        <v>76</v>
      </c>
      <c r="X367" s="41">
        <f>IFERROR(X365/H365,"0")+IFERROR(X366/H366,"0")</f>
        <v>34.444444444444443</v>
      </c>
      <c r="Y367" s="41">
        <f>IFERROR(Y365/H365,"0")+IFERROR(Y366/H366,"0")</f>
        <v>36</v>
      </c>
      <c r="Z367" s="41">
        <f>IFERROR(IF(Z365="",0,Z365),"0")+IFERROR(IF(Z366="",0,Z366),"0")</f>
        <v>0.68328000000000011</v>
      </c>
      <c r="AA367" s="64"/>
      <c r="AB367" s="64"/>
      <c r="AC367" s="6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68" t="s">
        <v>75</v>
      </c>
      <c r="Q368" s="569"/>
      <c r="R368" s="569"/>
      <c r="S368" s="569"/>
      <c r="T368" s="569"/>
      <c r="U368" s="569"/>
      <c r="V368" s="570"/>
      <c r="W368" s="40" t="s">
        <v>69</v>
      </c>
      <c r="X368" s="41">
        <f>IFERROR(SUM(X365:X366),"0")</f>
        <v>310</v>
      </c>
      <c r="Y368" s="41">
        <f>IFERROR(SUM(Y365:Y366),"0")</f>
        <v>324</v>
      </c>
      <c r="Z368" s="40"/>
      <c r="AA368" s="64"/>
      <c r="AB368" s="64"/>
      <c r="AC368" s="64"/>
    </row>
    <row r="369" spans="1:68" ht="14.25" hidden="1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63"/>
      <c r="AB369" s="63"/>
      <c r="AC369" s="63"/>
    </row>
    <row r="370" spans="1:68" ht="16.5" customHeight="1" x14ac:dyDescent="0.25">
      <c r="A370" s="60" t="s">
        <v>589</v>
      </c>
      <c r="B370" s="60" t="s">
        <v>590</v>
      </c>
      <c r="C370" s="34">
        <v>4301060524</v>
      </c>
      <c r="D370" s="558">
        <v>4607091384673</v>
      </c>
      <c r="E370" s="559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104</v>
      </c>
      <c r="L370" s="35"/>
      <c r="M370" s="36" t="s">
        <v>80</v>
      </c>
      <c r="N370" s="36"/>
      <c r="O370" s="35">
        <v>40</v>
      </c>
      <c r="P370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7"/>
      <c r="V370" s="37"/>
      <c r="W370" s="38" t="s">
        <v>69</v>
      </c>
      <c r="X370" s="56">
        <v>150</v>
      </c>
      <c r="Y370" s="53">
        <f>IFERROR(IF(X370="",0,CEILING((X370/$H370),1)*$H370),"")</f>
        <v>153</v>
      </c>
      <c r="Z370" s="39">
        <f>IFERROR(IF(Y370=0,"",ROUNDUP(Y370/H370,0)*0.01898),"")</f>
        <v>0.32266</v>
      </c>
      <c r="AA370" s="65"/>
      <c r="AB370" s="66"/>
      <c r="AC370" s="439" t="s">
        <v>591</v>
      </c>
      <c r="AG370" s="75"/>
      <c r="AJ370" s="79"/>
      <c r="AK370" s="79">
        <v>0</v>
      </c>
      <c r="BB370" s="440" t="s">
        <v>1</v>
      </c>
      <c r="BM370" s="75">
        <f>IFERROR(X370*I370/H370,"0")</f>
        <v>158.23333333333332</v>
      </c>
      <c r="BN370" s="75">
        <f>IFERROR(Y370*I370/H370,"0")</f>
        <v>161.398</v>
      </c>
      <c r="BO370" s="75">
        <f>IFERROR(1/J370*(X370/H370),"0")</f>
        <v>0.26041666666666669</v>
      </c>
      <c r="BP370" s="75">
        <f>IFERROR(1/J370*(Y370/H370),"0")</f>
        <v>0.265625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8" t="s">
        <v>75</v>
      </c>
      <c r="Q371" s="569"/>
      <c r="R371" s="569"/>
      <c r="S371" s="569"/>
      <c r="T371" s="569"/>
      <c r="U371" s="569"/>
      <c r="V371" s="570"/>
      <c r="W371" s="40" t="s">
        <v>76</v>
      </c>
      <c r="X371" s="41">
        <f>IFERROR(X370/H370,"0")</f>
        <v>16.666666666666668</v>
      </c>
      <c r="Y371" s="41">
        <f>IFERROR(Y370/H370,"0")</f>
        <v>17</v>
      </c>
      <c r="Z371" s="41">
        <f>IFERROR(IF(Z370="",0,Z370),"0")</f>
        <v>0.32266</v>
      </c>
      <c r="AA371" s="64"/>
      <c r="AB371" s="64"/>
      <c r="AC371" s="6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8" t="s">
        <v>75</v>
      </c>
      <c r="Q372" s="569"/>
      <c r="R372" s="569"/>
      <c r="S372" s="569"/>
      <c r="T372" s="569"/>
      <c r="U372" s="569"/>
      <c r="V372" s="570"/>
      <c r="W372" s="40" t="s">
        <v>69</v>
      </c>
      <c r="X372" s="41">
        <f>IFERROR(SUM(X370:X370),"0")</f>
        <v>150</v>
      </c>
      <c r="Y372" s="41">
        <f>IFERROR(SUM(Y370:Y370),"0")</f>
        <v>153</v>
      </c>
      <c r="Z372" s="40"/>
      <c r="AA372" s="64"/>
      <c r="AB372" s="64"/>
      <c r="AC372" s="64"/>
    </row>
    <row r="373" spans="1:68" ht="16.5" hidden="1" customHeight="1" x14ac:dyDescent="0.25">
      <c r="A373" s="576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62"/>
      <c r="AB373" s="62"/>
      <c r="AC373" s="62"/>
    </row>
    <row r="374" spans="1:68" ht="14.25" hidden="1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63"/>
      <c r="AB374" s="63"/>
      <c r="AC374" s="63"/>
    </row>
    <row r="375" spans="1:68" ht="37.5" hidden="1" customHeight="1" x14ac:dyDescent="0.25">
      <c r="A375" s="60" t="s">
        <v>593</v>
      </c>
      <c r="B375" s="60" t="s">
        <v>594</v>
      </c>
      <c r="C375" s="34">
        <v>4301011875</v>
      </c>
      <c r="D375" s="558">
        <v>4680115884885</v>
      </c>
      <c r="E375" s="559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104</v>
      </c>
      <c r="L375" s="35" t="s">
        <v>105</v>
      </c>
      <c r="M375" s="36" t="s">
        <v>68</v>
      </c>
      <c r="N375" s="36"/>
      <c r="O375" s="35">
        <v>60</v>
      </c>
      <c r="P375" s="7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7"/>
      <c r="V375" s="37"/>
      <c r="W375" s="38" t="s">
        <v>69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/>
      <c r="AB375" s="66"/>
      <c r="AC375" s="441" t="s">
        <v>595</v>
      </c>
      <c r="AG375" s="75"/>
      <c r="AJ375" s="79" t="s">
        <v>92</v>
      </c>
      <c r="AK375" s="79">
        <v>96</v>
      </c>
      <c r="BB375" s="442" t="s">
        <v>1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596</v>
      </c>
      <c r="B376" s="60" t="s">
        <v>597</v>
      </c>
      <c r="C376" s="34">
        <v>4301011871</v>
      </c>
      <c r="D376" s="558">
        <v>4680115884908</v>
      </c>
      <c r="E376" s="559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110</v>
      </c>
      <c r="L376" s="35" t="s">
        <v>111</v>
      </c>
      <c r="M376" s="36" t="s">
        <v>68</v>
      </c>
      <c r="N376" s="36"/>
      <c r="O376" s="35">
        <v>60</v>
      </c>
      <c r="P376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7"/>
      <c r="V376" s="37"/>
      <c r="W376" s="38" t="s">
        <v>69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/>
      <c r="AB376" s="66"/>
      <c r="AC376" s="443" t="s">
        <v>595</v>
      </c>
      <c r="AG376" s="75"/>
      <c r="AJ376" s="79" t="s">
        <v>92</v>
      </c>
      <c r="AK376" s="79">
        <v>48</v>
      </c>
      <c r="BB376" s="444" t="s">
        <v>1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8" t="s">
        <v>75</v>
      </c>
      <c r="Q377" s="569"/>
      <c r="R377" s="569"/>
      <c r="S377" s="569"/>
      <c r="T377" s="569"/>
      <c r="U377" s="569"/>
      <c r="V377" s="570"/>
      <c r="W377" s="40" t="s">
        <v>76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68" t="s">
        <v>75</v>
      </c>
      <c r="Q378" s="569"/>
      <c r="R378" s="569"/>
      <c r="S378" s="569"/>
      <c r="T378" s="569"/>
      <c r="U378" s="569"/>
      <c r="V378" s="570"/>
      <c r="W378" s="40" t="s">
        <v>69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63"/>
      <c r="AB379" s="63"/>
      <c r="AC379" s="63"/>
    </row>
    <row r="380" spans="1:68" ht="27" hidden="1" customHeight="1" x14ac:dyDescent="0.25">
      <c r="A380" s="60" t="s">
        <v>598</v>
      </c>
      <c r="B380" s="60" t="s">
        <v>599</v>
      </c>
      <c r="C380" s="34">
        <v>4301031303</v>
      </c>
      <c r="D380" s="558">
        <v>4607091384802</v>
      </c>
      <c r="E380" s="559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110</v>
      </c>
      <c r="L380" s="35" t="s">
        <v>111</v>
      </c>
      <c r="M380" s="36" t="s">
        <v>68</v>
      </c>
      <c r="N380" s="36"/>
      <c r="O380" s="35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7"/>
      <c r="V380" s="37"/>
      <c r="W380" s="38" t="s">
        <v>69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/>
      <c r="AB380" s="66"/>
      <c r="AC380" s="445" t="s">
        <v>600</v>
      </c>
      <c r="AG380" s="75"/>
      <c r="AJ380" s="79" t="s">
        <v>92</v>
      </c>
      <c r="AK380" s="79">
        <v>52.56</v>
      </c>
      <c r="BB380" s="44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598</v>
      </c>
      <c r="B381" s="60" t="s">
        <v>601</v>
      </c>
      <c r="C381" s="34">
        <v>4301031457</v>
      </c>
      <c r="D381" s="558">
        <v>4607091384802</v>
      </c>
      <c r="E381" s="559"/>
      <c r="F381" s="59">
        <v>0.7</v>
      </c>
      <c r="G381" s="35">
        <v>6</v>
      </c>
      <c r="H381" s="59">
        <v>4.2</v>
      </c>
      <c r="I381" s="59">
        <v>4.45</v>
      </c>
      <c r="J381" s="35">
        <v>132</v>
      </c>
      <c r="K381" s="35" t="s">
        <v>110</v>
      </c>
      <c r="L381" s="35"/>
      <c r="M381" s="36" t="s">
        <v>68</v>
      </c>
      <c r="N381" s="36"/>
      <c r="O381" s="35">
        <v>50</v>
      </c>
      <c r="P381" s="6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7"/>
      <c r="V381" s="37"/>
      <c r="W381" s="38" t="s">
        <v>69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IFERROR(IF(Y381=0,"",ROUNDUP(Y381/H381,0)*0.00902),"")</f>
        <v/>
      </c>
      <c r="AA381" s="65"/>
      <c r="AB381" s="66"/>
      <c r="AC381" s="447" t="s">
        <v>602</v>
      </c>
      <c r="AG381" s="75"/>
      <c r="AJ381" s="79"/>
      <c r="AK381" s="79">
        <v>0</v>
      </c>
      <c r="BB381" s="44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8" t="s">
        <v>75</v>
      </c>
      <c r="Q382" s="569"/>
      <c r="R382" s="569"/>
      <c r="S382" s="569"/>
      <c r="T382" s="569"/>
      <c r="U382" s="569"/>
      <c r="V382" s="570"/>
      <c r="W382" s="40" t="s">
        <v>76</v>
      </c>
      <c r="X382" s="41">
        <f>IFERROR(X380/H380,"0")+IFERROR(X381/H381,"0")</f>
        <v>0</v>
      </c>
      <c r="Y382" s="41">
        <f>IFERROR(Y380/H380,"0")+IFERROR(Y381/H381,"0")</f>
        <v>0</v>
      </c>
      <c r="Z382" s="41">
        <f>IFERROR(IF(Z380="",0,Z380),"0")+IFERROR(IF(Z381="",0,Z381),"0")</f>
        <v>0</v>
      </c>
      <c r="AA382" s="64"/>
      <c r="AB382" s="64"/>
      <c r="AC382" s="64"/>
    </row>
    <row r="383" spans="1:68" hidden="1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68" t="s">
        <v>75</v>
      </c>
      <c r="Q383" s="569"/>
      <c r="R383" s="569"/>
      <c r="S383" s="569"/>
      <c r="T383" s="569"/>
      <c r="U383" s="569"/>
      <c r="V383" s="570"/>
      <c r="W383" s="40" t="s">
        <v>69</v>
      </c>
      <c r="X383" s="41">
        <f>IFERROR(SUM(X380:X381),"0")</f>
        <v>0</v>
      </c>
      <c r="Y383" s="41">
        <f>IFERROR(SUM(Y380:Y381),"0")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63"/>
      <c r="AB384" s="63"/>
      <c r="AC384" s="63"/>
    </row>
    <row r="385" spans="1:68" ht="27" customHeight="1" x14ac:dyDescent="0.25">
      <c r="A385" s="60" t="s">
        <v>603</v>
      </c>
      <c r="B385" s="60" t="s">
        <v>604</v>
      </c>
      <c r="C385" s="34">
        <v>4301051899</v>
      </c>
      <c r="D385" s="558">
        <v>4607091384246</v>
      </c>
      <c r="E385" s="559"/>
      <c r="F385" s="59">
        <v>1.5</v>
      </c>
      <c r="G385" s="35">
        <v>6</v>
      </c>
      <c r="H385" s="59">
        <v>9</v>
      </c>
      <c r="I385" s="59">
        <v>9.4939999999999998</v>
      </c>
      <c r="J385" s="35">
        <v>64</v>
      </c>
      <c r="K385" s="35" t="s">
        <v>104</v>
      </c>
      <c r="L385" s="35" t="s">
        <v>105</v>
      </c>
      <c r="M385" s="36" t="s">
        <v>80</v>
      </c>
      <c r="N385" s="36"/>
      <c r="O385" s="35">
        <v>40</v>
      </c>
      <c r="P385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7"/>
      <c r="V385" s="37"/>
      <c r="W385" s="38" t="s">
        <v>69</v>
      </c>
      <c r="X385" s="56">
        <v>2750</v>
      </c>
      <c r="Y385" s="53">
        <f>IFERROR(IF(X385="",0,CEILING((X385/$H385),1)*$H385),"")</f>
        <v>2754</v>
      </c>
      <c r="Z385" s="39">
        <f>IFERROR(IF(Y385=0,"",ROUNDUP(Y385/H385,0)*0.01898),"")</f>
        <v>5.8078799999999999</v>
      </c>
      <c r="AA385" s="65"/>
      <c r="AB385" s="66"/>
      <c r="AC385" s="449" t="s">
        <v>605</v>
      </c>
      <c r="AG385" s="75"/>
      <c r="AJ385" s="79" t="s">
        <v>92</v>
      </c>
      <c r="AK385" s="79">
        <v>72</v>
      </c>
      <c r="BB385" s="450" t="s">
        <v>1</v>
      </c>
      <c r="BM385" s="75">
        <f>IFERROR(X385*I385/H385,"0")</f>
        <v>2900.9444444444443</v>
      </c>
      <c r="BN385" s="75">
        <f>IFERROR(Y385*I385/H385,"0")</f>
        <v>2905.1639999999998</v>
      </c>
      <c r="BO385" s="75">
        <f>IFERROR(1/J385*(X385/H385),"0")</f>
        <v>4.7743055555555554</v>
      </c>
      <c r="BP385" s="75">
        <f>IFERROR(1/J385*(Y385/H385),"0")</f>
        <v>4.78125</v>
      </c>
    </row>
    <row r="386" spans="1:68" ht="27" hidden="1" customHeight="1" x14ac:dyDescent="0.25">
      <c r="A386" s="60" t="s">
        <v>606</v>
      </c>
      <c r="B386" s="60" t="s">
        <v>607</v>
      </c>
      <c r="C386" s="34">
        <v>4301051660</v>
      </c>
      <c r="D386" s="558">
        <v>4607091384253</v>
      </c>
      <c r="E386" s="559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67</v>
      </c>
      <c r="L386" s="35" t="s">
        <v>90</v>
      </c>
      <c r="M386" s="36" t="s">
        <v>80</v>
      </c>
      <c r="N386" s="36"/>
      <c r="O386" s="35">
        <v>40</v>
      </c>
      <c r="P386" s="5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7"/>
      <c r="V386" s="37"/>
      <c r="W386" s="38" t="s">
        <v>69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51" t="s">
        <v>605</v>
      </c>
      <c r="AG386" s="75"/>
      <c r="AJ386" s="79" t="s">
        <v>92</v>
      </c>
      <c r="AK386" s="79">
        <v>33.6</v>
      </c>
      <c r="BB386" s="45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606</v>
      </c>
      <c r="B387" s="60" t="s">
        <v>608</v>
      </c>
      <c r="C387" s="34">
        <v>4301052069</v>
      </c>
      <c r="D387" s="558">
        <v>4607091384253</v>
      </c>
      <c r="E387" s="559"/>
      <c r="F387" s="59">
        <v>0.4</v>
      </c>
      <c r="G387" s="35">
        <v>6</v>
      </c>
      <c r="H387" s="59">
        <v>2.4</v>
      </c>
      <c r="I387" s="59">
        <v>2.6640000000000001</v>
      </c>
      <c r="J387" s="35">
        <v>182</v>
      </c>
      <c r="K387" s="35" t="s">
        <v>67</v>
      </c>
      <c r="L387" s="35"/>
      <c r="M387" s="36" t="s">
        <v>80</v>
      </c>
      <c r="N387" s="36"/>
      <c r="O387" s="35">
        <v>40</v>
      </c>
      <c r="P387" s="7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7"/>
      <c r="V387" s="37"/>
      <c r="W387" s="38" t="s">
        <v>69</v>
      </c>
      <c r="X387" s="56">
        <v>135</v>
      </c>
      <c r="Y387" s="53">
        <f>IFERROR(IF(X387="",0,CEILING((X387/$H387),1)*$H387),"")</f>
        <v>136.79999999999998</v>
      </c>
      <c r="Z387" s="39">
        <f>IFERROR(IF(Y387=0,"",ROUNDUP(Y387/H387,0)*0.00651),"")</f>
        <v>0.37107000000000001</v>
      </c>
      <c r="AA387" s="65"/>
      <c r="AB387" s="66"/>
      <c r="AC387" s="453" t="s">
        <v>609</v>
      </c>
      <c r="AG387" s="75"/>
      <c r="AJ387" s="79"/>
      <c r="AK387" s="79">
        <v>0</v>
      </c>
      <c r="BB387" s="454" t="s">
        <v>1</v>
      </c>
      <c r="BM387" s="75">
        <f>IFERROR(X387*I387/H387,"0")</f>
        <v>149.85000000000002</v>
      </c>
      <c r="BN387" s="75">
        <f>IFERROR(Y387*I387/H387,"0")</f>
        <v>151.84799999999998</v>
      </c>
      <c r="BO387" s="75">
        <f>IFERROR(1/J387*(X387/H387),"0")</f>
        <v>0.30906593406593408</v>
      </c>
      <c r="BP387" s="75">
        <f>IFERROR(1/J387*(Y387/H387),"0")</f>
        <v>0.31318681318681318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68" t="s">
        <v>75</v>
      </c>
      <c r="Q388" s="569"/>
      <c r="R388" s="569"/>
      <c r="S388" s="569"/>
      <c r="T388" s="569"/>
      <c r="U388" s="569"/>
      <c r="V388" s="570"/>
      <c r="W388" s="40" t="s">
        <v>76</v>
      </c>
      <c r="X388" s="41">
        <f>IFERROR(X385/H385,"0")+IFERROR(X386/H386,"0")+IFERROR(X387/H387,"0")</f>
        <v>361.80555555555554</v>
      </c>
      <c r="Y388" s="41">
        <f>IFERROR(Y385/H385,"0")+IFERROR(Y386/H386,"0")+IFERROR(Y387/H387,"0")</f>
        <v>363</v>
      </c>
      <c r="Z388" s="41">
        <f>IFERROR(IF(Z385="",0,Z385),"0")+IFERROR(IF(Z386="",0,Z386),"0")+IFERROR(IF(Z387="",0,Z387),"0")</f>
        <v>6.1789500000000004</v>
      </c>
      <c r="AA388" s="64"/>
      <c r="AB388" s="64"/>
      <c r="AC388" s="6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68" t="s">
        <v>75</v>
      </c>
      <c r="Q389" s="569"/>
      <c r="R389" s="569"/>
      <c r="S389" s="569"/>
      <c r="T389" s="569"/>
      <c r="U389" s="569"/>
      <c r="V389" s="570"/>
      <c r="W389" s="40" t="s">
        <v>69</v>
      </c>
      <c r="X389" s="41">
        <f>IFERROR(SUM(X385:X387),"0")</f>
        <v>2885</v>
      </c>
      <c r="Y389" s="41">
        <f>IFERROR(SUM(Y385:Y387),"0")</f>
        <v>2890.8</v>
      </c>
      <c r="Z389" s="40"/>
      <c r="AA389" s="64"/>
      <c r="AB389" s="64"/>
      <c r="AC389" s="64"/>
    </row>
    <row r="390" spans="1:68" ht="27.75" hidden="1" customHeight="1" x14ac:dyDescent="0.2">
      <c r="A390" s="613" t="s">
        <v>610</v>
      </c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52"/>
      <c r="AB390" s="52"/>
      <c r="AC390" s="52"/>
    </row>
    <row r="391" spans="1:68" ht="16.5" hidden="1" customHeight="1" x14ac:dyDescent="0.25">
      <c r="A391" s="576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62"/>
      <c r="AB391" s="62"/>
      <c r="AC391" s="62"/>
    </row>
    <row r="392" spans="1:68" ht="14.25" hidden="1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63"/>
      <c r="AB392" s="63"/>
      <c r="AC392" s="63"/>
    </row>
    <row r="393" spans="1:68" ht="27" hidden="1" customHeight="1" x14ac:dyDescent="0.25">
      <c r="A393" s="60" t="s">
        <v>612</v>
      </c>
      <c r="B393" s="60" t="s">
        <v>613</v>
      </c>
      <c r="C393" s="34">
        <v>4301031405</v>
      </c>
      <c r="D393" s="558">
        <v>4680115886100</v>
      </c>
      <c r="E393" s="559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110</v>
      </c>
      <c r="L393" s="35" t="s">
        <v>111</v>
      </c>
      <c r="M393" s="36" t="s">
        <v>68</v>
      </c>
      <c r="N393" s="36"/>
      <c r="O393" s="35">
        <v>50</v>
      </c>
      <c r="P393" s="84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7"/>
      <c r="V393" s="37"/>
      <c r="W393" s="38" t="s">
        <v>69</v>
      </c>
      <c r="X393" s="56">
        <v>0</v>
      </c>
      <c r="Y393" s="53">
        <f t="shared" ref="Y393:Y401" si="46"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55" t="s">
        <v>614</v>
      </c>
      <c r="AG393" s="75"/>
      <c r="AJ393" s="79" t="s">
        <v>92</v>
      </c>
      <c r="AK393" s="79">
        <v>64.8</v>
      </c>
      <c r="BB393" s="456" t="s">
        <v>1</v>
      </c>
      <c r="BM393" s="75">
        <f t="shared" ref="BM393:BM401" si="47">IFERROR(X393*I393/H393,"0")</f>
        <v>0</v>
      </c>
      <c r="BN393" s="75">
        <f t="shared" ref="BN393:BN401" si="48">IFERROR(Y393*I393/H393,"0")</f>
        <v>0</v>
      </c>
      <c r="BO393" s="75">
        <f t="shared" ref="BO393:BO401" si="49">IFERROR(1/J393*(X393/H393),"0")</f>
        <v>0</v>
      </c>
      <c r="BP393" s="75">
        <f t="shared" ref="BP393:BP401" si="50">IFERROR(1/J393*(Y393/H393),"0")</f>
        <v>0</v>
      </c>
    </row>
    <row r="394" spans="1:68" ht="27" hidden="1" customHeight="1" x14ac:dyDescent="0.25">
      <c r="A394" s="60" t="s">
        <v>615</v>
      </c>
      <c r="B394" s="60" t="s">
        <v>616</v>
      </c>
      <c r="C394" s="34">
        <v>4301031406</v>
      </c>
      <c r="D394" s="558">
        <v>4680115886117</v>
      </c>
      <c r="E394" s="559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110</v>
      </c>
      <c r="L394" s="35"/>
      <c r="M394" s="36" t="s">
        <v>68</v>
      </c>
      <c r="N394" s="36"/>
      <c r="O394" s="35">
        <v>50</v>
      </c>
      <c r="P394" s="6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7"/>
      <c r="V394" s="37"/>
      <c r="W394" s="38" t="s">
        <v>69</v>
      </c>
      <c r="X394" s="56">
        <v>0</v>
      </c>
      <c r="Y394" s="53">
        <f t="shared" si="46"/>
        <v>0</v>
      </c>
      <c r="Z394" s="39" t="str">
        <f>IFERROR(IF(Y394=0,"",ROUNDUP(Y394/H394,0)*0.00902),"")</f>
        <v/>
      </c>
      <c r="AA394" s="65"/>
      <c r="AB394" s="66"/>
      <c r="AC394" s="457" t="s">
        <v>617</v>
      </c>
      <c r="AG394" s="75"/>
      <c r="AJ394" s="79"/>
      <c r="AK394" s="79">
        <v>0</v>
      </c>
      <c r="BB394" s="458" t="s">
        <v>1</v>
      </c>
      <c r="BM394" s="75">
        <f t="shared" si="47"/>
        <v>0</v>
      </c>
      <c r="BN394" s="75">
        <f t="shared" si="48"/>
        <v>0</v>
      </c>
      <c r="BO394" s="75">
        <f t="shared" si="49"/>
        <v>0</v>
      </c>
      <c r="BP394" s="75">
        <f t="shared" si="50"/>
        <v>0</v>
      </c>
    </row>
    <row r="395" spans="1:68" ht="27" hidden="1" customHeight="1" x14ac:dyDescent="0.25">
      <c r="A395" s="60" t="s">
        <v>618</v>
      </c>
      <c r="B395" s="60" t="s">
        <v>619</v>
      </c>
      <c r="C395" s="34">
        <v>4301031402</v>
      </c>
      <c r="D395" s="558">
        <v>4680115886124</v>
      </c>
      <c r="E395" s="559"/>
      <c r="F395" s="59">
        <v>0.9</v>
      </c>
      <c r="G395" s="35">
        <v>6</v>
      </c>
      <c r="H395" s="59">
        <v>5.4</v>
      </c>
      <c r="I395" s="59">
        <v>5.59</v>
      </c>
      <c r="J395" s="35">
        <v>132</v>
      </c>
      <c r="K395" s="35" t="s">
        <v>110</v>
      </c>
      <c r="L395" s="35" t="s">
        <v>111</v>
      </c>
      <c r="M395" s="36" t="s">
        <v>68</v>
      </c>
      <c r="N395" s="36"/>
      <c r="O395" s="35">
        <v>50</v>
      </c>
      <c r="P395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7"/>
      <c r="V395" s="37"/>
      <c r="W395" s="38" t="s">
        <v>69</v>
      </c>
      <c r="X395" s="56">
        <v>0</v>
      </c>
      <c r="Y395" s="53">
        <f t="shared" si="46"/>
        <v>0</v>
      </c>
      <c r="Z395" s="39" t="str">
        <f>IFERROR(IF(Y395=0,"",ROUNDUP(Y395/H395,0)*0.00902),"")</f>
        <v/>
      </c>
      <c r="AA395" s="65"/>
      <c r="AB395" s="66"/>
      <c r="AC395" s="459" t="s">
        <v>620</v>
      </c>
      <c r="AG395" s="75"/>
      <c r="AJ395" s="79" t="s">
        <v>92</v>
      </c>
      <c r="AK395" s="79">
        <v>64.8</v>
      </c>
      <c r="BB395" s="460" t="s">
        <v>1</v>
      </c>
      <c r="BM395" s="75">
        <f t="shared" si="47"/>
        <v>0</v>
      </c>
      <c r="BN395" s="75">
        <f t="shared" si="48"/>
        <v>0</v>
      </c>
      <c r="BO395" s="75">
        <f t="shared" si="49"/>
        <v>0</v>
      </c>
      <c r="BP395" s="75">
        <f t="shared" si="50"/>
        <v>0</v>
      </c>
    </row>
    <row r="396" spans="1:68" ht="27" hidden="1" customHeight="1" x14ac:dyDescent="0.25">
      <c r="A396" s="60" t="s">
        <v>621</v>
      </c>
      <c r="B396" s="60" t="s">
        <v>622</v>
      </c>
      <c r="C396" s="34">
        <v>4301031366</v>
      </c>
      <c r="D396" s="558">
        <v>4680115883147</v>
      </c>
      <c r="E396" s="559"/>
      <c r="F396" s="59">
        <v>0.28000000000000003</v>
      </c>
      <c r="G396" s="35">
        <v>6</v>
      </c>
      <c r="H396" s="59">
        <v>1.68</v>
      </c>
      <c r="I396" s="59">
        <v>1.81</v>
      </c>
      <c r="J396" s="35">
        <v>234</v>
      </c>
      <c r="K396" s="35" t="s">
        <v>73</v>
      </c>
      <c r="L396" s="35"/>
      <c r="M396" s="36" t="s">
        <v>68</v>
      </c>
      <c r="N396" s="36"/>
      <c r="O396" s="35">
        <v>50</v>
      </c>
      <c r="P396" s="79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7"/>
      <c r="V396" s="37"/>
      <c r="W396" s="38" t="s">
        <v>69</v>
      </c>
      <c r="X396" s="56">
        <v>0</v>
      </c>
      <c r="Y396" s="53">
        <f t="shared" si="46"/>
        <v>0</v>
      </c>
      <c r="Z396" s="39" t="str">
        <f t="shared" ref="Z396:Z401" si="51">IFERROR(IF(Y396=0,"",ROUNDUP(Y396/H396,0)*0.00502),"")</f>
        <v/>
      </c>
      <c r="AA396" s="65"/>
      <c r="AB396" s="66"/>
      <c r="AC396" s="461" t="s">
        <v>614</v>
      </c>
      <c r="AG396" s="75"/>
      <c r="AJ396" s="79"/>
      <c r="AK396" s="79">
        <v>0</v>
      </c>
      <c r="BB396" s="462" t="s">
        <v>1</v>
      </c>
      <c r="BM396" s="75">
        <f t="shared" si="47"/>
        <v>0</v>
      </c>
      <c r="BN396" s="75">
        <f t="shared" si="48"/>
        <v>0</v>
      </c>
      <c r="BO396" s="75">
        <f t="shared" si="49"/>
        <v>0</v>
      </c>
      <c r="BP396" s="75">
        <f t="shared" si="50"/>
        <v>0</v>
      </c>
    </row>
    <row r="397" spans="1:68" ht="27" hidden="1" customHeight="1" x14ac:dyDescent="0.25">
      <c r="A397" s="60" t="s">
        <v>623</v>
      </c>
      <c r="B397" s="60" t="s">
        <v>624</v>
      </c>
      <c r="C397" s="34">
        <v>4301031362</v>
      </c>
      <c r="D397" s="558">
        <v>4607091384338</v>
      </c>
      <c r="E397" s="559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73</v>
      </c>
      <c r="L397" s="35"/>
      <c r="M397" s="36" t="s">
        <v>68</v>
      </c>
      <c r="N397" s="36"/>
      <c r="O397" s="35">
        <v>50</v>
      </c>
      <c r="P397" s="7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7"/>
      <c r="V397" s="37"/>
      <c r="W397" s="38" t="s">
        <v>69</v>
      </c>
      <c r="X397" s="56">
        <v>0</v>
      </c>
      <c r="Y397" s="53">
        <f t="shared" si="46"/>
        <v>0</v>
      </c>
      <c r="Z397" s="39" t="str">
        <f t="shared" si="51"/>
        <v/>
      </c>
      <c r="AA397" s="65"/>
      <c r="AB397" s="66"/>
      <c r="AC397" s="463" t="s">
        <v>614</v>
      </c>
      <c r="AG397" s="75"/>
      <c r="AJ397" s="79"/>
      <c r="AK397" s="79">
        <v>0</v>
      </c>
      <c r="BB397" s="464" t="s">
        <v>1</v>
      </c>
      <c r="BM397" s="75">
        <f t="shared" si="47"/>
        <v>0</v>
      </c>
      <c r="BN397" s="75">
        <f t="shared" si="48"/>
        <v>0</v>
      </c>
      <c r="BO397" s="75">
        <f t="shared" si="49"/>
        <v>0</v>
      </c>
      <c r="BP397" s="75">
        <f t="shared" si="50"/>
        <v>0</v>
      </c>
    </row>
    <row r="398" spans="1:68" ht="37.5" hidden="1" customHeight="1" x14ac:dyDescent="0.25">
      <c r="A398" s="60" t="s">
        <v>625</v>
      </c>
      <c r="B398" s="60" t="s">
        <v>626</v>
      </c>
      <c r="C398" s="34">
        <v>4301031361</v>
      </c>
      <c r="D398" s="558">
        <v>4607091389524</v>
      </c>
      <c r="E398" s="559"/>
      <c r="F398" s="59">
        <v>0.35</v>
      </c>
      <c r="G398" s="35">
        <v>6</v>
      </c>
      <c r="H398" s="59">
        <v>2.1</v>
      </c>
      <c r="I398" s="59">
        <v>2.23</v>
      </c>
      <c r="J398" s="35">
        <v>234</v>
      </c>
      <c r="K398" s="35" t="s">
        <v>73</v>
      </c>
      <c r="L398" s="35"/>
      <c r="M398" s="36" t="s">
        <v>68</v>
      </c>
      <c r="N398" s="36"/>
      <c r="O398" s="35">
        <v>50</v>
      </c>
      <c r="P398" s="79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7"/>
      <c r="V398" s="37"/>
      <c r="W398" s="38" t="s">
        <v>69</v>
      </c>
      <c r="X398" s="56">
        <v>0</v>
      </c>
      <c r="Y398" s="53">
        <f t="shared" si="46"/>
        <v>0</v>
      </c>
      <c r="Z398" s="39" t="str">
        <f t="shared" si="51"/>
        <v/>
      </c>
      <c r="AA398" s="65"/>
      <c r="AB398" s="66"/>
      <c r="AC398" s="465" t="s">
        <v>627</v>
      </c>
      <c r="AG398" s="75"/>
      <c r="AJ398" s="79"/>
      <c r="AK398" s="79">
        <v>0</v>
      </c>
      <c r="BB398" s="466" t="s">
        <v>1</v>
      </c>
      <c r="BM398" s="75">
        <f t="shared" si="47"/>
        <v>0</v>
      </c>
      <c r="BN398" s="75">
        <f t="shared" si="48"/>
        <v>0</v>
      </c>
      <c r="BO398" s="75">
        <f t="shared" si="49"/>
        <v>0</v>
      </c>
      <c r="BP398" s="75">
        <f t="shared" si="50"/>
        <v>0</v>
      </c>
    </row>
    <row r="399" spans="1:68" ht="27" hidden="1" customHeight="1" x14ac:dyDescent="0.25">
      <c r="A399" s="60" t="s">
        <v>628</v>
      </c>
      <c r="B399" s="60" t="s">
        <v>629</v>
      </c>
      <c r="C399" s="34">
        <v>4301031364</v>
      </c>
      <c r="D399" s="558">
        <v>4680115883161</v>
      </c>
      <c r="E399" s="559"/>
      <c r="F399" s="59">
        <v>0.28000000000000003</v>
      </c>
      <c r="G399" s="35">
        <v>6</v>
      </c>
      <c r="H399" s="59">
        <v>1.68</v>
      </c>
      <c r="I399" s="59">
        <v>1.81</v>
      </c>
      <c r="J399" s="35">
        <v>234</v>
      </c>
      <c r="K399" s="35" t="s">
        <v>73</v>
      </c>
      <c r="L399" s="35"/>
      <c r="M399" s="36" t="s">
        <v>68</v>
      </c>
      <c r="N399" s="36"/>
      <c r="O399" s="35">
        <v>50</v>
      </c>
      <c r="P399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7"/>
      <c r="V399" s="37"/>
      <c r="W399" s="38" t="s">
        <v>69</v>
      </c>
      <c r="X399" s="56">
        <v>0</v>
      </c>
      <c r="Y399" s="53">
        <f t="shared" si="46"/>
        <v>0</v>
      </c>
      <c r="Z399" s="39" t="str">
        <f t="shared" si="51"/>
        <v/>
      </c>
      <c r="AA399" s="65"/>
      <c r="AB399" s="66"/>
      <c r="AC399" s="467" t="s">
        <v>630</v>
      </c>
      <c r="AG399" s="75"/>
      <c r="AJ399" s="79"/>
      <c r="AK399" s="79">
        <v>0</v>
      </c>
      <c r="BB399" s="468" t="s">
        <v>1</v>
      </c>
      <c r="BM399" s="75">
        <f t="shared" si="47"/>
        <v>0</v>
      </c>
      <c r="BN399" s="75">
        <f t="shared" si="48"/>
        <v>0</v>
      </c>
      <c r="BO399" s="75">
        <f t="shared" si="49"/>
        <v>0</v>
      </c>
      <c r="BP399" s="75">
        <f t="shared" si="50"/>
        <v>0</v>
      </c>
    </row>
    <row r="400" spans="1:68" ht="27" hidden="1" customHeight="1" x14ac:dyDescent="0.25">
      <c r="A400" s="60" t="s">
        <v>631</v>
      </c>
      <c r="B400" s="60" t="s">
        <v>632</v>
      </c>
      <c r="C400" s="34">
        <v>4301031358</v>
      </c>
      <c r="D400" s="558">
        <v>4607091389531</v>
      </c>
      <c r="E400" s="559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73</v>
      </c>
      <c r="L400" s="35"/>
      <c r="M400" s="36" t="s">
        <v>68</v>
      </c>
      <c r="N400" s="36"/>
      <c r="O400" s="35">
        <v>50</v>
      </c>
      <c r="P400" s="6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7"/>
      <c r="V400" s="37"/>
      <c r="W400" s="38" t="s">
        <v>69</v>
      </c>
      <c r="X400" s="56">
        <v>0</v>
      </c>
      <c r="Y400" s="53">
        <f t="shared" si="46"/>
        <v>0</v>
      </c>
      <c r="Z400" s="39" t="str">
        <f t="shared" si="51"/>
        <v/>
      </c>
      <c r="AA400" s="65"/>
      <c r="AB400" s="66"/>
      <c r="AC400" s="469" t="s">
        <v>633</v>
      </c>
      <c r="AG400" s="75"/>
      <c r="AJ400" s="79"/>
      <c r="AK400" s="79">
        <v>0</v>
      </c>
      <c r="BB400" s="470" t="s">
        <v>1</v>
      </c>
      <c r="BM400" s="75">
        <f t="shared" si="47"/>
        <v>0</v>
      </c>
      <c r="BN400" s="75">
        <f t="shared" si="48"/>
        <v>0</v>
      </c>
      <c r="BO400" s="75">
        <f t="shared" si="49"/>
        <v>0</v>
      </c>
      <c r="BP400" s="75">
        <f t="shared" si="50"/>
        <v>0</v>
      </c>
    </row>
    <row r="401" spans="1:68" ht="37.5" hidden="1" customHeight="1" x14ac:dyDescent="0.25">
      <c r="A401" s="60" t="s">
        <v>634</v>
      </c>
      <c r="B401" s="60" t="s">
        <v>635</v>
      </c>
      <c r="C401" s="34">
        <v>4301031360</v>
      </c>
      <c r="D401" s="558">
        <v>4607091384345</v>
      </c>
      <c r="E401" s="559"/>
      <c r="F401" s="59">
        <v>0.35</v>
      </c>
      <c r="G401" s="35">
        <v>6</v>
      </c>
      <c r="H401" s="59">
        <v>2.1</v>
      </c>
      <c r="I401" s="59">
        <v>2.23</v>
      </c>
      <c r="J401" s="35">
        <v>234</v>
      </c>
      <c r="K401" s="35" t="s">
        <v>73</v>
      </c>
      <c r="L401" s="35"/>
      <c r="M401" s="36" t="s">
        <v>68</v>
      </c>
      <c r="N401" s="36"/>
      <c r="O401" s="35">
        <v>50</v>
      </c>
      <c r="P401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7"/>
      <c r="V401" s="37"/>
      <c r="W401" s="38" t="s">
        <v>69</v>
      </c>
      <c r="X401" s="56">
        <v>0</v>
      </c>
      <c r="Y401" s="53">
        <f t="shared" si="46"/>
        <v>0</v>
      </c>
      <c r="Z401" s="39" t="str">
        <f t="shared" si="51"/>
        <v/>
      </c>
      <c r="AA401" s="65"/>
      <c r="AB401" s="66"/>
      <c r="AC401" s="471" t="s">
        <v>630</v>
      </c>
      <c r="AG401" s="75"/>
      <c r="AJ401" s="79"/>
      <c r="AK401" s="79">
        <v>0</v>
      </c>
      <c r="BB401" s="472" t="s">
        <v>1</v>
      </c>
      <c r="BM401" s="75">
        <f t="shared" si="47"/>
        <v>0</v>
      </c>
      <c r="BN401" s="75">
        <f t="shared" si="48"/>
        <v>0</v>
      </c>
      <c r="BO401" s="75">
        <f t="shared" si="49"/>
        <v>0</v>
      </c>
      <c r="BP401" s="75">
        <f t="shared" si="50"/>
        <v>0</v>
      </c>
    </row>
    <row r="402" spans="1:68" hidden="1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68" t="s">
        <v>75</v>
      </c>
      <c r="Q402" s="569"/>
      <c r="R402" s="569"/>
      <c r="S402" s="569"/>
      <c r="T402" s="569"/>
      <c r="U402" s="569"/>
      <c r="V402" s="570"/>
      <c r="W402" s="40" t="s">
        <v>76</v>
      </c>
      <c r="X402" s="41">
        <f>IFERROR(X393/H393,"0")+IFERROR(X394/H394,"0")+IFERROR(X395/H395,"0")+IFERROR(X396/H396,"0")+IFERROR(X397/H397,"0")+IFERROR(X398/H398,"0")+IFERROR(X399/H399,"0")+IFERROR(X400/H400,"0")+IFERROR(X401/H401,"0")</f>
        <v>0</v>
      </c>
      <c r="Y402" s="41">
        <f>IFERROR(Y393/H393,"0")+IFERROR(Y394/H394,"0")+IFERROR(Y395/H395,"0")+IFERROR(Y396/H396,"0")+IFERROR(Y397/H397,"0")+IFERROR(Y398/H398,"0")+IFERROR(Y399/H399,"0")+IFERROR(Y400/H400,"0")+IFERROR(Y401/H401,"0")</f>
        <v>0</v>
      </c>
      <c r="Z402" s="41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68" t="s">
        <v>75</v>
      </c>
      <c r="Q403" s="569"/>
      <c r="R403" s="569"/>
      <c r="S403" s="569"/>
      <c r="T403" s="569"/>
      <c r="U403" s="569"/>
      <c r="V403" s="570"/>
      <c r="W403" s="40" t="s">
        <v>69</v>
      </c>
      <c r="X403" s="41">
        <f>IFERROR(SUM(X393:X401),"0")</f>
        <v>0</v>
      </c>
      <c r="Y403" s="41">
        <f>IFERROR(SUM(Y393:Y401),"0")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63"/>
      <c r="AB404" s="63"/>
      <c r="AC404" s="63"/>
    </row>
    <row r="405" spans="1:68" ht="27" hidden="1" customHeight="1" x14ac:dyDescent="0.25">
      <c r="A405" s="60" t="s">
        <v>636</v>
      </c>
      <c r="B405" s="60" t="s">
        <v>637</v>
      </c>
      <c r="C405" s="34">
        <v>4301051284</v>
      </c>
      <c r="D405" s="558">
        <v>4607091384352</v>
      </c>
      <c r="E405" s="559"/>
      <c r="F405" s="59">
        <v>0.6</v>
      </c>
      <c r="G405" s="35">
        <v>4</v>
      </c>
      <c r="H405" s="59">
        <v>2.4</v>
      </c>
      <c r="I405" s="59">
        <v>2.6259999999999999</v>
      </c>
      <c r="J405" s="35">
        <v>132</v>
      </c>
      <c r="K405" s="35" t="s">
        <v>110</v>
      </c>
      <c r="L405" s="35" t="s">
        <v>111</v>
      </c>
      <c r="M405" s="36" t="s">
        <v>80</v>
      </c>
      <c r="N405" s="36"/>
      <c r="O405" s="35">
        <v>45</v>
      </c>
      <c r="P405" s="6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7"/>
      <c r="V405" s="37"/>
      <c r="W405" s="38" t="s">
        <v>69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IFERROR(IF(Y405=0,"",ROUNDUP(Y405/H405,0)*0.00902),"")</f>
        <v/>
      </c>
      <c r="AA405" s="65"/>
      <c r="AB405" s="66"/>
      <c r="AC405" s="473" t="s">
        <v>638</v>
      </c>
      <c r="AG405" s="75"/>
      <c r="AJ405" s="79" t="s">
        <v>92</v>
      </c>
      <c r="AK405" s="79">
        <v>28.8</v>
      </c>
      <c r="BB405" s="47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639</v>
      </c>
      <c r="B406" s="60" t="s">
        <v>640</v>
      </c>
      <c r="C406" s="34">
        <v>4301051431</v>
      </c>
      <c r="D406" s="558">
        <v>4607091389654</v>
      </c>
      <c r="E406" s="559"/>
      <c r="F406" s="59">
        <v>0.33</v>
      </c>
      <c r="G406" s="35">
        <v>6</v>
      </c>
      <c r="H406" s="59">
        <v>1.98</v>
      </c>
      <c r="I406" s="59">
        <v>2.238</v>
      </c>
      <c r="J406" s="35">
        <v>182</v>
      </c>
      <c r="K406" s="35" t="s">
        <v>67</v>
      </c>
      <c r="L406" s="35" t="s">
        <v>90</v>
      </c>
      <c r="M406" s="36" t="s">
        <v>80</v>
      </c>
      <c r="N406" s="36"/>
      <c r="O406" s="35">
        <v>45</v>
      </c>
      <c r="P406" s="7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7"/>
      <c r="V406" s="37"/>
      <c r="W406" s="38" t="s">
        <v>69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/>
      <c r="AB406" s="66"/>
      <c r="AC406" s="475" t="s">
        <v>641</v>
      </c>
      <c r="AG406" s="75"/>
      <c r="AJ406" s="79" t="s">
        <v>92</v>
      </c>
      <c r="AK406" s="79">
        <v>27.72</v>
      </c>
      <c r="BB406" s="47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68" t="s">
        <v>75</v>
      </c>
      <c r="Q407" s="569"/>
      <c r="R407" s="569"/>
      <c r="S407" s="569"/>
      <c r="T407" s="569"/>
      <c r="U407" s="569"/>
      <c r="V407" s="570"/>
      <c r="W407" s="40" t="s">
        <v>76</v>
      </c>
      <c r="X407" s="41">
        <f>IFERROR(X405/H405,"0")+IFERROR(X406/H406,"0")</f>
        <v>0</v>
      </c>
      <c r="Y407" s="41">
        <f>IFERROR(Y405/H405,"0")+IFERROR(Y406/H406,"0")</f>
        <v>0</v>
      </c>
      <c r="Z407" s="41">
        <f>IFERROR(IF(Z405="",0,Z405),"0")+IFERROR(IF(Z406="",0,Z406),"0")</f>
        <v>0</v>
      </c>
      <c r="AA407" s="64"/>
      <c r="AB407" s="64"/>
      <c r="AC407" s="64"/>
    </row>
    <row r="408" spans="1:68" hidden="1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68" t="s">
        <v>75</v>
      </c>
      <c r="Q408" s="569"/>
      <c r="R408" s="569"/>
      <c r="S408" s="569"/>
      <c r="T408" s="569"/>
      <c r="U408" s="569"/>
      <c r="V408" s="570"/>
      <c r="W408" s="40" t="s">
        <v>69</v>
      </c>
      <c r="X408" s="41">
        <f>IFERROR(SUM(X405:X406),"0")</f>
        <v>0</v>
      </c>
      <c r="Y408" s="41">
        <f>IFERROR(SUM(Y405:Y406),"0")</f>
        <v>0</v>
      </c>
      <c r="Z408" s="40"/>
      <c r="AA408" s="64"/>
      <c r="AB408" s="64"/>
      <c r="AC408" s="64"/>
    </row>
    <row r="409" spans="1:68" ht="16.5" hidden="1" customHeight="1" x14ac:dyDescent="0.25">
      <c r="A409" s="576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62"/>
      <c r="AB409" s="62"/>
      <c r="AC409" s="62"/>
    </row>
    <row r="410" spans="1:68" ht="14.25" hidden="1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63"/>
      <c r="AB410" s="63"/>
      <c r="AC410" s="63"/>
    </row>
    <row r="411" spans="1:68" ht="27" hidden="1" customHeight="1" x14ac:dyDescent="0.25">
      <c r="A411" s="60" t="s">
        <v>643</v>
      </c>
      <c r="B411" s="60" t="s">
        <v>644</v>
      </c>
      <c r="C411" s="34">
        <v>4301020319</v>
      </c>
      <c r="D411" s="558">
        <v>4680115885240</v>
      </c>
      <c r="E411" s="559"/>
      <c r="F411" s="59">
        <v>0.35</v>
      </c>
      <c r="G411" s="35">
        <v>6</v>
      </c>
      <c r="H411" s="59">
        <v>2.1</v>
      </c>
      <c r="I411" s="59">
        <v>2.31</v>
      </c>
      <c r="J411" s="35">
        <v>182</v>
      </c>
      <c r="K411" s="35" t="s">
        <v>67</v>
      </c>
      <c r="L411" s="35"/>
      <c r="M411" s="36" t="s">
        <v>68</v>
      </c>
      <c r="N411" s="36"/>
      <c r="O411" s="35">
        <v>40</v>
      </c>
      <c r="P411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7"/>
      <c r="V411" s="37"/>
      <c r="W411" s="38" t="s">
        <v>69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IFERROR(IF(Y411=0,"",ROUNDUP(Y411/H411,0)*0.00651),"")</f>
        <v/>
      </c>
      <c r="AA411" s="65"/>
      <c r="AB411" s="66"/>
      <c r="AC411" s="477" t="s">
        <v>645</v>
      </c>
      <c r="AG411" s="75"/>
      <c r="AJ411" s="79"/>
      <c r="AK411" s="79">
        <v>0</v>
      </c>
      <c r="BB411" s="478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8" t="s">
        <v>75</v>
      </c>
      <c r="Q412" s="569"/>
      <c r="R412" s="569"/>
      <c r="S412" s="569"/>
      <c r="T412" s="569"/>
      <c r="U412" s="569"/>
      <c r="V412" s="570"/>
      <c r="W412" s="40" t="s">
        <v>76</v>
      </c>
      <c r="X412" s="41">
        <f>IFERROR(X411/H411,"0")</f>
        <v>0</v>
      </c>
      <c r="Y412" s="41">
        <f>IFERROR(Y411/H411,"0")</f>
        <v>0</v>
      </c>
      <c r="Z412" s="41">
        <f>IFERROR(IF(Z411="",0,Z411),"0")</f>
        <v>0</v>
      </c>
      <c r="AA412" s="64"/>
      <c r="AB412" s="64"/>
      <c r="AC412" s="64"/>
    </row>
    <row r="413" spans="1:68" hidden="1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8" t="s">
        <v>75</v>
      </c>
      <c r="Q413" s="569"/>
      <c r="R413" s="569"/>
      <c r="S413" s="569"/>
      <c r="T413" s="569"/>
      <c r="U413" s="569"/>
      <c r="V413" s="570"/>
      <c r="W413" s="40" t="s">
        <v>69</v>
      </c>
      <c r="X413" s="41">
        <f>IFERROR(SUM(X411:X411),"0")</f>
        <v>0</v>
      </c>
      <c r="Y413" s="41">
        <f>IFERROR(SUM(Y411:Y411),"0")</f>
        <v>0</v>
      </c>
      <c r="Z413" s="40"/>
      <c r="AA413" s="64"/>
      <c r="AB413" s="64"/>
      <c r="AC413" s="64"/>
    </row>
    <row r="414" spans="1:68" ht="14.25" hidden="1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63"/>
      <c r="AB414" s="63"/>
      <c r="AC414" s="63"/>
    </row>
    <row r="415" spans="1:68" ht="27" hidden="1" customHeight="1" x14ac:dyDescent="0.25">
      <c r="A415" s="60" t="s">
        <v>646</v>
      </c>
      <c r="B415" s="60" t="s">
        <v>647</v>
      </c>
      <c r="C415" s="34">
        <v>4301031403</v>
      </c>
      <c r="D415" s="558">
        <v>4680115886094</v>
      </c>
      <c r="E415" s="559"/>
      <c r="F415" s="59">
        <v>0.9</v>
      </c>
      <c r="G415" s="35">
        <v>6</v>
      </c>
      <c r="H415" s="59">
        <v>5.4</v>
      </c>
      <c r="I415" s="59">
        <v>5.59</v>
      </c>
      <c r="J415" s="35">
        <v>132</v>
      </c>
      <c r="K415" s="35" t="s">
        <v>110</v>
      </c>
      <c r="L415" s="35" t="s">
        <v>111</v>
      </c>
      <c r="M415" s="36" t="s">
        <v>106</v>
      </c>
      <c r="N415" s="36"/>
      <c r="O415" s="35">
        <v>50</v>
      </c>
      <c r="P415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7"/>
      <c r="V415" s="37"/>
      <c r="W415" s="38" t="s">
        <v>69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/>
      <c r="AB415" s="66"/>
      <c r="AC415" s="479" t="s">
        <v>648</v>
      </c>
      <c r="AG415" s="75"/>
      <c r="AJ415" s="79" t="s">
        <v>92</v>
      </c>
      <c r="AK415" s="79">
        <v>64.8</v>
      </c>
      <c r="BB415" s="480" t="s">
        <v>1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649</v>
      </c>
      <c r="B416" s="60" t="s">
        <v>650</v>
      </c>
      <c r="C416" s="34">
        <v>4301031363</v>
      </c>
      <c r="D416" s="558">
        <v>4607091389425</v>
      </c>
      <c r="E416" s="559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73</v>
      </c>
      <c r="L416" s="35"/>
      <c r="M416" s="36" t="s">
        <v>68</v>
      </c>
      <c r="N416" s="36"/>
      <c r="O416" s="35">
        <v>50</v>
      </c>
      <c r="P416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7"/>
      <c r="V416" s="37"/>
      <c r="W416" s="38" t="s">
        <v>69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/>
      <c r="AB416" s="66"/>
      <c r="AC416" s="481" t="s">
        <v>651</v>
      </c>
      <c r="AG416" s="75"/>
      <c r="AJ416" s="79"/>
      <c r="AK416" s="79">
        <v>0</v>
      </c>
      <c r="BB416" s="482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652</v>
      </c>
      <c r="B417" s="60" t="s">
        <v>653</v>
      </c>
      <c r="C417" s="34">
        <v>4301031373</v>
      </c>
      <c r="D417" s="558">
        <v>4680115880771</v>
      </c>
      <c r="E417" s="559"/>
      <c r="F417" s="59">
        <v>0.28000000000000003</v>
      </c>
      <c r="G417" s="35">
        <v>6</v>
      </c>
      <c r="H417" s="59">
        <v>1.68</v>
      </c>
      <c r="I417" s="59">
        <v>1.81</v>
      </c>
      <c r="J417" s="35">
        <v>234</v>
      </c>
      <c r="K417" s="35" t="s">
        <v>73</v>
      </c>
      <c r="L417" s="35"/>
      <c r="M417" s="36" t="s">
        <v>68</v>
      </c>
      <c r="N417" s="36"/>
      <c r="O417" s="35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7"/>
      <c r="V417" s="37"/>
      <c r="W417" s="38" t="s">
        <v>69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IFERROR(IF(Y417=0,"",ROUNDUP(Y417/H417,0)*0.00502),"")</f>
        <v/>
      </c>
      <c r="AA417" s="65"/>
      <c r="AB417" s="66"/>
      <c r="AC417" s="483" t="s">
        <v>654</v>
      </c>
      <c r="AG417" s="75"/>
      <c r="AJ417" s="79"/>
      <c r="AK417" s="79">
        <v>0</v>
      </c>
      <c r="BB417" s="484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655</v>
      </c>
      <c r="B418" s="60" t="s">
        <v>656</v>
      </c>
      <c r="C418" s="34">
        <v>4301031359</v>
      </c>
      <c r="D418" s="558">
        <v>4607091389500</v>
      </c>
      <c r="E418" s="559"/>
      <c r="F418" s="59">
        <v>0.35</v>
      </c>
      <c r="G418" s="35">
        <v>6</v>
      </c>
      <c r="H418" s="59">
        <v>2.1</v>
      </c>
      <c r="I418" s="59">
        <v>2.23</v>
      </c>
      <c r="J418" s="35">
        <v>234</v>
      </c>
      <c r="K418" s="35" t="s">
        <v>73</v>
      </c>
      <c r="L418" s="35"/>
      <c r="M418" s="36" t="s">
        <v>68</v>
      </c>
      <c r="N418" s="36"/>
      <c r="O418" s="35">
        <v>50</v>
      </c>
      <c r="P418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7"/>
      <c r="V418" s="37"/>
      <c r="W418" s="38" t="s">
        <v>69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IFERROR(IF(Y418=0,"",ROUNDUP(Y418/H418,0)*0.00502),"")</f>
        <v/>
      </c>
      <c r="AA418" s="65"/>
      <c r="AB418" s="66"/>
      <c r="AC418" s="485" t="s">
        <v>654</v>
      </c>
      <c r="AG418" s="75"/>
      <c r="AJ418" s="79"/>
      <c r="AK418" s="79">
        <v>0</v>
      </c>
      <c r="BB418" s="486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68" t="s">
        <v>75</v>
      </c>
      <c r="Q419" s="569"/>
      <c r="R419" s="569"/>
      <c r="S419" s="569"/>
      <c r="T419" s="569"/>
      <c r="U419" s="569"/>
      <c r="V419" s="570"/>
      <c r="W419" s="40" t="s">
        <v>76</v>
      </c>
      <c r="X419" s="41">
        <f>IFERROR(X415/H415,"0")+IFERROR(X416/H416,"0")+IFERROR(X417/H417,"0")+IFERROR(X418/H418,"0")</f>
        <v>0</v>
      </c>
      <c r="Y419" s="41">
        <f>IFERROR(Y415/H415,"0")+IFERROR(Y416/H416,"0")+IFERROR(Y417/H417,"0")+IFERROR(Y418/H418,"0")</f>
        <v>0</v>
      </c>
      <c r="Z419" s="41">
        <f>IFERROR(IF(Z415="",0,Z415),"0")+IFERROR(IF(Z416="",0,Z416),"0")+IFERROR(IF(Z417="",0,Z417),"0")+IFERROR(IF(Z418="",0,Z418),"0")</f>
        <v>0</v>
      </c>
      <c r="AA419" s="64"/>
      <c r="AB419" s="64"/>
      <c r="AC419" s="64"/>
    </row>
    <row r="420" spans="1:68" hidden="1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68" t="s">
        <v>75</v>
      </c>
      <c r="Q420" s="569"/>
      <c r="R420" s="569"/>
      <c r="S420" s="569"/>
      <c r="T420" s="569"/>
      <c r="U420" s="569"/>
      <c r="V420" s="570"/>
      <c r="W420" s="40" t="s">
        <v>69</v>
      </c>
      <c r="X420" s="41">
        <f>IFERROR(SUM(X415:X418),"0")</f>
        <v>0</v>
      </c>
      <c r="Y420" s="41">
        <f>IFERROR(SUM(Y415:Y418),"0")</f>
        <v>0</v>
      </c>
      <c r="Z420" s="40"/>
      <c r="AA420" s="64"/>
      <c r="AB420" s="64"/>
      <c r="AC420" s="64"/>
    </row>
    <row r="421" spans="1:68" ht="16.5" hidden="1" customHeight="1" x14ac:dyDescent="0.25">
      <c r="A421" s="576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62"/>
      <c r="AB421" s="62"/>
      <c r="AC421" s="62"/>
    </row>
    <row r="422" spans="1:68" ht="14.25" hidden="1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63"/>
      <c r="AB422" s="63"/>
      <c r="AC422" s="63"/>
    </row>
    <row r="423" spans="1:68" ht="27" hidden="1" customHeight="1" x14ac:dyDescent="0.25">
      <c r="A423" s="60" t="s">
        <v>658</v>
      </c>
      <c r="B423" s="60" t="s">
        <v>659</v>
      </c>
      <c r="C423" s="34">
        <v>4301031347</v>
      </c>
      <c r="D423" s="558">
        <v>4680115885110</v>
      </c>
      <c r="E423" s="559"/>
      <c r="F423" s="59">
        <v>0.2</v>
      </c>
      <c r="G423" s="35">
        <v>6</v>
      </c>
      <c r="H423" s="59">
        <v>1.2</v>
      </c>
      <c r="I423" s="59">
        <v>2.1</v>
      </c>
      <c r="J423" s="35">
        <v>182</v>
      </c>
      <c r="K423" s="35" t="s">
        <v>67</v>
      </c>
      <c r="L423" s="35"/>
      <c r="M423" s="36" t="s">
        <v>68</v>
      </c>
      <c r="N423" s="36"/>
      <c r="O423" s="35">
        <v>50</v>
      </c>
      <c r="P423" s="6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7"/>
      <c r="V423" s="37"/>
      <c r="W423" s="38" t="s">
        <v>69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/>
      <c r="AB423" s="66"/>
      <c r="AC423" s="487" t="s">
        <v>660</v>
      </c>
      <c r="AG423" s="75"/>
      <c r="AJ423" s="79"/>
      <c r="AK423" s="79">
        <v>0</v>
      </c>
      <c r="BB423" s="488" t="s">
        <v>1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68" t="s">
        <v>75</v>
      </c>
      <c r="Q424" s="569"/>
      <c r="R424" s="569"/>
      <c r="S424" s="569"/>
      <c r="T424" s="569"/>
      <c r="U424" s="569"/>
      <c r="V424" s="570"/>
      <c r="W424" s="40" t="s">
        <v>76</v>
      </c>
      <c r="X424" s="41">
        <f>IFERROR(X423/H423,"0")</f>
        <v>0</v>
      </c>
      <c r="Y424" s="41">
        <f>IFERROR(Y423/H423,"0")</f>
        <v>0</v>
      </c>
      <c r="Z424" s="41">
        <f>IFERROR(IF(Z423="",0,Z423),"0")</f>
        <v>0</v>
      </c>
      <c r="AA424" s="64"/>
      <c r="AB424" s="64"/>
      <c r="AC424" s="64"/>
    </row>
    <row r="425" spans="1:68" hidden="1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68" t="s">
        <v>75</v>
      </c>
      <c r="Q425" s="569"/>
      <c r="R425" s="569"/>
      <c r="S425" s="569"/>
      <c r="T425" s="569"/>
      <c r="U425" s="569"/>
      <c r="V425" s="570"/>
      <c r="W425" s="40" t="s">
        <v>69</v>
      </c>
      <c r="X425" s="41">
        <f>IFERROR(SUM(X423:X423),"0")</f>
        <v>0</v>
      </c>
      <c r="Y425" s="41">
        <f>IFERROR(SUM(Y423:Y423),"0")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13" t="s">
        <v>661</v>
      </c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52"/>
      <c r="AB426" s="52"/>
      <c r="AC426" s="52"/>
    </row>
    <row r="427" spans="1:68" ht="16.5" hidden="1" customHeight="1" x14ac:dyDescent="0.25">
      <c r="A427" s="576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62"/>
      <c r="AB427" s="62"/>
      <c r="AC427" s="62"/>
    </row>
    <row r="428" spans="1:68" ht="14.25" hidden="1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63"/>
      <c r="AB428" s="63"/>
      <c r="AC428" s="63"/>
    </row>
    <row r="429" spans="1:68" ht="27" customHeight="1" x14ac:dyDescent="0.25">
      <c r="A429" s="60" t="s">
        <v>662</v>
      </c>
      <c r="B429" s="60" t="s">
        <v>663</v>
      </c>
      <c r="C429" s="34">
        <v>4301011795</v>
      </c>
      <c r="D429" s="558">
        <v>4607091389067</v>
      </c>
      <c r="E429" s="559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104</v>
      </c>
      <c r="L429" s="35" t="s">
        <v>105</v>
      </c>
      <c r="M429" s="36" t="s">
        <v>106</v>
      </c>
      <c r="N429" s="36"/>
      <c r="O429" s="35">
        <v>60</v>
      </c>
      <c r="P429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7"/>
      <c r="V429" s="37"/>
      <c r="W429" s="38" t="s">
        <v>69</v>
      </c>
      <c r="X429" s="56">
        <v>420</v>
      </c>
      <c r="Y429" s="53">
        <f t="shared" ref="Y429:Y440" si="52">IFERROR(IF(X429="",0,CEILING((X429/$H429),1)*$H429),"")</f>
        <v>422.40000000000003</v>
      </c>
      <c r="Z429" s="39">
        <f t="shared" ref="Z429:Z435" si="53">IFERROR(IF(Y429=0,"",ROUNDUP(Y429/H429,0)*0.01196),"")</f>
        <v>0.95679999999999998</v>
      </c>
      <c r="AA429" s="65"/>
      <c r="AB429" s="66"/>
      <c r="AC429" s="489" t="s">
        <v>107</v>
      </c>
      <c r="AG429" s="75"/>
      <c r="AJ429" s="79" t="s">
        <v>92</v>
      </c>
      <c r="AK429" s="79">
        <v>42.24</v>
      </c>
      <c r="BB429" s="490" t="s">
        <v>1</v>
      </c>
      <c r="BM429" s="75">
        <f t="shared" ref="BM429:BM440" si="54">IFERROR(X429*I429/H429,"0")</f>
        <v>447.84090909090907</v>
      </c>
      <c r="BN429" s="75">
        <f t="shared" ref="BN429:BN440" si="55">IFERROR(Y429*I429/H429,"0")</f>
        <v>450.4</v>
      </c>
      <c r="BO429" s="75">
        <f t="shared" ref="BO429:BO440" si="56">IFERROR(1/J429*(X429/H429),"0")</f>
        <v>0.7648601398601399</v>
      </c>
      <c r="BP429" s="75">
        <f t="shared" ref="BP429:BP440" si="57">IFERROR(1/J429*(Y429/H429),"0")</f>
        <v>0.76923076923076927</v>
      </c>
    </row>
    <row r="430" spans="1:68" ht="27" hidden="1" customHeight="1" x14ac:dyDescent="0.25">
      <c r="A430" s="60" t="s">
        <v>664</v>
      </c>
      <c r="B430" s="60" t="s">
        <v>665</v>
      </c>
      <c r="C430" s="34">
        <v>4301012210</v>
      </c>
      <c r="D430" s="558">
        <v>4607091383522</v>
      </c>
      <c r="E430" s="559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104</v>
      </c>
      <c r="L430" s="35"/>
      <c r="M430" s="36" t="s">
        <v>106</v>
      </c>
      <c r="N430" s="36"/>
      <c r="O430" s="35">
        <v>60</v>
      </c>
      <c r="P430" s="81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7"/>
      <c r="V430" s="37"/>
      <c r="W430" s="38" t="s">
        <v>69</v>
      </c>
      <c r="X430" s="56">
        <v>0</v>
      </c>
      <c r="Y430" s="53">
        <f t="shared" si="52"/>
        <v>0</v>
      </c>
      <c r="Z430" s="39" t="str">
        <f t="shared" si="53"/>
        <v/>
      </c>
      <c r="AA430" s="65"/>
      <c r="AB430" s="66"/>
      <c r="AC430" s="491" t="s">
        <v>666</v>
      </c>
      <c r="AG430" s="75"/>
      <c r="AJ430" s="79"/>
      <c r="AK430" s="79">
        <v>0</v>
      </c>
      <c r="BB430" s="492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664</v>
      </c>
      <c r="B431" s="60" t="s">
        <v>667</v>
      </c>
      <c r="C431" s="34">
        <v>4301012145</v>
      </c>
      <c r="D431" s="558">
        <v>4607091383522</v>
      </c>
      <c r="E431" s="559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104</v>
      </c>
      <c r="L431" s="35"/>
      <c r="M431" s="36" t="s">
        <v>106</v>
      </c>
      <c r="N431" s="36"/>
      <c r="O431" s="35">
        <v>60</v>
      </c>
      <c r="P431" s="71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7"/>
      <c r="V431" s="37"/>
      <c r="W431" s="38" t="s">
        <v>69</v>
      </c>
      <c r="X431" s="56">
        <v>0</v>
      </c>
      <c r="Y431" s="53">
        <f t="shared" si="52"/>
        <v>0</v>
      </c>
      <c r="Z431" s="39" t="str">
        <f t="shared" si="53"/>
        <v/>
      </c>
      <c r="AA431" s="65"/>
      <c r="AB431" s="66"/>
      <c r="AC431" s="493" t="s">
        <v>666</v>
      </c>
      <c r="AG431" s="75"/>
      <c r="AJ431" s="79"/>
      <c r="AK431" s="79">
        <v>0</v>
      </c>
      <c r="BB431" s="494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668</v>
      </c>
      <c r="B432" s="60" t="s">
        <v>669</v>
      </c>
      <c r="C432" s="34">
        <v>4301011961</v>
      </c>
      <c r="D432" s="558">
        <v>4680115885271</v>
      </c>
      <c r="E432" s="559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104</v>
      </c>
      <c r="L432" s="35" t="s">
        <v>105</v>
      </c>
      <c r="M432" s="36" t="s">
        <v>106</v>
      </c>
      <c r="N432" s="36"/>
      <c r="O432" s="35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7"/>
      <c r="V432" s="37"/>
      <c r="W432" s="38" t="s">
        <v>69</v>
      </c>
      <c r="X432" s="56">
        <v>0</v>
      </c>
      <c r="Y432" s="53">
        <f t="shared" si="52"/>
        <v>0</v>
      </c>
      <c r="Z432" s="39" t="str">
        <f t="shared" si="53"/>
        <v/>
      </c>
      <c r="AA432" s="65"/>
      <c r="AB432" s="66"/>
      <c r="AC432" s="495" t="s">
        <v>670</v>
      </c>
      <c r="AG432" s="75"/>
      <c r="AJ432" s="79" t="s">
        <v>92</v>
      </c>
      <c r="AK432" s="79">
        <v>42.24</v>
      </c>
      <c r="BB432" s="496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27" customHeight="1" x14ac:dyDescent="0.25">
      <c r="A433" s="60" t="s">
        <v>671</v>
      </c>
      <c r="B433" s="60" t="s">
        <v>672</v>
      </c>
      <c r="C433" s="34">
        <v>4301011376</v>
      </c>
      <c r="D433" s="558">
        <v>4680115885226</v>
      </c>
      <c r="E433" s="559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104</v>
      </c>
      <c r="L433" s="35" t="s">
        <v>105</v>
      </c>
      <c r="M433" s="36" t="s">
        <v>80</v>
      </c>
      <c r="N433" s="36"/>
      <c r="O433" s="35">
        <v>60</v>
      </c>
      <c r="P433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7"/>
      <c r="V433" s="37"/>
      <c r="W433" s="38" t="s">
        <v>69</v>
      </c>
      <c r="X433" s="56">
        <v>400</v>
      </c>
      <c r="Y433" s="53">
        <f t="shared" si="52"/>
        <v>401.28000000000003</v>
      </c>
      <c r="Z433" s="39">
        <f t="shared" si="53"/>
        <v>0.90895999999999999</v>
      </c>
      <c r="AA433" s="65"/>
      <c r="AB433" s="66"/>
      <c r="AC433" s="497" t="s">
        <v>673</v>
      </c>
      <c r="AG433" s="75"/>
      <c r="AJ433" s="79" t="s">
        <v>92</v>
      </c>
      <c r="AK433" s="79">
        <v>42.24</v>
      </c>
      <c r="BB433" s="498" t="s">
        <v>1</v>
      </c>
      <c r="BM433" s="75">
        <f t="shared" si="54"/>
        <v>426.5151515151515</v>
      </c>
      <c r="BN433" s="75">
        <f t="shared" si="55"/>
        <v>427.88</v>
      </c>
      <c r="BO433" s="75">
        <f t="shared" si="56"/>
        <v>0.72843822843822836</v>
      </c>
      <c r="BP433" s="75">
        <f t="shared" si="57"/>
        <v>0.73076923076923084</v>
      </c>
    </row>
    <row r="434" spans="1:68" ht="16.5" hidden="1" customHeight="1" x14ac:dyDescent="0.25">
      <c r="A434" s="60" t="s">
        <v>674</v>
      </c>
      <c r="B434" s="60" t="s">
        <v>675</v>
      </c>
      <c r="C434" s="34">
        <v>4301011774</v>
      </c>
      <c r="D434" s="558">
        <v>4680115884502</v>
      </c>
      <c r="E434" s="559"/>
      <c r="F434" s="59">
        <v>0.88</v>
      </c>
      <c r="G434" s="35">
        <v>6</v>
      </c>
      <c r="H434" s="59">
        <v>5.28</v>
      </c>
      <c r="I434" s="59">
        <v>5.63</v>
      </c>
      <c r="J434" s="35">
        <v>104</v>
      </c>
      <c r="K434" s="35" t="s">
        <v>104</v>
      </c>
      <c r="L434" s="35"/>
      <c r="M434" s="36" t="s">
        <v>106</v>
      </c>
      <c r="N434" s="36"/>
      <c r="O434" s="35">
        <v>60</v>
      </c>
      <c r="P434" s="85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7"/>
      <c r="V434" s="37"/>
      <c r="W434" s="38" t="s">
        <v>69</v>
      </c>
      <c r="X434" s="56">
        <v>0</v>
      </c>
      <c r="Y434" s="53">
        <f t="shared" si="52"/>
        <v>0</v>
      </c>
      <c r="Z434" s="39" t="str">
        <f t="shared" si="53"/>
        <v/>
      </c>
      <c r="AA434" s="65"/>
      <c r="AB434" s="66"/>
      <c r="AC434" s="499" t="s">
        <v>676</v>
      </c>
      <c r="AG434" s="75"/>
      <c r="AJ434" s="79"/>
      <c r="AK434" s="79">
        <v>0</v>
      </c>
      <c r="BB434" s="500" t="s">
        <v>1</v>
      </c>
      <c r="BM434" s="75">
        <f t="shared" si="54"/>
        <v>0</v>
      </c>
      <c r="BN434" s="75">
        <f t="shared" si="55"/>
        <v>0</v>
      </c>
      <c r="BO434" s="75">
        <f t="shared" si="56"/>
        <v>0</v>
      </c>
      <c r="BP434" s="75">
        <f t="shared" si="57"/>
        <v>0</v>
      </c>
    </row>
    <row r="435" spans="1:68" ht="27" customHeight="1" x14ac:dyDescent="0.25">
      <c r="A435" s="60" t="s">
        <v>677</v>
      </c>
      <c r="B435" s="60" t="s">
        <v>678</v>
      </c>
      <c r="C435" s="34">
        <v>4301011771</v>
      </c>
      <c r="D435" s="558">
        <v>4607091389104</v>
      </c>
      <c r="E435" s="559"/>
      <c r="F435" s="59">
        <v>0.88</v>
      </c>
      <c r="G435" s="35">
        <v>6</v>
      </c>
      <c r="H435" s="59">
        <v>5.28</v>
      </c>
      <c r="I435" s="59">
        <v>5.63</v>
      </c>
      <c r="J435" s="35">
        <v>104</v>
      </c>
      <c r="K435" s="35" t="s">
        <v>104</v>
      </c>
      <c r="L435" s="35" t="s">
        <v>105</v>
      </c>
      <c r="M435" s="36" t="s">
        <v>106</v>
      </c>
      <c r="N435" s="36"/>
      <c r="O435" s="35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7"/>
      <c r="V435" s="37"/>
      <c r="W435" s="38" t="s">
        <v>69</v>
      </c>
      <c r="X435" s="56">
        <v>1100</v>
      </c>
      <c r="Y435" s="53">
        <f t="shared" si="52"/>
        <v>1103.52</v>
      </c>
      <c r="Z435" s="39">
        <f t="shared" si="53"/>
        <v>2.4996399999999999</v>
      </c>
      <c r="AA435" s="65"/>
      <c r="AB435" s="66"/>
      <c r="AC435" s="501" t="s">
        <v>679</v>
      </c>
      <c r="AG435" s="75"/>
      <c r="AJ435" s="79" t="s">
        <v>92</v>
      </c>
      <c r="AK435" s="79">
        <v>42.24</v>
      </c>
      <c r="BB435" s="502" t="s">
        <v>1</v>
      </c>
      <c r="BM435" s="75">
        <f t="shared" si="54"/>
        <v>1172.9166666666665</v>
      </c>
      <c r="BN435" s="75">
        <f t="shared" si="55"/>
        <v>1176.6699999999998</v>
      </c>
      <c r="BO435" s="75">
        <f t="shared" si="56"/>
        <v>2.0032051282051282</v>
      </c>
      <c r="BP435" s="75">
        <f t="shared" si="57"/>
        <v>2.0096153846153846</v>
      </c>
    </row>
    <row r="436" spans="1:68" ht="27" hidden="1" customHeight="1" x14ac:dyDescent="0.25">
      <c r="A436" s="60" t="s">
        <v>680</v>
      </c>
      <c r="B436" s="60" t="s">
        <v>681</v>
      </c>
      <c r="C436" s="34">
        <v>4301012125</v>
      </c>
      <c r="D436" s="558">
        <v>4680115886391</v>
      </c>
      <c r="E436" s="559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67</v>
      </c>
      <c r="L436" s="35"/>
      <c r="M436" s="36" t="s">
        <v>80</v>
      </c>
      <c r="N436" s="36"/>
      <c r="O436" s="35">
        <v>60</v>
      </c>
      <c r="P436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7"/>
      <c r="V436" s="37"/>
      <c r="W436" s="38" t="s">
        <v>69</v>
      </c>
      <c r="X436" s="56">
        <v>0</v>
      </c>
      <c r="Y436" s="53">
        <f t="shared" si="52"/>
        <v>0</v>
      </c>
      <c r="Z436" s="39" t="str">
        <f>IFERROR(IF(Y436=0,"",ROUNDUP(Y436/H436,0)*0.00651),"")</f>
        <v/>
      </c>
      <c r="AA436" s="65"/>
      <c r="AB436" s="66"/>
      <c r="AC436" s="503" t="s">
        <v>107</v>
      </c>
      <c r="AG436" s="75"/>
      <c r="AJ436" s="79"/>
      <c r="AK436" s="79">
        <v>0</v>
      </c>
      <c r="BB436" s="504" t="s">
        <v>1</v>
      </c>
      <c r="BM436" s="75">
        <f t="shared" si="54"/>
        <v>0</v>
      </c>
      <c r="BN436" s="75">
        <f t="shared" si="55"/>
        <v>0</v>
      </c>
      <c r="BO436" s="75">
        <f t="shared" si="56"/>
        <v>0</v>
      </c>
      <c r="BP436" s="75">
        <f t="shared" si="57"/>
        <v>0</v>
      </c>
    </row>
    <row r="437" spans="1:68" ht="27" hidden="1" customHeight="1" x14ac:dyDescent="0.25">
      <c r="A437" s="60" t="s">
        <v>682</v>
      </c>
      <c r="B437" s="60" t="s">
        <v>683</v>
      </c>
      <c r="C437" s="34">
        <v>4301012035</v>
      </c>
      <c r="D437" s="558">
        <v>4680115880603</v>
      </c>
      <c r="E437" s="559"/>
      <c r="F437" s="59">
        <v>0.6</v>
      </c>
      <c r="G437" s="35">
        <v>8</v>
      </c>
      <c r="H437" s="59">
        <v>4.8</v>
      </c>
      <c r="I437" s="59">
        <v>6.91</v>
      </c>
      <c r="J437" s="35">
        <v>132</v>
      </c>
      <c r="K437" s="35" t="s">
        <v>110</v>
      </c>
      <c r="L437" s="35"/>
      <c r="M437" s="36" t="s">
        <v>106</v>
      </c>
      <c r="N437" s="36"/>
      <c r="O437" s="35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7"/>
      <c r="V437" s="37"/>
      <c r="W437" s="38" t="s">
        <v>69</v>
      </c>
      <c r="X437" s="56">
        <v>0</v>
      </c>
      <c r="Y437" s="53">
        <f t="shared" si="52"/>
        <v>0</v>
      </c>
      <c r="Z437" s="39" t="str">
        <f>IFERROR(IF(Y437=0,"",ROUNDUP(Y437/H437,0)*0.00902),"")</f>
        <v/>
      </c>
      <c r="AA437" s="65"/>
      <c r="AB437" s="66"/>
      <c r="AC437" s="505" t="s">
        <v>107</v>
      </c>
      <c r="AG437" s="75"/>
      <c r="AJ437" s="79"/>
      <c r="AK437" s="79">
        <v>0</v>
      </c>
      <c r="BB437" s="506" t="s">
        <v>1</v>
      </c>
      <c r="BM437" s="75">
        <f t="shared" si="54"/>
        <v>0</v>
      </c>
      <c r="BN437" s="75">
        <f t="shared" si="55"/>
        <v>0</v>
      </c>
      <c r="BO437" s="75">
        <f t="shared" si="56"/>
        <v>0</v>
      </c>
      <c r="BP437" s="75">
        <f t="shared" si="57"/>
        <v>0</v>
      </c>
    </row>
    <row r="438" spans="1:68" ht="27" hidden="1" customHeight="1" x14ac:dyDescent="0.25">
      <c r="A438" s="60" t="s">
        <v>684</v>
      </c>
      <c r="B438" s="60" t="s">
        <v>685</v>
      </c>
      <c r="C438" s="34">
        <v>4301012036</v>
      </c>
      <c r="D438" s="558">
        <v>4680115882782</v>
      </c>
      <c r="E438" s="559"/>
      <c r="F438" s="59">
        <v>0.6</v>
      </c>
      <c r="G438" s="35">
        <v>8</v>
      </c>
      <c r="H438" s="59">
        <v>4.8</v>
      </c>
      <c r="I438" s="59">
        <v>6.96</v>
      </c>
      <c r="J438" s="35">
        <v>120</v>
      </c>
      <c r="K438" s="35" t="s">
        <v>110</v>
      </c>
      <c r="L438" s="35"/>
      <c r="M438" s="36" t="s">
        <v>106</v>
      </c>
      <c r="N438" s="36"/>
      <c r="O438" s="35">
        <v>60</v>
      </c>
      <c r="P438" s="7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7"/>
      <c r="V438" s="37"/>
      <c r="W438" s="38" t="s">
        <v>69</v>
      </c>
      <c r="X438" s="56">
        <v>0</v>
      </c>
      <c r="Y438" s="53">
        <f t="shared" si="52"/>
        <v>0</v>
      </c>
      <c r="Z438" s="39" t="str">
        <f>IFERROR(IF(Y438=0,"",ROUNDUP(Y438/H438,0)*0.00937),"")</f>
        <v/>
      </c>
      <c r="AA438" s="65"/>
      <c r="AB438" s="66"/>
      <c r="AC438" s="507" t="s">
        <v>670</v>
      </c>
      <c r="AG438" s="75"/>
      <c r="AJ438" s="79"/>
      <c r="AK438" s="79">
        <v>0</v>
      </c>
      <c r="BB438" s="508" t="s">
        <v>1</v>
      </c>
      <c r="BM438" s="75">
        <f t="shared" si="54"/>
        <v>0</v>
      </c>
      <c r="BN438" s="75">
        <f t="shared" si="55"/>
        <v>0</v>
      </c>
      <c r="BO438" s="75">
        <f t="shared" si="56"/>
        <v>0</v>
      </c>
      <c r="BP438" s="75">
        <f t="shared" si="57"/>
        <v>0</v>
      </c>
    </row>
    <row r="439" spans="1:68" ht="27" hidden="1" customHeight="1" x14ac:dyDescent="0.25">
      <c r="A439" s="60" t="s">
        <v>686</v>
      </c>
      <c r="B439" s="60" t="s">
        <v>687</v>
      </c>
      <c r="C439" s="34">
        <v>4301012050</v>
      </c>
      <c r="D439" s="558">
        <v>4680115885479</v>
      </c>
      <c r="E439" s="559"/>
      <c r="F439" s="59">
        <v>0.4</v>
      </c>
      <c r="G439" s="35">
        <v>6</v>
      </c>
      <c r="H439" s="59">
        <v>2.4</v>
      </c>
      <c r="I439" s="59">
        <v>2.58</v>
      </c>
      <c r="J439" s="35">
        <v>182</v>
      </c>
      <c r="K439" s="35" t="s">
        <v>67</v>
      </c>
      <c r="L439" s="35"/>
      <c r="M439" s="36" t="s">
        <v>106</v>
      </c>
      <c r="N439" s="36"/>
      <c r="O439" s="35">
        <v>60</v>
      </c>
      <c r="P439" s="8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7"/>
      <c r="V439" s="37"/>
      <c r="W439" s="38" t="s">
        <v>69</v>
      </c>
      <c r="X439" s="56">
        <v>0</v>
      </c>
      <c r="Y439" s="53">
        <f t="shared" si="52"/>
        <v>0</v>
      </c>
      <c r="Z439" s="39" t="str">
        <f>IFERROR(IF(Y439=0,"",ROUNDUP(Y439/H439,0)*0.00651),"")</f>
        <v/>
      </c>
      <c r="AA439" s="65"/>
      <c r="AB439" s="66"/>
      <c r="AC439" s="509" t="s">
        <v>688</v>
      </c>
      <c r="AG439" s="75"/>
      <c r="AJ439" s="79"/>
      <c r="AK439" s="79">
        <v>0</v>
      </c>
      <c r="BB439" s="510" t="s">
        <v>1</v>
      </c>
      <c r="BM439" s="75">
        <f t="shared" si="54"/>
        <v>0</v>
      </c>
      <c r="BN439" s="75">
        <f t="shared" si="55"/>
        <v>0</v>
      </c>
      <c r="BO439" s="75">
        <f t="shared" si="56"/>
        <v>0</v>
      </c>
      <c r="BP439" s="75">
        <f t="shared" si="57"/>
        <v>0</v>
      </c>
    </row>
    <row r="440" spans="1:68" ht="27" hidden="1" customHeight="1" x14ac:dyDescent="0.25">
      <c r="A440" s="60" t="s">
        <v>689</v>
      </c>
      <c r="B440" s="60" t="s">
        <v>690</v>
      </c>
      <c r="C440" s="34">
        <v>4301012034</v>
      </c>
      <c r="D440" s="558">
        <v>4607091389982</v>
      </c>
      <c r="E440" s="559"/>
      <c r="F440" s="59">
        <v>0.6</v>
      </c>
      <c r="G440" s="35">
        <v>8</v>
      </c>
      <c r="H440" s="59">
        <v>4.8</v>
      </c>
      <c r="I440" s="59">
        <v>6.91</v>
      </c>
      <c r="J440" s="35">
        <v>132</v>
      </c>
      <c r="K440" s="35" t="s">
        <v>110</v>
      </c>
      <c r="L440" s="35"/>
      <c r="M440" s="36" t="s">
        <v>106</v>
      </c>
      <c r="N440" s="36"/>
      <c r="O440" s="35">
        <v>60</v>
      </c>
      <c r="P440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7"/>
      <c r="V440" s="37"/>
      <c r="W440" s="38" t="s">
        <v>69</v>
      </c>
      <c r="X440" s="56">
        <v>0</v>
      </c>
      <c r="Y440" s="53">
        <f t="shared" si="52"/>
        <v>0</v>
      </c>
      <c r="Z440" s="39" t="str">
        <f>IFERROR(IF(Y440=0,"",ROUNDUP(Y440/H440,0)*0.00902),"")</f>
        <v/>
      </c>
      <c r="AA440" s="65"/>
      <c r="AB440" s="66"/>
      <c r="AC440" s="511" t="s">
        <v>679</v>
      </c>
      <c r="AG440" s="75"/>
      <c r="AJ440" s="79"/>
      <c r="AK440" s="79">
        <v>0</v>
      </c>
      <c r="BB440" s="512" t="s">
        <v>1</v>
      </c>
      <c r="BM440" s="75">
        <f t="shared" si="54"/>
        <v>0</v>
      </c>
      <c r="BN440" s="75">
        <f t="shared" si="55"/>
        <v>0</v>
      </c>
      <c r="BO440" s="75">
        <f t="shared" si="56"/>
        <v>0</v>
      </c>
      <c r="BP440" s="75">
        <f t="shared" si="57"/>
        <v>0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68" t="s">
        <v>75</v>
      </c>
      <c r="Q441" s="569"/>
      <c r="R441" s="569"/>
      <c r="S441" s="569"/>
      <c r="T441" s="569"/>
      <c r="U441" s="569"/>
      <c r="V441" s="570"/>
      <c r="W441" s="40" t="s">
        <v>76</v>
      </c>
      <c r="X441" s="41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363.63636363636363</v>
      </c>
      <c r="Y441" s="41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365</v>
      </c>
      <c r="Z441" s="41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4.3653999999999993</v>
      </c>
      <c r="AA441" s="64"/>
      <c r="AB441" s="64"/>
      <c r="AC441" s="6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68" t="s">
        <v>75</v>
      </c>
      <c r="Q442" s="569"/>
      <c r="R442" s="569"/>
      <c r="S442" s="569"/>
      <c r="T442" s="569"/>
      <c r="U442" s="569"/>
      <c r="V442" s="570"/>
      <c r="W442" s="40" t="s">
        <v>69</v>
      </c>
      <c r="X442" s="41">
        <f>IFERROR(SUM(X429:X440),"0")</f>
        <v>1920</v>
      </c>
      <c r="Y442" s="41">
        <f>IFERROR(SUM(Y429:Y440),"0")</f>
        <v>1927.2</v>
      </c>
      <c r="Z442" s="40"/>
      <c r="AA442" s="64"/>
      <c r="AB442" s="64"/>
      <c r="AC442" s="64"/>
    </row>
    <row r="443" spans="1:68" ht="14.25" hidden="1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63"/>
      <c r="AB443" s="63"/>
      <c r="AC443" s="63"/>
    </row>
    <row r="444" spans="1:68" ht="16.5" customHeight="1" x14ac:dyDescent="0.25">
      <c r="A444" s="60" t="s">
        <v>691</v>
      </c>
      <c r="B444" s="60" t="s">
        <v>692</v>
      </c>
      <c r="C444" s="34">
        <v>4301020334</v>
      </c>
      <c r="D444" s="558">
        <v>4607091388930</v>
      </c>
      <c r="E444" s="559"/>
      <c r="F444" s="59">
        <v>0.88</v>
      </c>
      <c r="G444" s="35">
        <v>6</v>
      </c>
      <c r="H444" s="59">
        <v>5.28</v>
      </c>
      <c r="I444" s="59">
        <v>5.63</v>
      </c>
      <c r="J444" s="35">
        <v>104</v>
      </c>
      <c r="K444" s="35" t="s">
        <v>104</v>
      </c>
      <c r="L444" s="35" t="s">
        <v>105</v>
      </c>
      <c r="M444" s="36" t="s">
        <v>80</v>
      </c>
      <c r="N444" s="36"/>
      <c r="O444" s="35">
        <v>70</v>
      </c>
      <c r="P444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7"/>
      <c r="V444" s="37"/>
      <c r="W444" s="38" t="s">
        <v>69</v>
      </c>
      <c r="X444" s="56">
        <v>1100</v>
      </c>
      <c r="Y444" s="53">
        <f>IFERROR(IF(X444="",0,CEILING((X444/$H444),1)*$H444),"")</f>
        <v>1103.52</v>
      </c>
      <c r="Z444" s="39">
        <f>IFERROR(IF(Y444=0,"",ROUNDUP(Y444/H444,0)*0.01196),"")</f>
        <v>2.4996399999999999</v>
      </c>
      <c r="AA444" s="65"/>
      <c r="AB444" s="66"/>
      <c r="AC444" s="513" t="s">
        <v>693</v>
      </c>
      <c r="AG444" s="75"/>
      <c r="AJ444" s="79" t="s">
        <v>92</v>
      </c>
      <c r="AK444" s="79">
        <v>42.24</v>
      </c>
      <c r="BB444" s="514" t="s">
        <v>1</v>
      </c>
      <c r="BM444" s="75">
        <f>IFERROR(X444*I444/H444,"0")</f>
        <v>1172.9166666666665</v>
      </c>
      <c r="BN444" s="75">
        <f>IFERROR(Y444*I444/H444,"0")</f>
        <v>1176.6699999999998</v>
      </c>
      <c r="BO444" s="75">
        <f>IFERROR(1/J444*(X444/H444),"0")</f>
        <v>2.0032051282051282</v>
      </c>
      <c r="BP444" s="75">
        <f>IFERROR(1/J444*(Y444/H444),"0")</f>
        <v>2.0096153846153846</v>
      </c>
    </row>
    <row r="445" spans="1:68" ht="16.5" hidden="1" customHeight="1" x14ac:dyDescent="0.25">
      <c r="A445" s="60" t="s">
        <v>694</v>
      </c>
      <c r="B445" s="60" t="s">
        <v>695</v>
      </c>
      <c r="C445" s="34">
        <v>4301020384</v>
      </c>
      <c r="D445" s="558">
        <v>4680115886407</v>
      </c>
      <c r="E445" s="559"/>
      <c r="F445" s="59">
        <v>0.4</v>
      </c>
      <c r="G445" s="35">
        <v>6</v>
      </c>
      <c r="H445" s="59">
        <v>2.4</v>
      </c>
      <c r="I445" s="59">
        <v>2.58</v>
      </c>
      <c r="J445" s="35">
        <v>182</v>
      </c>
      <c r="K445" s="35" t="s">
        <v>67</v>
      </c>
      <c r="L445" s="35"/>
      <c r="M445" s="36" t="s">
        <v>80</v>
      </c>
      <c r="N445" s="36"/>
      <c r="O445" s="35">
        <v>70</v>
      </c>
      <c r="P445" s="61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7"/>
      <c r="V445" s="37"/>
      <c r="W445" s="38" t="s">
        <v>69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/>
      <c r="AB445" s="66"/>
      <c r="AC445" s="515" t="s">
        <v>693</v>
      </c>
      <c r="AG445" s="75"/>
      <c r="AJ445" s="79"/>
      <c r="AK445" s="79">
        <v>0</v>
      </c>
      <c r="BB445" s="516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696</v>
      </c>
      <c r="B446" s="60" t="s">
        <v>697</v>
      </c>
      <c r="C446" s="34">
        <v>4301020385</v>
      </c>
      <c r="D446" s="558">
        <v>4680115880054</v>
      </c>
      <c r="E446" s="559"/>
      <c r="F446" s="59">
        <v>0.6</v>
      </c>
      <c r="G446" s="35">
        <v>8</v>
      </c>
      <c r="H446" s="59">
        <v>4.8</v>
      </c>
      <c r="I446" s="59">
        <v>6.91</v>
      </c>
      <c r="J446" s="35">
        <v>132</v>
      </c>
      <c r="K446" s="35" t="s">
        <v>110</v>
      </c>
      <c r="L446" s="35"/>
      <c r="M446" s="36" t="s">
        <v>106</v>
      </c>
      <c r="N446" s="36"/>
      <c r="O446" s="35">
        <v>70</v>
      </c>
      <c r="P446" s="7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7"/>
      <c r="V446" s="37"/>
      <c r="W446" s="38" t="s">
        <v>69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/>
      <c r="AB446" s="66"/>
      <c r="AC446" s="517" t="s">
        <v>693</v>
      </c>
      <c r="AG446" s="75"/>
      <c r="AJ446" s="79"/>
      <c r="AK446" s="79">
        <v>0</v>
      </c>
      <c r="BB446" s="518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68" t="s">
        <v>75</v>
      </c>
      <c r="Q447" s="569"/>
      <c r="R447" s="569"/>
      <c r="S447" s="569"/>
      <c r="T447" s="569"/>
      <c r="U447" s="569"/>
      <c r="V447" s="570"/>
      <c r="W447" s="40" t="s">
        <v>76</v>
      </c>
      <c r="X447" s="41">
        <f>IFERROR(X444/H444,"0")+IFERROR(X445/H445,"0")+IFERROR(X446/H446,"0")</f>
        <v>208.33333333333331</v>
      </c>
      <c r="Y447" s="41">
        <f>IFERROR(Y444/H444,"0")+IFERROR(Y445/H445,"0")+IFERROR(Y446/H446,"0")</f>
        <v>209</v>
      </c>
      <c r="Z447" s="41">
        <f>IFERROR(IF(Z444="",0,Z444),"0")+IFERROR(IF(Z445="",0,Z445),"0")+IFERROR(IF(Z446="",0,Z446),"0")</f>
        <v>2.4996399999999999</v>
      </c>
      <c r="AA447" s="64"/>
      <c r="AB447" s="64"/>
      <c r="AC447" s="6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8" t="s">
        <v>75</v>
      </c>
      <c r="Q448" s="569"/>
      <c r="R448" s="569"/>
      <c r="S448" s="569"/>
      <c r="T448" s="569"/>
      <c r="U448" s="569"/>
      <c r="V448" s="570"/>
      <c r="W448" s="40" t="s">
        <v>69</v>
      </c>
      <c r="X448" s="41">
        <f>IFERROR(SUM(X444:X446),"0")</f>
        <v>1100</v>
      </c>
      <c r="Y448" s="41">
        <f>IFERROR(SUM(Y444:Y446),"0")</f>
        <v>1103.52</v>
      </c>
      <c r="Z448" s="40"/>
      <c r="AA448" s="64"/>
      <c r="AB448" s="64"/>
      <c r="AC448" s="64"/>
    </row>
    <row r="449" spans="1:68" ht="14.25" hidden="1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63"/>
      <c r="AB449" s="63"/>
      <c r="AC449" s="63"/>
    </row>
    <row r="450" spans="1:68" ht="27" hidden="1" customHeight="1" x14ac:dyDescent="0.25">
      <c r="A450" s="60" t="s">
        <v>698</v>
      </c>
      <c r="B450" s="60" t="s">
        <v>699</v>
      </c>
      <c r="C450" s="34">
        <v>4301031349</v>
      </c>
      <c r="D450" s="558">
        <v>4680115883116</v>
      </c>
      <c r="E450" s="559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104</v>
      </c>
      <c r="L450" s="35" t="s">
        <v>105</v>
      </c>
      <c r="M450" s="36" t="s">
        <v>106</v>
      </c>
      <c r="N450" s="36"/>
      <c r="O450" s="35">
        <v>70</v>
      </c>
      <c r="P45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7"/>
      <c r="V450" s="37"/>
      <c r="W450" s="38" t="s">
        <v>69</v>
      </c>
      <c r="X450" s="56">
        <v>0</v>
      </c>
      <c r="Y450" s="53">
        <f t="shared" ref="Y450:Y455" si="58">IFERROR(IF(X450="",0,CEILING((X450/$H450),1)*$H450),"")</f>
        <v>0</v>
      </c>
      <c r="Z450" s="39" t="str">
        <f>IFERROR(IF(Y450=0,"",ROUNDUP(Y450/H450,0)*0.01196),"")</f>
        <v/>
      </c>
      <c r="AA450" s="65"/>
      <c r="AB450" s="66"/>
      <c r="AC450" s="519" t="s">
        <v>700</v>
      </c>
      <c r="AG450" s="75"/>
      <c r="AJ450" s="79" t="s">
        <v>92</v>
      </c>
      <c r="AK450" s="79">
        <v>42.24</v>
      </c>
      <c r="BB450" s="520" t="s">
        <v>1</v>
      </c>
      <c r="BM450" s="75">
        <f t="shared" ref="BM450:BM455" si="59">IFERROR(X450*I450/H450,"0")</f>
        <v>0</v>
      </c>
      <c r="BN450" s="75">
        <f t="shared" ref="BN450:BN455" si="60">IFERROR(Y450*I450/H450,"0")</f>
        <v>0</v>
      </c>
      <c r="BO450" s="75">
        <f t="shared" ref="BO450:BO455" si="61">IFERROR(1/J450*(X450/H450),"0")</f>
        <v>0</v>
      </c>
      <c r="BP450" s="75">
        <f t="shared" ref="BP450:BP455" si="62">IFERROR(1/J450*(Y450/H450),"0")</f>
        <v>0</v>
      </c>
    </row>
    <row r="451" spans="1:68" ht="27" customHeight="1" x14ac:dyDescent="0.25">
      <c r="A451" s="60" t="s">
        <v>701</v>
      </c>
      <c r="B451" s="60" t="s">
        <v>702</v>
      </c>
      <c r="C451" s="34">
        <v>4301031350</v>
      </c>
      <c r="D451" s="558">
        <v>4680115883093</v>
      </c>
      <c r="E451" s="559"/>
      <c r="F451" s="59">
        <v>0.88</v>
      </c>
      <c r="G451" s="35">
        <v>6</v>
      </c>
      <c r="H451" s="59">
        <v>5.28</v>
      </c>
      <c r="I451" s="59">
        <v>5.63</v>
      </c>
      <c r="J451" s="35">
        <v>104</v>
      </c>
      <c r="K451" s="35" t="s">
        <v>104</v>
      </c>
      <c r="L451" s="35" t="s">
        <v>105</v>
      </c>
      <c r="M451" s="36" t="s">
        <v>68</v>
      </c>
      <c r="N451" s="36"/>
      <c r="O451" s="35">
        <v>70</v>
      </c>
      <c r="P45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7"/>
      <c r="V451" s="37"/>
      <c r="W451" s="38" t="s">
        <v>69</v>
      </c>
      <c r="X451" s="56">
        <v>370</v>
      </c>
      <c r="Y451" s="53">
        <f t="shared" si="58"/>
        <v>374.88</v>
      </c>
      <c r="Z451" s="39">
        <f>IFERROR(IF(Y451=0,"",ROUNDUP(Y451/H451,0)*0.01196),"")</f>
        <v>0.84916000000000003</v>
      </c>
      <c r="AA451" s="65"/>
      <c r="AB451" s="66"/>
      <c r="AC451" s="521" t="s">
        <v>703</v>
      </c>
      <c r="AG451" s="75"/>
      <c r="AJ451" s="79" t="s">
        <v>92</v>
      </c>
      <c r="AK451" s="79">
        <v>42.24</v>
      </c>
      <c r="BB451" s="522" t="s">
        <v>1</v>
      </c>
      <c r="BM451" s="75">
        <f t="shared" si="59"/>
        <v>394.52651515151513</v>
      </c>
      <c r="BN451" s="75">
        <f t="shared" si="60"/>
        <v>399.72999999999996</v>
      </c>
      <c r="BO451" s="75">
        <f t="shared" si="61"/>
        <v>0.67380536130536139</v>
      </c>
      <c r="BP451" s="75">
        <f t="shared" si="62"/>
        <v>0.68269230769230771</v>
      </c>
    </row>
    <row r="452" spans="1:68" ht="27" customHeight="1" x14ac:dyDescent="0.25">
      <c r="A452" s="60" t="s">
        <v>704</v>
      </c>
      <c r="B452" s="60" t="s">
        <v>705</v>
      </c>
      <c r="C452" s="34">
        <v>4301031353</v>
      </c>
      <c r="D452" s="558">
        <v>4680115883109</v>
      </c>
      <c r="E452" s="559"/>
      <c r="F452" s="59">
        <v>0.88</v>
      </c>
      <c r="G452" s="35">
        <v>6</v>
      </c>
      <c r="H452" s="59">
        <v>5.28</v>
      </c>
      <c r="I452" s="59">
        <v>5.63</v>
      </c>
      <c r="J452" s="35">
        <v>104</v>
      </c>
      <c r="K452" s="35" t="s">
        <v>104</v>
      </c>
      <c r="L452" s="35" t="s">
        <v>105</v>
      </c>
      <c r="M452" s="36" t="s">
        <v>68</v>
      </c>
      <c r="N452" s="36"/>
      <c r="O452" s="35">
        <v>70</v>
      </c>
      <c r="P452" s="5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7"/>
      <c r="V452" s="37"/>
      <c r="W452" s="38" t="s">
        <v>69</v>
      </c>
      <c r="X452" s="56">
        <v>870</v>
      </c>
      <c r="Y452" s="53">
        <f t="shared" si="58"/>
        <v>871.2</v>
      </c>
      <c r="Z452" s="39">
        <f>IFERROR(IF(Y452=0,"",ROUNDUP(Y452/H452,0)*0.01196),"")</f>
        <v>1.9734</v>
      </c>
      <c r="AA452" s="65"/>
      <c r="AB452" s="66"/>
      <c r="AC452" s="523" t="s">
        <v>706</v>
      </c>
      <c r="AG452" s="75"/>
      <c r="AJ452" s="79" t="s">
        <v>92</v>
      </c>
      <c r="AK452" s="79">
        <v>42.24</v>
      </c>
      <c r="BB452" s="524" t="s">
        <v>1</v>
      </c>
      <c r="BM452" s="75">
        <f t="shared" si="59"/>
        <v>927.67045454545439</v>
      </c>
      <c r="BN452" s="75">
        <f t="shared" si="60"/>
        <v>928.94999999999993</v>
      </c>
      <c r="BO452" s="75">
        <f t="shared" si="61"/>
        <v>1.5843531468531467</v>
      </c>
      <c r="BP452" s="75">
        <f t="shared" si="62"/>
        <v>1.5865384615384617</v>
      </c>
    </row>
    <row r="453" spans="1:68" ht="27" hidden="1" customHeight="1" x14ac:dyDescent="0.25">
      <c r="A453" s="60" t="s">
        <v>707</v>
      </c>
      <c r="B453" s="60" t="s">
        <v>708</v>
      </c>
      <c r="C453" s="34">
        <v>4301031419</v>
      </c>
      <c r="D453" s="558">
        <v>4680115882072</v>
      </c>
      <c r="E453" s="559"/>
      <c r="F453" s="59">
        <v>0.6</v>
      </c>
      <c r="G453" s="35">
        <v>8</v>
      </c>
      <c r="H453" s="59">
        <v>4.8</v>
      </c>
      <c r="I453" s="59">
        <v>6.91</v>
      </c>
      <c r="J453" s="35">
        <v>132</v>
      </c>
      <c r="K453" s="35" t="s">
        <v>110</v>
      </c>
      <c r="L453" s="35"/>
      <c r="M453" s="36" t="s">
        <v>106</v>
      </c>
      <c r="N453" s="36"/>
      <c r="O453" s="35">
        <v>70</v>
      </c>
      <c r="P453" s="5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7"/>
      <c r="V453" s="37"/>
      <c r="W453" s="38" t="s">
        <v>69</v>
      </c>
      <c r="X453" s="56">
        <v>0</v>
      </c>
      <c r="Y453" s="53">
        <f t="shared" si="58"/>
        <v>0</v>
      </c>
      <c r="Z453" s="39" t="str">
        <f>IFERROR(IF(Y453=0,"",ROUNDUP(Y453/H453,0)*0.00902),"")</f>
        <v/>
      </c>
      <c r="AA453" s="65"/>
      <c r="AB453" s="66"/>
      <c r="AC453" s="525" t="s">
        <v>700</v>
      </c>
      <c r="AG453" s="75"/>
      <c r="AJ453" s="79"/>
      <c r="AK453" s="79">
        <v>0</v>
      </c>
      <c r="BB453" s="526" t="s">
        <v>1</v>
      </c>
      <c r="BM453" s="75">
        <f t="shared" si="59"/>
        <v>0</v>
      </c>
      <c r="BN453" s="75">
        <f t="shared" si="60"/>
        <v>0</v>
      </c>
      <c r="BO453" s="75">
        <f t="shared" si="61"/>
        <v>0</v>
      </c>
      <c r="BP453" s="75">
        <f t="shared" si="62"/>
        <v>0</v>
      </c>
    </row>
    <row r="454" spans="1:68" ht="27" hidden="1" customHeight="1" x14ac:dyDescent="0.25">
      <c r="A454" s="60" t="s">
        <v>709</v>
      </c>
      <c r="B454" s="60" t="s">
        <v>710</v>
      </c>
      <c r="C454" s="34">
        <v>4301031418</v>
      </c>
      <c r="D454" s="558">
        <v>4680115882102</v>
      </c>
      <c r="E454" s="559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110</v>
      </c>
      <c r="L454" s="35"/>
      <c r="M454" s="36" t="s">
        <v>68</v>
      </c>
      <c r="N454" s="36"/>
      <c r="O454" s="35">
        <v>70</v>
      </c>
      <c r="P454" s="57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7"/>
      <c r="V454" s="37"/>
      <c r="W454" s="38" t="s">
        <v>69</v>
      </c>
      <c r="X454" s="56">
        <v>0</v>
      </c>
      <c r="Y454" s="53">
        <f t="shared" si="58"/>
        <v>0</v>
      </c>
      <c r="Z454" s="39" t="str">
        <f>IFERROR(IF(Y454=0,"",ROUNDUP(Y454/H454,0)*0.00902),"")</f>
        <v/>
      </c>
      <c r="AA454" s="65"/>
      <c r="AB454" s="66"/>
      <c r="AC454" s="527" t="s">
        <v>703</v>
      </c>
      <c r="AG454" s="75"/>
      <c r="AJ454" s="79"/>
      <c r="AK454" s="79">
        <v>0</v>
      </c>
      <c r="BB454" s="528" t="s">
        <v>1</v>
      </c>
      <c r="BM454" s="75">
        <f t="shared" si="59"/>
        <v>0</v>
      </c>
      <c r="BN454" s="75">
        <f t="shared" si="60"/>
        <v>0</v>
      </c>
      <c r="BO454" s="75">
        <f t="shared" si="61"/>
        <v>0</v>
      </c>
      <c r="BP454" s="75">
        <f t="shared" si="62"/>
        <v>0</v>
      </c>
    </row>
    <row r="455" spans="1:68" ht="27" hidden="1" customHeight="1" x14ac:dyDescent="0.25">
      <c r="A455" s="60" t="s">
        <v>711</v>
      </c>
      <c r="B455" s="60" t="s">
        <v>712</v>
      </c>
      <c r="C455" s="34">
        <v>4301031417</v>
      </c>
      <c r="D455" s="558">
        <v>4680115882096</v>
      </c>
      <c r="E455" s="559"/>
      <c r="F455" s="59">
        <v>0.6</v>
      </c>
      <c r="G455" s="35">
        <v>8</v>
      </c>
      <c r="H455" s="59">
        <v>4.8</v>
      </c>
      <c r="I455" s="59">
        <v>6.67</v>
      </c>
      <c r="J455" s="35">
        <v>132</v>
      </c>
      <c r="K455" s="35" t="s">
        <v>110</v>
      </c>
      <c r="L455" s="35"/>
      <c r="M455" s="36" t="s">
        <v>68</v>
      </c>
      <c r="N455" s="36"/>
      <c r="O455" s="35">
        <v>70</v>
      </c>
      <c r="P455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7"/>
      <c r="V455" s="37"/>
      <c r="W455" s="38" t="s">
        <v>69</v>
      </c>
      <c r="X455" s="56">
        <v>0</v>
      </c>
      <c r="Y455" s="53">
        <f t="shared" si="58"/>
        <v>0</v>
      </c>
      <c r="Z455" s="39" t="str">
        <f>IFERROR(IF(Y455=0,"",ROUNDUP(Y455/H455,0)*0.00902),"")</f>
        <v/>
      </c>
      <c r="AA455" s="65"/>
      <c r="AB455" s="66"/>
      <c r="AC455" s="529" t="s">
        <v>706</v>
      </c>
      <c r="AG455" s="75"/>
      <c r="AJ455" s="79"/>
      <c r="AK455" s="79">
        <v>0</v>
      </c>
      <c r="BB455" s="530" t="s">
        <v>1</v>
      </c>
      <c r="BM455" s="75">
        <f t="shared" si="59"/>
        <v>0</v>
      </c>
      <c r="BN455" s="75">
        <f t="shared" si="60"/>
        <v>0</v>
      </c>
      <c r="BO455" s="75">
        <f t="shared" si="61"/>
        <v>0</v>
      </c>
      <c r="BP455" s="75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68" t="s">
        <v>75</v>
      </c>
      <c r="Q456" s="569"/>
      <c r="R456" s="569"/>
      <c r="S456" s="569"/>
      <c r="T456" s="569"/>
      <c r="U456" s="569"/>
      <c r="V456" s="570"/>
      <c r="W456" s="40" t="s">
        <v>76</v>
      </c>
      <c r="X456" s="41">
        <f>IFERROR(X450/H450,"0")+IFERROR(X451/H451,"0")+IFERROR(X452/H452,"0")+IFERROR(X453/H453,"0")+IFERROR(X454/H454,"0")+IFERROR(X455/H455,"0")</f>
        <v>234.84848484848482</v>
      </c>
      <c r="Y456" s="41">
        <f>IFERROR(Y450/H450,"0")+IFERROR(Y451/H451,"0")+IFERROR(Y452/H452,"0")+IFERROR(Y453/H453,"0")+IFERROR(Y454/H454,"0")+IFERROR(Y455/H455,"0")</f>
        <v>236</v>
      </c>
      <c r="Z456" s="41">
        <f>IFERROR(IF(Z450="",0,Z450),"0")+IFERROR(IF(Z451="",0,Z451),"0")+IFERROR(IF(Z452="",0,Z452),"0")+IFERROR(IF(Z453="",0,Z453),"0")+IFERROR(IF(Z454="",0,Z454),"0")+IFERROR(IF(Z455="",0,Z455),"0")</f>
        <v>2.8225600000000002</v>
      </c>
      <c r="AA456" s="64"/>
      <c r="AB456" s="64"/>
      <c r="AC456" s="6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68" t="s">
        <v>75</v>
      </c>
      <c r="Q457" s="569"/>
      <c r="R457" s="569"/>
      <c r="S457" s="569"/>
      <c r="T457" s="569"/>
      <c r="U457" s="569"/>
      <c r="V457" s="570"/>
      <c r="W457" s="40" t="s">
        <v>69</v>
      </c>
      <c r="X457" s="41">
        <f>IFERROR(SUM(X450:X455),"0")</f>
        <v>1240</v>
      </c>
      <c r="Y457" s="41">
        <f>IFERROR(SUM(Y450:Y455),"0")</f>
        <v>1246.08</v>
      </c>
      <c r="Z457" s="40"/>
      <c r="AA457" s="64"/>
      <c r="AB457" s="64"/>
      <c r="AC457" s="64"/>
    </row>
    <row r="458" spans="1:68" ht="14.25" hidden="1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63"/>
      <c r="AB458" s="63"/>
      <c r="AC458" s="63"/>
    </row>
    <row r="459" spans="1:68" ht="27" hidden="1" customHeight="1" x14ac:dyDescent="0.25">
      <c r="A459" s="60" t="s">
        <v>713</v>
      </c>
      <c r="B459" s="60" t="s">
        <v>714</v>
      </c>
      <c r="C459" s="34">
        <v>4301051064</v>
      </c>
      <c r="D459" s="558">
        <v>4680115883536</v>
      </c>
      <c r="E459" s="559"/>
      <c r="F459" s="59">
        <v>0.3</v>
      </c>
      <c r="G459" s="35">
        <v>6</v>
      </c>
      <c r="H459" s="59">
        <v>1.8</v>
      </c>
      <c r="I459" s="59">
        <v>2.0459999999999998</v>
      </c>
      <c r="J459" s="35">
        <v>182</v>
      </c>
      <c r="K459" s="35" t="s">
        <v>67</v>
      </c>
      <c r="L459" s="35"/>
      <c r="M459" s="36" t="s">
        <v>80</v>
      </c>
      <c r="N459" s="36"/>
      <c r="O459" s="35">
        <v>45</v>
      </c>
      <c r="P459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7"/>
      <c r="V459" s="37"/>
      <c r="W459" s="38" t="s">
        <v>69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/>
      <c r="AB459" s="66"/>
      <c r="AC459" s="531" t="s">
        <v>715</v>
      </c>
      <c r="AG459" s="75"/>
      <c r="AJ459" s="79"/>
      <c r="AK459" s="79">
        <v>0</v>
      </c>
      <c r="BB459" s="532" t="s">
        <v>1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68" t="s">
        <v>75</v>
      </c>
      <c r="Q460" s="569"/>
      <c r="R460" s="569"/>
      <c r="S460" s="569"/>
      <c r="T460" s="569"/>
      <c r="U460" s="569"/>
      <c r="V460" s="570"/>
      <c r="W460" s="40" t="s">
        <v>76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68" t="s">
        <v>75</v>
      </c>
      <c r="Q461" s="569"/>
      <c r="R461" s="569"/>
      <c r="S461" s="569"/>
      <c r="T461" s="569"/>
      <c r="U461" s="569"/>
      <c r="V461" s="570"/>
      <c r="W461" s="40" t="s">
        <v>69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27.75" hidden="1" customHeight="1" x14ac:dyDescent="0.2">
      <c r="A462" s="613" t="s">
        <v>716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52"/>
      <c r="AB462" s="52"/>
      <c r="AC462" s="52"/>
    </row>
    <row r="463" spans="1:68" ht="16.5" hidden="1" customHeight="1" x14ac:dyDescent="0.25">
      <c r="A463" s="576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62"/>
      <c r="AB463" s="62"/>
      <c r="AC463" s="62"/>
    </row>
    <row r="464" spans="1:68" ht="14.25" hidden="1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63"/>
      <c r="AB464" s="63"/>
      <c r="AC464" s="63"/>
    </row>
    <row r="465" spans="1:68" ht="27" hidden="1" customHeight="1" x14ac:dyDescent="0.25">
      <c r="A465" s="60" t="s">
        <v>717</v>
      </c>
      <c r="B465" s="60" t="s">
        <v>718</v>
      </c>
      <c r="C465" s="34">
        <v>4301011763</v>
      </c>
      <c r="D465" s="558">
        <v>4640242181011</v>
      </c>
      <c r="E465" s="559"/>
      <c r="F465" s="59">
        <v>1.35</v>
      </c>
      <c r="G465" s="35">
        <v>8</v>
      </c>
      <c r="H465" s="59">
        <v>10.8</v>
      </c>
      <c r="I465" s="59">
        <v>11.21</v>
      </c>
      <c r="J465" s="35">
        <v>64</v>
      </c>
      <c r="K465" s="35" t="s">
        <v>104</v>
      </c>
      <c r="L465" s="35"/>
      <c r="M465" s="36" t="s">
        <v>80</v>
      </c>
      <c r="N465" s="36"/>
      <c r="O465" s="35">
        <v>55</v>
      </c>
      <c r="P465" s="81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7"/>
      <c r="V465" s="37"/>
      <c r="W465" s="38" t="s">
        <v>69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/>
      <c r="AB465" s="66"/>
      <c r="AC465" s="533" t="s">
        <v>719</v>
      </c>
      <c r="AG465" s="75"/>
      <c r="AJ465" s="79"/>
      <c r="AK465" s="79">
        <v>0</v>
      </c>
      <c r="BB465" s="534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720</v>
      </c>
      <c r="B466" s="60" t="s">
        <v>721</v>
      </c>
      <c r="C466" s="34">
        <v>4301011585</v>
      </c>
      <c r="D466" s="558">
        <v>4640242180441</v>
      </c>
      <c r="E466" s="559"/>
      <c r="F466" s="59">
        <v>1.5</v>
      </c>
      <c r="G466" s="35">
        <v>8</v>
      </c>
      <c r="H466" s="59">
        <v>12</v>
      </c>
      <c r="I466" s="59">
        <v>12.41</v>
      </c>
      <c r="J466" s="35">
        <v>64</v>
      </c>
      <c r="K466" s="35" t="s">
        <v>104</v>
      </c>
      <c r="L466" s="35"/>
      <c r="M466" s="36" t="s">
        <v>106</v>
      </c>
      <c r="N466" s="36"/>
      <c r="O466" s="35">
        <v>50</v>
      </c>
      <c r="P466" s="6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7"/>
      <c r="V466" s="37"/>
      <c r="W466" s="38" t="s">
        <v>69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/>
      <c r="AB466" s="66"/>
      <c r="AC466" s="535" t="s">
        <v>722</v>
      </c>
      <c r="AG466" s="75"/>
      <c r="AJ466" s="79"/>
      <c r="AK466" s="79">
        <v>0</v>
      </c>
      <c r="BB466" s="536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723</v>
      </c>
      <c r="B467" s="60" t="s">
        <v>724</v>
      </c>
      <c r="C467" s="34">
        <v>4301011584</v>
      </c>
      <c r="D467" s="558">
        <v>4640242180564</v>
      </c>
      <c r="E467" s="559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104</v>
      </c>
      <c r="L467" s="35" t="s">
        <v>105</v>
      </c>
      <c r="M467" s="36" t="s">
        <v>106</v>
      </c>
      <c r="N467" s="36"/>
      <c r="O467" s="35">
        <v>50</v>
      </c>
      <c r="P467" s="6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7"/>
      <c r="V467" s="37"/>
      <c r="W467" s="38" t="s">
        <v>69</v>
      </c>
      <c r="X467" s="56">
        <v>100</v>
      </c>
      <c r="Y467" s="53">
        <f>IFERROR(IF(X467="",0,CEILING((X467/$H467),1)*$H467),"")</f>
        <v>108</v>
      </c>
      <c r="Z467" s="39">
        <f>IFERROR(IF(Y467=0,"",ROUNDUP(Y467/H467,0)*0.01898),"")</f>
        <v>0.17082</v>
      </c>
      <c r="AA467" s="65"/>
      <c r="AB467" s="66"/>
      <c r="AC467" s="537" t="s">
        <v>725</v>
      </c>
      <c r="AG467" s="75"/>
      <c r="AJ467" s="79" t="s">
        <v>92</v>
      </c>
      <c r="AK467" s="79">
        <v>96</v>
      </c>
      <c r="BB467" s="538" t="s">
        <v>1</v>
      </c>
      <c r="BM467" s="75">
        <f>IFERROR(X467*I467/H467,"0")</f>
        <v>103.41666666666667</v>
      </c>
      <c r="BN467" s="75">
        <f>IFERROR(Y467*I467/H467,"0")</f>
        <v>111.69</v>
      </c>
      <c r="BO467" s="75">
        <f>IFERROR(1/J467*(X467/H467),"0")</f>
        <v>0.13020833333333334</v>
      </c>
      <c r="BP467" s="75">
        <f>IFERROR(1/J467*(Y467/H467),"0")</f>
        <v>0.140625</v>
      </c>
    </row>
    <row r="468" spans="1:68" ht="27" hidden="1" customHeight="1" x14ac:dyDescent="0.25">
      <c r="A468" s="60" t="s">
        <v>726</v>
      </c>
      <c r="B468" s="60" t="s">
        <v>727</v>
      </c>
      <c r="C468" s="34">
        <v>4301011764</v>
      </c>
      <c r="D468" s="558">
        <v>4640242181189</v>
      </c>
      <c r="E468" s="559"/>
      <c r="F468" s="59">
        <v>0.4</v>
      </c>
      <c r="G468" s="35">
        <v>10</v>
      </c>
      <c r="H468" s="59">
        <v>4</v>
      </c>
      <c r="I468" s="59">
        <v>4.1900000000000004</v>
      </c>
      <c r="J468" s="35">
        <v>132</v>
      </c>
      <c r="K468" s="35" t="s">
        <v>110</v>
      </c>
      <c r="L468" s="35"/>
      <c r="M468" s="36" t="s">
        <v>80</v>
      </c>
      <c r="N468" s="36"/>
      <c r="O468" s="35">
        <v>55</v>
      </c>
      <c r="P468" s="5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7"/>
      <c r="V468" s="37"/>
      <c r="W468" s="38" t="s">
        <v>69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/>
      <c r="AB468" s="66"/>
      <c r="AC468" s="539" t="s">
        <v>719</v>
      </c>
      <c r="AG468" s="75"/>
      <c r="AJ468" s="79"/>
      <c r="AK468" s="79">
        <v>0</v>
      </c>
      <c r="BB468" s="540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8" t="s">
        <v>75</v>
      </c>
      <c r="Q469" s="569"/>
      <c r="R469" s="569"/>
      <c r="S469" s="569"/>
      <c r="T469" s="569"/>
      <c r="U469" s="569"/>
      <c r="V469" s="570"/>
      <c r="W469" s="40" t="s">
        <v>76</v>
      </c>
      <c r="X469" s="41">
        <f>IFERROR(X465/H465,"0")+IFERROR(X466/H466,"0")+IFERROR(X467/H467,"0")+IFERROR(X468/H468,"0")</f>
        <v>8.3333333333333339</v>
      </c>
      <c r="Y469" s="41">
        <f>IFERROR(Y465/H465,"0")+IFERROR(Y466/H466,"0")+IFERROR(Y467/H467,"0")+IFERROR(Y468/H468,"0")</f>
        <v>9</v>
      </c>
      <c r="Z469" s="41">
        <f>IFERROR(IF(Z465="",0,Z465),"0")+IFERROR(IF(Z466="",0,Z466),"0")+IFERROR(IF(Z467="",0,Z467),"0")+IFERROR(IF(Z468="",0,Z468),"0")</f>
        <v>0.17082</v>
      </c>
      <c r="AA469" s="64"/>
      <c r="AB469" s="64"/>
      <c r="AC469" s="6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8" t="s">
        <v>75</v>
      </c>
      <c r="Q470" s="569"/>
      <c r="R470" s="569"/>
      <c r="S470" s="569"/>
      <c r="T470" s="569"/>
      <c r="U470" s="569"/>
      <c r="V470" s="570"/>
      <c r="W470" s="40" t="s">
        <v>69</v>
      </c>
      <c r="X470" s="41">
        <f>IFERROR(SUM(X465:X468),"0")</f>
        <v>100</v>
      </c>
      <c r="Y470" s="41">
        <f>IFERROR(SUM(Y465:Y468),"0")</f>
        <v>108</v>
      </c>
      <c r="Z470" s="40"/>
      <c r="AA470" s="64"/>
      <c r="AB470" s="64"/>
      <c r="AC470" s="64"/>
    </row>
    <row r="471" spans="1:68" ht="14.25" hidden="1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63"/>
      <c r="AB471" s="63"/>
      <c r="AC471" s="63"/>
    </row>
    <row r="472" spans="1:68" ht="27" hidden="1" customHeight="1" x14ac:dyDescent="0.25">
      <c r="A472" s="60" t="s">
        <v>728</v>
      </c>
      <c r="B472" s="60" t="s">
        <v>729</v>
      </c>
      <c r="C472" s="34">
        <v>4301020400</v>
      </c>
      <c r="D472" s="558">
        <v>4640242180519</v>
      </c>
      <c r="E472" s="559"/>
      <c r="F472" s="59">
        <v>1.5</v>
      </c>
      <c r="G472" s="35">
        <v>8</v>
      </c>
      <c r="H472" s="59">
        <v>12</v>
      </c>
      <c r="I472" s="59">
        <v>12.41</v>
      </c>
      <c r="J472" s="35">
        <v>64</v>
      </c>
      <c r="K472" s="35" t="s">
        <v>104</v>
      </c>
      <c r="L472" s="35"/>
      <c r="M472" s="36" t="s">
        <v>106</v>
      </c>
      <c r="N472" s="36"/>
      <c r="O472" s="35">
        <v>50</v>
      </c>
      <c r="P472" s="7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7"/>
      <c r="V472" s="37"/>
      <c r="W472" s="38" t="s">
        <v>69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IFERROR(IF(Y472=0,"",ROUNDUP(Y472/H472,0)*0.01898),"")</f>
        <v/>
      </c>
      <c r="AA472" s="65"/>
      <c r="AB472" s="66"/>
      <c r="AC472" s="541" t="s">
        <v>730</v>
      </c>
      <c r="AG472" s="75"/>
      <c r="AJ472" s="79"/>
      <c r="AK472" s="79">
        <v>0</v>
      </c>
      <c r="BB472" s="542" t="s">
        <v>1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t="27" hidden="1" customHeight="1" x14ac:dyDescent="0.25">
      <c r="A473" s="60" t="s">
        <v>731</v>
      </c>
      <c r="B473" s="60" t="s">
        <v>732</v>
      </c>
      <c r="C473" s="34">
        <v>4301020260</v>
      </c>
      <c r="D473" s="558">
        <v>4640242180526</v>
      </c>
      <c r="E473" s="559"/>
      <c r="F473" s="59">
        <v>1.8</v>
      </c>
      <c r="G473" s="35">
        <v>6</v>
      </c>
      <c r="H473" s="59">
        <v>10.8</v>
      </c>
      <c r="I473" s="59">
        <v>11.21</v>
      </c>
      <c r="J473" s="35">
        <v>64</v>
      </c>
      <c r="K473" s="35" t="s">
        <v>104</v>
      </c>
      <c r="L473" s="35"/>
      <c r="M473" s="36" t="s">
        <v>106</v>
      </c>
      <c r="N473" s="36"/>
      <c r="O473" s="35">
        <v>50</v>
      </c>
      <c r="P473" s="61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7"/>
      <c r="V473" s="37"/>
      <c r="W473" s="38" t="s">
        <v>69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IFERROR(IF(Y473=0,"",ROUNDUP(Y473/H473,0)*0.01898),"")</f>
        <v/>
      </c>
      <c r="AA473" s="65"/>
      <c r="AB473" s="66"/>
      <c r="AC473" s="543" t="s">
        <v>733</v>
      </c>
      <c r="AG473" s="75"/>
      <c r="AJ473" s="79"/>
      <c r="AK473" s="79">
        <v>0</v>
      </c>
      <c r="BB473" s="544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idden="1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8" t="s">
        <v>75</v>
      </c>
      <c r="Q474" s="569"/>
      <c r="R474" s="569"/>
      <c r="S474" s="569"/>
      <c r="T474" s="569"/>
      <c r="U474" s="569"/>
      <c r="V474" s="570"/>
      <c r="W474" s="40" t="s">
        <v>76</v>
      </c>
      <c r="X474" s="41">
        <f>IFERROR(X472/H472,"0")+IFERROR(X473/H473,"0")</f>
        <v>0</v>
      </c>
      <c r="Y474" s="41">
        <f>IFERROR(Y472/H472,"0")+IFERROR(Y473/H473,"0")</f>
        <v>0</v>
      </c>
      <c r="Z474" s="41">
        <f>IFERROR(IF(Z472="",0,Z472),"0")+IFERROR(IF(Z473="",0,Z473),"0")</f>
        <v>0</v>
      </c>
      <c r="AA474" s="64"/>
      <c r="AB474" s="64"/>
      <c r="AC474" s="64"/>
    </row>
    <row r="475" spans="1:68" hidden="1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8" t="s">
        <v>75</v>
      </c>
      <c r="Q475" s="569"/>
      <c r="R475" s="569"/>
      <c r="S475" s="569"/>
      <c r="T475" s="569"/>
      <c r="U475" s="569"/>
      <c r="V475" s="570"/>
      <c r="W475" s="40" t="s">
        <v>69</v>
      </c>
      <c r="X475" s="41">
        <f>IFERROR(SUM(X472:X473),"0")</f>
        <v>0</v>
      </c>
      <c r="Y475" s="41">
        <f>IFERROR(SUM(Y472:Y473),"0")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63"/>
      <c r="AB476" s="63"/>
      <c r="AC476" s="63"/>
    </row>
    <row r="477" spans="1:68" ht="27" hidden="1" customHeight="1" x14ac:dyDescent="0.25">
      <c r="A477" s="60" t="s">
        <v>734</v>
      </c>
      <c r="B477" s="60" t="s">
        <v>735</v>
      </c>
      <c r="C477" s="34">
        <v>4301031467</v>
      </c>
      <c r="D477" s="558">
        <v>4640242180595</v>
      </c>
      <c r="E477" s="559"/>
      <c r="F477" s="59">
        <v>0.8</v>
      </c>
      <c r="G477" s="35">
        <v>6</v>
      </c>
      <c r="H477" s="59">
        <v>4.8</v>
      </c>
      <c r="I477" s="59">
        <v>5.05</v>
      </c>
      <c r="J477" s="35">
        <v>132</v>
      </c>
      <c r="K477" s="35" t="s">
        <v>110</v>
      </c>
      <c r="L477" s="35"/>
      <c r="M477" s="36" t="s">
        <v>68</v>
      </c>
      <c r="N477" s="36"/>
      <c r="O477" s="35">
        <v>40</v>
      </c>
      <c r="P477" s="7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7"/>
      <c r="V477" s="37"/>
      <c r="W477" s="38" t="s">
        <v>69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/>
      <c r="AB477" s="66"/>
      <c r="AC477" s="545" t="s">
        <v>736</v>
      </c>
      <c r="AG477" s="75"/>
      <c r="AJ477" s="79"/>
      <c r="AK477" s="79">
        <v>0</v>
      </c>
      <c r="BB477" s="546" t="s">
        <v>1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idden="1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8" t="s">
        <v>75</v>
      </c>
      <c r="Q478" s="569"/>
      <c r="R478" s="569"/>
      <c r="S478" s="569"/>
      <c r="T478" s="569"/>
      <c r="U478" s="569"/>
      <c r="V478" s="570"/>
      <c r="W478" s="40" t="s">
        <v>76</v>
      </c>
      <c r="X478" s="41">
        <f>IFERROR(X477/H477,"0")</f>
        <v>0</v>
      </c>
      <c r="Y478" s="41">
        <f>IFERROR(Y477/H477,"0")</f>
        <v>0</v>
      </c>
      <c r="Z478" s="41">
        <f>IFERROR(IF(Z477="",0,Z477),"0")</f>
        <v>0</v>
      </c>
      <c r="AA478" s="64"/>
      <c r="AB478" s="64"/>
      <c r="AC478" s="64"/>
    </row>
    <row r="479" spans="1:68" hidden="1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8" t="s">
        <v>75</v>
      </c>
      <c r="Q479" s="569"/>
      <c r="R479" s="569"/>
      <c r="S479" s="569"/>
      <c r="T479" s="569"/>
      <c r="U479" s="569"/>
      <c r="V479" s="570"/>
      <c r="W479" s="40" t="s">
        <v>69</v>
      </c>
      <c r="X479" s="41">
        <f>IFERROR(SUM(X477:X477),"0")</f>
        <v>0</v>
      </c>
      <c r="Y479" s="41">
        <f>IFERROR(SUM(Y477:Y477),"0")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63"/>
      <c r="AB480" s="63"/>
      <c r="AC480" s="63"/>
    </row>
    <row r="481" spans="1:68" ht="27" hidden="1" customHeight="1" x14ac:dyDescent="0.25">
      <c r="A481" s="60" t="s">
        <v>737</v>
      </c>
      <c r="B481" s="60" t="s">
        <v>738</v>
      </c>
      <c r="C481" s="34">
        <v>4301052046</v>
      </c>
      <c r="D481" s="558">
        <v>4640242180533</v>
      </c>
      <c r="E481" s="559"/>
      <c r="F481" s="59">
        <v>1.5</v>
      </c>
      <c r="G481" s="35">
        <v>6</v>
      </c>
      <c r="H481" s="59">
        <v>9</v>
      </c>
      <c r="I481" s="59">
        <v>9.4939999999999998</v>
      </c>
      <c r="J481" s="35">
        <v>64</v>
      </c>
      <c r="K481" s="35" t="s">
        <v>104</v>
      </c>
      <c r="L481" s="35" t="s">
        <v>105</v>
      </c>
      <c r="M481" s="36" t="s">
        <v>86</v>
      </c>
      <c r="N481" s="36"/>
      <c r="O481" s="35">
        <v>45</v>
      </c>
      <c r="P481" s="6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7"/>
      <c r="V481" s="37"/>
      <c r="W481" s="38" t="s">
        <v>69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/>
      <c r="AB481" s="66"/>
      <c r="AC481" s="547" t="s">
        <v>739</v>
      </c>
      <c r="AG481" s="75"/>
      <c r="AJ481" s="79" t="s">
        <v>92</v>
      </c>
      <c r="AK481" s="79">
        <v>72</v>
      </c>
      <c r="BB481" s="548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idden="1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68" t="s">
        <v>75</v>
      </c>
      <c r="Q482" s="569"/>
      <c r="R482" s="569"/>
      <c r="S482" s="569"/>
      <c r="T482" s="569"/>
      <c r="U482" s="569"/>
      <c r="V482" s="570"/>
      <c r="W482" s="40" t="s">
        <v>76</v>
      </c>
      <c r="X482" s="41">
        <f>IFERROR(X481/H481,"0")</f>
        <v>0</v>
      </c>
      <c r="Y482" s="41">
        <f>IFERROR(Y481/H481,"0")</f>
        <v>0</v>
      </c>
      <c r="Z482" s="41">
        <f>IFERROR(IF(Z481="",0,Z481),"0")</f>
        <v>0</v>
      </c>
      <c r="AA482" s="64"/>
      <c r="AB482" s="64"/>
      <c r="AC482" s="64"/>
    </row>
    <row r="483" spans="1:68" hidden="1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8" t="s">
        <v>75</v>
      </c>
      <c r="Q483" s="569"/>
      <c r="R483" s="569"/>
      <c r="S483" s="569"/>
      <c r="T483" s="569"/>
      <c r="U483" s="569"/>
      <c r="V483" s="570"/>
      <c r="W483" s="40" t="s">
        <v>69</v>
      </c>
      <c r="X483" s="41">
        <f>IFERROR(SUM(X481:X481),"0")</f>
        <v>0</v>
      </c>
      <c r="Y483" s="41">
        <f>IFERROR(SUM(Y481:Y481),"0")</f>
        <v>0</v>
      </c>
      <c r="Z483" s="40"/>
      <c r="AA483" s="64"/>
      <c r="AB483" s="64"/>
      <c r="AC483" s="64"/>
    </row>
    <row r="484" spans="1:68" ht="14.25" hidden="1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63"/>
      <c r="AB484" s="63"/>
      <c r="AC484" s="63"/>
    </row>
    <row r="485" spans="1:68" ht="27" hidden="1" customHeight="1" x14ac:dyDescent="0.25">
      <c r="A485" s="60" t="s">
        <v>740</v>
      </c>
      <c r="B485" s="60" t="s">
        <v>741</v>
      </c>
      <c r="C485" s="34">
        <v>4301060491</v>
      </c>
      <c r="D485" s="558">
        <v>4640242180120</v>
      </c>
      <c r="E485" s="559"/>
      <c r="F485" s="59">
        <v>1.5</v>
      </c>
      <c r="G485" s="35">
        <v>6</v>
      </c>
      <c r="H485" s="59">
        <v>9</v>
      </c>
      <c r="I485" s="59">
        <v>9.41</v>
      </c>
      <c r="J485" s="35">
        <v>64</v>
      </c>
      <c r="K485" s="35" t="s">
        <v>104</v>
      </c>
      <c r="L485" s="35"/>
      <c r="M485" s="36" t="s">
        <v>80</v>
      </c>
      <c r="N485" s="36"/>
      <c r="O485" s="35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7"/>
      <c r="V485" s="37"/>
      <c r="W485" s="38" t="s">
        <v>69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/>
      <c r="AB485" s="66"/>
      <c r="AC485" s="549" t="s">
        <v>742</v>
      </c>
      <c r="AG485" s="75"/>
      <c r="AJ485" s="79"/>
      <c r="AK485" s="79">
        <v>0</v>
      </c>
      <c r="BB485" s="550" t="s">
        <v>1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743</v>
      </c>
      <c r="B486" s="60" t="s">
        <v>744</v>
      </c>
      <c r="C486" s="34">
        <v>4301060493</v>
      </c>
      <c r="D486" s="558">
        <v>4640242180137</v>
      </c>
      <c r="E486" s="559"/>
      <c r="F486" s="59">
        <v>1.5</v>
      </c>
      <c r="G486" s="35">
        <v>6</v>
      </c>
      <c r="H486" s="59">
        <v>9</v>
      </c>
      <c r="I486" s="59">
        <v>9.41</v>
      </c>
      <c r="J486" s="35">
        <v>64</v>
      </c>
      <c r="K486" s="35" t="s">
        <v>104</v>
      </c>
      <c r="L486" s="35"/>
      <c r="M486" s="36" t="s">
        <v>80</v>
      </c>
      <c r="N486" s="36"/>
      <c r="O486" s="35">
        <v>40</v>
      </c>
      <c r="P486" s="8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7"/>
      <c r="V486" s="37"/>
      <c r="W486" s="38" t="s">
        <v>69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/>
      <c r="AB486" s="66"/>
      <c r="AC486" s="551" t="s">
        <v>745</v>
      </c>
      <c r="AG486" s="75"/>
      <c r="AJ486" s="79"/>
      <c r="AK486" s="79">
        <v>0</v>
      </c>
      <c r="BB486" s="552" t="s">
        <v>1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68" t="s">
        <v>75</v>
      </c>
      <c r="Q487" s="569"/>
      <c r="R487" s="569"/>
      <c r="S487" s="569"/>
      <c r="T487" s="569"/>
      <c r="U487" s="569"/>
      <c r="V487" s="570"/>
      <c r="W487" s="40" t="s">
        <v>76</v>
      </c>
      <c r="X487" s="41">
        <f>IFERROR(X485/H485,"0")+IFERROR(X486/H486,"0")</f>
        <v>0</v>
      </c>
      <c r="Y487" s="41">
        <f>IFERROR(Y485/H485,"0")+IFERROR(Y486/H486,"0")</f>
        <v>0</v>
      </c>
      <c r="Z487" s="41">
        <f>IFERROR(IF(Z485="",0,Z485),"0")+IFERROR(IF(Z486="",0,Z486),"0")</f>
        <v>0</v>
      </c>
      <c r="AA487" s="64"/>
      <c r="AB487" s="64"/>
      <c r="AC487" s="64"/>
    </row>
    <row r="488" spans="1:68" hidden="1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8" t="s">
        <v>75</v>
      </c>
      <c r="Q488" s="569"/>
      <c r="R488" s="569"/>
      <c r="S488" s="569"/>
      <c r="T488" s="569"/>
      <c r="U488" s="569"/>
      <c r="V488" s="570"/>
      <c r="W488" s="40" t="s">
        <v>69</v>
      </c>
      <c r="X488" s="41">
        <f>IFERROR(SUM(X485:X486),"0")</f>
        <v>0</v>
      </c>
      <c r="Y488" s="41">
        <f>IFERROR(SUM(Y485:Y486),"0")</f>
        <v>0</v>
      </c>
      <c r="Z488" s="40"/>
      <c r="AA488" s="64"/>
      <c r="AB488" s="64"/>
      <c r="AC488" s="64"/>
    </row>
    <row r="489" spans="1:68" ht="16.5" hidden="1" customHeight="1" x14ac:dyDescent="0.25">
      <c r="A489" s="576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62"/>
      <c r="AB489" s="62"/>
      <c r="AC489" s="62"/>
    </row>
    <row r="490" spans="1:68" ht="14.25" hidden="1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63"/>
      <c r="AB490" s="63"/>
      <c r="AC490" s="63"/>
    </row>
    <row r="491" spans="1:68" ht="27" hidden="1" customHeight="1" x14ac:dyDescent="0.25">
      <c r="A491" s="60" t="s">
        <v>747</v>
      </c>
      <c r="B491" s="60" t="s">
        <v>748</v>
      </c>
      <c r="C491" s="34">
        <v>4301020314</v>
      </c>
      <c r="D491" s="558">
        <v>4640242180090</v>
      </c>
      <c r="E491" s="559"/>
      <c r="F491" s="59">
        <v>1.5</v>
      </c>
      <c r="G491" s="35">
        <v>8</v>
      </c>
      <c r="H491" s="59">
        <v>12</v>
      </c>
      <c r="I491" s="59">
        <v>12.41</v>
      </c>
      <c r="J491" s="35">
        <v>64</v>
      </c>
      <c r="K491" s="35" t="s">
        <v>104</v>
      </c>
      <c r="L491" s="35"/>
      <c r="M491" s="36" t="s">
        <v>106</v>
      </c>
      <c r="N491" s="36"/>
      <c r="O491" s="35">
        <v>50</v>
      </c>
      <c r="P491" s="6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7"/>
      <c r="V491" s="37"/>
      <c r="W491" s="38" t="s">
        <v>69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IFERROR(IF(Y491=0,"",ROUNDUP(Y491/H491,0)*0.01898),"")</f>
        <v/>
      </c>
      <c r="AA491" s="65"/>
      <c r="AB491" s="66"/>
      <c r="AC491" s="553" t="s">
        <v>749</v>
      </c>
      <c r="AG491" s="75"/>
      <c r="AJ491" s="79"/>
      <c r="AK491" s="79">
        <v>0</v>
      </c>
      <c r="BB491" s="554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idden="1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68" t="s">
        <v>75</v>
      </c>
      <c r="Q492" s="569"/>
      <c r="R492" s="569"/>
      <c r="S492" s="569"/>
      <c r="T492" s="569"/>
      <c r="U492" s="569"/>
      <c r="V492" s="570"/>
      <c r="W492" s="40" t="s">
        <v>76</v>
      </c>
      <c r="X492" s="41">
        <f>IFERROR(X491/H491,"0")</f>
        <v>0</v>
      </c>
      <c r="Y492" s="41">
        <f>IFERROR(Y491/H491,"0")</f>
        <v>0</v>
      </c>
      <c r="Z492" s="41">
        <f>IFERROR(IF(Z491="",0,Z491),"0")</f>
        <v>0</v>
      </c>
      <c r="AA492" s="64"/>
      <c r="AB492" s="64"/>
      <c r="AC492" s="64"/>
    </row>
    <row r="493" spans="1:68" hidden="1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68" t="s">
        <v>75</v>
      </c>
      <c r="Q493" s="569"/>
      <c r="R493" s="569"/>
      <c r="S493" s="569"/>
      <c r="T493" s="569"/>
      <c r="U493" s="569"/>
      <c r="V493" s="570"/>
      <c r="W493" s="40" t="s">
        <v>69</v>
      </c>
      <c r="X493" s="41">
        <f>IFERROR(SUM(X491:X491),"0")</f>
        <v>0</v>
      </c>
      <c r="Y493" s="41">
        <f>IFERROR(SUM(Y491:Y491),"0")</f>
        <v>0</v>
      </c>
      <c r="Z493" s="40"/>
      <c r="AA493" s="64"/>
      <c r="AB493" s="64"/>
      <c r="AC493" s="64"/>
    </row>
    <row r="494" spans="1:68" ht="15" customHeight="1" x14ac:dyDescent="0.2">
      <c r="A494" s="665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66"/>
      <c r="P494" s="668" t="s">
        <v>750</v>
      </c>
      <c r="Q494" s="669"/>
      <c r="R494" s="669"/>
      <c r="S494" s="669"/>
      <c r="T494" s="669"/>
      <c r="U494" s="669"/>
      <c r="V494" s="670"/>
      <c r="W494" s="40" t="s">
        <v>69</v>
      </c>
      <c r="X494" s="41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18020</v>
      </c>
      <c r="Y494" s="41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18148.900000000001</v>
      </c>
      <c r="Z494" s="40"/>
      <c r="AA494" s="64"/>
      <c r="AB494" s="64"/>
      <c r="AC494" s="6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66"/>
      <c r="P495" s="668" t="s">
        <v>751</v>
      </c>
      <c r="Q495" s="669"/>
      <c r="R495" s="669"/>
      <c r="S495" s="669"/>
      <c r="T495" s="669"/>
      <c r="U495" s="669"/>
      <c r="V495" s="670"/>
      <c r="W495" s="40" t="s">
        <v>69</v>
      </c>
      <c r="X495" s="41">
        <f>IFERROR(SUM(BM22:BM491),"0")</f>
        <v>18893.177587632988</v>
      </c>
      <c r="Y495" s="41">
        <f>IFERROR(SUM(BN22:BN491),"0")</f>
        <v>19028.403999999995</v>
      </c>
      <c r="Z495" s="40"/>
      <c r="AA495" s="64"/>
      <c r="AB495" s="64"/>
      <c r="AC495" s="6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66"/>
      <c r="P496" s="668" t="s">
        <v>752</v>
      </c>
      <c r="Q496" s="669"/>
      <c r="R496" s="669"/>
      <c r="S496" s="669"/>
      <c r="T496" s="669"/>
      <c r="U496" s="669"/>
      <c r="V496" s="670"/>
      <c r="W496" s="40" t="s">
        <v>753</v>
      </c>
      <c r="X496" s="42">
        <f>ROUNDUP(SUM(BO22:BO491),0)</f>
        <v>30</v>
      </c>
      <c r="Y496" s="42">
        <f>ROUNDUP(SUM(BP22:BP491),0)</f>
        <v>30</v>
      </c>
      <c r="Z496" s="40"/>
      <c r="AA496" s="64"/>
      <c r="AB496" s="64"/>
      <c r="AC496" s="6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66"/>
      <c r="P497" s="668" t="s">
        <v>754</v>
      </c>
      <c r="Q497" s="669"/>
      <c r="R497" s="669"/>
      <c r="S497" s="669"/>
      <c r="T497" s="669"/>
      <c r="U497" s="669"/>
      <c r="V497" s="670"/>
      <c r="W497" s="40" t="s">
        <v>69</v>
      </c>
      <c r="X497" s="41">
        <f>GrossWeightTotal+PalletQtyTotal*25</f>
        <v>19643.177587632988</v>
      </c>
      <c r="Y497" s="41">
        <f>GrossWeightTotalR+PalletQtyTotalR*25</f>
        <v>19778.403999999995</v>
      </c>
      <c r="Z497" s="40"/>
      <c r="AA497" s="64"/>
      <c r="AB497" s="64"/>
      <c r="AC497" s="6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66"/>
      <c r="P498" s="668" t="s">
        <v>755</v>
      </c>
      <c r="Q498" s="669"/>
      <c r="R498" s="669"/>
      <c r="S498" s="669"/>
      <c r="T498" s="669"/>
      <c r="U498" s="669"/>
      <c r="V498" s="670"/>
      <c r="W498" s="40" t="s">
        <v>753</v>
      </c>
      <c r="X498" s="41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2242.050591777941</v>
      </c>
      <c r="Y498" s="41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2259</v>
      </c>
      <c r="Z498" s="40"/>
      <c r="AA498" s="64"/>
      <c r="AB498" s="64"/>
      <c r="AC498" s="64"/>
    </row>
    <row r="499" spans="1:32" ht="14.25" hidden="1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66"/>
      <c r="P499" s="668" t="s">
        <v>756</v>
      </c>
      <c r="Q499" s="669"/>
      <c r="R499" s="669"/>
      <c r="S499" s="669"/>
      <c r="T499" s="669"/>
      <c r="U499" s="669"/>
      <c r="V499" s="670"/>
      <c r="W499" s="43" t="s">
        <v>757</v>
      </c>
      <c r="X499" s="40"/>
      <c r="Y499" s="40"/>
      <c r="Z499" s="40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34.354050000000001</v>
      </c>
      <c r="AA499" s="64"/>
      <c r="AB499" s="64"/>
      <c r="AC499" s="64"/>
    </row>
    <row r="500" spans="1:32" ht="13.5" customHeight="1" thickBot="1" x14ac:dyDescent="0.25"/>
    <row r="501" spans="1:32" ht="27" customHeight="1" thickTop="1" thickBot="1" x14ac:dyDescent="0.25">
      <c r="A501" s="44" t="s">
        <v>758</v>
      </c>
      <c r="B501" s="80" t="s">
        <v>63</v>
      </c>
      <c r="C501" s="605" t="s">
        <v>99</v>
      </c>
      <c r="D501" s="667"/>
      <c r="E501" s="667"/>
      <c r="F501" s="667"/>
      <c r="G501" s="667"/>
      <c r="H501" s="646"/>
      <c r="I501" s="605" t="s">
        <v>266</v>
      </c>
      <c r="J501" s="667"/>
      <c r="K501" s="667"/>
      <c r="L501" s="667"/>
      <c r="M501" s="667"/>
      <c r="N501" s="667"/>
      <c r="O501" s="667"/>
      <c r="P501" s="667"/>
      <c r="Q501" s="667"/>
      <c r="R501" s="646"/>
      <c r="S501" s="605" t="s">
        <v>556</v>
      </c>
      <c r="T501" s="646"/>
      <c r="U501" s="605" t="s">
        <v>610</v>
      </c>
      <c r="V501" s="667"/>
      <c r="W501" s="646"/>
      <c r="X501" s="80" t="s">
        <v>661</v>
      </c>
      <c r="Y501" s="605" t="s">
        <v>716</v>
      </c>
      <c r="Z501" s="646"/>
      <c r="AB501" s="9"/>
      <c r="AC501" s="9"/>
      <c r="AF501" s="1"/>
    </row>
    <row r="502" spans="1:32" ht="14.25" customHeight="1" thickTop="1" x14ac:dyDescent="0.2">
      <c r="A502" s="877" t="s">
        <v>759</v>
      </c>
      <c r="B502" s="605" t="s">
        <v>63</v>
      </c>
      <c r="C502" s="605" t="s">
        <v>100</v>
      </c>
      <c r="D502" s="605" t="s">
        <v>117</v>
      </c>
      <c r="E502" s="605" t="s">
        <v>168</v>
      </c>
      <c r="F502" s="605" t="s">
        <v>190</v>
      </c>
      <c r="G502" s="605" t="s">
        <v>227</v>
      </c>
      <c r="H502" s="605" t="s">
        <v>99</v>
      </c>
      <c r="I502" s="605" t="s">
        <v>267</v>
      </c>
      <c r="J502" s="605" t="s">
        <v>322</v>
      </c>
      <c r="K502" s="605" t="s">
        <v>382</v>
      </c>
      <c r="L502" s="605" t="s">
        <v>423</v>
      </c>
      <c r="M502" s="605" t="s">
        <v>439</v>
      </c>
      <c r="N502" s="1"/>
      <c r="O502" s="605" t="s">
        <v>450</v>
      </c>
      <c r="P502" s="605" t="s">
        <v>459</v>
      </c>
      <c r="Q502" s="605" t="s">
        <v>472</v>
      </c>
      <c r="R502" s="605" t="s">
        <v>546</v>
      </c>
      <c r="S502" s="605" t="s">
        <v>557</v>
      </c>
      <c r="T502" s="605" t="s">
        <v>592</v>
      </c>
      <c r="U502" s="605" t="s">
        <v>611</v>
      </c>
      <c r="V502" s="605" t="s">
        <v>642</v>
      </c>
      <c r="W502" s="605" t="s">
        <v>657</v>
      </c>
      <c r="X502" s="605" t="s">
        <v>661</v>
      </c>
      <c r="Y502" s="605" t="s">
        <v>716</v>
      </c>
      <c r="Z502" s="605" t="s">
        <v>746</v>
      </c>
      <c r="AB502" s="9"/>
      <c r="AC502" s="9"/>
      <c r="AF502" s="1"/>
    </row>
    <row r="503" spans="1:32" ht="13.5" customHeight="1" thickBot="1" x14ac:dyDescent="0.25">
      <c r="A503" s="878"/>
      <c r="B503" s="606"/>
      <c r="C503" s="606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1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  <c r="Y503" s="606"/>
      <c r="Z503" s="606"/>
      <c r="AB503" s="9"/>
      <c r="AC503" s="9"/>
      <c r="AF503" s="1"/>
    </row>
    <row r="504" spans="1:32" ht="18" customHeight="1" thickTop="1" thickBot="1" x14ac:dyDescent="0.25">
      <c r="A504" s="44" t="s">
        <v>760</v>
      </c>
      <c r="B504" s="50">
        <f>IFERROR(Y22*1,"0")+IFERROR(Y23*1,"0")+IFERROR(Y27*1,"0")+IFERROR(Y28*1,"0")+IFERROR(Y29*1,"0")+IFERROR(Y30*1,"0")+IFERROR(Y34*1,"0")</f>
        <v>0</v>
      </c>
      <c r="C504" s="50">
        <f>IFERROR(Y40*1,"0")+IFERROR(Y41*1,"0")+IFERROR(Y42*1,"0")+IFERROR(Y46*1,"0")</f>
        <v>40</v>
      </c>
      <c r="D504" s="50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1045.8</v>
      </c>
      <c r="E504" s="50">
        <f>IFERROR(Y84*1,"0")+IFERROR(Y85*1,"0")+IFERROR(Y86*1,"0")+IFERROR(Y87*1,"0")+IFERROR(Y91*1,"0")+IFERROR(Y92*1,"0")+IFERROR(Y93*1,"0")+IFERROR(Y94*1,"0")</f>
        <v>899.1</v>
      </c>
      <c r="F504" s="50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828.9</v>
      </c>
      <c r="G504" s="50">
        <f>IFERROR(Y126*1,"0")+IFERROR(Y127*1,"0")+IFERROR(Y131*1,"0")+IFERROR(Y132*1,"0")+IFERROR(Y136*1,"0")+IFERROR(Y137*1,"0")</f>
        <v>0</v>
      </c>
      <c r="H504" s="50">
        <f>IFERROR(Y142*1,"0")+IFERROR(Y143*1,"0")+IFERROR(Y147*1,"0")+IFERROR(Y148*1,"0")+IFERROR(Y149*1,"0")+IFERROR(Y150*1,"0")+IFERROR(Y151*1,"0")+IFERROR(Y152*1,"0")+IFERROR(Y156*1,"0")</f>
        <v>0</v>
      </c>
      <c r="I504" s="50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42</v>
      </c>
      <c r="J504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883.19999999999993</v>
      </c>
      <c r="K504" s="50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50">
        <f>IFERROR(Y262*1,"0")+IFERROR(Y263*1,"0")+IFERROR(Y264*1,"0")+IFERROR(Y265*1,"0")+IFERROR(Y266*1,"0")</f>
        <v>0</v>
      </c>
      <c r="M504" s="50">
        <f>IFERROR(Y271*1,"0")+IFERROR(Y272*1,"0")+IFERROR(Y273*1,"0")+IFERROR(Y274*1,"0")</f>
        <v>0</v>
      </c>
      <c r="N504" s="1"/>
      <c r="O504" s="50">
        <f>IFERROR(Y279*1,"0")+IFERROR(Y280*1,"0")+IFERROR(Y281*1,"0")</f>
        <v>0</v>
      </c>
      <c r="P504" s="50">
        <f>IFERROR(Y286*1,"0")+IFERROR(Y287*1,"0")+IFERROR(Y291*1,"0")+IFERROR(Y292*1,"0")</f>
        <v>0</v>
      </c>
      <c r="Q504" s="50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312.29999999999995</v>
      </c>
      <c r="R504" s="50">
        <f>IFERROR(Y342*1,"0")+IFERROR(Y343*1,"0")+IFERROR(Y344*1,"0")</f>
        <v>0</v>
      </c>
      <c r="S504" s="50">
        <f>IFERROR(Y350*1,"0")+IFERROR(Y351*1,"0")+IFERROR(Y352*1,"0")+IFERROR(Y353*1,"0")+IFERROR(Y354*1,"0")+IFERROR(Y355*1,"0")+IFERROR(Y356*1,"0")+IFERROR(Y360*1,"0")+IFERROR(Y361*1,"0")+IFERROR(Y365*1,"0")+IFERROR(Y366*1,"0")+IFERROR(Y370*1,"0")</f>
        <v>6822</v>
      </c>
      <c r="T504" s="50">
        <f>IFERROR(Y375*1,"0")+IFERROR(Y376*1,"0")+IFERROR(Y380*1,"0")+IFERROR(Y381*1,"0")+IFERROR(Y385*1,"0")+IFERROR(Y386*1,"0")+IFERROR(Y387*1,"0")</f>
        <v>2890.8</v>
      </c>
      <c r="U504" s="50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50">
        <f>IFERROR(Y411*1,"0")+IFERROR(Y415*1,"0")+IFERROR(Y416*1,"0")+IFERROR(Y417*1,"0")+IFERROR(Y418*1,"0")</f>
        <v>0</v>
      </c>
      <c r="W504" s="50">
        <f>IFERROR(Y423*1,"0")</f>
        <v>0</v>
      </c>
      <c r="X504" s="50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4276.8</v>
      </c>
      <c r="Y504" s="50">
        <f>IFERROR(Y465*1,"0")+IFERROR(Y466*1,"0")+IFERROR(Y467*1,"0")+IFERROR(Y468*1,"0")+IFERROR(Y472*1,"0")+IFERROR(Y473*1,"0")+IFERROR(Y477*1,"0")+IFERROR(Y481*1,"0")+IFERROR(Y485*1,"0")+IFERROR(Y486*1,"0")</f>
        <v>108</v>
      </c>
      <c r="Z504" s="50">
        <f>IFERROR(Y491*1,"0")</f>
        <v>0</v>
      </c>
      <c r="AB504" s="9"/>
      <c r="AC504" s="9"/>
      <c r="AF504" s="1"/>
    </row>
  </sheetData>
  <sheetProtection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0,00"/>
        <filter val="1 100,00"/>
        <filter val="1 240,00"/>
        <filter val="1 500,00"/>
        <filter val="1 600,00"/>
        <filter val="1 920,00"/>
        <filter val="10,00"/>
        <filter val="100,00"/>
        <filter val="112,50"/>
        <filter val="115,74"/>
        <filter val="120,00"/>
        <filter val="120,37"/>
        <filter val="135,00"/>
        <filter val="150,00"/>
        <filter val="16,67"/>
        <filter val="172,50"/>
        <filter val="18 020,00"/>
        <filter val="18 893,18"/>
        <filter val="19 643,18"/>
        <filter val="19,05"/>
        <filter val="2 150,00"/>
        <filter val="2 242,05"/>
        <filter val="2 750,00"/>
        <filter val="2 885,00"/>
        <filter val="200,00"/>
        <filter val="208,33"/>
        <filter val="210,00"/>
        <filter val="22,22"/>
        <filter val="22,50"/>
        <filter val="220,00"/>
        <filter val="234,85"/>
        <filter val="25,00"/>
        <filter val="25,64"/>
        <filter val="250,00"/>
        <filter val="30"/>
        <filter val="310,00"/>
        <filter val="320,00"/>
        <filter val="321,33"/>
        <filter val="34,44"/>
        <filter val="361,81"/>
        <filter val="363,64"/>
        <filter val="370,00"/>
        <filter val="39,51"/>
        <filter val="4 820,00"/>
        <filter val="40,00"/>
        <filter val="400,00"/>
        <filter val="420,00"/>
        <filter val="500,00"/>
        <filter val="567,50"/>
        <filter val="600,00"/>
        <filter val="61,30"/>
        <filter val="61,49"/>
        <filter val="650,00"/>
        <filter val="67,50"/>
        <filter val="700,00"/>
        <filter val="712,50"/>
        <filter val="8,33"/>
        <filter val="80,00"/>
        <filter val="867,50"/>
        <filter val="870,00"/>
        <filter val="88,74"/>
        <filter val="9,26"/>
        <filter val="9,52"/>
        <filter val="9,80"/>
      </filters>
    </filterColumn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U17:V17"/>
    <mergeCell ref="Y17:Y18"/>
    <mergeCell ref="D17:E18"/>
    <mergeCell ref="X17:X18"/>
    <mergeCell ref="N17:N18"/>
    <mergeCell ref="F17:F18"/>
    <mergeCell ref="A20:Z20"/>
    <mergeCell ref="A31:O32"/>
    <mergeCell ref="A33:Z33"/>
    <mergeCell ref="P91:T91"/>
    <mergeCell ref="A80:O81"/>
    <mergeCell ref="P105:V105"/>
    <mergeCell ref="A13:M13"/>
    <mergeCell ref="D87:E87"/>
    <mergeCell ref="D61:E61"/>
    <mergeCell ref="D331:E331"/>
    <mergeCell ref="D173:E173"/>
    <mergeCell ref="P71:T71"/>
    <mergeCell ref="P370:T370"/>
    <mergeCell ref="P199:T199"/>
    <mergeCell ref="A125:Z125"/>
    <mergeCell ref="D54:E54"/>
    <mergeCell ref="P101:T101"/>
    <mergeCell ref="P63:V63"/>
    <mergeCell ref="A192:Z19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D23:E23"/>
    <mergeCell ref="P344:T344"/>
    <mergeCell ref="D265:E265"/>
    <mergeCell ref="D216:E216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P145:V145"/>
    <mergeCell ref="A231:Z231"/>
    <mergeCell ref="P283:V283"/>
    <mergeCell ref="D271:E271"/>
    <mergeCell ref="P483:V483"/>
    <mergeCell ref="D298:E298"/>
    <mergeCell ref="D273:E273"/>
    <mergeCell ref="P156:T156"/>
    <mergeCell ref="P123:V123"/>
    <mergeCell ref="P440:T440"/>
    <mergeCell ref="P179:T179"/>
    <mergeCell ref="P326:V326"/>
    <mergeCell ref="P457:V457"/>
    <mergeCell ref="P393:T393"/>
    <mergeCell ref="P330:T330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492:V492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P461:V461"/>
    <mergeCell ref="P324:T324"/>
    <mergeCell ref="A441:O442"/>
    <mergeCell ref="A261:Z261"/>
    <mergeCell ref="P338:V338"/>
    <mergeCell ref="P313:V313"/>
    <mergeCell ref="P320:V320"/>
    <mergeCell ref="P447:V447"/>
    <mergeCell ref="A443:Z443"/>
    <mergeCell ref="P387:T387"/>
    <mergeCell ref="D433:E433"/>
    <mergeCell ref="D262:E262"/>
    <mergeCell ref="P372:V372"/>
    <mergeCell ref="P385:T385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9"/>
    </row>
    <row r="3" spans="2:8" x14ac:dyDescent="0.2">
      <c r="B3" s="51" t="s">
        <v>762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763</v>
      </c>
      <c r="D6" s="51" t="s">
        <v>764</v>
      </c>
      <c r="E6" s="51"/>
    </row>
    <row r="8" spans="2:8" x14ac:dyDescent="0.2">
      <c r="B8" s="51" t="s">
        <v>19</v>
      </c>
      <c r="C8" s="51" t="s">
        <v>763</v>
      </c>
      <c r="D8" s="51"/>
      <c r="E8" s="51"/>
    </row>
    <row r="10" spans="2:8" x14ac:dyDescent="0.2">
      <c r="B10" s="51" t="s">
        <v>765</v>
      </c>
      <c r="C10" s="51"/>
      <c r="D10" s="51"/>
      <c r="E10" s="51"/>
    </row>
    <row r="11" spans="2:8" x14ac:dyDescent="0.2">
      <c r="B11" s="51" t="s">
        <v>766</v>
      </c>
      <c r="C11" s="51"/>
      <c r="D11" s="51"/>
      <c r="E11" s="51"/>
    </row>
    <row r="12" spans="2:8" x14ac:dyDescent="0.2">
      <c r="B12" s="51" t="s">
        <v>767</v>
      </c>
      <c r="C12" s="51"/>
      <c r="D12" s="51"/>
      <c r="E12" s="51"/>
    </row>
    <row r="13" spans="2:8" x14ac:dyDescent="0.2">
      <c r="B13" s="51" t="s">
        <v>768</v>
      </c>
      <c r="C13" s="51"/>
      <c r="D13" s="51"/>
      <c r="E13" s="51"/>
    </row>
    <row r="14" spans="2:8" x14ac:dyDescent="0.2">
      <c r="B14" s="51" t="s">
        <v>769</v>
      </c>
      <c r="C14" s="51"/>
      <c r="D14" s="51"/>
      <c r="E14" s="51"/>
    </row>
    <row r="15" spans="2:8" x14ac:dyDescent="0.2">
      <c r="B15" s="51" t="s">
        <v>770</v>
      </c>
      <c r="C15" s="51"/>
      <c r="D15" s="51"/>
      <c r="E15" s="51"/>
    </row>
    <row r="16" spans="2:8" x14ac:dyDescent="0.2">
      <c r="B16" s="51" t="s">
        <v>771</v>
      </c>
      <c r="C16" s="51"/>
      <c r="D16" s="51"/>
      <c r="E16" s="51"/>
    </row>
    <row r="17" spans="2:5" x14ac:dyDescent="0.2">
      <c r="B17" s="51" t="s">
        <v>772</v>
      </c>
      <c r="C17" s="51"/>
      <c r="D17" s="51"/>
      <c r="E17" s="51"/>
    </row>
    <row r="18" spans="2:5" x14ac:dyDescent="0.2">
      <c r="B18" s="51" t="s">
        <v>773</v>
      </c>
      <c r="C18" s="51"/>
      <c r="D18" s="51"/>
      <c r="E18" s="51"/>
    </row>
    <row r="19" spans="2:5" x14ac:dyDescent="0.2">
      <c r="B19" s="51" t="s">
        <v>774</v>
      </c>
      <c r="C19" s="51"/>
      <c r="D19" s="51"/>
      <c r="E19" s="51"/>
    </row>
    <row r="20" spans="2:5" x14ac:dyDescent="0.2">
      <c r="B20" s="51" t="s">
        <v>775</v>
      </c>
      <c r="C20" s="51"/>
      <c r="D20" s="51"/>
      <c r="E20" s="51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2026-01-19T07:02:01Z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