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54BF9C2-BC61-47D3-9FFB-25DCE1C4BCD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Y344" i="1" s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Y324" i="1" s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BP286" i="1" s="1"/>
  <c r="P286" i="1"/>
  <c r="BO285" i="1"/>
  <c r="BM285" i="1"/>
  <c r="Y285" i="1"/>
  <c r="Y287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Y275" i="1" s="1"/>
  <c r="P271" i="1"/>
  <c r="BP270" i="1"/>
  <c r="BO270" i="1"/>
  <c r="BN270" i="1"/>
  <c r="BM270" i="1"/>
  <c r="Z270" i="1"/>
  <c r="Y270" i="1"/>
  <c r="P270" i="1"/>
  <c r="X267" i="1"/>
  <c r="X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BP261" i="1" s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X229" i="1"/>
  <c r="X228" i="1"/>
  <c r="BO227" i="1"/>
  <c r="BM227" i="1"/>
  <c r="Y227" i="1"/>
  <c r="BP227" i="1" s="1"/>
  <c r="P227" i="1"/>
  <c r="BO226" i="1"/>
  <c r="BM226" i="1"/>
  <c r="Y226" i="1"/>
  <c r="Y228" i="1" s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X201" i="1"/>
  <c r="X200" i="1"/>
  <c r="BO199" i="1"/>
  <c r="BM199" i="1"/>
  <c r="Y199" i="1"/>
  <c r="BP199" i="1" s="1"/>
  <c r="P199" i="1"/>
  <c r="BO198" i="1"/>
  <c r="BM198" i="1"/>
  <c r="Y198" i="1"/>
  <c r="Y200" i="1" s="1"/>
  <c r="P198" i="1"/>
  <c r="X196" i="1"/>
  <c r="X195" i="1"/>
  <c r="BO194" i="1"/>
  <c r="BM194" i="1"/>
  <c r="Y194" i="1"/>
  <c r="BP194" i="1" s="1"/>
  <c r="P194" i="1"/>
  <c r="BO193" i="1"/>
  <c r="BM193" i="1"/>
  <c r="Y193" i="1"/>
  <c r="Y196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X163" i="1"/>
  <c r="X162" i="1"/>
  <c r="BO161" i="1"/>
  <c r="BM161" i="1"/>
  <c r="Y161" i="1"/>
  <c r="Y162" i="1" s="1"/>
  <c r="P161" i="1"/>
  <c r="X157" i="1"/>
  <c r="X156" i="1"/>
  <c r="BO155" i="1"/>
  <c r="BM155" i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H499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Y133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BP107" i="1" s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Z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Y31" i="1" s="1"/>
  <c r="P27" i="1"/>
  <c r="X25" i="1"/>
  <c r="X489" i="1" s="1"/>
  <c r="X24" i="1"/>
  <c r="BP23" i="1"/>
  <c r="BO23" i="1"/>
  <c r="BN23" i="1"/>
  <c r="BM23" i="1"/>
  <c r="Z23" i="1"/>
  <c r="Y23" i="1"/>
  <c r="P23" i="1"/>
  <c r="BO22" i="1"/>
  <c r="BM22" i="1"/>
  <c r="X490" i="1" s="1"/>
  <c r="Y22" i="1"/>
  <c r="P22" i="1"/>
  <c r="H10" i="1"/>
  <c r="A9" i="1"/>
  <c r="A10" i="1" s="1"/>
  <c r="D7" i="1"/>
  <c r="Q6" i="1"/>
  <c r="P2" i="1"/>
  <c r="BP147" i="1" l="1"/>
  <c r="BN147" i="1"/>
  <c r="Z147" i="1"/>
  <c r="BP175" i="1"/>
  <c r="BN175" i="1"/>
  <c r="Z175" i="1"/>
  <c r="BP217" i="1"/>
  <c r="BN217" i="1"/>
  <c r="Z217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79" i="1"/>
  <c r="BN279" i="1"/>
  <c r="Z279" i="1"/>
  <c r="BP315" i="1"/>
  <c r="BN315" i="1"/>
  <c r="Z315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9" i="1"/>
  <c r="BN29" i="1"/>
  <c r="Z55" i="1"/>
  <c r="BN55" i="1"/>
  <c r="Z73" i="1"/>
  <c r="BN73" i="1"/>
  <c r="Z92" i="1"/>
  <c r="BN92" i="1"/>
  <c r="Z103" i="1"/>
  <c r="BN103" i="1"/>
  <c r="Z117" i="1"/>
  <c r="BN117" i="1"/>
  <c r="Y179" i="1"/>
  <c r="BP167" i="1"/>
  <c r="BN167" i="1"/>
  <c r="Z167" i="1"/>
  <c r="BP205" i="1"/>
  <c r="BN205" i="1"/>
  <c r="Z205" i="1"/>
  <c r="BP234" i="1"/>
  <c r="BN234" i="1"/>
  <c r="Z234" i="1"/>
  <c r="BP263" i="1"/>
  <c r="BN263" i="1"/>
  <c r="Z263" i="1"/>
  <c r="BP301" i="1"/>
  <c r="BN301" i="1"/>
  <c r="Z301" i="1"/>
  <c r="BP327" i="1"/>
  <c r="BN327" i="1"/>
  <c r="Z327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4" i="1"/>
  <c r="Y473" i="1"/>
  <c r="BP472" i="1"/>
  <c r="BN472" i="1"/>
  <c r="Z472" i="1"/>
  <c r="Z473" i="1" s="1"/>
  <c r="Y478" i="1"/>
  <c r="Y477" i="1"/>
  <c r="BP476" i="1"/>
  <c r="BN476" i="1"/>
  <c r="Z476" i="1"/>
  <c r="Z477" i="1" s="1"/>
  <c r="BP480" i="1"/>
  <c r="BN480" i="1"/>
  <c r="Z480" i="1"/>
  <c r="Y152" i="1"/>
  <c r="BP299" i="1"/>
  <c r="BN299" i="1"/>
  <c r="Z299" i="1"/>
  <c r="BP309" i="1"/>
  <c r="BN309" i="1"/>
  <c r="Z309" i="1"/>
  <c r="BP323" i="1"/>
  <c r="BN323" i="1"/>
  <c r="Z323" i="1"/>
  <c r="BP342" i="1"/>
  <c r="BN342" i="1"/>
  <c r="Z342" i="1"/>
  <c r="BP343" i="1"/>
  <c r="BN343" i="1"/>
  <c r="Z343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499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68" i="1"/>
  <c r="BN468" i="1"/>
  <c r="Z468" i="1"/>
  <c r="B499" i="1"/>
  <c r="X491" i="1"/>
  <c r="X492" i="1" s="1"/>
  <c r="Z27" i="1"/>
  <c r="BN27" i="1"/>
  <c r="BP27" i="1"/>
  <c r="Y32" i="1"/>
  <c r="Z41" i="1"/>
  <c r="BN41" i="1"/>
  <c r="Y58" i="1"/>
  <c r="Z61" i="1"/>
  <c r="BN61" i="1"/>
  <c r="Z71" i="1"/>
  <c r="BN71" i="1"/>
  <c r="BP71" i="1"/>
  <c r="Z79" i="1"/>
  <c r="BN79" i="1"/>
  <c r="Z86" i="1"/>
  <c r="BN86" i="1"/>
  <c r="Z94" i="1"/>
  <c r="BN94" i="1"/>
  <c r="Z101" i="1"/>
  <c r="BN101" i="1"/>
  <c r="Z107" i="1"/>
  <c r="BN107" i="1"/>
  <c r="Y112" i="1"/>
  <c r="Z115" i="1"/>
  <c r="BN115" i="1"/>
  <c r="Z121" i="1"/>
  <c r="Z122" i="1" s="1"/>
  <c r="BN121" i="1"/>
  <c r="BP121" i="1"/>
  <c r="Y122" i="1"/>
  <c r="Z126" i="1"/>
  <c r="BN126" i="1"/>
  <c r="Z143" i="1"/>
  <c r="BN143" i="1"/>
  <c r="Y153" i="1"/>
  <c r="Z149" i="1"/>
  <c r="BN149" i="1"/>
  <c r="Z155" i="1"/>
  <c r="Z156" i="1" s="1"/>
  <c r="BN155" i="1"/>
  <c r="BP155" i="1"/>
  <c r="Y156" i="1"/>
  <c r="Z161" i="1"/>
  <c r="Z162" i="1" s="1"/>
  <c r="BN161" i="1"/>
  <c r="BP161" i="1"/>
  <c r="Z165" i="1"/>
  <c r="BN165" i="1"/>
  <c r="BP165" i="1"/>
  <c r="Y180" i="1"/>
  <c r="Z169" i="1"/>
  <c r="BN169" i="1"/>
  <c r="Z173" i="1"/>
  <c r="BN173" i="1"/>
  <c r="Z177" i="1"/>
  <c r="BN177" i="1"/>
  <c r="Y186" i="1"/>
  <c r="Z194" i="1"/>
  <c r="BN194" i="1"/>
  <c r="Z199" i="1"/>
  <c r="BN199" i="1"/>
  <c r="Z203" i="1"/>
  <c r="BN203" i="1"/>
  <c r="Y212" i="1"/>
  <c r="Z207" i="1"/>
  <c r="BN207" i="1"/>
  <c r="Z215" i="1"/>
  <c r="BN215" i="1"/>
  <c r="Z219" i="1"/>
  <c r="BN219" i="1"/>
  <c r="Z227" i="1"/>
  <c r="BN227" i="1"/>
  <c r="Z232" i="1"/>
  <c r="BN232" i="1"/>
  <c r="Z236" i="1"/>
  <c r="BN236" i="1"/>
  <c r="Z240" i="1"/>
  <c r="BN240" i="1"/>
  <c r="Z254" i="1"/>
  <c r="BN254" i="1"/>
  <c r="Z261" i="1"/>
  <c r="BN261" i="1"/>
  <c r="Z265" i="1"/>
  <c r="BN265" i="1"/>
  <c r="Z272" i="1"/>
  <c r="BN272" i="1"/>
  <c r="Z286" i="1"/>
  <c r="BN286" i="1"/>
  <c r="Y292" i="1"/>
  <c r="BP290" i="1"/>
  <c r="BN290" i="1"/>
  <c r="Z290" i="1"/>
  <c r="BP305" i="1"/>
  <c r="BN305" i="1"/>
  <c r="Z305" i="1"/>
  <c r="BP317" i="1"/>
  <c r="BN317" i="1"/>
  <c r="Z317" i="1"/>
  <c r="BP329" i="1"/>
  <c r="BN329" i="1"/>
  <c r="Z329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4" i="1"/>
  <c r="BP460" i="1"/>
  <c r="BN460" i="1"/>
  <c r="Z460" i="1"/>
  <c r="Y331" i="1"/>
  <c r="Y338" i="1"/>
  <c r="Y388" i="1"/>
  <c r="Y387" i="1"/>
  <c r="Y482" i="1"/>
  <c r="F9" i="1"/>
  <c r="J9" i="1"/>
  <c r="F10" i="1"/>
  <c r="Z22" i="1"/>
  <c r="Z24" i="1" s="1"/>
  <c r="BN22" i="1"/>
  <c r="BP22" i="1"/>
  <c r="X493" i="1"/>
  <c r="Y25" i="1"/>
  <c r="Z28" i="1"/>
  <c r="BN28" i="1"/>
  <c r="BP28" i="1"/>
  <c r="Z30" i="1"/>
  <c r="BN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BP54" i="1"/>
  <c r="BN54" i="1"/>
  <c r="BP56" i="1"/>
  <c r="BN56" i="1"/>
  <c r="Z56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Y111" i="1"/>
  <c r="BP110" i="1"/>
  <c r="BN110" i="1"/>
  <c r="Z110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Y138" i="1"/>
  <c r="H9" i="1"/>
  <c r="Y24" i="1"/>
  <c r="Y44" i="1"/>
  <c r="D499" i="1"/>
  <c r="Y57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9" i="1"/>
  <c r="BP137" i="1"/>
  <c r="BN137" i="1"/>
  <c r="Z137" i="1"/>
  <c r="Z138" i="1" s="1"/>
  <c r="E499" i="1"/>
  <c r="Y88" i="1"/>
  <c r="F499" i="1"/>
  <c r="Y105" i="1"/>
  <c r="G499" i="1"/>
  <c r="Y128" i="1"/>
  <c r="Z142" i="1"/>
  <c r="Z144" i="1" s="1"/>
  <c r="BN142" i="1"/>
  <c r="BP142" i="1"/>
  <c r="Y145" i="1"/>
  <c r="Z148" i="1"/>
  <c r="Z152" i="1" s="1"/>
  <c r="BN148" i="1"/>
  <c r="BP148" i="1"/>
  <c r="Z150" i="1"/>
  <c r="BN150" i="1"/>
  <c r="I499" i="1"/>
  <c r="Y163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499" i="1"/>
  <c r="BP264" i="1"/>
  <c r="BN264" i="1"/>
  <c r="Z264" i="1"/>
  <c r="BP273" i="1"/>
  <c r="BN273" i="1"/>
  <c r="Z273" i="1"/>
  <c r="O499" i="1"/>
  <c r="Y281" i="1"/>
  <c r="BP278" i="1"/>
  <c r="BN278" i="1"/>
  <c r="Z278" i="1"/>
  <c r="BP291" i="1"/>
  <c r="BN291" i="1"/>
  <c r="Z291" i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499" i="1"/>
  <c r="Y345" i="1"/>
  <c r="BP341" i="1"/>
  <c r="BN341" i="1"/>
  <c r="Z341" i="1"/>
  <c r="Z344" i="1" s="1"/>
  <c r="BP375" i="1"/>
  <c r="BN375" i="1"/>
  <c r="Z375" i="1"/>
  <c r="Y377" i="1"/>
  <c r="Y382" i="1"/>
  <c r="BP379" i="1"/>
  <c r="BN379" i="1"/>
  <c r="Z379" i="1"/>
  <c r="Z381" i="1" s="1"/>
  <c r="Y381" i="1"/>
  <c r="Q499" i="1"/>
  <c r="Y144" i="1"/>
  <c r="J499" i="1"/>
  <c r="Y195" i="1"/>
  <c r="BP204" i="1"/>
  <c r="BN204" i="1"/>
  <c r="Z204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BP280" i="1"/>
  <c r="BN280" i="1"/>
  <c r="Z280" i="1"/>
  <c r="Y282" i="1"/>
  <c r="P499" i="1"/>
  <c r="Y288" i="1"/>
  <c r="BP285" i="1"/>
  <c r="BN285" i="1"/>
  <c r="Z285" i="1"/>
  <c r="Z287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BP330" i="1"/>
  <c r="BN330" i="1"/>
  <c r="Z330" i="1"/>
  <c r="Y332" i="1"/>
  <c r="Y337" i="1"/>
  <c r="BP334" i="1"/>
  <c r="BN334" i="1"/>
  <c r="Z334" i="1"/>
  <c r="Z337" i="1" s="1"/>
  <c r="BP350" i="1"/>
  <c r="BN350" i="1"/>
  <c r="Z350" i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Y499" i="1"/>
  <c r="Y357" i="1"/>
  <c r="T499" i="1"/>
  <c r="Y376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1" i="1"/>
  <c r="BN461" i="1"/>
  <c r="Z461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40" i="1"/>
  <c r="Z464" i="1" l="1"/>
  <c r="Z446" i="1"/>
  <c r="Z440" i="1"/>
  <c r="Z401" i="1"/>
  <c r="Z361" i="1"/>
  <c r="Z318" i="1"/>
  <c r="Z266" i="1"/>
  <c r="Z376" i="1"/>
  <c r="Z292" i="1"/>
  <c r="Z118" i="1"/>
  <c r="Z31" i="1"/>
  <c r="Z356" i="1"/>
  <c r="Z257" i="1"/>
  <c r="Z211" i="1"/>
  <c r="Z311" i="1"/>
  <c r="Z274" i="1"/>
  <c r="Z179" i="1"/>
  <c r="Z455" i="1"/>
  <c r="Z418" i="1"/>
  <c r="Z223" i="1"/>
  <c r="Y493" i="1"/>
  <c r="Z88" i="1"/>
  <c r="Z63" i="1"/>
  <c r="Y490" i="1"/>
  <c r="Z331" i="1"/>
  <c r="Z302" i="1"/>
  <c r="Z281" i="1"/>
  <c r="Z185" i="1"/>
  <c r="Z75" i="1"/>
  <c r="Z57" i="1"/>
  <c r="Z43" i="1"/>
  <c r="Y489" i="1"/>
  <c r="Y491" i="1"/>
  <c r="Z494" i="1" l="1"/>
  <c r="Y492" i="1"/>
</calcChain>
</file>

<file path=xl/sharedStrings.xml><?xml version="1.0" encoding="utf-8"?>
<sst xmlns="http://schemas.openxmlformats.org/spreadsheetml/2006/main" count="2343" uniqueCount="771">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</sst>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4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1" t="s">
        <v>0</v>
      </c>
      <c r="E1" s="587"/>
      <c r="F1" s="587"/>
      <c r="G1" s="12" t="s">
        <v>1</v>
      </c>
      <c r="H1" s="631" t="s">
        <v>2</v>
      </c>
      <c r="I1" s="587"/>
      <c r="J1" s="587"/>
      <c r="K1" s="587"/>
      <c r="L1" s="587"/>
      <c r="M1" s="587"/>
      <c r="N1" s="587"/>
      <c r="O1" s="587"/>
      <c r="P1" s="587"/>
      <c r="Q1" s="587"/>
      <c r="R1" s="586" t="s">
        <v>3</v>
      </c>
      <c r="S1" s="587"/>
      <c r="T1" s="5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6" t="s">
        <v>8</v>
      </c>
      <c r="B5" s="655"/>
      <c r="C5" s="656"/>
      <c r="D5" s="635"/>
      <c r="E5" s="636"/>
      <c r="F5" s="831" t="s">
        <v>9</v>
      </c>
      <c r="G5" s="656"/>
      <c r="H5" s="635" t="s">
        <v>770</v>
      </c>
      <c r="I5" s="786"/>
      <c r="J5" s="786"/>
      <c r="K5" s="786"/>
      <c r="L5" s="786"/>
      <c r="M5" s="636"/>
      <c r="N5" s="58"/>
      <c r="P5" s="24" t="s">
        <v>10</v>
      </c>
      <c r="Q5" s="834">
        <v>46050</v>
      </c>
      <c r="R5" s="679"/>
      <c r="T5" s="719" t="s">
        <v>11</v>
      </c>
      <c r="U5" s="720"/>
      <c r="V5" s="726" t="s">
        <v>12</v>
      </c>
      <c r="W5" s="679"/>
      <c r="AB5" s="51"/>
      <c r="AC5" s="51"/>
      <c r="AD5" s="51"/>
      <c r="AE5" s="51"/>
    </row>
    <row r="6" spans="1:32" s="541" customFormat="1" ht="24" customHeight="1" x14ac:dyDescent="0.2">
      <c r="A6" s="676" t="s">
        <v>13</v>
      </c>
      <c r="B6" s="655"/>
      <c r="C6" s="656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9"/>
      <c r="N6" s="59"/>
      <c r="P6" s="24" t="s">
        <v>15</v>
      </c>
      <c r="Q6" s="835" t="str">
        <f>IF(Q5=0," ",CHOOSE(WEEKDAY(Q5,2),"Понедельник","Вторник","Среда","Четверг","Пятница","Суббота","Воскресенье"))</f>
        <v>Среда</v>
      </c>
      <c r="R6" s="555"/>
      <c r="T6" s="729" t="s">
        <v>16</v>
      </c>
      <c r="U6" s="720"/>
      <c r="V6" s="768" t="s">
        <v>17</v>
      </c>
      <c r="W6" s="578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1"/>
      <c r="U7" s="720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39" t="s">
        <v>18</v>
      </c>
      <c r="B8" s="566"/>
      <c r="C8" s="567"/>
      <c r="D8" s="626" t="s">
        <v>19</v>
      </c>
      <c r="E8" s="627"/>
      <c r="F8" s="627"/>
      <c r="G8" s="627"/>
      <c r="H8" s="627"/>
      <c r="I8" s="627"/>
      <c r="J8" s="627"/>
      <c r="K8" s="627"/>
      <c r="L8" s="627"/>
      <c r="M8" s="628"/>
      <c r="N8" s="61"/>
      <c r="P8" s="24" t="s">
        <v>20</v>
      </c>
      <c r="Q8" s="688">
        <v>0.5</v>
      </c>
      <c r="R8" s="615"/>
      <c r="T8" s="561"/>
      <c r="U8" s="720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48"/>
      <c r="E9" s="572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9"/>
      <c r="P9" s="26" t="s">
        <v>21</v>
      </c>
      <c r="Q9" s="645"/>
      <c r="R9" s="646"/>
      <c r="T9" s="561"/>
      <c r="U9" s="720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48"/>
      <c r="E10" s="572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7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30"/>
      <c r="R10" s="731"/>
      <c r="U10" s="24" t="s">
        <v>23</v>
      </c>
      <c r="V10" s="577" t="s">
        <v>24</v>
      </c>
      <c r="W10" s="578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8"/>
      <c r="R11" s="679"/>
      <c r="U11" s="24" t="s">
        <v>27</v>
      </c>
      <c r="V11" s="798" t="s">
        <v>28</v>
      </c>
      <c r="W11" s="64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88"/>
      <c r="R12" s="615"/>
      <c r="S12" s="23"/>
      <c r="U12" s="24"/>
      <c r="V12" s="587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798"/>
      <c r="R13" s="64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8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00" t="s">
        <v>35</v>
      </c>
      <c r="Q15" s="587"/>
      <c r="R15" s="587"/>
      <c r="S15" s="587"/>
      <c r="T15" s="5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90" t="s">
        <v>38</v>
      </c>
      <c r="D17" s="597" t="s">
        <v>39</v>
      </c>
      <c r="E17" s="660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9"/>
      <c r="R17" s="659"/>
      <c r="S17" s="659"/>
      <c r="T17" s="660"/>
      <c r="U17" s="836" t="s">
        <v>51</v>
      </c>
      <c r="V17" s="656"/>
      <c r="W17" s="597" t="s">
        <v>52</v>
      </c>
      <c r="X17" s="597" t="s">
        <v>53</v>
      </c>
      <c r="Y17" s="837" t="s">
        <v>54</v>
      </c>
      <c r="Z17" s="779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61"/>
      <c r="E18" s="663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61"/>
      <c r="Q18" s="662"/>
      <c r="R18" s="662"/>
      <c r="S18" s="662"/>
      <c r="T18" s="663"/>
      <c r="U18" s="67" t="s">
        <v>61</v>
      </c>
      <c r="V18" s="67" t="s">
        <v>62</v>
      </c>
      <c r="W18" s="598"/>
      <c r="X18" s="598"/>
      <c r="Y18" s="838"/>
      <c r="Z18" s="780"/>
      <c r="AA18" s="756"/>
      <c r="AB18" s="756"/>
      <c r="AC18" s="756"/>
      <c r="AD18" s="828"/>
      <c r="AE18" s="829"/>
      <c r="AF18" s="830"/>
      <c r="AG18" s="66"/>
      <c r="BD18" s="65"/>
    </row>
    <row r="19" spans="1:68" ht="27.75" hidden="1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hidden="1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hidden="1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hidden="1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hidden="1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9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hidden="1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hidden="1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hidden="1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hidden="1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50</v>
      </c>
      <c r="Y40" s="548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28</v>
      </c>
      <c r="Y42" s="548">
        <f>IFERROR(IF(X42="",0,CEILING((X42/$H42),1)*$H42),"")</f>
        <v>28</v>
      </c>
      <c r="Z42" s="36">
        <f>IFERROR(IF(Y42=0,"",ROUNDUP(Y42/H42,0)*0.00902),"")</f>
        <v>6.3140000000000002E-2</v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29.330000000000002</v>
      </c>
      <c r="BN42" s="64">
        <f>IFERROR(Y42*I42/H42,"0")</f>
        <v>29.330000000000002</v>
      </c>
      <c r="BO42" s="64">
        <f>IFERROR(1/J42*(X42/H42),"0")</f>
        <v>5.3030303030303032E-2</v>
      </c>
      <c r="BP42" s="64">
        <f>IFERROR(1/J42*(Y42/H42),"0")</f>
        <v>5.3030303030303032E-2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11.62962962962963</v>
      </c>
      <c r="Y43" s="549">
        <f>IFERROR(Y40/H40,"0")+IFERROR(Y41/H41,"0")+IFERROR(Y42/H42,"0")</f>
        <v>12</v>
      </c>
      <c r="Z43" s="549">
        <f>IFERROR(IF(Z40="",0,Z40),"0")+IFERROR(IF(Z41="",0,Z41),"0")+IFERROR(IF(Z42="",0,Z42),"0")</f>
        <v>0.15804000000000001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78</v>
      </c>
      <c r="Y44" s="549">
        <f>IFERROR(SUM(Y40:Y42),"0")</f>
        <v>82</v>
      </c>
      <c r="Z44" s="37"/>
      <c r="AA44" s="550"/>
      <c r="AB44" s="550"/>
      <c r="AC44" s="550"/>
    </row>
    <row r="45" spans="1:68" ht="14.25" hidden="1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hidden="1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hidden="1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hidden="1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20</v>
      </c>
      <c r="Y51" s="548">
        <f t="shared" ref="Y51:Y56" si="0">IFERROR(IF(X51="",0,CEILING((X51/$H51),1)*$H51),"")</f>
        <v>22.4</v>
      </c>
      <c r="Z51" s="36">
        <f>IFERROR(IF(Y51=0,"",ROUNDUP(Y51/H51,0)*0.01898),"")</f>
        <v>3.7960000000000001E-2</v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20.732142857142858</v>
      </c>
      <c r="BN51" s="64">
        <f t="shared" ref="BN51:BN56" si="2">IFERROR(Y51*I51/H51,"0")</f>
        <v>23.22</v>
      </c>
      <c r="BO51" s="64">
        <f t="shared" ref="BO51:BO56" si="3">IFERROR(1/J51*(X51/H51),"0")</f>
        <v>2.7901785714285716E-2</v>
      </c>
      <c r="BP51" s="64">
        <f t="shared" ref="BP51:BP56" si="4">IFERROR(1/J51*(Y51/H51),"0")</f>
        <v>3.125E-2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420</v>
      </c>
      <c r="Y52" s="548">
        <f t="shared" si="0"/>
        <v>421.20000000000005</v>
      </c>
      <c r="Z52" s="36">
        <f>IFERROR(IF(Y52=0,"",ROUNDUP(Y52/H52,0)*0.01898),"")</f>
        <v>0.74021999999999999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435.94444444444446</v>
      </c>
      <c r="BN52" s="64">
        <f t="shared" si="2"/>
        <v>437.19000000000005</v>
      </c>
      <c r="BO52" s="64">
        <f t="shared" si="3"/>
        <v>0.60763888888888884</v>
      </c>
      <c r="BP52" s="64">
        <f t="shared" si="4"/>
        <v>0.609375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243</v>
      </c>
      <c r="Y56" s="548">
        <f t="shared" si="0"/>
        <v>243</v>
      </c>
      <c r="Z56" s="36">
        <f>IFERROR(IF(Y56=0,"",ROUNDUP(Y56/H56,0)*0.00902),"")</f>
        <v>0.48708000000000001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253.26000000000002</v>
      </c>
      <c r="BN56" s="64">
        <f t="shared" si="2"/>
        <v>253.26000000000002</v>
      </c>
      <c r="BO56" s="64">
        <f t="shared" si="3"/>
        <v>0.40909090909090912</v>
      </c>
      <c r="BP56" s="64">
        <f t="shared" si="4"/>
        <v>0.40909090909090912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94.674603174603163</v>
      </c>
      <c r="Y57" s="549">
        <f>IFERROR(Y51/H51,"0")+IFERROR(Y52/H52,"0")+IFERROR(Y53/H53,"0")+IFERROR(Y54/H54,"0")+IFERROR(Y55/H55,"0")+IFERROR(Y56/H56,"0")</f>
        <v>95</v>
      </c>
      <c r="Z57" s="549">
        <f>IFERROR(IF(Z51="",0,Z51),"0")+IFERROR(IF(Z52="",0,Z52),"0")+IFERROR(IF(Z53="",0,Z53),"0")+IFERROR(IF(Z54="",0,Z54),"0")+IFERROR(IF(Z55="",0,Z55),"0")+IFERROR(IF(Z56="",0,Z56),"0")</f>
        <v>1.2652600000000001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683</v>
      </c>
      <c r="Y58" s="549">
        <f>IFERROR(SUM(Y51:Y56),"0")</f>
        <v>686.6</v>
      </c>
      <c r="Z58" s="37"/>
      <c r="AA58" s="550"/>
      <c r="AB58" s="550"/>
      <c r="AC58" s="550"/>
    </row>
    <row r="59" spans="1:68" ht="14.25" hidden="1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380</v>
      </c>
      <c r="Y60" s="548">
        <f>IFERROR(IF(X60="",0,CEILING((X60/$H60),1)*$H60),"")</f>
        <v>388.8</v>
      </c>
      <c r="Z60" s="36">
        <f>IFERROR(IF(Y60=0,"",ROUNDUP(Y60/H60,0)*0.01898),"")</f>
        <v>0.68328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394.42592592592592</v>
      </c>
      <c r="BN60" s="64">
        <f>IFERROR(Y60*I60/H60,"0")</f>
        <v>403.56</v>
      </c>
      <c r="BO60" s="64">
        <f>IFERROR(1/J60*(X60/H60),"0")</f>
        <v>0.54976851851851849</v>
      </c>
      <c r="BP60" s="64">
        <f>IFERROR(1/J60*(Y60/H60),"0")</f>
        <v>0.5625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42.3</v>
      </c>
      <c r="Y62" s="548">
        <f>IFERROR(IF(X62="",0,CEILING((X62/$H62),1)*$H62),"")</f>
        <v>43.2</v>
      </c>
      <c r="Z62" s="36">
        <f>IFERROR(IF(Y62=0,"",ROUNDUP(Y62/H62,0)*0.00651),"")</f>
        <v>0.10416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45.11999999999999</v>
      </c>
      <c r="BN62" s="64">
        <f>IFERROR(Y62*I62/H62,"0")</f>
        <v>46.08</v>
      </c>
      <c r="BO62" s="64">
        <f>IFERROR(1/J62*(X62/H62),"0")</f>
        <v>8.608058608058608E-2</v>
      </c>
      <c r="BP62" s="64">
        <f>IFERROR(1/J62*(Y62/H62),"0")</f>
        <v>8.7912087912087919E-2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50.851851851851848</v>
      </c>
      <c r="Y63" s="549">
        <f>IFERROR(Y60/H60,"0")+IFERROR(Y61/H61,"0")+IFERROR(Y62/H62,"0")</f>
        <v>52</v>
      </c>
      <c r="Z63" s="549">
        <f>IFERROR(IF(Z60="",0,Z60),"0")+IFERROR(IF(Z61="",0,Z61),"0")+IFERROR(IF(Z62="",0,Z62),"0")</f>
        <v>0.78744000000000003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422.3</v>
      </c>
      <c r="Y64" s="549">
        <f>IFERROR(SUM(Y60:Y62),"0")</f>
        <v>432</v>
      </c>
      <c r="Z64" s="37"/>
      <c r="AA64" s="550"/>
      <c r="AB64" s="550"/>
      <c r="AC64" s="550"/>
    </row>
    <row r="65" spans="1:68" ht="14.25" hidden="1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hidden="1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hidden="1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hidden="1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hidden="1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hidden="1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hidden="1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hidden="1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210</v>
      </c>
      <c r="Y84" s="548">
        <f>IFERROR(IF(X84="",0,CEILING((X84/$H84),1)*$H84),"")</f>
        <v>216</v>
      </c>
      <c r="Z84" s="36">
        <f>IFERROR(IF(Y84=0,"",ROUNDUP(Y84/H84,0)*0.01898),"")</f>
        <v>0.37959999999999999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217.97222222222223</v>
      </c>
      <c r="BN84" s="64">
        <f>IFERROR(Y84*I84/H84,"0")</f>
        <v>224.2</v>
      </c>
      <c r="BO84" s="64">
        <f>IFERROR(1/J84*(X84/H84),"0")</f>
        <v>0.30381944444444442</v>
      </c>
      <c r="BP84" s="64">
        <f>IFERROR(1/J84*(Y84/H84),"0")</f>
        <v>0.3125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6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94.5</v>
      </c>
      <c r="Y87" s="548">
        <f>IFERROR(IF(X87="",0,CEILING((X87/$H87),1)*$H87),"")</f>
        <v>94.5</v>
      </c>
      <c r="Z87" s="36">
        <f>IFERROR(IF(Y87=0,"",ROUNDUP(Y87/H87,0)*0.00902),"")</f>
        <v>0.18942000000000001</v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98.490000000000009</v>
      </c>
      <c r="BN87" s="64">
        <f>IFERROR(Y87*I87/H87,"0")</f>
        <v>98.490000000000009</v>
      </c>
      <c r="BO87" s="64">
        <f>IFERROR(1/J87*(X87/H87),"0")</f>
        <v>0.15909090909090909</v>
      </c>
      <c r="BP87" s="64">
        <f>IFERROR(1/J87*(Y87/H87),"0")</f>
        <v>0.15909090909090909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40.444444444444443</v>
      </c>
      <c r="Y88" s="549">
        <f>IFERROR(Y84/H84,"0")+IFERROR(Y85/H85,"0")+IFERROR(Y86/H86,"0")+IFERROR(Y87/H87,"0")</f>
        <v>41</v>
      </c>
      <c r="Z88" s="549">
        <f>IFERROR(IF(Z84="",0,Z84),"0")+IFERROR(IF(Z85="",0,Z85),"0")+IFERROR(IF(Z86="",0,Z86),"0")+IFERROR(IF(Z87="",0,Z87),"0")</f>
        <v>0.56901999999999997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304.5</v>
      </c>
      <c r="Y89" s="549">
        <f>IFERROR(SUM(Y84:Y87),"0")</f>
        <v>310.5</v>
      </c>
      <c r="Z89" s="37"/>
      <c r="AA89" s="550"/>
      <c r="AB89" s="550"/>
      <c r="AC89" s="550"/>
    </row>
    <row r="90" spans="1:68" ht="14.25" hidden="1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93</v>
      </c>
      <c r="Y91" s="548">
        <f>IFERROR(IF(X91="",0,CEILING((X91/$H91),1)*$H91),"")</f>
        <v>97.199999999999989</v>
      </c>
      <c r="Z91" s="36">
        <f>IFERROR(IF(Y91=0,"",ROUNDUP(Y91/H91,0)*0.01898),"")</f>
        <v>0.22776000000000002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98.671851851851855</v>
      </c>
      <c r="BN91" s="64">
        <f>IFERROR(Y91*I91/H91,"0")</f>
        <v>103.12799999999999</v>
      </c>
      <c r="BO91" s="64">
        <f>IFERROR(1/J91*(X91/H91),"0")</f>
        <v>0.17939814814814817</v>
      </c>
      <c r="BP91" s="64">
        <f>IFERROR(1/J91*(Y91/H91),"0")</f>
        <v>0.1875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15.75</v>
      </c>
      <c r="Y93" s="548">
        <f>IFERROR(IF(X93="",0,CEILING((X93/$H93),1)*$H93),"")</f>
        <v>16.200000000000003</v>
      </c>
      <c r="Z93" s="36">
        <f>IFERROR(IF(Y93=0,"",ROUNDUP(Y93/H93,0)*0.00651),"")</f>
        <v>3.9059999999999997E-2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17.22</v>
      </c>
      <c r="BN93" s="64">
        <f>IFERROR(Y93*I93/H93,"0")</f>
        <v>17.712000000000003</v>
      </c>
      <c r="BO93" s="64">
        <f>IFERROR(1/J93*(X93/H93),"0")</f>
        <v>3.2051282051282055E-2</v>
      </c>
      <c r="BP93" s="64">
        <f>IFERROR(1/J93*(Y93/H93),"0")</f>
        <v>3.2967032967032975E-2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17.314814814814817</v>
      </c>
      <c r="Y95" s="549">
        <f>IFERROR(Y91/H91,"0")+IFERROR(Y92/H92,"0")+IFERROR(Y93/H93,"0")+IFERROR(Y94/H94,"0")</f>
        <v>18</v>
      </c>
      <c r="Z95" s="549">
        <f>IFERROR(IF(Z91="",0,Z91),"0")+IFERROR(IF(Z92="",0,Z92),"0")+IFERROR(IF(Z93="",0,Z93),"0")+IFERROR(IF(Z94="",0,Z94),"0")</f>
        <v>0.26682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108.75</v>
      </c>
      <c r="Y96" s="549">
        <f>IFERROR(SUM(Y91:Y94),"0")</f>
        <v>113.39999999999999</v>
      </c>
      <c r="Z96" s="37"/>
      <c r="AA96" s="550"/>
      <c r="AB96" s="550"/>
      <c r="AC96" s="550"/>
    </row>
    <row r="97" spans="1:68" ht="16.5" hidden="1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hidden="1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10</v>
      </c>
      <c r="Y99" s="548">
        <f>IFERROR(IF(X99="",0,CEILING((X99/$H99),1)*$H99),"")</f>
        <v>10.8</v>
      </c>
      <c r="Z99" s="36">
        <f>IFERROR(IF(Y99=0,"",ROUNDUP(Y99/H99,0)*0.01898),"")</f>
        <v>1.898E-2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10.37962962962963</v>
      </c>
      <c r="BN99" s="64">
        <f>IFERROR(Y99*I99/H99,"0")</f>
        <v>11.21</v>
      </c>
      <c r="BO99" s="64">
        <f>IFERROR(1/J99*(X99/H99),"0")</f>
        <v>1.4467592592592591E-2</v>
      </c>
      <c r="BP99" s="64">
        <f>IFERROR(1/J99*(Y99/H99),"0")</f>
        <v>1.5625E-2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3.75</v>
      </c>
      <c r="Y101" s="548">
        <f>IFERROR(IF(X101="",0,CEILING((X101/$H101),1)*$H101),"")</f>
        <v>3.75</v>
      </c>
      <c r="Z101" s="36">
        <f>IFERROR(IF(Y101=0,"",ROUNDUP(Y101/H101,0)*0.00902),"")</f>
        <v>9.0200000000000002E-3</v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3.94</v>
      </c>
      <c r="BN101" s="64">
        <f>IFERROR(Y101*I101/H101,"0")</f>
        <v>3.94</v>
      </c>
      <c r="BO101" s="64">
        <f>IFERROR(1/J101*(X101/H101),"0")</f>
        <v>7.575757575757576E-3</v>
      </c>
      <c r="BP101" s="64">
        <f>IFERROR(1/J101*(Y101/H101),"0")</f>
        <v>7.575757575757576E-3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1.9259259259259258</v>
      </c>
      <c r="Y104" s="549">
        <f>IFERROR(Y99/H99,"0")+IFERROR(Y100/H100,"0")+IFERROR(Y101/H101,"0")+IFERROR(Y102/H102,"0")+IFERROR(Y103/H103,"0")</f>
        <v>2</v>
      </c>
      <c r="Z104" s="549">
        <f>IFERROR(IF(Z99="",0,Z99),"0")+IFERROR(IF(Z100="",0,Z100),"0")+IFERROR(IF(Z101="",0,Z101),"0")+IFERROR(IF(Z102="",0,Z102),"0")+IFERROR(IF(Z103="",0,Z103),"0")</f>
        <v>2.8000000000000001E-2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13.75</v>
      </c>
      <c r="Y105" s="549">
        <f>IFERROR(SUM(Y99:Y103),"0")</f>
        <v>14.55</v>
      </c>
      <c r="Z105" s="37"/>
      <c r="AA105" s="550"/>
      <c r="AB105" s="550"/>
      <c r="AC105" s="550"/>
    </row>
    <row r="106" spans="1:68" ht="14.25" hidden="1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hidden="1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hidden="1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38</v>
      </c>
      <c r="Y114" s="548">
        <f>IFERROR(IF(X114="",0,CEILING((X114/$H114),1)*$H114),"")</f>
        <v>40.5</v>
      </c>
      <c r="Z114" s="36">
        <f>IFERROR(IF(Y114=0,"",ROUNDUP(Y114/H114,0)*0.01898),"")</f>
        <v>9.4899999999999998E-2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40.289382716049381</v>
      </c>
      <c r="BN114" s="64">
        <f>IFERROR(Y114*I114/H114,"0")</f>
        <v>42.94</v>
      </c>
      <c r="BO114" s="64">
        <f>IFERROR(1/J114*(X114/H114),"0")</f>
        <v>7.3302469135802475E-2</v>
      </c>
      <c r="BP114" s="64">
        <f>IFERROR(1/J114*(Y114/H114),"0")</f>
        <v>7.8125E-2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1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18</v>
      </c>
      <c r="Y116" s="548">
        <f>IFERROR(IF(X116="",0,CEILING((X116/$H116),1)*$H116),"")</f>
        <v>18.900000000000002</v>
      </c>
      <c r="Z116" s="36">
        <f>IFERROR(IF(Y116=0,"",ROUNDUP(Y116/H116,0)*0.00651),"")</f>
        <v>4.5569999999999999E-2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19.679999999999996</v>
      </c>
      <c r="BN116" s="64">
        <f>IFERROR(Y116*I116/H116,"0")</f>
        <v>20.664000000000001</v>
      </c>
      <c r="BO116" s="64">
        <f>IFERROR(1/J116*(X116/H116),"0")</f>
        <v>3.6630036630036632E-2</v>
      </c>
      <c r="BP116" s="64">
        <f>IFERROR(1/J116*(Y116/H116),"0")</f>
        <v>3.8461538461538464E-2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11.358024691358025</v>
      </c>
      <c r="Y118" s="549">
        <f>IFERROR(Y114/H114,"0")+IFERROR(Y115/H115,"0")+IFERROR(Y116/H116,"0")+IFERROR(Y117/H117,"0")</f>
        <v>12</v>
      </c>
      <c r="Z118" s="549">
        <f>IFERROR(IF(Z114="",0,Z114),"0")+IFERROR(IF(Z115="",0,Z115),"0")+IFERROR(IF(Z116="",0,Z116),"0")+IFERROR(IF(Z117="",0,Z117),"0")</f>
        <v>0.14046999999999998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56</v>
      </c>
      <c r="Y119" s="549">
        <f>IFERROR(SUM(Y114:Y117),"0")</f>
        <v>59.400000000000006</v>
      </c>
      <c r="Z119" s="37"/>
      <c r="AA119" s="550"/>
      <c r="AB119" s="550"/>
      <c r="AC119" s="550"/>
    </row>
    <row r="120" spans="1:68" ht="14.25" hidden="1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hidden="1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hidden="1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hidden="1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18.399999999999999</v>
      </c>
      <c r="Y127" s="548">
        <f>IFERROR(IF(X127="",0,CEILING((X127/$H127),1)*$H127),"")</f>
        <v>19.200000000000003</v>
      </c>
      <c r="Z127" s="36">
        <f>IFERROR(IF(Y127=0,"",ROUNDUP(Y127/H127,0)*0.00651),"")</f>
        <v>3.9059999999999997E-2</v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19.434999999999995</v>
      </c>
      <c r="BN127" s="64">
        <f>IFERROR(Y127*I127/H127,"0")</f>
        <v>20.279999999999998</v>
      </c>
      <c r="BO127" s="64">
        <f>IFERROR(1/J127*(X127/H127),"0")</f>
        <v>3.1593406593406592E-2</v>
      </c>
      <c r="BP127" s="64">
        <f>IFERROR(1/J127*(Y127/H127),"0")</f>
        <v>3.2967032967032975E-2</v>
      </c>
    </row>
    <row r="128" spans="1:68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5.7499999999999991</v>
      </c>
      <c r="Y128" s="549">
        <f>IFERROR(Y126/H126,"0")+IFERROR(Y127/H127,"0")</f>
        <v>6.0000000000000009</v>
      </c>
      <c r="Z128" s="549">
        <f>IFERROR(IF(Z126="",0,Z126),"0")+IFERROR(IF(Z127="",0,Z127),"0")</f>
        <v>3.9059999999999997E-2</v>
      </c>
      <c r="AA128" s="550"/>
      <c r="AB128" s="550"/>
      <c r="AC128" s="550"/>
    </row>
    <row r="129" spans="1:68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18.399999999999999</v>
      </c>
      <c r="Y129" s="549">
        <f>IFERROR(SUM(Y126:Y127),"0")</f>
        <v>19.200000000000003</v>
      </c>
      <c r="Z129" s="37"/>
      <c r="AA129" s="550"/>
      <c r="AB129" s="550"/>
      <c r="AC129" s="550"/>
    </row>
    <row r="130" spans="1:68" ht="14.25" hidden="1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10.5</v>
      </c>
      <c r="Y131" s="548">
        <f>IFERROR(IF(X131="",0,CEILING((X131/$H131),1)*$H131),"")</f>
        <v>11.2</v>
      </c>
      <c r="Z131" s="36">
        <f>IFERROR(IF(Y131=0,"",ROUNDUP(Y131/H131,0)*0.00651),"")</f>
        <v>2.6040000000000001E-2</v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11.505000000000001</v>
      </c>
      <c r="BN131" s="64">
        <f>IFERROR(Y131*I131/H131,"0")</f>
        <v>12.271999999999998</v>
      </c>
      <c r="BO131" s="64">
        <f>IFERROR(1/J131*(X131/H131),"0")</f>
        <v>2.0604395604395608E-2</v>
      </c>
      <c r="BP131" s="64">
        <f>IFERROR(1/J131*(Y131/H131),"0")</f>
        <v>2.197802197802198E-2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3.7500000000000004</v>
      </c>
      <c r="Y133" s="549">
        <f>IFERROR(Y131/H131,"0")+IFERROR(Y132/H132,"0")</f>
        <v>4</v>
      </c>
      <c r="Z133" s="549">
        <f>IFERROR(IF(Z131="",0,Z131),"0")+IFERROR(IF(Z132="",0,Z132),"0")</f>
        <v>2.6040000000000001E-2</v>
      </c>
      <c r="AA133" s="550"/>
      <c r="AB133" s="550"/>
      <c r="AC133" s="550"/>
    </row>
    <row r="134" spans="1:68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10.5</v>
      </c>
      <c r="Y134" s="549">
        <f>IFERROR(SUM(Y131:Y132),"0")</f>
        <v>11.2</v>
      </c>
      <c r="Z134" s="37"/>
      <c r="AA134" s="550"/>
      <c r="AB134" s="550"/>
      <c r="AC134" s="550"/>
    </row>
    <row r="135" spans="1:68" ht="14.25" hidden="1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hidden="1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hidden="1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hidden="1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hidden="1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hidden="1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75</v>
      </c>
      <c r="Y147" s="548">
        <f>IFERROR(IF(X147="",0,CEILING((X147/$H147),1)*$H147),"")</f>
        <v>75.600000000000009</v>
      </c>
      <c r="Z147" s="36">
        <f>IFERROR(IF(Y147=0,"",ROUNDUP(Y147/H147,0)*0.00902),"")</f>
        <v>0.16236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78.392857142857139</v>
      </c>
      <c r="BN147" s="64">
        <f>IFERROR(Y147*I147/H147,"0")</f>
        <v>79.02</v>
      </c>
      <c r="BO147" s="64">
        <f>IFERROR(1/J147*(X147/H147),"0")</f>
        <v>0.13528138528138528</v>
      </c>
      <c r="BP147" s="64">
        <f>IFERROR(1/J147*(Y147/H147),"0")</f>
        <v>0.13636363636363635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20</v>
      </c>
      <c r="Y150" s="548">
        <f>IFERROR(IF(X150="",0,CEILING((X150/$H150),1)*$H150),"")</f>
        <v>27</v>
      </c>
      <c r="Z150" s="36">
        <f>IFERROR(IF(Y150=0,"",ROUNDUP(Y150/H150,0)*0.01898),"")</f>
        <v>5.6940000000000004E-2</v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21.244444444444447</v>
      </c>
      <c r="BN150" s="64">
        <f>IFERROR(Y150*I150/H150,"0")</f>
        <v>28.68</v>
      </c>
      <c r="BO150" s="64">
        <f>IFERROR(1/J150*(X150/H150),"0")</f>
        <v>3.4722222222222224E-2</v>
      </c>
      <c r="BP150" s="64">
        <f>IFERROR(1/J150*(Y150/H150),"0")</f>
        <v>4.6875E-2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6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20.079365079365079</v>
      </c>
      <c r="Y152" s="549">
        <f>IFERROR(Y147/H147,"0")+IFERROR(Y148/H148,"0")+IFERROR(Y149/H149,"0")+IFERROR(Y150/H150,"0")+IFERROR(Y151/H151,"0")</f>
        <v>21</v>
      </c>
      <c r="Z152" s="549">
        <f>IFERROR(IF(Z147="",0,Z147),"0")+IFERROR(IF(Z148="",0,Z148),"0")+IFERROR(IF(Z149="",0,Z149),"0")+IFERROR(IF(Z150="",0,Z150),"0")+IFERROR(IF(Z151="",0,Z151),"0")</f>
        <v>0.21929999999999999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95</v>
      </c>
      <c r="Y153" s="549">
        <f>IFERROR(SUM(Y147:Y151),"0")</f>
        <v>102.60000000000001</v>
      </c>
      <c r="Z153" s="37"/>
      <c r="AA153" s="550"/>
      <c r="AB153" s="550"/>
      <c r="AC153" s="550"/>
    </row>
    <row r="154" spans="1:68" ht="14.25" hidden="1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hidden="1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hidden="1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20</v>
      </c>
      <c r="Y165" s="548">
        <f t="shared" ref="Y165:Y178" si="5">IFERROR(IF(X165="",0,CEILING((X165/$H165),1)*$H165),"")</f>
        <v>21</v>
      </c>
      <c r="Z165" s="36">
        <f>IFERROR(IF(Y165=0,"",ROUNDUP(Y165/H165,0)*0.00902),"")</f>
        <v>4.5100000000000001E-2</v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21.19047619047619</v>
      </c>
      <c r="BN165" s="64">
        <f t="shared" ref="BN165:BN178" si="7">IFERROR(Y165*I165/H165,"0")</f>
        <v>22.25</v>
      </c>
      <c r="BO165" s="64">
        <f t="shared" ref="BO165:BO178" si="8">IFERROR(1/J165*(X165/H165),"0")</f>
        <v>3.6075036075036072E-2</v>
      </c>
      <c r="BP165" s="64">
        <f t="shared" ref="BP165:BP178" si="9">IFERROR(1/J165*(Y165/H165),"0")</f>
        <v>3.787878787878788E-2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5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7</v>
      </c>
      <c r="Y169" s="548">
        <f t="shared" si="5"/>
        <v>8.4</v>
      </c>
      <c r="Z169" s="36">
        <f>IFERROR(IF(Y169=0,"",ROUNDUP(Y169/H169,0)*0.00502),"")</f>
        <v>2.0080000000000001E-2</v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7.4333333333333327</v>
      </c>
      <c r="BN169" s="64">
        <f t="shared" si="7"/>
        <v>8.92</v>
      </c>
      <c r="BO169" s="64">
        <f t="shared" si="8"/>
        <v>1.4245014245014245E-2</v>
      </c>
      <c r="BP169" s="64">
        <f t="shared" si="9"/>
        <v>1.7094017094017096E-2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74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8.0952380952380949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9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6.5180000000000002E-2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27</v>
      </c>
      <c r="Y180" s="549">
        <f>IFERROR(SUM(Y165:Y178),"0")</f>
        <v>29.4</v>
      </c>
      <c r="Z180" s="37"/>
      <c r="AA180" s="550"/>
      <c r="AB180" s="550"/>
      <c r="AC180" s="550"/>
    </row>
    <row r="181" spans="1:68" ht="14.25" hidden="1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hidden="1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60</v>
      </c>
      <c r="Y203" s="548">
        <f t="shared" ref="Y203:Y210" si="10">IFERROR(IF(X203="",0,CEILING((X203/$H203),1)*$H203),"")</f>
        <v>64.800000000000011</v>
      </c>
      <c r="Z203" s="36">
        <f>IFERROR(IF(Y203=0,"",ROUNDUP(Y203/H203,0)*0.00902),"")</f>
        <v>0.10824</v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62.1111111111111</v>
      </c>
      <c r="BN203" s="64">
        <f t="shared" ref="BN203:BN210" si="12">IFERROR(Y203*I203/H203,"0")</f>
        <v>67.08</v>
      </c>
      <c r="BO203" s="64">
        <f t="shared" ref="BO203:BO210" si="13">IFERROR(1/J203*(X203/H203),"0")</f>
        <v>8.4175084175084181E-2</v>
      </c>
      <c r="BP203" s="64">
        <f t="shared" ref="BP203:BP210" si="14">IFERROR(1/J203*(Y203/H203),"0")</f>
        <v>9.0909090909090925E-2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6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40</v>
      </c>
      <c r="Y204" s="548">
        <f t="shared" si="10"/>
        <v>43.2</v>
      </c>
      <c r="Z204" s="36">
        <f>IFERROR(IF(Y204=0,"",ROUNDUP(Y204/H204,0)*0.00902),"")</f>
        <v>7.2160000000000002E-2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41.407407407407405</v>
      </c>
      <c r="BN204" s="64">
        <f t="shared" si="12"/>
        <v>44.72</v>
      </c>
      <c r="BO204" s="64">
        <f t="shared" si="13"/>
        <v>5.6116722783389444E-2</v>
      </c>
      <c r="BP204" s="64">
        <f t="shared" si="14"/>
        <v>6.0606060606060608E-2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40</v>
      </c>
      <c r="Y205" s="548">
        <f t="shared" si="10"/>
        <v>43.2</v>
      </c>
      <c r="Z205" s="36">
        <f>IFERROR(IF(Y205=0,"",ROUNDUP(Y205/H205,0)*0.00902),"")</f>
        <v>7.2160000000000002E-2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41.407407407407405</v>
      </c>
      <c r="BN205" s="64">
        <f t="shared" si="12"/>
        <v>44.72</v>
      </c>
      <c r="BO205" s="64">
        <f t="shared" si="13"/>
        <v>5.6116722783389444E-2</v>
      </c>
      <c r="BP205" s="64">
        <f t="shared" si="14"/>
        <v>6.0606060606060608E-2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40</v>
      </c>
      <c r="Y206" s="548">
        <f t="shared" si="10"/>
        <v>43.2</v>
      </c>
      <c r="Z206" s="36">
        <f>IFERROR(IF(Y206=0,"",ROUNDUP(Y206/H206,0)*0.00902),"")</f>
        <v>7.2160000000000002E-2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41.407407407407405</v>
      </c>
      <c r="BN206" s="64">
        <f t="shared" si="12"/>
        <v>44.72</v>
      </c>
      <c r="BO206" s="64">
        <f t="shared" si="13"/>
        <v>5.6116722783389444E-2</v>
      </c>
      <c r="BP206" s="64">
        <f t="shared" si="14"/>
        <v>6.0606060606060608E-2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33.333333333333329</v>
      </c>
      <c r="Y211" s="549">
        <f>IFERROR(Y203/H203,"0")+IFERROR(Y204/H204,"0")+IFERROR(Y205/H205,"0")+IFERROR(Y206/H206,"0")+IFERROR(Y207/H207,"0")+IFERROR(Y208/H208,"0")+IFERROR(Y209/H209,"0")+IFERROR(Y210/H210,"0")</f>
        <v>36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0.32472000000000001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180</v>
      </c>
      <c r="Y212" s="549">
        <f>IFERROR(SUM(Y203:Y210),"0")</f>
        <v>194.40000000000003</v>
      </c>
      <c r="Z212" s="37"/>
      <c r="AA212" s="550"/>
      <c r="AB212" s="550"/>
      <c r="AC212" s="550"/>
    </row>
    <row r="213" spans="1:68" ht="14.25" hidden="1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8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12</v>
      </c>
      <c r="Y217" s="548">
        <f t="shared" si="15"/>
        <v>12</v>
      </c>
      <c r="Z217" s="36">
        <f t="shared" ref="Z217:Z222" si="20">IFERROR(IF(Y217=0,"",ROUNDUP(Y217/H217,0)*0.00651),"")</f>
        <v>3.2550000000000003E-2</v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13.35</v>
      </c>
      <c r="BN217" s="64">
        <f t="shared" si="17"/>
        <v>13.35</v>
      </c>
      <c r="BO217" s="64">
        <f t="shared" si="18"/>
        <v>2.7472527472527476E-2</v>
      </c>
      <c r="BP217" s="64">
        <f t="shared" si="19"/>
        <v>2.7472527472527476E-2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13.5</v>
      </c>
      <c r="Y219" s="548">
        <f t="shared" si="15"/>
        <v>14.399999999999999</v>
      </c>
      <c r="Z219" s="36">
        <f t="shared" si="20"/>
        <v>3.9059999999999997E-2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14.9175</v>
      </c>
      <c r="BN219" s="64">
        <f t="shared" si="17"/>
        <v>15.912000000000001</v>
      </c>
      <c r="BO219" s="64">
        <f t="shared" si="18"/>
        <v>3.0906593406593408E-2</v>
      </c>
      <c r="BP219" s="64">
        <f t="shared" si="19"/>
        <v>3.2967032967032968E-2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13.5</v>
      </c>
      <c r="Y220" s="548">
        <f t="shared" si="15"/>
        <v>14.399999999999999</v>
      </c>
      <c r="Z220" s="36">
        <f t="shared" si="20"/>
        <v>3.9059999999999997E-2</v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14.9175</v>
      </c>
      <c r="BN220" s="64">
        <f t="shared" si="17"/>
        <v>15.912000000000001</v>
      </c>
      <c r="BO220" s="64">
        <f t="shared" si="18"/>
        <v>3.0906593406593408E-2</v>
      </c>
      <c r="BP220" s="64">
        <f t="shared" si="19"/>
        <v>3.2967032967032968E-2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12</v>
      </c>
      <c r="Y222" s="548">
        <f t="shared" si="15"/>
        <v>12</v>
      </c>
      <c r="Z222" s="36">
        <f t="shared" si="20"/>
        <v>3.2550000000000003E-2</v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13.290000000000001</v>
      </c>
      <c r="BN222" s="64">
        <f t="shared" si="17"/>
        <v>13.290000000000001</v>
      </c>
      <c r="BO222" s="64">
        <f t="shared" si="18"/>
        <v>2.7472527472527476E-2</v>
      </c>
      <c r="BP222" s="64">
        <f t="shared" si="19"/>
        <v>2.7472527472527476E-2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21.25</v>
      </c>
      <c r="Y223" s="549">
        <f>IFERROR(Y214/H214,"0")+IFERROR(Y215/H215,"0")+IFERROR(Y216/H216,"0")+IFERROR(Y217/H217,"0")+IFERROR(Y218/H218,"0")+IFERROR(Y219/H219,"0")+IFERROR(Y220/H220,"0")+IFERROR(Y221/H221,"0")+IFERROR(Y222/H222,"0")</f>
        <v>22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0.14322000000000001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51</v>
      </c>
      <c r="Y224" s="549">
        <f>IFERROR(SUM(Y214:Y222),"0")</f>
        <v>52.8</v>
      </c>
      <c r="Z224" s="37"/>
      <c r="AA224" s="550"/>
      <c r="AB224" s="550"/>
      <c r="AC224" s="550"/>
    </row>
    <row r="225" spans="1:68" ht="14.25" hidden="1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hidden="1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hidden="1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20</v>
      </c>
      <c r="Y261" s="548">
        <f>IFERROR(IF(X261="",0,CEILING((X261/$H261),1)*$H261),"")</f>
        <v>21.6</v>
      </c>
      <c r="Z261" s="36">
        <f>IFERROR(IF(Y261=0,"",ROUNDUP(Y261/H261,0)*0.01898),"")</f>
        <v>3.7960000000000001E-2</v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20.75925925925926</v>
      </c>
      <c r="BN261" s="64">
        <f>IFERROR(Y261*I261/H261,"0")</f>
        <v>22.42</v>
      </c>
      <c r="BO261" s="64">
        <f>IFERROR(1/J261*(X261/H261),"0")</f>
        <v>2.8935185185185182E-2</v>
      </c>
      <c r="BP261" s="64">
        <f>IFERROR(1/J261*(Y261/H261),"0")</f>
        <v>3.125E-2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30</v>
      </c>
      <c r="Y262" s="548">
        <f>IFERROR(IF(X262="",0,CEILING((X262/$H262),1)*$H262),"")</f>
        <v>32.400000000000006</v>
      </c>
      <c r="Z262" s="36">
        <f>IFERROR(IF(Y262=0,"",ROUNDUP(Y262/H262,0)*0.01898),"")</f>
        <v>5.6940000000000004E-2</v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31.138888888888889</v>
      </c>
      <c r="BN262" s="64">
        <f>IFERROR(Y262*I262/H262,"0")</f>
        <v>33.630000000000003</v>
      </c>
      <c r="BO262" s="64">
        <f>IFERROR(1/J262*(X262/H262),"0")</f>
        <v>4.3402777777777776E-2</v>
      </c>
      <c r="BP262" s="64">
        <f>IFERROR(1/J262*(Y262/H262),"0")</f>
        <v>4.6875000000000007E-2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100</v>
      </c>
      <c r="Y263" s="548">
        <f>IFERROR(IF(X263="",0,CEILING((X263/$H263),1)*$H263),"")</f>
        <v>108</v>
      </c>
      <c r="Z263" s="36">
        <f>IFERROR(IF(Y263=0,"",ROUNDUP(Y263/H263,0)*0.01898),"")</f>
        <v>0.1898</v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103.79629629629629</v>
      </c>
      <c r="BN263" s="64">
        <f>IFERROR(Y263*I263/H263,"0")</f>
        <v>112.1</v>
      </c>
      <c r="BO263" s="64">
        <f>IFERROR(1/J263*(X263/H263),"0")</f>
        <v>0.14467592592592593</v>
      </c>
      <c r="BP263" s="64">
        <f>IFERROR(1/J263*(Y263/H263),"0")</f>
        <v>0.15625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13.888888888888889</v>
      </c>
      <c r="Y266" s="549">
        <f>IFERROR(Y261/H261,"0")+IFERROR(Y262/H262,"0")+IFERROR(Y263/H263,"0")+IFERROR(Y264/H264,"0")+IFERROR(Y265/H265,"0")</f>
        <v>15</v>
      </c>
      <c r="Z266" s="549">
        <f>IFERROR(IF(Z261="",0,Z261),"0")+IFERROR(IF(Z262="",0,Z262),"0")+IFERROR(IF(Z263="",0,Z263),"0")+IFERROR(IF(Z264="",0,Z264),"0")+IFERROR(IF(Z265="",0,Z265),"0")</f>
        <v>0.28470000000000001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150</v>
      </c>
      <c r="Y267" s="549">
        <f>IFERROR(SUM(Y261:Y265),"0")</f>
        <v>162</v>
      </c>
      <c r="Z267" s="37"/>
      <c r="AA267" s="550"/>
      <c r="AB267" s="550"/>
      <c r="AC267" s="550"/>
    </row>
    <row r="268" spans="1:68" ht="16.5" hidden="1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hidden="1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hidden="1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hidden="1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hidden="1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hidden="1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3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205</v>
      </c>
      <c r="Y297" s="548">
        <f t="shared" si="26"/>
        <v>205.20000000000002</v>
      </c>
      <c r="Z297" s="36">
        <f>IFERROR(IF(Y297=0,"",ROUNDUP(Y297/H297,0)*0.01898),"")</f>
        <v>0.36062</v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212.78240740740742</v>
      </c>
      <c r="BN297" s="64">
        <f t="shared" si="28"/>
        <v>212.99</v>
      </c>
      <c r="BO297" s="64">
        <f t="shared" si="29"/>
        <v>0.29658564814814814</v>
      </c>
      <c r="BP297" s="64">
        <f t="shared" si="30"/>
        <v>0.296875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160</v>
      </c>
      <c r="Y298" s="548">
        <f t="shared" si="26"/>
        <v>162</v>
      </c>
      <c r="Z298" s="36">
        <f>IFERROR(IF(Y298=0,"",ROUNDUP(Y298/H298,0)*0.01898),"")</f>
        <v>0.28470000000000001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166.07407407407408</v>
      </c>
      <c r="BN298" s="64">
        <f t="shared" si="28"/>
        <v>168.15</v>
      </c>
      <c r="BO298" s="64">
        <f t="shared" si="29"/>
        <v>0.23148148148148145</v>
      </c>
      <c r="BP298" s="64">
        <f t="shared" si="30"/>
        <v>0.23437499999999997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6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800</v>
      </c>
      <c r="Y299" s="548">
        <f t="shared" si="26"/>
        <v>810</v>
      </c>
      <c r="Z299" s="36">
        <f>IFERROR(IF(Y299=0,"",ROUNDUP(Y299/H299,0)*0.01898),"")</f>
        <v>1.4235</v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830.37037037037032</v>
      </c>
      <c r="BN299" s="64">
        <f t="shared" si="28"/>
        <v>840.75</v>
      </c>
      <c r="BO299" s="64">
        <f t="shared" si="29"/>
        <v>1.1574074074074074</v>
      </c>
      <c r="BP299" s="64">
        <f t="shared" si="30"/>
        <v>1.171875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12</v>
      </c>
      <c r="Y300" s="548">
        <f t="shared" si="26"/>
        <v>12</v>
      </c>
      <c r="Z300" s="36">
        <f>IFERROR(IF(Y300=0,"",ROUNDUP(Y300/H300,0)*0.00902),"")</f>
        <v>2.7060000000000001E-2</v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12.57</v>
      </c>
      <c r="BN300" s="64">
        <f t="shared" si="28"/>
        <v>12.57</v>
      </c>
      <c r="BO300" s="64">
        <f t="shared" si="29"/>
        <v>2.2727272727272728E-2</v>
      </c>
      <c r="BP300" s="64">
        <f t="shared" si="30"/>
        <v>2.2727272727272728E-2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56</v>
      </c>
      <c r="Y301" s="548">
        <f t="shared" si="26"/>
        <v>56</v>
      </c>
      <c r="Z301" s="36">
        <f>IFERROR(IF(Y301=0,"",ROUNDUP(Y301/H301,0)*0.00902),"")</f>
        <v>0.12628</v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58.660000000000004</v>
      </c>
      <c r="BN301" s="64">
        <f t="shared" si="28"/>
        <v>58.660000000000004</v>
      </c>
      <c r="BO301" s="64">
        <f t="shared" si="29"/>
        <v>0.10606060606060606</v>
      </c>
      <c r="BP301" s="64">
        <f t="shared" si="30"/>
        <v>0.10606060606060606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124.87037037037037</v>
      </c>
      <c r="Y302" s="549">
        <f>IFERROR(Y296/H296,"0")+IFERROR(Y297/H297,"0")+IFERROR(Y298/H298,"0")+IFERROR(Y299/H299,"0")+IFERROR(Y300/H300,"0")+IFERROR(Y301/H301,"0")</f>
        <v>126</v>
      </c>
      <c r="Z302" s="549">
        <f>IFERROR(IF(Z296="",0,Z296),"0")+IFERROR(IF(Z297="",0,Z297),"0")+IFERROR(IF(Z298="",0,Z298),"0")+IFERROR(IF(Z299="",0,Z299),"0")+IFERROR(IF(Z300="",0,Z300),"0")+IFERROR(IF(Z301="",0,Z301),"0")</f>
        <v>2.2221600000000001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1233</v>
      </c>
      <c r="Y303" s="549">
        <f>IFERROR(SUM(Y296:Y301),"0")</f>
        <v>1245.2</v>
      </c>
      <c r="Z303" s="37"/>
      <c r="AA303" s="550"/>
      <c r="AB303" s="550"/>
      <c r="AC303" s="550"/>
    </row>
    <row r="304" spans="1:68" ht="14.25" hidden="1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155</v>
      </c>
      <c r="Y305" s="548">
        <f t="shared" ref="Y305:Y310" si="31">IFERROR(IF(X305="",0,CEILING((X305/$H305),1)*$H305),"")</f>
        <v>155.4</v>
      </c>
      <c r="Z305" s="36">
        <f>IFERROR(IF(Y305=0,"",ROUNDUP(Y305/H305,0)*0.00902),"")</f>
        <v>0.33374000000000004</v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164.22619047619048</v>
      </c>
      <c r="BN305" s="64">
        <f t="shared" ref="BN305:BN310" si="33">IFERROR(Y305*I305/H305,"0")</f>
        <v>164.65</v>
      </c>
      <c r="BO305" s="64">
        <f t="shared" ref="BO305:BO310" si="34">IFERROR(1/J305*(X305/H305),"0")</f>
        <v>0.2795815295815296</v>
      </c>
      <c r="BP305" s="64">
        <f t="shared" ref="BP305:BP310" si="35">IFERROR(1/J305*(Y305/H305),"0")</f>
        <v>0.28030303030303033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260</v>
      </c>
      <c r="Y306" s="548">
        <f t="shared" si="31"/>
        <v>260.40000000000003</v>
      </c>
      <c r="Z306" s="36">
        <f>IFERROR(IF(Y306=0,"",ROUNDUP(Y306/H306,0)*0.00902),"")</f>
        <v>0.55923999999999996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275.47619047619048</v>
      </c>
      <c r="BN306" s="64">
        <f t="shared" si="33"/>
        <v>275.90000000000003</v>
      </c>
      <c r="BO306" s="64">
        <f t="shared" si="34"/>
        <v>0.46897546897546899</v>
      </c>
      <c r="BP306" s="64">
        <f t="shared" si="35"/>
        <v>0.46969696969696978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51.099999999999987</v>
      </c>
      <c r="Y308" s="548">
        <f t="shared" si="31"/>
        <v>52.5</v>
      </c>
      <c r="Z308" s="36">
        <f>IFERROR(IF(Y308=0,"",ROUNDUP(Y308/H308,0)*0.00502),"")</f>
        <v>0.1255</v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54.263333333333321</v>
      </c>
      <c r="BN308" s="64">
        <f t="shared" si="33"/>
        <v>55.75</v>
      </c>
      <c r="BO308" s="64">
        <f t="shared" si="34"/>
        <v>0.10398860398860396</v>
      </c>
      <c r="BP308" s="64">
        <f t="shared" si="35"/>
        <v>0.10683760683760685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11.9</v>
      </c>
      <c r="Y309" s="548">
        <f t="shared" si="31"/>
        <v>12.600000000000001</v>
      </c>
      <c r="Z309" s="36">
        <f>IFERROR(IF(Y309=0,"",ROUNDUP(Y309/H309,0)*0.00502),"")</f>
        <v>3.0120000000000001E-2</v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12.466666666666669</v>
      </c>
      <c r="BN309" s="64">
        <f t="shared" si="33"/>
        <v>13.200000000000003</v>
      </c>
      <c r="BO309" s="64">
        <f t="shared" si="34"/>
        <v>2.4216524216524222E-2</v>
      </c>
      <c r="BP309" s="64">
        <f t="shared" si="35"/>
        <v>2.5641025641025644E-2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128.8095238095238</v>
      </c>
      <c r="Y311" s="549">
        <f>IFERROR(Y305/H305,"0")+IFERROR(Y306/H306,"0")+IFERROR(Y307/H307,"0")+IFERROR(Y308/H308,"0")+IFERROR(Y309/H309,"0")+IFERROR(Y310/H310,"0")</f>
        <v>130</v>
      </c>
      <c r="Z311" s="549">
        <f>IFERROR(IF(Z305="",0,Z305),"0")+IFERROR(IF(Z306="",0,Z306),"0")+IFERROR(IF(Z307="",0,Z307),"0")+IFERROR(IF(Z308="",0,Z308),"0")+IFERROR(IF(Z309="",0,Z309),"0")+IFERROR(IF(Z310="",0,Z310),"0")</f>
        <v>1.0486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477.99999999999994</v>
      </c>
      <c r="Y312" s="549">
        <f>IFERROR(SUM(Y305:Y310),"0")</f>
        <v>480.90000000000009</v>
      </c>
      <c r="Z312" s="37"/>
      <c r="AA312" s="550"/>
      <c r="AB312" s="550"/>
      <c r="AC312" s="550"/>
    </row>
    <row r="313" spans="1:68" ht="14.25" hidden="1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4430</v>
      </c>
      <c r="Y314" s="548">
        <f>IFERROR(IF(X314="",0,CEILING((X314/$H314),1)*$H314),"")</f>
        <v>4430.3999999999996</v>
      </c>
      <c r="Z314" s="36">
        <f>IFERROR(IF(Y314=0,"",ROUNDUP(Y314/H314,0)*0.01898),"")</f>
        <v>10.78064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4707.1589743589748</v>
      </c>
      <c r="BN314" s="64">
        <f>IFERROR(Y314*I314/H314,"0")</f>
        <v>4707.5839999999998</v>
      </c>
      <c r="BO314" s="64">
        <f>IFERROR(1/J314*(X314/H314),"0")</f>
        <v>8.874198717948719</v>
      </c>
      <c r="BP314" s="64">
        <f>IFERROR(1/J314*(Y314/H314),"0")</f>
        <v>8.875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14.4</v>
      </c>
      <c r="Y317" s="548">
        <f>IFERROR(IF(X317="",0,CEILING((X317/$H317),1)*$H317),"")</f>
        <v>15</v>
      </c>
      <c r="Z317" s="36">
        <f>IFERROR(IF(Y317=0,"",ROUNDUP(Y317/H317,0)*0.00651),"")</f>
        <v>3.2550000000000003E-2</v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15.580800000000002</v>
      </c>
      <c r="BN317" s="64">
        <f>IFERROR(Y317*I317/H317,"0")</f>
        <v>16.23</v>
      </c>
      <c r="BO317" s="64">
        <f>IFERROR(1/J317*(X317/H317),"0")</f>
        <v>2.6373626373626374E-2</v>
      </c>
      <c r="BP317" s="64">
        <f>IFERROR(1/J317*(Y317/H317),"0")</f>
        <v>2.7472527472527476E-2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572.74871794871797</v>
      </c>
      <c r="Y318" s="549">
        <f>IFERROR(Y314/H314,"0")+IFERROR(Y315/H315,"0")+IFERROR(Y316/H316,"0")+IFERROR(Y317/H317,"0")</f>
        <v>573</v>
      </c>
      <c r="Z318" s="549">
        <f>IFERROR(IF(Z314="",0,Z314),"0")+IFERROR(IF(Z315="",0,Z315),"0")+IFERROR(IF(Z316="",0,Z316),"0")+IFERROR(IF(Z317="",0,Z317),"0")</f>
        <v>10.813190000000001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4444.3999999999996</v>
      </c>
      <c r="Y319" s="549">
        <f>IFERROR(SUM(Y314:Y317),"0")</f>
        <v>4445.3999999999996</v>
      </c>
      <c r="Z319" s="37"/>
      <c r="AA319" s="550"/>
      <c r="AB319" s="550"/>
      <c r="AC319" s="550"/>
    </row>
    <row r="320" spans="1:68" ht="14.25" hidden="1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245</v>
      </c>
      <c r="Y322" s="548">
        <f>IFERROR(IF(X322="",0,CEILING((X322/$H322),1)*$H322),"")</f>
        <v>249.6</v>
      </c>
      <c r="Z322" s="36">
        <f>IFERROR(IF(Y322=0,"",ROUNDUP(Y322/H322,0)*0.01898),"")</f>
        <v>0.60736000000000001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260.51666666666671</v>
      </c>
      <c r="BN322" s="64">
        <f>IFERROR(Y322*I322/H322,"0")</f>
        <v>265.40800000000002</v>
      </c>
      <c r="BO322" s="64">
        <f>IFERROR(1/J322*(X322/H322),"0")</f>
        <v>0.49078525641025644</v>
      </c>
      <c r="BP322" s="64">
        <f>IFERROR(1/J322*(Y322/H322),"0")</f>
        <v>0.5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80</v>
      </c>
      <c r="Y323" s="548">
        <f>IFERROR(IF(X323="",0,CEILING((X323/$H323),1)*$H323),"")</f>
        <v>84</v>
      </c>
      <c r="Z323" s="36">
        <f>IFERROR(IF(Y323=0,"",ROUNDUP(Y323/H323,0)*0.01898),"")</f>
        <v>0.1898</v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84.704761904761895</v>
      </c>
      <c r="BN323" s="64">
        <f>IFERROR(Y323*I323/H323,"0")</f>
        <v>88.94</v>
      </c>
      <c r="BO323" s="64">
        <f>IFERROR(1/J323*(X323/H323),"0")</f>
        <v>0.14880952380952381</v>
      </c>
      <c r="BP323" s="64">
        <f>IFERROR(1/J323*(Y323/H323),"0")</f>
        <v>0.15625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40.934065934065934</v>
      </c>
      <c r="Y324" s="549">
        <f>IFERROR(Y321/H321,"0")+IFERROR(Y322/H322,"0")+IFERROR(Y323/H323,"0")</f>
        <v>42</v>
      </c>
      <c r="Z324" s="549">
        <f>IFERROR(IF(Z321="",0,Z321),"0")+IFERROR(IF(Z322="",0,Z322),"0")+IFERROR(IF(Z323="",0,Z323),"0")</f>
        <v>0.79715999999999998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325</v>
      </c>
      <c r="Y325" s="549">
        <f>IFERROR(SUM(Y321:Y323),"0")</f>
        <v>333.6</v>
      </c>
      <c r="Z325" s="37"/>
      <c r="AA325" s="550"/>
      <c r="AB325" s="550"/>
      <c r="AC325" s="550"/>
    </row>
    <row r="326" spans="1:68" ht="14.25" hidden="1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2.5499999999999998</v>
      </c>
      <c r="Y330" s="548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2.88</v>
      </c>
      <c r="BN330" s="64">
        <f>IFERROR(Y330*I330/H330,"0")</f>
        <v>2.88</v>
      </c>
      <c r="BO330" s="64">
        <f>IFERROR(1/J330*(X330/H330),"0")</f>
        <v>5.4945054945054949E-3</v>
      </c>
      <c r="BP330" s="64">
        <f>IFERROR(1/J330*(Y330/H330),"0")</f>
        <v>5.4945054945054949E-3</v>
      </c>
    </row>
    <row r="331" spans="1:68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1</v>
      </c>
      <c r="Y331" s="549">
        <f>IFERROR(Y327/H327,"0")+IFERROR(Y328/H328,"0")+IFERROR(Y329/H329,"0")+IFERROR(Y330/H330,"0")</f>
        <v>1</v>
      </c>
      <c r="Z331" s="549">
        <f>IFERROR(IF(Z327="",0,Z327),"0")+IFERROR(IF(Z328="",0,Z328),"0")+IFERROR(IF(Z329="",0,Z329),"0")+IFERROR(IF(Z330="",0,Z330),"0")</f>
        <v>6.5100000000000002E-3</v>
      </c>
      <c r="AA331" s="550"/>
      <c r="AB331" s="550"/>
      <c r="AC331" s="550"/>
    </row>
    <row r="332" spans="1:68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2.5499999999999998</v>
      </c>
      <c r="Y332" s="549">
        <f>IFERROR(SUM(Y327:Y330),"0")</f>
        <v>2.5499999999999998</v>
      </c>
      <c r="Z332" s="37"/>
      <c r="AA332" s="550"/>
      <c r="AB332" s="550"/>
      <c r="AC332" s="550"/>
    </row>
    <row r="333" spans="1:68" ht="14.25" hidden="1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hidden="1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hidden="1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hidden="1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44</v>
      </c>
      <c r="Y341" s="548">
        <f>IFERROR(IF(X341="",0,CEILING((X341/$H341),1)*$H341),"")</f>
        <v>48.599999999999994</v>
      </c>
      <c r="Z341" s="36">
        <f>IFERROR(IF(Y341=0,"",ROUNDUP(Y341/H341,0)*0.01898),"")</f>
        <v>0.11388000000000001</v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46.683456790123458</v>
      </c>
      <c r="BN341" s="64">
        <f>IFERROR(Y341*I341/H341,"0")</f>
        <v>51.563999999999993</v>
      </c>
      <c r="BO341" s="64">
        <f>IFERROR(1/J341*(X341/H341),"0")</f>
        <v>8.4876543209876545E-2</v>
      </c>
      <c r="BP341" s="64">
        <f>IFERROR(1/J341*(Y341/H341),"0")</f>
        <v>9.375E-2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58.8</v>
      </c>
      <c r="Y342" s="548">
        <f>IFERROR(IF(X342="",0,CEILING((X342/$H342),1)*$H342),"")</f>
        <v>58.800000000000004</v>
      </c>
      <c r="Z342" s="36">
        <f>IFERROR(IF(Y342=0,"",ROUNDUP(Y342/H342,0)*0.00651),"")</f>
        <v>0.18228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65.855999999999995</v>
      </c>
      <c r="BN342" s="64">
        <f>IFERROR(Y342*I342/H342,"0")</f>
        <v>65.855999999999995</v>
      </c>
      <c r="BO342" s="64">
        <f>IFERROR(1/J342*(X342/H342),"0")</f>
        <v>0.15384615384615383</v>
      </c>
      <c r="BP342" s="64">
        <f>IFERROR(1/J342*(Y342/H342),"0")</f>
        <v>0.15384615384615385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51.8</v>
      </c>
      <c r="Y343" s="548">
        <f>IFERROR(IF(X343="",0,CEILING((X343/$H343),1)*$H343),"")</f>
        <v>52.5</v>
      </c>
      <c r="Z343" s="36">
        <f>IFERROR(IF(Y343=0,"",ROUNDUP(Y343/H343,0)*0.00651),"")</f>
        <v>0.16275000000000001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57.719999999999992</v>
      </c>
      <c r="BN343" s="64">
        <f>IFERROR(Y343*I343/H343,"0")</f>
        <v>58.499999999999993</v>
      </c>
      <c r="BO343" s="64">
        <f>IFERROR(1/J343*(X343/H343),"0")</f>
        <v>0.13553113553113552</v>
      </c>
      <c r="BP343" s="64">
        <f>IFERROR(1/J343*(Y343/H343),"0")</f>
        <v>0.13736263736263737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58.098765432098759</v>
      </c>
      <c r="Y344" s="549">
        <f>IFERROR(Y341/H341,"0")+IFERROR(Y342/H342,"0")+IFERROR(Y343/H343,"0")</f>
        <v>59</v>
      </c>
      <c r="Z344" s="549">
        <f>IFERROR(IF(Z341="",0,Z341),"0")+IFERROR(IF(Z342="",0,Z342),"0")+IFERROR(IF(Z343="",0,Z343),"0")</f>
        <v>0.45890999999999998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154.6</v>
      </c>
      <c r="Y345" s="549">
        <f>IFERROR(SUM(Y341:Y343),"0")</f>
        <v>159.9</v>
      </c>
      <c r="Z345" s="37"/>
      <c r="AA345" s="550"/>
      <c r="AB345" s="550"/>
      <c r="AC345" s="550"/>
    </row>
    <row r="346" spans="1:68" ht="27.75" hidden="1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hidden="1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hidden="1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135</v>
      </c>
      <c r="Y349" s="548">
        <f t="shared" ref="Y349:Y355" si="36">IFERROR(IF(X349="",0,CEILING((X349/$H349),1)*$H349),"")</f>
        <v>135</v>
      </c>
      <c r="Z349" s="36">
        <f>IFERROR(IF(Y349=0,"",ROUNDUP(Y349/H349,0)*0.02175),"")</f>
        <v>0.19574999999999998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139.23000000000002</v>
      </c>
      <c r="BN349" s="64">
        <f t="shared" ref="BN349:BN355" si="38">IFERROR(Y349*I349/H349,"0")</f>
        <v>139.23000000000002</v>
      </c>
      <c r="BO349" s="64">
        <f t="shared" ref="BO349:BO355" si="39">IFERROR(1/J349*(X349/H349),"0")</f>
        <v>0.1875</v>
      </c>
      <c r="BP349" s="64">
        <f t="shared" ref="BP349:BP355" si="40">IFERROR(1/J349*(Y349/H349),"0")</f>
        <v>0.1875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460</v>
      </c>
      <c r="Y350" s="548">
        <f t="shared" si="36"/>
        <v>465</v>
      </c>
      <c r="Z350" s="36">
        <f>IFERROR(IF(Y350=0,"",ROUNDUP(Y350/H350,0)*0.02175),"")</f>
        <v>0.6742499999999999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474.41333333333336</v>
      </c>
      <c r="BN350" s="64">
        <f t="shared" si="38"/>
        <v>479.57</v>
      </c>
      <c r="BO350" s="64">
        <f t="shared" si="39"/>
        <v>0.63888888888888884</v>
      </c>
      <c r="BP350" s="64">
        <f t="shared" si="40"/>
        <v>0.64583333333333326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1270</v>
      </c>
      <c r="Y352" s="548">
        <f t="shared" si="36"/>
        <v>1275</v>
      </c>
      <c r="Z352" s="36">
        <f>IFERROR(IF(Y352=0,"",ROUNDUP(Y352/H352,0)*0.02175),"")</f>
        <v>1.8487499999999999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1309.7933333333335</v>
      </c>
      <c r="BN352" s="64">
        <f t="shared" si="38"/>
        <v>1314.95</v>
      </c>
      <c r="BO352" s="64">
        <f t="shared" si="39"/>
        <v>1.7638888888888888</v>
      </c>
      <c r="BP352" s="64">
        <f t="shared" si="40"/>
        <v>1.7708333333333333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5</v>
      </c>
      <c r="Y355" s="548">
        <f t="shared" si="36"/>
        <v>5</v>
      </c>
      <c r="Z355" s="36">
        <f>IFERROR(IF(Y355=0,"",ROUNDUP(Y355/H355,0)*0.00902),"")</f>
        <v>9.0200000000000002E-3</v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5.19</v>
      </c>
      <c r="BN355" s="64">
        <f t="shared" si="38"/>
        <v>5.19</v>
      </c>
      <c r="BO355" s="64">
        <f t="shared" si="39"/>
        <v>7.575757575757576E-3</v>
      </c>
      <c r="BP355" s="64">
        <f t="shared" si="40"/>
        <v>7.575757575757576E-3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125.33333333333334</v>
      </c>
      <c r="Y356" s="549">
        <f>IFERROR(Y349/H349,"0")+IFERROR(Y350/H350,"0")+IFERROR(Y351/H351,"0")+IFERROR(Y352/H352,"0")+IFERROR(Y353/H353,"0")+IFERROR(Y354/H354,"0")+IFERROR(Y355/H355,"0")</f>
        <v>126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2.72777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1870</v>
      </c>
      <c r="Y357" s="549">
        <f>IFERROR(SUM(Y349:Y355),"0")</f>
        <v>1880</v>
      </c>
      <c r="Z357" s="37"/>
      <c r="AA357" s="550"/>
      <c r="AB357" s="550"/>
      <c r="AC357" s="550"/>
    </row>
    <row r="358" spans="1:68" ht="14.25" hidden="1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1400</v>
      </c>
      <c r="Y359" s="548">
        <f>IFERROR(IF(X359="",0,CEILING((X359/$H359),1)*$H359),"")</f>
        <v>1410</v>
      </c>
      <c r="Z359" s="36">
        <f>IFERROR(IF(Y359=0,"",ROUNDUP(Y359/H359,0)*0.02175),"")</f>
        <v>2.0444999999999998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1443.8666666666666</v>
      </c>
      <c r="BN359" s="64">
        <f>IFERROR(Y359*I359/H359,"0")</f>
        <v>1454.18</v>
      </c>
      <c r="BO359" s="64">
        <f>IFERROR(1/J359*(X359/H359),"0")</f>
        <v>1.9444444444444442</v>
      </c>
      <c r="BP359" s="64">
        <f>IFERROR(1/J359*(Y359/H359),"0")</f>
        <v>1.9583333333333333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7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93.333333333333329</v>
      </c>
      <c r="Y361" s="549">
        <f>IFERROR(Y359/H359,"0")+IFERROR(Y360/H360,"0")</f>
        <v>94</v>
      </c>
      <c r="Z361" s="549">
        <f>IFERROR(IF(Z359="",0,Z359),"0")+IFERROR(IF(Z360="",0,Z360),"0")</f>
        <v>2.0444999999999998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1400</v>
      </c>
      <c r="Y362" s="549">
        <f>IFERROR(SUM(Y359:Y360),"0")</f>
        <v>1410</v>
      </c>
      <c r="Z362" s="37"/>
      <c r="AA362" s="550"/>
      <c r="AB362" s="550"/>
      <c r="AC362" s="550"/>
    </row>
    <row r="363" spans="1:68" ht="14.25" hidden="1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7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hidden="1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hidden="1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hidden="1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hidden="1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hidden="1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6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hidden="1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hidden="1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8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hidden="1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hidden="1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0</v>
      </c>
      <c r="Y387" s="549">
        <f>IFERROR(Y384/H384,"0")+IFERROR(Y385/H385,"0")+IFERROR(Y386/H386,"0")</f>
        <v>0</v>
      </c>
      <c r="Z387" s="549">
        <f>IFERROR(IF(Z384="",0,Z384),"0")+IFERROR(IF(Z385="",0,Z385),"0")+IFERROR(IF(Z386="",0,Z386),"0")</f>
        <v>0</v>
      </c>
      <c r="AA387" s="550"/>
      <c r="AB387" s="550"/>
      <c r="AC387" s="550"/>
    </row>
    <row r="388" spans="1:68" hidden="1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0</v>
      </c>
      <c r="Y388" s="549">
        <f>IFERROR(SUM(Y384:Y386),"0")</f>
        <v>0</v>
      </c>
      <c r="Z388" s="37"/>
      <c r="AA388" s="550"/>
      <c r="AB388" s="550"/>
      <c r="AC388" s="550"/>
    </row>
    <row r="389" spans="1:68" ht="27.75" hidden="1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hidden="1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hidden="1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6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4.1999999999999993</v>
      </c>
      <c r="Y396" s="548">
        <f t="shared" si="41"/>
        <v>4.2</v>
      </c>
      <c r="Z396" s="36">
        <f t="shared" si="46"/>
        <v>1.004E-2</v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4.4599999999999991</v>
      </c>
      <c r="BN396" s="64">
        <f t="shared" si="43"/>
        <v>4.46</v>
      </c>
      <c r="BO396" s="64">
        <f t="shared" si="44"/>
        <v>8.5470085470085461E-3</v>
      </c>
      <c r="BP396" s="64">
        <f t="shared" si="45"/>
        <v>8.5470085470085479E-3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4.1999999999999993</v>
      </c>
      <c r="Y397" s="548">
        <f t="shared" si="41"/>
        <v>4.2</v>
      </c>
      <c r="Z397" s="36">
        <f t="shared" si="46"/>
        <v>1.004E-2</v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4.4599999999999991</v>
      </c>
      <c r="BN397" s="64">
        <f t="shared" si="43"/>
        <v>4.46</v>
      </c>
      <c r="BO397" s="64">
        <f t="shared" si="44"/>
        <v>8.5470085470085461E-3</v>
      </c>
      <c r="BP397" s="64">
        <f t="shared" si="45"/>
        <v>8.5470085470085479E-3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4.1999999999999993</v>
      </c>
      <c r="Y399" s="548">
        <f t="shared" si="41"/>
        <v>4.2</v>
      </c>
      <c r="Z399" s="36">
        <f t="shared" si="46"/>
        <v>1.004E-2</v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4.4599999999999991</v>
      </c>
      <c r="BN399" s="64">
        <f t="shared" si="43"/>
        <v>4.46</v>
      </c>
      <c r="BO399" s="64">
        <f t="shared" si="44"/>
        <v>8.5470085470085461E-3</v>
      </c>
      <c r="BP399" s="64">
        <f t="shared" si="45"/>
        <v>8.5470085470085479E-3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4.1999999999999993</v>
      </c>
      <c r="Y400" s="548">
        <f t="shared" si="41"/>
        <v>4.2</v>
      </c>
      <c r="Z400" s="36">
        <f t="shared" si="46"/>
        <v>1.004E-2</v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4.4599999999999991</v>
      </c>
      <c r="BN400" s="64">
        <f t="shared" si="43"/>
        <v>4.46</v>
      </c>
      <c r="BO400" s="64">
        <f t="shared" si="44"/>
        <v>8.5470085470085461E-3</v>
      </c>
      <c r="BP400" s="64">
        <f t="shared" si="45"/>
        <v>8.5470085470085479E-3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7.9999999999999982</v>
      </c>
      <c r="Y401" s="549">
        <f>IFERROR(Y392/H392,"0")+IFERROR(Y393/H393,"0")+IFERROR(Y394/H394,"0")+IFERROR(Y395/H395,"0")+IFERROR(Y396/H396,"0")+IFERROR(Y397/H397,"0")+IFERROR(Y398/H398,"0")+IFERROR(Y399/H399,"0")+IFERROR(Y400/H400,"0")</f>
        <v>8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4.0160000000000001E-2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16.799999999999997</v>
      </c>
      <c r="Y402" s="549">
        <f>IFERROR(SUM(Y392:Y400),"0")</f>
        <v>16.8</v>
      </c>
      <c r="Z402" s="37"/>
      <c r="AA402" s="550"/>
      <c r="AB402" s="550"/>
      <c r="AC402" s="550"/>
    </row>
    <row r="403" spans="1:68" ht="14.25" hidden="1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hidden="1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hidden="1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hidden="1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hidden="1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hidden="1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2.1</v>
      </c>
      <c r="Y417" s="548">
        <f>IFERROR(IF(X417="",0,CEILING((X417/$H417),1)*$H417),"")</f>
        <v>2.1</v>
      </c>
      <c r="Z417" s="36">
        <f>IFERROR(IF(Y417=0,"",ROUNDUP(Y417/H417,0)*0.00502),"")</f>
        <v>5.0200000000000002E-3</v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2.23</v>
      </c>
      <c r="BN417" s="64">
        <f>IFERROR(Y417*I417/H417,"0")</f>
        <v>2.23</v>
      </c>
      <c r="BO417" s="64">
        <f>IFERROR(1/J417*(X417/H417),"0")</f>
        <v>4.2735042735042739E-3</v>
      </c>
      <c r="BP417" s="64">
        <f>IFERROR(1/J417*(Y417/H417),"0")</f>
        <v>4.2735042735042739E-3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1</v>
      </c>
      <c r="Y418" s="549">
        <f>IFERROR(Y414/H414,"0")+IFERROR(Y415/H415,"0")+IFERROR(Y416/H416,"0")+IFERROR(Y417/H417,"0")</f>
        <v>1</v>
      </c>
      <c r="Z418" s="549">
        <f>IFERROR(IF(Z414="",0,Z414),"0")+IFERROR(IF(Z415="",0,Z415),"0")+IFERROR(IF(Z416="",0,Z416),"0")+IFERROR(IF(Z417="",0,Z417),"0")</f>
        <v>5.0200000000000002E-3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2.1</v>
      </c>
      <c r="Y419" s="549">
        <f>IFERROR(SUM(Y414:Y417),"0")</f>
        <v>2.1</v>
      </c>
      <c r="Z419" s="37"/>
      <c r="AA419" s="550"/>
      <c r="AB419" s="550"/>
      <c r="AC419" s="550"/>
    </row>
    <row r="420" spans="1:68" ht="16.5" hidden="1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hidden="1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5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hidden="1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hidden="1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hidden="1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hidden="1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40</v>
      </c>
      <c r="Y428" s="548">
        <f t="shared" ref="Y428:Y439" si="47">IFERROR(IF(X428="",0,CEILING((X428/$H428),1)*$H428),"")</f>
        <v>42.24</v>
      </c>
      <c r="Z428" s="36">
        <f t="shared" ref="Z428:Z434" si="48">IFERROR(IF(Y428=0,"",ROUNDUP(Y428/H428,0)*0.01196),"")</f>
        <v>9.5680000000000001E-2</v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42.651515151515149</v>
      </c>
      <c r="BN428" s="64">
        <f t="shared" ref="BN428:BN439" si="50">IFERROR(Y428*I428/H428,"0")</f>
        <v>45.04</v>
      </c>
      <c r="BO428" s="64">
        <f t="shared" ref="BO428:BO439" si="51">IFERROR(1/J428*(X428/H428),"0")</f>
        <v>7.2843822843822847E-2</v>
      </c>
      <c r="BP428" s="64">
        <f t="shared" ref="BP428:BP439" si="52">IFERROR(1/J428*(Y428/H428),"0")</f>
        <v>7.6923076923076927E-2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7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15</v>
      </c>
      <c r="Y432" s="548">
        <f t="shared" si="47"/>
        <v>15.84</v>
      </c>
      <c r="Z432" s="36">
        <f t="shared" si="48"/>
        <v>3.5880000000000002E-2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15.994318181818182</v>
      </c>
      <c r="BN432" s="64">
        <f t="shared" si="50"/>
        <v>16.889999999999997</v>
      </c>
      <c r="BO432" s="64">
        <f t="shared" si="51"/>
        <v>2.7316433566433568E-2</v>
      </c>
      <c r="BP432" s="64">
        <f t="shared" si="52"/>
        <v>2.8846153846153848E-2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25</v>
      </c>
      <c r="Y434" s="548">
        <f t="shared" si="47"/>
        <v>26.400000000000002</v>
      </c>
      <c r="Z434" s="36">
        <f t="shared" si="48"/>
        <v>5.9799999999999999E-2</v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26.657196969696969</v>
      </c>
      <c r="BN434" s="64">
        <f t="shared" si="50"/>
        <v>28.15</v>
      </c>
      <c r="BO434" s="64">
        <f t="shared" si="51"/>
        <v>4.5527389277389273E-2</v>
      </c>
      <c r="BP434" s="64">
        <f t="shared" si="52"/>
        <v>4.807692307692308E-2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2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15.15151515151515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16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0.19136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80</v>
      </c>
      <c r="Y441" s="549">
        <f>IFERROR(SUM(Y428:Y439),"0")</f>
        <v>84.48</v>
      </c>
      <c r="Z441" s="37"/>
      <c r="AA441" s="550"/>
      <c r="AB441" s="550"/>
      <c r="AC441" s="550"/>
    </row>
    <row r="442" spans="1:68" ht="14.25" hidden="1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5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145</v>
      </c>
      <c r="Y443" s="548">
        <f>IFERROR(IF(X443="",0,CEILING((X443/$H443),1)*$H443),"")</f>
        <v>147.84</v>
      </c>
      <c r="Z443" s="36">
        <f>IFERROR(IF(Y443=0,"",ROUNDUP(Y443/H443,0)*0.01196),"")</f>
        <v>0.33488000000000001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154.61174242424241</v>
      </c>
      <c r="BN443" s="64">
        <f>IFERROR(Y443*I443/H443,"0")</f>
        <v>157.63999999999999</v>
      </c>
      <c r="BO443" s="64">
        <f>IFERROR(1/J443*(X443/H443),"0")</f>
        <v>0.26405885780885779</v>
      </c>
      <c r="BP443" s="64">
        <f>IFERROR(1/J443*(Y443/H443),"0")</f>
        <v>0.26923076923076927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27.462121212121211</v>
      </c>
      <c r="Y446" s="549">
        <f>IFERROR(Y443/H443,"0")+IFERROR(Y444/H444,"0")+IFERROR(Y445/H445,"0")</f>
        <v>28</v>
      </c>
      <c r="Z446" s="549">
        <f>IFERROR(IF(Z443="",0,Z443),"0")+IFERROR(IF(Z444="",0,Z444),"0")+IFERROR(IF(Z445="",0,Z445),"0")</f>
        <v>0.33488000000000001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145</v>
      </c>
      <c r="Y447" s="549">
        <f>IFERROR(SUM(Y443:Y445),"0")</f>
        <v>147.84</v>
      </c>
      <c r="Z447" s="37"/>
      <c r="AA447" s="550"/>
      <c r="AB447" s="550"/>
      <c r="AC447" s="550"/>
    </row>
    <row r="448" spans="1:68" ht="14.25" hidden="1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5</v>
      </c>
      <c r="Y449" s="548">
        <f t="shared" ref="Y449:Y454" si="53">IFERROR(IF(X449="",0,CEILING((X449/$H449),1)*$H449),"")</f>
        <v>5.28</v>
      </c>
      <c r="Z449" s="36">
        <f>IFERROR(IF(Y449=0,"",ROUNDUP(Y449/H449,0)*0.01196),"")</f>
        <v>1.196E-2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5.3314393939393936</v>
      </c>
      <c r="BN449" s="64">
        <f t="shared" ref="BN449:BN454" si="55">IFERROR(Y449*I449/H449,"0")</f>
        <v>5.63</v>
      </c>
      <c r="BO449" s="64">
        <f t="shared" ref="BO449:BO454" si="56">IFERROR(1/J449*(X449/H449),"0")</f>
        <v>9.1054778554778559E-3</v>
      </c>
      <c r="BP449" s="64">
        <f t="shared" ref="BP449:BP454" si="57">IFERROR(1/J449*(Y449/H449),"0")</f>
        <v>9.6153846153846159E-3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30</v>
      </c>
      <c r="Y450" s="548">
        <f t="shared" si="53"/>
        <v>31.68</v>
      </c>
      <c r="Z450" s="36">
        <f>IFERROR(IF(Y450=0,"",ROUNDUP(Y450/H450,0)*0.01196),"")</f>
        <v>7.1760000000000004E-2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31.988636363636363</v>
      </c>
      <c r="BN450" s="64">
        <f t="shared" si="55"/>
        <v>33.779999999999994</v>
      </c>
      <c r="BO450" s="64">
        <f t="shared" si="56"/>
        <v>5.4632867132867136E-2</v>
      </c>
      <c r="BP450" s="64">
        <f t="shared" si="57"/>
        <v>5.7692307692307696E-2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40</v>
      </c>
      <c r="Y451" s="548">
        <f t="shared" si="53"/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42.651515151515149</v>
      </c>
      <c r="BN451" s="64">
        <f t="shared" si="55"/>
        <v>45.04</v>
      </c>
      <c r="BO451" s="64">
        <f t="shared" si="56"/>
        <v>7.2843822843822847E-2</v>
      </c>
      <c r="BP451" s="64">
        <f t="shared" si="57"/>
        <v>7.6923076923076927E-2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14.204545454545453</v>
      </c>
      <c r="Y455" s="549">
        <f>IFERROR(Y449/H449,"0")+IFERROR(Y450/H450,"0")+IFERROR(Y451/H451,"0")+IFERROR(Y452/H452,"0")+IFERROR(Y453/H453,"0")+IFERROR(Y454/H454,"0")</f>
        <v>15</v>
      </c>
      <c r="Z455" s="549">
        <f>IFERROR(IF(Z449="",0,Z449),"0")+IFERROR(IF(Z450="",0,Z450),"0")+IFERROR(IF(Z451="",0,Z451),"0")+IFERROR(IF(Z452="",0,Z452),"0")+IFERROR(IF(Z453="",0,Z453),"0")+IFERROR(IF(Z454="",0,Z454),"0")</f>
        <v>0.1794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75</v>
      </c>
      <c r="Y456" s="549">
        <f>IFERROR(SUM(Y449:Y454),"0")</f>
        <v>79.2</v>
      </c>
      <c r="Z456" s="37"/>
      <c r="AA456" s="550"/>
      <c r="AB456" s="550"/>
      <c r="AC456" s="550"/>
    </row>
    <row r="457" spans="1:68" ht="27.75" hidden="1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hidden="1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hidden="1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hidden="1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50</v>
      </c>
      <c r="Y462" s="548">
        <f>IFERROR(IF(X462="",0,CEILING((X462/$H462),1)*$H462),"")</f>
        <v>60</v>
      </c>
      <c r="Z462" s="36">
        <f>IFERROR(IF(Y462=0,"",ROUNDUP(Y462/H462,0)*0.01898),"")</f>
        <v>9.4899999999999998E-2</v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51.708333333333336</v>
      </c>
      <c r="BN462" s="64">
        <f>IFERROR(Y462*I462/H462,"0")</f>
        <v>62.050000000000004</v>
      </c>
      <c r="BO462" s="64">
        <f>IFERROR(1/J462*(X462/H462),"0")</f>
        <v>6.5104166666666671E-2</v>
      </c>
      <c r="BP462" s="64">
        <f>IFERROR(1/J462*(Y462/H462),"0")</f>
        <v>7.8125E-2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1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4.166666666666667</v>
      </c>
      <c r="Y464" s="549">
        <f>IFERROR(Y460/H460,"0")+IFERROR(Y461/H461,"0")+IFERROR(Y462/H462,"0")+IFERROR(Y463/H463,"0")</f>
        <v>5</v>
      </c>
      <c r="Z464" s="549">
        <f>IFERROR(IF(Z460="",0,Z460),"0")+IFERROR(IF(Z461="",0,Z461),"0")+IFERROR(IF(Z462="",0,Z462),"0")+IFERROR(IF(Z463="",0,Z463),"0")</f>
        <v>9.4899999999999998E-2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50</v>
      </c>
      <c r="Y465" s="549">
        <f>IFERROR(SUM(Y460:Y463),"0")</f>
        <v>60</v>
      </c>
      <c r="Z465" s="37"/>
      <c r="AA465" s="550"/>
      <c r="AB465" s="550"/>
      <c r="AC465" s="550"/>
    </row>
    <row r="466" spans="1:68" ht="14.25" hidden="1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hidden="1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5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hidden="1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hidden="1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100</v>
      </c>
      <c r="Y472" s="548">
        <f>IFERROR(IF(X472="",0,CEILING((X472/$H472),1)*$H472),"")</f>
        <v>100.8</v>
      </c>
      <c r="Z472" s="36">
        <f>IFERROR(IF(Y472=0,"",ROUNDUP(Y472/H472,0)*0.00902),"")</f>
        <v>0.18942000000000001</v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105.20833333333334</v>
      </c>
      <c r="BN472" s="64">
        <f>IFERROR(Y472*I472/H472,"0")</f>
        <v>106.05</v>
      </c>
      <c r="BO472" s="64">
        <f>IFERROR(1/J472*(X472/H472),"0")</f>
        <v>0.15782828282828285</v>
      </c>
      <c r="BP472" s="64">
        <f>IFERROR(1/J472*(Y472/H472),"0")</f>
        <v>0.15909090909090909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20.833333333333336</v>
      </c>
      <c r="Y473" s="549">
        <f>IFERROR(Y472/H472,"0")</f>
        <v>21</v>
      </c>
      <c r="Z473" s="549">
        <f>IFERROR(IF(Z472="",0,Z472),"0")</f>
        <v>0.18942000000000001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100</v>
      </c>
      <c r="Y474" s="549">
        <f>IFERROR(SUM(Y472:Y472),"0")</f>
        <v>100.8</v>
      </c>
      <c r="Z474" s="37"/>
      <c r="AA474" s="550"/>
      <c r="AB474" s="550"/>
      <c r="AC474" s="550"/>
    </row>
    <row r="475" spans="1:68" ht="14.25" hidden="1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30</v>
      </c>
      <c r="Y476" s="548">
        <f>IFERROR(IF(X476="",0,CEILING((X476/$H476),1)*$H476),"")</f>
        <v>36</v>
      </c>
      <c r="Z476" s="36">
        <f>IFERROR(IF(Y476=0,"",ROUNDUP(Y476/H476,0)*0.01898),"")</f>
        <v>7.5920000000000001E-2</v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31.646666666666665</v>
      </c>
      <c r="BN476" s="64">
        <f>IFERROR(Y476*I476/H476,"0")</f>
        <v>37.975999999999999</v>
      </c>
      <c r="BO476" s="64">
        <f>IFERROR(1/J476*(X476/H476),"0")</f>
        <v>5.2083333333333336E-2</v>
      </c>
      <c r="BP476" s="64">
        <f>IFERROR(1/J476*(Y476/H476),"0")</f>
        <v>6.25E-2</v>
      </c>
    </row>
    <row r="477" spans="1:68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3.3333333333333335</v>
      </c>
      <c r="Y477" s="549">
        <f>IFERROR(Y476/H476,"0")</f>
        <v>4</v>
      </c>
      <c r="Z477" s="549">
        <f>IFERROR(IF(Z476="",0,Z476),"0")</f>
        <v>7.5920000000000001E-2</v>
      </c>
      <c r="AA477" s="550"/>
      <c r="AB477" s="550"/>
      <c r="AC477" s="550"/>
    </row>
    <row r="478" spans="1:68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30</v>
      </c>
      <c r="Y478" s="549">
        <f>IFERROR(SUM(Y476:Y476),"0")</f>
        <v>36</v>
      </c>
      <c r="Z478" s="37"/>
      <c r="AA478" s="550"/>
      <c r="AB478" s="550"/>
      <c r="AC478" s="550"/>
    </row>
    <row r="479" spans="1:68" ht="14.25" hidden="1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hidden="1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8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hidden="1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hidden="1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hidden="1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hidden="1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hidden="1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62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20"/>
      <c r="P489" s="654" t="s">
        <v>744</v>
      </c>
      <c r="Q489" s="655"/>
      <c r="R489" s="655"/>
      <c r="S489" s="655"/>
      <c r="T489" s="655"/>
      <c r="U489" s="655"/>
      <c r="V489" s="656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12604.649999999998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12754.819999999998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20"/>
      <c r="P490" s="654" t="s">
        <v>745</v>
      </c>
      <c r="Q490" s="655"/>
      <c r="R490" s="655"/>
      <c r="S490" s="655"/>
      <c r="T490" s="655"/>
      <c r="U490" s="655"/>
      <c r="V490" s="656"/>
      <c r="W490" s="37" t="s">
        <v>69</v>
      </c>
      <c r="X490" s="549">
        <f>IFERROR(SUM(BM22:BM486),"0")</f>
        <v>13224.060559512091</v>
      </c>
      <c r="Y490" s="549">
        <f>IFERROR(SUM(BN22:BN486),"0")</f>
        <v>13381.267999999993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20"/>
      <c r="P491" s="654" t="s">
        <v>746</v>
      </c>
      <c r="Q491" s="655"/>
      <c r="R491" s="655"/>
      <c r="S491" s="655"/>
      <c r="T491" s="655"/>
      <c r="U491" s="655"/>
      <c r="V491" s="656"/>
      <c r="W491" s="37" t="s">
        <v>747</v>
      </c>
      <c r="X491" s="38">
        <f>ROUNDUP(SUM(BO22:BO486),0)</f>
        <v>22</v>
      </c>
      <c r="Y491" s="38">
        <f>ROUNDUP(SUM(BP22:BP486),0)</f>
        <v>22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20"/>
      <c r="P492" s="654" t="s">
        <v>748</v>
      </c>
      <c r="Q492" s="655"/>
      <c r="R492" s="655"/>
      <c r="S492" s="655"/>
      <c r="T492" s="655"/>
      <c r="U492" s="655"/>
      <c r="V492" s="656"/>
      <c r="W492" s="37" t="s">
        <v>69</v>
      </c>
      <c r="X492" s="549">
        <f>GrossWeightTotal+PalletQtyTotal*25</f>
        <v>13774.060559512091</v>
      </c>
      <c r="Y492" s="549">
        <f>GrossWeightTotalR+PalletQtyTotalR*25</f>
        <v>13931.267999999993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20"/>
      <c r="P493" s="654" t="s">
        <v>749</v>
      </c>
      <c r="Q493" s="655"/>
      <c r="R493" s="655"/>
      <c r="S493" s="655"/>
      <c r="T493" s="655"/>
      <c r="U493" s="655"/>
      <c r="V493" s="656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1573.625745242412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1594</v>
      </c>
      <c r="Z493" s="37"/>
      <c r="AA493" s="550"/>
      <c r="AB493" s="550"/>
      <c r="AC493" s="550"/>
    </row>
    <row r="494" spans="1:68" ht="14.25" hidden="1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20"/>
      <c r="P494" s="654" t="s">
        <v>750</v>
      </c>
      <c r="Q494" s="655"/>
      <c r="R494" s="655"/>
      <c r="S494" s="655"/>
      <c r="T494" s="655"/>
      <c r="U494" s="655"/>
      <c r="V494" s="656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25.547129999999996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599" t="s">
        <v>99</v>
      </c>
      <c r="D496" s="677"/>
      <c r="E496" s="677"/>
      <c r="F496" s="677"/>
      <c r="G496" s="677"/>
      <c r="H496" s="606"/>
      <c r="I496" s="599" t="s">
        <v>263</v>
      </c>
      <c r="J496" s="677"/>
      <c r="K496" s="677"/>
      <c r="L496" s="677"/>
      <c r="M496" s="677"/>
      <c r="N496" s="677"/>
      <c r="O496" s="677"/>
      <c r="P496" s="677"/>
      <c r="Q496" s="677"/>
      <c r="R496" s="606"/>
      <c r="S496" s="599" t="s">
        <v>553</v>
      </c>
      <c r="T496" s="606"/>
      <c r="U496" s="599" t="s">
        <v>607</v>
      </c>
      <c r="V496" s="677"/>
      <c r="W496" s="606"/>
      <c r="X496" s="544" t="s">
        <v>658</v>
      </c>
      <c r="Y496" s="599" t="s">
        <v>710</v>
      </c>
      <c r="Z496" s="606"/>
      <c r="AB496" s="52"/>
      <c r="AC496" s="52"/>
      <c r="AF496" s="545"/>
    </row>
    <row r="497" spans="1:32" ht="14.25" customHeight="1" thickTop="1" x14ac:dyDescent="0.2">
      <c r="A497" s="851" t="s">
        <v>753</v>
      </c>
      <c r="B497" s="599" t="s">
        <v>63</v>
      </c>
      <c r="C497" s="599" t="s">
        <v>100</v>
      </c>
      <c r="D497" s="599" t="s">
        <v>117</v>
      </c>
      <c r="E497" s="599" t="s">
        <v>168</v>
      </c>
      <c r="F497" s="599" t="s">
        <v>190</v>
      </c>
      <c r="G497" s="599" t="s">
        <v>227</v>
      </c>
      <c r="H497" s="599" t="s">
        <v>99</v>
      </c>
      <c r="I497" s="599" t="s">
        <v>264</v>
      </c>
      <c r="J497" s="599" t="s">
        <v>319</v>
      </c>
      <c r="K497" s="599" t="s">
        <v>379</v>
      </c>
      <c r="L497" s="599" t="s">
        <v>420</v>
      </c>
      <c r="M497" s="599" t="s">
        <v>436</v>
      </c>
      <c r="N497" s="545"/>
      <c r="O497" s="599" t="s">
        <v>447</v>
      </c>
      <c r="P497" s="599" t="s">
        <v>456</v>
      </c>
      <c r="Q497" s="599" t="s">
        <v>469</v>
      </c>
      <c r="R497" s="599" t="s">
        <v>543</v>
      </c>
      <c r="S497" s="599" t="s">
        <v>554</v>
      </c>
      <c r="T497" s="599" t="s">
        <v>589</v>
      </c>
      <c r="U497" s="599" t="s">
        <v>608</v>
      </c>
      <c r="V497" s="599" t="s">
        <v>639</v>
      </c>
      <c r="W497" s="599" t="s">
        <v>654</v>
      </c>
      <c r="X497" s="599" t="s">
        <v>658</v>
      </c>
      <c r="Y497" s="599" t="s">
        <v>710</v>
      </c>
      <c r="Z497" s="599" t="s">
        <v>740</v>
      </c>
      <c r="AB497" s="52"/>
      <c r="AC497" s="52"/>
      <c r="AF497" s="545"/>
    </row>
    <row r="498" spans="1:32" ht="13.5" customHeight="1" thickBot="1" x14ac:dyDescent="0.25">
      <c r="A498" s="852"/>
      <c r="B498" s="60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545"/>
      <c r="O498" s="600"/>
      <c r="P498" s="600"/>
      <c r="Q498" s="600"/>
      <c r="R498" s="600"/>
      <c r="S498" s="600"/>
      <c r="T498" s="600"/>
      <c r="U498" s="600"/>
      <c r="V498" s="600"/>
      <c r="W498" s="600"/>
      <c r="X498" s="600"/>
      <c r="Y498" s="600"/>
      <c r="Z498" s="600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82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1118.6000000000001</v>
      </c>
      <c r="E499" s="46">
        <f>IFERROR(Y84*1,"0")+IFERROR(Y85*1,"0")+IFERROR(Y86*1,"0")+IFERROR(Y87*1,"0")+IFERROR(Y91*1,"0")+IFERROR(Y92*1,"0")+IFERROR(Y93*1,"0")+IFERROR(Y94*1,"0")</f>
        <v>423.9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73.95</v>
      </c>
      <c r="G499" s="46">
        <f>IFERROR(Y126*1,"0")+IFERROR(Y127*1,"0")+IFERROR(Y131*1,"0")+IFERROR(Y132*1,"0")+IFERROR(Y136*1,"0")+IFERROR(Y137*1,"0")</f>
        <v>30.400000000000002</v>
      </c>
      <c r="H499" s="46">
        <f>IFERROR(Y142*1,"0")+IFERROR(Y143*1,"0")+IFERROR(Y147*1,"0")+IFERROR(Y148*1,"0")+IFERROR(Y149*1,"0")+IFERROR(Y150*1,"0")+IFERROR(Y151*1,"0")+IFERROR(Y155*1,"0")</f>
        <v>102.60000000000001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29.4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247.20000000000005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162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6507.6500000000005</v>
      </c>
      <c r="R499" s="46">
        <f>IFERROR(Y341*1,"0")+IFERROR(Y342*1,"0")+IFERROR(Y343*1,"0")</f>
        <v>159.9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3290</v>
      </c>
      <c r="T499" s="46">
        <f>IFERROR(Y374*1,"0")+IFERROR(Y375*1,"0")+IFERROR(Y379*1,"0")+IFERROR(Y380*1,"0")+IFERROR(Y384*1,"0")+IFERROR(Y385*1,"0")+IFERROR(Y386*1,"0")</f>
        <v>0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16.8</v>
      </c>
      <c r="V499" s="46">
        <f>IFERROR(Y410*1,"0")+IFERROR(Y414*1,"0")+IFERROR(Y415*1,"0")+IFERROR(Y416*1,"0")+IFERROR(Y417*1,"0")</f>
        <v>2.1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311.52</v>
      </c>
      <c r="Y499" s="46">
        <f>IFERROR(Y460*1,"0")+IFERROR(Y461*1,"0")+IFERROR(Y462*1,"0")+IFERROR(Y463*1,"0")+IFERROR(Y467*1,"0")+IFERROR(Y468*1,"0")+IFERROR(Y472*1,"0")+IFERROR(Y476*1,"0")+IFERROR(Y480*1,"0")+IFERROR(Y481*1,"0")</f>
        <v>196.8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33,00"/>
        <filter val="1 270,00"/>
        <filter val="1 400,00"/>
        <filter val="1 573,63"/>
        <filter val="1 870,00"/>
        <filter val="1,00"/>
        <filter val="1,93"/>
        <filter val="10,00"/>
        <filter val="10,50"/>
        <filter val="100,00"/>
        <filter val="108,75"/>
        <filter val="11,36"/>
        <filter val="11,63"/>
        <filter val="11,90"/>
        <filter val="12 604,65"/>
        <filter val="12,00"/>
        <filter val="124,87"/>
        <filter val="125,33"/>
        <filter val="128,81"/>
        <filter val="13 224,06"/>
        <filter val="13 774,06"/>
        <filter val="13,50"/>
        <filter val="13,75"/>
        <filter val="13,89"/>
        <filter val="135,00"/>
        <filter val="14,20"/>
        <filter val="14,40"/>
        <filter val="145,00"/>
        <filter val="15,00"/>
        <filter val="15,15"/>
        <filter val="15,75"/>
        <filter val="150,00"/>
        <filter val="154,60"/>
        <filter val="155,00"/>
        <filter val="16,80"/>
        <filter val="160,00"/>
        <filter val="17,31"/>
        <filter val="18,00"/>
        <filter val="18,40"/>
        <filter val="180,00"/>
        <filter val="2,10"/>
        <filter val="2,55"/>
        <filter val="20,00"/>
        <filter val="20,08"/>
        <filter val="20,83"/>
        <filter val="205,00"/>
        <filter val="21,25"/>
        <filter val="210,00"/>
        <filter val="22"/>
        <filter val="243,00"/>
        <filter val="245,00"/>
        <filter val="25,00"/>
        <filter val="260,00"/>
        <filter val="27,00"/>
        <filter val="27,46"/>
        <filter val="28,00"/>
        <filter val="3,33"/>
        <filter val="3,75"/>
        <filter val="30,00"/>
        <filter val="304,50"/>
        <filter val="325,00"/>
        <filter val="33,33"/>
        <filter val="38,00"/>
        <filter val="380,00"/>
        <filter val="4 430,00"/>
        <filter val="4 444,40"/>
        <filter val="4,17"/>
        <filter val="4,20"/>
        <filter val="40,00"/>
        <filter val="40,44"/>
        <filter val="40,93"/>
        <filter val="42,30"/>
        <filter val="420,00"/>
        <filter val="422,30"/>
        <filter val="44,00"/>
        <filter val="460,00"/>
        <filter val="478,00"/>
        <filter val="5,00"/>
        <filter val="5,75"/>
        <filter val="50,00"/>
        <filter val="50,85"/>
        <filter val="51,00"/>
        <filter val="51,10"/>
        <filter val="51,80"/>
        <filter val="56,00"/>
        <filter val="572,75"/>
        <filter val="58,10"/>
        <filter val="58,80"/>
        <filter val="60,00"/>
        <filter val="683,00"/>
        <filter val="7,00"/>
        <filter val="75,00"/>
        <filter val="78,00"/>
        <filter val="8,00"/>
        <filter val="8,10"/>
        <filter val="80,00"/>
        <filter val="800,00"/>
        <filter val="93,00"/>
        <filter val="93,33"/>
        <filter val="94,50"/>
        <filter val="94,67"/>
        <filter val="95,00"/>
      </filters>
    </filterColumn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A10:C10"/>
    <mergeCell ref="P126:T126"/>
    <mergeCell ref="P361:V361"/>
    <mergeCell ref="A413:Z413"/>
    <mergeCell ref="D17:E18"/>
    <mergeCell ref="X17:X18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P138:V138"/>
    <mergeCell ref="P151:T151"/>
    <mergeCell ref="P76:V76"/>
    <mergeCell ref="D395:E395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D78:E78"/>
    <mergeCell ref="P172:T172"/>
    <mergeCell ref="P432:T432"/>
    <mergeCell ref="A124:Z124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D87:E87"/>
    <mergeCell ref="D351:E351"/>
    <mergeCell ref="A287:O288"/>
    <mergeCell ref="P328:T328"/>
    <mergeCell ref="P384:T384"/>
    <mergeCell ref="A281:O282"/>
    <mergeCell ref="A378:Z378"/>
    <mergeCell ref="D205:E205"/>
    <mergeCell ref="A344:O345"/>
    <mergeCell ref="D310:E310"/>
    <mergeCell ref="P364:T364"/>
    <mergeCell ref="A245:O246"/>
    <mergeCell ref="A294:Z294"/>
    <mergeCell ref="D221:E221"/>
    <mergeCell ref="A370:O371"/>
    <mergeCell ref="A426:Z426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D53:E53"/>
    <mergeCell ref="P241:V241"/>
    <mergeCell ref="P62:T62"/>
    <mergeCell ref="D203:E203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D486:E486"/>
    <mergeCell ref="P86:T86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D431:E431"/>
    <mergeCell ref="D445:E445"/>
    <mergeCell ref="D301:E301"/>
    <mergeCell ref="A423:O424"/>
    <mergeCell ref="P232:T232"/>
    <mergeCell ref="P469:V469"/>
    <mergeCell ref="P449:T449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2026-01-26T10:59:56Z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