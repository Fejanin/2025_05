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2E3B6A-640C-47CE-BD68-15126C547B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3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75" i="1" l="1"/>
  <c r="BN175" i="1"/>
  <c r="Z175" i="1"/>
  <c r="BP217" i="1"/>
  <c r="BN217" i="1"/>
  <c r="Z217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Y43" i="1"/>
  <c r="Z55" i="1"/>
  <c r="BN55" i="1"/>
  <c r="Z79" i="1"/>
  <c r="BN79" i="1"/>
  <c r="Z84" i="1"/>
  <c r="BN84" i="1"/>
  <c r="Y89" i="1"/>
  <c r="Z99" i="1"/>
  <c r="BN99" i="1"/>
  <c r="Z109" i="1"/>
  <c r="BN109" i="1"/>
  <c r="Z132" i="1"/>
  <c r="BN132" i="1"/>
  <c r="BP147" i="1"/>
  <c r="BN147" i="1"/>
  <c r="BP167" i="1"/>
  <c r="BN167" i="1"/>
  <c r="Z167" i="1"/>
  <c r="BP205" i="1"/>
  <c r="BN205" i="1"/>
  <c r="Z205" i="1"/>
  <c r="BP234" i="1"/>
  <c r="BN234" i="1"/>
  <c r="Z234" i="1"/>
  <c r="BP263" i="1"/>
  <c r="BN263" i="1"/>
  <c r="Z263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115" i="1"/>
  <c r="BN115" i="1"/>
  <c r="Z115" i="1"/>
  <c r="Y138" i="1"/>
  <c r="BP136" i="1"/>
  <c r="BN136" i="1"/>
  <c r="Z136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5" i="1"/>
  <c r="BN165" i="1"/>
  <c r="Z165" i="1"/>
  <c r="BP173" i="1"/>
  <c r="BN173" i="1"/>
  <c r="Z173" i="1"/>
  <c r="BP194" i="1"/>
  <c r="BN194" i="1"/>
  <c r="Z194" i="1"/>
  <c r="BP199" i="1"/>
  <c r="BN199" i="1"/>
  <c r="Z199" i="1"/>
  <c r="BP203" i="1"/>
  <c r="BN203" i="1"/>
  <c r="Z203" i="1"/>
  <c r="BP215" i="1"/>
  <c r="BN215" i="1"/>
  <c r="Z215" i="1"/>
  <c r="BP227" i="1"/>
  <c r="BN227" i="1"/>
  <c r="Z227" i="1"/>
  <c r="BP232" i="1"/>
  <c r="BN232" i="1"/>
  <c r="Z232" i="1"/>
  <c r="BP240" i="1"/>
  <c r="BN240" i="1"/>
  <c r="Z240" i="1"/>
  <c r="BP261" i="1"/>
  <c r="BN261" i="1"/>
  <c r="Z261" i="1"/>
  <c r="BP272" i="1"/>
  <c r="BN272" i="1"/>
  <c r="Z272" i="1"/>
  <c r="Z22" i="1"/>
  <c r="BN22" i="1"/>
  <c r="Y25" i="1"/>
  <c r="Y31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Z101" i="1"/>
  <c r="BN101" i="1"/>
  <c r="Z107" i="1"/>
  <c r="BN107" i="1"/>
  <c r="BP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69" i="1"/>
  <c r="BN169" i="1"/>
  <c r="Z169" i="1"/>
  <c r="BP177" i="1"/>
  <c r="BN177" i="1"/>
  <c r="Z177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5" i="1"/>
  <c r="BN265" i="1"/>
  <c r="Z265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186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Y331" i="1"/>
  <c r="Y388" i="1"/>
  <c r="Y387" i="1"/>
  <c r="Y482" i="1"/>
  <c r="H9" i="1"/>
  <c r="A10" i="1"/>
  <c r="B499" i="1"/>
  <c r="X490" i="1"/>
  <c r="X491" i="1"/>
  <c r="Z23" i="1"/>
  <c r="BN23" i="1"/>
  <c r="BP23" i="1"/>
  <c r="Y24" i="1"/>
  <c r="X489" i="1"/>
  <c r="Z27" i="1"/>
  <c r="BN27" i="1"/>
  <c r="BP27" i="1"/>
  <c r="Z29" i="1"/>
  <c r="BN29" i="1"/>
  <c r="Y32" i="1"/>
  <c r="C499" i="1"/>
  <c r="Z41" i="1"/>
  <c r="BN41" i="1"/>
  <c r="BP41" i="1"/>
  <c r="Y44" i="1"/>
  <c r="D499" i="1"/>
  <c r="Y57" i="1"/>
  <c r="Z52" i="1"/>
  <c r="BN52" i="1"/>
  <c r="BP52" i="1"/>
  <c r="BP62" i="1"/>
  <c r="BN62" i="1"/>
  <c r="Z62" i="1"/>
  <c r="Y69" i="1"/>
  <c r="BP66" i="1"/>
  <c r="BN66" i="1"/>
  <c r="Z66" i="1"/>
  <c r="Z68" i="1" s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499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Z152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440" i="1" l="1"/>
  <c r="Z266" i="1"/>
  <c r="Y490" i="1"/>
  <c r="Y491" i="1"/>
  <c r="Z401" i="1"/>
  <c r="Z292" i="1"/>
  <c r="Z274" i="1"/>
  <c r="Z241" i="1"/>
  <c r="Z356" i="1"/>
  <c r="Z179" i="1"/>
  <c r="Z75" i="1"/>
  <c r="Z311" i="1"/>
  <c r="Z57" i="1"/>
  <c r="Z43" i="1"/>
  <c r="Y489" i="1"/>
  <c r="Z24" i="1"/>
  <c r="Z223" i="1"/>
  <c r="Z337" i="1"/>
  <c r="Z318" i="1"/>
  <c r="Z111" i="1"/>
  <c r="Z31" i="1"/>
  <c r="Y493" i="1"/>
  <c r="Z455" i="1"/>
  <c r="Z418" i="1"/>
  <c r="Z95" i="1"/>
  <c r="X492" i="1"/>
  <c r="Y492" i="1" l="1"/>
  <c r="Z494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<sst xmlns="http://schemas.openxmlformats.org/spreadsheetml/2006/main" count="2343" uniqueCount="771">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</sst>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46050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Среда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0.5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</v>
      </c>
      <c r="Y40" s="548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12</v>
      </c>
      <c r="Y42" s="548">
        <f>IFERROR(IF(X42="",0,CEILING((X42/$H42),1)*$H42),"")</f>
        <v>12</v>
      </c>
      <c r="Z42" s="36">
        <f>IFERROR(IF(Y42=0,"",ROUNDUP(Y42/H42,0)*0.00902),"")</f>
        <v>2.7060000000000001E-2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12.57</v>
      </c>
      <c r="BN42" s="64">
        <f>IFERROR(Y42*I42/H42,"0")</f>
        <v>12.57</v>
      </c>
      <c r="BO42" s="64">
        <f>IFERROR(1/J42*(X42/H42),"0")</f>
        <v>2.2727272727272728E-2</v>
      </c>
      <c r="BP42" s="64">
        <f>IFERROR(1/J42*(Y42/H42),"0")</f>
        <v>2.2727272727272728E-2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5.7777777777777777</v>
      </c>
      <c r="Y43" s="549">
        <f>IFERROR(Y40/H40,"0")+IFERROR(Y41/H41,"0")+IFERROR(Y42/H42,"0")</f>
        <v>6</v>
      </c>
      <c r="Z43" s="549">
        <f>IFERROR(IF(Z40="",0,Z40),"0")+IFERROR(IF(Z41="",0,Z41),"0")+IFERROR(IF(Z42="",0,Z42),"0")</f>
        <v>8.4000000000000005E-2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42</v>
      </c>
      <c r="Y44" s="549">
        <f>IFERROR(SUM(Y40:Y42),"0")</f>
        <v>44.400000000000006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100</v>
      </c>
      <c r="Y52" s="548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58.5</v>
      </c>
      <c r="Y56" s="548">
        <f t="shared" si="0"/>
        <v>58.5</v>
      </c>
      <c r="Z56" s="36">
        <f>IFERROR(IF(Y56=0,"",ROUNDUP(Y56/H56,0)*0.00902),"")</f>
        <v>0.11726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60.97</v>
      </c>
      <c r="BN56" s="64">
        <f t="shared" si="2"/>
        <v>60.97</v>
      </c>
      <c r="BO56" s="64">
        <f t="shared" si="3"/>
        <v>9.8484848484848481E-2</v>
      </c>
      <c r="BP56" s="64">
        <f t="shared" si="4"/>
        <v>9.8484848484848481E-2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22.25925925925926</v>
      </c>
      <c r="Y57" s="549">
        <f>IFERROR(Y51/H51,"0")+IFERROR(Y52/H52,"0")+IFERROR(Y53/H53,"0")+IFERROR(Y54/H54,"0")+IFERROR(Y55/H55,"0")+IFERROR(Y56/H56,"0")</f>
        <v>23</v>
      </c>
      <c r="Z57" s="549">
        <f>IFERROR(IF(Z51="",0,Z51),"0")+IFERROR(IF(Z52="",0,Z52),"0")+IFERROR(IF(Z53="",0,Z53),"0")+IFERROR(IF(Z54="",0,Z54),"0")+IFERROR(IF(Z55="",0,Z55),"0")+IFERROR(IF(Z56="",0,Z56),"0")</f>
        <v>0.30706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158.5</v>
      </c>
      <c r="Y58" s="549">
        <f>IFERROR(SUM(Y51:Y56),"0")</f>
        <v>166.5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120</v>
      </c>
      <c r="Y60" s="548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27</v>
      </c>
      <c r="Y62" s="548">
        <f>IFERROR(IF(X62="",0,CEILING((X62/$H62),1)*$H62),"")</f>
        <v>27</v>
      </c>
      <c r="Z62" s="36">
        <f>IFERROR(IF(Y62=0,"",ROUNDUP(Y62/H62,0)*0.00651),"")</f>
        <v>6.5100000000000005E-2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28.799999999999994</v>
      </c>
      <c r="BN62" s="64">
        <f>IFERROR(Y62*I62/H62,"0")</f>
        <v>28.799999999999994</v>
      </c>
      <c r="BO62" s="64">
        <f>IFERROR(1/J62*(X62/H62),"0")</f>
        <v>5.4945054945054951E-2</v>
      </c>
      <c r="BP62" s="64">
        <f>IFERROR(1/J62*(Y62/H62),"0")</f>
        <v>5.4945054945054951E-2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21.111111111111111</v>
      </c>
      <c r="Y63" s="549">
        <f>IFERROR(Y60/H60,"0")+IFERROR(Y61/H61,"0")+IFERROR(Y62/H62,"0")</f>
        <v>22</v>
      </c>
      <c r="Z63" s="549">
        <f>IFERROR(IF(Z60="",0,Z60),"0")+IFERROR(IF(Z61="",0,Z61),"0")+IFERROR(IF(Z62="",0,Z62),"0")</f>
        <v>0.29286000000000001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147</v>
      </c>
      <c r="Y64" s="549">
        <f>IFERROR(SUM(Y60:Y62),"0")</f>
        <v>156.60000000000002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13.5</v>
      </c>
      <c r="Y87" s="548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14.07</v>
      </c>
      <c r="BN87" s="64">
        <f>IFERROR(Y87*I87/H87,"0")</f>
        <v>14.07</v>
      </c>
      <c r="BO87" s="64">
        <f>IFERROR(1/J87*(X87/H87),"0")</f>
        <v>2.2727272727272728E-2</v>
      </c>
      <c r="BP87" s="64">
        <f>IFERROR(1/J87*(Y87/H87),"0")</f>
        <v>2.2727272727272728E-2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3</v>
      </c>
      <c r="Y88" s="549">
        <f>IFERROR(Y84/H84,"0")+IFERROR(Y85/H85,"0")+IFERROR(Y86/H86,"0")+IFERROR(Y87/H87,"0")</f>
        <v>3</v>
      </c>
      <c r="Z88" s="549">
        <f>IFERROR(IF(Z84="",0,Z84),"0")+IFERROR(IF(Z85="",0,Z85),"0")+IFERROR(IF(Z86="",0,Z86),"0")+IFERROR(IF(Z87="",0,Z87),"0")</f>
        <v>2.7060000000000001E-2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13.5</v>
      </c>
      <c r="Y89" s="549">
        <f>IFERROR(SUM(Y84:Y87),"0")</f>
        <v>13.5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15</v>
      </c>
      <c r="Y91" s="548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1.8518518518518519</v>
      </c>
      <c r="Y95" s="549">
        <f>IFERROR(Y91/H91,"0")+IFERROR(Y92/H92,"0")+IFERROR(Y93/H93,"0")+IFERROR(Y94/H94,"0")</f>
        <v>2</v>
      </c>
      <c r="Z95" s="549">
        <f>IFERROR(IF(Z91="",0,Z91),"0")+IFERROR(IF(Z92="",0,Z92),"0")+IFERROR(IF(Z93="",0,Z93),"0")+IFERROR(IF(Z94="",0,Z94),"0")</f>
        <v>3.7960000000000001E-2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15</v>
      </c>
      <c r="Y96" s="549">
        <f>IFERROR(SUM(Y91:Y94),"0")</f>
        <v>16.2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7.5</v>
      </c>
      <c r="Y101" s="548">
        <f>IFERROR(IF(X101="",0,CEILING((X101/$H101),1)*$H101),"")</f>
        <v>7.5</v>
      </c>
      <c r="Z101" s="36">
        <f>IFERROR(IF(Y101=0,"",ROUNDUP(Y101/H101,0)*0.00902),"")</f>
        <v>1.804E-2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7.88</v>
      </c>
      <c r="BN101" s="64">
        <f>IFERROR(Y101*I101/H101,"0")</f>
        <v>7.88</v>
      </c>
      <c r="BO101" s="64">
        <f>IFERROR(1/J101*(X101/H101),"0")</f>
        <v>1.5151515151515152E-2</v>
      </c>
      <c r="BP101" s="64">
        <f>IFERROR(1/J101*(Y101/H101),"0")</f>
        <v>1.5151515151515152E-2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2</v>
      </c>
      <c r="Y104" s="549">
        <f>IFERROR(Y99/H99,"0")+IFERROR(Y100/H100,"0")+IFERROR(Y101/H101,"0")+IFERROR(Y102/H102,"0")+IFERROR(Y103/H103,"0")</f>
        <v>2</v>
      </c>
      <c r="Z104" s="549">
        <f>IFERROR(IF(Z99="",0,Z99),"0")+IFERROR(IF(Z100="",0,Z100),"0")+IFERROR(IF(Z101="",0,Z101),"0")+IFERROR(IF(Z102="",0,Z102),"0")+IFERROR(IF(Z103="",0,Z103),"0")</f>
        <v>1.804E-2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7.5</v>
      </c>
      <c r="Y105" s="549">
        <f>IFERROR(SUM(Y99:Y103),"0")</f>
        <v>7.5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15</v>
      </c>
      <c r="Y114" s="548">
        <f>IFERROR(IF(X114="",0,CEILING((X114/$H114),1)*$H114),"")</f>
        <v>16.2</v>
      </c>
      <c r="Z114" s="36">
        <f>IFERROR(IF(Y114=0,"",ROUNDUP(Y114/H114,0)*0.01898),"")</f>
        <v>3.7960000000000001E-2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15.903703703703703</v>
      </c>
      <c r="BN114" s="64">
        <f>IFERROR(Y114*I114/H114,"0")</f>
        <v>17.175999999999998</v>
      </c>
      <c r="BO114" s="64">
        <f>IFERROR(1/J114*(X114/H114),"0")</f>
        <v>2.8935185185185185E-2</v>
      </c>
      <c r="BP114" s="64">
        <f>IFERROR(1/J114*(Y114/H114),"0")</f>
        <v>3.125E-2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1.8518518518518519</v>
      </c>
      <c r="Y118" s="549">
        <f>IFERROR(Y114/H114,"0")+IFERROR(Y115/H115,"0")+IFERROR(Y116/H116,"0")+IFERROR(Y117/H117,"0")</f>
        <v>2</v>
      </c>
      <c r="Z118" s="549">
        <f>IFERROR(IF(Z114="",0,Z114),"0")+IFERROR(IF(Z115="",0,Z115),"0")+IFERROR(IF(Z116="",0,Z116),"0")+IFERROR(IF(Z117="",0,Z117),"0")</f>
        <v>3.7960000000000001E-2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15</v>
      </c>
      <c r="Y119" s="549">
        <f>IFERROR(SUM(Y114:Y117),"0")</f>
        <v>16.2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25</v>
      </c>
      <c r="Y147" s="548">
        <f>IFERROR(IF(X147="",0,CEILING((X147/$H147),1)*$H147),"")</f>
        <v>25.200000000000003</v>
      </c>
      <c r="Z147" s="36">
        <f>IFERROR(IF(Y147=0,"",ROUNDUP(Y147/H147,0)*0.00902),"")</f>
        <v>5.4120000000000001E-2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26.130952380952376</v>
      </c>
      <c r="BN147" s="64">
        <f>IFERROR(Y147*I147/H147,"0")</f>
        <v>26.34</v>
      </c>
      <c r="BO147" s="64">
        <f>IFERROR(1/J147*(X147/H147),"0")</f>
        <v>4.5093795093795096E-2</v>
      </c>
      <c r="BP147" s="64">
        <f>IFERROR(1/J147*(Y147/H147),"0")</f>
        <v>4.5454545454545456E-2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9</v>
      </c>
      <c r="Z150" s="36">
        <f>IFERROR(IF(Y150=0,"",ROUNDUP(Y150/H150,0)*0.01898),"")</f>
        <v>1.898E-2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8.4977777777777774</v>
      </c>
      <c r="BN150" s="64">
        <f>IFERROR(Y150*I150/H150,"0")</f>
        <v>9.56</v>
      </c>
      <c r="BO150" s="64">
        <f>IFERROR(1/J150*(X150/H150),"0")</f>
        <v>1.3888888888888888E-2</v>
      </c>
      <c r="BP150" s="64">
        <f>IFERROR(1/J150*(Y150/H150),"0")</f>
        <v>1.5625E-2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6.8412698412698418</v>
      </c>
      <c r="Y152" s="549">
        <f>IFERROR(Y147/H147,"0")+IFERROR(Y148/H148,"0")+IFERROR(Y149/H149,"0")+IFERROR(Y150/H150,"0")+IFERROR(Y151/H151,"0")</f>
        <v>7</v>
      </c>
      <c r="Z152" s="549">
        <f>IFERROR(IF(Z147="",0,Z147),"0")+IFERROR(IF(Z148="",0,Z148),"0")+IFERROR(IF(Z149="",0,Z149),"0")+IFERROR(IF(Z150="",0,Z150),"0")+IFERROR(IF(Z151="",0,Z151),"0")</f>
        <v>7.3099999999999998E-2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33</v>
      </c>
      <c r="Y153" s="549">
        <f>IFERROR(SUM(Y147:Y151),"0")</f>
        <v>34.200000000000003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12</v>
      </c>
      <c r="Y165" s="548">
        <f t="shared" ref="Y165:Y178" si="5">IFERROR(IF(X165="",0,CEILING((X165/$H165),1)*$H165),"")</f>
        <v>12.600000000000001</v>
      </c>
      <c r="Z165" s="36">
        <f>IFERROR(IF(Y165=0,"",ROUNDUP(Y165/H165,0)*0.00902),"")</f>
        <v>2.7060000000000001E-2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12.714285714285715</v>
      </c>
      <c r="BN165" s="64">
        <f t="shared" ref="BN165:BN178" si="7">IFERROR(Y165*I165/H165,"0")</f>
        <v>13.350000000000001</v>
      </c>
      <c r="BO165" s="64">
        <f t="shared" ref="BO165:BO178" si="8">IFERROR(1/J165*(X165/H165),"0")</f>
        <v>2.1645021645021648E-2</v>
      </c>
      <c r="BP165" s="64">
        <f t="shared" ref="BP165:BP178" si="9">IFERROR(1/J165*(Y165/H165),"0")</f>
        <v>2.2727272727272728E-2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2.8571428571428572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2.7060000000000001E-2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12</v>
      </c>
      <c r="Y180" s="549">
        <f>IFERROR(SUM(Y165:Y178),"0")</f>
        <v>12.600000000000001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5.4</v>
      </c>
      <c r="Y219" s="548">
        <f t="shared" si="15"/>
        <v>7.1999999999999993</v>
      </c>
      <c r="Z219" s="36">
        <f t="shared" si="20"/>
        <v>1.9529999999999999E-2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5.9670000000000014</v>
      </c>
      <c r="BN219" s="64">
        <f t="shared" si="17"/>
        <v>7.9560000000000004</v>
      </c>
      <c r="BO219" s="64">
        <f t="shared" si="18"/>
        <v>1.2362637362637366E-2</v>
      </c>
      <c r="BP219" s="64">
        <f t="shared" si="19"/>
        <v>1.6483516483516484E-2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2.2500000000000004</v>
      </c>
      <c r="Y223" s="549">
        <f>IFERROR(Y214/H214,"0")+IFERROR(Y215/H215,"0")+IFERROR(Y216/H216,"0")+IFERROR(Y217/H217,"0")+IFERROR(Y218/H218,"0")+IFERROR(Y219/H219,"0")+IFERROR(Y220/H220,"0")+IFERROR(Y221/H221,"0")+IFERROR(Y222/H222,"0")</f>
        <v>3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1.9529999999999999E-2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5.4</v>
      </c>
      <c r="Y224" s="549">
        <f>IFERROR(SUM(Y214:Y222),"0")</f>
        <v>7.1999999999999993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30</v>
      </c>
      <c r="Y263" s="548">
        <f>IFERROR(IF(X263="",0,CEILING((X263/$H263),1)*$H263),"")</f>
        <v>32.400000000000006</v>
      </c>
      <c r="Z263" s="36">
        <f>IFERROR(IF(Y263=0,"",ROUNDUP(Y263/H263,0)*0.01898),"")</f>
        <v>5.6940000000000004E-2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31.138888888888889</v>
      </c>
      <c r="BN263" s="64">
        <f>IFERROR(Y263*I263/H263,"0")</f>
        <v>33.630000000000003</v>
      </c>
      <c r="BO263" s="64">
        <f>IFERROR(1/J263*(X263/H263),"0")</f>
        <v>4.3402777777777776E-2</v>
      </c>
      <c r="BP263" s="64">
        <f>IFERROR(1/J263*(Y263/H263),"0")</f>
        <v>4.6875000000000007E-2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2.7777777777777777</v>
      </c>
      <c r="Y266" s="549">
        <f>IFERROR(Y261/H261,"0")+IFERROR(Y262/H262,"0")+IFERROR(Y263/H263,"0")+IFERROR(Y264/H264,"0")+IFERROR(Y265/H265,"0")</f>
        <v>3.0000000000000004</v>
      </c>
      <c r="Z266" s="549">
        <f>IFERROR(IF(Z261="",0,Z261),"0")+IFERROR(IF(Z262="",0,Z262),"0")+IFERROR(IF(Z263="",0,Z263),"0")+IFERROR(IF(Z264="",0,Z264),"0")+IFERROR(IF(Z265="",0,Z265),"0")</f>
        <v>5.6940000000000004E-2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30</v>
      </c>
      <c r="Y267" s="549">
        <f>IFERROR(SUM(Y261:Y265),"0")</f>
        <v>32.400000000000006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30</v>
      </c>
      <c r="Y298" s="548">
        <f t="shared" si="26"/>
        <v>32.400000000000006</v>
      </c>
      <c r="Z298" s="36">
        <f>IFERROR(IF(Y298=0,"",ROUNDUP(Y298/H298,0)*0.01898),"")</f>
        <v>5.6940000000000004E-2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31.138888888888889</v>
      </c>
      <c r="BN298" s="64">
        <f t="shared" si="28"/>
        <v>33.630000000000003</v>
      </c>
      <c r="BO298" s="64">
        <f t="shared" si="29"/>
        <v>4.3402777777777776E-2</v>
      </c>
      <c r="BP298" s="64">
        <f t="shared" si="30"/>
        <v>4.6875000000000007E-2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150</v>
      </c>
      <c r="Y299" s="548">
        <f t="shared" si="26"/>
        <v>151.20000000000002</v>
      </c>
      <c r="Z299" s="36">
        <f>IFERROR(IF(Y299=0,"",ROUNDUP(Y299/H299,0)*0.01898),"")</f>
        <v>0.26572000000000001</v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155.69444444444446</v>
      </c>
      <c r="BN299" s="64">
        <f t="shared" si="28"/>
        <v>156.94</v>
      </c>
      <c r="BO299" s="64">
        <f t="shared" si="29"/>
        <v>0.21701388888888887</v>
      </c>
      <c r="BP299" s="64">
        <f t="shared" si="30"/>
        <v>0.21875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32</v>
      </c>
      <c r="Y301" s="548">
        <f t="shared" si="26"/>
        <v>32</v>
      </c>
      <c r="Z301" s="36">
        <f>IFERROR(IF(Y301=0,"",ROUNDUP(Y301/H301,0)*0.00902),"")</f>
        <v>7.2160000000000002E-2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33.520000000000003</v>
      </c>
      <c r="BN301" s="64">
        <f t="shared" si="28"/>
        <v>33.520000000000003</v>
      </c>
      <c r="BO301" s="64">
        <f t="shared" si="29"/>
        <v>6.0606060606060608E-2</v>
      </c>
      <c r="BP301" s="64">
        <f t="shared" si="30"/>
        <v>6.0606060606060608E-2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24.666666666666664</v>
      </c>
      <c r="Y302" s="549">
        <f>IFERROR(Y296/H296,"0")+IFERROR(Y297/H297,"0")+IFERROR(Y298/H298,"0")+IFERROR(Y299/H299,"0")+IFERROR(Y300/H300,"0")+IFERROR(Y301/H301,"0")</f>
        <v>25</v>
      </c>
      <c r="Z302" s="549">
        <f>IFERROR(IF(Z296="",0,Z296),"0")+IFERROR(IF(Z297="",0,Z297),"0")+IFERROR(IF(Z298="",0,Z298),"0")+IFERROR(IF(Z299="",0,Z299),"0")+IFERROR(IF(Z300="",0,Z300),"0")+IFERROR(IF(Z301="",0,Z301),"0")</f>
        <v>0.39482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212</v>
      </c>
      <c r="Y303" s="549">
        <f>IFERROR(SUM(Y296:Y301),"0")</f>
        <v>215.60000000000002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60</v>
      </c>
      <c r="Y305" s="548">
        <f t="shared" ref="Y305:Y310" si="31">IFERROR(IF(X305="",0,CEILING((X305/$H305),1)*$H305),"")</f>
        <v>63</v>
      </c>
      <c r="Z305" s="36">
        <f>IFERROR(IF(Y305=0,"",ROUNDUP(Y305/H305,0)*0.00902),"")</f>
        <v>0.1353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63.571428571428569</v>
      </c>
      <c r="BN305" s="64">
        <f t="shared" ref="BN305:BN310" si="33">IFERROR(Y305*I305/H305,"0")</f>
        <v>66.75</v>
      </c>
      <c r="BO305" s="64">
        <f t="shared" ref="BO305:BO310" si="34">IFERROR(1/J305*(X305/H305),"0")</f>
        <v>0.10822510822510822</v>
      </c>
      <c r="BP305" s="64">
        <f t="shared" ref="BP305:BP310" si="35">IFERROR(1/J305*(Y305/H305),"0")</f>
        <v>0.11363636363636365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130</v>
      </c>
      <c r="Y306" s="548">
        <f t="shared" si="31"/>
        <v>130.20000000000002</v>
      </c>
      <c r="Z306" s="36">
        <f>IFERROR(IF(Y306=0,"",ROUNDUP(Y306/H306,0)*0.00902),"")</f>
        <v>0.27961999999999998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137.73809523809524</v>
      </c>
      <c r="BN306" s="64">
        <f t="shared" si="33"/>
        <v>137.95000000000002</v>
      </c>
      <c r="BO306" s="64">
        <f t="shared" si="34"/>
        <v>0.23448773448773449</v>
      </c>
      <c r="BP306" s="64">
        <f t="shared" si="35"/>
        <v>0.23484848484848489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8.3999999999999986</v>
      </c>
      <c r="Y308" s="548">
        <f t="shared" si="31"/>
        <v>8.4</v>
      </c>
      <c r="Z308" s="36">
        <f>IFERROR(IF(Y308=0,"",ROUNDUP(Y308/H308,0)*0.00502),"")</f>
        <v>2.0080000000000001E-2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8.9199999999999982</v>
      </c>
      <c r="BN308" s="64">
        <f t="shared" si="33"/>
        <v>8.92</v>
      </c>
      <c r="BO308" s="64">
        <f t="shared" si="34"/>
        <v>1.7094017094017092E-2</v>
      </c>
      <c r="BP308" s="64">
        <f t="shared" si="35"/>
        <v>1.7094017094017096E-2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49.238095238095241</v>
      </c>
      <c r="Y311" s="549">
        <f>IFERROR(Y305/H305,"0")+IFERROR(Y306/H306,"0")+IFERROR(Y307/H307,"0")+IFERROR(Y308/H308,"0")+IFERROR(Y309/H309,"0")+IFERROR(Y310/H310,"0")</f>
        <v>50</v>
      </c>
      <c r="Z311" s="549">
        <f>IFERROR(IF(Z305="",0,Z305),"0")+IFERROR(IF(Z306="",0,Z306),"0")+IFERROR(IF(Z307="",0,Z307),"0")+IFERROR(IF(Z308="",0,Z308),"0")+IFERROR(IF(Z309="",0,Z309),"0")+IFERROR(IF(Z310="",0,Z310),"0")</f>
        <v>0.43499999999999994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198.4</v>
      </c>
      <c r="Y312" s="549">
        <f>IFERROR(SUM(Y305:Y310),"0")</f>
        <v>201.60000000000002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hidden="1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40</v>
      </c>
      <c r="Y322" s="548">
        <f>IFERROR(IF(X322="",0,CEILING((X322/$H322),1)*$H322),"")</f>
        <v>46.8</v>
      </c>
      <c r="Z322" s="36">
        <f>IFERROR(IF(Y322=0,"",ROUNDUP(Y322/H322,0)*0.01898),"")</f>
        <v>0.11388000000000001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42.533333333333331</v>
      </c>
      <c r="BN322" s="64">
        <f>IFERROR(Y322*I322/H322,"0")</f>
        <v>49.764000000000003</v>
      </c>
      <c r="BO322" s="64">
        <f>IFERROR(1/J322*(X322/H322),"0")</f>
        <v>8.0128205128205135E-2</v>
      </c>
      <c r="BP322" s="64">
        <f>IFERROR(1/J322*(Y322/H322),"0")</f>
        <v>9.375E-2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35</v>
      </c>
      <c r="Y323" s="548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37.058333333333337</v>
      </c>
      <c r="BN323" s="64">
        <f>IFERROR(Y323*I323/H323,"0")</f>
        <v>44.47</v>
      </c>
      <c r="BO323" s="64">
        <f>IFERROR(1/J323*(X323/H323),"0")</f>
        <v>6.5104166666666657E-2</v>
      </c>
      <c r="BP323" s="64">
        <f>IFERROR(1/J323*(Y323/H323),"0")</f>
        <v>7.8125E-2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9.2948717948717956</v>
      </c>
      <c r="Y324" s="549">
        <f>IFERROR(Y321/H321,"0")+IFERROR(Y322/H322,"0")+IFERROR(Y323/H323,"0")</f>
        <v>11</v>
      </c>
      <c r="Z324" s="549">
        <f>IFERROR(IF(Z321="",0,Z321),"0")+IFERROR(IF(Z322="",0,Z322),"0")+IFERROR(IF(Z323="",0,Z323),"0")</f>
        <v>0.20878000000000002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75</v>
      </c>
      <c r="Y325" s="549">
        <f>IFERROR(SUM(Y321:Y323),"0")</f>
        <v>88.8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2.5499999999999998</v>
      </c>
      <c r="Y330" s="548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1</v>
      </c>
      <c r="Y331" s="549">
        <f>IFERROR(Y327/H327,"0")+IFERROR(Y328/H328,"0")+IFERROR(Y329/H329,"0")+IFERROR(Y330/H330,"0")</f>
        <v>1</v>
      </c>
      <c r="Z331" s="549">
        <f>IFERROR(IF(Z327="",0,Z327),"0")+IFERROR(IF(Z328="",0,Z328),"0")+IFERROR(IF(Z329="",0,Z329),"0")+IFERROR(IF(Z330="",0,Z330),"0")</f>
        <v>6.5100000000000002E-3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2.5499999999999998</v>
      </c>
      <c r="Y332" s="549">
        <f>IFERROR(SUM(Y327:Y330),"0")</f>
        <v>2.5499999999999998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30</v>
      </c>
      <c r="Y341" s="548">
        <f>IFERROR(IF(X341="",0,CEILING((X341/$H341),1)*$H341),"")</f>
        <v>32.4</v>
      </c>
      <c r="Z341" s="36">
        <f>IFERROR(IF(Y341=0,"",ROUNDUP(Y341/H341,0)*0.01898),"")</f>
        <v>7.5920000000000001E-2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31.829629629629629</v>
      </c>
      <c r="BN341" s="64">
        <f>IFERROR(Y341*I341/H341,"0")</f>
        <v>34.375999999999998</v>
      </c>
      <c r="BO341" s="64">
        <f>IFERROR(1/J341*(X341/H341),"0")</f>
        <v>5.7870370370370371E-2</v>
      </c>
      <c r="BP341" s="64">
        <f>IFERROR(1/J341*(Y341/H341),"0")</f>
        <v>6.25E-2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4.1999999999999993</v>
      </c>
      <c r="Y342" s="548">
        <f>IFERROR(IF(X342="",0,CEILING((X342/$H342),1)*$H342),"")</f>
        <v>4.2</v>
      </c>
      <c r="Z342" s="36">
        <f>IFERROR(IF(Y342=0,"",ROUNDUP(Y342/H342,0)*0.00651),"")</f>
        <v>1.302E-2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4.7039999999999988</v>
      </c>
      <c r="BN342" s="64">
        <f>IFERROR(Y342*I342/H342,"0")</f>
        <v>4.7039999999999997</v>
      </c>
      <c r="BO342" s="64">
        <f>IFERROR(1/J342*(X342/H342),"0")</f>
        <v>1.0989010989010988E-2</v>
      </c>
      <c r="BP342" s="64">
        <f>IFERROR(1/J342*(Y342/H342),"0")</f>
        <v>1.098901098901099E-2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5.7037037037037033</v>
      </c>
      <c r="Y344" s="549">
        <f>IFERROR(Y341/H341,"0")+IFERROR(Y342/H342,"0")+IFERROR(Y343/H343,"0")</f>
        <v>6</v>
      </c>
      <c r="Z344" s="549">
        <f>IFERROR(IF(Z341="",0,Z341),"0")+IFERROR(IF(Z342="",0,Z342),"0")+IFERROR(IF(Z343="",0,Z343),"0")</f>
        <v>8.8940000000000005E-2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34.200000000000003</v>
      </c>
      <c r="Y345" s="549">
        <f>IFERROR(SUM(Y341:Y343),"0")</f>
        <v>36.6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60</v>
      </c>
      <c r="Y350" s="548">
        <f t="shared" si="36"/>
        <v>60</v>
      </c>
      <c r="Z350" s="36">
        <f>IFERROR(IF(Y350=0,"",ROUNDUP(Y350/H350,0)*0.02175),"")</f>
        <v>8.6999999999999994E-2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61.88</v>
      </c>
      <c r="BN350" s="64">
        <f t="shared" si="38"/>
        <v>61.88</v>
      </c>
      <c r="BO350" s="64">
        <f t="shared" si="39"/>
        <v>8.3333333333333329E-2</v>
      </c>
      <c r="BP350" s="64">
        <f t="shared" si="40"/>
        <v>8.3333333333333329E-2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150</v>
      </c>
      <c r="Y352" s="548">
        <f t="shared" si="36"/>
        <v>150</v>
      </c>
      <c r="Z352" s="36">
        <f>IFERROR(IF(Y352=0,"",ROUNDUP(Y352/H352,0)*0.02175),"")</f>
        <v>0.21749999999999997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154.69999999999999</v>
      </c>
      <c r="BN352" s="64">
        <f t="shared" si="38"/>
        <v>154.69999999999999</v>
      </c>
      <c r="BO352" s="64">
        <f t="shared" si="39"/>
        <v>0.20833333333333331</v>
      </c>
      <c r="BP352" s="64">
        <f t="shared" si="40"/>
        <v>0.20833333333333331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14</v>
      </c>
      <c r="Y356" s="549">
        <f>IFERROR(Y349/H349,"0")+IFERROR(Y350/H350,"0")+IFERROR(Y351/H351,"0")+IFERROR(Y352/H352,"0")+IFERROR(Y353/H353,"0")+IFERROR(Y354/H354,"0")+IFERROR(Y355/H355,"0")</f>
        <v>14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0.30449999999999999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210</v>
      </c>
      <c r="Y357" s="549">
        <f>IFERROR(SUM(Y349:Y355),"0")</f>
        <v>210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300</v>
      </c>
      <c r="Y359" s="548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20</v>
      </c>
      <c r="Y361" s="549">
        <f>IFERROR(Y359/H359,"0")+IFERROR(Y360/H360,"0")</f>
        <v>20</v>
      </c>
      <c r="Z361" s="549">
        <f>IFERROR(IF(Z359="",0,Z359),"0")+IFERROR(IF(Z360="",0,Z360),"0")</f>
        <v>0.43499999999999994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300</v>
      </c>
      <c r="Y362" s="549">
        <f>IFERROR(SUM(Y359:Y360),"0")</f>
        <v>300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30</v>
      </c>
      <c r="Y428" s="548">
        <f t="shared" ref="Y428:Y439" si="47">IFERROR(IF(X428="",0,CEILING((X428/$H428),1)*$H428),"")</f>
        <v>31.68</v>
      </c>
      <c r="Z428" s="36">
        <f t="shared" ref="Z428:Z434" si="48">IFERROR(IF(Y428=0,"",ROUNDUP(Y428/H428,0)*0.01196),"")</f>
        <v>7.1760000000000004E-2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31.988636363636363</v>
      </c>
      <c r="BN428" s="64">
        <f t="shared" ref="BN428:BN439" si="50">IFERROR(Y428*I428/H428,"0")</f>
        <v>33.779999999999994</v>
      </c>
      <c r="BO428" s="64">
        <f t="shared" ref="BO428:BO439" si="51">IFERROR(1/J428*(X428/H428),"0")</f>
        <v>5.4632867132867136E-2</v>
      </c>
      <c r="BP428" s="64">
        <f t="shared" ref="BP428:BP439" si="52">IFERROR(1/J428*(Y428/H428),"0")</f>
        <v>5.7692307692307696E-2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5.6818181818181817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7.1760000000000004E-2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30</v>
      </c>
      <c r="Y441" s="549">
        <f>IFERROR(SUM(Y428:Y439),"0")</f>
        <v>31.68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20</v>
      </c>
      <c r="Y443" s="548">
        <f>IFERROR(IF(X443="",0,CEILING((X443/$H443),1)*$H443),"")</f>
        <v>21.12</v>
      </c>
      <c r="Z443" s="36">
        <f>IFERROR(IF(Y443=0,"",ROUNDUP(Y443/H443,0)*0.01196),"")</f>
        <v>4.7840000000000001E-2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21.325757575757574</v>
      </c>
      <c r="BN443" s="64">
        <f>IFERROR(Y443*I443/H443,"0")</f>
        <v>22.52</v>
      </c>
      <c r="BO443" s="64">
        <f>IFERROR(1/J443*(X443/H443),"0")</f>
        <v>3.6421911421911424E-2</v>
      </c>
      <c r="BP443" s="64">
        <f>IFERROR(1/J443*(Y443/H443),"0")</f>
        <v>3.8461538461538464E-2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3.7878787878787876</v>
      </c>
      <c r="Y446" s="549">
        <f>IFERROR(Y443/H443,"0")+IFERROR(Y444/H444,"0")+IFERROR(Y445/H445,"0")</f>
        <v>4</v>
      </c>
      <c r="Z446" s="549">
        <f>IFERROR(IF(Z443="",0,Z443),"0")+IFERROR(IF(Z444="",0,Z444),"0")+IFERROR(IF(Z445="",0,Z445),"0")</f>
        <v>4.7840000000000001E-2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20</v>
      </c>
      <c r="Y447" s="549">
        <f>IFERROR(SUM(Y443:Y445),"0")</f>
        <v>21.12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15</v>
      </c>
      <c r="Y451" s="548">
        <f t="shared" si="53"/>
        <v>15.84</v>
      </c>
      <c r="Z451" s="36">
        <f>IFERROR(IF(Y451=0,"",ROUNDUP(Y451/H451,0)*0.01196),"")</f>
        <v>3.5880000000000002E-2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15.994318181818182</v>
      </c>
      <c r="BN451" s="64">
        <f t="shared" si="55"/>
        <v>16.889999999999997</v>
      </c>
      <c r="BO451" s="64">
        <f t="shared" si="56"/>
        <v>2.7316433566433568E-2</v>
      </c>
      <c r="BP451" s="64">
        <f t="shared" si="57"/>
        <v>2.8846153846153848E-2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2.8409090909090908</v>
      </c>
      <c r="Y455" s="549">
        <f>IFERROR(Y449/H449,"0")+IFERROR(Y450/H450,"0")+IFERROR(Y451/H451,"0")+IFERROR(Y452/H452,"0")+IFERROR(Y453/H453,"0")+IFERROR(Y454/H454,"0")</f>
        <v>3</v>
      </c>
      <c r="Z455" s="549">
        <f>IFERROR(IF(Z449="",0,Z449),"0")+IFERROR(IF(Z450="",0,Z450),"0")+IFERROR(IF(Z451="",0,Z451),"0")+IFERROR(IF(Z452="",0,Z452),"0")+IFERROR(IF(Z453="",0,Z453),"0")+IFERROR(IF(Z454="",0,Z454),"0")</f>
        <v>3.5880000000000002E-2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15</v>
      </c>
      <c r="Y456" s="549">
        <f>IFERROR(SUM(Y449:Y454),"0")</f>
        <v>15.84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hidden="1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70</v>
      </c>
      <c r="Y472" s="548">
        <f>IFERROR(IF(X472="",0,CEILING((X472/$H472),1)*$H472),"")</f>
        <v>72</v>
      </c>
      <c r="Z472" s="36">
        <f>IFERROR(IF(Y472=0,"",ROUNDUP(Y472/H472,0)*0.00902),"")</f>
        <v>0.1353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73.645833333333343</v>
      </c>
      <c r="BN472" s="64">
        <f>IFERROR(Y472*I472/H472,"0")</f>
        <v>75.75</v>
      </c>
      <c r="BO472" s="64">
        <f>IFERROR(1/J472*(X472/H472),"0")</f>
        <v>0.11047979797979798</v>
      </c>
      <c r="BP472" s="64">
        <f>IFERROR(1/J472*(Y472/H472),"0")</f>
        <v>0.11363636363636365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14.583333333333334</v>
      </c>
      <c r="Y473" s="549">
        <f>IFERROR(Y472/H472,"0")</f>
        <v>15</v>
      </c>
      <c r="Z473" s="549">
        <f>IFERROR(IF(Z472="",0,Z472),"0")</f>
        <v>0.1353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70</v>
      </c>
      <c r="Y474" s="549">
        <f>IFERROR(SUM(Y472:Y472),"0")</f>
        <v>72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1646.05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1703.0899999999997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1718.5708629148628</v>
      </c>
      <c r="Y490" s="549">
        <f>IFERROR(SUM(BN22:BN486),"0")</f>
        <v>1778.5640000000003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3</v>
      </c>
      <c r="Y491" s="38">
        <f>ROUNDUP(SUM(BP22:BP486),0)</f>
        <v>3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1793.5708629148628</v>
      </c>
      <c r="Y492" s="549">
        <f>GrossWeightTotalR+PalletQtyTotalR*25</f>
        <v>1853.5640000000003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223.37531912531912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231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3.1458999999999997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44.400000000000006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323.10000000000002</v>
      </c>
      <c r="E499" s="46">
        <f>IFERROR(Y84*1,"0")+IFERROR(Y85*1,"0")+IFERROR(Y86*1,"0")+IFERROR(Y87*1,"0")+IFERROR(Y91*1,"0")+IFERROR(Y92*1,"0")+IFERROR(Y93*1,"0")+IFERROR(Y94*1,"0")</f>
        <v>29.7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23.7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34.200000000000003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12.600000000000001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7.1999999999999993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32.400000000000006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508.55000000000007</v>
      </c>
      <c r="R499" s="46">
        <f>IFERROR(Y341*1,"0")+IFERROR(Y342*1,"0")+IFERROR(Y343*1,"0")</f>
        <v>36.6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510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68.64</v>
      </c>
      <c r="Y499" s="46">
        <f>IFERROR(Y460*1,"0")+IFERROR(Y461*1,"0")+IFERROR(Y462*1,"0")+IFERROR(Y463*1,"0")+IFERROR(Y467*1,"0")+IFERROR(Y468*1,"0")+IFERROR(Y472*1,"0")+IFERROR(Y476*1,"0")+IFERROR(Y480*1,"0")+IFERROR(Y481*1,"0")</f>
        <v>72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46,05"/>
        <filter val="1 718,57"/>
        <filter val="1 793,57"/>
        <filter val="1,00"/>
        <filter val="1,85"/>
        <filter val="100,00"/>
        <filter val="12,00"/>
        <filter val="120,00"/>
        <filter val="13,50"/>
        <filter val="130,00"/>
        <filter val="14,00"/>
        <filter val="14,58"/>
        <filter val="147,00"/>
        <filter val="15,00"/>
        <filter val="150,00"/>
        <filter val="158,50"/>
        <filter val="198,40"/>
        <filter val="2,00"/>
        <filter val="2,25"/>
        <filter val="2,55"/>
        <filter val="2,78"/>
        <filter val="2,84"/>
        <filter val="2,86"/>
        <filter val="20,00"/>
        <filter val="21,11"/>
        <filter val="210,00"/>
        <filter val="212,00"/>
        <filter val="22,26"/>
        <filter val="223,38"/>
        <filter val="24,67"/>
        <filter val="25,00"/>
        <filter val="27,00"/>
        <filter val="3"/>
        <filter val="3,00"/>
        <filter val="3,79"/>
        <filter val="30,00"/>
        <filter val="300,00"/>
        <filter val="32,00"/>
        <filter val="33,00"/>
        <filter val="34,20"/>
        <filter val="35,00"/>
        <filter val="4,20"/>
        <filter val="40,00"/>
        <filter val="42,00"/>
        <filter val="49,24"/>
        <filter val="5,40"/>
        <filter val="5,68"/>
        <filter val="5,70"/>
        <filter val="5,78"/>
        <filter val="58,50"/>
        <filter val="6,84"/>
        <filter val="60,00"/>
        <filter val="7,50"/>
        <filter val="70,00"/>
        <filter val="75,00"/>
        <filter val="8,00"/>
        <filter val="8,40"/>
        <filter val="9,29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