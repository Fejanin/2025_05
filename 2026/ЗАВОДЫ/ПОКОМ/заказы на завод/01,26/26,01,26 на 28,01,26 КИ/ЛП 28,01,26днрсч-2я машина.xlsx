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6B7C5CE-E8BB-49BB-8BC4-0F558807B1D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X357" i="1"/>
  <c r="X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X292" i="1"/>
  <c r="BO291" i="1"/>
  <c r="BN291" i="1"/>
  <c r="BM291" i="1"/>
  <c r="Z291" i="1"/>
  <c r="Y291" i="1"/>
  <c r="BP291" i="1" s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BP285" i="1" s="1"/>
  <c r="P285" i="1"/>
  <c r="X282" i="1"/>
  <c r="X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X229" i="1"/>
  <c r="X228" i="1"/>
  <c r="BO227" i="1"/>
  <c r="BM227" i="1"/>
  <c r="Y227" i="1"/>
  <c r="P227" i="1"/>
  <c r="BO226" i="1"/>
  <c r="BM226" i="1"/>
  <c r="Y226" i="1"/>
  <c r="Y229" i="1" s="1"/>
  <c r="P226" i="1"/>
  <c r="X224" i="1"/>
  <c r="X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BP199" i="1" s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Y152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G499" i="1" s="1"/>
  <c r="P126" i="1"/>
  <c r="X123" i="1"/>
  <c r="X122" i="1"/>
  <c r="BO121" i="1"/>
  <c r="BM121" i="1"/>
  <c r="Y121" i="1"/>
  <c r="Y122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2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93" i="1" l="1"/>
  <c r="BN93" i="1"/>
  <c r="Z93" i="1"/>
  <c r="BP131" i="1"/>
  <c r="BN131" i="1"/>
  <c r="Z131" i="1"/>
  <c r="BP172" i="1"/>
  <c r="BN172" i="1"/>
  <c r="Z172" i="1"/>
  <c r="BP203" i="1"/>
  <c r="BN203" i="1"/>
  <c r="Z203" i="1"/>
  <c r="BP227" i="1"/>
  <c r="BN227" i="1"/>
  <c r="Z227" i="1"/>
  <c r="BP262" i="1"/>
  <c r="BN262" i="1"/>
  <c r="Z262" i="1"/>
  <c r="BP300" i="1"/>
  <c r="BN300" i="1"/>
  <c r="Z300" i="1"/>
  <c r="BP330" i="1"/>
  <c r="BN330" i="1"/>
  <c r="Z330" i="1"/>
  <c r="BP353" i="1"/>
  <c r="BN353" i="1"/>
  <c r="Z353" i="1"/>
  <c r="BP392" i="1"/>
  <c r="BN392" i="1"/>
  <c r="Z392" i="1"/>
  <c r="Y424" i="1"/>
  <c r="Y423" i="1"/>
  <c r="BP422" i="1"/>
  <c r="BN422" i="1"/>
  <c r="Z422" i="1"/>
  <c r="Z423" i="1" s="1"/>
  <c r="BP428" i="1"/>
  <c r="BN428" i="1"/>
  <c r="Z428" i="1"/>
  <c r="BP452" i="1"/>
  <c r="BN452" i="1"/>
  <c r="Z452" i="1"/>
  <c r="X490" i="1"/>
  <c r="Z23" i="1"/>
  <c r="BN23" i="1"/>
  <c r="X489" i="1"/>
  <c r="Y31" i="1"/>
  <c r="Z52" i="1"/>
  <c r="BN52" i="1"/>
  <c r="Z62" i="1"/>
  <c r="BN62" i="1"/>
  <c r="BP78" i="1"/>
  <c r="BN78" i="1"/>
  <c r="Z78" i="1"/>
  <c r="BP110" i="1"/>
  <c r="BN110" i="1"/>
  <c r="Z110" i="1"/>
  <c r="BP150" i="1"/>
  <c r="BN150" i="1"/>
  <c r="Z150" i="1"/>
  <c r="BP182" i="1"/>
  <c r="BN182" i="1"/>
  <c r="Z182" i="1"/>
  <c r="BP215" i="1"/>
  <c r="BN215" i="1"/>
  <c r="Z215" i="1"/>
  <c r="BP238" i="1"/>
  <c r="BN238" i="1"/>
  <c r="Z238" i="1"/>
  <c r="Y281" i="1"/>
  <c r="BP278" i="1"/>
  <c r="BN278" i="1"/>
  <c r="Z278" i="1"/>
  <c r="BP314" i="1"/>
  <c r="BN314" i="1"/>
  <c r="Z314" i="1"/>
  <c r="BP343" i="1"/>
  <c r="BN343" i="1"/>
  <c r="Z343" i="1"/>
  <c r="BP380" i="1"/>
  <c r="BN380" i="1"/>
  <c r="Z380" i="1"/>
  <c r="BP400" i="1"/>
  <c r="BN400" i="1"/>
  <c r="Z400" i="1"/>
  <c r="BP436" i="1"/>
  <c r="BN436" i="1"/>
  <c r="Z436" i="1"/>
  <c r="BP468" i="1"/>
  <c r="BN468" i="1"/>
  <c r="Z468" i="1"/>
  <c r="E499" i="1"/>
  <c r="F499" i="1"/>
  <c r="Y118" i="1"/>
  <c r="I499" i="1"/>
  <c r="Y180" i="1"/>
  <c r="BP298" i="1"/>
  <c r="BN298" i="1"/>
  <c r="Z298" i="1"/>
  <c r="BP310" i="1"/>
  <c r="BN310" i="1"/>
  <c r="Z310" i="1"/>
  <c r="BP328" i="1"/>
  <c r="BN328" i="1"/>
  <c r="Z328" i="1"/>
  <c r="BP341" i="1"/>
  <c r="BN341" i="1"/>
  <c r="Z341" i="1"/>
  <c r="BP355" i="1"/>
  <c r="BN355" i="1"/>
  <c r="Z355" i="1"/>
  <c r="Y388" i="1"/>
  <c r="BP384" i="1"/>
  <c r="BN384" i="1"/>
  <c r="Z384" i="1"/>
  <c r="BP398" i="1"/>
  <c r="BN398" i="1"/>
  <c r="Z398" i="1"/>
  <c r="BP417" i="1"/>
  <c r="BN417" i="1"/>
  <c r="Z417" i="1"/>
  <c r="BP434" i="1"/>
  <c r="BN434" i="1"/>
  <c r="Z434" i="1"/>
  <c r="BP450" i="1"/>
  <c r="BN450" i="1"/>
  <c r="Z450" i="1"/>
  <c r="BP462" i="1"/>
  <c r="BN462" i="1"/>
  <c r="Z462" i="1"/>
  <c r="B499" i="1"/>
  <c r="X491" i="1"/>
  <c r="Z27" i="1"/>
  <c r="BN27" i="1"/>
  <c r="BP27" i="1"/>
  <c r="Z41" i="1"/>
  <c r="BN41" i="1"/>
  <c r="D499" i="1"/>
  <c r="Z54" i="1"/>
  <c r="BN54" i="1"/>
  <c r="Z60" i="1"/>
  <c r="BN60" i="1"/>
  <c r="BP60" i="1"/>
  <c r="Z66" i="1"/>
  <c r="BN66" i="1"/>
  <c r="BP66" i="1"/>
  <c r="Y76" i="1"/>
  <c r="Z74" i="1"/>
  <c r="BN74" i="1"/>
  <c r="Y80" i="1"/>
  <c r="Z85" i="1"/>
  <c r="BN85" i="1"/>
  <c r="Z91" i="1"/>
  <c r="BN91" i="1"/>
  <c r="BP91" i="1"/>
  <c r="Z100" i="1"/>
  <c r="BN100" i="1"/>
  <c r="Z108" i="1"/>
  <c r="BN108" i="1"/>
  <c r="Z114" i="1"/>
  <c r="BN114" i="1"/>
  <c r="BP114" i="1"/>
  <c r="Z127" i="1"/>
  <c r="BN127" i="1"/>
  <c r="Y133" i="1"/>
  <c r="Z137" i="1"/>
  <c r="BN137" i="1"/>
  <c r="Z148" i="1"/>
  <c r="BN148" i="1"/>
  <c r="Z166" i="1"/>
  <c r="BN166" i="1"/>
  <c r="Z170" i="1"/>
  <c r="BN170" i="1"/>
  <c r="Z174" i="1"/>
  <c r="BN174" i="1"/>
  <c r="Z178" i="1"/>
  <c r="BN178" i="1"/>
  <c r="Y186" i="1"/>
  <c r="Z184" i="1"/>
  <c r="BN184" i="1"/>
  <c r="Z199" i="1"/>
  <c r="BN199" i="1"/>
  <c r="Y211" i="1"/>
  <c r="Z205" i="1"/>
  <c r="BN205" i="1"/>
  <c r="Z209" i="1"/>
  <c r="BN209" i="1"/>
  <c r="Y223" i="1"/>
  <c r="Z217" i="1"/>
  <c r="BN217" i="1"/>
  <c r="Z221" i="1"/>
  <c r="BN221" i="1"/>
  <c r="Z232" i="1"/>
  <c r="BN232" i="1"/>
  <c r="Z236" i="1"/>
  <c r="BN236" i="1"/>
  <c r="Z240" i="1"/>
  <c r="BN240" i="1"/>
  <c r="Z255" i="1"/>
  <c r="BN255" i="1"/>
  <c r="Z264" i="1"/>
  <c r="BN264" i="1"/>
  <c r="Z273" i="1"/>
  <c r="BN273" i="1"/>
  <c r="Z280" i="1"/>
  <c r="BN280" i="1"/>
  <c r="Z285" i="1"/>
  <c r="BN285" i="1"/>
  <c r="BP306" i="1"/>
  <c r="BN306" i="1"/>
  <c r="Z306" i="1"/>
  <c r="BP316" i="1"/>
  <c r="BN316" i="1"/>
  <c r="Z316" i="1"/>
  <c r="BP334" i="1"/>
  <c r="BN334" i="1"/>
  <c r="Z334" i="1"/>
  <c r="Y344" i="1"/>
  <c r="BP351" i="1"/>
  <c r="BN351" i="1"/>
  <c r="Z351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Y387" i="1"/>
  <c r="BP394" i="1"/>
  <c r="BN394" i="1"/>
  <c r="Z394" i="1"/>
  <c r="BP404" i="1"/>
  <c r="BN404" i="1"/>
  <c r="Z404" i="1"/>
  <c r="BP430" i="1"/>
  <c r="BN430" i="1"/>
  <c r="Z430" i="1"/>
  <c r="BP438" i="1"/>
  <c r="BN438" i="1"/>
  <c r="Z438" i="1"/>
  <c r="BP454" i="1"/>
  <c r="BN454" i="1"/>
  <c r="Z454" i="1"/>
  <c r="Y474" i="1"/>
  <c r="Y473" i="1"/>
  <c r="BP472" i="1"/>
  <c r="BN472" i="1"/>
  <c r="Z472" i="1"/>
  <c r="Z473" i="1" s="1"/>
  <c r="Y478" i="1"/>
  <c r="Y477" i="1"/>
  <c r="BP476" i="1"/>
  <c r="BN476" i="1"/>
  <c r="Z476" i="1"/>
  <c r="Z477" i="1" s="1"/>
  <c r="Y482" i="1"/>
  <c r="BP480" i="1"/>
  <c r="BN480" i="1"/>
  <c r="Z480" i="1"/>
  <c r="Y361" i="1"/>
  <c r="Y464" i="1"/>
  <c r="H9" i="1"/>
  <c r="A10" i="1"/>
  <c r="Y24" i="1"/>
  <c r="Y32" i="1"/>
  <c r="Y36" i="1"/>
  <c r="Y44" i="1"/>
  <c r="Y48" i="1"/>
  <c r="Y57" i="1"/>
  <c r="Y63" i="1"/>
  <c r="Y69" i="1"/>
  <c r="Y75" i="1"/>
  <c r="Y81" i="1"/>
  <c r="Y88" i="1"/>
  <c r="Y96" i="1"/>
  <c r="Y105" i="1"/>
  <c r="Y111" i="1"/>
  <c r="Y119" i="1"/>
  <c r="Y123" i="1"/>
  <c r="Y128" i="1"/>
  <c r="Y134" i="1"/>
  <c r="Y138" i="1"/>
  <c r="Y145" i="1"/>
  <c r="Y153" i="1"/>
  <c r="Y157" i="1"/>
  <c r="Y163" i="1"/>
  <c r="Y179" i="1"/>
  <c r="Y185" i="1"/>
  <c r="Y196" i="1"/>
  <c r="Y200" i="1"/>
  <c r="Y212" i="1"/>
  <c r="Y224" i="1"/>
  <c r="Y228" i="1"/>
  <c r="Y241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BP299" i="1"/>
  <c r="BN299" i="1"/>
  <c r="Z299" i="1"/>
  <c r="BP307" i="1"/>
  <c r="BN307" i="1"/>
  <c r="Z307" i="1"/>
  <c r="Y311" i="1"/>
  <c r="BP315" i="1"/>
  <c r="BN315" i="1"/>
  <c r="Z315" i="1"/>
  <c r="BP323" i="1"/>
  <c r="BN323" i="1"/>
  <c r="Z323" i="1"/>
  <c r="Y325" i="1"/>
  <c r="Y332" i="1"/>
  <c r="BP327" i="1"/>
  <c r="BN327" i="1"/>
  <c r="Z327" i="1"/>
  <c r="Y331" i="1"/>
  <c r="BP335" i="1"/>
  <c r="BN335" i="1"/>
  <c r="Z335" i="1"/>
  <c r="BP350" i="1"/>
  <c r="BN350" i="1"/>
  <c r="Z350" i="1"/>
  <c r="BP354" i="1"/>
  <c r="BN354" i="1"/>
  <c r="Z354" i="1"/>
  <c r="BP375" i="1"/>
  <c r="BN375" i="1"/>
  <c r="Z375" i="1"/>
  <c r="Z376" i="1" s="1"/>
  <c r="Y377" i="1"/>
  <c r="Y382" i="1"/>
  <c r="BP379" i="1"/>
  <c r="BN379" i="1"/>
  <c r="Z379" i="1"/>
  <c r="Z381" i="1" s="1"/>
  <c r="BP393" i="1"/>
  <c r="BN393" i="1"/>
  <c r="Z393" i="1"/>
  <c r="BP397" i="1"/>
  <c r="BN397" i="1"/>
  <c r="Z397" i="1"/>
  <c r="Y401" i="1"/>
  <c r="BP405" i="1"/>
  <c r="BN405" i="1"/>
  <c r="Z405" i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F9" i="1"/>
  <c r="J9" i="1"/>
  <c r="Z22" i="1"/>
  <c r="Z24" i="1" s="1"/>
  <c r="BN22" i="1"/>
  <c r="BP22" i="1"/>
  <c r="X493" i="1"/>
  <c r="Y25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Z68" i="1" s="1"/>
  <c r="BN67" i="1"/>
  <c r="Z71" i="1"/>
  <c r="BN71" i="1"/>
  <c r="BP71" i="1"/>
  <c r="Z73" i="1"/>
  <c r="BN73" i="1"/>
  <c r="Z79" i="1"/>
  <c r="Z80" i="1" s="1"/>
  <c r="BN79" i="1"/>
  <c r="Z84" i="1"/>
  <c r="BN84" i="1"/>
  <c r="BP84" i="1"/>
  <c r="Z86" i="1"/>
  <c r="BN86" i="1"/>
  <c r="Y89" i="1"/>
  <c r="Z92" i="1"/>
  <c r="BN92" i="1"/>
  <c r="Z94" i="1"/>
  <c r="BN94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Z115" i="1"/>
  <c r="BN115" i="1"/>
  <c r="Z117" i="1"/>
  <c r="BN117" i="1"/>
  <c r="Z121" i="1"/>
  <c r="Z122" i="1" s="1"/>
  <c r="BN121" i="1"/>
  <c r="BP121" i="1"/>
  <c r="Z126" i="1"/>
  <c r="Z128" i="1" s="1"/>
  <c r="BN126" i="1"/>
  <c r="BP126" i="1"/>
  <c r="Y129" i="1"/>
  <c r="Z132" i="1"/>
  <c r="Z133" i="1" s="1"/>
  <c r="BN132" i="1"/>
  <c r="Z136" i="1"/>
  <c r="Z138" i="1" s="1"/>
  <c r="BN136" i="1"/>
  <c r="BP136" i="1"/>
  <c r="H499" i="1"/>
  <c r="Z143" i="1"/>
  <c r="Z144" i="1" s="1"/>
  <c r="BN143" i="1"/>
  <c r="Y144" i="1"/>
  <c r="Z147" i="1"/>
  <c r="BN147" i="1"/>
  <c r="BP147" i="1"/>
  <c r="Z149" i="1"/>
  <c r="BN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5" i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83" i="1"/>
  <c r="Z185" i="1" s="1"/>
  <c r="BN183" i="1"/>
  <c r="J499" i="1"/>
  <c r="Z194" i="1"/>
  <c r="Z195" i="1" s="1"/>
  <c r="BN194" i="1"/>
  <c r="Y195" i="1"/>
  <c r="Z198" i="1"/>
  <c r="Z200" i="1" s="1"/>
  <c r="BN198" i="1"/>
  <c r="BP198" i="1"/>
  <c r="Z204" i="1"/>
  <c r="BN204" i="1"/>
  <c r="Z206" i="1"/>
  <c r="BN206" i="1"/>
  <c r="Z208" i="1"/>
  <c r="BN208" i="1"/>
  <c r="Z210" i="1"/>
  <c r="BN210" i="1"/>
  <c r="Z214" i="1"/>
  <c r="BN214" i="1"/>
  <c r="BP214" i="1"/>
  <c r="Z216" i="1"/>
  <c r="BN216" i="1"/>
  <c r="Z218" i="1"/>
  <c r="BN218" i="1"/>
  <c r="Z220" i="1"/>
  <c r="BN220" i="1"/>
  <c r="Z222" i="1"/>
  <c r="BN222" i="1"/>
  <c r="Z226" i="1"/>
  <c r="Z228" i="1" s="1"/>
  <c r="BN226" i="1"/>
  <c r="BP226" i="1"/>
  <c r="K499" i="1"/>
  <c r="Z233" i="1"/>
  <c r="BN233" i="1"/>
  <c r="Z235" i="1"/>
  <c r="BN235" i="1"/>
  <c r="Z237" i="1"/>
  <c r="BN237" i="1"/>
  <c r="Z239" i="1"/>
  <c r="BN239" i="1"/>
  <c r="Y242" i="1"/>
  <c r="Y257" i="1"/>
  <c r="BP252" i="1"/>
  <c r="BP256" i="1"/>
  <c r="BN256" i="1"/>
  <c r="Z256" i="1"/>
  <c r="Y258" i="1"/>
  <c r="L499" i="1"/>
  <c r="Y266" i="1"/>
  <c r="BP261" i="1"/>
  <c r="BN261" i="1"/>
  <c r="Z261" i="1"/>
  <c r="BP265" i="1"/>
  <c r="BN265" i="1"/>
  <c r="Z265" i="1"/>
  <c r="Y267" i="1"/>
  <c r="M499" i="1"/>
  <c r="Y275" i="1"/>
  <c r="BP270" i="1"/>
  <c r="BN270" i="1"/>
  <c r="Z270" i="1"/>
  <c r="Z274" i="1" s="1"/>
  <c r="Y274" i="1"/>
  <c r="BP279" i="1"/>
  <c r="BN279" i="1"/>
  <c r="Z279" i="1"/>
  <c r="Z281" i="1" s="1"/>
  <c r="Y292" i="1"/>
  <c r="BP297" i="1"/>
  <c r="BN297" i="1"/>
  <c r="Z297" i="1"/>
  <c r="Z302" i="1" s="1"/>
  <c r="BP301" i="1"/>
  <c r="BN301" i="1"/>
  <c r="Z301" i="1"/>
  <c r="Y303" i="1"/>
  <c r="Y312" i="1"/>
  <c r="BP305" i="1"/>
  <c r="BN305" i="1"/>
  <c r="Z305" i="1"/>
  <c r="BP309" i="1"/>
  <c r="BN309" i="1"/>
  <c r="Z309" i="1"/>
  <c r="Y318" i="1"/>
  <c r="BP317" i="1"/>
  <c r="BN317" i="1"/>
  <c r="Z317" i="1"/>
  <c r="Z318" i="1" s="1"/>
  <c r="Y319" i="1"/>
  <c r="Y324" i="1"/>
  <c r="BP321" i="1"/>
  <c r="BN321" i="1"/>
  <c r="Z321" i="1"/>
  <c r="BP329" i="1"/>
  <c r="BN329" i="1"/>
  <c r="Z329" i="1"/>
  <c r="Y338" i="1"/>
  <c r="Y337" i="1"/>
  <c r="BP342" i="1"/>
  <c r="BN342" i="1"/>
  <c r="Z342" i="1"/>
  <c r="Z344" i="1" s="1"/>
  <c r="BP352" i="1"/>
  <c r="BN352" i="1"/>
  <c r="Z352" i="1"/>
  <c r="Y356" i="1"/>
  <c r="BP360" i="1"/>
  <c r="BN360" i="1"/>
  <c r="Z360" i="1"/>
  <c r="Z361" i="1" s="1"/>
  <c r="Y362" i="1"/>
  <c r="Y367" i="1"/>
  <c r="BP364" i="1"/>
  <c r="BN364" i="1"/>
  <c r="Z364" i="1"/>
  <c r="Z366" i="1" s="1"/>
  <c r="Y381" i="1"/>
  <c r="Z387" i="1"/>
  <c r="BP385" i="1"/>
  <c r="BN385" i="1"/>
  <c r="Z385" i="1"/>
  <c r="BP395" i="1"/>
  <c r="BN395" i="1"/>
  <c r="Z395" i="1"/>
  <c r="Z401" i="1" s="1"/>
  <c r="BP399" i="1"/>
  <c r="BN399" i="1"/>
  <c r="Z399" i="1"/>
  <c r="Y406" i="1"/>
  <c r="BP416" i="1"/>
  <c r="BN416" i="1"/>
  <c r="Z416" i="1"/>
  <c r="BP445" i="1"/>
  <c r="BN445" i="1"/>
  <c r="Z445" i="1"/>
  <c r="Y447" i="1"/>
  <c r="Y456" i="1"/>
  <c r="BP449" i="1"/>
  <c r="BN449" i="1"/>
  <c r="Z449" i="1"/>
  <c r="BP453" i="1"/>
  <c r="BN453" i="1"/>
  <c r="Z453" i="1"/>
  <c r="BP463" i="1"/>
  <c r="BN463" i="1"/>
  <c r="Z463" i="1"/>
  <c r="Y465" i="1"/>
  <c r="Y470" i="1"/>
  <c r="BP467" i="1"/>
  <c r="BN467" i="1"/>
  <c r="Z467" i="1"/>
  <c r="Z469" i="1" s="1"/>
  <c r="O499" i="1"/>
  <c r="Y282" i="1"/>
  <c r="P499" i="1"/>
  <c r="Y287" i="1"/>
  <c r="Q499" i="1"/>
  <c r="Y302" i="1"/>
  <c r="R499" i="1"/>
  <c r="Y345" i="1"/>
  <c r="S499" i="1"/>
  <c r="Y357" i="1"/>
  <c r="T499" i="1"/>
  <c r="Y376" i="1"/>
  <c r="U499" i="1"/>
  <c r="Y402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Y455" i="1"/>
  <c r="BP461" i="1"/>
  <c r="BN461" i="1"/>
  <c r="Z461" i="1"/>
  <c r="Z464" i="1" s="1"/>
  <c r="Y469" i="1"/>
  <c r="Y483" i="1"/>
  <c r="Y488" i="1"/>
  <c r="W499" i="1"/>
  <c r="Y499" i="1"/>
  <c r="Y440" i="1"/>
  <c r="Z481" i="1"/>
  <c r="Z482" i="1" s="1"/>
  <c r="BN481" i="1"/>
  <c r="Z486" i="1"/>
  <c r="Z487" i="1" s="1"/>
  <c r="BN486" i="1"/>
  <c r="BP486" i="1"/>
  <c r="Y487" i="1"/>
  <c r="Z211" i="1" l="1"/>
  <c r="Z118" i="1"/>
  <c r="Z63" i="1"/>
  <c r="Z31" i="1"/>
  <c r="Z406" i="1"/>
  <c r="Z337" i="1"/>
  <c r="X492" i="1"/>
  <c r="Z241" i="1"/>
  <c r="Z111" i="1"/>
  <c r="Z104" i="1"/>
  <c r="Z95" i="1"/>
  <c r="Z88" i="1"/>
  <c r="Z43" i="1"/>
  <c r="Z440" i="1"/>
  <c r="Z356" i="1"/>
  <c r="Z257" i="1"/>
  <c r="Y489" i="1"/>
  <c r="Y491" i="1"/>
  <c r="Y493" i="1"/>
  <c r="Z455" i="1"/>
  <c r="Z324" i="1"/>
  <c r="Z311" i="1"/>
  <c r="Z266" i="1"/>
  <c r="Z223" i="1"/>
  <c r="Z179" i="1"/>
  <c r="Z152" i="1"/>
  <c r="Z75" i="1"/>
  <c r="Z57" i="1"/>
  <c r="Y490" i="1"/>
  <c r="Z418" i="1"/>
  <c r="Z331" i="1"/>
  <c r="Y492" i="1" l="1"/>
  <c r="Z494" i="1"/>
</calcChain>
</file>

<file path=xl/sharedStrings.xml><?xml version="1.0" encoding="utf-8"?>
<sst xmlns="http://schemas.openxmlformats.org/spreadsheetml/2006/main" count="2343" uniqueCount="771">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</sst>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4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1" t="s">
        <v>0</v>
      </c>
      <c r="E1" s="587"/>
      <c r="F1" s="587"/>
      <c r="G1" s="12" t="s">
        <v>1</v>
      </c>
      <c r="H1" s="631" t="s">
        <v>2</v>
      </c>
      <c r="I1" s="587"/>
      <c r="J1" s="587"/>
      <c r="K1" s="587"/>
      <c r="L1" s="587"/>
      <c r="M1" s="587"/>
      <c r="N1" s="587"/>
      <c r="O1" s="587"/>
      <c r="P1" s="587"/>
      <c r="Q1" s="587"/>
      <c r="R1" s="586" t="s">
        <v>3</v>
      </c>
      <c r="S1" s="587"/>
      <c r="T1" s="5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6" t="s">
        <v>8</v>
      </c>
      <c r="B5" s="655"/>
      <c r="C5" s="656"/>
      <c r="D5" s="635"/>
      <c r="E5" s="636"/>
      <c r="F5" s="831" t="s">
        <v>9</v>
      </c>
      <c r="G5" s="656"/>
      <c r="H5" s="635" t="s">
        <v>770</v>
      </c>
      <c r="I5" s="786"/>
      <c r="J5" s="786"/>
      <c r="K5" s="786"/>
      <c r="L5" s="786"/>
      <c r="M5" s="636"/>
      <c r="N5" s="58"/>
      <c r="P5" s="24" t="s">
        <v>10</v>
      </c>
      <c r="Q5" s="834">
        <v>46050</v>
      </c>
      <c r="R5" s="679"/>
      <c r="T5" s="719" t="s">
        <v>11</v>
      </c>
      <c r="U5" s="720"/>
      <c r="V5" s="726" t="s">
        <v>12</v>
      </c>
      <c r="W5" s="679"/>
      <c r="AB5" s="51"/>
      <c r="AC5" s="51"/>
      <c r="AD5" s="51"/>
      <c r="AE5" s="51"/>
    </row>
    <row r="6" spans="1:32" s="541" customFormat="1" ht="24" customHeight="1" x14ac:dyDescent="0.2">
      <c r="A6" s="676" t="s">
        <v>13</v>
      </c>
      <c r="B6" s="655"/>
      <c r="C6" s="656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9"/>
      <c r="N6" s="59"/>
      <c r="P6" s="24" t="s">
        <v>15</v>
      </c>
      <c r="Q6" s="835" t="str">
        <f>IF(Q5=0," ",CHOOSE(WEEKDAY(Q5,2),"Понедельник","Вторник","Среда","Четверг","Пятница","Суббота","Воскресенье"))</f>
        <v>Среда</v>
      </c>
      <c r="R6" s="555"/>
      <c r="T6" s="729" t="s">
        <v>16</v>
      </c>
      <c r="U6" s="720"/>
      <c r="V6" s="768" t="s">
        <v>17</v>
      </c>
      <c r="W6" s="578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1"/>
      <c r="U7" s="720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39" t="s">
        <v>18</v>
      </c>
      <c r="B8" s="566"/>
      <c r="C8" s="567"/>
      <c r="D8" s="626" t="s">
        <v>19</v>
      </c>
      <c r="E8" s="627"/>
      <c r="F8" s="627"/>
      <c r="G8" s="627"/>
      <c r="H8" s="627"/>
      <c r="I8" s="627"/>
      <c r="J8" s="627"/>
      <c r="K8" s="627"/>
      <c r="L8" s="627"/>
      <c r="M8" s="628"/>
      <c r="N8" s="61"/>
      <c r="P8" s="24" t="s">
        <v>20</v>
      </c>
      <c r="Q8" s="688">
        <v>0.45833333333333331</v>
      </c>
      <c r="R8" s="615"/>
      <c r="T8" s="561"/>
      <c r="U8" s="720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48"/>
      <c r="E9" s="572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9"/>
      <c r="P9" s="26" t="s">
        <v>21</v>
      </c>
      <c r="Q9" s="645"/>
      <c r="R9" s="646"/>
      <c r="T9" s="561"/>
      <c r="U9" s="720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48"/>
      <c r="E10" s="572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7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30"/>
      <c r="R10" s="731"/>
      <c r="U10" s="24" t="s">
        <v>23</v>
      </c>
      <c r="V10" s="577" t="s">
        <v>24</v>
      </c>
      <c r="W10" s="578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8"/>
      <c r="R11" s="679"/>
      <c r="U11" s="24" t="s">
        <v>27</v>
      </c>
      <c r="V11" s="798" t="s">
        <v>28</v>
      </c>
      <c r="W11" s="64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88"/>
      <c r="R12" s="615"/>
      <c r="S12" s="23"/>
      <c r="U12" s="24"/>
      <c r="V12" s="587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798"/>
      <c r="R13" s="6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8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00" t="s">
        <v>35</v>
      </c>
      <c r="Q15" s="587"/>
      <c r="R15" s="587"/>
      <c r="S15" s="587"/>
      <c r="T15" s="5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90" t="s">
        <v>38</v>
      </c>
      <c r="D17" s="597" t="s">
        <v>39</v>
      </c>
      <c r="E17" s="660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9"/>
      <c r="R17" s="659"/>
      <c r="S17" s="659"/>
      <c r="T17" s="660"/>
      <c r="U17" s="836" t="s">
        <v>51</v>
      </c>
      <c r="V17" s="656"/>
      <c r="W17" s="597" t="s">
        <v>52</v>
      </c>
      <c r="X17" s="597" t="s">
        <v>53</v>
      </c>
      <c r="Y17" s="837" t="s">
        <v>54</v>
      </c>
      <c r="Z17" s="779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61"/>
      <c r="E18" s="663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61"/>
      <c r="Q18" s="662"/>
      <c r="R18" s="662"/>
      <c r="S18" s="662"/>
      <c r="T18" s="663"/>
      <c r="U18" s="67" t="s">
        <v>61</v>
      </c>
      <c r="V18" s="67" t="s">
        <v>62</v>
      </c>
      <c r="W18" s="598"/>
      <c r="X18" s="598"/>
      <c r="Y18" s="838"/>
      <c r="Z18" s="780"/>
      <c r="AA18" s="756"/>
      <c r="AB18" s="756"/>
      <c r="AC18" s="756"/>
      <c r="AD18" s="828"/>
      <c r="AE18" s="829"/>
      <c r="AF18" s="830"/>
      <c r="AG18" s="66"/>
      <c r="BD18" s="65"/>
    </row>
    <row r="19" spans="1:68" ht="27.75" hidden="1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hidden="1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hidden="1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hidden="1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hidden="1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hidden="1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hidden="1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hidden="1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hidden="1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500</v>
      </c>
      <c r="Y40" s="548">
        <f>IFERROR(IF(X40="",0,CEILING((X40/$H40),1)*$H40),"")</f>
        <v>507.6</v>
      </c>
      <c r="Z40" s="36">
        <f>IFERROR(IF(Y40=0,"",ROUNDUP(Y40/H40,0)*0.01898),"")</f>
        <v>0.89205999999999996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518.98148148148141</v>
      </c>
      <c r="BN40" s="64">
        <f>IFERROR(Y40*I40/H40,"0")</f>
        <v>526.87</v>
      </c>
      <c r="BO40" s="64">
        <f>IFERROR(1/J40*(X40/H40),"0")</f>
        <v>0.72337962962962954</v>
      </c>
      <c r="BP40" s="64">
        <f>IFERROR(1/J40*(Y40/H40),"0")</f>
        <v>0.734375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46.296296296296291</v>
      </c>
      <c r="Y43" s="549">
        <f>IFERROR(Y40/H40,"0")+IFERROR(Y41/H41,"0")+IFERROR(Y42/H42,"0")</f>
        <v>47</v>
      </c>
      <c r="Z43" s="549">
        <f>IFERROR(IF(Z40="",0,Z40),"0")+IFERROR(IF(Z41="",0,Z41),"0")+IFERROR(IF(Z42="",0,Z42),"0")</f>
        <v>0.89205999999999996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500</v>
      </c>
      <c r="Y44" s="549">
        <f>IFERROR(SUM(Y40:Y42),"0")</f>
        <v>507.6</v>
      </c>
      <c r="Z44" s="37"/>
      <c r="AA44" s="550"/>
      <c r="AB44" s="550"/>
      <c r="AC44" s="550"/>
    </row>
    <row r="45" spans="1:68" ht="14.25" hidden="1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hidden="1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hidden="1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hidden="1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300</v>
      </c>
      <c r="Y52" s="548">
        <f t="shared" si="0"/>
        <v>302.40000000000003</v>
      </c>
      <c r="Z52" s="36">
        <f>IFERROR(IF(Y52=0,"",ROUNDUP(Y52/H52,0)*0.01898),"")</f>
        <v>0.53144000000000002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311.38888888888891</v>
      </c>
      <c r="BN52" s="64">
        <f t="shared" si="2"/>
        <v>313.88</v>
      </c>
      <c r="BO52" s="64">
        <f t="shared" si="3"/>
        <v>0.43402777777777773</v>
      </c>
      <c r="BP52" s="64">
        <f t="shared" si="4"/>
        <v>0.4375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100</v>
      </c>
      <c r="Y56" s="548">
        <f t="shared" si="0"/>
        <v>103.5</v>
      </c>
      <c r="Z56" s="36">
        <f>IFERROR(IF(Y56=0,"",ROUNDUP(Y56/H56,0)*0.00902),"")</f>
        <v>0.20746000000000001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104.22222222222223</v>
      </c>
      <c r="BN56" s="64">
        <f t="shared" si="2"/>
        <v>107.87</v>
      </c>
      <c r="BO56" s="64">
        <f t="shared" si="3"/>
        <v>0.16835016835016836</v>
      </c>
      <c r="BP56" s="64">
        <f t="shared" si="4"/>
        <v>0.17424242424242425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50</v>
      </c>
      <c r="Y57" s="549">
        <f>IFERROR(Y51/H51,"0")+IFERROR(Y52/H52,"0")+IFERROR(Y53/H53,"0")+IFERROR(Y54/H54,"0")+IFERROR(Y55/H55,"0")+IFERROR(Y56/H56,"0")</f>
        <v>51</v>
      </c>
      <c r="Z57" s="549">
        <f>IFERROR(IF(Z51="",0,Z51),"0")+IFERROR(IF(Z52="",0,Z52),"0")+IFERROR(IF(Z53="",0,Z53),"0")+IFERROR(IF(Z54="",0,Z54),"0")+IFERROR(IF(Z55="",0,Z55),"0")+IFERROR(IF(Z56="",0,Z56),"0")</f>
        <v>0.7389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400</v>
      </c>
      <c r="Y58" s="549">
        <f>IFERROR(SUM(Y51:Y56),"0")</f>
        <v>405.90000000000003</v>
      </c>
      <c r="Z58" s="37"/>
      <c r="AA58" s="550"/>
      <c r="AB58" s="550"/>
      <c r="AC58" s="550"/>
    </row>
    <row r="59" spans="1:68" ht="14.25" hidden="1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0</v>
      </c>
      <c r="Y60" s="548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0</v>
      </c>
      <c r="Y63" s="549">
        <f>IFERROR(Y60/H60,"0")+IFERROR(Y61/H61,"0")+IFERROR(Y62/H62,"0")</f>
        <v>0</v>
      </c>
      <c r="Z63" s="549">
        <f>IFERROR(IF(Z60="",0,Z60),"0")+IFERROR(IF(Z61="",0,Z61),"0")+IFERROR(IF(Z62="",0,Z62),"0")</f>
        <v>0</v>
      </c>
      <c r="AA63" s="550"/>
      <c r="AB63" s="550"/>
      <c r="AC63" s="550"/>
    </row>
    <row r="64" spans="1:68" hidden="1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0</v>
      </c>
      <c r="Y64" s="549">
        <f>IFERROR(SUM(Y60:Y62),"0")</f>
        <v>0</v>
      </c>
      <c r="Z64" s="37"/>
      <c r="AA64" s="550"/>
      <c r="AB64" s="550"/>
      <c r="AC64" s="550"/>
    </row>
    <row r="65" spans="1:68" ht="14.25" hidden="1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hidden="1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hidden="1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hidden="1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hidden="1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hidden="1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hidden="1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hidden="1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300</v>
      </c>
      <c r="Y84" s="548">
        <f>IFERROR(IF(X84="",0,CEILING((X84/$H84),1)*$H84),"")</f>
        <v>302.40000000000003</v>
      </c>
      <c r="Z84" s="36">
        <f>IFERROR(IF(Y84=0,"",ROUNDUP(Y84/H84,0)*0.01898),"")</f>
        <v>0.53144000000000002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311.38888888888891</v>
      </c>
      <c r="BN84" s="64">
        <f>IFERROR(Y84*I84/H84,"0")</f>
        <v>313.88</v>
      </c>
      <c r="BO84" s="64">
        <f>IFERROR(1/J84*(X84/H84),"0")</f>
        <v>0.43402777777777773</v>
      </c>
      <c r="BP84" s="64">
        <f>IFERROR(1/J84*(Y84/H84),"0")</f>
        <v>0.4375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6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27.777777777777775</v>
      </c>
      <c r="Y88" s="549">
        <f>IFERROR(Y84/H84,"0")+IFERROR(Y85/H85,"0")+IFERROR(Y86/H86,"0")+IFERROR(Y87/H87,"0")</f>
        <v>28</v>
      </c>
      <c r="Z88" s="549">
        <f>IFERROR(IF(Z84="",0,Z84),"0")+IFERROR(IF(Z85="",0,Z85),"0")+IFERROR(IF(Z86="",0,Z86),"0")+IFERROR(IF(Z87="",0,Z87),"0")</f>
        <v>0.53144000000000002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300</v>
      </c>
      <c r="Y89" s="549">
        <f>IFERROR(SUM(Y84:Y87),"0")</f>
        <v>302.40000000000003</v>
      </c>
      <c r="Z89" s="37"/>
      <c r="AA89" s="550"/>
      <c r="AB89" s="550"/>
      <c r="AC89" s="550"/>
    </row>
    <row r="90" spans="1:68" ht="14.25" hidden="1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500</v>
      </c>
      <c r="Y91" s="548">
        <f>IFERROR(IF(X91="",0,CEILING((X91/$H91),1)*$H91),"")</f>
        <v>502.2</v>
      </c>
      <c r="Z91" s="36">
        <f>IFERROR(IF(Y91=0,"",ROUNDUP(Y91/H91,0)*0.01898),"")</f>
        <v>1.17676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530.49382716049388</v>
      </c>
      <c r="BN91" s="64">
        <f>IFERROR(Y91*I91/H91,"0")</f>
        <v>532.82799999999997</v>
      </c>
      <c r="BO91" s="64">
        <f>IFERROR(1/J91*(X91/H91),"0")</f>
        <v>0.96450617283950624</v>
      </c>
      <c r="BP91" s="64">
        <f>IFERROR(1/J91*(Y91/H91),"0")</f>
        <v>0.96875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225</v>
      </c>
      <c r="Y93" s="548">
        <f>IFERROR(IF(X93="",0,CEILING((X93/$H93),1)*$H93),"")</f>
        <v>226.8</v>
      </c>
      <c r="Z93" s="36">
        <f>IFERROR(IF(Y93=0,"",ROUNDUP(Y93/H93,0)*0.00651),"")</f>
        <v>0.54683999999999999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246</v>
      </c>
      <c r="BN93" s="64">
        <f>IFERROR(Y93*I93/H93,"0")</f>
        <v>247.96799999999999</v>
      </c>
      <c r="BO93" s="64">
        <f>IFERROR(1/J93*(X93/H93),"0")</f>
        <v>0.45787545787545786</v>
      </c>
      <c r="BP93" s="64">
        <f>IFERROR(1/J93*(Y93/H93),"0")</f>
        <v>0.46153846153846156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145.06172839506172</v>
      </c>
      <c r="Y95" s="549">
        <f>IFERROR(Y91/H91,"0")+IFERROR(Y92/H92,"0")+IFERROR(Y93/H93,"0")+IFERROR(Y94/H94,"0")</f>
        <v>146</v>
      </c>
      <c r="Z95" s="549">
        <f>IFERROR(IF(Z91="",0,Z91),"0")+IFERROR(IF(Z92="",0,Z92),"0")+IFERROR(IF(Z93="",0,Z93),"0")+IFERROR(IF(Z94="",0,Z94),"0")</f>
        <v>1.7236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725</v>
      </c>
      <c r="Y96" s="549">
        <f>IFERROR(SUM(Y91:Y94),"0")</f>
        <v>729</v>
      </c>
      <c r="Z96" s="37"/>
      <c r="AA96" s="550"/>
      <c r="AB96" s="550"/>
      <c r="AC96" s="550"/>
    </row>
    <row r="97" spans="1:68" ht="16.5" hidden="1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hidden="1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300</v>
      </c>
      <c r="Y99" s="548">
        <f>IFERROR(IF(X99="",0,CEILING((X99/$H99),1)*$H99),"")</f>
        <v>302.40000000000003</v>
      </c>
      <c r="Z99" s="36">
        <f>IFERROR(IF(Y99=0,"",ROUNDUP(Y99/H99,0)*0.01898),"")</f>
        <v>0.53144000000000002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311.38888888888891</v>
      </c>
      <c r="BN99" s="64">
        <f>IFERROR(Y99*I99/H99,"0")</f>
        <v>313.88</v>
      </c>
      <c r="BO99" s="64">
        <f>IFERROR(1/J99*(X99/H99),"0")</f>
        <v>0.43402777777777773</v>
      </c>
      <c r="BP99" s="64">
        <f>IFERROR(1/J99*(Y99/H99),"0")</f>
        <v>0.4375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100</v>
      </c>
      <c r="Y102" s="548">
        <f>IFERROR(IF(X102="",0,CEILING((X102/$H102),1)*$H102),"")</f>
        <v>103.5</v>
      </c>
      <c r="Z102" s="36">
        <f>IFERROR(IF(Y102=0,"",ROUNDUP(Y102/H102,0)*0.00902),"")</f>
        <v>0.20746000000000001</v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104.22222222222223</v>
      </c>
      <c r="BN102" s="64">
        <f>IFERROR(Y102*I102/H102,"0")</f>
        <v>107.87</v>
      </c>
      <c r="BO102" s="64">
        <f>IFERROR(1/J102*(X102/H102),"0")</f>
        <v>0.16835016835016836</v>
      </c>
      <c r="BP102" s="64">
        <f>IFERROR(1/J102*(Y102/H102),"0")</f>
        <v>0.17424242424242425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50</v>
      </c>
      <c r="Y104" s="549">
        <f>IFERROR(Y99/H99,"0")+IFERROR(Y100/H100,"0")+IFERROR(Y101/H101,"0")+IFERROR(Y102/H102,"0")+IFERROR(Y103/H103,"0")</f>
        <v>51</v>
      </c>
      <c r="Z104" s="549">
        <f>IFERROR(IF(Z99="",0,Z99),"0")+IFERROR(IF(Z100="",0,Z100),"0")+IFERROR(IF(Z101="",0,Z101),"0")+IFERROR(IF(Z102="",0,Z102),"0")+IFERROR(IF(Z103="",0,Z103),"0")</f>
        <v>0.7389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400</v>
      </c>
      <c r="Y105" s="549">
        <f>IFERROR(SUM(Y99:Y103),"0")</f>
        <v>405.90000000000003</v>
      </c>
      <c r="Z105" s="37"/>
      <c r="AA105" s="550"/>
      <c r="AB105" s="550"/>
      <c r="AC105" s="550"/>
    </row>
    <row r="106" spans="1:68" ht="14.25" hidden="1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hidden="1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hidden="1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500</v>
      </c>
      <c r="Y114" s="548">
        <f>IFERROR(IF(X114="",0,CEILING((X114/$H114),1)*$H114),"")</f>
        <v>502.2</v>
      </c>
      <c r="Z114" s="36">
        <f>IFERROR(IF(Y114=0,"",ROUNDUP(Y114/H114,0)*0.01898),"")</f>
        <v>1.17676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530.12345679012344</v>
      </c>
      <c r="BN114" s="64">
        <f>IFERROR(Y114*I114/H114,"0")</f>
        <v>532.4559999999999</v>
      </c>
      <c r="BO114" s="64">
        <f>IFERROR(1/J114*(X114/H114),"0")</f>
        <v>0.96450617283950624</v>
      </c>
      <c r="BP114" s="64">
        <f>IFERROR(1/J114*(Y114/H114),"0")</f>
        <v>0.96875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1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900</v>
      </c>
      <c r="Y116" s="548">
        <f>IFERROR(IF(X116="",0,CEILING((X116/$H116),1)*$H116),"")</f>
        <v>901.80000000000007</v>
      </c>
      <c r="Z116" s="36">
        <f>IFERROR(IF(Y116=0,"",ROUNDUP(Y116/H116,0)*0.00651),"")</f>
        <v>2.1743399999999999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984</v>
      </c>
      <c r="BN116" s="64">
        <f>IFERROR(Y116*I116/H116,"0")</f>
        <v>985.96799999999996</v>
      </c>
      <c r="BO116" s="64">
        <f>IFERROR(1/J116*(X116/H116),"0")</f>
        <v>1.8315018315018314</v>
      </c>
      <c r="BP116" s="64">
        <f>IFERROR(1/J116*(Y116/H116),"0")</f>
        <v>1.8351648351648353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395.06172839506172</v>
      </c>
      <c r="Y118" s="549">
        <f>IFERROR(Y114/H114,"0")+IFERROR(Y115/H115,"0")+IFERROR(Y116/H116,"0")+IFERROR(Y117/H117,"0")</f>
        <v>396</v>
      </c>
      <c r="Z118" s="549">
        <f>IFERROR(IF(Z114="",0,Z114),"0")+IFERROR(IF(Z115="",0,Z115),"0")+IFERROR(IF(Z116="",0,Z116),"0")+IFERROR(IF(Z117="",0,Z117),"0")</f>
        <v>3.3510999999999997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1400</v>
      </c>
      <c r="Y119" s="549">
        <f>IFERROR(SUM(Y114:Y117),"0")</f>
        <v>1404</v>
      </c>
      <c r="Z119" s="37"/>
      <c r="AA119" s="550"/>
      <c r="AB119" s="550"/>
      <c r="AC119" s="550"/>
    </row>
    <row r="120" spans="1:68" ht="14.25" hidden="1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hidden="1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hidden="1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hidden="1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hidden="1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hidden="1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hidden="1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hidden="1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hidden="1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hidden="1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hidden="1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hidden="1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hidden="1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6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0</v>
      </c>
      <c r="Y152" s="549">
        <f>IFERROR(Y147/H147,"0")+IFERROR(Y148/H148,"0")+IFERROR(Y149/H149,"0")+IFERROR(Y150/H150,"0")+IFERROR(Y151/H151,"0")</f>
        <v>0</v>
      </c>
      <c r="Z152" s="549">
        <f>IFERROR(IF(Z147="",0,Z147),"0")+IFERROR(IF(Z148="",0,Z148),"0")+IFERROR(IF(Z149="",0,Z149),"0")+IFERROR(IF(Z150="",0,Z150),"0")+IFERROR(IF(Z151="",0,Z151),"0")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0</v>
      </c>
      <c r="Y153" s="549">
        <f>IFERROR(SUM(Y147:Y151),"0")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hidden="1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hidden="1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5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74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hidden="1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hidden="1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0</v>
      </c>
      <c r="Y180" s="549">
        <f>IFERROR(SUM(Y165:Y178),"0")</f>
        <v>0</v>
      </c>
      <c r="Z180" s="37"/>
      <c r="AA180" s="550"/>
      <c r="AB180" s="550"/>
      <c r="AC180" s="550"/>
    </row>
    <row r="181" spans="1:68" ht="14.25" hidden="1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hidden="1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6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hidden="1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hidden="1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8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480</v>
      </c>
      <c r="Y219" s="548">
        <f t="shared" si="15"/>
        <v>480</v>
      </c>
      <c r="Z219" s="36">
        <f t="shared" si="20"/>
        <v>1.302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530.40000000000009</v>
      </c>
      <c r="BN219" s="64">
        <f t="shared" si="17"/>
        <v>530.40000000000009</v>
      </c>
      <c r="BO219" s="64">
        <f t="shared" si="18"/>
        <v>1.098901098901099</v>
      </c>
      <c r="BP219" s="64">
        <f t="shared" si="19"/>
        <v>1.098901098901099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280</v>
      </c>
      <c r="Y220" s="548">
        <f t="shared" si="15"/>
        <v>280.8</v>
      </c>
      <c r="Z220" s="36">
        <f t="shared" si="20"/>
        <v>0.76167000000000007</v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309.40000000000003</v>
      </c>
      <c r="BN220" s="64">
        <f t="shared" si="17"/>
        <v>310.28400000000005</v>
      </c>
      <c r="BO220" s="64">
        <f t="shared" si="18"/>
        <v>0.64102564102564108</v>
      </c>
      <c r="BP220" s="64">
        <f t="shared" si="19"/>
        <v>0.64285714285714302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316.66666666666669</v>
      </c>
      <c r="Y223" s="549">
        <f>IFERROR(Y214/H214,"0")+IFERROR(Y215/H215,"0")+IFERROR(Y216/H216,"0")+IFERROR(Y217/H217,"0")+IFERROR(Y218/H218,"0")+IFERROR(Y219/H219,"0")+IFERROR(Y220/H220,"0")+IFERROR(Y221/H221,"0")+IFERROR(Y222/H222,"0")</f>
        <v>317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2.0636700000000001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760</v>
      </c>
      <c r="Y224" s="549">
        <f>IFERROR(SUM(Y214:Y222),"0")</f>
        <v>760.8</v>
      </c>
      <c r="Z224" s="37"/>
      <c r="AA224" s="550"/>
      <c r="AB224" s="550"/>
      <c r="AC224" s="550"/>
    </row>
    <row r="225" spans="1:68" ht="14.25" hidden="1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hidden="1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hidden="1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hidden="1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hidden="1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hidden="1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hidden="1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hidden="1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3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6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idden="1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0</v>
      </c>
      <c r="Y302" s="549">
        <f>IFERROR(Y296/H296,"0")+IFERROR(Y297/H297,"0")+IFERROR(Y298/H298,"0")+IFERROR(Y299/H299,"0")+IFERROR(Y300/H300,"0")+IFERROR(Y301/H301,"0")</f>
        <v>0</v>
      </c>
      <c r="Z302" s="549">
        <f>IFERROR(IF(Z296="",0,Z296),"0")+IFERROR(IF(Z297="",0,Z297),"0")+IFERROR(IF(Z298="",0,Z298),"0")+IFERROR(IF(Z299="",0,Z299),"0")+IFERROR(IF(Z300="",0,Z300),"0")+IFERROR(IF(Z301="",0,Z301),"0")</f>
        <v>0</v>
      </c>
      <c r="AA302" s="550"/>
      <c r="AB302" s="550"/>
      <c r="AC302" s="550"/>
    </row>
    <row r="303" spans="1:68" hidden="1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0</v>
      </c>
      <c r="Y303" s="549">
        <f>IFERROR(SUM(Y296:Y301),"0")</f>
        <v>0</v>
      </c>
      <c r="Z303" s="37"/>
      <c r="AA303" s="550"/>
      <c r="AB303" s="550"/>
      <c r="AC303" s="550"/>
    </row>
    <row r="304" spans="1:68" ht="14.25" hidden="1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0</v>
      </c>
      <c r="Y311" s="549">
        <f>IFERROR(Y305/H305,"0")+IFERROR(Y306/H306,"0")+IFERROR(Y307/H307,"0")+IFERROR(Y308/H308,"0")+IFERROR(Y309/H309,"0")+IFERROR(Y310/H310,"0")</f>
        <v>0</v>
      </c>
      <c r="Z311" s="549">
        <f>IFERROR(IF(Z305="",0,Z305),"0")+IFERROR(IF(Z306="",0,Z306),"0")+IFERROR(IF(Z307="",0,Z307),"0")+IFERROR(IF(Z308="",0,Z308),"0")+IFERROR(IF(Z309="",0,Z309),"0")+IFERROR(IF(Z310="",0,Z310),"0")</f>
        <v>0</v>
      </c>
      <c r="AA311" s="550"/>
      <c r="AB311" s="550"/>
      <c r="AC311" s="550"/>
    </row>
    <row r="312" spans="1:68" hidden="1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0</v>
      </c>
      <c r="Y312" s="549">
        <f>IFERROR(SUM(Y305:Y310),"0")</f>
        <v>0</v>
      </c>
      <c r="Z312" s="37"/>
      <c r="AA312" s="550"/>
      <c r="AB312" s="550"/>
      <c r="AC312" s="550"/>
    </row>
    <row r="313" spans="1:68" ht="14.25" hidden="1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250</v>
      </c>
      <c r="Y314" s="548">
        <f>IFERROR(IF(X314="",0,CEILING((X314/$H314),1)*$H314),"")</f>
        <v>257.39999999999998</v>
      </c>
      <c r="Z314" s="36">
        <f>IFERROR(IF(Y314=0,"",ROUNDUP(Y314/H314,0)*0.01898),"")</f>
        <v>0.62634000000000001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265.64102564102564</v>
      </c>
      <c r="BN314" s="64">
        <f>IFERROR(Y314*I314/H314,"0")</f>
        <v>273.50400000000002</v>
      </c>
      <c r="BO314" s="64">
        <f>IFERROR(1/J314*(X314/H314),"0")</f>
        <v>0.50080128205128205</v>
      </c>
      <c r="BP314" s="64">
        <f>IFERROR(1/J314*(Y314/H314),"0")</f>
        <v>0.515625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32.051282051282051</v>
      </c>
      <c r="Y318" s="549">
        <f>IFERROR(Y314/H314,"0")+IFERROR(Y315/H315,"0")+IFERROR(Y316/H316,"0")+IFERROR(Y317/H317,"0")</f>
        <v>33</v>
      </c>
      <c r="Z318" s="549">
        <f>IFERROR(IF(Z314="",0,Z314),"0")+IFERROR(IF(Z315="",0,Z315),"0")+IFERROR(IF(Z316="",0,Z316),"0")+IFERROR(IF(Z317="",0,Z317),"0")</f>
        <v>0.62634000000000001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250</v>
      </c>
      <c r="Y319" s="549">
        <f>IFERROR(SUM(Y314:Y317),"0")</f>
        <v>257.39999999999998</v>
      </c>
      <c r="Z319" s="37"/>
      <c r="AA319" s="550"/>
      <c r="AB319" s="550"/>
      <c r="AC319" s="550"/>
    </row>
    <row r="320" spans="1:68" ht="14.25" hidden="1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300</v>
      </c>
      <c r="Y322" s="548">
        <f>IFERROR(IF(X322="",0,CEILING((X322/$H322),1)*$H322),"")</f>
        <v>304.2</v>
      </c>
      <c r="Z322" s="36">
        <f>IFERROR(IF(Y322=0,"",ROUNDUP(Y322/H322,0)*0.01898),"")</f>
        <v>0.74021999999999999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319.00000000000006</v>
      </c>
      <c r="BN322" s="64">
        <f>IFERROR(Y322*I322/H322,"0")</f>
        <v>323.46600000000001</v>
      </c>
      <c r="BO322" s="64">
        <f>IFERROR(1/J322*(X322/H322),"0")</f>
        <v>0.60096153846153844</v>
      </c>
      <c r="BP322" s="64">
        <f>IFERROR(1/J322*(Y322/H322),"0")</f>
        <v>0.609375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0</v>
      </c>
      <c r="Y323" s="548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38.46153846153846</v>
      </c>
      <c r="Y324" s="549">
        <f>IFERROR(Y321/H321,"0")+IFERROR(Y322/H322,"0")+IFERROR(Y323/H323,"0")</f>
        <v>39</v>
      </c>
      <c r="Z324" s="549">
        <f>IFERROR(IF(Z321="",0,Z321),"0")+IFERROR(IF(Z322="",0,Z322),"0")+IFERROR(IF(Z323="",0,Z323),"0")</f>
        <v>0.74021999999999999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300</v>
      </c>
      <c r="Y325" s="549">
        <f>IFERROR(SUM(Y321:Y323),"0")</f>
        <v>304.2</v>
      </c>
      <c r="Z325" s="37"/>
      <c r="AA325" s="550"/>
      <c r="AB325" s="550"/>
      <c r="AC325" s="550"/>
    </row>
    <row r="326" spans="1:68" ht="14.25" hidden="1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hidden="1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hidden="1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hidden="1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hidden="1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hidden="1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168</v>
      </c>
      <c r="Y342" s="548">
        <f>IFERROR(IF(X342="",0,CEILING((X342/$H342),1)*$H342),"")</f>
        <v>168</v>
      </c>
      <c r="Z342" s="36">
        <f>IFERROR(IF(Y342=0,"",ROUNDUP(Y342/H342,0)*0.00651),"")</f>
        <v>0.52080000000000004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188.15999999999997</v>
      </c>
      <c r="BN342" s="64">
        <f>IFERROR(Y342*I342/H342,"0")</f>
        <v>188.15999999999997</v>
      </c>
      <c r="BO342" s="64">
        <f>IFERROR(1/J342*(X342/H342),"0")</f>
        <v>0.43956043956043961</v>
      </c>
      <c r="BP342" s="64">
        <f>IFERROR(1/J342*(Y342/H342),"0")</f>
        <v>0.43956043956043961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84</v>
      </c>
      <c r="Y343" s="548">
        <f>IFERROR(IF(X343="",0,CEILING((X343/$H343),1)*$H343),"")</f>
        <v>84</v>
      </c>
      <c r="Z343" s="36">
        <f>IFERROR(IF(Y343=0,"",ROUNDUP(Y343/H343,0)*0.00651),"")</f>
        <v>0.26040000000000002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93.6</v>
      </c>
      <c r="BN343" s="64">
        <f>IFERROR(Y343*I343/H343,"0")</f>
        <v>93.6</v>
      </c>
      <c r="BO343" s="64">
        <f>IFERROR(1/J343*(X343/H343),"0")</f>
        <v>0.2197802197802198</v>
      </c>
      <c r="BP343" s="64">
        <f>IFERROR(1/J343*(Y343/H343),"0")</f>
        <v>0.2197802197802198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120</v>
      </c>
      <c r="Y344" s="549">
        <f>IFERROR(Y341/H341,"0")+IFERROR(Y342/H342,"0")+IFERROR(Y343/H343,"0")</f>
        <v>120</v>
      </c>
      <c r="Z344" s="549">
        <f>IFERROR(IF(Z341="",0,Z341),"0")+IFERROR(IF(Z342="",0,Z342),"0")+IFERROR(IF(Z343="",0,Z343),"0")</f>
        <v>0.78120000000000012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252</v>
      </c>
      <c r="Y345" s="549">
        <f>IFERROR(SUM(Y341:Y343),"0")</f>
        <v>252</v>
      </c>
      <c r="Z345" s="37"/>
      <c r="AA345" s="550"/>
      <c r="AB345" s="550"/>
      <c r="AC345" s="550"/>
    </row>
    <row r="346" spans="1:68" ht="27.75" hidden="1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hidden="1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hidden="1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800</v>
      </c>
      <c r="Y349" s="548">
        <f t="shared" ref="Y349:Y355" si="36">IFERROR(IF(X349="",0,CEILING((X349/$H349),1)*$H349),"")</f>
        <v>810</v>
      </c>
      <c r="Z349" s="36">
        <f>IFERROR(IF(Y349=0,"",ROUNDUP(Y349/H349,0)*0.02175),"")</f>
        <v>1.1744999999999999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825.06666666666672</v>
      </c>
      <c r="BN349" s="64">
        <f t="shared" ref="BN349:BN355" si="38">IFERROR(Y349*I349/H349,"0")</f>
        <v>835.38</v>
      </c>
      <c r="BO349" s="64">
        <f t="shared" ref="BO349:BO355" si="39">IFERROR(1/J349*(X349/H349),"0")</f>
        <v>1.1111111111111112</v>
      </c>
      <c r="BP349" s="64">
        <f t="shared" ref="BP349:BP355" si="40">IFERROR(1/J349*(Y349/H349),"0")</f>
        <v>1.125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1000</v>
      </c>
      <c r="Y350" s="548">
        <f t="shared" si="36"/>
        <v>1005</v>
      </c>
      <c r="Z350" s="36">
        <f>IFERROR(IF(Y350=0,"",ROUNDUP(Y350/H350,0)*0.02175),"")</f>
        <v>1.4572499999999999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1031.3333333333333</v>
      </c>
      <c r="BN350" s="64">
        <f t="shared" si="38"/>
        <v>1036.49</v>
      </c>
      <c r="BO350" s="64">
        <f t="shared" si="39"/>
        <v>1.3888888888888888</v>
      </c>
      <c r="BP350" s="64">
        <f t="shared" si="40"/>
        <v>1.3958333333333333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800</v>
      </c>
      <c r="Y351" s="548">
        <f t="shared" si="36"/>
        <v>810</v>
      </c>
      <c r="Z351" s="36">
        <f>IFERROR(IF(Y351=0,"",ROUNDUP(Y351/H351,0)*0.02175),"")</f>
        <v>1.1744999999999999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825.06666666666672</v>
      </c>
      <c r="BN351" s="64">
        <f t="shared" si="38"/>
        <v>835.38</v>
      </c>
      <c r="BO351" s="64">
        <f t="shared" si="39"/>
        <v>1.1111111111111112</v>
      </c>
      <c r="BP351" s="64">
        <f t="shared" si="40"/>
        <v>1.125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173.33333333333334</v>
      </c>
      <c r="Y356" s="549">
        <f>IFERROR(Y349/H349,"0")+IFERROR(Y350/H350,"0")+IFERROR(Y351/H351,"0")+IFERROR(Y352/H352,"0")+IFERROR(Y353/H353,"0")+IFERROR(Y354/H354,"0")+IFERROR(Y355/H355,"0")</f>
        <v>175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3.8062499999999995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2600</v>
      </c>
      <c r="Y357" s="549">
        <f>IFERROR(SUM(Y349:Y355),"0")</f>
        <v>2625</v>
      </c>
      <c r="Z357" s="37"/>
      <c r="AA357" s="550"/>
      <c r="AB357" s="550"/>
      <c r="AC357" s="550"/>
    </row>
    <row r="358" spans="1:68" ht="14.25" hidden="1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600</v>
      </c>
      <c r="Y359" s="548">
        <f>IFERROR(IF(X359="",0,CEILING((X359/$H359),1)*$H359),"")</f>
        <v>600</v>
      </c>
      <c r="Z359" s="36">
        <f>IFERROR(IF(Y359=0,"",ROUNDUP(Y359/H359,0)*0.02175),"")</f>
        <v>0.86999999999999988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618.79999999999995</v>
      </c>
      <c r="BN359" s="64">
        <f>IFERROR(Y359*I359/H359,"0")</f>
        <v>618.79999999999995</v>
      </c>
      <c r="BO359" s="64">
        <f>IFERROR(1/J359*(X359/H359),"0")</f>
        <v>0.83333333333333326</v>
      </c>
      <c r="BP359" s="64">
        <f>IFERROR(1/J359*(Y359/H359),"0")</f>
        <v>0.83333333333333326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7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40</v>
      </c>
      <c r="Y361" s="549">
        <f>IFERROR(Y359/H359,"0")+IFERROR(Y360/H360,"0")</f>
        <v>40</v>
      </c>
      <c r="Z361" s="549">
        <f>IFERROR(IF(Z359="",0,Z359),"0")+IFERROR(IF(Z360="",0,Z360),"0")</f>
        <v>0.86999999999999988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600</v>
      </c>
      <c r="Y362" s="549">
        <f>IFERROR(SUM(Y359:Y360),"0")</f>
        <v>600</v>
      </c>
      <c r="Z362" s="37"/>
      <c r="AA362" s="550"/>
      <c r="AB362" s="550"/>
      <c r="AC362" s="550"/>
    </row>
    <row r="363" spans="1:68" ht="14.25" hidden="1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7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hidden="1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hidden="1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hidden="1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hidden="1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hidden="1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6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hidden="1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hidden="1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8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hidden="1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hidden="1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1100</v>
      </c>
      <c r="Y384" s="548">
        <f>IFERROR(IF(X384="",0,CEILING((X384/$H384),1)*$H384),"")</f>
        <v>1107</v>
      </c>
      <c r="Z384" s="36">
        <f>IFERROR(IF(Y384=0,"",ROUNDUP(Y384/H384,0)*0.01898),"")</f>
        <v>2.3345400000000001</v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1160.3777777777777</v>
      </c>
      <c r="BN384" s="64">
        <f>IFERROR(Y384*I384/H384,"0")</f>
        <v>1167.7619999999999</v>
      </c>
      <c r="BO384" s="64">
        <f>IFERROR(1/J384*(X384/H384),"0")</f>
        <v>1.9097222222222223</v>
      </c>
      <c r="BP384" s="64">
        <f>IFERROR(1/J384*(Y384/H384),"0")</f>
        <v>1.921875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120</v>
      </c>
      <c r="Y385" s="548">
        <f>IFERROR(IF(X385="",0,CEILING((X385/$H385),1)*$H385),"")</f>
        <v>120</v>
      </c>
      <c r="Z385" s="36">
        <f>IFERROR(IF(Y385=0,"",ROUNDUP(Y385/H385,0)*0.00651),"")</f>
        <v>0.32550000000000001</v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133.20000000000002</v>
      </c>
      <c r="BN385" s="64">
        <f>IFERROR(Y385*I385/H385,"0")</f>
        <v>133.20000000000002</v>
      </c>
      <c r="BO385" s="64">
        <f>IFERROR(1/J385*(X385/H385),"0")</f>
        <v>0.27472527472527475</v>
      </c>
      <c r="BP385" s="64">
        <f>IFERROR(1/J385*(Y385/H385),"0")</f>
        <v>0.27472527472527475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172.22222222222223</v>
      </c>
      <c r="Y387" s="549">
        <f>IFERROR(Y384/H384,"0")+IFERROR(Y385/H385,"0")+IFERROR(Y386/H386,"0")</f>
        <v>173</v>
      </c>
      <c r="Z387" s="549">
        <f>IFERROR(IF(Z384="",0,Z384),"0")+IFERROR(IF(Z385="",0,Z385),"0")+IFERROR(IF(Z386="",0,Z386),"0")</f>
        <v>2.66004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1220</v>
      </c>
      <c r="Y388" s="549">
        <f>IFERROR(SUM(Y384:Y386),"0")</f>
        <v>1227</v>
      </c>
      <c r="Z388" s="37"/>
      <c r="AA388" s="550"/>
      <c r="AB388" s="550"/>
      <c r="AC388" s="550"/>
    </row>
    <row r="389" spans="1:68" ht="27.75" hidden="1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hidden="1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hidden="1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6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0</v>
      </c>
      <c r="Y401" s="549">
        <f>IFERROR(Y392/H392,"0")+IFERROR(Y393/H393,"0")+IFERROR(Y394/H394,"0")+IFERROR(Y395/H395,"0")+IFERROR(Y396/H396,"0")+IFERROR(Y397/H397,"0")+IFERROR(Y398/H398,"0")+IFERROR(Y399/H399,"0")+IFERROR(Y400/H400,"0")</f>
        <v>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0"/>
      <c r="AB401" s="550"/>
      <c r="AC401" s="550"/>
    </row>
    <row r="402" spans="1:68" hidden="1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0</v>
      </c>
      <c r="Y402" s="549">
        <f>IFERROR(SUM(Y392:Y400),"0")</f>
        <v>0</v>
      </c>
      <c r="Z402" s="37"/>
      <c r="AA402" s="550"/>
      <c r="AB402" s="550"/>
      <c r="AC402" s="550"/>
    </row>
    <row r="403" spans="1:68" ht="14.25" hidden="1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hidden="1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hidden="1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hidden="1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hidden="1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hidden="1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hidden="1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hidden="1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hidden="1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5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hidden="1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hidden="1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hidden="1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hidden="1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200</v>
      </c>
      <c r="Y428" s="548">
        <f t="shared" ref="Y428:Y439" si="47">IFERROR(IF(X428="",0,CEILING((X428/$H428),1)*$H428),"")</f>
        <v>200.64000000000001</v>
      </c>
      <c r="Z428" s="36">
        <f t="shared" ref="Z428:Z434" si="48">IFERROR(IF(Y428=0,"",ROUNDUP(Y428/H428,0)*0.01196),"")</f>
        <v>0.45448</v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213.25757575757575</v>
      </c>
      <c r="BN428" s="64">
        <f t="shared" ref="BN428:BN439" si="50">IFERROR(Y428*I428/H428,"0")</f>
        <v>213.94</v>
      </c>
      <c r="BO428" s="64">
        <f t="shared" ref="BO428:BO439" si="51">IFERROR(1/J428*(X428/H428),"0")</f>
        <v>0.36421911421911418</v>
      </c>
      <c r="BP428" s="64">
        <f t="shared" ref="BP428:BP439" si="52">IFERROR(1/J428*(Y428/H428),"0")</f>
        <v>0.36538461538461542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150</v>
      </c>
      <c r="Y431" s="548">
        <f t="shared" si="47"/>
        <v>153.12</v>
      </c>
      <c r="Z431" s="36">
        <f t="shared" si="48"/>
        <v>0.34683999999999998</v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159.94318181818181</v>
      </c>
      <c r="BN431" s="64">
        <f t="shared" si="50"/>
        <v>163.26999999999998</v>
      </c>
      <c r="BO431" s="64">
        <f t="shared" si="51"/>
        <v>0.27316433566433568</v>
      </c>
      <c r="BP431" s="64">
        <f t="shared" si="52"/>
        <v>0.27884615384615385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7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1500</v>
      </c>
      <c r="Y432" s="548">
        <f t="shared" si="47"/>
        <v>1504.8000000000002</v>
      </c>
      <c r="Z432" s="36">
        <f t="shared" si="48"/>
        <v>3.4085999999999999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1599.431818181818</v>
      </c>
      <c r="BN432" s="64">
        <f t="shared" si="50"/>
        <v>1604.5500000000002</v>
      </c>
      <c r="BO432" s="64">
        <f t="shared" si="51"/>
        <v>2.7316433566433567</v>
      </c>
      <c r="BP432" s="64">
        <f t="shared" si="52"/>
        <v>2.7403846153846154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1500</v>
      </c>
      <c r="Y434" s="548">
        <f t="shared" si="47"/>
        <v>1504.8000000000002</v>
      </c>
      <c r="Z434" s="36">
        <f t="shared" si="48"/>
        <v>3.4085999999999999</v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1599.431818181818</v>
      </c>
      <c r="BN434" s="64">
        <f t="shared" si="50"/>
        <v>1604.5500000000002</v>
      </c>
      <c r="BO434" s="64">
        <f t="shared" si="51"/>
        <v>2.7316433566433567</v>
      </c>
      <c r="BP434" s="64">
        <f t="shared" si="52"/>
        <v>2.7403846153846154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2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634.469696969697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637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7.6185200000000002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3350</v>
      </c>
      <c r="Y441" s="549">
        <f>IFERROR(SUM(Y428:Y439),"0")</f>
        <v>3363.3600000000006</v>
      </c>
      <c r="Z441" s="37"/>
      <c r="AA441" s="550"/>
      <c r="AB441" s="550"/>
      <c r="AC441" s="550"/>
    </row>
    <row r="442" spans="1:68" ht="14.25" hidden="1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5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800</v>
      </c>
      <c r="Y443" s="548">
        <f>IFERROR(IF(X443="",0,CEILING((X443/$H443),1)*$H443),"")</f>
        <v>802.56000000000006</v>
      </c>
      <c r="Z443" s="36">
        <f>IFERROR(IF(Y443=0,"",ROUNDUP(Y443/H443,0)*0.01196),"")</f>
        <v>1.81792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853.030303030303</v>
      </c>
      <c r="BN443" s="64">
        <f>IFERROR(Y443*I443/H443,"0")</f>
        <v>855.76</v>
      </c>
      <c r="BO443" s="64">
        <f>IFERROR(1/J443*(X443/H443),"0")</f>
        <v>1.4568764568764567</v>
      </c>
      <c r="BP443" s="64">
        <f>IFERROR(1/J443*(Y443/H443),"0")</f>
        <v>1.4615384615384617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151.5151515151515</v>
      </c>
      <c r="Y446" s="549">
        <f>IFERROR(Y443/H443,"0")+IFERROR(Y444/H444,"0")+IFERROR(Y445/H445,"0")</f>
        <v>152</v>
      </c>
      <c r="Z446" s="549">
        <f>IFERROR(IF(Z443="",0,Z443),"0")+IFERROR(IF(Z444="",0,Z444),"0")+IFERROR(IF(Z445="",0,Z445),"0")</f>
        <v>1.81792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800</v>
      </c>
      <c r="Y447" s="549">
        <f>IFERROR(SUM(Y443:Y445),"0")</f>
        <v>802.56000000000006</v>
      </c>
      <c r="Z447" s="37"/>
      <c r="AA447" s="550"/>
      <c r="AB447" s="550"/>
      <c r="AC447" s="550"/>
    </row>
    <row r="448" spans="1:68" ht="14.25" hidden="1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300</v>
      </c>
      <c r="Y449" s="548">
        <f t="shared" ref="Y449:Y454" si="53">IFERROR(IF(X449="",0,CEILING((X449/$H449),1)*$H449),"")</f>
        <v>300.96000000000004</v>
      </c>
      <c r="Z449" s="36">
        <f>IFERROR(IF(Y449=0,"",ROUNDUP(Y449/H449,0)*0.01196),"")</f>
        <v>0.68171999999999999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319.88636363636363</v>
      </c>
      <c r="BN449" s="64">
        <f t="shared" ref="BN449:BN454" si="55">IFERROR(Y449*I449/H449,"0")</f>
        <v>320.91000000000003</v>
      </c>
      <c r="BO449" s="64">
        <f t="shared" ref="BO449:BO454" si="56">IFERROR(1/J449*(X449/H449),"0")</f>
        <v>0.54632867132867136</v>
      </c>
      <c r="BP449" s="64">
        <f t="shared" ref="BP449:BP454" si="57">IFERROR(1/J449*(Y449/H449),"0")</f>
        <v>0.54807692307692313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300</v>
      </c>
      <c r="Y450" s="548">
        <f t="shared" si="53"/>
        <v>300.96000000000004</v>
      </c>
      <c r="Z450" s="36">
        <f>IFERROR(IF(Y450=0,"",ROUNDUP(Y450/H450,0)*0.01196),"")</f>
        <v>0.68171999999999999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319.88636363636363</v>
      </c>
      <c r="BN450" s="64">
        <f t="shared" si="55"/>
        <v>320.91000000000003</v>
      </c>
      <c r="BO450" s="64">
        <f t="shared" si="56"/>
        <v>0.54632867132867136</v>
      </c>
      <c r="BP450" s="64">
        <f t="shared" si="57"/>
        <v>0.54807692307692313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700</v>
      </c>
      <c r="Y451" s="548">
        <f t="shared" si="53"/>
        <v>702.24</v>
      </c>
      <c r="Z451" s="36">
        <f>IFERROR(IF(Y451=0,"",ROUNDUP(Y451/H451,0)*0.01196),"")</f>
        <v>1.5906800000000001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746.40151515151513</v>
      </c>
      <c r="BN451" s="64">
        <f t="shared" si="55"/>
        <v>748.79</v>
      </c>
      <c r="BO451" s="64">
        <f t="shared" si="56"/>
        <v>1.2747668997668997</v>
      </c>
      <c r="BP451" s="64">
        <f t="shared" si="57"/>
        <v>1.278846153846154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246.21212121212119</v>
      </c>
      <c r="Y455" s="549">
        <f>IFERROR(Y449/H449,"0")+IFERROR(Y450/H450,"0")+IFERROR(Y451/H451,"0")+IFERROR(Y452/H452,"0")+IFERROR(Y453/H453,"0")+IFERROR(Y454/H454,"0")</f>
        <v>247</v>
      </c>
      <c r="Z455" s="549">
        <f>IFERROR(IF(Z449="",0,Z449),"0")+IFERROR(IF(Z450="",0,Z450),"0")+IFERROR(IF(Z451="",0,Z451),"0")+IFERROR(IF(Z452="",0,Z452),"0")+IFERROR(IF(Z453="",0,Z453),"0")+IFERROR(IF(Z454="",0,Z454),"0")</f>
        <v>2.9541200000000001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1300</v>
      </c>
      <c r="Y456" s="549">
        <f>IFERROR(SUM(Y449:Y454),"0")</f>
        <v>1304.1600000000001</v>
      </c>
      <c r="Z456" s="37"/>
      <c r="AA456" s="550"/>
      <c r="AB456" s="550"/>
      <c r="AC456" s="550"/>
    </row>
    <row r="457" spans="1:68" ht="27.75" hidden="1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hidden="1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hidden="1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hidden="1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1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0</v>
      </c>
      <c r="Y464" s="549">
        <f>IFERROR(Y460/H460,"0")+IFERROR(Y461/H461,"0")+IFERROR(Y462/H462,"0")+IFERROR(Y463/H463,"0")</f>
        <v>0</v>
      </c>
      <c r="Z464" s="549">
        <f>IFERROR(IF(Z460="",0,Z460),"0")+IFERROR(IF(Z461="",0,Z461),"0")+IFERROR(IF(Z462="",0,Z462),"0")+IFERROR(IF(Z463="",0,Z463),"0")</f>
        <v>0</v>
      </c>
      <c r="AA464" s="550"/>
      <c r="AB464" s="550"/>
      <c r="AC464" s="550"/>
    </row>
    <row r="465" spans="1:68" hidden="1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0</v>
      </c>
      <c r="Y465" s="549">
        <f>IFERROR(SUM(Y460:Y463),"0")</f>
        <v>0</v>
      </c>
      <c r="Z465" s="37"/>
      <c r="AA465" s="550"/>
      <c r="AB465" s="550"/>
      <c r="AC465" s="550"/>
    </row>
    <row r="466" spans="1:68" ht="14.25" hidden="1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hidden="1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5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hidden="1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hidden="1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hidden="1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hidden="1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hidden="1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300</v>
      </c>
      <c r="Y476" s="548">
        <f>IFERROR(IF(X476="",0,CEILING((X476/$H476),1)*$H476),"")</f>
        <v>306</v>
      </c>
      <c r="Z476" s="36">
        <f>IFERROR(IF(Y476=0,"",ROUNDUP(Y476/H476,0)*0.01898),"")</f>
        <v>0.64532</v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316.46666666666664</v>
      </c>
      <c r="BN476" s="64">
        <f>IFERROR(Y476*I476/H476,"0")</f>
        <v>322.79599999999999</v>
      </c>
      <c r="BO476" s="64">
        <f>IFERROR(1/J476*(X476/H476),"0")</f>
        <v>0.52083333333333337</v>
      </c>
      <c r="BP476" s="64">
        <f>IFERROR(1/J476*(Y476/H476),"0")</f>
        <v>0.53125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33.333333333333336</v>
      </c>
      <c r="Y477" s="549">
        <f>IFERROR(Y476/H476,"0")</f>
        <v>34</v>
      </c>
      <c r="Z477" s="549">
        <f>IFERROR(IF(Z476="",0,Z476),"0")</f>
        <v>0.64532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300</v>
      </c>
      <c r="Y478" s="549">
        <f>IFERROR(SUM(Y476:Y476),"0")</f>
        <v>306</v>
      </c>
      <c r="Z478" s="37"/>
      <c r="AA478" s="550"/>
      <c r="AB478" s="550"/>
      <c r="AC478" s="550"/>
    </row>
    <row r="479" spans="1:68" ht="14.25" hidden="1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8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hidden="1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hidden="1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hidden="1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hidden="1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62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20"/>
      <c r="P489" s="654" t="s">
        <v>744</v>
      </c>
      <c r="Q489" s="655"/>
      <c r="R489" s="655"/>
      <c r="S489" s="655"/>
      <c r="T489" s="655"/>
      <c r="U489" s="655"/>
      <c r="V489" s="656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15457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15557.28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20"/>
      <c r="P490" s="654" t="s">
        <v>745</v>
      </c>
      <c r="Q490" s="655"/>
      <c r="R490" s="655"/>
      <c r="S490" s="655"/>
      <c r="T490" s="655"/>
      <c r="U490" s="655"/>
      <c r="V490" s="656"/>
      <c r="W490" s="37" t="s">
        <v>69</v>
      </c>
      <c r="X490" s="549">
        <f>IFERROR(SUM(BM22:BM486),"0")</f>
        <v>16379.990952689288</v>
      </c>
      <c r="Y490" s="549">
        <f>IFERROR(SUM(BN22:BN486),"0")</f>
        <v>16485.371999999996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20"/>
      <c r="P491" s="654" t="s">
        <v>746</v>
      </c>
      <c r="Q491" s="655"/>
      <c r="R491" s="655"/>
      <c r="S491" s="655"/>
      <c r="T491" s="655"/>
      <c r="U491" s="655"/>
      <c r="V491" s="656"/>
      <c r="W491" s="37" t="s">
        <v>747</v>
      </c>
      <c r="X491" s="38">
        <f>ROUNDUP(SUM(BO22:BO486),0)</f>
        <v>28</v>
      </c>
      <c r="Y491" s="38">
        <f>ROUNDUP(SUM(BP22:BP486),0)</f>
        <v>28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20"/>
      <c r="P492" s="654" t="s">
        <v>748</v>
      </c>
      <c r="Q492" s="655"/>
      <c r="R492" s="655"/>
      <c r="S492" s="655"/>
      <c r="T492" s="655"/>
      <c r="U492" s="655"/>
      <c r="V492" s="656"/>
      <c r="W492" s="37" t="s">
        <v>69</v>
      </c>
      <c r="X492" s="549">
        <f>GrossWeightTotal+PalletQtyTotal*25</f>
        <v>17079.990952689288</v>
      </c>
      <c r="Y492" s="549">
        <f>GrossWeightTotalR+PalletQtyTotalR*25</f>
        <v>17185.371999999996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20"/>
      <c r="P493" s="654" t="s">
        <v>749</v>
      </c>
      <c r="Q493" s="655"/>
      <c r="R493" s="655"/>
      <c r="S493" s="655"/>
      <c r="T493" s="655"/>
      <c r="U493" s="655"/>
      <c r="V493" s="656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2672.4628766295432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2686</v>
      </c>
      <c r="Z493" s="37"/>
      <c r="AA493" s="550"/>
      <c r="AB493" s="550"/>
      <c r="AC493" s="550"/>
    </row>
    <row r="494" spans="1:68" ht="14.25" hidden="1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20"/>
      <c r="P494" s="654" t="s">
        <v>750</v>
      </c>
      <c r="Q494" s="655"/>
      <c r="R494" s="655"/>
      <c r="S494" s="655"/>
      <c r="T494" s="655"/>
      <c r="U494" s="655"/>
      <c r="V494" s="656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32.559600000000003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599" t="s">
        <v>99</v>
      </c>
      <c r="D496" s="677"/>
      <c r="E496" s="677"/>
      <c r="F496" s="677"/>
      <c r="G496" s="677"/>
      <c r="H496" s="606"/>
      <c r="I496" s="599" t="s">
        <v>263</v>
      </c>
      <c r="J496" s="677"/>
      <c r="K496" s="677"/>
      <c r="L496" s="677"/>
      <c r="M496" s="677"/>
      <c r="N496" s="677"/>
      <c r="O496" s="677"/>
      <c r="P496" s="677"/>
      <c r="Q496" s="677"/>
      <c r="R496" s="606"/>
      <c r="S496" s="599" t="s">
        <v>553</v>
      </c>
      <c r="T496" s="606"/>
      <c r="U496" s="599" t="s">
        <v>607</v>
      </c>
      <c r="V496" s="677"/>
      <c r="W496" s="606"/>
      <c r="X496" s="544" t="s">
        <v>658</v>
      </c>
      <c r="Y496" s="599" t="s">
        <v>710</v>
      </c>
      <c r="Z496" s="606"/>
      <c r="AB496" s="52"/>
      <c r="AC496" s="52"/>
      <c r="AF496" s="545"/>
    </row>
    <row r="497" spans="1:32" ht="14.25" customHeight="1" thickTop="1" x14ac:dyDescent="0.2">
      <c r="A497" s="851" t="s">
        <v>753</v>
      </c>
      <c r="B497" s="599" t="s">
        <v>63</v>
      </c>
      <c r="C497" s="599" t="s">
        <v>100</v>
      </c>
      <c r="D497" s="599" t="s">
        <v>117</v>
      </c>
      <c r="E497" s="599" t="s">
        <v>168</v>
      </c>
      <c r="F497" s="599" t="s">
        <v>190</v>
      </c>
      <c r="G497" s="599" t="s">
        <v>227</v>
      </c>
      <c r="H497" s="599" t="s">
        <v>99</v>
      </c>
      <c r="I497" s="599" t="s">
        <v>264</v>
      </c>
      <c r="J497" s="599" t="s">
        <v>319</v>
      </c>
      <c r="K497" s="599" t="s">
        <v>379</v>
      </c>
      <c r="L497" s="599" t="s">
        <v>420</v>
      </c>
      <c r="M497" s="599" t="s">
        <v>436</v>
      </c>
      <c r="N497" s="545"/>
      <c r="O497" s="599" t="s">
        <v>447</v>
      </c>
      <c r="P497" s="599" t="s">
        <v>456</v>
      </c>
      <c r="Q497" s="599" t="s">
        <v>469</v>
      </c>
      <c r="R497" s="599" t="s">
        <v>543</v>
      </c>
      <c r="S497" s="599" t="s">
        <v>554</v>
      </c>
      <c r="T497" s="599" t="s">
        <v>589</v>
      </c>
      <c r="U497" s="599" t="s">
        <v>608</v>
      </c>
      <c r="V497" s="599" t="s">
        <v>639</v>
      </c>
      <c r="W497" s="599" t="s">
        <v>654</v>
      </c>
      <c r="X497" s="599" t="s">
        <v>658</v>
      </c>
      <c r="Y497" s="599" t="s">
        <v>710</v>
      </c>
      <c r="Z497" s="599" t="s">
        <v>740</v>
      </c>
      <c r="AB497" s="52"/>
      <c r="AC497" s="52"/>
      <c r="AF497" s="545"/>
    </row>
    <row r="498" spans="1:32" ht="13.5" customHeight="1" thickBot="1" x14ac:dyDescent="0.25">
      <c r="A498" s="852"/>
      <c r="B498" s="60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545"/>
      <c r="O498" s="600"/>
      <c r="P498" s="600"/>
      <c r="Q498" s="600"/>
      <c r="R498" s="600"/>
      <c r="S498" s="600"/>
      <c r="T498" s="600"/>
      <c r="U498" s="600"/>
      <c r="V498" s="600"/>
      <c r="W498" s="600"/>
      <c r="X498" s="600"/>
      <c r="Y498" s="600"/>
      <c r="Z498" s="600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507.6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405.90000000000003</v>
      </c>
      <c r="E499" s="46">
        <f>IFERROR(Y84*1,"0")+IFERROR(Y85*1,"0")+IFERROR(Y86*1,"0")+IFERROR(Y87*1,"0")+IFERROR(Y91*1,"0")+IFERROR(Y92*1,"0")+IFERROR(Y93*1,"0")+IFERROR(Y94*1,"0")</f>
        <v>1031.4000000000001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1809.9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0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760.8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0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561.59999999999991</v>
      </c>
      <c r="R499" s="46">
        <f>IFERROR(Y341*1,"0")+IFERROR(Y342*1,"0")+IFERROR(Y343*1,"0")</f>
        <v>252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3225</v>
      </c>
      <c r="T499" s="46">
        <f>IFERROR(Y374*1,"0")+IFERROR(Y375*1,"0")+IFERROR(Y379*1,"0")+IFERROR(Y380*1,"0")+IFERROR(Y384*1,"0")+IFERROR(Y385*1,"0")+IFERROR(Y386*1,"0")</f>
        <v>1227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5470.0800000000008</v>
      </c>
      <c r="Y499" s="46">
        <f>IFERROR(Y460*1,"0")+IFERROR(Y461*1,"0")+IFERROR(Y462*1,"0")+IFERROR(Y463*1,"0")+IFERROR(Y467*1,"0")+IFERROR(Y468*1,"0")+IFERROR(Y472*1,"0")+IFERROR(Y476*1,"0")+IFERROR(Y480*1,"0")+IFERROR(Y481*1,"0")</f>
        <v>306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220,00"/>
        <filter val="1 300,00"/>
        <filter val="1 400,00"/>
        <filter val="1 500,00"/>
        <filter val="100,00"/>
        <filter val="120,00"/>
        <filter val="145,06"/>
        <filter val="15 457,00"/>
        <filter val="150,00"/>
        <filter val="151,52"/>
        <filter val="16 379,99"/>
        <filter val="168,00"/>
        <filter val="17 079,99"/>
        <filter val="172,22"/>
        <filter val="173,33"/>
        <filter val="2 600,00"/>
        <filter val="2 672,46"/>
        <filter val="200,00"/>
        <filter val="225,00"/>
        <filter val="246,21"/>
        <filter val="250,00"/>
        <filter val="252,00"/>
        <filter val="27,78"/>
        <filter val="28"/>
        <filter val="280,00"/>
        <filter val="3 350,00"/>
        <filter val="300,00"/>
        <filter val="316,67"/>
        <filter val="32,05"/>
        <filter val="33,33"/>
        <filter val="38,46"/>
        <filter val="395,06"/>
        <filter val="40,00"/>
        <filter val="400,00"/>
        <filter val="46,30"/>
        <filter val="480,00"/>
        <filter val="50,00"/>
        <filter val="500,00"/>
        <filter val="600,00"/>
        <filter val="634,47"/>
        <filter val="700,00"/>
        <filter val="725,00"/>
        <filter val="760,00"/>
        <filter val="800,00"/>
        <filter val="84,00"/>
        <filter val="900,00"/>
      </filters>
    </filterColumn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A10:C10"/>
    <mergeCell ref="P126:T126"/>
    <mergeCell ref="P361:V361"/>
    <mergeCell ref="A413:Z413"/>
    <mergeCell ref="D17:E18"/>
    <mergeCell ref="X17:X18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P138:V138"/>
    <mergeCell ref="P151:T151"/>
    <mergeCell ref="P76:V76"/>
    <mergeCell ref="D395:E395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D78:E78"/>
    <mergeCell ref="P172:T172"/>
    <mergeCell ref="P432:T432"/>
    <mergeCell ref="A124:Z124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D87:E87"/>
    <mergeCell ref="D351:E351"/>
    <mergeCell ref="A287:O288"/>
    <mergeCell ref="P328:T328"/>
    <mergeCell ref="P384:T384"/>
    <mergeCell ref="A281:O282"/>
    <mergeCell ref="A378:Z378"/>
    <mergeCell ref="D205:E205"/>
    <mergeCell ref="A344:O345"/>
    <mergeCell ref="D310:E310"/>
    <mergeCell ref="P364:T364"/>
    <mergeCell ref="A245:O246"/>
    <mergeCell ref="A294:Z294"/>
    <mergeCell ref="D221:E221"/>
    <mergeCell ref="A370:O371"/>
    <mergeCell ref="A426:Z426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D53:E53"/>
    <mergeCell ref="P241:V241"/>
    <mergeCell ref="P62:T62"/>
    <mergeCell ref="D203:E203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D486:E486"/>
    <mergeCell ref="P86:T86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D431:E431"/>
    <mergeCell ref="D445:E445"/>
    <mergeCell ref="D301:E301"/>
    <mergeCell ref="A423:O424"/>
    <mergeCell ref="P232:T232"/>
    <mergeCell ref="P469:V469"/>
    <mergeCell ref="P449:T449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2026-01-26T10:58:34Z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