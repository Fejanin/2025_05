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85944A3-4551-49D5-A33B-0513B785DCF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Y468" i="1" s="1"/>
  <c r="P466" i="1"/>
  <c r="X464" i="1"/>
  <c r="X463" i="1"/>
  <c r="BO462" i="1"/>
  <c r="BM462" i="1"/>
  <c r="Y462" i="1"/>
  <c r="P462" i="1"/>
  <c r="BO461" i="1"/>
  <c r="BM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X423" i="1"/>
  <c r="X422" i="1"/>
  <c r="BO421" i="1"/>
  <c r="BM421" i="1"/>
  <c r="Y421" i="1"/>
  <c r="P421" i="1"/>
  <c r="X418" i="1"/>
  <c r="X417" i="1"/>
  <c r="BO416" i="1"/>
  <c r="BM416" i="1"/>
  <c r="Y416" i="1"/>
  <c r="P416" i="1"/>
  <c r="BO415" i="1"/>
  <c r="BM415" i="1"/>
  <c r="Z415" i="1"/>
  <c r="Y415" i="1"/>
  <c r="P415" i="1"/>
  <c r="BO414" i="1"/>
  <c r="BM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O403" i="1"/>
  <c r="BM403" i="1"/>
  <c r="Y403" i="1"/>
  <c r="Y405" i="1" s="1"/>
  <c r="P403" i="1"/>
  <c r="X401" i="1"/>
  <c r="X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X387" i="1"/>
  <c r="X386" i="1"/>
  <c r="BO385" i="1"/>
  <c r="BM385" i="1"/>
  <c r="Y385" i="1"/>
  <c r="P385" i="1"/>
  <c r="BO384" i="1"/>
  <c r="BM384" i="1"/>
  <c r="Y384" i="1"/>
  <c r="P384" i="1"/>
  <c r="BO383" i="1"/>
  <c r="BM383" i="1"/>
  <c r="Y383" i="1"/>
  <c r="P383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Y375" i="1" s="1"/>
  <c r="P373" i="1"/>
  <c r="X370" i="1"/>
  <c r="X369" i="1"/>
  <c r="BO368" i="1"/>
  <c r="BM368" i="1"/>
  <c r="Y368" i="1"/>
  <c r="P368" i="1"/>
  <c r="X366" i="1"/>
  <c r="X365" i="1"/>
  <c r="BO364" i="1"/>
  <c r="BM364" i="1"/>
  <c r="Y364" i="1"/>
  <c r="P364" i="1"/>
  <c r="BP363" i="1"/>
  <c r="BO363" i="1"/>
  <c r="BN363" i="1"/>
  <c r="BM363" i="1"/>
  <c r="Z363" i="1"/>
  <c r="Y363" i="1"/>
  <c r="P363" i="1"/>
  <c r="X361" i="1"/>
  <c r="X360" i="1"/>
  <c r="BO359" i="1"/>
  <c r="BM359" i="1"/>
  <c r="Y359" i="1"/>
  <c r="P359" i="1"/>
  <c r="BO358" i="1"/>
  <c r="BM358" i="1"/>
  <c r="Y358" i="1"/>
  <c r="Y360" i="1" s="1"/>
  <c r="P358" i="1"/>
  <c r="X356" i="1"/>
  <c r="X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X344" i="1"/>
  <c r="X343" i="1"/>
  <c r="BO342" i="1"/>
  <c r="BM342" i="1"/>
  <c r="Y342" i="1"/>
  <c r="P342" i="1"/>
  <c r="BO341" i="1"/>
  <c r="BM341" i="1"/>
  <c r="Y341" i="1"/>
  <c r="P341" i="1"/>
  <c r="BO340" i="1"/>
  <c r="BM340" i="1"/>
  <c r="Y340" i="1"/>
  <c r="Y344" i="1" s="1"/>
  <c r="P340" i="1"/>
  <c r="X337" i="1"/>
  <c r="X336" i="1"/>
  <c r="BO335" i="1"/>
  <c r="BM335" i="1"/>
  <c r="Y335" i="1"/>
  <c r="P335" i="1"/>
  <c r="BO334" i="1"/>
  <c r="BM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Y331" i="1" s="1"/>
  <c r="P327" i="1"/>
  <c r="BP326" i="1"/>
  <c r="BO326" i="1"/>
  <c r="BN326" i="1"/>
  <c r="BM326" i="1"/>
  <c r="Z326" i="1"/>
  <c r="Y326" i="1"/>
  <c r="P326" i="1"/>
  <c r="X324" i="1"/>
  <c r="Y323" i="1"/>
  <c r="X323" i="1"/>
  <c r="BP322" i="1"/>
  <c r="BO322" i="1"/>
  <c r="BN322" i="1"/>
  <c r="BM322" i="1"/>
  <c r="Z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X302" i="1"/>
  <c r="X301" i="1"/>
  <c r="BO300" i="1"/>
  <c r="BM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O290" i="1"/>
  <c r="BM290" i="1"/>
  <c r="Y290" i="1"/>
  <c r="Y292" i="1" s="1"/>
  <c r="P290" i="1"/>
  <c r="X288" i="1"/>
  <c r="X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O273" i="1"/>
  <c r="BM273" i="1"/>
  <c r="Y273" i="1"/>
  <c r="BP273" i="1" s="1"/>
  <c r="P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O264" i="1"/>
  <c r="BM264" i="1"/>
  <c r="Y264" i="1"/>
  <c r="BP264" i="1" s="1"/>
  <c r="P264" i="1"/>
  <c r="BO263" i="1"/>
  <c r="BM263" i="1"/>
  <c r="Z263" i="1"/>
  <c r="Y263" i="1"/>
  <c r="P263" i="1"/>
  <c r="BO262" i="1"/>
  <c r="BM262" i="1"/>
  <c r="Y262" i="1"/>
  <c r="BP262" i="1" s="1"/>
  <c r="P262" i="1"/>
  <c r="BO261" i="1"/>
  <c r="BM261" i="1"/>
  <c r="Y261" i="1"/>
  <c r="BP261" i="1" s="1"/>
  <c r="P261" i="1"/>
  <c r="X258" i="1"/>
  <c r="X257" i="1"/>
  <c r="BO256" i="1"/>
  <c r="BM256" i="1"/>
  <c r="Y256" i="1"/>
  <c r="P256" i="1"/>
  <c r="BO255" i="1"/>
  <c r="BM255" i="1"/>
  <c r="Y255" i="1"/>
  <c r="BP255" i="1" s="1"/>
  <c r="P255" i="1"/>
  <c r="BO254" i="1"/>
  <c r="BM254" i="1"/>
  <c r="Y254" i="1"/>
  <c r="BP254" i="1" s="1"/>
  <c r="P254" i="1"/>
  <c r="BO253" i="1"/>
  <c r="BM253" i="1"/>
  <c r="Y253" i="1"/>
  <c r="BP253" i="1" s="1"/>
  <c r="P253" i="1"/>
  <c r="BP252" i="1"/>
  <c r="BO252" i="1"/>
  <c r="BN252" i="1"/>
  <c r="BM252" i="1"/>
  <c r="Z252" i="1"/>
  <c r="Y252" i="1"/>
  <c r="P252" i="1"/>
  <c r="X250" i="1"/>
  <c r="Y249" i="1"/>
  <c r="X249" i="1"/>
  <c r="BP248" i="1"/>
  <c r="BO248" i="1"/>
  <c r="BN248" i="1"/>
  <c r="BM248" i="1"/>
  <c r="Z248" i="1"/>
  <c r="Z249" i="1" s="1"/>
  <c r="Y248" i="1"/>
  <c r="Y250" i="1" s="1"/>
  <c r="P248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O240" i="1"/>
  <c r="BM240" i="1"/>
  <c r="Y240" i="1"/>
  <c r="BP240" i="1" s="1"/>
  <c r="P240" i="1"/>
  <c r="BO239" i="1"/>
  <c r="BM239" i="1"/>
  <c r="Y239" i="1"/>
  <c r="BP239" i="1" s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BP236" i="1" s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O232" i="1"/>
  <c r="BM232" i="1"/>
  <c r="Y232" i="1"/>
  <c r="BP232" i="1" s="1"/>
  <c r="P232" i="1"/>
  <c r="X229" i="1"/>
  <c r="X228" i="1"/>
  <c r="BO227" i="1"/>
  <c r="BM227" i="1"/>
  <c r="Y227" i="1"/>
  <c r="P227" i="1"/>
  <c r="BO226" i="1"/>
  <c r="BM226" i="1"/>
  <c r="Y226" i="1"/>
  <c r="Y228" i="1" s="1"/>
  <c r="P226" i="1"/>
  <c r="X224" i="1"/>
  <c r="X223" i="1"/>
  <c r="BO222" i="1"/>
  <c r="BM222" i="1"/>
  <c r="Y222" i="1"/>
  <c r="BP222" i="1" s="1"/>
  <c r="P222" i="1"/>
  <c r="BO221" i="1"/>
  <c r="BM221" i="1"/>
  <c r="Y221" i="1"/>
  <c r="BP221" i="1" s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Z216" i="1" s="1"/>
  <c r="P216" i="1"/>
  <c r="BO215" i="1"/>
  <c r="BM215" i="1"/>
  <c r="Y215" i="1"/>
  <c r="P215" i="1"/>
  <c r="BO214" i="1"/>
  <c r="BM214" i="1"/>
  <c r="Y214" i="1"/>
  <c r="BP214" i="1" s="1"/>
  <c r="P214" i="1"/>
  <c r="X212" i="1"/>
  <c r="X211" i="1"/>
  <c r="BO210" i="1"/>
  <c r="BM210" i="1"/>
  <c r="Y210" i="1"/>
  <c r="BP210" i="1" s="1"/>
  <c r="P210" i="1"/>
  <c r="BO209" i="1"/>
  <c r="BM209" i="1"/>
  <c r="Y209" i="1"/>
  <c r="BP209" i="1" s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O205" i="1"/>
  <c r="BM205" i="1"/>
  <c r="Y205" i="1"/>
  <c r="BP205" i="1" s="1"/>
  <c r="P205" i="1"/>
  <c r="BO204" i="1"/>
  <c r="BM204" i="1"/>
  <c r="Y204" i="1"/>
  <c r="BP204" i="1" s="1"/>
  <c r="P204" i="1"/>
  <c r="BO203" i="1"/>
  <c r="BM203" i="1"/>
  <c r="Y203" i="1"/>
  <c r="P203" i="1"/>
  <c r="X201" i="1"/>
  <c r="X200" i="1"/>
  <c r="BO199" i="1"/>
  <c r="BM199" i="1"/>
  <c r="Y199" i="1"/>
  <c r="BP199" i="1" s="1"/>
  <c r="P199" i="1"/>
  <c r="BO198" i="1"/>
  <c r="BM198" i="1"/>
  <c r="Y198" i="1"/>
  <c r="Y200" i="1" s="1"/>
  <c r="P198" i="1"/>
  <c r="X196" i="1"/>
  <c r="X195" i="1"/>
  <c r="BO194" i="1"/>
  <c r="BM194" i="1"/>
  <c r="Y194" i="1"/>
  <c r="Y196" i="1" s="1"/>
  <c r="P194" i="1"/>
  <c r="BP193" i="1"/>
  <c r="BO193" i="1"/>
  <c r="BN193" i="1"/>
  <c r="BM193" i="1"/>
  <c r="Z193" i="1"/>
  <c r="Y193" i="1"/>
  <c r="P193" i="1"/>
  <c r="X190" i="1"/>
  <c r="Y189" i="1"/>
  <c r="X189" i="1"/>
  <c r="BP188" i="1"/>
  <c r="BO188" i="1"/>
  <c r="BN188" i="1"/>
  <c r="BM188" i="1"/>
  <c r="Z188" i="1"/>
  <c r="Z189" i="1" s="1"/>
  <c r="Y188" i="1"/>
  <c r="Y190" i="1" s="1"/>
  <c r="P188" i="1"/>
  <c r="X186" i="1"/>
  <c r="X185" i="1"/>
  <c r="BO184" i="1"/>
  <c r="BM184" i="1"/>
  <c r="Y184" i="1"/>
  <c r="BP184" i="1" s="1"/>
  <c r="P184" i="1"/>
  <c r="BO183" i="1"/>
  <c r="BM183" i="1"/>
  <c r="Y183" i="1"/>
  <c r="BP183" i="1" s="1"/>
  <c r="P183" i="1"/>
  <c r="BO182" i="1"/>
  <c r="BM182" i="1"/>
  <c r="Y182" i="1"/>
  <c r="P182" i="1"/>
  <c r="X180" i="1"/>
  <c r="X179" i="1"/>
  <c r="BO178" i="1"/>
  <c r="BM178" i="1"/>
  <c r="Y178" i="1"/>
  <c r="BP178" i="1" s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BP171" i="1" s="1"/>
  <c r="P171" i="1"/>
  <c r="BO170" i="1"/>
  <c r="BM170" i="1"/>
  <c r="Y170" i="1"/>
  <c r="BP170" i="1" s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O166" i="1"/>
  <c r="BM166" i="1"/>
  <c r="Y166" i="1"/>
  <c r="BP166" i="1" s="1"/>
  <c r="P166" i="1"/>
  <c r="BO165" i="1"/>
  <c r="BM165" i="1"/>
  <c r="Y165" i="1"/>
  <c r="P165" i="1"/>
  <c r="X163" i="1"/>
  <c r="X162" i="1"/>
  <c r="BO161" i="1"/>
  <c r="BM161" i="1"/>
  <c r="Y161" i="1"/>
  <c r="P161" i="1"/>
  <c r="X157" i="1"/>
  <c r="X156" i="1"/>
  <c r="BO155" i="1"/>
  <c r="BM155" i="1"/>
  <c r="Y155" i="1"/>
  <c r="Y157" i="1" s="1"/>
  <c r="P155" i="1"/>
  <c r="X153" i="1"/>
  <c r="X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BP149" i="1" s="1"/>
  <c r="P149" i="1"/>
  <c r="BO148" i="1"/>
  <c r="BM148" i="1"/>
  <c r="Y148" i="1"/>
  <c r="BP148" i="1" s="1"/>
  <c r="P148" i="1"/>
  <c r="BO147" i="1"/>
  <c r="BM147" i="1"/>
  <c r="Y147" i="1"/>
  <c r="Y153" i="1" s="1"/>
  <c r="P147" i="1"/>
  <c r="X145" i="1"/>
  <c r="X144" i="1"/>
  <c r="BO143" i="1"/>
  <c r="BM143" i="1"/>
  <c r="Y143" i="1"/>
  <c r="Y145" i="1" s="1"/>
  <c r="P143" i="1"/>
  <c r="BP142" i="1"/>
  <c r="BO142" i="1"/>
  <c r="BN142" i="1"/>
  <c r="BM142" i="1"/>
  <c r="Z142" i="1"/>
  <c r="Y142" i="1"/>
  <c r="P142" i="1"/>
  <c r="X139" i="1"/>
  <c r="X138" i="1"/>
  <c r="BO137" i="1"/>
  <c r="BM137" i="1"/>
  <c r="Y137" i="1"/>
  <c r="BP137" i="1" s="1"/>
  <c r="P137" i="1"/>
  <c r="BO136" i="1"/>
  <c r="BM136" i="1"/>
  <c r="Y136" i="1"/>
  <c r="Y138" i="1" s="1"/>
  <c r="P136" i="1"/>
  <c r="X134" i="1"/>
  <c r="X133" i="1"/>
  <c r="BO132" i="1"/>
  <c r="BM132" i="1"/>
  <c r="Y132" i="1"/>
  <c r="P132" i="1"/>
  <c r="BO131" i="1"/>
  <c r="BM131" i="1"/>
  <c r="Y131" i="1"/>
  <c r="P131" i="1"/>
  <c r="X129" i="1"/>
  <c r="X128" i="1"/>
  <c r="BO127" i="1"/>
  <c r="BM127" i="1"/>
  <c r="Y127" i="1"/>
  <c r="BP127" i="1" s="1"/>
  <c r="P127" i="1"/>
  <c r="BO126" i="1"/>
  <c r="BM126" i="1"/>
  <c r="Y126" i="1"/>
  <c r="G498" i="1" s="1"/>
  <c r="P126" i="1"/>
  <c r="X123" i="1"/>
  <c r="X122" i="1"/>
  <c r="BO121" i="1"/>
  <c r="BM121" i="1"/>
  <c r="Y121" i="1"/>
  <c r="Y123" i="1" s="1"/>
  <c r="P121" i="1"/>
  <c r="X119" i="1"/>
  <c r="X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Y111" i="1" s="1"/>
  <c r="P107" i="1"/>
  <c r="X105" i="1"/>
  <c r="X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P92" i="1"/>
  <c r="BO91" i="1"/>
  <c r="BM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O85" i="1"/>
  <c r="BM85" i="1"/>
  <c r="Y85" i="1"/>
  <c r="BP85" i="1" s="1"/>
  <c r="P85" i="1"/>
  <c r="BO84" i="1"/>
  <c r="BM84" i="1"/>
  <c r="Y84" i="1"/>
  <c r="P84" i="1"/>
  <c r="X81" i="1"/>
  <c r="X80" i="1"/>
  <c r="BO79" i="1"/>
  <c r="BM79" i="1"/>
  <c r="Y79" i="1"/>
  <c r="P79" i="1"/>
  <c r="BO78" i="1"/>
  <c r="BM78" i="1"/>
  <c r="Y78" i="1"/>
  <c r="BP78" i="1" s="1"/>
  <c r="P78" i="1"/>
  <c r="X76" i="1"/>
  <c r="X75" i="1"/>
  <c r="BO74" i="1"/>
  <c r="BM74" i="1"/>
  <c r="Y74" i="1"/>
  <c r="BP74" i="1" s="1"/>
  <c r="P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P67" i="1"/>
  <c r="BO66" i="1"/>
  <c r="BM66" i="1"/>
  <c r="Y66" i="1"/>
  <c r="BP66" i="1" s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BP60" i="1" s="1"/>
  <c r="P60" i="1"/>
  <c r="X58" i="1"/>
  <c r="X57" i="1"/>
  <c r="BO56" i="1"/>
  <c r="BM56" i="1"/>
  <c r="Y56" i="1"/>
  <c r="BP56" i="1" s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N53" i="1"/>
  <c r="BM53" i="1"/>
  <c r="Z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110" i="1" l="1"/>
  <c r="BN110" i="1"/>
  <c r="BP131" i="1"/>
  <c r="BN131" i="1"/>
  <c r="Z131" i="1"/>
  <c r="BP172" i="1"/>
  <c r="BN172" i="1"/>
  <c r="Z172" i="1"/>
  <c r="BP203" i="1"/>
  <c r="BN203" i="1"/>
  <c r="Z203" i="1"/>
  <c r="BP227" i="1"/>
  <c r="BN227" i="1"/>
  <c r="Z227" i="1"/>
  <c r="BP256" i="1"/>
  <c r="BN256" i="1"/>
  <c r="Z256" i="1"/>
  <c r="BP291" i="1"/>
  <c r="BN291" i="1"/>
  <c r="Z291" i="1"/>
  <c r="BP316" i="1"/>
  <c r="BN316" i="1"/>
  <c r="Z316" i="1"/>
  <c r="BP353" i="1"/>
  <c r="BN353" i="1"/>
  <c r="Z353" i="1"/>
  <c r="BP398" i="1"/>
  <c r="BN398" i="1"/>
  <c r="Z398" i="1"/>
  <c r="BP435" i="1"/>
  <c r="BN435" i="1"/>
  <c r="Z435" i="1"/>
  <c r="BP467" i="1"/>
  <c r="BN467" i="1"/>
  <c r="Z467" i="1"/>
  <c r="Y473" i="1"/>
  <c r="Y472" i="1"/>
  <c r="BP471" i="1"/>
  <c r="BN471" i="1"/>
  <c r="Z471" i="1"/>
  <c r="Z472" i="1" s="1"/>
  <c r="Y477" i="1"/>
  <c r="Y476" i="1"/>
  <c r="BP475" i="1"/>
  <c r="BN475" i="1"/>
  <c r="Z475" i="1"/>
  <c r="Z476" i="1" s="1"/>
  <c r="BP479" i="1"/>
  <c r="BN479" i="1"/>
  <c r="Z479" i="1"/>
  <c r="Z22" i="1"/>
  <c r="BN22" i="1"/>
  <c r="X488" i="1"/>
  <c r="Z42" i="1"/>
  <c r="BN42" i="1"/>
  <c r="Z60" i="1"/>
  <c r="BN60" i="1"/>
  <c r="Z78" i="1"/>
  <c r="BN78" i="1"/>
  <c r="Y81" i="1"/>
  <c r="E498" i="1"/>
  <c r="Z93" i="1"/>
  <c r="BN93" i="1"/>
  <c r="F498" i="1"/>
  <c r="Z110" i="1"/>
  <c r="BP150" i="1"/>
  <c r="BN150" i="1"/>
  <c r="Z150" i="1"/>
  <c r="BP182" i="1"/>
  <c r="BN182" i="1"/>
  <c r="Z182" i="1"/>
  <c r="BP215" i="1"/>
  <c r="BN215" i="1"/>
  <c r="Z215" i="1"/>
  <c r="BP238" i="1"/>
  <c r="BN238" i="1"/>
  <c r="Z238" i="1"/>
  <c r="BP271" i="1"/>
  <c r="BN271" i="1"/>
  <c r="Z271" i="1"/>
  <c r="BP304" i="1"/>
  <c r="BN304" i="1"/>
  <c r="Z304" i="1"/>
  <c r="BP334" i="1"/>
  <c r="BN334" i="1"/>
  <c r="Z334" i="1"/>
  <c r="BP384" i="1"/>
  <c r="BN384" i="1"/>
  <c r="Z384" i="1"/>
  <c r="Y423" i="1"/>
  <c r="Y422" i="1"/>
  <c r="BP421" i="1"/>
  <c r="BN421" i="1"/>
  <c r="Z421" i="1"/>
  <c r="Z422" i="1" s="1"/>
  <c r="BP427" i="1"/>
  <c r="BN427" i="1"/>
  <c r="Z427" i="1"/>
  <c r="BP451" i="1"/>
  <c r="BN451" i="1"/>
  <c r="Z451" i="1"/>
  <c r="Y118" i="1"/>
  <c r="Y134" i="1"/>
  <c r="I498" i="1"/>
  <c r="Y179" i="1"/>
  <c r="BP280" i="1"/>
  <c r="BN280" i="1"/>
  <c r="Z280" i="1"/>
  <c r="BP285" i="1"/>
  <c r="BN285" i="1"/>
  <c r="Z285" i="1"/>
  <c r="BP300" i="1"/>
  <c r="BN300" i="1"/>
  <c r="Z300" i="1"/>
  <c r="BP314" i="1"/>
  <c r="BN314" i="1"/>
  <c r="Z314" i="1"/>
  <c r="BP328" i="1"/>
  <c r="BN328" i="1"/>
  <c r="Z328" i="1"/>
  <c r="BP351" i="1"/>
  <c r="BN351" i="1"/>
  <c r="Z351" i="1"/>
  <c r="BP374" i="1"/>
  <c r="BN374" i="1"/>
  <c r="Z374" i="1"/>
  <c r="BP378" i="1"/>
  <c r="BN378" i="1"/>
  <c r="Z378" i="1"/>
  <c r="BP396" i="1"/>
  <c r="BN396" i="1"/>
  <c r="Z396" i="1"/>
  <c r="BP416" i="1"/>
  <c r="BN416" i="1"/>
  <c r="Z416" i="1"/>
  <c r="BP433" i="1"/>
  <c r="BN433" i="1"/>
  <c r="Z433" i="1"/>
  <c r="BP449" i="1"/>
  <c r="BN449" i="1"/>
  <c r="Z449" i="1"/>
  <c r="BP461" i="1"/>
  <c r="BN461" i="1"/>
  <c r="Z461" i="1"/>
  <c r="Y25" i="1"/>
  <c r="X49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Z56" i="1"/>
  <c r="BN56" i="1"/>
  <c r="Y64" i="1"/>
  <c r="Z62" i="1"/>
  <c r="BN62" i="1"/>
  <c r="Y63" i="1"/>
  <c r="Z66" i="1"/>
  <c r="BN66" i="1"/>
  <c r="Z74" i="1"/>
  <c r="BN74" i="1"/>
  <c r="Y80" i="1"/>
  <c r="Z85" i="1"/>
  <c r="BN85" i="1"/>
  <c r="Z91" i="1"/>
  <c r="BN91" i="1"/>
  <c r="BP91" i="1"/>
  <c r="Y96" i="1"/>
  <c r="Z100" i="1"/>
  <c r="BN100" i="1"/>
  <c r="Z108" i="1"/>
  <c r="BN108" i="1"/>
  <c r="Z114" i="1"/>
  <c r="BN114" i="1"/>
  <c r="BP114" i="1"/>
  <c r="Y119" i="1"/>
  <c r="Z127" i="1"/>
  <c r="BN127" i="1"/>
  <c r="Y133" i="1"/>
  <c r="Z137" i="1"/>
  <c r="BN137" i="1"/>
  <c r="Z148" i="1"/>
  <c r="BN148" i="1"/>
  <c r="Z166" i="1"/>
  <c r="BN166" i="1"/>
  <c r="Z170" i="1"/>
  <c r="BN170" i="1"/>
  <c r="Z174" i="1"/>
  <c r="BN174" i="1"/>
  <c r="Z178" i="1"/>
  <c r="BN178" i="1"/>
  <c r="Y185" i="1"/>
  <c r="Z184" i="1"/>
  <c r="BN184" i="1"/>
  <c r="Z199" i="1"/>
  <c r="BN199" i="1"/>
  <c r="Y212" i="1"/>
  <c r="Z205" i="1"/>
  <c r="BN205" i="1"/>
  <c r="Z209" i="1"/>
  <c r="BN209" i="1"/>
  <c r="Z217" i="1"/>
  <c r="BN217" i="1"/>
  <c r="Z221" i="1"/>
  <c r="BN221" i="1"/>
  <c r="Z232" i="1"/>
  <c r="BN232" i="1"/>
  <c r="Z236" i="1"/>
  <c r="BN236" i="1"/>
  <c r="Z240" i="1"/>
  <c r="BN240" i="1"/>
  <c r="Y257" i="1"/>
  <c r="Z254" i="1"/>
  <c r="BN254" i="1"/>
  <c r="Z261" i="1"/>
  <c r="BN261" i="1"/>
  <c r="Z264" i="1"/>
  <c r="BN264" i="1"/>
  <c r="Z273" i="1"/>
  <c r="BN273" i="1"/>
  <c r="Q498" i="1"/>
  <c r="BP296" i="1"/>
  <c r="BN296" i="1"/>
  <c r="Z296" i="1"/>
  <c r="BP306" i="1"/>
  <c r="BN306" i="1"/>
  <c r="Z306" i="1"/>
  <c r="Y324" i="1"/>
  <c r="BP320" i="1"/>
  <c r="BN320" i="1"/>
  <c r="Z320" i="1"/>
  <c r="BP341" i="1"/>
  <c r="BN341" i="1"/>
  <c r="Z341" i="1"/>
  <c r="BP359" i="1"/>
  <c r="BN359" i="1"/>
  <c r="Z359" i="1"/>
  <c r="BP392" i="1"/>
  <c r="BN392" i="1"/>
  <c r="Z392" i="1"/>
  <c r="BP404" i="1"/>
  <c r="BN404" i="1"/>
  <c r="Z404" i="1"/>
  <c r="Y410" i="1"/>
  <c r="BP409" i="1"/>
  <c r="BN409" i="1"/>
  <c r="Z409" i="1"/>
  <c r="Z410" i="1" s="1"/>
  <c r="BP413" i="1"/>
  <c r="BN413" i="1"/>
  <c r="Z413" i="1"/>
  <c r="BP429" i="1"/>
  <c r="BN429" i="1"/>
  <c r="Z429" i="1"/>
  <c r="BP437" i="1"/>
  <c r="BN437" i="1"/>
  <c r="Z437" i="1"/>
  <c r="BP453" i="1"/>
  <c r="BN453" i="1"/>
  <c r="Z453" i="1"/>
  <c r="Y282" i="1"/>
  <c r="Y281" i="1"/>
  <c r="Y310" i="1"/>
  <c r="Y365" i="1"/>
  <c r="Y387" i="1"/>
  <c r="X498" i="1"/>
  <c r="W498" i="1"/>
  <c r="F9" i="1"/>
  <c r="J9" i="1"/>
  <c r="F10" i="1"/>
  <c r="Y31" i="1"/>
  <c r="Y43" i="1"/>
  <c r="BP55" i="1"/>
  <c r="BN55" i="1"/>
  <c r="Z55" i="1"/>
  <c r="BP67" i="1"/>
  <c r="BN67" i="1"/>
  <c r="Z67" i="1"/>
  <c r="Y69" i="1"/>
  <c r="Y76" i="1"/>
  <c r="BP71" i="1"/>
  <c r="BN71" i="1"/>
  <c r="Z71" i="1"/>
  <c r="Y75" i="1"/>
  <c r="H9" i="1"/>
  <c r="B498" i="1"/>
  <c r="X489" i="1"/>
  <c r="X490" i="1"/>
  <c r="Z23" i="1"/>
  <c r="BN23" i="1"/>
  <c r="Y24" i="1"/>
  <c r="Z27" i="1"/>
  <c r="BN27" i="1"/>
  <c r="BP27" i="1"/>
  <c r="Z29" i="1"/>
  <c r="BN29" i="1"/>
  <c r="C498" i="1"/>
  <c r="Z41" i="1"/>
  <c r="BN41" i="1"/>
  <c r="Y44" i="1"/>
  <c r="D498" i="1"/>
  <c r="Y58" i="1"/>
  <c r="Z52" i="1"/>
  <c r="Z57" i="1" s="1"/>
  <c r="BN52" i="1"/>
  <c r="Y57" i="1"/>
  <c r="BP61" i="1"/>
  <c r="BN61" i="1"/>
  <c r="Z61" i="1"/>
  <c r="Z63" i="1" s="1"/>
  <c r="Y68" i="1"/>
  <c r="BP73" i="1"/>
  <c r="BN73" i="1"/>
  <c r="Z73" i="1"/>
  <c r="Z79" i="1"/>
  <c r="Z80" i="1" s="1"/>
  <c r="BN79" i="1"/>
  <c r="BP79" i="1"/>
  <c r="Z84" i="1"/>
  <c r="BN84" i="1"/>
  <c r="BP84" i="1"/>
  <c r="Z86" i="1"/>
  <c r="BN86" i="1"/>
  <c r="Y89" i="1"/>
  <c r="Z92" i="1"/>
  <c r="BN92" i="1"/>
  <c r="BP92" i="1"/>
  <c r="Z94" i="1"/>
  <c r="BN94" i="1"/>
  <c r="Z99" i="1"/>
  <c r="BN99" i="1"/>
  <c r="BP99" i="1"/>
  <c r="Z101" i="1"/>
  <c r="BN101" i="1"/>
  <c r="Z103" i="1"/>
  <c r="BN103" i="1"/>
  <c r="Y104" i="1"/>
  <c r="Z107" i="1"/>
  <c r="BN107" i="1"/>
  <c r="BP107" i="1"/>
  <c r="Z109" i="1"/>
  <c r="BN109" i="1"/>
  <c r="Y112" i="1"/>
  <c r="Z115" i="1"/>
  <c r="BN115" i="1"/>
  <c r="BP115" i="1"/>
  <c r="Z117" i="1"/>
  <c r="BN117" i="1"/>
  <c r="Z121" i="1"/>
  <c r="Z122" i="1" s="1"/>
  <c r="BN121" i="1"/>
  <c r="BP121" i="1"/>
  <c r="Y122" i="1"/>
  <c r="Z126" i="1"/>
  <c r="Z128" i="1" s="1"/>
  <c r="BN126" i="1"/>
  <c r="BP126" i="1"/>
  <c r="Y129" i="1"/>
  <c r="Z132" i="1"/>
  <c r="Z133" i="1" s="1"/>
  <c r="BN132" i="1"/>
  <c r="BP132" i="1"/>
  <c r="Z136" i="1"/>
  <c r="Z138" i="1" s="1"/>
  <c r="BN136" i="1"/>
  <c r="BP136" i="1"/>
  <c r="Y139" i="1"/>
  <c r="H498" i="1"/>
  <c r="Z143" i="1"/>
  <c r="Z144" i="1" s="1"/>
  <c r="BN143" i="1"/>
  <c r="BP143" i="1"/>
  <c r="Y144" i="1"/>
  <c r="Z147" i="1"/>
  <c r="BN147" i="1"/>
  <c r="BP147" i="1"/>
  <c r="Z149" i="1"/>
  <c r="BN149" i="1"/>
  <c r="Z151" i="1"/>
  <c r="BN151" i="1"/>
  <c r="Y152" i="1"/>
  <c r="Z155" i="1"/>
  <c r="Z156" i="1" s="1"/>
  <c r="BN155" i="1"/>
  <c r="BP155" i="1"/>
  <c r="Y156" i="1"/>
  <c r="Z161" i="1"/>
  <c r="Z162" i="1" s="1"/>
  <c r="BN161" i="1"/>
  <c r="BP161" i="1"/>
  <c r="Y162" i="1"/>
  <c r="Z165" i="1"/>
  <c r="BN165" i="1"/>
  <c r="BP165" i="1"/>
  <c r="Z167" i="1"/>
  <c r="BN167" i="1"/>
  <c r="Z169" i="1"/>
  <c r="BN169" i="1"/>
  <c r="Z171" i="1"/>
  <c r="BN171" i="1"/>
  <c r="Z173" i="1"/>
  <c r="BN173" i="1"/>
  <c r="Z175" i="1"/>
  <c r="BN175" i="1"/>
  <c r="Z177" i="1"/>
  <c r="BN177" i="1"/>
  <c r="Y180" i="1"/>
  <c r="Z183" i="1"/>
  <c r="Z185" i="1" s="1"/>
  <c r="BN183" i="1"/>
  <c r="Y186" i="1"/>
  <c r="J498" i="1"/>
  <c r="Z194" i="1"/>
  <c r="Z195" i="1" s="1"/>
  <c r="BN194" i="1"/>
  <c r="BP194" i="1"/>
  <c r="Y195" i="1"/>
  <c r="Z198" i="1"/>
  <c r="Z200" i="1" s="1"/>
  <c r="BN198" i="1"/>
  <c r="BP198" i="1"/>
  <c r="Y201" i="1"/>
  <c r="Z204" i="1"/>
  <c r="BN204" i="1"/>
  <c r="Z206" i="1"/>
  <c r="BN206" i="1"/>
  <c r="Z208" i="1"/>
  <c r="BN208" i="1"/>
  <c r="Z210" i="1"/>
  <c r="BN210" i="1"/>
  <c r="Y211" i="1"/>
  <c r="Z214" i="1"/>
  <c r="BN214" i="1"/>
  <c r="BP220" i="1"/>
  <c r="BN220" i="1"/>
  <c r="Z220" i="1"/>
  <c r="Y88" i="1"/>
  <c r="Y105" i="1"/>
  <c r="Y128" i="1"/>
  <c r="Y163" i="1"/>
  <c r="Y224" i="1"/>
  <c r="Y223" i="1"/>
  <c r="BP216" i="1"/>
  <c r="BN216" i="1"/>
  <c r="BP218" i="1"/>
  <c r="BN218" i="1"/>
  <c r="Z218" i="1"/>
  <c r="Z222" i="1"/>
  <c r="BN222" i="1"/>
  <c r="Z226" i="1"/>
  <c r="Z228" i="1" s="1"/>
  <c r="BN226" i="1"/>
  <c r="BP226" i="1"/>
  <c r="Y229" i="1"/>
  <c r="K498" i="1"/>
  <c r="Z233" i="1"/>
  <c r="BN233" i="1"/>
  <c r="Z235" i="1"/>
  <c r="BN235" i="1"/>
  <c r="Z237" i="1"/>
  <c r="BN237" i="1"/>
  <c r="Z239" i="1"/>
  <c r="BN239" i="1"/>
  <c r="Y242" i="1"/>
  <c r="Z253" i="1"/>
  <c r="BN253" i="1"/>
  <c r="Z255" i="1"/>
  <c r="BN255" i="1"/>
  <c r="Y258" i="1"/>
  <c r="L498" i="1"/>
  <c r="Y266" i="1"/>
  <c r="Z262" i="1"/>
  <c r="BN262" i="1"/>
  <c r="BP263" i="1"/>
  <c r="BN263" i="1"/>
  <c r="BP265" i="1"/>
  <c r="BN265" i="1"/>
  <c r="Z265" i="1"/>
  <c r="Y267" i="1"/>
  <c r="M498" i="1"/>
  <c r="Y275" i="1"/>
  <c r="BP270" i="1"/>
  <c r="BN270" i="1"/>
  <c r="Z270" i="1"/>
  <c r="Y274" i="1"/>
  <c r="BP279" i="1"/>
  <c r="BN279" i="1"/>
  <c r="Z279" i="1"/>
  <c r="Z281" i="1" s="1"/>
  <c r="BP297" i="1"/>
  <c r="BN297" i="1"/>
  <c r="Z297" i="1"/>
  <c r="Y301" i="1"/>
  <c r="BP305" i="1"/>
  <c r="BN305" i="1"/>
  <c r="Z305" i="1"/>
  <c r="BP309" i="1"/>
  <c r="BN309" i="1"/>
  <c r="Z309" i="1"/>
  <c r="Y311" i="1"/>
  <c r="Y318" i="1"/>
  <c r="BP313" i="1"/>
  <c r="BN313" i="1"/>
  <c r="Z313" i="1"/>
  <c r="Y317" i="1"/>
  <c r="BP321" i="1"/>
  <c r="BN321" i="1"/>
  <c r="Z321" i="1"/>
  <c r="Y330" i="1"/>
  <c r="BP329" i="1"/>
  <c r="BN329" i="1"/>
  <c r="Z329" i="1"/>
  <c r="Y336" i="1"/>
  <c r="BP333" i="1"/>
  <c r="BN333" i="1"/>
  <c r="Z333" i="1"/>
  <c r="BP342" i="1"/>
  <c r="BN342" i="1"/>
  <c r="Z342" i="1"/>
  <c r="Y355" i="1"/>
  <c r="BP348" i="1"/>
  <c r="BN348" i="1"/>
  <c r="Z348" i="1"/>
  <c r="BP352" i="1"/>
  <c r="BN352" i="1"/>
  <c r="Z352" i="1"/>
  <c r="BP364" i="1"/>
  <c r="BN364" i="1"/>
  <c r="Z364" i="1"/>
  <c r="Z365" i="1" s="1"/>
  <c r="Y366" i="1"/>
  <c r="Y369" i="1"/>
  <c r="BP368" i="1"/>
  <c r="BN368" i="1"/>
  <c r="Z368" i="1"/>
  <c r="Z369" i="1" s="1"/>
  <c r="Y370" i="1"/>
  <c r="T498" i="1"/>
  <c r="Y376" i="1"/>
  <c r="BP373" i="1"/>
  <c r="BN373" i="1"/>
  <c r="Z373" i="1"/>
  <c r="Y380" i="1"/>
  <c r="BP385" i="1"/>
  <c r="BN385" i="1"/>
  <c r="Z385" i="1"/>
  <c r="U498" i="1"/>
  <c r="Y400" i="1"/>
  <c r="BP391" i="1"/>
  <c r="BN391" i="1"/>
  <c r="Z391" i="1"/>
  <c r="BP395" i="1"/>
  <c r="BN395" i="1"/>
  <c r="Z395" i="1"/>
  <c r="BP399" i="1"/>
  <c r="BN399" i="1"/>
  <c r="Z399" i="1"/>
  <c r="Y401" i="1"/>
  <c r="Y406" i="1"/>
  <c r="BP403" i="1"/>
  <c r="BN403" i="1"/>
  <c r="Z403" i="1"/>
  <c r="S498" i="1"/>
  <c r="Y241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Z292" i="1" s="1"/>
  <c r="BP299" i="1"/>
  <c r="BN299" i="1"/>
  <c r="Z299" i="1"/>
  <c r="BP307" i="1"/>
  <c r="BN307" i="1"/>
  <c r="Z307" i="1"/>
  <c r="BP315" i="1"/>
  <c r="BN315" i="1"/>
  <c r="Z315" i="1"/>
  <c r="BP327" i="1"/>
  <c r="BN327" i="1"/>
  <c r="Z327" i="1"/>
  <c r="BP335" i="1"/>
  <c r="BN335" i="1"/>
  <c r="Z335" i="1"/>
  <c r="Y337" i="1"/>
  <c r="R498" i="1"/>
  <c r="Y343" i="1"/>
  <c r="BP340" i="1"/>
  <c r="BN340" i="1"/>
  <c r="Z340" i="1"/>
  <c r="BP350" i="1"/>
  <c r="BN350" i="1"/>
  <c r="Z350" i="1"/>
  <c r="BP354" i="1"/>
  <c r="BN354" i="1"/>
  <c r="Z354" i="1"/>
  <c r="Y356" i="1"/>
  <c r="Y361" i="1"/>
  <c r="BP358" i="1"/>
  <c r="BN358" i="1"/>
  <c r="Z358" i="1"/>
  <c r="Z360" i="1" s="1"/>
  <c r="BP379" i="1"/>
  <c r="BN379" i="1"/>
  <c r="Z379" i="1"/>
  <c r="Z380" i="1" s="1"/>
  <c r="Y381" i="1"/>
  <c r="Y386" i="1"/>
  <c r="BP383" i="1"/>
  <c r="BN383" i="1"/>
  <c r="Z383" i="1"/>
  <c r="BP393" i="1"/>
  <c r="BN393" i="1"/>
  <c r="Z393" i="1"/>
  <c r="BP397" i="1"/>
  <c r="BN397" i="1"/>
  <c r="Z397" i="1"/>
  <c r="BP414" i="1"/>
  <c r="BN414" i="1"/>
  <c r="Z414" i="1"/>
  <c r="Z417" i="1" s="1"/>
  <c r="BP430" i="1"/>
  <c r="BN430" i="1"/>
  <c r="Z430" i="1"/>
  <c r="BP434" i="1"/>
  <c r="BN434" i="1"/>
  <c r="Z434" i="1"/>
  <c r="BP438" i="1"/>
  <c r="BN438" i="1"/>
  <c r="Z438" i="1"/>
  <c r="Y440" i="1"/>
  <c r="Y445" i="1"/>
  <c r="BP442" i="1"/>
  <c r="BN442" i="1"/>
  <c r="Z442" i="1"/>
  <c r="Y446" i="1"/>
  <c r="BP450" i="1"/>
  <c r="BN450" i="1"/>
  <c r="Z450" i="1"/>
  <c r="Y454" i="1"/>
  <c r="BP460" i="1"/>
  <c r="BN460" i="1"/>
  <c r="Z460" i="1"/>
  <c r="Y498" i="1"/>
  <c r="Y464" i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O498" i="1"/>
  <c r="P498" i="1"/>
  <c r="Y287" i="1"/>
  <c r="Y302" i="1"/>
  <c r="V498" i="1"/>
  <c r="Y411" i="1"/>
  <c r="Y418" i="1"/>
  <c r="BP415" i="1"/>
  <c r="BN415" i="1"/>
  <c r="Y417" i="1"/>
  <c r="BP428" i="1"/>
  <c r="BN428" i="1"/>
  <c r="Z428" i="1"/>
  <c r="BP432" i="1"/>
  <c r="BN432" i="1"/>
  <c r="Z432" i="1"/>
  <c r="BP436" i="1"/>
  <c r="BN436" i="1"/>
  <c r="Z436" i="1"/>
  <c r="BP444" i="1"/>
  <c r="BN444" i="1"/>
  <c r="Z444" i="1"/>
  <c r="Y455" i="1"/>
  <c r="BP448" i="1"/>
  <c r="BN448" i="1"/>
  <c r="Z448" i="1"/>
  <c r="BP452" i="1"/>
  <c r="BN452" i="1"/>
  <c r="Z452" i="1"/>
  <c r="Y463" i="1"/>
  <c r="BP462" i="1"/>
  <c r="BN462" i="1"/>
  <c r="Z462" i="1"/>
  <c r="Y469" i="1"/>
  <c r="BP466" i="1"/>
  <c r="BN466" i="1"/>
  <c r="Z466" i="1"/>
  <c r="Z468" i="1" s="1"/>
  <c r="Y481" i="1"/>
  <c r="Y439" i="1"/>
  <c r="Z241" i="1" l="1"/>
  <c r="Z343" i="1"/>
  <c r="Z405" i="1"/>
  <c r="Z375" i="1"/>
  <c r="Z323" i="1"/>
  <c r="Z118" i="1"/>
  <c r="Z24" i="1"/>
  <c r="Z445" i="1"/>
  <c r="Z266" i="1"/>
  <c r="Z463" i="1"/>
  <c r="Z439" i="1"/>
  <c r="Z386" i="1"/>
  <c r="Z330" i="1"/>
  <c r="Z310" i="1"/>
  <c r="Z301" i="1"/>
  <c r="Z257" i="1"/>
  <c r="Z211" i="1"/>
  <c r="Z179" i="1"/>
  <c r="Z152" i="1"/>
  <c r="Z95" i="1"/>
  <c r="Z88" i="1"/>
  <c r="Y488" i="1"/>
  <c r="Z43" i="1"/>
  <c r="Y490" i="1"/>
  <c r="Y491" i="1" s="1"/>
  <c r="Y489" i="1"/>
  <c r="Z68" i="1"/>
  <c r="Z454" i="1"/>
  <c r="Z336" i="1"/>
  <c r="Z274" i="1"/>
  <c r="Z223" i="1"/>
  <c r="Z111" i="1"/>
  <c r="Z104" i="1"/>
  <c r="Z31" i="1"/>
  <c r="Z400" i="1"/>
  <c r="Z355" i="1"/>
  <c r="Z317" i="1"/>
  <c r="Y492" i="1"/>
  <c r="X491" i="1"/>
  <c r="Z75" i="1"/>
  <c r="Z493" i="1" l="1"/>
</calcChain>
</file>

<file path=xl/sharedStrings.xml><?xml version="1.0" encoding="utf-8"?>
<sst xmlns="http://schemas.openxmlformats.org/spreadsheetml/2006/main" count="2284" uniqueCount="768">
  <si>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</si>
  <si>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</si>
  <si>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</si>
  <si>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</si>
  <si>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</si>
  <si>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</si>
  <si>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</si>
  <si>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</si>
  <si>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</si>
  <si>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</si>
  <si>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</si>
  <si>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</si>
  <si>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</si>
  <si>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</si>
  <si>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</si>
  <si>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</si>
  <si>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</si>
  <si>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</si>
  <si>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</si>
  <si>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</si>
  <si>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</si>
  <si>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</si>
  <si>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</si>
  <si>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</si>
  <si>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</si>
  <si>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</si>
  <si>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</si>
  <si>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</si>
  <si>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</si>
  <si>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</si>
  <si>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</si>
  <si>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</si>
  <si>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</si>
  <si>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</si>
  <si>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</si>
  <si>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</si>
  <si>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</si>
  <si>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</si>
  <si>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</si>
  <si>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</si>
  <si>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</si>
  <si>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</si>
  <si>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</si>
  <si>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</si>
  <si>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</si>
  <si>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</si>
  <si>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</si>
  <si>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</si>
  <si>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</si>
  <si>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</si>
  <si>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</si>
  <si>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</si>
  <si>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</si>
  <si>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</si>
  <si>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</si>
  <si>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</si>
  <si>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</si>
  <si>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</si>
  <si>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</si>
  <si>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</si>
  <si>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</si>
  <si>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</si>
  <si>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</si>
  <si>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</si>
  <si>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</si>
  <si>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</si>
  <si>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</si>
  <si>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</si>
  <si>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</si>
  <si>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</si>
  <si>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</si>
  <si>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</si>
  <si>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</si>
  <si>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</si>
  <si>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</si>
  <si>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</si>
  <si>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</si>
  <si>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</si>
  <si>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</si>
  <si>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</si>
  <si>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</si>
  <si>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</si>
  <si>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</si>
  <si>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</si>
  <si>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</si>
  <si>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</si>
  <si>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</si>
  <si>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</si>
  <si>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</si>
  <si>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</si>
  <si>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</si>
  <si>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</si>
  <si>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</si>
  <si>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</si>
  <si>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</si>
  <si>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</si>
  <si>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</si>
  <si>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</si>
  <si>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</si>
  <si>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</si>
  <si>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</si>
  <si>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</si>
  <si>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</si>
  <si>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</si>
  <si>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</si>
  <si>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</si>
  <si>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</si>
  <si>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</si>
  <si>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</si>
  <si>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</si>
  <si>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</si>
  <si>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</si>
  <si>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</si>
  <si>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</si>
  <si>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</si>
  <si>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</si>
  <si>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</si>
  <si>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</si>
  <si>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</si>
  <si>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</si>
  <si>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</si>
  <si>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</si>
  <si>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</si>
  <si>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</si>
  <si>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</si>
  <si>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</si>
  <si>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</si>
  <si>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</si>
  <si>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</si>
  <si>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</si>
  <si>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</si>
  <si>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</si>
  <si>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</si>
  <si>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</si>
  <si>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</si>
  <si>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</si>
  <si>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</si>
  <si>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</si>
  <si>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</si>
  <si>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</si>
  <si>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</si>
  <si>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</si>
  <si>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</si>
  <si>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</si>
  <si>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</si>
  <si>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</si>
  <si>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</si>
  <si>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</si>
  <si>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</si>
  <si>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</si>
  <si>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</si>
  <si>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</si>
  <si>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</si>
  <si>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</si>
  <si>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</si>
  <si>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</si>
  <si>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</si>
  <si>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</si>
  <si>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</si>
  <si>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</si>
  <si>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</si>
  <si>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</si>
  <si>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</si>
  <si>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</si>
  <si>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</si>
  <si>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</si>
  <si>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</si>
  <si>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</si>
  <si>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</si>
  <si>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</si>
  <si>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</si>
  <si>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</si>
  <si>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</si>
  <si>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</si>
  <si>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</si>
  <si>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</si>
  <si>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</si>
  <si>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</si>
  <si>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</si>
  <si>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</si>
  <si>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</si>
  <si>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</si>
  <si>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</si>
  <si>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</si>
  <si>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</si>
  <si>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</si>
  <si>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</si>
  <si>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</si>
  <si>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</si>
  <si>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</si>
  <si>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</si>
  <si>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</si>
  <si>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</si>
  <si>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</si>
  <si>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</si>
  <si>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</si>
  <si>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</si>
  <si>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</si>
  <si>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</si>
  <si>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</si>
  <si>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</si>
  <si>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</si>
  <si>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</si>
  <si>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</si>
  <si>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</si>
  <si>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</si>
  <si>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</si>
  <si>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</si>
  <si>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</si>
  <si>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</si>
  <si>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</si>
  <si>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</si>
  <si>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</si>
  <si>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</si>
  <si>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</si>
  <si>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</si>
  <si>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</si>
  <si>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</si>
  <si>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</si>
  <si>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</si>
  <si>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</si>
  <si>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</si>
  <si>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</si>
  <si>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</si>
  <si>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</si>
  <si>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</si>
  <si>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</si>
  <si>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</si>
  <si>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</si>
  <si>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</si>
  <si>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</si>
  <si>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</si>
  <si>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</si>
  <si>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</si>
  <si>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</si>
  <si>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</si>
  <si>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</si>
  <si>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</si>
  <si>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</si>
  <si>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</si>
  <si>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</si>
  <si>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</si>
  <si>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</si>
  <si>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</si>
  <si>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</si>
  <si>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</si>
  <si>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</si>
  <si>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</si>
  <si>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</si>
  <si>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</si>
  <si>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</si>
  <si>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</si>
  <si>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</si>
  <si>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</si>
  <si>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</si>
  <si>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</si>
  <si>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</si>
  <si>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</si>
  <si>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</si>
  <si>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</si>
  <si>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</si>
  <si>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</si>
  <si>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</si>
  <si>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</si>
  <si>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</si>
  <si>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</si>
  <si>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</si>
  <si>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</si>
  <si>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</si>
  <si>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</si>
  <si>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</si>
  <si>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</si>
  <si>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</si>
  <si>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</si>
  <si>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</si>
  <si>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</si>
  <si>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</si>
  <si>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</si>
  <si>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</si>
  <si>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</si>
  <si>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</si>
  <si>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</si>
  <si>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</si>
  <si>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</si>
  <si>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</si>
  <si>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</si>
  <si>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</si>
  <si>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</si>
  <si>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</si>
  <si>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</si>
  <si>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</si>
  <si>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</si>
  <si>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</si>
  <si>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</si>
  <si>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</si>
  <si>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</si>
  <si>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</si>
  <si>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</si>
  <si>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</si>
  <si>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</si>
  <si>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</si>
  <si>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</si>
  <si>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</si>
  <si>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</si>
  <si>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</si>
  <si>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</si>
  <si>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</si>
  <si>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</si>
  <si>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</si>
  <si>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</si>
  <si>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</si>
  <si>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</si>
  <si>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</si>
  <si>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</si>
  <si>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</si>
  <si>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</si>
  <si>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</si>
  <si>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</si>
  <si>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</si>
  <si>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</si>
  <si>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</si>
  <si>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</si>
  <si>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</si>
  <si>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</si>
  <si>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</si>
  <si>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</si>
  <si>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</si>
  <si>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</si>
  <si>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</si>
  <si>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</si>
  <si>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</si>
  <si>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</si>
  <si>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</si>
  <si>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</si>
  <si>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</si>
  <si>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</si>
  <si>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</si>
  <si>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</si>
  <si>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</si>
  <si>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</si>
  <si>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</si>
  <si>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</si>
  <si>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</si>
  <si>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</si>
  <si>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</si>
  <si>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</si>
  <si>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</si>
  <si>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</si>
  <si>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</si>
  <si>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</si>
  <si>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</si>
  <si>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</si>
  <si>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</si>
  <si>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</si>
  <si>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</si>
  <si>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</si>
  <si>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</si>
  <si>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</si>
  <si>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</si>
  <si>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</si>
  <si>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</si>
  <si>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</si>
  <si>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</si>
  <si>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</si>
  <si>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</si>
  <si>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</si>
  <si>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</si>
  <si>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</si>
  <si>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</si>
  <si>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</si>
  <si>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</si>
  <si>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</si>
  <si>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</si>
  <si>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</si>
  <si>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</si>
  <si>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</si>
  <si>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</si>
  <si>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</si>
  <si>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</si>
  <si>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</si>
  <si>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</si>
  <si>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</si>
  <si>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</si>
  <si>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</si>
  <si>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</si>
  <si>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</si>
  <si>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</si>
  <si>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</si>
  <si>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</si>
  <si>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</si>
  <si>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</si>
  <si>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</si>
  <si>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</si>
  <si>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</si>
  <si>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</si>
  <si>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</si>
  <si>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</si>
  <si>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</si>
  <si>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</si>
  <si>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</si>
  <si>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</si>
  <si>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</si>
  <si>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</si>
  <si>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</si>
  <si>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</si>
  <si>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</si>
  <si>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</si>
  <si>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</si>
  <si>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</si>
  <si>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</si>
  <si>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</si>
  <si>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</si>
  <si>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</si>
  <si>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</si>
  <si>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</si>
  <si>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</si>
  <si>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</si>
  <si>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</si>
  <si>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</si>
  <si>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</si>
  <si>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</si>
  <si>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</si>
  <si>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</si>
  <si>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</si>
  <si>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</si>
  <si>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</si>
  <si>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</si>
  <si>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</si>
  <si>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</si>
  <si>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</si>
  <si>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</si>
  <si>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</si>
  <si>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</si>
  <si>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</si>
  <si>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</si>
  <si>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</si>
  <si>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</si>
  <si>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</si>
  <si>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</si>
  <si>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</si>
  <si>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</si>
  <si>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</si>
  <si>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</si>
  <si>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</si>
  <si>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</si>
  <si>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</si>
  <si>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</si>
  <si>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</si>
  <si>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</si>
  <si>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</si>
  <si>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</si>
  <si>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</si>
  <si>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</si>
  <si>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</si>
  <si>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</si>
  <si>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</si>
  <si>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</si>
  <si>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</si>
  <si>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</si>
  <si>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</si>
  <si>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</si>
  <si>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</si>
  <si>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</si>
  <si>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</si>
  <si>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</si>
  <si>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</si>
  <si>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</si>
  <si>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</si>
  <si>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</si>
  <si>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</si>
  <si>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</si>
  <si>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</si>
  <si>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</si>
  <si>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</si>
  <si>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</si>
  <si>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</si>
  <si>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</si>
  <si>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</si>
  <si>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</si>
  <si>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</si>
  <si>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</si>
  <si>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</si>
  <si>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</si>
  <si>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</si>
  <si>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</si>
  <si>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</si>
  <si>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</si>
  <si>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</si>
  <si>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</si>
  <si>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</si>
  <si>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</si>
  <si>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</si>
  <si>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</si>
  <si>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</si>
  <si>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</si>
  <si>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</si>
  <si>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</si>
  <si>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</si>
  <si>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</si>
  <si>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</si>
  <si>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</si>
  <si>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</si>
  <si>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</si>
  <si>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</si>
  <si>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</si>
  <si>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</si>
  <si>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</si>
  <si>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</si>
  <si>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</si>
  <si>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</si>
  <si>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</si>
  <si>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</si>
  <si>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</si>
  <si>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</si>
  <si>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</si>
  <si>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</si>
  <si>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</si>
  <si>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</si>
  <si>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</si>
  <si>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</si>
  <si>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</si>
  <si>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</si>
  <si>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</si>
  <si>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</si>
  <si>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</si>
  <si>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</si>
  <si>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</si>
  <si>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</si>
  <si>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</si>
  <si>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</si>
  <si>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</si>
  <si>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</si>
  <si>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</si>
  <si>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</si>
  <si>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</si>
  <si>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</si>
  <si>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</si>
  <si>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</si>
  <si>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</si>
  <si>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</si>
  <si>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</si>
  <si>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</si>
  <si>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</si>
  <si>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</si>
  <si>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</si>
  <si>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</si>
  <si>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</si>
  <si>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</si>
  <si>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</si>
  <si>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</si>
  <si>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</si>
  <si>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</si>
  <si>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</si>
  <si>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</si>
  <si>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</si>
  <si>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</si>
  <si>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</si>
  <si>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</si>
  <si>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</si>
  <si>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</si>
  <si>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</si>
  <si>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</si>
  <si>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</si>
  <si>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</si>
  <si>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</si>
  <si>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</si>
  <si>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</si>
  <si>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</si>
  <si>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</si>
  <si>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</si>
  <si>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</si>
  <si>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</si>
  <si>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</si>
  <si>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</si>
  <si>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</si>
  <si>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</si>
  <si>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</si>
  <si>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</si>
  <si>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</si>
  <si>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</si>
  <si>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</si>
  <si>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</si>
  <si>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</si>
  <si>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</si>
  <si>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</si>
  <si>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</si>
  <si>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</si>
  <si>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</si>
  <si>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</si>
  <si>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</si>
  <si>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</si>
  <si>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</si>
  <si>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</si>
  <si>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</si>
  <si>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</si>
  <si>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</si>
  <si>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</si>
  <si>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</si>
  <si>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</si>
  <si>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</si>
  <si>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</si>
  <si>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</si>
  <si>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</si>
  <si>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</si>
  <si>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</si>
  <si>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</si>
  <si>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</si>
  <si>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</si>
  <si>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</si>
  <si>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</si>
  <si>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</si>
  <si>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</si>
  <si>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</si>
  <si>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</si>
  <si>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</si>
  <si>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</si>
  <si>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</si>
  <si>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</si>
  <si>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</si>
  <si>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</si>
  <si>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</si>
  <si>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</si>
  <si>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</si>
  <si>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</si>
  <si>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</si>
  <si>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</si>
  <si>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</si>
  <si>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</si>
  <si>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</si>
  <si>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</si>
  <si>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</si>
  <si>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</si>
  <si>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</si>
  <si>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</si>
  <si>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</si>
  <si>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</si>
  <si>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</si>
  <si>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</si>
  <si>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</si>
  <si>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</si>
  <si>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</si>
  <si>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</si>
  <si>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</si>
  <si>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</si>
  <si>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</si>
  <si>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</si>
  <si>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</si>
  <si>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</si>
  <si>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</si>
  <si>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</si>
  <si>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</si>
  <si>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</si>
  <si>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</si>
  <si>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</si>
  <si>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</si>
  <si>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</si>
  <si>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</si>
  <si>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</si>
  <si>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</si>
  <si>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</si>
  <si>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</si>
  <si>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</si>
  <si>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</si>
  <si>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</si>
  <si>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</si>
  <si>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</si>
  <si>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</si>
  <si>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</si>
  <si>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</si>
  <si>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</si>
  <si>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</si>
  <si>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</si>
  <si>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</si>
  <si>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</si>
  <si>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</si>
  <si>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</si>
  <si>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</si>
  <si>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</si>
  <si>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</si>
  <si>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</si>
  <si>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</si>
  <si>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</si>
  <si>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</si>
  <si>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</si>
  <si>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</si>
  <si>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</si>
  <si>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</si>
  <si>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</si>
  <si>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</si>
  <si>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</si>
  <si>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</si>
  <si>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</si>
  <si>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</si>
  <si>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</si>
  <si>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</si>
  <si>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</si>
  <si>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</si>
  <si>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</si>
  <si>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</si>
  <si>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</si>
  <si>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</si>
  <si>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</si>
  <si>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</si>
  <si>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</si>
  <si>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</si>
  <si>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</si>
  <si>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</si>
  <si>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</si>
  <si>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</si>
  <si>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</si>
  <si>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</si>
  <si>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</si>
  <si>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</si>
  <si>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</si>
  <si>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</si>
  <si>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</si>
  <si>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</si>
  <si>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</si>
  <si>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</si>
  <si>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</si>
  <si>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</si>
  <si>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</si>
  <si>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</si>
  <si>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</si>
  <si>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</si>
  <si>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</si>
  <si>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</si>
  <si>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</si>
  <si>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</si>
  <si>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</si>
  <si>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</si>
  <si>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</si>
  <si>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</si>
  <si>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</si>
  <si>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</si>
  <si>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</si>
  <si>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</si>
  <si>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</si>
  <si>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</si>
  <si>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</si>
  <si>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</si>
  <si>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</si>
  <si>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</si>
  <si>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</si>
  <si>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</si>
  <si>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</si>
  <si>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</si>
  <si>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</si>
  <si>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</si>
  <si>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</si>
  <si>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</si>
  <si>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</si>
  <si>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</si>
  <si>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</si>
  <si>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</si>
  <si>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</si>
  <si>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</si>
  <si>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</si>
  <si>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</si>
  <si>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</si>
  <si>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</si>
  <si>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</si>
  <si>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</si>
  <si>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</si>
  <si>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</si>
  <si>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</si>
  <si>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</si>
  <si>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на 10 европалет,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</si>
</sst>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46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809" t="s">
        <v>0</v>
      </c>
      <c r="E1" s="586"/>
      <c r="F1" s="586"/>
      <c r="G1" s="12" t="s">
        <v>1</v>
      </c>
      <c r="H1" s="809" t="s">
        <v>2</v>
      </c>
      <c r="I1" s="586"/>
      <c r="J1" s="586"/>
      <c r="K1" s="586"/>
      <c r="L1" s="586"/>
      <c r="M1" s="586"/>
      <c r="N1" s="586"/>
      <c r="O1" s="586"/>
      <c r="P1" s="586"/>
      <c r="Q1" s="586"/>
      <c r="R1" s="844" t="s">
        <v>3</v>
      </c>
      <c r="S1" s="586"/>
      <c r="T1" s="58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765" t="s">
        <v>8</v>
      </c>
      <c r="B5" s="610"/>
      <c r="C5" s="578"/>
      <c r="D5" s="665"/>
      <c r="E5" s="667"/>
      <c r="F5" s="620" t="s">
        <v>9</v>
      </c>
      <c r="G5" s="578"/>
      <c r="H5" s="665" t="s">
        <v>767</v>
      </c>
      <c r="I5" s="666"/>
      <c r="J5" s="666"/>
      <c r="K5" s="666"/>
      <c r="L5" s="666"/>
      <c r="M5" s="667"/>
      <c r="N5" s="58"/>
      <c r="P5" s="24" t="s">
        <v>10</v>
      </c>
      <c r="Q5" s="625">
        <v>46050</v>
      </c>
      <c r="R5" s="626"/>
      <c r="T5" s="731" t="s">
        <v>11</v>
      </c>
      <c r="U5" s="606"/>
      <c r="V5" s="732" t="s">
        <v>12</v>
      </c>
      <c r="W5" s="626"/>
      <c r="AB5" s="51"/>
      <c r="AC5" s="51"/>
      <c r="AD5" s="51"/>
      <c r="AE5" s="51"/>
    </row>
    <row r="6" spans="1:32" s="539" customFormat="1" ht="24" customHeight="1" x14ac:dyDescent="0.2">
      <c r="A6" s="765" t="s">
        <v>13</v>
      </c>
      <c r="B6" s="610"/>
      <c r="C6" s="578"/>
      <c r="D6" s="671" t="s">
        <v>14</v>
      </c>
      <c r="E6" s="672"/>
      <c r="F6" s="672"/>
      <c r="G6" s="672"/>
      <c r="H6" s="672"/>
      <c r="I6" s="672"/>
      <c r="J6" s="672"/>
      <c r="K6" s="672"/>
      <c r="L6" s="672"/>
      <c r="M6" s="626"/>
      <c r="N6" s="59"/>
      <c r="P6" s="24" t="s">
        <v>15</v>
      </c>
      <c r="Q6" s="636" t="str">
        <f>IF(Q5=0," ",CHOOSE(WEEKDAY(Q5,2),"Понедельник","Вторник","Среда","Четверг","Пятница","Суббота","Воскресенье"))</f>
        <v>Среда</v>
      </c>
      <c r="R6" s="562"/>
      <c r="T6" s="737" t="s">
        <v>16</v>
      </c>
      <c r="U6" s="606"/>
      <c r="V6" s="678" t="s">
        <v>17</v>
      </c>
      <c r="W6" s="679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851" t="str">
        <f>IFERROR(VLOOKUP(DeliveryAddress,Table,3,0),1)</f>
        <v>1</v>
      </c>
      <c r="E7" s="852"/>
      <c r="F7" s="852"/>
      <c r="G7" s="852"/>
      <c r="H7" s="852"/>
      <c r="I7" s="852"/>
      <c r="J7" s="852"/>
      <c r="K7" s="852"/>
      <c r="L7" s="852"/>
      <c r="M7" s="736"/>
      <c r="N7" s="60"/>
      <c r="P7" s="24"/>
      <c r="Q7" s="42"/>
      <c r="R7" s="42"/>
      <c r="T7" s="555"/>
      <c r="U7" s="606"/>
      <c r="V7" s="680"/>
      <c r="W7" s="681"/>
      <c r="AB7" s="51"/>
      <c r="AC7" s="51"/>
      <c r="AD7" s="51"/>
      <c r="AE7" s="51"/>
    </row>
    <row r="8" spans="1:32" s="539" customFormat="1" ht="25.5" customHeight="1" x14ac:dyDescent="0.2">
      <c r="A8" s="584" t="s">
        <v>18</v>
      </c>
      <c r="B8" s="552"/>
      <c r="C8" s="553"/>
      <c r="D8" s="853" t="s">
        <v>19</v>
      </c>
      <c r="E8" s="854"/>
      <c r="F8" s="854"/>
      <c r="G8" s="854"/>
      <c r="H8" s="854"/>
      <c r="I8" s="854"/>
      <c r="J8" s="854"/>
      <c r="K8" s="854"/>
      <c r="L8" s="854"/>
      <c r="M8" s="855"/>
      <c r="N8" s="61"/>
      <c r="P8" s="24" t="s">
        <v>20</v>
      </c>
      <c r="Q8" s="735">
        <v>0.41666666666666669</v>
      </c>
      <c r="R8" s="736"/>
      <c r="T8" s="555"/>
      <c r="U8" s="606"/>
      <c r="V8" s="680"/>
      <c r="W8" s="681"/>
      <c r="AB8" s="51"/>
      <c r="AC8" s="51"/>
      <c r="AD8" s="51"/>
      <c r="AE8" s="51"/>
    </row>
    <row r="9" spans="1:32" s="539" customFormat="1" ht="39.950000000000003" customHeight="1" x14ac:dyDescent="0.2">
      <c r="A9" s="5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32"/>
      <c r="E9" s="633"/>
      <c r="F9" s="5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741" t="str">
        <f>IF(AND($A$9="Тип доверенности/получателя при получении в адресе перегруза:",$D$9="Разовая доверенность"),"Введите ФИО","")</f>
        <v/>
      </c>
      <c r="I9" s="633"/>
      <c r="J9" s="74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3"/>
      <c r="L9" s="633"/>
      <c r="M9" s="633"/>
      <c r="N9" s="537"/>
      <c r="P9" s="26" t="s">
        <v>21</v>
      </c>
      <c r="Q9" s="784"/>
      <c r="R9" s="624"/>
      <c r="T9" s="555"/>
      <c r="U9" s="606"/>
      <c r="V9" s="682"/>
      <c r="W9" s="683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5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32"/>
      <c r="E10" s="633"/>
      <c r="F10" s="5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694" t="str">
        <f>IFERROR(VLOOKUP($D$10,Proxy,2,FALSE),"")</f>
        <v/>
      </c>
      <c r="I10" s="555"/>
      <c r="J10" s="555"/>
      <c r="K10" s="555"/>
      <c r="L10" s="555"/>
      <c r="M10" s="555"/>
      <c r="N10" s="538"/>
      <c r="P10" s="26" t="s">
        <v>22</v>
      </c>
      <c r="Q10" s="738"/>
      <c r="R10" s="739"/>
      <c r="U10" s="24" t="s">
        <v>23</v>
      </c>
      <c r="V10" s="815" t="s">
        <v>24</v>
      </c>
      <c r="W10" s="679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87"/>
      <c r="R11" s="626"/>
      <c r="U11" s="24" t="s">
        <v>27</v>
      </c>
      <c r="V11" s="623" t="s">
        <v>28</v>
      </c>
      <c r="W11" s="624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23" t="s">
        <v>29</v>
      </c>
      <c r="B12" s="610"/>
      <c r="C12" s="610"/>
      <c r="D12" s="610"/>
      <c r="E12" s="610"/>
      <c r="F12" s="610"/>
      <c r="G12" s="610"/>
      <c r="H12" s="610"/>
      <c r="I12" s="610"/>
      <c r="J12" s="610"/>
      <c r="K12" s="610"/>
      <c r="L12" s="610"/>
      <c r="M12" s="578"/>
      <c r="N12" s="62"/>
      <c r="P12" s="24" t="s">
        <v>30</v>
      </c>
      <c r="Q12" s="735"/>
      <c r="R12" s="736"/>
      <c r="S12" s="23"/>
      <c r="U12" s="24"/>
      <c r="V12" s="586"/>
      <c r="W12" s="555"/>
      <c r="AB12" s="51"/>
      <c r="AC12" s="51"/>
      <c r="AD12" s="51"/>
      <c r="AE12" s="51"/>
    </row>
    <row r="13" spans="1:32" s="539" customFormat="1" ht="23.25" customHeight="1" x14ac:dyDescent="0.2">
      <c r="A13" s="723" t="s">
        <v>31</v>
      </c>
      <c r="B13" s="610"/>
      <c r="C13" s="610"/>
      <c r="D13" s="610"/>
      <c r="E13" s="610"/>
      <c r="F13" s="610"/>
      <c r="G13" s="610"/>
      <c r="H13" s="610"/>
      <c r="I13" s="610"/>
      <c r="J13" s="610"/>
      <c r="K13" s="610"/>
      <c r="L13" s="610"/>
      <c r="M13" s="578"/>
      <c r="N13" s="62"/>
      <c r="O13" s="26"/>
      <c r="P13" s="26" t="s">
        <v>32</v>
      </c>
      <c r="Q13" s="623"/>
      <c r="R13" s="62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23" t="s">
        <v>33</v>
      </c>
      <c r="B14" s="610"/>
      <c r="C14" s="610"/>
      <c r="D14" s="610"/>
      <c r="E14" s="610"/>
      <c r="F14" s="610"/>
      <c r="G14" s="610"/>
      <c r="H14" s="610"/>
      <c r="I14" s="610"/>
      <c r="J14" s="610"/>
      <c r="K14" s="610"/>
      <c r="L14" s="610"/>
      <c r="M14" s="57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26" t="s">
        <v>34</v>
      </c>
      <c r="B15" s="610"/>
      <c r="C15" s="610"/>
      <c r="D15" s="610"/>
      <c r="E15" s="610"/>
      <c r="F15" s="610"/>
      <c r="G15" s="610"/>
      <c r="H15" s="610"/>
      <c r="I15" s="610"/>
      <c r="J15" s="610"/>
      <c r="K15" s="610"/>
      <c r="L15" s="610"/>
      <c r="M15" s="578"/>
      <c r="N15" s="63"/>
      <c r="P15" s="762" t="s">
        <v>35</v>
      </c>
      <c r="Q15" s="586"/>
      <c r="R15" s="586"/>
      <c r="S15" s="586"/>
      <c r="T15" s="58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3"/>
      <c r="Q16" s="763"/>
      <c r="R16" s="763"/>
      <c r="S16" s="763"/>
      <c r="T16" s="76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63" t="s">
        <v>36</v>
      </c>
      <c r="B17" s="563" t="s">
        <v>37</v>
      </c>
      <c r="C17" s="768" t="s">
        <v>38</v>
      </c>
      <c r="D17" s="563" t="s">
        <v>39</v>
      </c>
      <c r="E17" s="564"/>
      <c r="F17" s="563" t="s">
        <v>40</v>
      </c>
      <c r="G17" s="563" t="s">
        <v>41</v>
      </c>
      <c r="H17" s="563" t="s">
        <v>42</v>
      </c>
      <c r="I17" s="563" t="s">
        <v>43</v>
      </c>
      <c r="J17" s="563" t="s">
        <v>44</v>
      </c>
      <c r="K17" s="563" t="s">
        <v>45</v>
      </c>
      <c r="L17" s="563" t="s">
        <v>46</v>
      </c>
      <c r="M17" s="563" t="s">
        <v>47</v>
      </c>
      <c r="N17" s="563" t="s">
        <v>48</v>
      </c>
      <c r="O17" s="563" t="s">
        <v>49</v>
      </c>
      <c r="P17" s="563" t="s">
        <v>50</v>
      </c>
      <c r="Q17" s="793"/>
      <c r="R17" s="793"/>
      <c r="S17" s="793"/>
      <c r="T17" s="564"/>
      <c r="U17" s="577" t="s">
        <v>51</v>
      </c>
      <c r="V17" s="578"/>
      <c r="W17" s="563" t="s">
        <v>52</v>
      </c>
      <c r="X17" s="563" t="s">
        <v>53</v>
      </c>
      <c r="Y17" s="579" t="s">
        <v>54</v>
      </c>
      <c r="Z17" s="692" t="s">
        <v>55</v>
      </c>
      <c r="AA17" s="614" t="s">
        <v>56</v>
      </c>
      <c r="AB17" s="614" t="s">
        <v>57</v>
      </c>
      <c r="AC17" s="614" t="s">
        <v>58</v>
      </c>
      <c r="AD17" s="614" t="s">
        <v>59</v>
      </c>
      <c r="AE17" s="615"/>
      <c r="AF17" s="616"/>
      <c r="AG17" s="66"/>
      <c r="BD17" s="65" t="s">
        <v>60</v>
      </c>
    </row>
    <row r="18" spans="1:68" ht="14.25" customHeight="1" x14ac:dyDescent="0.2">
      <c r="A18" s="572"/>
      <c r="B18" s="572"/>
      <c r="C18" s="572"/>
      <c r="D18" s="565"/>
      <c r="E18" s="566"/>
      <c r="F18" s="572"/>
      <c r="G18" s="572"/>
      <c r="H18" s="572"/>
      <c r="I18" s="572"/>
      <c r="J18" s="572"/>
      <c r="K18" s="572"/>
      <c r="L18" s="572"/>
      <c r="M18" s="572"/>
      <c r="N18" s="572"/>
      <c r="O18" s="572"/>
      <c r="P18" s="565"/>
      <c r="Q18" s="794"/>
      <c r="R18" s="794"/>
      <c r="S18" s="794"/>
      <c r="T18" s="566"/>
      <c r="U18" s="67" t="s">
        <v>61</v>
      </c>
      <c r="V18" s="67" t="s">
        <v>62</v>
      </c>
      <c r="W18" s="572"/>
      <c r="X18" s="572"/>
      <c r="Y18" s="580"/>
      <c r="Z18" s="693"/>
      <c r="AA18" s="702"/>
      <c r="AB18" s="702"/>
      <c r="AC18" s="702"/>
      <c r="AD18" s="617"/>
      <c r="AE18" s="618"/>
      <c r="AF18" s="619"/>
      <c r="AG18" s="66"/>
      <c r="BD18" s="65"/>
    </row>
    <row r="19" spans="1:68" ht="27.75" hidden="1" customHeight="1" x14ac:dyDescent="0.2">
      <c r="A19" s="669" t="s">
        <v>63</v>
      </c>
      <c r="B19" s="670"/>
      <c r="C19" s="670"/>
      <c r="D19" s="670"/>
      <c r="E19" s="670"/>
      <c r="F19" s="670"/>
      <c r="G19" s="670"/>
      <c r="H19" s="670"/>
      <c r="I19" s="670"/>
      <c r="J19" s="670"/>
      <c r="K19" s="670"/>
      <c r="L19" s="670"/>
      <c r="M19" s="670"/>
      <c r="N19" s="670"/>
      <c r="O19" s="670"/>
      <c r="P19" s="670"/>
      <c r="Q19" s="670"/>
      <c r="R19" s="670"/>
      <c r="S19" s="670"/>
      <c r="T19" s="670"/>
      <c r="U19" s="670"/>
      <c r="V19" s="670"/>
      <c r="W19" s="670"/>
      <c r="X19" s="670"/>
      <c r="Y19" s="670"/>
      <c r="Z19" s="670"/>
      <c r="AA19" s="48"/>
      <c r="AB19" s="48"/>
      <c r="AC19" s="48"/>
    </row>
    <row r="20" spans="1:68" ht="16.5" hidden="1" customHeight="1" x14ac:dyDescent="0.25">
      <c r="A20" s="590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40"/>
      <c r="AB20" s="540"/>
      <c r="AC20" s="540"/>
    </row>
    <row r="21" spans="1:68" ht="14.25" hidden="1" customHeight="1" x14ac:dyDescent="0.25">
      <c r="A21" s="554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1">
        <v>4680115887510</v>
      </c>
      <c r="E22" s="562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8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9"/>
      <c r="R22" s="559"/>
      <c r="S22" s="559"/>
      <c r="T22" s="560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1">
        <v>4680115886643</v>
      </c>
      <c r="E23" s="562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6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9"/>
      <c r="R23" s="559"/>
      <c r="S23" s="559"/>
      <c r="T23" s="560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56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7"/>
      <c r="P24" s="551" t="s">
        <v>75</v>
      </c>
      <c r="Q24" s="552"/>
      <c r="R24" s="552"/>
      <c r="S24" s="552"/>
      <c r="T24" s="552"/>
      <c r="U24" s="552"/>
      <c r="V24" s="55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5"/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7"/>
      <c r="P25" s="551" t="s">
        <v>75</v>
      </c>
      <c r="Q25" s="552"/>
      <c r="R25" s="552"/>
      <c r="S25" s="552"/>
      <c r="T25" s="552"/>
      <c r="U25" s="552"/>
      <c r="V25" s="55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4" t="s">
        <v>77</v>
      </c>
      <c r="B26" s="555"/>
      <c r="C26" s="555"/>
      <c r="D26" s="555"/>
      <c r="E26" s="555"/>
      <c r="F26" s="555"/>
      <c r="G26" s="555"/>
      <c r="H26" s="555"/>
      <c r="I26" s="555"/>
      <c r="J26" s="555"/>
      <c r="K26" s="555"/>
      <c r="L26" s="555"/>
      <c r="M26" s="555"/>
      <c r="N26" s="555"/>
      <c r="O26" s="555"/>
      <c r="P26" s="555"/>
      <c r="Q26" s="555"/>
      <c r="R26" s="555"/>
      <c r="S26" s="555"/>
      <c r="T26" s="555"/>
      <c r="U26" s="555"/>
      <c r="V26" s="555"/>
      <c r="W26" s="555"/>
      <c r="X26" s="555"/>
      <c r="Y26" s="555"/>
      <c r="Z26" s="555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1">
        <v>4680115885912</v>
      </c>
      <c r="E27" s="562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0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9"/>
      <c r="R27" s="559"/>
      <c r="S27" s="559"/>
      <c r="T27" s="560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1">
        <v>4607091388237</v>
      </c>
      <c r="E28" s="562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5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9"/>
      <c r="R28" s="559"/>
      <c r="S28" s="559"/>
      <c r="T28" s="560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1">
        <v>4680115887350</v>
      </c>
      <c r="E29" s="562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8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9"/>
      <c r="R29" s="559"/>
      <c r="S29" s="559"/>
      <c r="T29" s="560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1">
        <v>4680115885905</v>
      </c>
      <c r="E30" s="562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83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9"/>
      <c r="R30" s="559"/>
      <c r="S30" s="559"/>
      <c r="T30" s="560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6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7"/>
      <c r="P31" s="551" t="s">
        <v>75</v>
      </c>
      <c r="Q31" s="552"/>
      <c r="R31" s="552"/>
      <c r="S31" s="552"/>
      <c r="T31" s="552"/>
      <c r="U31" s="552"/>
      <c r="V31" s="553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hidden="1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7"/>
      <c r="P32" s="551" t="s">
        <v>75</v>
      </c>
      <c r="Q32" s="552"/>
      <c r="R32" s="552"/>
      <c r="S32" s="552"/>
      <c r="T32" s="552"/>
      <c r="U32" s="552"/>
      <c r="V32" s="553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hidden="1" customHeight="1" x14ac:dyDescent="0.25">
      <c r="A33" s="554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41"/>
      <c r="AB33" s="541"/>
      <c r="AC33" s="541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61">
        <v>4607091388503</v>
      </c>
      <c r="E34" s="562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70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9"/>
      <c r="R34" s="559"/>
      <c r="S34" s="559"/>
      <c r="T34" s="560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6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7"/>
      <c r="P35" s="551" t="s">
        <v>75</v>
      </c>
      <c r="Q35" s="552"/>
      <c r="R35" s="552"/>
      <c r="S35" s="552"/>
      <c r="T35" s="552"/>
      <c r="U35" s="552"/>
      <c r="V35" s="553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hidden="1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7"/>
      <c r="P36" s="551" t="s">
        <v>75</v>
      </c>
      <c r="Q36" s="552"/>
      <c r="R36" s="552"/>
      <c r="S36" s="552"/>
      <c r="T36" s="552"/>
      <c r="U36" s="552"/>
      <c r="V36" s="553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hidden="1" customHeight="1" x14ac:dyDescent="0.2">
      <c r="A37" s="669" t="s">
        <v>97</v>
      </c>
      <c r="B37" s="670"/>
      <c r="C37" s="670"/>
      <c r="D37" s="670"/>
      <c r="E37" s="670"/>
      <c r="F37" s="670"/>
      <c r="G37" s="670"/>
      <c r="H37" s="670"/>
      <c r="I37" s="670"/>
      <c r="J37" s="670"/>
      <c r="K37" s="670"/>
      <c r="L37" s="670"/>
      <c r="M37" s="670"/>
      <c r="N37" s="670"/>
      <c r="O37" s="670"/>
      <c r="P37" s="670"/>
      <c r="Q37" s="670"/>
      <c r="R37" s="670"/>
      <c r="S37" s="670"/>
      <c r="T37" s="670"/>
      <c r="U37" s="670"/>
      <c r="V37" s="670"/>
      <c r="W37" s="670"/>
      <c r="X37" s="670"/>
      <c r="Y37" s="670"/>
      <c r="Z37" s="670"/>
      <c r="AA37" s="48"/>
      <c r="AB37" s="48"/>
      <c r="AC37" s="48"/>
    </row>
    <row r="38" spans="1:68" ht="16.5" hidden="1" customHeight="1" x14ac:dyDescent="0.25">
      <c r="A38" s="590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40"/>
      <c r="AB38" s="540"/>
      <c r="AC38" s="540"/>
    </row>
    <row r="39" spans="1:68" ht="14.25" hidden="1" customHeight="1" x14ac:dyDescent="0.25">
      <c r="A39" s="554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41"/>
      <c r="AB39" s="541"/>
      <c r="AC39" s="541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61">
        <v>4607091385670</v>
      </c>
      <c r="E40" s="562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69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9"/>
      <c r="R40" s="559"/>
      <c r="S40" s="559"/>
      <c r="T40" s="560"/>
      <c r="U40" s="34"/>
      <c r="V40" s="34"/>
      <c r="W40" s="35" t="s">
        <v>69</v>
      </c>
      <c r="X40" s="545">
        <v>184</v>
      </c>
      <c r="Y40" s="546">
        <f>IFERROR(IF(X40="",0,CEILING((X40/$H40),1)*$H40),"")</f>
        <v>194.4</v>
      </c>
      <c r="Z40" s="36">
        <f>IFERROR(IF(Y40=0,"",ROUNDUP(Y40/H40,0)*0.01898),"")</f>
        <v>0.34164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190.9851851851852</v>
      </c>
      <c r="BN40" s="64">
        <f>IFERROR(Y40*I40/H40,"0")</f>
        <v>201.78</v>
      </c>
      <c r="BO40" s="64">
        <f>IFERROR(1/J40*(X40/H40),"0")</f>
        <v>0.26620370370370366</v>
      </c>
      <c r="BP40" s="64">
        <f>IFERROR(1/J40*(Y40/H40),"0")</f>
        <v>0.28125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61">
        <v>4607091385687</v>
      </c>
      <c r="E41" s="562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64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9"/>
      <c r="R41" s="559"/>
      <c r="S41" s="559"/>
      <c r="T41" s="560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61">
        <v>4680115882539</v>
      </c>
      <c r="E42" s="562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80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9"/>
      <c r="R42" s="559"/>
      <c r="S42" s="559"/>
      <c r="T42" s="560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6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7"/>
      <c r="P43" s="551" t="s">
        <v>75</v>
      </c>
      <c r="Q43" s="552"/>
      <c r="R43" s="552"/>
      <c r="S43" s="552"/>
      <c r="T43" s="552"/>
      <c r="U43" s="552"/>
      <c r="V43" s="553"/>
      <c r="W43" s="37" t="s">
        <v>76</v>
      </c>
      <c r="X43" s="547">
        <f>IFERROR(X40/H40,"0")+IFERROR(X41/H41,"0")+IFERROR(X42/H42,"0")</f>
        <v>17.037037037037035</v>
      </c>
      <c r="Y43" s="547">
        <f>IFERROR(Y40/H40,"0")+IFERROR(Y41/H41,"0")+IFERROR(Y42/H42,"0")</f>
        <v>18</v>
      </c>
      <c r="Z43" s="547">
        <f>IFERROR(IF(Z40="",0,Z40),"0")+IFERROR(IF(Z41="",0,Z41),"0")+IFERROR(IF(Z42="",0,Z42),"0")</f>
        <v>0.34164</v>
      </c>
      <c r="AA43" s="548"/>
      <c r="AB43" s="548"/>
      <c r="AC43" s="548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7"/>
      <c r="P44" s="551" t="s">
        <v>75</v>
      </c>
      <c r="Q44" s="552"/>
      <c r="R44" s="552"/>
      <c r="S44" s="552"/>
      <c r="T44" s="552"/>
      <c r="U44" s="552"/>
      <c r="V44" s="553"/>
      <c r="W44" s="37" t="s">
        <v>69</v>
      </c>
      <c r="X44" s="547">
        <f>IFERROR(SUM(X40:X42),"0")</f>
        <v>184</v>
      </c>
      <c r="Y44" s="547">
        <f>IFERROR(SUM(Y40:Y42),"0")</f>
        <v>194.4</v>
      </c>
      <c r="Z44" s="37"/>
      <c r="AA44" s="548"/>
      <c r="AB44" s="548"/>
      <c r="AC44" s="548"/>
    </row>
    <row r="45" spans="1:68" ht="14.25" hidden="1" customHeight="1" x14ac:dyDescent="0.25">
      <c r="A45" s="554" t="s">
        <v>77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41"/>
      <c r="AB45" s="541"/>
      <c r="AC45" s="541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61">
        <v>4680115884915</v>
      </c>
      <c r="E46" s="562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64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9"/>
      <c r="R46" s="559"/>
      <c r="S46" s="559"/>
      <c r="T46" s="560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6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7"/>
      <c r="P47" s="551" t="s">
        <v>75</v>
      </c>
      <c r="Q47" s="552"/>
      <c r="R47" s="552"/>
      <c r="S47" s="552"/>
      <c r="T47" s="552"/>
      <c r="U47" s="552"/>
      <c r="V47" s="553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hidden="1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7"/>
      <c r="P48" s="551" t="s">
        <v>75</v>
      </c>
      <c r="Q48" s="552"/>
      <c r="R48" s="552"/>
      <c r="S48" s="552"/>
      <c r="T48" s="552"/>
      <c r="U48" s="552"/>
      <c r="V48" s="553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hidden="1" customHeight="1" x14ac:dyDescent="0.25">
      <c r="A49" s="590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40"/>
      <c r="AB49" s="540"/>
      <c r="AC49" s="540"/>
    </row>
    <row r="50" spans="1:68" ht="14.25" hidden="1" customHeight="1" x14ac:dyDescent="0.25">
      <c r="A50" s="554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41"/>
      <c r="AB50" s="541"/>
      <c r="AC50" s="541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61">
        <v>4680115885882</v>
      </c>
      <c r="E51" s="562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1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9"/>
      <c r="R51" s="559"/>
      <c r="S51" s="559"/>
      <c r="T51" s="560"/>
      <c r="U51" s="34"/>
      <c r="V51" s="34"/>
      <c r="W51" s="35" t="s">
        <v>69</v>
      </c>
      <c r="X51" s="545">
        <v>0</v>
      </c>
      <c r="Y51" s="546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61">
        <v>4680115881426</v>
      </c>
      <c r="E52" s="562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85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9"/>
      <c r="R52" s="559"/>
      <c r="S52" s="559"/>
      <c r="T52" s="560"/>
      <c r="U52" s="34"/>
      <c r="V52" s="34"/>
      <c r="W52" s="35" t="s">
        <v>69</v>
      </c>
      <c r="X52" s="545">
        <v>0</v>
      </c>
      <c r="Y52" s="546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61">
        <v>4680115880283</v>
      </c>
      <c r="E53" s="562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75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9"/>
      <c r="R53" s="559"/>
      <c r="S53" s="559"/>
      <c r="T53" s="560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4301011806</v>
      </c>
      <c r="D54" s="561">
        <v>4680115881525</v>
      </c>
      <c r="E54" s="562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6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9"/>
      <c r="R54" s="559"/>
      <c r="S54" s="559"/>
      <c r="T54" s="560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61">
        <v>4680115885899</v>
      </c>
      <c r="E55" s="562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77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9"/>
      <c r="R55" s="559"/>
      <c r="S55" s="559"/>
      <c r="T55" s="560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hidden="1" customHeight="1" x14ac:dyDescent="0.25">
      <c r="A56" s="54" t="s">
        <v>132</v>
      </c>
      <c r="B56" s="54" t="s">
        <v>133</v>
      </c>
      <c r="C56" s="31">
        <v>4301011801</v>
      </c>
      <c r="D56" s="561">
        <v>4680115881419</v>
      </c>
      <c r="E56" s="562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82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9"/>
      <c r="R56" s="559"/>
      <c r="S56" s="559"/>
      <c r="T56" s="560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56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7"/>
      <c r="P57" s="551" t="s">
        <v>75</v>
      </c>
      <c r="Q57" s="552"/>
      <c r="R57" s="552"/>
      <c r="S57" s="552"/>
      <c r="T57" s="552"/>
      <c r="U57" s="552"/>
      <c r="V57" s="553"/>
      <c r="W57" s="37" t="s">
        <v>76</v>
      </c>
      <c r="X57" s="547">
        <f>IFERROR(X51/H51,"0")+IFERROR(X52/H52,"0")+IFERROR(X53/H53,"0")+IFERROR(X54/H54,"0")+IFERROR(X55/H55,"0")+IFERROR(X56/H56,"0")</f>
        <v>0</v>
      </c>
      <c r="Y57" s="547">
        <f>IFERROR(Y51/H51,"0")+IFERROR(Y52/H52,"0")+IFERROR(Y53/H53,"0")+IFERROR(Y54/H54,"0")+IFERROR(Y55/H55,"0")+IFERROR(Y56/H56,"0")</f>
        <v>0</v>
      </c>
      <c r="Z57" s="547">
        <f>IFERROR(IF(Z51="",0,Z51),"0")+IFERROR(IF(Z52="",0,Z52),"0")+IFERROR(IF(Z53="",0,Z53),"0")+IFERROR(IF(Z54="",0,Z54),"0")+IFERROR(IF(Z55="",0,Z55),"0")+IFERROR(IF(Z56="",0,Z56),"0")</f>
        <v>0</v>
      </c>
      <c r="AA57" s="548"/>
      <c r="AB57" s="548"/>
      <c r="AC57" s="548"/>
    </row>
    <row r="58" spans="1:68" hidden="1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7"/>
      <c r="P58" s="551" t="s">
        <v>75</v>
      </c>
      <c r="Q58" s="552"/>
      <c r="R58" s="552"/>
      <c r="S58" s="552"/>
      <c r="T58" s="552"/>
      <c r="U58" s="552"/>
      <c r="V58" s="553"/>
      <c r="W58" s="37" t="s">
        <v>69</v>
      </c>
      <c r="X58" s="547">
        <f>IFERROR(SUM(X51:X56),"0")</f>
        <v>0</v>
      </c>
      <c r="Y58" s="547">
        <f>IFERROR(SUM(Y51:Y56),"0")</f>
        <v>0</v>
      </c>
      <c r="Z58" s="37"/>
      <c r="AA58" s="548"/>
      <c r="AB58" s="548"/>
      <c r="AC58" s="548"/>
    </row>
    <row r="59" spans="1:68" ht="14.25" hidden="1" customHeight="1" x14ac:dyDescent="0.25">
      <c r="A59" s="554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41"/>
      <c r="AB59" s="541"/>
      <c r="AC59" s="541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61">
        <v>4680115881440</v>
      </c>
      <c r="E60" s="562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58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9"/>
      <c r="R60" s="559"/>
      <c r="S60" s="559"/>
      <c r="T60" s="560"/>
      <c r="U60" s="34"/>
      <c r="V60" s="34"/>
      <c r="W60" s="35" t="s">
        <v>69</v>
      </c>
      <c r="X60" s="545">
        <v>0</v>
      </c>
      <c r="Y60" s="546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61">
        <v>4680115885950</v>
      </c>
      <c r="E61" s="562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64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9"/>
      <c r="R61" s="559"/>
      <c r="S61" s="559"/>
      <c r="T61" s="560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61">
        <v>4680115881433</v>
      </c>
      <c r="E62" s="562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70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9"/>
      <c r="R62" s="559"/>
      <c r="S62" s="559"/>
      <c r="T62" s="560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56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7"/>
      <c r="P63" s="551" t="s">
        <v>75</v>
      </c>
      <c r="Q63" s="552"/>
      <c r="R63" s="552"/>
      <c r="S63" s="552"/>
      <c r="T63" s="552"/>
      <c r="U63" s="552"/>
      <c r="V63" s="553"/>
      <c r="W63" s="37" t="s">
        <v>76</v>
      </c>
      <c r="X63" s="547">
        <f>IFERROR(X60/H60,"0")+IFERROR(X61/H61,"0")+IFERROR(X62/H62,"0")</f>
        <v>0</v>
      </c>
      <c r="Y63" s="547">
        <f>IFERROR(Y60/H60,"0")+IFERROR(Y61/H61,"0")+IFERROR(Y62/H62,"0")</f>
        <v>0</v>
      </c>
      <c r="Z63" s="547">
        <f>IFERROR(IF(Z60="",0,Z60),"0")+IFERROR(IF(Z61="",0,Z61),"0")+IFERROR(IF(Z62="",0,Z62),"0")</f>
        <v>0</v>
      </c>
      <c r="AA63" s="548"/>
      <c r="AB63" s="548"/>
      <c r="AC63" s="548"/>
    </row>
    <row r="64" spans="1:68" hidden="1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7"/>
      <c r="P64" s="551" t="s">
        <v>75</v>
      </c>
      <c r="Q64" s="552"/>
      <c r="R64" s="552"/>
      <c r="S64" s="552"/>
      <c r="T64" s="552"/>
      <c r="U64" s="552"/>
      <c r="V64" s="553"/>
      <c r="W64" s="37" t="s">
        <v>69</v>
      </c>
      <c r="X64" s="547">
        <f>IFERROR(SUM(X60:X62),"0")</f>
        <v>0</v>
      </c>
      <c r="Y64" s="547">
        <f>IFERROR(SUM(Y60:Y62),"0")</f>
        <v>0</v>
      </c>
      <c r="Z64" s="37"/>
      <c r="AA64" s="548"/>
      <c r="AB64" s="548"/>
      <c r="AC64" s="548"/>
    </row>
    <row r="65" spans="1:68" ht="14.25" hidden="1" customHeight="1" x14ac:dyDescent="0.25">
      <c r="A65" s="554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41"/>
      <c r="AB65" s="541"/>
      <c r="AC65" s="541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61">
        <v>4680115885073</v>
      </c>
      <c r="E66" s="562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75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9"/>
      <c r="R66" s="559"/>
      <c r="S66" s="559"/>
      <c r="T66" s="560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4301031316</v>
      </c>
      <c r="D67" s="561">
        <v>4680115885097</v>
      </c>
      <c r="E67" s="562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2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9"/>
      <c r="R67" s="559"/>
      <c r="S67" s="559"/>
      <c r="T67" s="560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56"/>
      <c r="B68" s="555"/>
      <c r="C68" s="555"/>
      <c r="D68" s="555"/>
      <c r="E68" s="555"/>
      <c r="F68" s="555"/>
      <c r="G68" s="555"/>
      <c r="H68" s="555"/>
      <c r="I68" s="555"/>
      <c r="J68" s="555"/>
      <c r="K68" s="555"/>
      <c r="L68" s="555"/>
      <c r="M68" s="555"/>
      <c r="N68" s="555"/>
      <c r="O68" s="557"/>
      <c r="P68" s="551" t="s">
        <v>75</v>
      </c>
      <c r="Q68" s="552"/>
      <c r="R68" s="552"/>
      <c r="S68" s="552"/>
      <c r="T68" s="552"/>
      <c r="U68" s="552"/>
      <c r="V68" s="553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hidden="1" x14ac:dyDescent="0.2">
      <c r="A69" s="555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7"/>
      <c r="P69" s="551" t="s">
        <v>75</v>
      </c>
      <c r="Q69" s="552"/>
      <c r="R69" s="552"/>
      <c r="S69" s="552"/>
      <c r="T69" s="552"/>
      <c r="U69" s="552"/>
      <c r="V69" s="553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hidden="1" customHeight="1" x14ac:dyDescent="0.25">
      <c r="A70" s="554" t="s">
        <v>77</v>
      </c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5"/>
      <c r="P70" s="555"/>
      <c r="Q70" s="555"/>
      <c r="R70" s="555"/>
      <c r="S70" s="555"/>
      <c r="T70" s="555"/>
      <c r="U70" s="555"/>
      <c r="V70" s="555"/>
      <c r="W70" s="555"/>
      <c r="X70" s="555"/>
      <c r="Y70" s="555"/>
      <c r="Z70" s="555"/>
      <c r="AA70" s="541"/>
      <c r="AB70" s="541"/>
      <c r="AC70" s="541"/>
    </row>
    <row r="71" spans="1:68" ht="27" hidden="1" customHeight="1" x14ac:dyDescent="0.25">
      <c r="A71" s="54" t="s">
        <v>149</v>
      </c>
      <c r="B71" s="54" t="s">
        <v>150</v>
      </c>
      <c r="C71" s="31">
        <v>4301051846</v>
      </c>
      <c r="D71" s="561">
        <v>4680115885769</v>
      </c>
      <c r="E71" s="562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56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9"/>
      <c r="R71" s="559"/>
      <c r="S71" s="559"/>
      <c r="T71" s="560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152</v>
      </c>
      <c r="B72" s="54" t="s">
        <v>153</v>
      </c>
      <c r="C72" s="31">
        <v>4301051837</v>
      </c>
      <c r="D72" s="561">
        <v>4680115884311</v>
      </c>
      <c r="E72" s="562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59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9"/>
      <c r="R72" s="559"/>
      <c r="S72" s="559"/>
      <c r="T72" s="560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4301051844</v>
      </c>
      <c r="D73" s="561">
        <v>4680115885929</v>
      </c>
      <c r="E73" s="562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86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9"/>
      <c r="R73" s="559"/>
      <c r="S73" s="559"/>
      <c r="T73" s="560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4301051929</v>
      </c>
      <c r="D74" s="561">
        <v>4680115884403</v>
      </c>
      <c r="E74" s="562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4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9"/>
      <c r="R74" s="559"/>
      <c r="S74" s="559"/>
      <c r="T74" s="560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56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7"/>
      <c r="P75" s="551" t="s">
        <v>75</v>
      </c>
      <c r="Q75" s="552"/>
      <c r="R75" s="552"/>
      <c r="S75" s="552"/>
      <c r="T75" s="552"/>
      <c r="U75" s="552"/>
      <c r="V75" s="553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hidden="1" x14ac:dyDescent="0.2">
      <c r="A76" s="555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7"/>
      <c r="P76" s="551" t="s">
        <v>75</v>
      </c>
      <c r="Q76" s="552"/>
      <c r="R76" s="552"/>
      <c r="S76" s="552"/>
      <c r="T76" s="552"/>
      <c r="U76" s="552"/>
      <c r="V76" s="553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hidden="1" customHeight="1" x14ac:dyDescent="0.25">
      <c r="A77" s="554" t="s">
        <v>160</v>
      </c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5"/>
      <c r="P77" s="555"/>
      <c r="Q77" s="555"/>
      <c r="R77" s="555"/>
      <c r="S77" s="555"/>
      <c r="T77" s="555"/>
      <c r="U77" s="555"/>
      <c r="V77" s="555"/>
      <c r="W77" s="555"/>
      <c r="X77" s="555"/>
      <c r="Y77" s="555"/>
      <c r="Z77" s="555"/>
      <c r="AA77" s="541"/>
      <c r="AB77" s="541"/>
      <c r="AC77" s="541"/>
    </row>
    <row r="78" spans="1:68" ht="27" hidden="1" customHeight="1" x14ac:dyDescent="0.25">
      <c r="A78" s="54" t="s">
        <v>161</v>
      </c>
      <c r="B78" s="54" t="s">
        <v>162</v>
      </c>
      <c r="C78" s="31">
        <v>4301060455</v>
      </c>
      <c r="D78" s="561">
        <v>4680115881532</v>
      </c>
      <c r="E78" s="562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78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9"/>
      <c r="R78" s="559"/>
      <c r="S78" s="559"/>
      <c r="T78" s="560"/>
      <c r="U78" s="34"/>
      <c r="V78" s="34"/>
      <c r="W78" s="35" t="s">
        <v>69</v>
      </c>
      <c r="X78" s="545">
        <v>0</v>
      </c>
      <c r="Y78" s="54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164</v>
      </c>
      <c r="B79" s="54" t="s">
        <v>165</v>
      </c>
      <c r="C79" s="31">
        <v>4301060351</v>
      </c>
      <c r="D79" s="561">
        <v>4680115881464</v>
      </c>
      <c r="E79" s="562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86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9"/>
      <c r="R79" s="559"/>
      <c r="S79" s="559"/>
      <c r="T79" s="560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556"/>
      <c r="B80" s="555"/>
      <c r="C80" s="555"/>
      <c r="D80" s="555"/>
      <c r="E80" s="555"/>
      <c r="F80" s="555"/>
      <c r="G80" s="555"/>
      <c r="H80" s="555"/>
      <c r="I80" s="555"/>
      <c r="J80" s="555"/>
      <c r="K80" s="555"/>
      <c r="L80" s="555"/>
      <c r="M80" s="555"/>
      <c r="N80" s="555"/>
      <c r="O80" s="557"/>
      <c r="P80" s="551" t="s">
        <v>75</v>
      </c>
      <c r="Q80" s="552"/>
      <c r="R80" s="552"/>
      <c r="S80" s="552"/>
      <c r="T80" s="552"/>
      <c r="U80" s="552"/>
      <c r="V80" s="553"/>
      <c r="W80" s="37" t="s">
        <v>76</v>
      </c>
      <c r="X80" s="547">
        <f>IFERROR(X78/H78,"0")+IFERROR(X79/H79,"0")</f>
        <v>0</v>
      </c>
      <c r="Y80" s="547">
        <f>IFERROR(Y78/H78,"0")+IFERROR(Y79/H79,"0")</f>
        <v>0</v>
      </c>
      <c r="Z80" s="547">
        <f>IFERROR(IF(Z78="",0,Z78),"0")+IFERROR(IF(Z79="",0,Z79),"0")</f>
        <v>0</v>
      </c>
      <c r="AA80" s="548"/>
      <c r="AB80" s="548"/>
      <c r="AC80" s="548"/>
    </row>
    <row r="81" spans="1:68" hidden="1" x14ac:dyDescent="0.2">
      <c r="A81" s="555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7"/>
      <c r="P81" s="551" t="s">
        <v>75</v>
      </c>
      <c r="Q81" s="552"/>
      <c r="R81" s="552"/>
      <c r="S81" s="552"/>
      <c r="T81" s="552"/>
      <c r="U81" s="552"/>
      <c r="V81" s="553"/>
      <c r="W81" s="37" t="s">
        <v>69</v>
      </c>
      <c r="X81" s="547">
        <f>IFERROR(SUM(X78:X79),"0")</f>
        <v>0</v>
      </c>
      <c r="Y81" s="547">
        <f>IFERROR(SUM(Y78:Y79),"0")</f>
        <v>0</v>
      </c>
      <c r="Z81" s="37"/>
      <c r="AA81" s="548"/>
      <c r="AB81" s="548"/>
      <c r="AC81" s="548"/>
    </row>
    <row r="82" spans="1:68" ht="16.5" hidden="1" customHeight="1" x14ac:dyDescent="0.25">
      <c r="A82" s="590" t="s">
        <v>167</v>
      </c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5"/>
      <c r="P82" s="555"/>
      <c r="Q82" s="555"/>
      <c r="R82" s="555"/>
      <c r="S82" s="555"/>
      <c r="T82" s="555"/>
      <c r="U82" s="555"/>
      <c r="V82" s="555"/>
      <c r="W82" s="555"/>
      <c r="X82" s="555"/>
      <c r="Y82" s="555"/>
      <c r="Z82" s="555"/>
      <c r="AA82" s="540"/>
      <c r="AB82" s="540"/>
      <c r="AC82" s="540"/>
    </row>
    <row r="83" spans="1:68" ht="14.25" hidden="1" customHeight="1" x14ac:dyDescent="0.25">
      <c r="A83" s="554" t="s">
        <v>99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41"/>
      <c r="AB83" s="541"/>
      <c r="AC83" s="541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61">
        <v>4680115881327</v>
      </c>
      <c r="E84" s="562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68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9"/>
      <c r="R84" s="559"/>
      <c r="S84" s="559"/>
      <c r="T84" s="560"/>
      <c r="U84" s="34"/>
      <c r="V84" s="34"/>
      <c r="W84" s="35" t="s">
        <v>69</v>
      </c>
      <c r="X84" s="545">
        <v>197</v>
      </c>
      <c r="Y84" s="546">
        <f>IFERROR(IF(X84="",0,CEILING((X84/$H84),1)*$H84),"")</f>
        <v>205.20000000000002</v>
      </c>
      <c r="Z84" s="36">
        <f>IFERROR(IF(Y84=0,"",ROUNDUP(Y84/H84,0)*0.01898),"")</f>
        <v>0.36062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204.47870370370373</v>
      </c>
      <c r="BN84" s="64">
        <f>IFERROR(Y84*I84/H84,"0")</f>
        <v>212.99</v>
      </c>
      <c r="BO84" s="64">
        <f>IFERROR(1/J84*(X84/H84),"0")</f>
        <v>0.28501157407407407</v>
      </c>
      <c r="BP84" s="64">
        <f>IFERROR(1/J84*(Y84/H84),"0")</f>
        <v>0.296875</v>
      </c>
    </row>
    <row r="85" spans="1:68" ht="27" hidden="1" customHeight="1" x14ac:dyDescent="0.25">
      <c r="A85" s="54" t="s">
        <v>171</v>
      </c>
      <c r="B85" s="54" t="s">
        <v>172</v>
      </c>
      <c r="C85" s="31">
        <v>4301011261</v>
      </c>
      <c r="D85" s="561">
        <v>4680115887732</v>
      </c>
      <c r="E85" s="562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58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9"/>
      <c r="R85" s="559"/>
      <c r="S85" s="559"/>
      <c r="T85" s="560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61">
        <v>4680115881518</v>
      </c>
      <c r="E86" s="562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 t="s">
        <v>110</v>
      </c>
      <c r="M86" s="33" t="s">
        <v>80</v>
      </c>
      <c r="N86" s="33"/>
      <c r="O86" s="32">
        <v>50</v>
      </c>
      <c r="P86" s="8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9"/>
      <c r="R86" s="559"/>
      <c r="S86" s="559"/>
      <c r="T86" s="560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61">
        <v>4680115881303</v>
      </c>
      <c r="E87" s="562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 t="s">
        <v>110</v>
      </c>
      <c r="M87" s="33" t="s">
        <v>86</v>
      </c>
      <c r="N87" s="33"/>
      <c r="O87" s="32">
        <v>50</v>
      </c>
      <c r="P87" s="72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9"/>
      <c r="R87" s="559"/>
      <c r="S87" s="559"/>
      <c r="T87" s="560"/>
      <c r="U87" s="34"/>
      <c r="V87" s="34"/>
      <c r="W87" s="35" t="s">
        <v>69</v>
      </c>
      <c r="X87" s="545">
        <v>45</v>
      </c>
      <c r="Y87" s="546">
        <f>IFERROR(IF(X87="",0,CEILING((X87/$H87),1)*$H87),"")</f>
        <v>45</v>
      </c>
      <c r="Z87" s="36">
        <f>IFERROR(IF(Y87=0,"",ROUNDUP(Y87/H87,0)*0.00902),"")</f>
        <v>9.0200000000000002E-2</v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46.900000000000006</v>
      </c>
      <c r="BN87" s="64">
        <f>IFERROR(Y87*I87/H87,"0")</f>
        <v>46.900000000000006</v>
      </c>
      <c r="BO87" s="64">
        <f>IFERROR(1/J87*(X87/H87),"0")</f>
        <v>7.575757575757576E-2</v>
      </c>
      <c r="BP87" s="64">
        <f>IFERROR(1/J87*(Y87/H87),"0")</f>
        <v>7.575757575757576E-2</v>
      </c>
    </row>
    <row r="88" spans="1:68" x14ac:dyDescent="0.2">
      <c r="A88" s="556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7"/>
      <c r="P88" s="551" t="s">
        <v>75</v>
      </c>
      <c r="Q88" s="552"/>
      <c r="R88" s="552"/>
      <c r="S88" s="552"/>
      <c r="T88" s="552"/>
      <c r="U88" s="552"/>
      <c r="V88" s="553"/>
      <c r="W88" s="37" t="s">
        <v>76</v>
      </c>
      <c r="X88" s="547">
        <f>IFERROR(X84/H84,"0")+IFERROR(X85/H85,"0")+IFERROR(X86/H86,"0")+IFERROR(X87/H87,"0")</f>
        <v>28.24074074074074</v>
      </c>
      <c r="Y88" s="547">
        <f>IFERROR(Y84/H84,"0")+IFERROR(Y85/H85,"0")+IFERROR(Y86/H86,"0")+IFERROR(Y87/H87,"0")</f>
        <v>29</v>
      </c>
      <c r="Z88" s="547">
        <f>IFERROR(IF(Z84="",0,Z84),"0")+IFERROR(IF(Z85="",0,Z85),"0")+IFERROR(IF(Z86="",0,Z86),"0")+IFERROR(IF(Z87="",0,Z87),"0")</f>
        <v>0.45082</v>
      </c>
      <c r="AA88" s="548"/>
      <c r="AB88" s="548"/>
      <c r="AC88" s="548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7"/>
      <c r="P89" s="551" t="s">
        <v>75</v>
      </c>
      <c r="Q89" s="552"/>
      <c r="R89" s="552"/>
      <c r="S89" s="552"/>
      <c r="T89" s="552"/>
      <c r="U89" s="552"/>
      <c r="V89" s="553"/>
      <c r="W89" s="37" t="s">
        <v>69</v>
      </c>
      <c r="X89" s="547">
        <f>IFERROR(SUM(X84:X87),"0")</f>
        <v>242</v>
      </c>
      <c r="Y89" s="547">
        <f>IFERROR(SUM(Y84:Y87),"0")</f>
        <v>250.20000000000002</v>
      </c>
      <c r="Z89" s="37"/>
      <c r="AA89" s="548"/>
      <c r="AB89" s="548"/>
      <c r="AC89" s="548"/>
    </row>
    <row r="90" spans="1:68" ht="14.25" hidden="1" customHeight="1" x14ac:dyDescent="0.25">
      <c r="A90" s="554" t="s">
        <v>77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41"/>
      <c r="AB90" s="541"/>
      <c r="AC90" s="541"/>
    </row>
    <row r="91" spans="1:68" ht="27" hidden="1" customHeight="1" x14ac:dyDescent="0.25">
      <c r="A91" s="54" t="s">
        <v>179</v>
      </c>
      <c r="B91" s="54" t="s">
        <v>180</v>
      </c>
      <c r="C91" s="31">
        <v>4301051712</v>
      </c>
      <c r="D91" s="561">
        <v>4607091386967</v>
      </c>
      <c r="E91" s="562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0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9"/>
      <c r="R91" s="559"/>
      <c r="S91" s="559"/>
      <c r="T91" s="560"/>
      <c r="U91" s="34"/>
      <c r="V91" s="34"/>
      <c r="W91" s="35" t="s">
        <v>69</v>
      </c>
      <c r="X91" s="545">
        <v>0</v>
      </c>
      <c r="Y91" s="546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61">
        <v>4680115884953</v>
      </c>
      <c r="E92" s="562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8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9"/>
      <c r="R92" s="559"/>
      <c r="S92" s="559"/>
      <c r="T92" s="560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4301051718</v>
      </c>
      <c r="D93" s="561">
        <v>4607091385731</v>
      </c>
      <c r="E93" s="562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 t="s">
        <v>186</v>
      </c>
      <c r="M93" s="33" t="s">
        <v>86</v>
      </c>
      <c r="N93" s="33"/>
      <c r="O93" s="32">
        <v>45</v>
      </c>
      <c r="P93" s="67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9"/>
      <c r="R93" s="559"/>
      <c r="S93" s="559"/>
      <c r="T93" s="560"/>
      <c r="U93" s="34"/>
      <c r="V93" s="34"/>
      <c r="W93" s="35" t="s">
        <v>69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61">
        <v>4680115880894</v>
      </c>
      <c r="E94" s="562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 t="s">
        <v>186</v>
      </c>
      <c r="M94" s="33" t="s">
        <v>80</v>
      </c>
      <c r="N94" s="33"/>
      <c r="O94" s="32">
        <v>45</v>
      </c>
      <c r="P94" s="84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9"/>
      <c r="R94" s="559"/>
      <c r="S94" s="559"/>
      <c r="T94" s="560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556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7"/>
      <c r="P95" s="551" t="s">
        <v>75</v>
      </c>
      <c r="Q95" s="552"/>
      <c r="R95" s="552"/>
      <c r="S95" s="552"/>
      <c r="T95" s="552"/>
      <c r="U95" s="552"/>
      <c r="V95" s="553"/>
      <c r="W95" s="37" t="s">
        <v>76</v>
      </c>
      <c r="X95" s="547">
        <f>IFERROR(X91/H91,"0")+IFERROR(X92/H92,"0")+IFERROR(X93/H93,"0")+IFERROR(X94/H94,"0")</f>
        <v>0</v>
      </c>
      <c r="Y95" s="547">
        <f>IFERROR(Y91/H91,"0")+IFERROR(Y92/H92,"0")+IFERROR(Y93/H93,"0")+IFERROR(Y94/H94,"0")</f>
        <v>0</v>
      </c>
      <c r="Z95" s="547">
        <f>IFERROR(IF(Z91="",0,Z91),"0")+IFERROR(IF(Z92="",0,Z92),"0")+IFERROR(IF(Z93="",0,Z93),"0")+IFERROR(IF(Z94="",0,Z94),"0")</f>
        <v>0</v>
      </c>
      <c r="AA95" s="548"/>
      <c r="AB95" s="548"/>
      <c r="AC95" s="548"/>
    </row>
    <row r="96" spans="1:68" hidden="1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7"/>
      <c r="P96" s="551" t="s">
        <v>75</v>
      </c>
      <c r="Q96" s="552"/>
      <c r="R96" s="552"/>
      <c r="S96" s="552"/>
      <c r="T96" s="552"/>
      <c r="U96" s="552"/>
      <c r="V96" s="553"/>
      <c r="W96" s="37" t="s">
        <v>69</v>
      </c>
      <c r="X96" s="547">
        <f>IFERROR(SUM(X91:X94),"0")</f>
        <v>0</v>
      </c>
      <c r="Y96" s="547">
        <f>IFERROR(SUM(Y91:Y94),"0")</f>
        <v>0</v>
      </c>
      <c r="Z96" s="37"/>
      <c r="AA96" s="548"/>
      <c r="AB96" s="548"/>
      <c r="AC96" s="548"/>
    </row>
    <row r="97" spans="1:68" ht="16.5" hidden="1" customHeight="1" x14ac:dyDescent="0.25">
      <c r="A97" s="590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40"/>
      <c r="AB97" s="540"/>
      <c r="AC97" s="540"/>
    </row>
    <row r="98" spans="1:68" ht="14.25" hidden="1" customHeight="1" x14ac:dyDescent="0.25">
      <c r="A98" s="554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41"/>
      <c r="AB98" s="541"/>
      <c r="AC98" s="541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61">
        <v>4680115882133</v>
      </c>
      <c r="E99" s="562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81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9"/>
      <c r="R99" s="559"/>
      <c r="S99" s="559"/>
      <c r="T99" s="560"/>
      <c r="U99" s="34"/>
      <c r="V99" s="34"/>
      <c r="W99" s="35" t="s">
        <v>69</v>
      </c>
      <c r="X99" s="545">
        <v>213</v>
      </c>
      <c r="Y99" s="546">
        <f>IFERROR(IF(X99="",0,CEILING((X99/$H99),1)*$H99),"")</f>
        <v>216</v>
      </c>
      <c r="Z99" s="36">
        <f>IFERROR(IF(Y99=0,"",ROUNDUP(Y99/H99,0)*0.01898),"")</f>
        <v>0.37959999999999999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221.08611111111111</v>
      </c>
      <c r="BN99" s="64">
        <f>IFERROR(Y99*I99/H99,"0")</f>
        <v>224.2</v>
      </c>
      <c r="BO99" s="64">
        <f>IFERROR(1/J99*(X99/H99),"0")</f>
        <v>0.30815972222222221</v>
      </c>
      <c r="BP99" s="64">
        <f>IFERROR(1/J99*(Y99/H99),"0")</f>
        <v>0.3125</v>
      </c>
    </row>
    <row r="100" spans="1:68" ht="27" hidden="1" customHeight="1" x14ac:dyDescent="0.25">
      <c r="A100" s="54" t="s">
        <v>194</v>
      </c>
      <c r="B100" s="54" t="s">
        <v>195</v>
      </c>
      <c r="C100" s="31">
        <v>4301012051</v>
      </c>
      <c r="D100" s="561">
        <v>4680115887718</v>
      </c>
      <c r="E100" s="562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84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9"/>
      <c r="R100" s="559"/>
      <c r="S100" s="559"/>
      <c r="T100" s="560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197</v>
      </c>
      <c r="B101" s="54" t="s">
        <v>198</v>
      </c>
      <c r="C101" s="31">
        <v>4301011417</v>
      </c>
      <c r="D101" s="561">
        <v>4680115880269</v>
      </c>
      <c r="E101" s="562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63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9"/>
      <c r="R101" s="559"/>
      <c r="S101" s="559"/>
      <c r="T101" s="560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61">
        <v>4680115880429</v>
      </c>
      <c r="E102" s="562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64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9"/>
      <c r="R102" s="559"/>
      <c r="S102" s="559"/>
      <c r="T102" s="560"/>
      <c r="U102" s="34"/>
      <c r="V102" s="34"/>
      <c r="W102" s="35" t="s">
        <v>69</v>
      </c>
      <c r="X102" s="545">
        <v>59</v>
      </c>
      <c r="Y102" s="546">
        <f>IFERROR(IF(X102="",0,CEILING((X102/$H102),1)*$H102),"")</f>
        <v>63</v>
      </c>
      <c r="Z102" s="36">
        <f>IFERROR(IF(Y102=0,"",ROUNDUP(Y102/H102,0)*0.00902),"")</f>
        <v>0.12628</v>
      </c>
      <c r="AA102" s="56"/>
      <c r="AB102" s="57"/>
      <c r="AC102" s="147" t="s">
        <v>193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61.491111111111117</v>
      </c>
      <c r="BN102" s="64">
        <f>IFERROR(Y102*I102/H102,"0")</f>
        <v>65.660000000000011</v>
      </c>
      <c r="BO102" s="64">
        <f>IFERROR(1/J102*(X102/H102),"0")</f>
        <v>9.9326599326599332E-2</v>
      </c>
      <c r="BP102" s="64">
        <f>IFERROR(1/J102*(Y102/H102),"0")</f>
        <v>0.10606060606060606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61">
        <v>4680115881457</v>
      </c>
      <c r="E103" s="562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8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9"/>
      <c r="R103" s="559"/>
      <c r="S103" s="559"/>
      <c r="T103" s="560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56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7"/>
      <c r="P104" s="551" t="s">
        <v>75</v>
      </c>
      <c r="Q104" s="552"/>
      <c r="R104" s="552"/>
      <c r="S104" s="552"/>
      <c r="T104" s="552"/>
      <c r="U104" s="552"/>
      <c r="V104" s="553"/>
      <c r="W104" s="37" t="s">
        <v>76</v>
      </c>
      <c r="X104" s="547">
        <f>IFERROR(X99/H99,"0")+IFERROR(X100/H100,"0")+IFERROR(X101/H101,"0")+IFERROR(X102/H102,"0")+IFERROR(X103/H103,"0")</f>
        <v>32.833333333333329</v>
      </c>
      <c r="Y104" s="547">
        <f>IFERROR(Y99/H99,"0")+IFERROR(Y100/H100,"0")+IFERROR(Y101/H101,"0")+IFERROR(Y102/H102,"0")+IFERROR(Y103/H103,"0")</f>
        <v>34</v>
      </c>
      <c r="Z104" s="547">
        <f>IFERROR(IF(Z99="",0,Z99),"0")+IFERROR(IF(Z100="",0,Z100),"0")+IFERROR(IF(Z101="",0,Z101),"0")+IFERROR(IF(Z102="",0,Z102),"0")+IFERROR(IF(Z103="",0,Z103),"0")</f>
        <v>0.50588</v>
      </c>
      <c r="AA104" s="548"/>
      <c r="AB104" s="548"/>
      <c r="AC104" s="548"/>
    </row>
    <row r="105" spans="1:68" x14ac:dyDescent="0.2">
      <c r="A105" s="555"/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7"/>
      <c r="P105" s="551" t="s">
        <v>75</v>
      </c>
      <c r="Q105" s="552"/>
      <c r="R105" s="552"/>
      <c r="S105" s="552"/>
      <c r="T105" s="552"/>
      <c r="U105" s="552"/>
      <c r="V105" s="553"/>
      <c r="W105" s="37" t="s">
        <v>69</v>
      </c>
      <c r="X105" s="547">
        <f>IFERROR(SUM(X99:X103),"0")</f>
        <v>272</v>
      </c>
      <c r="Y105" s="547">
        <f>IFERROR(SUM(Y99:Y103),"0")</f>
        <v>279</v>
      </c>
      <c r="Z105" s="37"/>
      <c r="AA105" s="548"/>
      <c r="AB105" s="548"/>
      <c r="AC105" s="548"/>
    </row>
    <row r="106" spans="1:68" ht="14.25" hidden="1" customHeight="1" x14ac:dyDescent="0.25">
      <c r="A106" s="554" t="s">
        <v>135</v>
      </c>
      <c r="B106" s="555"/>
      <c r="C106" s="555"/>
      <c r="D106" s="555"/>
      <c r="E106" s="555"/>
      <c r="F106" s="555"/>
      <c r="G106" s="555"/>
      <c r="H106" s="555"/>
      <c r="I106" s="555"/>
      <c r="J106" s="555"/>
      <c r="K106" s="555"/>
      <c r="L106" s="555"/>
      <c r="M106" s="555"/>
      <c r="N106" s="555"/>
      <c r="O106" s="555"/>
      <c r="P106" s="555"/>
      <c r="Q106" s="555"/>
      <c r="R106" s="555"/>
      <c r="S106" s="555"/>
      <c r="T106" s="555"/>
      <c r="U106" s="555"/>
      <c r="V106" s="555"/>
      <c r="W106" s="555"/>
      <c r="X106" s="555"/>
      <c r="Y106" s="555"/>
      <c r="Z106" s="555"/>
      <c r="AA106" s="541"/>
      <c r="AB106" s="541"/>
      <c r="AC106" s="541"/>
    </row>
    <row r="107" spans="1:68" ht="16.5" hidden="1" customHeight="1" x14ac:dyDescent="0.25">
      <c r="A107" s="54" t="s">
        <v>203</v>
      </c>
      <c r="B107" s="54" t="s">
        <v>204</v>
      </c>
      <c r="C107" s="31">
        <v>4301020345</v>
      </c>
      <c r="D107" s="561">
        <v>4680115881488</v>
      </c>
      <c r="E107" s="562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63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9"/>
      <c r="R107" s="559"/>
      <c r="S107" s="559"/>
      <c r="T107" s="560"/>
      <c r="U107" s="34"/>
      <c r="V107" s="34"/>
      <c r="W107" s="35" t="s">
        <v>69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206</v>
      </c>
      <c r="B108" s="54" t="s">
        <v>207</v>
      </c>
      <c r="C108" s="31">
        <v>4301020186</v>
      </c>
      <c r="D108" s="561">
        <v>4680115887664</v>
      </c>
      <c r="E108" s="562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69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9"/>
      <c r="R108" s="559"/>
      <c r="S108" s="559"/>
      <c r="T108" s="560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210</v>
      </c>
      <c r="B109" s="54" t="s">
        <v>211</v>
      </c>
      <c r="C109" s="31">
        <v>4301020346</v>
      </c>
      <c r="D109" s="561">
        <v>4680115882775</v>
      </c>
      <c r="E109" s="562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68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9"/>
      <c r="R109" s="559"/>
      <c r="S109" s="559"/>
      <c r="T109" s="560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4301020344</v>
      </c>
      <c r="D110" s="561">
        <v>4680115880658</v>
      </c>
      <c r="E110" s="562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61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9"/>
      <c r="R110" s="559"/>
      <c r="S110" s="559"/>
      <c r="T110" s="560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56"/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7"/>
      <c r="P111" s="551" t="s">
        <v>75</v>
      </c>
      <c r="Q111" s="552"/>
      <c r="R111" s="552"/>
      <c r="S111" s="552"/>
      <c r="T111" s="552"/>
      <c r="U111" s="552"/>
      <c r="V111" s="553"/>
      <c r="W111" s="37" t="s">
        <v>76</v>
      </c>
      <c r="X111" s="547">
        <f>IFERROR(X107/H107,"0")+IFERROR(X108/H108,"0")+IFERROR(X109/H109,"0")+IFERROR(X110/H110,"0")</f>
        <v>0</v>
      </c>
      <c r="Y111" s="547">
        <f>IFERROR(Y107/H107,"0")+IFERROR(Y108/H108,"0")+IFERROR(Y109/H109,"0")+IFERROR(Y110/H110,"0")</f>
        <v>0</v>
      </c>
      <c r="Z111" s="547">
        <f>IFERROR(IF(Z107="",0,Z107),"0")+IFERROR(IF(Z108="",0,Z108),"0")+IFERROR(IF(Z109="",0,Z109),"0")+IFERROR(IF(Z110="",0,Z110),"0")</f>
        <v>0</v>
      </c>
      <c r="AA111" s="548"/>
      <c r="AB111" s="548"/>
      <c r="AC111" s="548"/>
    </row>
    <row r="112" spans="1:68" hidden="1" x14ac:dyDescent="0.2">
      <c r="A112" s="555"/>
      <c r="B112" s="555"/>
      <c r="C112" s="555"/>
      <c r="D112" s="555"/>
      <c r="E112" s="555"/>
      <c r="F112" s="555"/>
      <c r="G112" s="555"/>
      <c r="H112" s="555"/>
      <c r="I112" s="555"/>
      <c r="J112" s="555"/>
      <c r="K112" s="555"/>
      <c r="L112" s="555"/>
      <c r="M112" s="555"/>
      <c r="N112" s="555"/>
      <c r="O112" s="557"/>
      <c r="P112" s="551" t="s">
        <v>75</v>
      </c>
      <c r="Q112" s="552"/>
      <c r="R112" s="552"/>
      <c r="S112" s="552"/>
      <c r="T112" s="552"/>
      <c r="U112" s="552"/>
      <c r="V112" s="553"/>
      <c r="W112" s="37" t="s">
        <v>69</v>
      </c>
      <c r="X112" s="547">
        <f>IFERROR(SUM(X107:X110),"0")</f>
        <v>0</v>
      </c>
      <c r="Y112" s="547">
        <f>IFERROR(SUM(Y107:Y110),"0")</f>
        <v>0</v>
      </c>
      <c r="Z112" s="37"/>
      <c r="AA112" s="548"/>
      <c r="AB112" s="548"/>
      <c r="AC112" s="548"/>
    </row>
    <row r="113" spans="1:68" ht="14.25" hidden="1" customHeight="1" x14ac:dyDescent="0.25">
      <c r="A113" s="554" t="s">
        <v>77</v>
      </c>
      <c r="B113" s="555"/>
      <c r="C113" s="555"/>
      <c r="D113" s="555"/>
      <c r="E113" s="555"/>
      <c r="F113" s="555"/>
      <c r="G113" s="555"/>
      <c r="H113" s="555"/>
      <c r="I113" s="555"/>
      <c r="J113" s="555"/>
      <c r="K113" s="555"/>
      <c r="L113" s="555"/>
      <c r="M113" s="555"/>
      <c r="N113" s="555"/>
      <c r="O113" s="555"/>
      <c r="P113" s="555"/>
      <c r="Q113" s="555"/>
      <c r="R113" s="555"/>
      <c r="S113" s="555"/>
      <c r="T113" s="555"/>
      <c r="U113" s="555"/>
      <c r="V113" s="555"/>
      <c r="W113" s="555"/>
      <c r="X113" s="555"/>
      <c r="Y113" s="555"/>
      <c r="Z113" s="555"/>
      <c r="AA113" s="541"/>
      <c r="AB113" s="541"/>
      <c r="AC113" s="541"/>
    </row>
    <row r="114" spans="1:68" ht="27" hidden="1" customHeight="1" x14ac:dyDescent="0.25">
      <c r="A114" s="54" t="s">
        <v>214</v>
      </c>
      <c r="B114" s="54" t="s">
        <v>215</v>
      </c>
      <c r="C114" s="31">
        <v>4301051724</v>
      </c>
      <c r="D114" s="561">
        <v>4607091385168</v>
      </c>
      <c r="E114" s="562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64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9"/>
      <c r="R114" s="559"/>
      <c r="S114" s="559"/>
      <c r="T114" s="560"/>
      <c r="U114" s="34"/>
      <c r="V114" s="34"/>
      <c r="W114" s="35" t="s">
        <v>69</v>
      </c>
      <c r="X114" s="545">
        <v>0</v>
      </c>
      <c r="Y114" s="546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61">
        <v>4607091383256</v>
      </c>
      <c r="E115" s="562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2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9"/>
      <c r="R115" s="559"/>
      <c r="S115" s="559"/>
      <c r="T115" s="560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4301051721</v>
      </c>
      <c r="D116" s="561">
        <v>4607091385748</v>
      </c>
      <c r="E116" s="562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186</v>
      </c>
      <c r="M116" s="33" t="s">
        <v>86</v>
      </c>
      <c r="N116" s="33"/>
      <c r="O116" s="32">
        <v>45</v>
      </c>
      <c r="P116" s="80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9"/>
      <c r="R116" s="559"/>
      <c r="S116" s="559"/>
      <c r="T116" s="560"/>
      <c r="U116" s="34"/>
      <c r="V116" s="34"/>
      <c r="W116" s="35" t="s">
        <v>69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61">
        <v>4680115884533</v>
      </c>
      <c r="E117" s="562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77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9"/>
      <c r="R117" s="559"/>
      <c r="S117" s="559"/>
      <c r="T117" s="560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idden="1" x14ac:dyDescent="0.2">
      <c r="A118" s="556"/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7"/>
      <c r="P118" s="551" t="s">
        <v>75</v>
      </c>
      <c r="Q118" s="552"/>
      <c r="R118" s="552"/>
      <c r="S118" s="552"/>
      <c r="T118" s="552"/>
      <c r="U118" s="552"/>
      <c r="V118" s="553"/>
      <c r="W118" s="37" t="s">
        <v>76</v>
      </c>
      <c r="X118" s="547">
        <f>IFERROR(X114/H114,"0")+IFERROR(X115/H115,"0")+IFERROR(X116/H116,"0")+IFERROR(X117/H117,"0")</f>
        <v>0</v>
      </c>
      <c r="Y118" s="547">
        <f>IFERROR(Y114/H114,"0")+IFERROR(Y115/H115,"0")+IFERROR(Y116/H116,"0")+IFERROR(Y117/H117,"0")</f>
        <v>0</v>
      </c>
      <c r="Z118" s="547">
        <f>IFERROR(IF(Z114="",0,Z114),"0")+IFERROR(IF(Z115="",0,Z115),"0")+IFERROR(IF(Z116="",0,Z116),"0")+IFERROR(IF(Z117="",0,Z117),"0")</f>
        <v>0</v>
      </c>
      <c r="AA118" s="548"/>
      <c r="AB118" s="548"/>
      <c r="AC118" s="548"/>
    </row>
    <row r="119" spans="1:68" hidden="1" x14ac:dyDescent="0.2">
      <c r="A119" s="555"/>
      <c r="B119" s="555"/>
      <c r="C119" s="555"/>
      <c r="D119" s="555"/>
      <c r="E119" s="555"/>
      <c r="F119" s="555"/>
      <c r="G119" s="555"/>
      <c r="H119" s="555"/>
      <c r="I119" s="555"/>
      <c r="J119" s="555"/>
      <c r="K119" s="555"/>
      <c r="L119" s="555"/>
      <c r="M119" s="555"/>
      <c r="N119" s="555"/>
      <c r="O119" s="557"/>
      <c r="P119" s="551" t="s">
        <v>75</v>
      </c>
      <c r="Q119" s="552"/>
      <c r="R119" s="552"/>
      <c r="S119" s="552"/>
      <c r="T119" s="552"/>
      <c r="U119" s="552"/>
      <c r="V119" s="553"/>
      <c r="W119" s="37" t="s">
        <v>69</v>
      </c>
      <c r="X119" s="547">
        <f>IFERROR(SUM(X114:X117),"0")</f>
        <v>0</v>
      </c>
      <c r="Y119" s="547">
        <f>IFERROR(SUM(Y114:Y117),"0")</f>
        <v>0</v>
      </c>
      <c r="Z119" s="37"/>
      <c r="AA119" s="548"/>
      <c r="AB119" s="548"/>
      <c r="AC119" s="548"/>
    </row>
    <row r="120" spans="1:68" ht="14.25" hidden="1" customHeight="1" x14ac:dyDescent="0.25">
      <c r="A120" s="554" t="s">
        <v>160</v>
      </c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5"/>
      <c r="P120" s="555"/>
      <c r="Q120" s="555"/>
      <c r="R120" s="555"/>
      <c r="S120" s="555"/>
      <c r="T120" s="555"/>
      <c r="U120" s="555"/>
      <c r="V120" s="555"/>
      <c r="W120" s="555"/>
      <c r="X120" s="555"/>
      <c r="Y120" s="555"/>
      <c r="Z120" s="555"/>
      <c r="AA120" s="541"/>
      <c r="AB120" s="541"/>
      <c r="AC120" s="541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61">
        <v>4680115880238</v>
      </c>
      <c r="E121" s="562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60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9"/>
      <c r="R121" s="559"/>
      <c r="S121" s="559"/>
      <c r="T121" s="560"/>
      <c r="U121" s="34"/>
      <c r="V121" s="34"/>
      <c r="W121" s="35" t="s">
        <v>69</v>
      </c>
      <c r="X121" s="545">
        <v>0</v>
      </c>
      <c r="Y121" s="54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56"/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7"/>
      <c r="P122" s="551" t="s">
        <v>75</v>
      </c>
      <c r="Q122" s="552"/>
      <c r="R122" s="552"/>
      <c r="S122" s="552"/>
      <c r="T122" s="552"/>
      <c r="U122" s="552"/>
      <c r="V122" s="553"/>
      <c r="W122" s="37" t="s">
        <v>76</v>
      </c>
      <c r="X122" s="547">
        <f>IFERROR(X121/H121,"0")</f>
        <v>0</v>
      </c>
      <c r="Y122" s="547">
        <f>IFERROR(Y121/H121,"0")</f>
        <v>0</v>
      </c>
      <c r="Z122" s="547">
        <f>IFERROR(IF(Z121="",0,Z121),"0")</f>
        <v>0</v>
      </c>
      <c r="AA122" s="548"/>
      <c r="AB122" s="548"/>
      <c r="AC122" s="548"/>
    </row>
    <row r="123" spans="1:68" hidden="1" x14ac:dyDescent="0.2">
      <c r="A123" s="555"/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7"/>
      <c r="P123" s="551" t="s">
        <v>75</v>
      </c>
      <c r="Q123" s="552"/>
      <c r="R123" s="552"/>
      <c r="S123" s="552"/>
      <c r="T123" s="552"/>
      <c r="U123" s="552"/>
      <c r="V123" s="553"/>
      <c r="W123" s="37" t="s">
        <v>69</v>
      </c>
      <c r="X123" s="547">
        <f>IFERROR(SUM(X121:X121),"0")</f>
        <v>0</v>
      </c>
      <c r="Y123" s="547">
        <f>IFERROR(SUM(Y121:Y121),"0")</f>
        <v>0</v>
      </c>
      <c r="Z123" s="37"/>
      <c r="AA123" s="548"/>
      <c r="AB123" s="548"/>
      <c r="AC123" s="548"/>
    </row>
    <row r="124" spans="1:68" ht="16.5" hidden="1" customHeight="1" x14ac:dyDescent="0.25">
      <c r="A124" s="590" t="s">
        <v>227</v>
      </c>
      <c r="B124" s="555"/>
      <c r="C124" s="555"/>
      <c r="D124" s="555"/>
      <c r="E124" s="555"/>
      <c r="F124" s="555"/>
      <c r="G124" s="555"/>
      <c r="H124" s="555"/>
      <c r="I124" s="555"/>
      <c r="J124" s="555"/>
      <c r="K124" s="555"/>
      <c r="L124" s="555"/>
      <c r="M124" s="555"/>
      <c r="N124" s="555"/>
      <c r="O124" s="555"/>
      <c r="P124" s="555"/>
      <c r="Q124" s="555"/>
      <c r="R124" s="555"/>
      <c r="S124" s="555"/>
      <c r="T124" s="555"/>
      <c r="U124" s="555"/>
      <c r="V124" s="555"/>
      <c r="W124" s="555"/>
      <c r="X124" s="555"/>
      <c r="Y124" s="555"/>
      <c r="Z124" s="555"/>
      <c r="AA124" s="540"/>
      <c r="AB124" s="540"/>
      <c r="AC124" s="540"/>
    </row>
    <row r="125" spans="1:68" ht="14.25" hidden="1" customHeight="1" x14ac:dyDescent="0.25">
      <c r="A125" s="554" t="s">
        <v>99</v>
      </c>
      <c r="B125" s="555"/>
      <c r="C125" s="555"/>
      <c r="D125" s="555"/>
      <c r="E125" s="555"/>
      <c r="F125" s="555"/>
      <c r="G125" s="555"/>
      <c r="H125" s="555"/>
      <c r="I125" s="555"/>
      <c r="J125" s="555"/>
      <c r="K125" s="555"/>
      <c r="L125" s="555"/>
      <c r="M125" s="555"/>
      <c r="N125" s="555"/>
      <c r="O125" s="555"/>
      <c r="P125" s="555"/>
      <c r="Q125" s="555"/>
      <c r="R125" s="555"/>
      <c r="S125" s="555"/>
      <c r="T125" s="555"/>
      <c r="U125" s="555"/>
      <c r="V125" s="555"/>
      <c r="W125" s="555"/>
      <c r="X125" s="555"/>
      <c r="Y125" s="555"/>
      <c r="Z125" s="555"/>
      <c r="AA125" s="541"/>
      <c r="AB125" s="541"/>
      <c r="AC125" s="541"/>
    </row>
    <row r="126" spans="1:68" ht="27" hidden="1" customHeight="1" x14ac:dyDescent="0.25">
      <c r="A126" s="54" t="s">
        <v>228</v>
      </c>
      <c r="B126" s="54" t="s">
        <v>229</v>
      </c>
      <c r="C126" s="31">
        <v>4301011564</v>
      </c>
      <c r="D126" s="561">
        <v>4680115882577</v>
      </c>
      <c r="E126" s="562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186</v>
      </c>
      <c r="M126" s="33" t="s">
        <v>94</v>
      </c>
      <c r="N126" s="33"/>
      <c r="O126" s="32">
        <v>90</v>
      </c>
      <c r="P126" s="5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9"/>
      <c r="R126" s="559"/>
      <c r="S126" s="559"/>
      <c r="T126" s="560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4301011562</v>
      </c>
      <c r="D127" s="561">
        <v>4680115882577</v>
      </c>
      <c r="E127" s="562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 t="s">
        <v>186</v>
      </c>
      <c r="M127" s="33" t="s">
        <v>94</v>
      </c>
      <c r="N127" s="33"/>
      <c r="O127" s="32">
        <v>90</v>
      </c>
      <c r="P127" s="63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9"/>
      <c r="R127" s="559"/>
      <c r="S127" s="559"/>
      <c r="T127" s="560"/>
      <c r="U127" s="34"/>
      <c r="V127" s="34"/>
      <c r="W127" s="35" t="s">
        <v>69</v>
      </c>
      <c r="X127" s="545">
        <v>0</v>
      </c>
      <c r="Y127" s="54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56"/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7"/>
      <c r="P128" s="551" t="s">
        <v>75</v>
      </c>
      <c r="Q128" s="552"/>
      <c r="R128" s="552"/>
      <c r="S128" s="552"/>
      <c r="T128" s="552"/>
      <c r="U128" s="552"/>
      <c r="V128" s="553"/>
      <c r="W128" s="37" t="s">
        <v>76</v>
      </c>
      <c r="X128" s="547">
        <f>IFERROR(X126/H126,"0")+IFERROR(X127/H127,"0")</f>
        <v>0</v>
      </c>
      <c r="Y128" s="547">
        <f>IFERROR(Y126/H126,"0")+IFERROR(Y127/H127,"0")</f>
        <v>0</v>
      </c>
      <c r="Z128" s="547">
        <f>IFERROR(IF(Z126="",0,Z126),"0")+IFERROR(IF(Z127="",0,Z127),"0")</f>
        <v>0</v>
      </c>
      <c r="AA128" s="548"/>
      <c r="AB128" s="548"/>
      <c r="AC128" s="548"/>
    </row>
    <row r="129" spans="1:68" hidden="1" x14ac:dyDescent="0.2">
      <c r="A129" s="555"/>
      <c r="B129" s="555"/>
      <c r="C129" s="555"/>
      <c r="D129" s="555"/>
      <c r="E129" s="555"/>
      <c r="F129" s="555"/>
      <c r="G129" s="555"/>
      <c r="H129" s="555"/>
      <c r="I129" s="555"/>
      <c r="J129" s="555"/>
      <c r="K129" s="555"/>
      <c r="L129" s="555"/>
      <c r="M129" s="555"/>
      <c r="N129" s="555"/>
      <c r="O129" s="557"/>
      <c r="P129" s="551" t="s">
        <v>75</v>
      </c>
      <c r="Q129" s="552"/>
      <c r="R129" s="552"/>
      <c r="S129" s="552"/>
      <c r="T129" s="552"/>
      <c r="U129" s="552"/>
      <c r="V129" s="553"/>
      <c r="W129" s="37" t="s">
        <v>69</v>
      </c>
      <c r="X129" s="547">
        <f>IFERROR(SUM(X126:X127),"0")</f>
        <v>0</v>
      </c>
      <c r="Y129" s="547">
        <f>IFERROR(SUM(Y126:Y127),"0")</f>
        <v>0</v>
      </c>
      <c r="Z129" s="37"/>
      <c r="AA129" s="548"/>
      <c r="AB129" s="548"/>
      <c r="AC129" s="548"/>
    </row>
    <row r="130" spans="1:68" ht="14.25" hidden="1" customHeight="1" x14ac:dyDescent="0.25">
      <c r="A130" s="554" t="s">
        <v>64</v>
      </c>
      <c r="B130" s="555"/>
      <c r="C130" s="555"/>
      <c r="D130" s="555"/>
      <c r="E130" s="555"/>
      <c r="F130" s="555"/>
      <c r="G130" s="555"/>
      <c r="H130" s="555"/>
      <c r="I130" s="555"/>
      <c r="J130" s="555"/>
      <c r="K130" s="555"/>
      <c r="L130" s="555"/>
      <c r="M130" s="555"/>
      <c r="N130" s="555"/>
      <c r="O130" s="555"/>
      <c r="P130" s="555"/>
      <c r="Q130" s="555"/>
      <c r="R130" s="555"/>
      <c r="S130" s="555"/>
      <c r="T130" s="555"/>
      <c r="U130" s="555"/>
      <c r="V130" s="555"/>
      <c r="W130" s="555"/>
      <c r="X130" s="555"/>
      <c r="Y130" s="555"/>
      <c r="Z130" s="555"/>
      <c r="AA130" s="541"/>
      <c r="AB130" s="541"/>
      <c r="AC130" s="541"/>
    </row>
    <row r="131" spans="1:68" ht="27" hidden="1" customHeight="1" x14ac:dyDescent="0.25">
      <c r="A131" s="54" t="s">
        <v>232</v>
      </c>
      <c r="B131" s="54" t="s">
        <v>233</v>
      </c>
      <c r="C131" s="31">
        <v>4301031234</v>
      </c>
      <c r="D131" s="561">
        <v>4680115883444</v>
      </c>
      <c r="E131" s="562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186</v>
      </c>
      <c r="M131" s="33" t="s">
        <v>94</v>
      </c>
      <c r="N131" s="33"/>
      <c r="O131" s="32">
        <v>90</v>
      </c>
      <c r="P131" s="81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9"/>
      <c r="R131" s="559"/>
      <c r="S131" s="559"/>
      <c r="T131" s="560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106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61">
        <v>4680115883444</v>
      </c>
      <c r="E132" s="562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6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9"/>
      <c r="R132" s="559"/>
      <c r="S132" s="559"/>
      <c r="T132" s="560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56"/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7"/>
      <c r="P133" s="551" t="s">
        <v>75</v>
      </c>
      <c r="Q133" s="552"/>
      <c r="R133" s="552"/>
      <c r="S133" s="552"/>
      <c r="T133" s="552"/>
      <c r="U133" s="552"/>
      <c r="V133" s="553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hidden="1" x14ac:dyDescent="0.2">
      <c r="A134" s="555"/>
      <c r="B134" s="555"/>
      <c r="C134" s="555"/>
      <c r="D134" s="555"/>
      <c r="E134" s="555"/>
      <c r="F134" s="555"/>
      <c r="G134" s="555"/>
      <c r="H134" s="555"/>
      <c r="I134" s="555"/>
      <c r="J134" s="555"/>
      <c r="K134" s="555"/>
      <c r="L134" s="555"/>
      <c r="M134" s="555"/>
      <c r="N134" s="555"/>
      <c r="O134" s="557"/>
      <c r="P134" s="551" t="s">
        <v>75</v>
      </c>
      <c r="Q134" s="552"/>
      <c r="R134" s="552"/>
      <c r="S134" s="552"/>
      <c r="T134" s="552"/>
      <c r="U134" s="552"/>
      <c r="V134" s="553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hidden="1" customHeight="1" x14ac:dyDescent="0.25">
      <c r="A135" s="554" t="s">
        <v>77</v>
      </c>
      <c r="B135" s="555"/>
      <c r="C135" s="555"/>
      <c r="D135" s="555"/>
      <c r="E135" s="555"/>
      <c r="F135" s="555"/>
      <c r="G135" s="555"/>
      <c r="H135" s="555"/>
      <c r="I135" s="555"/>
      <c r="J135" s="555"/>
      <c r="K135" s="555"/>
      <c r="L135" s="555"/>
      <c r="M135" s="555"/>
      <c r="N135" s="555"/>
      <c r="O135" s="555"/>
      <c r="P135" s="555"/>
      <c r="Q135" s="555"/>
      <c r="R135" s="555"/>
      <c r="S135" s="555"/>
      <c r="T135" s="555"/>
      <c r="U135" s="555"/>
      <c r="V135" s="555"/>
      <c r="W135" s="555"/>
      <c r="X135" s="555"/>
      <c r="Y135" s="555"/>
      <c r="Z135" s="555"/>
      <c r="AA135" s="541"/>
      <c r="AB135" s="541"/>
      <c r="AC135" s="541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61">
        <v>4680115882584</v>
      </c>
      <c r="E136" s="562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6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9"/>
      <c r="R136" s="559"/>
      <c r="S136" s="559"/>
      <c r="T136" s="560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61">
        <v>4680115882584</v>
      </c>
      <c r="E137" s="562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75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9"/>
      <c r="R137" s="559"/>
      <c r="S137" s="559"/>
      <c r="T137" s="560"/>
      <c r="U137" s="34"/>
      <c r="V137" s="34"/>
      <c r="W137" s="35" t="s">
        <v>69</v>
      </c>
      <c r="X137" s="545">
        <v>0</v>
      </c>
      <c r="Y137" s="54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56"/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7"/>
      <c r="P138" s="551" t="s">
        <v>75</v>
      </c>
      <c r="Q138" s="552"/>
      <c r="R138" s="552"/>
      <c r="S138" s="552"/>
      <c r="T138" s="552"/>
      <c r="U138" s="552"/>
      <c r="V138" s="553"/>
      <c r="W138" s="37" t="s">
        <v>76</v>
      </c>
      <c r="X138" s="547">
        <f>IFERROR(X136/H136,"0")+IFERROR(X137/H137,"0")</f>
        <v>0</v>
      </c>
      <c r="Y138" s="547">
        <f>IFERROR(Y136/H136,"0")+IFERROR(Y137/H137,"0")</f>
        <v>0</v>
      </c>
      <c r="Z138" s="547">
        <f>IFERROR(IF(Z136="",0,Z136),"0")+IFERROR(IF(Z137="",0,Z137),"0")</f>
        <v>0</v>
      </c>
      <c r="AA138" s="548"/>
      <c r="AB138" s="548"/>
      <c r="AC138" s="548"/>
    </row>
    <row r="139" spans="1:68" hidden="1" x14ac:dyDescent="0.2">
      <c r="A139" s="555"/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7"/>
      <c r="P139" s="551" t="s">
        <v>75</v>
      </c>
      <c r="Q139" s="552"/>
      <c r="R139" s="552"/>
      <c r="S139" s="552"/>
      <c r="T139" s="552"/>
      <c r="U139" s="552"/>
      <c r="V139" s="553"/>
      <c r="W139" s="37" t="s">
        <v>69</v>
      </c>
      <c r="X139" s="547">
        <f>IFERROR(SUM(X136:X137),"0")</f>
        <v>0</v>
      </c>
      <c r="Y139" s="547">
        <f>IFERROR(SUM(Y136:Y137),"0")</f>
        <v>0</v>
      </c>
      <c r="Z139" s="37"/>
      <c r="AA139" s="548"/>
      <c r="AB139" s="548"/>
      <c r="AC139" s="548"/>
    </row>
    <row r="140" spans="1:68" ht="16.5" hidden="1" customHeight="1" x14ac:dyDescent="0.25">
      <c r="A140" s="590" t="s">
        <v>97</v>
      </c>
      <c r="B140" s="555"/>
      <c r="C140" s="555"/>
      <c r="D140" s="555"/>
      <c r="E140" s="555"/>
      <c r="F140" s="555"/>
      <c r="G140" s="555"/>
      <c r="H140" s="555"/>
      <c r="I140" s="555"/>
      <c r="J140" s="555"/>
      <c r="K140" s="555"/>
      <c r="L140" s="555"/>
      <c r="M140" s="555"/>
      <c r="N140" s="555"/>
      <c r="O140" s="555"/>
      <c r="P140" s="555"/>
      <c r="Q140" s="555"/>
      <c r="R140" s="555"/>
      <c r="S140" s="555"/>
      <c r="T140" s="555"/>
      <c r="U140" s="555"/>
      <c r="V140" s="555"/>
      <c r="W140" s="555"/>
      <c r="X140" s="555"/>
      <c r="Y140" s="555"/>
      <c r="Z140" s="555"/>
      <c r="AA140" s="540"/>
      <c r="AB140" s="540"/>
      <c r="AC140" s="540"/>
    </row>
    <row r="141" spans="1:68" ht="14.25" hidden="1" customHeight="1" x14ac:dyDescent="0.25">
      <c r="A141" s="554" t="s">
        <v>99</v>
      </c>
      <c r="B141" s="555"/>
      <c r="C141" s="555"/>
      <c r="D141" s="555"/>
      <c r="E141" s="555"/>
      <c r="F141" s="555"/>
      <c r="G141" s="555"/>
      <c r="H141" s="555"/>
      <c r="I141" s="555"/>
      <c r="J141" s="555"/>
      <c r="K141" s="555"/>
      <c r="L141" s="555"/>
      <c r="M141" s="555"/>
      <c r="N141" s="555"/>
      <c r="O141" s="555"/>
      <c r="P141" s="555"/>
      <c r="Q141" s="555"/>
      <c r="R141" s="555"/>
      <c r="S141" s="555"/>
      <c r="T141" s="555"/>
      <c r="U141" s="555"/>
      <c r="V141" s="555"/>
      <c r="W141" s="555"/>
      <c r="X141" s="555"/>
      <c r="Y141" s="555"/>
      <c r="Z141" s="555"/>
      <c r="AA141" s="541"/>
      <c r="AB141" s="541"/>
      <c r="AC141" s="541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61">
        <v>4680115887374</v>
      </c>
      <c r="E142" s="562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77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9"/>
      <c r="R142" s="559"/>
      <c r="S142" s="559"/>
      <c r="T142" s="560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61">
        <v>4607091384604</v>
      </c>
      <c r="E143" s="562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9"/>
      <c r="R143" s="559"/>
      <c r="S143" s="559"/>
      <c r="T143" s="560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56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7"/>
      <c r="P144" s="551" t="s">
        <v>75</v>
      </c>
      <c r="Q144" s="552"/>
      <c r="R144" s="552"/>
      <c r="S144" s="552"/>
      <c r="T144" s="552"/>
      <c r="U144" s="552"/>
      <c r="V144" s="553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hidden="1" x14ac:dyDescent="0.2">
      <c r="A145" s="555"/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7"/>
      <c r="P145" s="551" t="s">
        <v>75</v>
      </c>
      <c r="Q145" s="552"/>
      <c r="R145" s="552"/>
      <c r="S145" s="552"/>
      <c r="T145" s="552"/>
      <c r="U145" s="552"/>
      <c r="V145" s="553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hidden="1" customHeight="1" x14ac:dyDescent="0.25">
      <c r="A146" s="554" t="s">
        <v>64</v>
      </c>
      <c r="B146" s="555"/>
      <c r="C146" s="555"/>
      <c r="D146" s="555"/>
      <c r="E146" s="555"/>
      <c r="F146" s="555"/>
      <c r="G146" s="555"/>
      <c r="H146" s="555"/>
      <c r="I146" s="555"/>
      <c r="J146" s="555"/>
      <c r="K146" s="555"/>
      <c r="L146" s="555"/>
      <c r="M146" s="555"/>
      <c r="N146" s="555"/>
      <c r="O146" s="555"/>
      <c r="P146" s="555"/>
      <c r="Q146" s="555"/>
      <c r="R146" s="555"/>
      <c r="S146" s="555"/>
      <c r="T146" s="555"/>
      <c r="U146" s="555"/>
      <c r="V146" s="555"/>
      <c r="W146" s="555"/>
      <c r="X146" s="555"/>
      <c r="Y146" s="555"/>
      <c r="Z146" s="555"/>
      <c r="AA146" s="541"/>
      <c r="AB146" s="541"/>
      <c r="AC146" s="541"/>
    </row>
    <row r="147" spans="1:68" ht="16.5" hidden="1" customHeight="1" x14ac:dyDescent="0.25">
      <c r="A147" s="54" t="s">
        <v>245</v>
      </c>
      <c r="B147" s="54" t="s">
        <v>246</v>
      </c>
      <c r="C147" s="31">
        <v>4301031450</v>
      </c>
      <c r="D147" s="561">
        <v>4680115887428</v>
      </c>
      <c r="E147" s="562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821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9"/>
      <c r="R147" s="559"/>
      <c r="S147" s="559"/>
      <c r="T147" s="560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4301030961</v>
      </c>
      <c r="D148" s="561">
        <v>4607091387636</v>
      </c>
      <c r="E148" s="562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81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9"/>
      <c r="R148" s="559"/>
      <c r="S148" s="559"/>
      <c r="T148" s="560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251</v>
      </c>
      <c r="B149" s="54" t="s">
        <v>252</v>
      </c>
      <c r="C149" s="31">
        <v>4301031453</v>
      </c>
      <c r="D149" s="561">
        <v>4680115887336</v>
      </c>
      <c r="E149" s="562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58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9"/>
      <c r="R149" s="559"/>
      <c r="S149" s="559"/>
      <c r="T149" s="560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4301030963</v>
      </c>
      <c r="D150" s="561">
        <v>4607091382426</v>
      </c>
      <c r="E150" s="562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84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9"/>
      <c r="R150" s="559"/>
      <c r="S150" s="559"/>
      <c r="T150" s="560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4301031456</v>
      </c>
      <c r="D151" s="561">
        <v>4680115887398</v>
      </c>
      <c r="E151" s="562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58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9"/>
      <c r="R151" s="559"/>
      <c r="S151" s="559"/>
      <c r="T151" s="560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6"/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57"/>
      <c r="P152" s="551" t="s">
        <v>75</v>
      </c>
      <c r="Q152" s="552"/>
      <c r="R152" s="552"/>
      <c r="S152" s="552"/>
      <c r="T152" s="552"/>
      <c r="U152" s="552"/>
      <c r="V152" s="553"/>
      <c r="W152" s="37" t="s">
        <v>76</v>
      </c>
      <c r="X152" s="547">
        <f>IFERROR(X147/H147,"0")+IFERROR(X148/H148,"0")+IFERROR(X149/H149,"0")+IFERROR(X150/H150,"0")+IFERROR(X151/H151,"0")</f>
        <v>0</v>
      </c>
      <c r="Y152" s="547">
        <f>IFERROR(Y147/H147,"0")+IFERROR(Y148/H148,"0")+IFERROR(Y149/H149,"0")+IFERROR(Y150/H150,"0")+IFERROR(Y151/H151,"0")</f>
        <v>0</v>
      </c>
      <c r="Z152" s="547">
        <f>IFERROR(IF(Z147="",0,Z147),"0")+IFERROR(IF(Z148="",0,Z148),"0")+IFERROR(IF(Z149="",0,Z149),"0")+IFERROR(IF(Z150="",0,Z150),"0")+IFERROR(IF(Z151="",0,Z151),"0")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5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7"/>
      <c r="P153" s="551" t="s">
        <v>75</v>
      </c>
      <c r="Q153" s="552"/>
      <c r="R153" s="552"/>
      <c r="S153" s="552"/>
      <c r="T153" s="552"/>
      <c r="U153" s="552"/>
      <c r="V153" s="553"/>
      <c r="W153" s="37" t="s">
        <v>69</v>
      </c>
      <c r="X153" s="547">
        <f>IFERROR(SUM(X147:X151),"0")</f>
        <v>0</v>
      </c>
      <c r="Y153" s="547">
        <f>IFERROR(SUM(Y147:Y151),"0")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4" t="s">
        <v>77</v>
      </c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5"/>
      <c r="P154" s="555"/>
      <c r="Q154" s="555"/>
      <c r="R154" s="555"/>
      <c r="S154" s="555"/>
      <c r="T154" s="555"/>
      <c r="U154" s="555"/>
      <c r="V154" s="555"/>
      <c r="W154" s="555"/>
      <c r="X154" s="555"/>
      <c r="Y154" s="555"/>
      <c r="Z154" s="555"/>
      <c r="AA154" s="541"/>
      <c r="AB154" s="541"/>
      <c r="AC154" s="541"/>
    </row>
    <row r="155" spans="1:68" ht="27" hidden="1" customHeight="1" x14ac:dyDescent="0.25">
      <c r="A155" s="54" t="s">
        <v>260</v>
      </c>
      <c r="B155" s="54" t="s">
        <v>261</v>
      </c>
      <c r="C155" s="31">
        <v>4301052064</v>
      </c>
      <c r="D155" s="561">
        <v>4680115887459</v>
      </c>
      <c r="E155" s="562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85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9"/>
      <c r="R155" s="559"/>
      <c r="S155" s="559"/>
      <c r="T155" s="560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56"/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7"/>
      <c r="P156" s="551" t="s">
        <v>75</v>
      </c>
      <c r="Q156" s="552"/>
      <c r="R156" s="552"/>
      <c r="S156" s="552"/>
      <c r="T156" s="552"/>
      <c r="U156" s="552"/>
      <c r="V156" s="55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5"/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7"/>
      <c r="P157" s="551" t="s">
        <v>75</v>
      </c>
      <c r="Q157" s="552"/>
      <c r="R157" s="552"/>
      <c r="S157" s="552"/>
      <c r="T157" s="552"/>
      <c r="U157" s="552"/>
      <c r="V157" s="55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669" t="s">
        <v>263</v>
      </c>
      <c r="B158" s="670"/>
      <c r="C158" s="670"/>
      <c r="D158" s="670"/>
      <c r="E158" s="670"/>
      <c r="F158" s="670"/>
      <c r="G158" s="670"/>
      <c r="H158" s="670"/>
      <c r="I158" s="670"/>
      <c r="J158" s="670"/>
      <c r="K158" s="670"/>
      <c r="L158" s="670"/>
      <c r="M158" s="670"/>
      <c r="N158" s="670"/>
      <c r="O158" s="670"/>
      <c r="P158" s="670"/>
      <c r="Q158" s="670"/>
      <c r="R158" s="670"/>
      <c r="S158" s="670"/>
      <c r="T158" s="670"/>
      <c r="U158" s="670"/>
      <c r="V158" s="670"/>
      <c r="W158" s="670"/>
      <c r="X158" s="670"/>
      <c r="Y158" s="670"/>
      <c r="Z158" s="670"/>
      <c r="AA158" s="48"/>
      <c r="AB158" s="48"/>
      <c r="AC158" s="48"/>
    </row>
    <row r="159" spans="1:68" ht="16.5" hidden="1" customHeight="1" x14ac:dyDescent="0.25">
      <c r="A159" s="590" t="s">
        <v>264</v>
      </c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5"/>
      <c r="P159" s="555"/>
      <c r="Q159" s="555"/>
      <c r="R159" s="555"/>
      <c r="S159" s="555"/>
      <c r="T159" s="555"/>
      <c r="U159" s="555"/>
      <c r="V159" s="555"/>
      <c r="W159" s="555"/>
      <c r="X159" s="555"/>
      <c r="Y159" s="555"/>
      <c r="Z159" s="555"/>
      <c r="AA159" s="540"/>
      <c r="AB159" s="540"/>
      <c r="AC159" s="540"/>
    </row>
    <row r="160" spans="1:68" ht="14.25" hidden="1" customHeight="1" x14ac:dyDescent="0.25">
      <c r="A160" s="554" t="s">
        <v>135</v>
      </c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5"/>
      <c r="P160" s="555"/>
      <c r="Q160" s="555"/>
      <c r="R160" s="555"/>
      <c r="S160" s="555"/>
      <c r="T160" s="555"/>
      <c r="U160" s="555"/>
      <c r="V160" s="555"/>
      <c r="W160" s="555"/>
      <c r="X160" s="555"/>
      <c r="Y160" s="555"/>
      <c r="Z160" s="555"/>
      <c r="AA160" s="541"/>
      <c r="AB160" s="541"/>
      <c r="AC160" s="541"/>
    </row>
    <row r="161" spans="1:68" ht="27" hidden="1" customHeight="1" x14ac:dyDescent="0.25">
      <c r="A161" s="54" t="s">
        <v>265</v>
      </c>
      <c r="B161" s="54" t="s">
        <v>266</v>
      </c>
      <c r="C161" s="31">
        <v>4301020323</v>
      </c>
      <c r="D161" s="561">
        <v>4680115886223</v>
      </c>
      <c r="E161" s="562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60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9"/>
      <c r="R161" s="559"/>
      <c r="S161" s="559"/>
      <c r="T161" s="560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56"/>
      <c r="B162" s="555"/>
      <c r="C162" s="555"/>
      <c r="D162" s="555"/>
      <c r="E162" s="555"/>
      <c r="F162" s="555"/>
      <c r="G162" s="555"/>
      <c r="H162" s="555"/>
      <c r="I162" s="555"/>
      <c r="J162" s="555"/>
      <c r="K162" s="555"/>
      <c r="L162" s="555"/>
      <c r="M162" s="555"/>
      <c r="N162" s="555"/>
      <c r="O162" s="557"/>
      <c r="P162" s="551" t="s">
        <v>75</v>
      </c>
      <c r="Q162" s="552"/>
      <c r="R162" s="552"/>
      <c r="S162" s="552"/>
      <c r="T162" s="552"/>
      <c r="U162" s="552"/>
      <c r="V162" s="55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5"/>
      <c r="B163" s="555"/>
      <c r="C163" s="555"/>
      <c r="D163" s="555"/>
      <c r="E163" s="555"/>
      <c r="F163" s="555"/>
      <c r="G163" s="555"/>
      <c r="H163" s="555"/>
      <c r="I163" s="555"/>
      <c r="J163" s="555"/>
      <c r="K163" s="555"/>
      <c r="L163" s="555"/>
      <c r="M163" s="555"/>
      <c r="N163" s="555"/>
      <c r="O163" s="557"/>
      <c r="P163" s="551" t="s">
        <v>75</v>
      </c>
      <c r="Q163" s="552"/>
      <c r="R163" s="552"/>
      <c r="S163" s="552"/>
      <c r="T163" s="552"/>
      <c r="U163" s="552"/>
      <c r="V163" s="55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4" t="s">
        <v>64</v>
      </c>
      <c r="B164" s="555"/>
      <c r="C164" s="555"/>
      <c r="D164" s="555"/>
      <c r="E164" s="555"/>
      <c r="F164" s="555"/>
      <c r="G164" s="555"/>
      <c r="H164" s="555"/>
      <c r="I164" s="555"/>
      <c r="J164" s="555"/>
      <c r="K164" s="555"/>
      <c r="L164" s="555"/>
      <c r="M164" s="555"/>
      <c r="N164" s="555"/>
      <c r="O164" s="555"/>
      <c r="P164" s="555"/>
      <c r="Q164" s="555"/>
      <c r="R164" s="555"/>
      <c r="S164" s="555"/>
      <c r="T164" s="555"/>
      <c r="U164" s="555"/>
      <c r="V164" s="555"/>
      <c r="W164" s="555"/>
      <c r="X164" s="555"/>
      <c r="Y164" s="555"/>
      <c r="Z164" s="555"/>
      <c r="AA164" s="541"/>
      <c r="AB164" s="541"/>
      <c r="AC164" s="541"/>
    </row>
    <row r="165" spans="1:68" ht="27" hidden="1" customHeight="1" x14ac:dyDescent="0.25">
      <c r="A165" s="54" t="s">
        <v>268</v>
      </c>
      <c r="B165" s="54" t="s">
        <v>269</v>
      </c>
      <c r="C165" s="31">
        <v>4301031191</v>
      </c>
      <c r="D165" s="561">
        <v>4680115880993</v>
      </c>
      <c r="E165" s="562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/>
      <c r="M165" s="33" t="s">
        <v>68</v>
      </c>
      <c r="N165" s="33"/>
      <c r="O165" s="32">
        <v>40</v>
      </c>
      <c r="P165" s="8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9"/>
      <c r="R165" s="559"/>
      <c r="S165" s="559"/>
      <c r="T165" s="560"/>
      <c r="U165" s="34"/>
      <c r="V165" s="34"/>
      <c r="W165" s="35" t="s">
        <v>69</v>
      </c>
      <c r="X165" s="545">
        <v>0</v>
      </c>
      <c r="Y165" s="546">
        <f t="shared" ref="Y165:Y178" si="5"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ref="BM165:BM178" si="6">IFERROR(X165*I165/H165,"0")</f>
        <v>0</v>
      </c>
      <c r="BN165" s="64">
        <f t="shared" ref="BN165:BN178" si="7">IFERROR(Y165*I165/H165,"0")</f>
        <v>0</v>
      </c>
      <c r="BO165" s="64">
        <f t="shared" ref="BO165:BO178" si="8">IFERROR(1/J165*(X165/H165),"0")</f>
        <v>0</v>
      </c>
      <c r="BP165" s="64">
        <f t="shared" ref="BP165:BP178" si="9">IFERROR(1/J165*(Y165/H165),"0")</f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4301031204</v>
      </c>
      <c r="D166" s="561">
        <v>4680115881761</v>
      </c>
      <c r="E166" s="562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79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9"/>
      <c r="R166" s="559"/>
      <c r="S166" s="559"/>
      <c r="T166" s="560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4301031201</v>
      </c>
      <c r="D167" s="561">
        <v>4680115881563</v>
      </c>
      <c r="E167" s="562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110</v>
      </c>
      <c r="M167" s="33" t="s">
        <v>68</v>
      </c>
      <c r="N167" s="33"/>
      <c r="O167" s="32">
        <v>40</v>
      </c>
      <c r="P167" s="77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9"/>
      <c r="R167" s="559"/>
      <c r="S167" s="559"/>
      <c r="T167" s="560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4301031447</v>
      </c>
      <c r="D168" s="561">
        <v>4680115887565</v>
      </c>
      <c r="E168" s="562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80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9"/>
      <c r="R168" s="559"/>
      <c r="S168" s="559"/>
      <c r="T168" s="560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280</v>
      </c>
      <c r="B169" s="54" t="s">
        <v>281</v>
      </c>
      <c r="C169" s="31">
        <v>4301031199</v>
      </c>
      <c r="D169" s="561">
        <v>4680115880986</v>
      </c>
      <c r="E169" s="562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78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9"/>
      <c r="R169" s="559"/>
      <c r="S169" s="559"/>
      <c r="T169" s="560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4301031443</v>
      </c>
      <c r="D170" s="561">
        <v>4680115887213</v>
      </c>
      <c r="E170" s="562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81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9"/>
      <c r="R170" s="559"/>
      <c r="S170" s="559"/>
      <c r="T170" s="560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4301031205</v>
      </c>
      <c r="D171" s="561">
        <v>4680115881785</v>
      </c>
      <c r="E171" s="562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80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9"/>
      <c r="R171" s="559"/>
      <c r="S171" s="559"/>
      <c r="T171" s="560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288</v>
      </c>
      <c r="B172" s="54" t="s">
        <v>289</v>
      </c>
      <c r="C172" s="31">
        <v>4301031463</v>
      </c>
      <c r="D172" s="561">
        <v>4680115887824</v>
      </c>
      <c r="E172" s="562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870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9"/>
      <c r="R172" s="559"/>
      <c r="S172" s="559"/>
      <c r="T172" s="560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4301031464</v>
      </c>
      <c r="D173" s="561">
        <v>4680115887701</v>
      </c>
      <c r="E173" s="562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831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9"/>
      <c r="R173" s="559"/>
      <c r="S173" s="559"/>
      <c r="T173" s="560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hidden="1" customHeight="1" x14ac:dyDescent="0.25">
      <c r="A174" s="54" t="s">
        <v>294</v>
      </c>
      <c r="B174" s="54" t="s">
        <v>295</v>
      </c>
      <c r="C174" s="31">
        <v>4301031399</v>
      </c>
      <c r="D174" s="561">
        <v>4680115886537</v>
      </c>
      <c r="E174" s="562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58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9"/>
      <c r="R174" s="559"/>
      <c r="S174" s="559"/>
      <c r="T174" s="560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4301031279</v>
      </c>
      <c r="D175" s="561">
        <v>4680115887596</v>
      </c>
      <c r="E175" s="562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67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9"/>
      <c r="R175" s="559"/>
      <c r="S175" s="559"/>
      <c r="T175" s="560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hidden="1" customHeight="1" x14ac:dyDescent="0.25">
      <c r="A176" s="54" t="s">
        <v>300</v>
      </c>
      <c r="B176" s="54" t="s">
        <v>301</v>
      </c>
      <c r="C176" s="31">
        <v>4301031202</v>
      </c>
      <c r="D176" s="561">
        <v>4680115881679</v>
      </c>
      <c r="E176" s="562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64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9"/>
      <c r="R176" s="559"/>
      <c r="S176" s="559"/>
      <c r="T176" s="560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4301031158</v>
      </c>
      <c r="D177" s="561">
        <v>4680115880191</v>
      </c>
      <c r="E177" s="562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6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9"/>
      <c r="R177" s="559"/>
      <c r="S177" s="559"/>
      <c r="T177" s="560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4301031245</v>
      </c>
      <c r="D178" s="561">
        <v>4680115883963</v>
      </c>
      <c r="E178" s="562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65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9"/>
      <c r="R178" s="559"/>
      <c r="S178" s="559"/>
      <c r="T178" s="560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hidden="1" x14ac:dyDescent="0.2">
      <c r="A179" s="556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7"/>
      <c r="P179" s="551" t="s">
        <v>75</v>
      </c>
      <c r="Q179" s="552"/>
      <c r="R179" s="552"/>
      <c r="S179" s="552"/>
      <c r="T179" s="552"/>
      <c r="U179" s="552"/>
      <c r="V179" s="553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548"/>
      <c r="AB179" s="548"/>
      <c r="AC179" s="548"/>
    </row>
    <row r="180" spans="1:68" hidden="1" x14ac:dyDescent="0.2">
      <c r="A180" s="555"/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7"/>
      <c r="P180" s="551" t="s">
        <v>75</v>
      </c>
      <c r="Q180" s="552"/>
      <c r="R180" s="552"/>
      <c r="S180" s="552"/>
      <c r="T180" s="552"/>
      <c r="U180" s="552"/>
      <c r="V180" s="553"/>
      <c r="W180" s="37" t="s">
        <v>69</v>
      </c>
      <c r="X180" s="547">
        <f>IFERROR(SUM(X165:X178),"0")</f>
        <v>0</v>
      </c>
      <c r="Y180" s="547">
        <f>IFERROR(SUM(Y165:Y178),"0")</f>
        <v>0</v>
      </c>
      <c r="Z180" s="37"/>
      <c r="AA180" s="548"/>
      <c r="AB180" s="548"/>
      <c r="AC180" s="548"/>
    </row>
    <row r="181" spans="1:68" ht="14.25" hidden="1" customHeight="1" x14ac:dyDescent="0.25">
      <c r="A181" s="554" t="s">
        <v>91</v>
      </c>
      <c r="B181" s="555"/>
      <c r="C181" s="555"/>
      <c r="D181" s="555"/>
      <c r="E181" s="555"/>
      <c r="F181" s="555"/>
      <c r="G181" s="555"/>
      <c r="H181" s="555"/>
      <c r="I181" s="555"/>
      <c r="J181" s="555"/>
      <c r="K181" s="555"/>
      <c r="L181" s="555"/>
      <c r="M181" s="555"/>
      <c r="N181" s="555"/>
      <c r="O181" s="555"/>
      <c r="P181" s="555"/>
      <c r="Q181" s="555"/>
      <c r="R181" s="555"/>
      <c r="S181" s="555"/>
      <c r="T181" s="555"/>
      <c r="U181" s="555"/>
      <c r="V181" s="555"/>
      <c r="W181" s="555"/>
      <c r="X181" s="555"/>
      <c r="Y181" s="555"/>
      <c r="Z181" s="555"/>
      <c r="AA181" s="541"/>
      <c r="AB181" s="541"/>
      <c r="AC181" s="541"/>
    </row>
    <row r="182" spans="1:68" ht="27" hidden="1" customHeight="1" x14ac:dyDescent="0.25">
      <c r="A182" s="54" t="s">
        <v>307</v>
      </c>
      <c r="B182" s="54" t="s">
        <v>308</v>
      </c>
      <c r="C182" s="31">
        <v>4301032053</v>
      </c>
      <c r="D182" s="561">
        <v>4680115886780</v>
      </c>
      <c r="E182" s="562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77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9"/>
      <c r="R182" s="559"/>
      <c r="S182" s="559"/>
      <c r="T182" s="560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311</v>
      </c>
      <c r="B183" s="54" t="s">
        <v>312</v>
      </c>
      <c r="C183" s="31">
        <v>4301032051</v>
      </c>
      <c r="D183" s="561">
        <v>4680115886742</v>
      </c>
      <c r="E183" s="562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70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9"/>
      <c r="R183" s="559"/>
      <c r="S183" s="559"/>
      <c r="T183" s="560"/>
      <c r="U183" s="34"/>
      <c r="V183" s="34"/>
      <c r="W183" s="35" t="s">
        <v>69</v>
      </c>
      <c r="X183" s="545">
        <v>0</v>
      </c>
      <c r="Y183" s="546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4301032052</v>
      </c>
      <c r="D184" s="561">
        <v>4680115886766</v>
      </c>
      <c r="E184" s="562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80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9"/>
      <c r="R184" s="559"/>
      <c r="S184" s="559"/>
      <c r="T184" s="560"/>
      <c r="U184" s="34"/>
      <c r="V184" s="34"/>
      <c r="W184" s="35" t="s">
        <v>69</v>
      </c>
      <c r="X184" s="545">
        <v>0</v>
      </c>
      <c r="Y184" s="54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56"/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7"/>
      <c r="P185" s="551" t="s">
        <v>75</v>
      </c>
      <c r="Q185" s="552"/>
      <c r="R185" s="552"/>
      <c r="S185" s="552"/>
      <c r="T185" s="552"/>
      <c r="U185" s="552"/>
      <c r="V185" s="553"/>
      <c r="W185" s="37" t="s">
        <v>76</v>
      </c>
      <c r="X185" s="547">
        <f>IFERROR(X182/H182,"0")+IFERROR(X183/H183,"0")+IFERROR(X184/H184,"0")</f>
        <v>0</v>
      </c>
      <c r="Y185" s="547">
        <f>IFERROR(Y182/H182,"0")+IFERROR(Y183/H183,"0")+IFERROR(Y184/H184,"0")</f>
        <v>0</v>
      </c>
      <c r="Z185" s="547">
        <f>IFERROR(IF(Z182="",0,Z182),"0")+IFERROR(IF(Z183="",0,Z183),"0")+IFERROR(IF(Z184="",0,Z184),"0")</f>
        <v>0</v>
      </c>
      <c r="AA185" s="548"/>
      <c r="AB185" s="548"/>
      <c r="AC185" s="548"/>
    </row>
    <row r="186" spans="1:68" hidden="1" x14ac:dyDescent="0.2">
      <c r="A186" s="555"/>
      <c r="B186" s="555"/>
      <c r="C186" s="555"/>
      <c r="D186" s="555"/>
      <c r="E186" s="555"/>
      <c r="F186" s="555"/>
      <c r="G186" s="555"/>
      <c r="H186" s="555"/>
      <c r="I186" s="555"/>
      <c r="J186" s="555"/>
      <c r="K186" s="555"/>
      <c r="L186" s="555"/>
      <c r="M186" s="555"/>
      <c r="N186" s="555"/>
      <c r="O186" s="557"/>
      <c r="P186" s="551" t="s">
        <v>75</v>
      </c>
      <c r="Q186" s="552"/>
      <c r="R186" s="552"/>
      <c r="S186" s="552"/>
      <c r="T186" s="552"/>
      <c r="U186" s="552"/>
      <c r="V186" s="553"/>
      <c r="W186" s="37" t="s">
        <v>69</v>
      </c>
      <c r="X186" s="547">
        <f>IFERROR(SUM(X182:X184),"0")</f>
        <v>0</v>
      </c>
      <c r="Y186" s="547">
        <f>IFERROR(SUM(Y182:Y184),"0")</f>
        <v>0</v>
      </c>
      <c r="Z186" s="37"/>
      <c r="AA186" s="548"/>
      <c r="AB186" s="548"/>
      <c r="AC186" s="548"/>
    </row>
    <row r="187" spans="1:68" ht="14.25" hidden="1" customHeight="1" x14ac:dyDescent="0.25">
      <c r="A187" s="554" t="s">
        <v>316</v>
      </c>
      <c r="B187" s="555"/>
      <c r="C187" s="555"/>
      <c r="D187" s="555"/>
      <c r="E187" s="555"/>
      <c r="F187" s="555"/>
      <c r="G187" s="555"/>
      <c r="H187" s="555"/>
      <c r="I187" s="555"/>
      <c r="J187" s="555"/>
      <c r="K187" s="555"/>
      <c r="L187" s="555"/>
      <c r="M187" s="555"/>
      <c r="N187" s="555"/>
      <c r="O187" s="555"/>
      <c r="P187" s="555"/>
      <c r="Q187" s="555"/>
      <c r="R187" s="555"/>
      <c r="S187" s="555"/>
      <c r="T187" s="555"/>
      <c r="U187" s="555"/>
      <c r="V187" s="555"/>
      <c r="W187" s="555"/>
      <c r="X187" s="555"/>
      <c r="Y187" s="555"/>
      <c r="Z187" s="555"/>
      <c r="AA187" s="541"/>
      <c r="AB187" s="541"/>
      <c r="AC187" s="541"/>
    </row>
    <row r="188" spans="1:68" ht="27" hidden="1" customHeight="1" x14ac:dyDescent="0.25">
      <c r="A188" s="54" t="s">
        <v>317</v>
      </c>
      <c r="B188" s="54" t="s">
        <v>318</v>
      </c>
      <c r="C188" s="31">
        <v>4301170013</v>
      </c>
      <c r="D188" s="561">
        <v>4680115886797</v>
      </c>
      <c r="E188" s="562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69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9"/>
      <c r="R188" s="559"/>
      <c r="S188" s="559"/>
      <c r="T188" s="560"/>
      <c r="U188" s="34"/>
      <c r="V188" s="34"/>
      <c r="W188" s="35" t="s">
        <v>69</v>
      </c>
      <c r="X188" s="545">
        <v>0</v>
      </c>
      <c r="Y188" s="54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56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7"/>
      <c r="P189" s="551" t="s">
        <v>75</v>
      </c>
      <c r="Q189" s="552"/>
      <c r="R189" s="552"/>
      <c r="S189" s="552"/>
      <c r="T189" s="552"/>
      <c r="U189" s="552"/>
      <c r="V189" s="553"/>
      <c r="W189" s="37" t="s">
        <v>76</v>
      </c>
      <c r="X189" s="547">
        <f>IFERROR(X188/H188,"0")</f>
        <v>0</v>
      </c>
      <c r="Y189" s="547">
        <f>IFERROR(Y188/H188,"0")</f>
        <v>0</v>
      </c>
      <c r="Z189" s="547">
        <f>IFERROR(IF(Z188="",0,Z188),"0")</f>
        <v>0</v>
      </c>
      <c r="AA189" s="548"/>
      <c r="AB189" s="548"/>
      <c r="AC189" s="548"/>
    </row>
    <row r="190" spans="1:68" hidden="1" x14ac:dyDescent="0.2">
      <c r="A190" s="555"/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7"/>
      <c r="P190" s="551" t="s">
        <v>75</v>
      </c>
      <c r="Q190" s="552"/>
      <c r="R190" s="552"/>
      <c r="S190" s="552"/>
      <c r="T190" s="552"/>
      <c r="U190" s="552"/>
      <c r="V190" s="553"/>
      <c r="W190" s="37" t="s">
        <v>69</v>
      </c>
      <c r="X190" s="547">
        <f>IFERROR(SUM(X188:X188),"0")</f>
        <v>0</v>
      </c>
      <c r="Y190" s="547">
        <f>IFERROR(SUM(Y188:Y188),"0")</f>
        <v>0</v>
      </c>
      <c r="Z190" s="37"/>
      <c r="AA190" s="548"/>
      <c r="AB190" s="548"/>
      <c r="AC190" s="548"/>
    </row>
    <row r="191" spans="1:68" ht="16.5" hidden="1" customHeight="1" x14ac:dyDescent="0.25">
      <c r="A191" s="590" t="s">
        <v>319</v>
      </c>
      <c r="B191" s="555"/>
      <c r="C191" s="555"/>
      <c r="D191" s="555"/>
      <c r="E191" s="555"/>
      <c r="F191" s="555"/>
      <c r="G191" s="555"/>
      <c r="H191" s="555"/>
      <c r="I191" s="555"/>
      <c r="J191" s="555"/>
      <c r="K191" s="555"/>
      <c r="L191" s="555"/>
      <c r="M191" s="555"/>
      <c r="N191" s="555"/>
      <c r="O191" s="555"/>
      <c r="P191" s="555"/>
      <c r="Q191" s="555"/>
      <c r="R191" s="555"/>
      <c r="S191" s="555"/>
      <c r="T191" s="555"/>
      <c r="U191" s="555"/>
      <c r="V191" s="555"/>
      <c r="W191" s="555"/>
      <c r="X191" s="555"/>
      <c r="Y191" s="555"/>
      <c r="Z191" s="555"/>
      <c r="AA191" s="540"/>
      <c r="AB191" s="540"/>
      <c r="AC191" s="540"/>
    </row>
    <row r="192" spans="1:68" ht="14.25" hidden="1" customHeight="1" x14ac:dyDescent="0.25">
      <c r="A192" s="554" t="s">
        <v>99</v>
      </c>
      <c r="B192" s="555"/>
      <c r="C192" s="555"/>
      <c r="D192" s="555"/>
      <c r="E192" s="555"/>
      <c r="F192" s="555"/>
      <c r="G192" s="555"/>
      <c r="H192" s="555"/>
      <c r="I192" s="555"/>
      <c r="J192" s="555"/>
      <c r="K192" s="555"/>
      <c r="L192" s="555"/>
      <c r="M192" s="555"/>
      <c r="N192" s="555"/>
      <c r="O192" s="555"/>
      <c r="P192" s="555"/>
      <c r="Q192" s="555"/>
      <c r="R192" s="555"/>
      <c r="S192" s="555"/>
      <c r="T192" s="555"/>
      <c r="U192" s="555"/>
      <c r="V192" s="555"/>
      <c r="W192" s="555"/>
      <c r="X192" s="555"/>
      <c r="Y192" s="555"/>
      <c r="Z192" s="555"/>
      <c r="AA192" s="541"/>
      <c r="AB192" s="541"/>
      <c r="AC192" s="541"/>
    </row>
    <row r="193" spans="1:68" ht="27" hidden="1" customHeight="1" x14ac:dyDescent="0.25">
      <c r="A193" s="54" t="s">
        <v>320</v>
      </c>
      <c r="B193" s="54" t="s">
        <v>321</v>
      </c>
      <c r="C193" s="31">
        <v>4301011450</v>
      </c>
      <c r="D193" s="561">
        <v>4680115881402</v>
      </c>
      <c r="E193" s="562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6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9"/>
      <c r="R193" s="559"/>
      <c r="S193" s="559"/>
      <c r="T193" s="560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323</v>
      </c>
      <c r="B194" s="54" t="s">
        <v>324</v>
      </c>
      <c r="C194" s="31">
        <v>4301011768</v>
      </c>
      <c r="D194" s="561">
        <v>4680115881396</v>
      </c>
      <c r="E194" s="562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 t="s">
        <v>186</v>
      </c>
      <c r="M194" s="33" t="s">
        <v>104</v>
      </c>
      <c r="N194" s="33"/>
      <c r="O194" s="32">
        <v>55</v>
      </c>
      <c r="P194" s="79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9"/>
      <c r="R194" s="559"/>
      <c r="S194" s="559"/>
      <c r="T194" s="560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 t="s">
        <v>106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56"/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7"/>
      <c r="P195" s="551" t="s">
        <v>75</v>
      </c>
      <c r="Q195" s="552"/>
      <c r="R195" s="552"/>
      <c r="S195" s="552"/>
      <c r="T195" s="552"/>
      <c r="U195" s="552"/>
      <c r="V195" s="553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hidden="1" x14ac:dyDescent="0.2">
      <c r="A196" s="555"/>
      <c r="B196" s="555"/>
      <c r="C196" s="555"/>
      <c r="D196" s="555"/>
      <c r="E196" s="555"/>
      <c r="F196" s="555"/>
      <c r="G196" s="555"/>
      <c r="H196" s="555"/>
      <c r="I196" s="555"/>
      <c r="J196" s="555"/>
      <c r="K196" s="555"/>
      <c r="L196" s="555"/>
      <c r="M196" s="555"/>
      <c r="N196" s="555"/>
      <c r="O196" s="557"/>
      <c r="P196" s="551" t="s">
        <v>75</v>
      </c>
      <c r="Q196" s="552"/>
      <c r="R196" s="552"/>
      <c r="S196" s="552"/>
      <c r="T196" s="552"/>
      <c r="U196" s="552"/>
      <c r="V196" s="553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hidden="1" customHeight="1" x14ac:dyDescent="0.25">
      <c r="A197" s="554" t="s">
        <v>135</v>
      </c>
      <c r="B197" s="555"/>
      <c r="C197" s="555"/>
      <c r="D197" s="555"/>
      <c r="E197" s="555"/>
      <c r="F197" s="555"/>
      <c r="G197" s="555"/>
      <c r="H197" s="555"/>
      <c r="I197" s="555"/>
      <c r="J197" s="555"/>
      <c r="K197" s="555"/>
      <c r="L197" s="555"/>
      <c r="M197" s="555"/>
      <c r="N197" s="555"/>
      <c r="O197" s="555"/>
      <c r="P197" s="555"/>
      <c r="Q197" s="555"/>
      <c r="R197" s="555"/>
      <c r="S197" s="555"/>
      <c r="T197" s="555"/>
      <c r="U197" s="555"/>
      <c r="V197" s="555"/>
      <c r="W197" s="555"/>
      <c r="X197" s="555"/>
      <c r="Y197" s="555"/>
      <c r="Z197" s="555"/>
      <c r="AA197" s="541"/>
      <c r="AB197" s="541"/>
      <c r="AC197" s="541"/>
    </row>
    <row r="198" spans="1:68" ht="16.5" hidden="1" customHeight="1" x14ac:dyDescent="0.25">
      <c r="A198" s="54" t="s">
        <v>325</v>
      </c>
      <c r="B198" s="54" t="s">
        <v>326</v>
      </c>
      <c r="C198" s="31">
        <v>4301020261</v>
      </c>
      <c r="D198" s="561">
        <v>4680115882935</v>
      </c>
      <c r="E198" s="562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62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9"/>
      <c r="R198" s="559"/>
      <c r="S198" s="559"/>
      <c r="T198" s="560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328</v>
      </c>
      <c r="B199" s="54" t="s">
        <v>329</v>
      </c>
      <c r="C199" s="31">
        <v>4301020220</v>
      </c>
      <c r="D199" s="561">
        <v>4680115880764</v>
      </c>
      <c r="E199" s="562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/>
      <c r="M199" s="33" t="s">
        <v>104</v>
      </c>
      <c r="N199" s="33"/>
      <c r="O199" s="32">
        <v>50</v>
      </c>
      <c r="P199" s="59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9"/>
      <c r="R199" s="559"/>
      <c r="S199" s="559"/>
      <c r="T199" s="560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56"/>
      <c r="B200" s="555"/>
      <c r="C200" s="555"/>
      <c r="D200" s="555"/>
      <c r="E200" s="555"/>
      <c r="F200" s="555"/>
      <c r="G200" s="555"/>
      <c r="H200" s="555"/>
      <c r="I200" s="555"/>
      <c r="J200" s="555"/>
      <c r="K200" s="555"/>
      <c r="L200" s="555"/>
      <c r="M200" s="555"/>
      <c r="N200" s="555"/>
      <c r="O200" s="557"/>
      <c r="P200" s="551" t="s">
        <v>75</v>
      </c>
      <c r="Q200" s="552"/>
      <c r="R200" s="552"/>
      <c r="S200" s="552"/>
      <c r="T200" s="552"/>
      <c r="U200" s="552"/>
      <c r="V200" s="553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hidden="1" x14ac:dyDescent="0.2">
      <c r="A201" s="555"/>
      <c r="B201" s="555"/>
      <c r="C201" s="555"/>
      <c r="D201" s="555"/>
      <c r="E201" s="555"/>
      <c r="F201" s="555"/>
      <c r="G201" s="555"/>
      <c r="H201" s="555"/>
      <c r="I201" s="555"/>
      <c r="J201" s="555"/>
      <c r="K201" s="555"/>
      <c r="L201" s="555"/>
      <c r="M201" s="555"/>
      <c r="N201" s="555"/>
      <c r="O201" s="557"/>
      <c r="P201" s="551" t="s">
        <v>75</v>
      </c>
      <c r="Q201" s="552"/>
      <c r="R201" s="552"/>
      <c r="S201" s="552"/>
      <c r="T201" s="552"/>
      <c r="U201" s="552"/>
      <c r="V201" s="553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hidden="1" customHeight="1" x14ac:dyDescent="0.25">
      <c r="A202" s="554" t="s">
        <v>64</v>
      </c>
      <c r="B202" s="555"/>
      <c r="C202" s="555"/>
      <c r="D202" s="555"/>
      <c r="E202" s="555"/>
      <c r="F202" s="555"/>
      <c r="G202" s="555"/>
      <c r="H202" s="555"/>
      <c r="I202" s="555"/>
      <c r="J202" s="555"/>
      <c r="K202" s="555"/>
      <c r="L202" s="555"/>
      <c r="M202" s="555"/>
      <c r="N202" s="555"/>
      <c r="O202" s="555"/>
      <c r="P202" s="555"/>
      <c r="Q202" s="555"/>
      <c r="R202" s="555"/>
      <c r="S202" s="555"/>
      <c r="T202" s="555"/>
      <c r="U202" s="555"/>
      <c r="V202" s="555"/>
      <c r="W202" s="555"/>
      <c r="X202" s="555"/>
      <c r="Y202" s="555"/>
      <c r="Z202" s="555"/>
      <c r="AA202" s="541"/>
      <c r="AB202" s="541"/>
      <c r="AC202" s="541"/>
    </row>
    <row r="203" spans="1:68" ht="27" hidden="1" customHeight="1" x14ac:dyDescent="0.25">
      <c r="A203" s="54" t="s">
        <v>330</v>
      </c>
      <c r="B203" s="54" t="s">
        <v>331</v>
      </c>
      <c r="C203" s="31">
        <v>4301031224</v>
      </c>
      <c r="D203" s="561">
        <v>4680115882683</v>
      </c>
      <c r="E203" s="562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110</v>
      </c>
      <c r="M203" s="33" t="s">
        <v>68</v>
      </c>
      <c r="N203" s="33"/>
      <c r="O203" s="32">
        <v>40</v>
      </c>
      <c r="P203" s="73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9"/>
      <c r="R203" s="559"/>
      <c r="S203" s="559"/>
      <c r="T203" s="560"/>
      <c r="U203" s="34"/>
      <c r="V203" s="34"/>
      <c r="W203" s="35" t="s">
        <v>69</v>
      </c>
      <c r="X203" s="545">
        <v>0</v>
      </c>
      <c r="Y203" s="546">
        <f t="shared" ref="Y203:Y210" si="10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0</v>
      </c>
      <c r="BN203" s="64">
        <f t="shared" ref="BN203:BN210" si="12">IFERROR(Y203*I203/H203,"0")</f>
        <v>0</v>
      </c>
      <c r="BO203" s="64">
        <f t="shared" ref="BO203:BO210" si="13">IFERROR(1/J203*(X203/H203),"0")</f>
        <v>0</v>
      </c>
      <c r="BP203" s="64">
        <f t="shared" ref="BP203:BP210" si="14">IFERROR(1/J203*(Y203/H203),"0")</f>
        <v>0</v>
      </c>
    </row>
    <row r="204" spans="1:68" ht="27" hidden="1" customHeight="1" x14ac:dyDescent="0.25">
      <c r="A204" s="54" t="s">
        <v>333</v>
      </c>
      <c r="B204" s="54" t="s">
        <v>334</v>
      </c>
      <c r="C204" s="31">
        <v>4301031230</v>
      </c>
      <c r="D204" s="561">
        <v>4680115882690</v>
      </c>
      <c r="E204" s="562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2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9"/>
      <c r="R204" s="559"/>
      <c r="S204" s="559"/>
      <c r="T204" s="560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hidden="1" customHeight="1" x14ac:dyDescent="0.25">
      <c r="A205" s="54" t="s">
        <v>336</v>
      </c>
      <c r="B205" s="54" t="s">
        <v>337</v>
      </c>
      <c r="C205" s="31">
        <v>4301031220</v>
      </c>
      <c r="D205" s="561">
        <v>4680115882669</v>
      </c>
      <c r="E205" s="562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78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9"/>
      <c r="R205" s="559"/>
      <c r="S205" s="559"/>
      <c r="T205" s="560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hidden="1" customHeight="1" x14ac:dyDescent="0.25">
      <c r="A206" s="54" t="s">
        <v>339</v>
      </c>
      <c r="B206" s="54" t="s">
        <v>340</v>
      </c>
      <c r="C206" s="31">
        <v>4301031221</v>
      </c>
      <c r="D206" s="561">
        <v>4680115882676</v>
      </c>
      <c r="E206" s="562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9"/>
      <c r="R206" s="559"/>
      <c r="S206" s="559"/>
      <c r="T206" s="560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hidden="1" customHeight="1" x14ac:dyDescent="0.25">
      <c r="A207" s="54" t="s">
        <v>342</v>
      </c>
      <c r="B207" s="54" t="s">
        <v>343</v>
      </c>
      <c r="C207" s="31">
        <v>4301031223</v>
      </c>
      <c r="D207" s="561">
        <v>4680115884014</v>
      </c>
      <c r="E207" s="562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1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9"/>
      <c r="R207" s="559"/>
      <c r="S207" s="559"/>
      <c r="T207" s="560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344</v>
      </c>
      <c r="B208" s="54" t="s">
        <v>345</v>
      </c>
      <c r="C208" s="31">
        <v>4301031222</v>
      </c>
      <c r="D208" s="561">
        <v>4680115884007</v>
      </c>
      <c r="E208" s="562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5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9"/>
      <c r="R208" s="559"/>
      <c r="S208" s="559"/>
      <c r="T208" s="560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hidden="1" customHeight="1" x14ac:dyDescent="0.25">
      <c r="A209" s="54" t="s">
        <v>346</v>
      </c>
      <c r="B209" s="54" t="s">
        <v>347</v>
      </c>
      <c r="C209" s="31">
        <v>4301031229</v>
      </c>
      <c r="D209" s="561">
        <v>4680115884038</v>
      </c>
      <c r="E209" s="562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82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9"/>
      <c r="R209" s="559"/>
      <c r="S209" s="559"/>
      <c r="T209" s="560"/>
      <c r="U209" s="34"/>
      <c r="V209" s="34"/>
      <c r="W209" s="35" t="s">
        <v>69</v>
      </c>
      <c r="X209" s="545">
        <v>0</v>
      </c>
      <c r="Y209" s="546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hidden="1" customHeight="1" x14ac:dyDescent="0.25">
      <c r="A210" s="54" t="s">
        <v>348</v>
      </c>
      <c r="B210" s="54" t="s">
        <v>349</v>
      </c>
      <c r="C210" s="31">
        <v>4301031225</v>
      </c>
      <c r="D210" s="561">
        <v>4680115884021</v>
      </c>
      <c r="E210" s="562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78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9"/>
      <c r="R210" s="559"/>
      <c r="S210" s="559"/>
      <c r="T210" s="560"/>
      <c r="U210" s="34"/>
      <c r="V210" s="34"/>
      <c r="W210" s="35" t="s">
        <v>69</v>
      </c>
      <c r="X210" s="545">
        <v>0</v>
      </c>
      <c r="Y210" s="546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hidden="1" x14ac:dyDescent="0.2">
      <c r="A211" s="556"/>
      <c r="B211" s="555"/>
      <c r="C211" s="555"/>
      <c r="D211" s="555"/>
      <c r="E211" s="555"/>
      <c r="F211" s="555"/>
      <c r="G211" s="555"/>
      <c r="H211" s="555"/>
      <c r="I211" s="555"/>
      <c r="J211" s="555"/>
      <c r="K211" s="555"/>
      <c r="L211" s="555"/>
      <c r="M211" s="555"/>
      <c r="N211" s="555"/>
      <c r="O211" s="557"/>
      <c r="P211" s="551" t="s">
        <v>75</v>
      </c>
      <c r="Q211" s="552"/>
      <c r="R211" s="552"/>
      <c r="S211" s="552"/>
      <c r="T211" s="552"/>
      <c r="U211" s="552"/>
      <c r="V211" s="553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0</v>
      </c>
      <c r="Y211" s="547">
        <f>IFERROR(Y203/H203,"0")+IFERROR(Y204/H204,"0")+IFERROR(Y205/H205,"0")+IFERROR(Y206/H206,"0")+IFERROR(Y207/H207,"0")+IFERROR(Y208/H208,"0")+IFERROR(Y209/H209,"0")+IFERROR(Y210/H210,"0")</f>
        <v>0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48"/>
      <c r="AB211" s="548"/>
      <c r="AC211" s="548"/>
    </row>
    <row r="212" spans="1:68" hidden="1" x14ac:dyDescent="0.2">
      <c r="A212" s="555"/>
      <c r="B212" s="555"/>
      <c r="C212" s="555"/>
      <c r="D212" s="555"/>
      <c r="E212" s="555"/>
      <c r="F212" s="555"/>
      <c r="G212" s="555"/>
      <c r="H212" s="555"/>
      <c r="I212" s="555"/>
      <c r="J212" s="555"/>
      <c r="K212" s="555"/>
      <c r="L212" s="555"/>
      <c r="M212" s="555"/>
      <c r="N212" s="555"/>
      <c r="O212" s="557"/>
      <c r="P212" s="551" t="s">
        <v>75</v>
      </c>
      <c r="Q212" s="552"/>
      <c r="R212" s="552"/>
      <c r="S212" s="552"/>
      <c r="T212" s="552"/>
      <c r="U212" s="552"/>
      <c r="V212" s="553"/>
      <c r="W212" s="37" t="s">
        <v>69</v>
      </c>
      <c r="X212" s="547">
        <f>IFERROR(SUM(X203:X210),"0")</f>
        <v>0</v>
      </c>
      <c r="Y212" s="547">
        <f>IFERROR(SUM(Y203:Y210),"0")</f>
        <v>0</v>
      </c>
      <c r="Z212" s="37"/>
      <c r="AA212" s="548"/>
      <c r="AB212" s="548"/>
      <c r="AC212" s="548"/>
    </row>
    <row r="213" spans="1:68" ht="14.25" hidden="1" customHeight="1" x14ac:dyDescent="0.25">
      <c r="A213" s="554" t="s">
        <v>77</v>
      </c>
      <c r="B213" s="555"/>
      <c r="C213" s="555"/>
      <c r="D213" s="555"/>
      <c r="E213" s="555"/>
      <c r="F213" s="555"/>
      <c r="G213" s="555"/>
      <c r="H213" s="555"/>
      <c r="I213" s="555"/>
      <c r="J213" s="555"/>
      <c r="K213" s="555"/>
      <c r="L213" s="555"/>
      <c r="M213" s="555"/>
      <c r="N213" s="555"/>
      <c r="O213" s="555"/>
      <c r="P213" s="555"/>
      <c r="Q213" s="555"/>
      <c r="R213" s="555"/>
      <c r="S213" s="555"/>
      <c r="T213" s="555"/>
      <c r="U213" s="555"/>
      <c r="V213" s="555"/>
      <c r="W213" s="555"/>
      <c r="X213" s="555"/>
      <c r="Y213" s="555"/>
      <c r="Z213" s="555"/>
      <c r="AA213" s="541"/>
      <c r="AB213" s="541"/>
      <c r="AC213" s="541"/>
    </row>
    <row r="214" spans="1:68" ht="27" hidden="1" customHeight="1" x14ac:dyDescent="0.25">
      <c r="A214" s="54" t="s">
        <v>350</v>
      </c>
      <c r="B214" s="54" t="s">
        <v>351</v>
      </c>
      <c r="C214" s="31">
        <v>4301051408</v>
      </c>
      <c r="D214" s="561">
        <v>4680115881594</v>
      </c>
      <c r="E214" s="562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 t="s">
        <v>103</v>
      </c>
      <c r="M214" s="33" t="s">
        <v>80</v>
      </c>
      <c r="N214" s="33"/>
      <c r="O214" s="32">
        <v>40</v>
      </c>
      <c r="P214" s="65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9"/>
      <c r="R214" s="559"/>
      <c r="S214" s="559"/>
      <c r="T214" s="560"/>
      <c r="U214" s="34"/>
      <c r="V214" s="34"/>
      <c r="W214" s="35" t="s">
        <v>69</v>
      </c>
      <c r="X214" s="545">
        <v>0</v>
      </c>
      <c r="Y214" s="546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 t="s">
        <v>106</v>
      </c>
      <c r="AK214" s="68">
        <v>64.8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4301051411</v>
      </c>
      <c r="D215" s="561">
        <v>4680115881617</v>
      </c>
      <c r="E215" s="562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40</v>
      </c>
      <c r="P215" s="84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9"/>
      <c r="R215" s="559"/>
      <c r="S215" s="559"/>
      <c r="T215" s="560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 t="s">
        <v>106</v>
      </c>
      <c r="AK215" s="68">
        <v>64.8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hidden="1" customHeight="1" x14ac:dyDescent="0.25">
      <c r="A216" s="54" t="s">
        <v>356</v>
      </c>
      <c r="B216" s="54" t="s">
        <v>357</v>
      </c>
      <c r="C216" s="31">
        <v>4301051656</v>
      </c>
      <c r="D216" s="561">
        <v>4680115880573</v>
      </c>
      <c r="E216" s="562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2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9"/>
      <c r="R216" s="559"/>
      <c r="S216" s="559"/>
      <c r="T216" s="560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hidden="1" customHeight="1" x14ac:dyDescent="0.25">
      <c r="A217" s="54" t="s">
        <v>359</v>
      </c>
      <c r="B217" s="54" t="s">
        <v>360</v>
      </c>
      <c r="C217" s="31">
        <v>4301051407</v>
      </c>
      <c r="D217" s="561">
        <v>4680115882195</v>
      </c>
      <c r="E217" s="562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186</v>
      </c>
      <c r="M217" s="33" t="s">
        <v>80</v>
      </c>
      <c r="N217" s="33"/>
      <c r="O217" s="32">
        <v>40</v>
      </c>
      <c r="P217" s="70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9"/>
      <c r="R217" s="559"/>
      <c r="S217" s="559"/>
      <c r="T217" s="560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ref="Z217:Z222" si="20">IFERROR(IF(Y217=0,"",ROUNDUP(Y217/H217,0)*0.00651),"")</f>
        <v/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hidden="1" customHeight="1" x14ac:dyDescent="0.25">
      <c r="A218" s="54" t="s">
        <v>362</v>
      </c>
      <c r="B218" s="54" t="s">
        <v>363</v>
      </c>
      <c r="C218" s="31">
        <v>4301051752</v>
      </c>
      <c r="D218" s="561">
        <v>4680115882607</v>
      </c>
      <c r="E218" s="562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9"/>
      <c r="R218" s="559"/>
      <c r="S218" s="559"/>
      <c r="T218" s="560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hidden="1" customHeight="1" x14ac:dyDescent="0.25">
      <c r="A219" s="54" t="s">
        <v>364</v>
      </c>
      <c r="B219" s="54" t="s">
        <v>365</v>
      </c>
      <c r="C219" s="31">
        <v>4301051666</v>
      </c>
      <c r="D219" s="561">
        <v>4680115880092</v>
      </c>
      <c r="E219" s="562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186</v>
      </c>
      <c r="M219" s="33" t="s">
        <v>80</v>
      </c>
      <c r="N219" s="33"/>
      <c r="O219" s="32">
        <v>45</v>
      </c>
      <c r="P219" s="75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9"/>
      <c r="R219" s="559"/>
      <c r="S219" s="559"/>
      <c r="T219" s="560"/>
      <c r="U219" s="34"/>
      <c r="V219" s="34"/>
      <c r="W219" s="35" t="s">
        <v>69</v>
      </c>
      <c r="X219" s="545">
        <v>0</v>
      </c>
      <c r="Y219" s="546">
        <f t="shared" si="15"/>
        <v>0</v>
      </c>
      <c r="Z219" s="36" t="str">
        <f t="shared" si="20"/>
        <v/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hidden="1" customHeight="1" x14ac:dyDescent="0.25">
      <c r="A220" s="54" t="s">
        <v>366</v>
      </c>
      <c r="B220" s="54" t="s">
        <v>367</v>
      </c>
      <c r="C220" s="31">
        <v>4301051668</v>
      </c>
      <c r="D220" s="561">
        <v>4680115880221</v>
      </c>
      <c r="E220" s="562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 t="s">
        <v>186</v>
      </c>
      <c r="M220" s="33" t="s">
        <v>80</v>
      </c>
      <c r="N220" s="33"/>
      <c r="O220" s="32">
        <v>45</v>
      </c>
      <c r="P220" s="86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9"/>
      <c r="R220" s="559"/>
      <c r="S220" s="559"/>
      <c r="T220" s="560"/>
      <c r="U220" s="34"/>
      <c r="V220" s="34"/>
      <c r="W220" s="35" t="s">
        <v>69</v>
      </c>
      <c r="X220" s="545">
        <v>0</v>
      </c>
      <c r="Y220" s="546">
        <f t="shared" si="15"/>
        <v>0</v>
      </c>
      <c r="Z220" s="36" t="str">
        <f t="shared" si="20"/>
        <v/>
      </c>
      <c r="AA220" s="56"/>
      <c r="AB220" s="57"/>
      <c r="AC220" s="271" t="s">
        <v>358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t="27" hidden="1" customHeight="1" x14ac:dyDescent="0.25">
      <c r="A221" s="54" t="s">
        <v>368</v>
      </c>
      <c r="B221" s="54" t="s">
        <v>369</v>
      </c>
      <c r="C221" s="31">
        <v>4301051945</v>
      </c>
      <c r="D221" s="561">
        <v>4680115880504</v>
      </c>
      <c r="E221" s="562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186</v>
      </c>
      <c r="M221" s="33" t="s">
        <v>86</v>
      </c>
      <c r="N221" s="33"/>
      <c r="O221" s="32">
        <v>40</v>
      </c>
      <c r="P221" s="84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9"/>
      <c r="R221" s="559"/>
      <c r="S221" s="559"/>
      <c r="T221" s="560"/>
      <c r="U221" s="34"/>
      <c r="V221" s="34"/>
      <c r="W221" s="35" t="s">
        <v>69</v>
      </c>
      <c r="X221" s="545">
        <v>0</v>
      </c>
      <c r="Y221" s="546">
        <f t="shared" si="15"/>
        <v>0</v>
      </c>
      <c r="Z221" s="36" t="str">
        <f t="shared" si="20"/>
        <v/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4301051410</v>
      </c>
      <c r="D222" s="561">
        <v>4680115882164</v>
      </c>
      <c r="E222" s="562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186</v>
      </c>
      <c r="M222" s="33" t="s">
        <v>80</v>
      </c>
      <c r="N222" s="33"/>
      <c r="O222" s="32">
        <v>40</v>
      </c>
      <c r="P222" s="68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9"/>
      <c r="R222" s="559"/>
      <c r="S222" s="559"/>
      <c r="T222" s="560"/>
      <c r="U222" s="34"/>
      <c r="V222" s="34"/>
      <c r="W222" s="35" t="s">
        <v>69</v>
      </c>
      <c r="X222" s="545">
        <v>0</v>
      </c>
      <c r="Y222" s="546">
        <f t="shared" si="15"/>
        <v>0</v>
      </c>
      <c r="Z222" s="36" t="str">
        <f t="shared" si="20"/>
        <v/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0</v>
      </c>
      <c r="BN222" s="64">
        <f t="shared" si="17"/>
        <v>0</v>
      </c>
      <c r="BO222" s="64">
        <f t="shared" si="18"/>
        <v>0</v>
      </c>
      <c r="BP222" s="64">
        <f t="shared" si="19"/>
        <v>0</v>
      </c>
    </row>
    <row r="223" spans="1:68" hidden="1" x14ac:dyDescent="0.2">
      <c r="A223" s="556"/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7"/>
      <c r="P223" s="551" t="s">
        <v>75</v>
      </c>
      <c r="Q223" s="552"/>
      <c r="R223" s="552"/>
      <c r="S223" s="552"/>
      <c r="T223" s="552"/>
      <c r="U223" s="552"/>
      <c r="V223" s="553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0</v>
      </c>
      <c r="Y223" s="547">
        <f>IFERROR(Y214/H214,"0")+IFERROR(Y215/H215,"0")+IFERROR(Y216/H216,"0")+IFERROR(Y217/H217,"0")+IFERROR(Y218/H218,"0")+IFERROR(Y219/H219,"0")+IFERROR(Y220/H220,"0")+IFERROR(Y221/H221,"0")+IFERROR(Y222/H222,"0")</f>
        <v>0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548"/>
      <c r="AB223" s="548"/>
      <c r="AC223" s="548"/>
    </row>
    <row r="224" spans="1:68" hidden="1" x14ac:dyDescent="0.2">
      <c r="A224" s="555"/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7"/>
      <c r="P224" s="551" t="s">
        <v>75</v>
      </c>
      <c r="Q224" s="552"/>
      <c r="R224" s="552"/>
      <c r="S224" s="552"/>
      <c r="T224" s="552"/>
      <c r="U224" s="552"/>
      <c r="V224" s="553"/>
      <c r="W224" s="37" t="s">
        <v>69</v>
      </c>
      <c r="X224" s="547">
        <f>IFERROR(SUM(X214:X222),"0")</f>
        <v>0</v>
      </c>
      <c r="Y224" s="547">
        <f>IFERROR(SUM(Y214:Y222),"0")</f>
        <v>0</v>
      </c>
      <c r="Z224" s="37"/>
      <c r="AA224" s="548"/>
      <c r="AB224" s="548"/>
      <c r="AC224" s="548"/>
    </row>
    <row r="225" spans="1:68" ht="14.25" hidden="1" customHeight="1" x14ac:dyDescent="0.25">
      <c r="A225" s="554" t="s">
        <v>160</v>
      </c>
      <c r="B225" s="555"/>
      <c r="C225" s="555"/>
      <c r="D225" s="555"/>
      <c r="E225" s="555"/>
      <c r="F225" s="555"/>
      <c r="G225" s="555"/>
      <c r="H225" s="555"/>
      <c r="I225" s="555"/>
      <c r="J225" s="555"/>
      <c r="K225" s="555"/>
      <c r="L225" s="555"/>
      <c r="M225" s="555"/>
      <c r="N225" s="555"/>
      <c r="O225" s="555"/>
      <c r="P225" s="555"/>
      <c r="Q225" s="555"/>
      <c r="R225" s="555"/>
      <c r="S225" s="555"/>
      <c r="T225" s="555"/>
      <c r="U225" s="555"/>
      <c r="V225" s="555"/>
      <c r="W225" s="555"/>
      <c r="X225" s="555"/>
      <c r="Y225" s="555"/>
      <c r="Z225" s="555"/>
      <c r="AA225" s="541"/>
      <c r="AB225" s="541"/>
      <c r="AC225" s="541"/>
    </row>
    <row r="226" spans="1:68" ht="27" hidden="1" customHeight="1" x14ac:dyDescent="0.25">
      <c r="A226" s="54" t="s">
        <v>373</v>
      </c>
      <c r="B226" s="54" t="s">
        <v>374</v>
      </c>
      <c r="C226" s="31">
        <v>4301060463</v>
      </c>
      <c r="D226" s="561">
        <v>4680115880818</v>
      </c>
      <c r="E226" s="562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6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9"/>
      <c r="R226" s="559"/>
      <c r="S226" s="559"/>
      <c r="T226" s="560"/>
      <c r="U226" s="34"/>
      <c r="V226" s="34"/>
      <c r="W226" s="35" t="s">
        <v>69</v>
      </c>
      <c r="X226" s="545">
        <v>0</v>
      </c>
      <c r="Y226" s="546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/>
      <c r="AK226" s="68">
        <v>0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hidden="1" customHeight="1" x14ac:dyDescent="0.25">
      <c r="A227" s="54" t="s">
        <v>376</v>
      </c>
      <c r="B227" s="54" t="s">
        <v>377</v>
      </c>
      <c r="C227" s="31">
        <v>4301060389</v>
      </c>
      <c r="D227" s="561">
        <v>4680115880801</v>
      </c>
      <c r="E227" s="562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6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9"/>
      <c r="R227" s="559"/>
      <c r="S227" s="559"/>
      <c r="T227" s="560"/>
      <c r="U227" s="34"/>
      <c r="V227" s="34"/>
      <c r="W227" s="35" t="s">
        <v>69</v>
      </c>
      <c r="X227" s="545">
        <v>0</v>
      </c>
      <c r="Y227" s="546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idden="1" x14ac:dyDescent="0.2">
      <c r="A228" s="556"/>
      <c r="B228" s="555"/>
      <c r="C228" s="555"/>
      <c r="D228" s="555"/>
      <c r="E228" s="555"/>
      <c r="F228" s="555"/>
      <c r="G228" s="555"/>
      <c r="H228" s="555"/>
      <c r="I228" s="555"/>
      <c r="J228" s="555"/>
      <c r="K228" s="555"/>
      <c r="L228" s="555"/>
      <c r="M228" s="555"/>
      <c r="N228" s="555"/>
      <c r="O228" s="557"/>
      <c r="P228" s="551" t="s">
        <v>75</v>
      </c>
      <c r="Q228" s="552"/>
      <c r="R228" s="552"/>
      <c r="S228" s="552"/>
      <c r="T228" s="552"/>
      <c r="U228" s="552"/>
      <c r="V228" s="553"/>
      <c r="W228" s="37" t="s">
        <v>76</v>
      </c>
      <c r="X228" s="547">
        <f>IFERROR(X226/H226,"0")+IFERROR(X227/H227,"0")</f>
        <v>0</v>
      </c>
      <c r="Y228" s="547">
        <f>IFERROR(Y226/H226,"0")+IFERROR(Y227/H227,"0")</f>
        <v>0</v>
      </c>
      <c r="Z228" s="547">
        <f>IFERROR(IF(Z226="",0,Z226),"0")+IFERROR(IF(Z227="",0,Z227),"0")</f>
        <v>0</v>
      </c>
      <c r="AA228" s="548"/>
      <c r="AB228" s="548"/>
      <c r="AC228" s="548"/>
    </row>
    <row r="229" spans="1:68" hidden="1" x14ac:dyDescent="0.2">
      <c r="A229" s="555"/>
      <c r="B229" s="555"/>
      <c r="C229" s="555"/>
      <c r="D229" s="555"/>
      <c r="E229" s="555"/>
      <c r="F229" s="555"/>
      <c r="G229" s="555"/>
      <c r="H229" s="555"/>
      <c r="I229" s="555"/>
      <c r="J229" s="555"/>
      <c r="K229" s="555"/>
      <c r="L229" s="555"/>
      <c r="M229" s="555"/>
      <c r="N229" s="555"/>
      <c r="O229" s="557"/>
      <c r="P229" s="551" t="s">
        <v>75</v>
      </c>
      <c r="Q229" s="552"/>
      <c r="R229" s="552"/>
      <c r="S229" s="552"/>
      <c r="T229" s="552"/>
      <c r="U229" s="552"/>
      <c r="V229" s="553"/>
      <c r="W229" s="37" t="s">
        <v>69</v>
      </c>
      <c r="X229" s="547">
        <f>IFERROR(SUM(X226:X227),"0")</f>
        <v>0</v>
      </c>
      <c r="Y229" s="547">
        <f>IFERROR(SUM(Y226:Y227),"0")</f>
        <v>0</v>
      </c>
      <c r="Z229" s="37"/>
      <c r="AA229" s="548"/>
      <c r="AB229" s="548"/>
      <c r="AC229" s="548"/>
    </row>
    <row r="230" spans="1:68" ht="16.5" hidden="1" customHeight="1" x14ac:dyDescent="0.25">
      <c r="A230" s="590" t="s">
        <v>379</v>
      </c>
      <c r="B230" s="555"/>
      <c r="C230" s="555"/>
      <c r="D230" s="555"/>
      <c r="E230" s="555"/>
      <c r="F230" s="555"/>
      <c r="G230" s="555"/>
      <c r="H230" s="555"/>
      <c r="I230" s="555"/>
      <c r="J230" s="555"/>
      <c r="K230" s="555"/>
      <c r="L230" s="555"/>
      <c r="M230" s="555"/>
      <c r="N230" s="555"/>
      <c r="O230" s="555"/>
      <c r="P230" s="555"/>
      <c r="Q230" s="555"/>
      <c r="R230" s="555"/>
      <c r="S230" s="555"/>
      <c r="T230" s="555"/>
      <c r="U230" s="555"/>
      <c r="V230" s="555"/>
      <c r="W230" s="555"/>
      <c r="X230" s="555"/>
      <c r="Y230" s="555"/>
      <c r="Z230" s="555"/>
      <c r="AA230" s="540"/>
      <c r="AB230" s="540"/>
      <c r="AC230" s="540"/>
    </row>
    <row r="231" spans="1:68" ht="14.25" hidden="1" customHeight="1" x14ac:dyDescent="0.25">
      <c r="A231" s="554" t="s">
        <v>99</v>
      </c>
      <c r="B231" s="555"/>
      <c r="C231" s="555"/>
      <c r="D231" s="555"/>
      <c r="E231" s="555"/>
      <c r="F231" s="555"/>
      <c r="G231" s="555"/>
      <c r="H231" s="555"/>
      <c r="I231" s="555"/>
      <c r="J231" s="555"/>
      <c r="K231" s="555"/>
      <c r="L231" s="555"/>
      <c r="M231" s="555"/>
      <c r="N231" s="555"/>
      <c r="O231" s="555"/>
      <c r="P231" s="555"/>
      <c r="Q231" s="555"/>
      <c r="R231" s="555"/>
      <c r="S231" s="555"/>
      <c r="T231" s="555"/>
      <c r="U231" s="555"/>
      <c r="V231" s="555"/>
      <c r="W231" s="555"/>
      <c r="X231" s="555"/>
      <c r="Y231" s="555"/>
      <c r="Z231" s="555"/>
      <c r="AA231" s="541"/>
      <c r="AB231" s="541"/>
      <c r="AC231" s="541"/>
    </row>
    <row r="232" spans="1:68" ht="27" hidden="1" customHeight="1" x14ac:dyDescent="0.25">
      <c r="A232" s="54" t="s">
        <v>380</v>
      </c>
      <c r="B232" s="54" t="s">
        <v>381</v>
      </c>
      <c r="C232" s="31">
        <v>4301011826</v>
      </c>
      <c r="D232" s="561">
        <v>4680115884137</v>
      </c>
      <c r="E232" s="562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/>
      <c r="M232" s="33" t="s">
        <v>104</v>
      </c>
      <c r="N232" s="33"/>
      <c r="O232" s="32">
        <v>55</v>
      </c>
      <c r="P232" s="71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9"/>
      <c r="R232" s="559"/>
      <c r="S232" s="559"/>
      <c r="T232" s="560"/>
      <c r="U232" s="34"/>
      <c r="V232" s="34"/>
      <c r="W232" s="35" t="s">
        <v>69</v>
      </c>
      <c r="X232" s="545">
        <v>0</v>
      </c>
      <c r="Y232" s="546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hidden="1" customHeight="1" x14ac:dyDescent="0.25">
      <c r="A233" s="54" t="s">
        <v>383</v>
      </c>
      <c r="B233" s="54" t="s">
        <v>384</v>
      </c>
      <c r="C233" s="31">
        <v>4301011724</v>
      </c>
      <c r="D233" s="561">
        <v>4680115884236</v>
      </c>
      <c r="E233" s="562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2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9"/>
      <c r="R233" s="559"/>
      <c r="S233" s="559"/>
      <c r="T233" s="560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4301011721</v>
      </c>
      <c r="D234" s="561">
        <v>4680115884175</v>
      </c>
      <c r="E234" s="562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82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9"/>
      <c r="R234" s="559"/>
      <c r="S234" s="559"/>
      <c r="T234" s="560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4301011824</v>
      </c>
      <c r="D235" s="561">
        <v>4680115884144</v>
      </c>
      <c r="E235" s="562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74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9"/>
      <c r="R235" s="559"/>
      <c r="S235" s="559"/>
      <c r="T235" s="560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389</v>
      </c>
      <c r="B236" s="54" t="s">
        <v>391</v>
      </c>
      <c r="C236" s="31">
        <v>4301012196</v>
      </c>
      <c r="D236" s="561">
        <v>4680115884144</v>
      </c>
      <c r="E236" s="562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82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9"/>
      <c r="R236" s="559"/>
      <c r="S236" s="559"/>
      <c r="T236" s="560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392</v>
      </c>
      <c r="B237" s="54" t="s">
        <v>393</v>
      </c>
      <c r="C237" s="31">
        <v>4301012149</v>
      </c>
      <c r="D237" s="561">
        <v>4680115886551</v>
      </c>
      <c r="E237" s="562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85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9"/>
      <c r="R237" s="559"/>
      <c r="S237" s="559"/>
      <c r="T237" s="560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4301012228</v>
      </c>
      <c r="D238" s="561">
        <v>4680115887282</v>
      </c>
      <c r="E238" s="562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2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9"/>
      <c r="R238" s="559"/>
      <c r="S238" s="559"/>
      <c r="T238" s="560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4301011722</v>
      </c>
      <c r="D239" s="561">
        <v>4680115884205</v>
      </c>
      <c r="E239" s="562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 t="s">
        <v>110</v>
      </c>
      <c r="M239" s="33" t="s">
        <v>104</v>
      </c>
      <c r="N239" s="33"/>
      <c r="O239" s="32">
        <v>55</v>
      </c>
      <c r="P239" s="75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9"/>
      <c r="R239" s="559"/>
      <c r="S239" s="559"/>
      <c r="T239" s="560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 t="s">
        <v>106</v>
      </c>
      <c r="AK239" s="68">
        <v>48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hidden="1" customHeight="1" x14ac:dyDescent="0.25">
      <c r="A240" s="54" t="s">
        <v>398</v>
      </c>
      <c r="B240" s="54" t="s">
        <v>400</v>
      </c>
      <c r="C240" s="31">
        <v>4301012195</v>
      </c>
      <c r="D240" s="561">
        <v>4680115884205</v>
      </c>
      <c r="E240" s="562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812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9"/>
      <c r="R240" s="559"/>
      <c r="S240" s="559"/>
      <c r="T240" s="560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hidden="1" x14ac:dyDescent="0.2">
      <c r="A241" s="556"/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7"/>
      <c r="P241" s="551" t="s">
        <v>75</v>
      </c>
      <c r="Q241" s="552"/>
      <c r="R241" s="552"/>
      <c r="S241" s="552"/>
      <c r="T241" s="552"/>
      <c r="U241" s="552"/>
      <c r="V241" s="553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0</v>
      </c>
      <c r="Y241" s="547">
        <f>IFERROR(Y232/H232,"0")+IFERROR(Y233/H233,"0")+IFERROR(Y234/H234,"0")+IFERROR(Y235/H235,"0")+IFERROR(Y236/H236,"0")+IFERROR(Y237/H237,"0")+IFERROR(Y238/H238,"0")+IFERROR(Y239/H239,"0")+IFERROR(Y240/H240,"0")</f>
        <v>0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48"/>
      <c r="AB241" s="548"/>
      <c r="AC241" s="548"/>
    </row>
    <row r="242" spans="1:68" hidden="1" x14ac:dyDescent="0.2">
      <c r="A242" s="555"/>
      <c r="B242" s="555"/>
      <c r="C242" s="555"/>
      <c r="D242" s="555"/>
      <c r="E242" s="555"/>
      <c r="F242" s="555"/>
      <c r="G242" s="555"/>
      <c r="H242" s="555"/>
      <c r="I242" s="555"/>
      <c r="J242" s="555"/>
      <c r="K242" s="555"/>
      <c r="L242" s="555"/>
      <c r="M242" s="555"/>
      <c r="N242" s="555"/>
      <c r="O242" s="557"/>
      <c r="P242" s="551" t="s">
        <v>75</v>
      </c>
      <c r="Q242" s="552"/>
      <c r="R242" s="552"/>
      <c r="S242" s="552"/>
      <c r="T242" s="552"/>
      <c r="U242" s="552"/>
      <c r="V242" s="553"/>
      <c r="W242" s="37" t="s">
        <v>69</v>
      </c>
      <c r="X242" s="547">
        <f>IFERROR(SUM(X232:X240),"0")</f>
        <v>0</v>
      </c>
      <c r="Y242" s="547">
        <f>IFERROR(SUM(Y232:Y240),"0")</f>
        <v>0</v>
      </c>
      <c r="Z242" s="37"/>
      <c r="AA242" s="548"/>
      <c r="AB242" s="548"/>
      <c r="AC242" s="548"/>
    </row>
    <row r="243" spans="1:68" ht="14.25" hidden="1" customHeight="1" x14ac:dyDescent="0.25">
      <c r="A243" s="554" t="s">
        <v>135</v>
      </c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5"/>
      <c r="P243" s="555"/>
      <c r="Q243" s="555"/>
      <c r="R243" s="555"/>
      <c r="S243" s="555"/>
      <c r="T243" s="555"/>
      <c r="U243" s="555"/>
      <c r="V243" s="555"/>
      <c r="W243" s="555"/>
      <c r="X243" s="555"/>
      <c r="Y243" s="555"/>
      <c r="Z243" s="555"/>
      <c r="AA243" s="541"/>
      <c r="AB243" s="541"/>
      <c r="AC243" s="541"/>
    </row>
    <row r="244" spans="1:68" ht="27" hidden="1" customHeight="1" x14ac:dyDescent="0.25">
      <c r="A244" s="54" t="s">
        <v>401</v>
      </c>
      <c r="B244" s="54" t="s">
        <v>402</v>
      </c>
      <c r="C244" s="31">
        <v>4301020377</v>
      </c>
      <c r="D244" s="561">
        <v>4680115885981</v>
      </c>
      <c r="E244" s="562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86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9"/>
      <c r="R244" s="559"/>
      <c r="S244" s="559"/>
      <c r="T244" s="560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56"/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7"/>
      <c r="P245" s="551" t="s">
        <v>75</v>
      </c>
      <c r="Q245" s="552"/>
      <c r="R245" s="552"/>
      <c r="S245" s="552"/>
      <c r="T245" s="552"/>
      <c r="U245" s="552"/>
      <c r="V245" s="553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hidden="1" x14ac:dyDescent="0.2">
      <c r="A246" s="555"/>
      <c r="B246" s="555"/>
      <c r="C246" s="555"/>
      <c r="D246" s="555"/>
      <c r="E246" s="555"/>
      <c r="F246" s="555"/>
      <c r="G246" s="555"/>
      <c r="H246" s="555"/>
      <c r="I246" s="555"/>
      <c r="J246" s="555"/>
      <c r="K246" s="555"/>
      <c r="L246" s="555"/>
      <c r="M246" s="555"/>
      <c r="N246" s="555"/>
      <c r="O246" s="557"/>
      <c r="P246" s="551" t="s">
        <v>75</v>
      </c>
      <c r="Q246" s="552"/>
      <c r="R246" s="552"/>
      <c r="S246" s="552"/>
      <c r="T246" s="552"/>
      <c r="U246" s="552"/>
      <c r="V246" s="553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hidden="1" customHeight="1" x14ac:dyDescent="0.25">
      <c r="A247" s="554" t="s">
        <v>404</v>
      </c>
      <c r="B247" s="555"/>
      <c r="C247" s="555"/>
      <c r="D247" s="555"/>
      <c r="E247" s="555"/>
      <c r="F247" s="555"/>
      <c r="G247" s="555"/>
      <c r="H247" s="555"/>
      <c r="I247" s="555"/>
      <c r="J247" s="555"/>
      <c r="K247" s="555"/>
      <c r="L247" s="555"/>
      <c r="M247" s="555"/>
      <c r="N247" s="555"/>
      <c r="O247" s="555"/>
      <c r="P247" s="555"/>
      <c r="Q247" s="555"/>
      <c r="R247" s="555"/>
      <c r="S247" s="555"/>
      <c r="T247" s="555"/>
      <c r="U247" s="555"/>
      <c r="V247" s="555"/>
      <c r="W247" s="555"/>
      <c r="X247" s="555"/>
      <c r="Y247" s="555"/>
      <c r="Z247" s="555"/>
      <c r="AA247" s="541"/>
      <c r="AB247" s="541"/>
      <c r="AC247" s="541"/>
    </row>
    <row r="248" spans="1:68" ht="27" hidden="1" customHeight="1" x14ac:dyDescent="0.25">
      <c r="A248" s="54" t="s">
        <v>405</v>
      </c>
      <c r="B248" s="54" t="s">
        <v>406</v>
      </c>
      <c r="C248" s="31">
        <v>4301040362</v>
      </c>
      <c r="D248" s="561">
        <v>4680115886803</v>
      </c>
      <c r="E248" s="562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4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9"/>
      <c r="R248" s="559"/>
      <c r="S248" s="559"/>
      <c r="T248" s="560"/>
      <c r="U248" s="34"/>
      <c r="V248" s="34"/>
      <c r="W248" s="35" t="s">
        <v>69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56"/>
      <c r="B249" s="555"/>
      <c r="C249" s="555"/>
      <c r="D249" s="555"/>
      <c r="E249" s="555"/>
      <c r="F249" s="555"/>
      <c r="G249" s="555"/>
      <c r="H249" s="555"/>
      <c r="I249" s="555"/>
      <c r="J249" s="555"/>
      <c r="K249" s="555"/>
      <c r="L249" s="555"/>
      <c r="M249" s="555"/>
      <c r="N249" s="555"/>
      <c r="O249" s="557"/>
      <c r="P249" s="551" t="s">
        <v>75</v>
      </c>
      <c r="Q249" s="552"/>
      <c r="R249" s="552"/>
      <c r="S249" s="552"/>
      <c r="T249" s="552"/>
      <c r="U249" s="552"/>
      <c r="V249" s="553"/>
      <c r="W249" s="37" t="s">
        <v>76</v>
      </c>
      <c r="X249" s="547">
        <f>IFERROR(X248/H248,"0")</f>
        <v>0</v>
      </c>
      <c r="Y249" s="547">
        <f>IFERROR(Y248/H248,"0")</f>
        <v>0</v>
      </c>
      <c r="Z249" s="547">
        <f>IFERROR(IF(Z248="",0,Z248),"0")</f>
        <v>0</v>
      </c>
      <c r="AA249" s="548"/>
      <c r="AB249" s="548"/>
      <c r="AC249" s="548"/>
    </row>
    <row r="250" spans="1:68" hidden="1" x14ac:dyDescent="0.2">
      <c r="A250" s="555"/>
      <c r="B250" s="555"/>
      <c r="C250" s="555"/>
      <c r="D250" s="555"/>
      <c r="E250" s="555"/>
      <c r="F250" s="555"/>
      <c r="G250" s="555"/>
      <c r="H250" s="555"/>
      <c r="I250" s="555"/>
      <c r="J250" s="555"/>
      <c r="K250" s="555"/>
      <c r="L250" s="555"/>
      <c r="M250" s="555"/>
      <c r="N250" s="555"/>
      <c r="O250" s="557"/>
      <c r="P250" s="551" t="s">
        <v>75</v>
      </c>
      <c r="Q250" s="552"/>
      <c r="R250" s="552"/>
      <c r="S250" s="552"/>
      <c r="T250" s="552"/>
      <c r="U250" s="552"/>
      <c r="V250" s="553"/>
      <c r="W250" s="37" t="s">
        <v>69</v>
      </c>
      <c r="X250" s="547">
        <f>IFERROR(SUM(X248:X248),"0")</f>
        <v>0</v>
      </c>
      <c r="Y250" s="547">
        <f>IFERROR(SUM(Y248:Y248),"0")</f>
        <v>0</v>
      </c>
      <c r="Z250" s="37"/>
      <c r="AA250" s="548"/>
      <c r="AB250" s="548"/>
      <c r="AC250" s="548"/>
    </row>
    <row r="251" spans="1:68" ht="14.25" hidden="1" customHeight="1" x14ac:dyDescent="0.25">
      <c r="A251" s="554" t="s">
        <v>408</v>
      </c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5"/>
      <c r="P251" s="555"/>
      <c r="Q251" s="555"/>
      <c r="R251" s="555"/>
      <c r="S251" s="555"/>
      <c r="T251" s="555"/>
      <c r="U251" s="555"/>
      <c r="V251" s="555"/>
      <c r="W251" s="555"/>
      <c r="X251" s="555"/>
      <c r="Y251" s="555"/>
      <c r="Z251" s="555"/>
      <c r="AA251" s="541"/>
      <c r="AB251" s="541"/>
      <c r="AC251" s="541"/>
    </row>
    <row r="252" spans="1:68" ht="27" hidden="1" customHeight="1" x14ac:dyDescent="0.25">
      <c r="A252" s="54" t="s">
        <v>409</v>
      </c>
      <c r="B252" s="54" t="s">
        <v>410</v>
      </c>
      <c r="C252" s="31">
        <v>4301041004</v>
      </c>
      <c r="D252" s="561">
        <v>4680115886704</v>
      </c>
      <c r="E252" s="562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82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9"/>
      <c r="R252" s="559"/>
      <c r="S252" s="559"/>
      <c r="T252" s="560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412</v>
      </c>
      <c r="B253" s="54" t="s">
        <v>413</v>
      </c>
      <c r="C253" s="31">
        <v>4301041008</v>
      </c>
      <c r="D253" s="561">
        <v>4680115886681</v>
      </c>
      <c r="E253" s="562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62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9"/>
      <c r="R253" s="559"/>
      <c r="S253" s="559"/>
      <c r="T253" s="560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414</v>
      </c>
      <c r="B254" s="54" t="s">
        <v>415</v>
      </c>
      <c r="C254" s="31">
        <v>4301041007</v>
      </c>
      <c r="D254" s="561">
        <v>4680115886735</v>
      </c>
      <c r="E254" s="562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69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9"/>
      <c r="R254" s="559"/>
      <c r="S254" s="559"/>
      <c r="T254" s="560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416</v>
      </c>
      <c r="B255" s="54" t="s">
        <v>417</v>
      </c>
      <c r="C255" s="31">
        <v>4301041006</v>
      </c>
      <c r="D255" s="561">
        <v>4680115886728</v>
      </c>
      <c r="E255" s="562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79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9"/>
      <c r="R255" s="559"/>
      <c r="S255" s="559"/>
      <c r="T255" s="560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4301041005</v>
      </c>
      <c r="D256" s="561">
        <v>4680115886711</v>
      </c>
      <c r="E256" s="562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69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9"/>
      <c r="R256" s="559"/>
      <c r="S256" s="559"/>
      <c r="T256" s="560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56"/>
      <c r="B257" s="555"/>
      <c r="C257" s="555"/>
      <c r="D257" s="555"/>
      <c r="E257" s="555"/>
      <c r="F257" s="555"/>
      <c r="G257" s="555"/>
      <c r="H257" s="555"/>
      <c r="I257" s="555"/>
      <c r="J257" s="555"/>
      <c r="K257" s="555"/>
      <c r="L257" s="555"/>
      <c r="M257" s="555"/>
      <c r="N257" s="555"/>
      <c r="O257" s="557"/>
      <c r="P257" s="551" t="s">
        <v>75</v>
      </c>
      <c r="Q257" s="552"/>
      <c r="R257" s="552"/>
      <c r="S257" s="552"/>
      <c r="T257" s="552"/>
      <c r="U257" s="552"/>
      <c r="V257" s="553"/>
      <c r="W257" s="37" t="s">
        <v>76</v>
      </c>
      <c r="X257" s="547">
        <f>IFERROR(X252/H252,"0")+IFERROR(X253/H253,"0")+IFERROR(X254/H254,"0")+IFERROR(X255/H255,"0")+IFERROR(X256/H256,"0")</f>
        <v>0</v>
      </c>
      <c r="Y257" s="547">
        <f>IFERROR(Y252/H252,"0")+IFERROR(Y253/H253,"0")+IFERROR(Y254/H254,"0")+IFERROR(Y255/H255,"0")+IFERROR(Y256/H256,"0")</f>
        <v>0</v>
      </c>
      <c r="Z257" s="547">
        <f>IFERROR(IF(Z252="",0,Z252),"0")+IFERROR(IF(Z253="",0,Z253),"0")+IFERROR(IF(Z254="",0,Z254),"0")+IFERROR(IF(Z255="",0,Z255),"0")+IFERROR(IF(Z256="",0,Z256),"0")</f>
        <v>0</v>
      </c>
      <c r="AA257" s="548"/>
      <c r="AB257" s="548"/>
      <c r="AC257" s="548"/>
    </row>
    <row r="258" spans="1:68" hidden="1" x14ac:dyDescent="0.2">
      <c r="A258" s="555"/>
      <c r="B258" s="555"/>
      <c r="C258" s="555"/>
      <c r="D258" s="555"/>
      <c r="E258" s="555"/>
      <c r="F258" s="555"/>
      <c r="G258" s="555"/>
      <c r="H258" s="555"/>
      <c r="I258" s="555"/>
      <c r="J258" s="555"/>
      <c r="K258" s="555"/>
      <c r="L258" s="555"/>
      <c r="M258" s="555"/>
      <c r="N258" s="555"/>
      <c r="O258" s="557"/>
      <c r="P258" s="551" t="s">
        <v>75</v>
      </c>
      <c r="Q258" s="552"/>
      <c r="R258" s="552"/>
      <c r="S258" s="552"/>
      <c r="T258" s="552"/>
      <c r="U258" s="552"/>
      <c r="V258" s="553"/>
      <c r="W258" s="37" t="s">
        <v>69</v>
      </c>
      <c r="X258" s="547">
        <f>IFERROR(SUM(X252:X256),"0")</f>
        <v>0</v>
      </c>
      <c r="Y258" s="547">
        <f>IFERROR(SUM(Y252:Y256),"0")</f>
        <v>0</v>
      </c>
      <c r="Z258" s="37"/>
      <c r="AA258" s="548"/>
      <c r="AB258" s="548"/>
      <c r="AC258" s="548"/>
    </row>
    <row r="259" spans="1:68" ht="16.5" hidden="1" customHeight="1" x14ac:dyDescent="0.25">
      <c r="A259" s="590" t="s">
        <v>420</v>
      </c>
      <c r="B259" s="555"/>
      <c r="C259" s="555"/>
      <c r="D259" s="555"/>
      <c r="E259" s="555"/>
      <c r="F259" s="555"/>
      <c r="G259" s="555"/>
      <c r="H259" s="555"/>
      <c r="I259" s="555"/>
      <c r="J259" s="555"/>
      <c r="K259" s="555"/>
      <c r="L259" s="555"/>
      <c r="M259" s="555"/>
      <c r="N259" s="555"/>
      <c r="O259" s="555"/>
      <c r="P259" s="555"/>
      <c r="Q259" s="555"/>
      <c r="R259" s="555"/>
      <c r="S259" s="555"/>
      <c r="T259" s="555"/>
      <c r="U259" s="555"/>
      <c r="V259" s="555"/>
      <c r="W259" s="555"/>
      <c r="X259" s="555"/>
      <c r="Y259" s="555"/>
      <c r="Z259" s="555"/>
      <c r="AA259" s="540"/>
      <c r="AB259" s="540"/>
      <c r="AC259" s="540"/>
    </row>
    <row r="260" spans="1:68" ht="14.25" hidden="1" customHeight="1" x14ac:dyDescent="0.25">
      <c r="A260" s="554" t="s">
        <v>99</v>
      </c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5"/>
      <c r="P260" s="555"/>
      <c r="Q260" s="555"/>
      <c r="R260" s="555"/>
      <c r="S260" s="555"/>
      <c r="T260" s="555"/>
      <c r="U260" s="555"/>
      <c r="V260" s="555"/>
      <c r="W260" s="555"/>
      <c r="X260" s="555"/>
      <c r="Y260" s="555"/>
      <c r="Z260" s="555"/>
      <c r="AA260" s="541"/>
      <c r="AB260" s="541"/>
      <c r="AC260" s="541"/>
    </row>
    <row r="261" spans="1:68" ht="27" hidden="1" customHeight="1" x14ac:dyDescent="0.25">
      <c r="A261" s="54" t="s">
        <v>421</v>
      </c>
      <c r="B261" s="54" t="s">
        <v>422</v>
      </c>
      <c r="C261" s="31">
        <v>4301011855</v>
      </c>
      <c r="D261" s="561">
        <v>4680115885837</v>
      </c>
      <c r="E261" s="562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 t="s">
        <v>103</v>
      </c>
      <c r="M261" s="33" t="s">
        <v>104</v>
      </c>
      <c r="N261" s="33"/>
      <c r="O261" s="32">
        <v>55</v>
      </c>
      <c r="P261" s="70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9"/>
      <c r="R261" s="559"/>
      <c r="S261" s="559"/>
      <c r="T261" s="560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 t="s">
        <v>106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424</v>
      </c>
      <c r="B262" s="54" t="s">
        <v>425</v>
      </c>
      <c r="C262" s="31">
        <v>4301011853</v>
      </c>
      <c r="D262" s="561">
        <v>4680115885851</v>
      </c>
      <c r="E262" s="562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59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9"/>
      <c r="R262" s="559"/>
      <c r="S262" s="559"/>
      <c r="T262" s="560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427</v>
      </c>
      <c r="B263" s="54" t="s">
        <v>428</v>
      </c>
      <c r="C263" s="31">
        <v>4301011850</v>
      </c>
      <c r="D263" s="561">
        <v>4680115885806</v>
      </c>
      <c r="E263" s="562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 t="s">
        <v>103</v>
      </c>
      <c r="M263" s="33" t="s">
        <v>104</v>
      </c>
      <c r="N263" s="33"/>
      <c r="O263" s="32">
        <v>55</v>
      </c>
      <c r="P263" s="60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9"/>
      <c r="R263" s="559"/>
      <c r="S263" s="559"/>
      <c r="T263" s="560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 t="s">
        <v>106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4301011852</v>
      </c>
      <c r="D264" s="561">
        <v>4680115885844</v>
      </c>
      <c r="E264" s="562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7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9"/>
      <c r="R264" s="559"/>
      <c r="S264" s="559"/>
      <c r="T264" s="560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433</v>
      </c>
      <c r="B265" s="54" t="s">
        <v>434</v>
      </c>
      <c r="C265" s="31">
        <v>4301011851</v>
      </c>
      <c r="D265" s="561">
        <v>4680115885820</v>
      </c>
      <c r="E265" s="562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84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9"/>
      <c r="R265" s="559"/>
      <c r="S265" s="559"/>
      <c r="T265" s="560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56"/>
      <c r="B266" s="555"/>
      <c r="C266" s="555"/>
      <c r="D266" s="555"/>
      <c r="E266" s="555"/>
      <c r="F266" s="555"/>
      <c r="G266" s="555"/>
      <c r="H266" s="555"/>
      <c r="I266" s="555"/>
      <c r="J266" s="555"/>
      <c r="K266" s="555"/>
      <c r="L266" s="555"/>
      <c r="M266" s="555"/>
      <c r="N266" s="555"/>
      <c r="O266" s="557"/>
      <c r="P266" s="551" t="s">
        <v>75</v>
      </c>
      <c r="Q266" s="552"/>
      <c r="R266" s="552"/>
      <c r="S266" s="552"/>
      <c r="T266" s="552"/>
      <c r="U266" s="552"/>
      <c r="V266" s="553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hidden="1" x14ac:dyDescent="0.2">
      <c r="A267" s="555"/>
      <c r="B267" s="555"/>
      <c r="C267" s="555"/>
      <c r="D267" s="555"/>
      <c r="E267" s="555"/>
      <c r="F267" s="555"/>
      <c r="G267" s="555"/>
      <c r="H267" s="555"/>
      <c r="I267" s="555"/>
      <c r="J267" s="555"/>
      <c r="K267" s="555"/>
      <c r="L267" s="555"/>
      <c r="M267" s="555"/>
      <c r="N267" s="555"/>
      <c r="O267" s="557"/>
      <c r="P267" s="551" t="s">
        <v>75</v>
      </c>
      <c r="Q267" s="552"/>
      <c r="R267" s="552"/>
      <c r="S267" s="552"/>
      <c r="T267" s="552"/>
      <c r="U267" s="552"/>
      <c r="V267" s="553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hidden="1" customHeight="1" x14ac:dyDescent="0.25">
      <c r="A268" s="590" t="s">
        <v>436</v>
      </c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5"/>
      <c r="P268" s="555"/>
      <c r="Q268" s="555"/>
      <c r="R268" s="555"/>
      <c r="S268" s="555"/>
      <c r="T268" s="555"/>
      <c r="U268" s="555"/>
      <c r="V268" s="555"/>
      <c r="W268" s="555"/>
      <c r="X268" s="555"/>
      <c r="Y268" s="555"/>
      <c r="Z268" s="555"/>
      <c r="AA268" s="540"/>
      <c r="AB268" s="540"/>
      <c r="AC268" s="540"/>
    </row>
    <row r="269" spans="1:68" ht="14.25" hidden="1" customHeight="1" x14ac:dyDescent="0.25">
      <c r="A269" s="554" t="s">
        <v>99</v>
      </c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5"/>
      <c r="P269" s="555"/>
      <c r="Q269" s="555"/>
      <c r="R269" s="555"/>
      <c r="S269" s="555"/>
      <c r="T269" s="555"/>
      <c r="U269" s="555"/>
      <c r="V269" s="555"/>
      <c r="W269" s="555"/>
      <c r="X269" s="555"/>
      <c r="Y269" s="555"/>
      <c r="Z269" s="555"/>
      <c r="AA269" s="541"/>
      <c r="AB269" s="541"/>
      <c r="AC269" s="541"/>
    </row>
    <row r="270" spans="1:68" ht="27" hidden="1" customHeight="1" x14ac:dyDescent="0.25">
      <c r="A270" s="54" t="s">
        <v>437</v>
      </c>
      <c r="B270" s="54" t="s">
        <v>438</v>
      </c>
      <c r="C270" s="31">
        <v>4301011223</v>
      </c>
      <c r="D270" s="561">
        <v>4607091383423</v>
      </c>
      <c r="E270" s="562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65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9"/>
      <c r="R270" s="559"/>
      <c r="S270" s="559"/>
      <c r="T270" s="560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439</v>
      </c>
      <c r="B271" s="54" t="s">
        <v>440</v>
      </c>
      <c r="C271" s="31">
        <v>4301012199</v>
      </c>
      <c r="D271" s="561">
        <v>4680115886957</v>
      </c>
      <c r="E271" s="562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84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9"/>
      <c r="R271" s="559"/>
      <c r="S271" s="559"/>
      <c r="T271" s="560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442</v>
      </c>
      <c r="B272" s="54" t="s">
        <v>443</v>
      </c>
      <c r="C272" s="31">
        <v>4301012098</v>
      </c>
      <c r="D272" s="561">
        <v>4680115885660</v>
      </c>
      <c r="E272" s="562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5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9"/>
      <c r="R272" s="559"/>
      <c r="S272" s="559"/>
      <c r="T272" s="560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444</v>
      </c>
      <c r="B273" s="54" t="s">
        <v>445</v>
      </c>
      <c r="C273" s="31">
        <v>4301012176</v>
      </c>
      <c r="D273" s="561">
        <v>4680115886773</v>
      </c>
      <c r="E273" s="562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79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9"/>
      <c r="R273" s="559"/>
      <c r="S273" s="559"/>
      <c r="T273" s="560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6"/>
      <c r="B274" s="555"/>
      <c r="C274" s="555"/>
      <c r="D274" s="555"/>
      <c r="E274" s="555"/>
      <c r="F274" s="555"/>
      <c r="G274" s="555"/>
      <c r="H274" s="555"/>
      <c r="I274" s="555"/>
      <c r="J274" s="555"/>
      <c r="K274" s="555"/>
      <c r="L274" s="555"/>
      <c r="M274" s="555"/>
      <c r="N274" s="555"/>
      <c r="O274" s="557"/>
      <c r="P274" s="551" t="s">
        <v>75</v>
      </c>
      <c r="Q274" s="552"/>
      <c r="R274" s="552"/>
      <c r="S274" s="552"/>
      <c r="T274" s="552"/>
      <c r="U274" s="552"/>
      <c r="V274" s="553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hidden="1" x14ac:dyDescent="0.2">
      <c r="A275" s="555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7"/>
      <c r="P275" s="551" t="s">
        <v>75</v>
      </c>
      <c r="Q275" s="552"/>
      <c r="R275" s="552"/>
      <c r="S275" s="552"/>
      <c r="T275" s="552"/>
      <c r="U275" s="552"/>
      <c r="V275" s="553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hidden="1" customHeight="1" x14ac:dyDescent="0.25">
      <c r="A276" s="590" t="s">
        <v>447</v>
      </c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5"/>
      <c r="P276" s="555"/>
      <c r="Q276" s="555"/>
      <c r="R276" s="555"/>
      <c r="S276" s="555"/>
      <c r="T276" s="555"/>
      <c r="U276" s="555"/>
      <c r="V276" s="555"/>
      <c r="W276" s="555"/>
      <c r="X276" s="555"/>
      <c r="Y276" s="555"/>
      <c r="Z276" s="555"/>
      <c r="AA276" s="540"/>
      <c r="AB276" s="540"/>
      <c r="AC276" s="540"/>
    </row>
    <row r="277" spans="1:68" ht="14.25" hidden="1" customHeight="1" x14ac:dyDescent="0.25">
      <c r="A277" s="554" t="s">
        <v>77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41"/>
      <c r="AB277" s="541"/>
      <c r="AC277" s="541"/>
    </row>
    <row r="278" spans="1:68" ht="27" hidden="1" customHeight="1" x14ac:dyDescent="0.25">
      <c r="A278" s="54" t="s">
        <v>448</v>
      </c>
      <c r="B278" s="54" t="s">
        <v>449</v>
      </c>
      <c r="C278" s="31">
        <v>4301051893</v>
      </c>
      <c r="D278" s="561">
        <v>4680115886186</v>
      </c>
      <c r="E278" s="562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70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9"/>
      <c r="R278" s="559"/>
      <c r="S278" s="559"/>
      <c r="T278" s="560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451</v>
      </c>
      <c r="B279" s="54" t="s">
        <v>452</v>
      </c>
      <c r="C279" s="31">
        <v>4301051795</v>
      </c>
      <c r="D279" s="561">
        <v>4680115881228</v>
      </c>
      <c r="E279" s="562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186</v>
      </c>
      <c r="M279" s="33" t="s">
        <v>86</v>
      </c>
      <c r="N279" s="33"/>
      <c r="O279" s="32">
        <v>40</v>
      </c>
      <c r="P279" s="6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9"/>
      <c r="R279" s="559"/>
      <c r="S279" s="559"/>
      <c r="T279" s="560"/>
      <c r="U279" s="34"/>
      <c r="V279" s="34"/>
      <c r="W279" s="35" t="s">
        <v>69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454</v>
      </c>
      <c r="B280" s="54" t="s">
        <v>455</v>
      </c>
      <c r="C280" s="31">
        <v>4301051388</v>
      </c>
      <c r="D280" s="561">
        <v>4680115881211</v>
      </c>
      <c r="E280" s="562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 t="s">
        <v>186</v>
      </c>
      <c r="M280" s="33" t="s">
        <v>80</v>
      </c>
      <c r="N280" s="33"/>
      <c r="O280" s="32">
        <v>45</v>
      </c>
      <c r="P280" s="77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9"/>
      <c r="R280" s="559"/>
      <c r="S280" s="559"/>
      <c r="T280" s="560"/>
      <c r="U280" s="34"/>
      <c r="V280" s="34"/>
      <c r="W280" s="35" t="s">
        <v>69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450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6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7"/>
      <c r="P281" s="551" t="s">
        <v>75</v>
      </c>
      <c r="Q281" s="552"/>
      <c r="R281" s="552"/>
      <c r="S281" s="552"/>
      <c r="T281" s="552"/>
      <c r="U281" s="552"/>
      <c r="V281" s="553"/>
      <c r="W281" s="37" t="s">
        <v>76</v>
      </c>
      <c r="X281" s="547">
        <f>IFERROR(X278/H278,"0")+IFERROR(X279/H279,"0")+IFERROR(X280/H280,"0")</f>
        <v>0</v>
      </c>
      <c r="Y281" s="547">
        <f>IFERROR(Y278/H278,"0")+IFERROR(Y279/H279,"0")+IFERROR(Y280/H280,"0")</f>
        <v>0</v>
      </c>
      <c r="Z281" s="547">
        <f>IFERROR(IF(Z278="",0,Z278),"0")+IFERROR(IF(Z279="",0,Z279),"0")+IFERROR(IF(Z280="",0,Z280),"0")</f>
        <v>0</v>
      </c>
      <c r="AA281" s="548"/>
      <c r="AB281" s="548"/>
      <c r="AC281" s="548"/>
    </row>
    <row r="282" spans="1:68" hidden="1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7"/>
      <c r="P282" s="551" t="s">
        <v>75</v>
      </c>
      <c r="Q282" s="552"/>
      <c r="R282" s="552"/>
      <c r="S282" s="552"/>
      <c r="T282" s="552"/>
      <c r="U282" s="552"/>
      <c r="V282" s="553"/>
      <c r="W282" s="37" t="s">
        <v>69</v>
      </c>
      <c r="X282" s="547">
        <f>IFERROR(SUM(X278:X280),"0")</f>
        <v>0</v>
      </c>
      <c r="Y282" s="547">
        <f>IFERROR(SUM(Y278:Y280),"0")</f>
        <v>0</v>
      </c>
      <c r="Z282" s="37"/>
      <c r="AA282" s="548"/>
      <c r="AB282" s="548"/>
      <c r="AC282" s="548"/>
    </row>
    <row r="283" spans="1:68" ht="16.5" hidden="1" customHeight="1" x14ac:dyDescent="0.25">
      <c r="A283" s="590" t="s">
        <v>456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40"/>
      <c r="AB283" s="540"/>
      <c r="AC283" s="540"/>
    </row>
    <row r="284" spans="1:68" ht="14.25" hidden="1" customHeight="1" x14ac:dyDescent="0.25">
      <c r="A284" s="554" t="s">
        <v>64</v>
      </c>
      <c r="B284" s="555"/>
      <c r="C284" s="555"/>
      <c r="D284" s="555"/>
      <c r="E284" s="555"/>
      <c r="F284" s="555"/>
      <c r="G284" s="555"/>
      <c r="H284" s="555"/>
      <c r="I284" s="555"/>
      <c r="J284" s="555"/>
      <c r="K284" s="555"/>
      <c r="L284" s="555"/>
      <c r="M284" s="555"/>
      <c r="N284" s="555"/>
      <c r="O284" s="555"/>
      <c r="P284" s="555"/>
      <c r="Q284" s="555"/>
      <c r="R284" s="555"/>
      <c r="S284" s="555"/>
      <c r="T284" s="555"/>
      <c r="U284" s="555"/>
      <c r="V284" s="555"/>
      <c r="W284" s="555"/>
      <c r="X284" s="555"/>
      <c r="Y284" s="555"/>
      <c r="Z284" s="555"/>
      <c r="AA284" s="541"/>
      <c r="AB284" s="541"/>
      <c r="AC284" s="541"/>
    </row>
    <row r="285" spans="1:68" ht="27" hidden="1" customHeight="1" x14ac:dyDescent="0.25">
      <c r="A285" s="54" t="s">
        <v>457</v>
      </c>
      <c r="B285" s="54" t="s">
        <v>458</v>
      </c>
      <c r="C285" s="31">
        <v>4301031307</v>
      </c>
      <c r="D285" s="561">
        <v>4680115880344</v>
      </c>
      <c r="E285" s="562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4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9"/>
      <c r="R285" s="559"/>
      <c r="S285" s="559"/>
      <c r="T285" s="560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460</v>
      </c>
      <c r="B286" s="54" t="s">
        <v>461</v>
      </c>
      <c r="C286" s="31">
        <v>4301031429</v>
      </c>
      <c r="D286" s="561">
        <v>4680115886919</v>
      </c>
      <c r="E286" s="562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79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9"/>
      <c r="R286" s="559"/>
      <c r="S286" s="559"/>
      <c r="T286" s="560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56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7"/>
      <c r="P287" s="551" t="s">
        <v>75</v>
      </c>
      <c r="Q287" s="552"/>
      <c r="R287" s="552"/>
      <c r="S287" s="552"/>
      <c r="T287" s="552"/>
      <c r="U287" s="552"/>
      <c r="V287" s="553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hidden="1" x14ac:dyDescent="0.2">
      <c r="A288" s="555"/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7"/>
      <c r="P288" s="551" t="s">
        <v>75</v>
      </c>
      <c r="Q288" s="552"/>
      <c r="R288" s="552"/>
      <c r="S288" s="552"/>
      <c r="T288" s="552"/>
      <c r="U288" s="552"/>
      <c r="V288" s="553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hidden="1" customHeight="1" x14ac:dyDescent="0.25">
      <c r="A289" s="554" t="s">
        <v>77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41"/>
      <c r="AB289" s="541"/>
      <c r="AC289" s="541"/>
    </row>
    <row r="290" spans="1:68" ht="37.5" hidden="1" customHeight="1" x14ac:dyDescent="0.25">
      <c r="A290" s="54" t="s">
        <v>463</v>
      </c>
      <c r="B290" s="54" t="s">
        <v>464</v>
      </c>
      <c r="C290" s="31">
        <v>4301051782</v>
      </c>
      <c r="D290" s="561">
        <v>4680115884618</v>
      </c>
      <c r="E290" s="562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83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9"/>
      <c r="R290" s="559"/>
      <c r="S290" s="559"/>
      <c r="T290" s="560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466</v>
      </c>
      <c r="B291" s="54" t="s">
        <v>467</v>
      </c>
      <c r="C291" s="31">
        <v>4301052057</v>
      </c>
      <c r="D291" s="561">
        <v>4680115887114</v>
      </c>
      <c r="E291" s="562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59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9"/>
      <c r="R291" s="559"/>
      <c r="S291" s="559"/>
      <c r="T291" s="560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56"/>
      <c r="B292" s="555"/>
      <c r="C292" s="555"/>
      <c r="D292" s="555"/>
      <c r="E292" s="555"/>
      <c r="F292" s="555"/>
      <c r="G292" s="555"/>
      <c r="H292" s="555"/>
      <c r="I292" s="555"/>
      <c r="J292" s="555"/>
      <c r="K292" s="555"/>
      <c r="L292" s="555"/>
      <c r="M292" s="555"/>
      <c r="N292" s="555"/>
      <c r="O292" s="557"/>
      <c r="P292" s="551" t="s">
        <v>75</v>
      </c>
      <c r="Q292" s="552"/>
      <c r="R292" s="552"/>
      <c r="S292" s="552"/>
      <c r="T292" s="552"/>
      <c r="U292" s="552"/>
      <c r="V292" s="553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hidden="1" x14ac:dyDescent="0.2">
      <c r="A293" s="555"/>
      <c r="B293" s="555"/>
      <c r="C293" s="555"/>
      <c r="D293" s="555"/>
      <c r="E293" s="555"/>
      <c r="F293" s="555"/>
      <c r="G293" s="555"/>
      <c r="H293" s="555"/>
      <c r="I293" s="555"/>
      <c r="J293" s="555"/>
      <c r="K293" s="555"/>
      <c r="L293" s="555"/>
      <c r="M293" s="555"/>
      <c r="N293" s="555"/>
      <c r="O293" s="557"/>
      <c r="P293" s="551" t="s">
        <v>75</v>
      </c>
      <c r="Q293" s="552"/>
      <c r="R293" s="552"/>
      <c r="S293" s="552"/>
      <c r="T293" s="552"/>
      <c r="U293" s="552"/>
      <c r="V293" s="553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hidden="1" customHeight="1" x14ac:dyDescent="0.25">
      <c r="A294" s="590" t="s">
        <v>469</v>
      </c>
      <c r="B294" s="555"/>
      <c r="C294" s="555"/>
      <c r="D294" s="555"/>
      <c r="E294" s="555"/>
      <c r="F294" s="555"/>
      <c r="G294" s="555"/>
      <c r="H294" s="555"/>
      <c r="I294" s="555"/>
      <c r="J294" s="555"/>
      <c r="K294" s="555"/>
      <c r="L294" s="555"/>
      <c r="M294" s="555"/>
      <c r="N294" s="555"/>
      <c r="O294" s="555"/>
      <c r="P294" s="555"/>
      <c r="Q294" s="555"/>
      <c r="R294" s="555"/>
      <c r="S294" s="555"/>
      <c r="T294" s="555"/>
      <c r="U294" s="555"/>
      <c r="V294" s="555"/>
      <c r="W294" s="555"/>
      <c r="X294" s="555"/>
      <c r="Y294" s="555"/>
      <c r="Z294" s="555"/>
      <c r="AA294" s="540"/>
      <c r="AB294" s="540"/>
      <c r="AC294" s="540"/>
    </row>
    <row r="295" spans="1:68" ht="14.25" hidden="1" customHeight="1" x14ac:dyDescent="0.25">
      <c r="A295" s="554" t="s">
        <v>99</v>
      </c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5"/>
      <c r="P295" s="555"/>
      <c r="Q295" s="555"/>
      <c r="R295" s="555"/>
      <c r="S295" s="555"/>
      <c r="T295" s="555"/>
      <c r="U295" s="555"/>
      <c r="V295" s="555"/>
      <c r="W295" s="555"/>
      <c r="X295" s="555"/>
      <c r="Y295" s="555"/>
      <c r="Z295" s="555"/>
      <c r="AA295" s="541"/>
      <c r="AB295" s="541"/>
      <c r="AC295" s="541"/>
    </row>
    <row r="296" spans="1:68" ht="27" hidden="1" customHeight="1" x14ac:dyDescent="0.25">
      <c r="A296" s="54" t="s">
        <v>470</v>
      </c>
      <c r="B296" s="54" t="s">
        <v>471</v>
      </c>
      <c r="C296" s="31">
        <v>4301012024</v>
      </c>
      <c r="D296" s="561">
        <v>4680115885615</v>
      </c>
      <c r="E296" s="562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4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9"/>
      <c r="R296" s="559"/>
      <c r="S296" s="559"/>
      <c r="T296" s="560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hidden="1" customHeight="1" x14ac:dyDescent="0.25">
      <c r="A297" s="54" t="s">
        <v>473</v>
      </c>
      <c r="B297" s="54" t="s">
        <v>474</v>
      </c>
      <c r="C297" s="31">
        <v>4301011858</v>
      </c>
      <c r="D297" s="561">
        <v>4680115885646</v>
      </c>
      <c r="E297" s="562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59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9"/>
      <c r="R297" s="559"/>
      <c r="S297" s="559"/>
      <c r="T297" s="560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476</v>
      </c>
      <c r="B298" s="54" t="s">
        <v>477</v>
      </c>
      <c r="C298" s="31">
        <v>4301012016</v>
      </c>
      <c r="D298" s="561">
        <v>4680115885554</v>
      </c>
      <c r="E298" s="562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6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9"/>
      <c r="R298" s="559"/>
      <c r="S298" s="559"/>
      <c r="T298" s="560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4301011857</v>
      </c>
      <c r="D299" s="561">
        <v>4680115885622</v>
      </c>
      <c r="E299" s="562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1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9"/>
      <c r="R299" s="559"/>
      <c r="S299" s="559"/>
      <c r="T299" s="560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481</v>
      </c>
      <c r="B300" s="54" t="s">
        <v>482</v>
      </c>
      <c r="C300" s="31">
        <v>4301011859</v>
      </c>
      <c r="D300" s="561">
        <v>4680115885608</v>
      </c>
      <c r="E300" s="562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76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9"/>
      <c r="R300" s="559"/>
      <c r="S300" s="559"/>
      <c r="T300" s="560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idden="1" x14ac:dyDescent="0.2">
      <c r="A301" s="556"/>
      <c r="B301" s="555"/>
      <c r="C301" s="555"/>
      <c r="D301" s="555"/>
      <c r="E301" s="555"/>
      <c r="F301" s="555"/>
      <c r="G301" s="555"/>
      <c r="H301" s="555"/>
      <c r="I301" s="555"/>
      <c r="J301" s="555"/>
      <c r="K301" s="555"/>
      <c r="L301" s="555"/>
      <c r="M301" s="555"/>
      <c r="N301" s="555"/>
      <c r="O301" s="557"/>
      <c r="P301" s="551" t="s">
        <v>75</v>
      </c>
      <c r="Q301" s="552"/>
      <c r="R301" s="552"/>
      <c r="S301" s="552"/>
      <c r="T301" s="552"/>
      <c r="U301" s="552"/>
      <c r="V301" s="553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hidden="1" x14ac:dyDescent="0.2">
      <c r="A302" s="555"/>
      <c r="B302" s="555"/>
      <c r="C302" s="555"/>
      <c r="D302" s="555"/>
      <c r="E302" s="555"/>
      <c r="F302" s="555"/>
      <c r="G302" s="555"/>
      <c r="H302" s="555"/>
      <c r="I302" s="555"/>
      <c r="J302" s="555"/>
      <c r="K302" s="555"/>
      <c r="L302" s="555"/>
      <c r="M302" s="555"/>
      <c r="N302" s="555"/>
      <c r="O302" s="557"/>
      <c r="P302" s="551" t="s">
        <v>75</v>
      </c>
      <c r="Q302" s="552"/>
      <c r="R302" s="552"/>
      <c r="S302" s="552"/>
      <c r="T302" s="552"/>
      <c r="U302" s="552"/>
      <c r="V302" s="553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hidden="1" customHeight="1" x14ac:dyDescent="0.25">
      <c r="A303" s="554" t="s">
        <v>64</v>
      </c>
      <c r="B303" s="555"/>
      <c r="C303" s="555"/>
      <c r="D303" s="555"/>
      <c r="E303" s="555"/>
      <c r="F303" s="555"/>
      <c r="G303" s="555"/>
      <c r="H303" s="555"/>
      <c r="I303" s="555"/>
      <c r="J303" s="555"/>
      <c r="K303" s="555"/>
      <c r="L303" s="555"/>
      <c r="M303" s="555"/>
      <c r="N303" s="555"/>
      <c r="O303" s="555"/>
      <c r="P303" s="555"/>
      <c r="Q303" s="555"/>
      <c r="R303" s="555"/>
      <c r="S303" s="555"/>
      <c r="T303" s="555"/>
      <c r="U303" s="555"/>
      <c r="V303" s="555"/>
      <c r="W303" s="555"/>
      <c r="X303" s="555"/>
      <c r="Y303" s="555"/>
      <c r="Z303" s="555"/>
      <c r="AA303" s="541"/>
      <c r="AB303" s="541"/>
      <c r="AC303" s="541"/>
    </row>
    <row r="304" spans="1:68" ht="27" hidden="1" customHeight="1" x14ac:dyDescent="0.25">
      <c r="A304" s="54" t="s">
        <v>484</v>
      </c>
      <c r="B304" s="54" t="s">
        <v>485</v>
      </c>
      <c r="C304" s="31">
        <v>4301030878</v>
      </c>
      <c r="D304" s="561">
        <v>4607091387193</v>
      </c>
      <c r="E304" s="562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5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9"/>
      <c r="R304" s="559"/>
      <c r="S304" s="559"/>
      <c r="T304" s="560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hidden="1" customHeight="1" x14ac:dyDescent="0.25">
      <c r="A305" s="54" t="s">
        <v>487</v>
      </c>
      <c r="B305" s="54" t="s">
        <v>488</v>
      </c>
      <c r="C305" s="31">
        <v>4301031153</v>
      </c>
      <c r="D305" s="561">
        <v>4607091387230</v>
      </c>
      <c r="E305" s="562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 t="s">
        <v>110</v>
      </c>
      <c r="M305" s="33" t="s">
        <v>68</v>
      </c>
      <c r="N305" s="33"/>
      <c r="O305" s="32">
        <v>40</v>
      </c>
      <c r="P305" s="74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9"/>
      <c r="R305" s="559"/>
      <c r="S305" s="559"/>
      <c r="T305" s="560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 t="s">
        <v>106</v>
      </c>
      <c r="AK305" s="68">
        <v>50.4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4301031154</v>
      </c>
      <c r="D306" s="561">
        <v>4607091387292</v>
      </c>
      <c r="E306" s="562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1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9"/>
      <c r="R306" s="559"/>
      <c r="S306" s="559"/>
      <c r="T306" s="560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4301031152</v>
      </c>
      <c r="D307" s="561">
        <v>4607091387285</v>
      </c>
      <c r="E307" s="562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57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9"/>
      <c r="R307" s="559"/>
      <c r="S307" s="559"/>
      <c r="T307" s="560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hidden="1" customHeight="1" x14ac:dyDescent="0.25">
      <c r="A308" s="54" t="s">
        <v>495</v>
      </c>
      <c r="B308" s="54" t="s">
        <v>496</v>
      </c>
      <c r="C308" s="31">
        <v>4301031305</v>
      </c>
      <c r="D308" s="561">
        <v>4607091389845</v>
      </c>
      <c r="E308" s="562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9"/>
      <c r="R308" s="559"/>
      <c r="S308" s="559"/>
      <c r="T308" s="560"/>
      <c r="U308" s="34"/>
      <c r="V308" s="34"/>
      <c r="W308" s="35" t="s">
        <v>69</v>
      </c>
      <c r="X308" s="545">
        <v>0</v>
      </c>
      <c r="Y308" s="546">
        <f t="shared" si="26"/>
        <v>0</v>
      </c>
      <c r="Z308" s="36" t="str">
        <f>IFERROR(IF(Y308=0,"",ROUNDUP(Y308/H308,0)*0.00502),"")</f>
        <v/>
      </c>
      <c r="AA308" s="56"/>
      <c r="AB308" s="57"/>
      <c r="AC308" s="363" t="s">
        <v>497</v>
      </c>
      <c r="AG308" s="64"/>
      <c r="AJ308" s="68"/>
      <c r="AK308" s="68">
        <v>0</v>
      </c>
      <c r="BB308" s="364" t="s">
        <v>1</v>
      </c>
      <c r="BM308" s="64">
        <f t="shared" si="27"/>
        <v>0</v>
      </c>
      <c r="BN308" s="64">
        <f t="shared" si="28"/>
        <v>0</v>
      </c>
      <c r="BO308" s="64">
        <f t="shared" si="29"/>
        <v>0</v>
      </c>
      <c r="BP308" s="64">
        <f t="shared" si="30"/>
        <v>0</v>
      </c>
    </row>
    <row r="309" spans="1:68" ht="27" hidden="1" customHeight="1" x14ac:dyDescent="0.25">
      <c r="A309" s="54" t="s">
        <v>498</v>
      </c>
      <c r="B309" s="54" t="s">
        <v>499</v>
      </c>
      <c r="C309" s="31">
        <v>4301031066</v>
      </c>
      <c r="D309" s="561">
        <v>4607091383836</v>
      </c>
      <c r="E309" s="562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1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9"/>
      <c r="R309" s="559"/>
      <c r="S309" s="559"/>
      <c r="T309" s="560"/>
      <c r="U309" s="34"/>
      <c r="V309" s="34"/>
      <c r="W309" s="35" t="s">
        <v>69</v>
      </c>
      <c r="X309" s="545">
        <v>0</v>
      </c>
      <c r="Y309" s="546">
        <f t="shared" si="26"/>
        <v>0</v>
      </c>
      <c r="Z309" s="36" t="str">
        <f>IFERROR(IF(Y309=0,"",ROUNDUP(Y309/H309,0)*0.00651),"")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27"/>
        <v>0</v>
      </c>
      <c r="BN309" s="64">
        <f t="shared" si="28"/>
        <v>0</v>
      </c>
      <c r="BO309" s="64">
        <f t="shared" si="29"/>
        <v>0</v>
      </c>
      <c r="BP309" s="64">
        <f t="shared" si="30"/>
        <v>0</v>
      </c>
    </row>
    <row r="310" spans="1:68" hidden="1" x14ac:dyDescent="0.2">
      <c r="A310" s="556"/>
      <c r="B310" s="555"/>
      <c r="C310" s="555"/>
      <c r="D310" s="555"/>
      <c r="E310" s="555"/>
      <c r="F310" s="555"/>
      <c r="G310" s="555"/>
      <c r="H310" s="555"/>
      <c r="I310" s="555"/>
      <c r="J310" s="555"/>
      <c r="K310" s="555"/>
      <c r="L310" s="555"/>
      <c r="M310" s="555"/>
      <c r="N310" s="555"/>
      <c r="O310" s="557"/>
      <c r="P310" s="551" t="s">
        <v>75</v>
      </c>
      <c r="Q310" s="552"/>
      <c r="R310" s="552"/>
      <c r="S310" s="552"/>
      <c r="T310" s="552"/>
      <c r="U310" s="552"/>
      <c r="V310" s="553"/>
      <c r="W310" s="37" t="s">
        <v>76</v>
      </c>
      <c r="X310" s="547">
        <f>IFERROR(X304/H304,"0")+IFERROR(X305/H305,"0")+IFERROR(X306/H306,"0")+IFERROR(X307/H307,"0")+IFERROR(X308/H308,"0")+IFERROR(X309/H309,"0")</f>
        <v>0</v>
      </c>
      <c r="Y310" s="547">
        <f>IFERROR(Y304/H304,"0")+IFERROR(Y305/H305,"0")+IFERROR(Y306/H306,"0")+IFERROR(Y307/H307,"0")+IFERROR(Y308/H308,"0")+IFERROR(Y309/H309,"0")</f>
        <v>0</v>
      </c>
      <c r="Z310" s="547">
        <f>IFERROR(IF(Z304="",0,Z304),"0")+IFERROR(IF(Z305="",0,Z305),"0")+IFERROR(IF(Z306="",0,Z306),"0")+IFERROR(IF(Z307="",0,Z307),"0")+IFERROR(IF(Z308="",0,Z308),"0")+IFERROR(IF(Z309="",0,Z309),"0")</f>
        <v>0</v>
      </c>
      <c r="AA310" s="548"/>
      <c r="AB310" s="548"/>
      <c r="AC310" s="548"/>
    </row>
    <row r="311" spans="1:68" hidden="1" x14ac:dyDescent="0.2">
      <c r="A311" s="555"/>
      <c r="B311" s="555"/>
      <c r="C311" s="555"/>
      <c r="D311" s="555"/>
      <c r="E311" s="555"/>
      <c r="F311" s="555"/>
      <c r="G311" s="555"/>
      <c r="H311" s="555"/>
      <c r="I311" s="555"/>
      <c r="J311" s="555"/>
      <c r="K311" s="555"/>
      <c r="L311" s="555"/>
      <c r="M311" s="555"/>
      <c r="N311" s="555"/>
      <c r="O311" s="557"/>
      <c r="P311" s="551" t="s">
        <v>75</v>
      </c>
      <c r="Q311" s="552"/>
      <c r="R311" s="552"/>
      <c r="S311" s="552"/>
      <c r="T311" s="552"/>
      <c r="U311" s="552"/>
      <c r="V311" s="553"/>
      <c r="W311" s="37" t="s">
        <v>69</v>
      </c>
      <c r="X311" s="547">
        <f>IFERROR(SUM(X304:X309),"0")</f>
        <v>0</v>
      </c>
      <c r="Y311" s="547">
        <f>IFERROR(SUM(Y304:Y309),"0")</f>
        <v>0</v>
      </c>
      <c r="Z311" s="37"/>
      <c r="AA311" s="548"/>
      <c r="AB311" s="548"/>
      <c r="AC311" s="548"/>
    </row>
    <row r="312" spans="1:68" ht="14.25" hidden="1" customHeight="1" x14ac:dyDescent="0.25">
      <c r="A312" s="554" t="s">
        <v>77</v>
      </c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5"/>
      <c r="P312" s="555"/>
      <c r="Q312" s="555"/>
      <c r="R312" s="555"/>
      <c r="S312" s="555"/>
      <c r="T312" s="555"/>
      <c r="U312" s="555"/>
      <c r="V312" s="555"/>
      <c r="W312" s="555"/>
      <c r="X312" s="555"/>
      <c r="Y312" s="555"/>
      <c r="Z312" s="555"/>
      <c r="AA312" s="541"/>
      <c r="AB312" s="541"/>
      <c r="AC312" s="541"/>
    </row>
    <row r="313" spans="1:68" ht="27" hidden="1" customHeight="1" x14ac:dyDescent="0.25">
      <c r="A313" s="54" t="s">
        <v>501</v>
      </c>
      <c r="B313" s="54" t="s">
        <v>502</v>
      </c>
      <c r="C313" s="31">
        <v>4301051100</v>
      </c>
      <c r="D313" s="561">
        <v>4607091387766</v>
      </c>
      <c r="E313" s="562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 t="s">
        <v>103</v>
      </c>
      <c r="M313" s="33" t="s">
        <v>80</v>
      </c>
      <c r="N313" s="33"/>
      <c r="O313" s="32">
        <v>40</v>
      </c>
      <c r="P313" s="56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9"/>
      <c r="R313" s="559"/>
      <c r="S313" s="559"/>
      <c r="T313" s="560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 t="s">
        <v>106</v>
      </c>
      <c r="AK313" s="68">
        <v>62.4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504</v>
      </c>
      <c r="B314" s="54" t="s">
        <v>505</v>
      </c>
      <c r="C314" s="31">
        <v>4301051818</v>
      </c>
      <c r="D314" s="561">
        <v>4607091387957</v>
      </c>
      <c r="E314" s="562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69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9"/>
      <c r="R314" s="559"/>
      <c r="S314" s="559"/>
      <c r="T314" s="560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4301051819</v>
      </c>
      <c r="D315" s="561">
        <v>4607091387964</v>
      </c>
      <c r="E315" s="562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86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9"/>
      <c r="R315" s="559"/>
      <c r="S315" s="559"/>
      <c r="T315" s="560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4301051734</v>
      </c>
      <c r="D316" s="561">
        <v>4680115884588</v>
      </c>
      <c r="E316" s="562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81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9"/>
      <c r="R316" s="559"/>
      <c r="S316" s="559"/>
      <c r="T316" s="560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56"/>
      <c r="B317" s="555"/>
      <c r="C317" s="555"/>
      <c r="D317" s="555"/>
      <c r="E317" s="555"/>
      <c r="F317" s="555"/>
      <c r="G317" s="555"/>
      <c r="H317" s="555"/>
      <c r="I317" s="555"/>
      <c r="J317" s="555"/>
      <c r="K317" s="555"/>
      <c r="L317" s="555"/>
      <c r="M317" s="555"/>
      <c r="N317" s="555"/>
      <c r="O317" s="557"/>
      <c r="P317" s="551" t="s">
        <v>75</v>
      </c>
      <c r="Q317" s="552"/>
      <c r="R317" s="552"/>
      <c r="S317" s="552"/>
      <c r="T317" s="552"/>
      <c r="U317" s="552"/>
      <c r="V317" s="553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hidden="1" x14ac:dyDescent="0.2">
      <c r="A318" s="555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7"/>
      <c r="P318" s="551" t="s">
        <v>75</v>
      </c>
      <c r="Q318" s="552"/>
      <c r="R318" s="552"/>
      <c r="S318" s="552"/>
      <c r="T318" s="552"/>
      <c r="U318" s="552"/>
      <c r="V318" s="553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hidden="1" customHeight="1" x14ac:dyDescent="0.25">
      <c r="A319" s="554" t="s">
        <v>160</v>
      </c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5"/>
      <c r="P319" s="555"/>
      <c r="Q319" s="555"/>
      <c r="R319" s="555"/>
      <c r="S319" s="555"/>
      <c r="T319" s="555"/>
      <c r="U319" s="555"/>
      <c r="V319" s="555"/>
      <c r="W319" s="555"/>
      <c r="X319" s="555"/>
      <c r="Y319" s="555"/>
      <c r="Z319" s="555"/>
      <c r="AA319" s="541"/>
      <c r="AB319" s="541"/>
      <c r="AC319" s="541"/>
    </row>
    <row r="320" spans="1:68" ht="27" hidden="1" customHeight="1" x14ac:dyDescent="0.25">
      <c r="A320" s="54" t="s">
        <v>513</v>
      </c>
      <c r="B320" s="54" t="s">
        <v>514</v>
      </c>
      <c r="C320" s="31">
        <v>4301060387</v>
      </c>
      <c r="D320" s="561">
        <v>4607091380880</v>
      </c>
      <c r="E320" s="562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/>
      <c r="M320" s="33" t="s">
        <v>80</v>
      </c>
      <c r="N320" s="33"/>
      <c r="O320" s="32">
        <v>30</v>
      </c>
      <c r="P320" s="68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9"/>
      <c r="R320" s="559"/>
      <c r="S320" s="559"/>
      <c r="T320" s="560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515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516</v>
      </c>
      <c r="B321" s="54" t="s">
        <v>517</v>
      </c>
      <c r="C321" s="31">
        <v>4301060406</v>
      </c>
      <c r="D321" s="561">
        <v>4607091384482</v>
      </c>
      <c r="E321" s="562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6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9"/>
      <c r="R321" s="559"/>
      <c r="S321" s="559"/>
      <c r="T321" s="560"/>
      <c r="U321" s="34"/>
      <c r="V321" s="34"/>
      <c r="W321" s="35" t="s">
        <v>69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16.5" hidden="1" customHeight="1" x14ac:dyDescent="0.25">
      <c r="A322" s="54" t="s">
        <v>519</v>
      </c>
      <c r="B322" s="54" t="s">
        <v>520</v>
      </c>
      <c r="C322" s="31">
        <v>4301060484</v>
      </c>
      <c r="D322" s="561">
        <v>4607091380897</v>
      </c>
      <c r="E322" s="562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/>
      <c r="M322" s="33" t="s">
        <v>86</v>
      </c>
      <c r="N322" s="33"/>
      <c r="O322" s="32">
        <v>30</v>
      </c>
      <c r="P322" s="7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9"/>
      <c r="R322" s="559"/>
      <c r="S322" s="559"/>
      <c r="T322" s="560"/>
      <c r="U322" s="34"/>
      <c r="V322" s="34"/>
      <c r="W322" s="35" t="s">
        <v>69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556"/>
      <c r="B323" s="555"/>
      <c r="C323" s="555"/>
      <c r="D323" s="555"/>
      <c r="E323" s="555"/>
      <c r="F323" s="555"/>
      <c r="G323" s="555"/>
      <c r="H323" s="555"/>
      <c r="I323" s="555"/>
      <c r="J323" s="555"/>
      <c r="K323" s="555"/>
      <c r="L323" s="555"/>
      <c r="M323" s="555"/>
      <c r="N323" s="555"/>
      <c r="O323" s="557"/>
      <c r="P323" s="551" t="s">
        <v>75</v>
      </c>
      <c r="Q323" s="552"/>
      <c r="R323" s="552"/>
      <c r="S323" s="552"/>
      <c r="T323" s="552"/>
      <c r="U323" s="552"/>
      <c r="V323" s="553"/>
      <c r="W323" s="37" t="s">
        <v>76</v>
      </c>
      <c r="X323" s="547">
        <f>IFERROR(X320/H320,"0")+IFERROR(X321/H321,"0")+IFERROR(X322/H322,"0")</f>
        <v>0</v>
      </c>
      <c r="Y323" s="547">
        <f>IFERROR(Y320/H320,"0")+IFERROR(Y321/H321,"0")+IFERROR(Y322/H322,"0")</f>
        <v>0</v>
      </c>
      <c r="Z323" s="547">
        <f>IFERROR(IF(Z320="",0,Z320),"0")+IFERROR(IF(Z321="",0,Z321),"0")+IFERROR(IF(Z322="",0,Z322),"0")</f>
        <v>0</v>
      </c>
      <c r="AA323" s="548"/>
      <c r="AB323" s="548"/>
      <c r="AC323" s="548"/>
    </row>
    <row r="324" spans="1:68" hidden="1" x14ac:dyDescent="0.2">
      <c r="A324" s="555"/>
      <c r="B324" s="555"/>
      <c r="C324" s="555"/>
      <c r="D324" s="555"/>
      <c r="E324" s="555"/>
      <c r="F324" s="555"/>
      <c r="G324" s="555"/>
      <c r="H324" s="555"/>
      <c r="I324" s="555"/>
      <c r="J324" s="555"/>
      <c r="K324" s="555"/>
      <c r="L324" s="555"/>
      <c r="M324" s="555"/>
      <c r="N324" s="555"/>
      <c r="O324" s="557"/>
      <c r="P324" s="551" t="s">
        <v>75</v>
      </c>
      <c r="Q324" s="552"/>
      <c r="R324" s="552"/>
      <c r="S324" s="552"/>
      <c r="T324" s="552"/>
      <c r="U324" s="552"/>
      <c r="V324" s="553"/>
      <c r="W324" s="37" t="s">
        <v>69</v>
      </c>
      <c r="X324" s="547">
        <f>IFERROR(SUM(X320:X322),"0")</f>
        <v>0</v>
      </c>
      <c r="Y324" s="547">
        <f>IFERROR(SUM(Y320:Y322),"0")</f>
        <v>0</v>
      </c>
      <c r="Z324" s="37"/>
      <c r="AA324" s="548"/>
      <c r="AB324" s="548"/>
      <c r="AC324" s="548"/>
    </row>
    <row r="325" spans="1:68" ht="14.25" hidden="1" customHeight="1" x14ac:dyDescent="0.25">
      <c r="A325" s="554" t="s">
        <v>91</v>
      </c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5"/>
      <c r="P325" s="555"/>
      <c r="Q325" s="555"/>
      <c r="R325" s="555"/>
      <c r="S325" s="555"/>
      <c r="T325" s="555"/>
      <c r="U325" s="555"/>
      <c r="V325" s="555"/>
      <c r="W325" s="555"/>
      <c r="X325" s="555"/>
      <c r="Y325" s="555"/>
      <c r="Z325" s="555"/>
      <c r="AA325" s="541"/>
      <c r="AB325" s="541"/>
      <c r="AC325" s="541"/>
    </row>
    <row r="326" spans="1:68" ht="27" hidden="1" customHeight="1" x14ac:dyDescent="0.25">
      <c r="A326" s="54" t="s">
        <v>522</v>
      </c>
      <c r="B326" s="54" t="s">
        <v>523</v>
      </c>
      <c r="C326" s="31">
        <v>4301030235</v>
      </c>
      <c r="D326" s="561">
        <v>4607091388381</v>
      </c>
      <c r="E326" s="562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84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9"/>
      <c r="R326" s="559"/>
      <c r="S326" s="559"/>
      <c r="T326" s="560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525</v>
      </c>
      <c r="B327" s="54" t="s">
        <v>526</v>
      </c>
      <c r="C327" s="31">
        <v>4301030232</v>
      </c>
      <c r="D327" s="561">
        <v>4607091388374</v>
      </c>
      <c r="E327" s="562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1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9"/>
      <c r="R327" s="559"/>
      <c r="S327" s="559"/>
      <c r="T327" s="560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527</v>
      </c>
      <c r="B328" s="54" t="s">
        <v>528</v>
      </c>
      <c r="C328" s="31">
        <v>4301032015</v>
      </c>
      <c r="D328" s="561">
        <v>4607091383102</v>
      </c>
      <c r="E328" s="562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 t="s">
        <v>186</v>
      </c>
      <c r="M328" s="33" t="s">
        <v>94</v>
      </c>
      <c r="N328" s="33"/>
      <c r="O328" s="32">
        <v>180</v>
      </c>
      <c r="P328" s="86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9"/>
      <c r="R328" s="559"/>
      <c r="S328" s="559"/>
      <c r="T328" s="560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 t="s">
        <v>106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529</v>
      </c>
      <c r="B329" s="54" t="s">
        <v>530</v>
      </c>
      <c r="C329" s="31">
        <v>4301030233</v>
      </c>
      <c r="D329" s="561">
        <v>4607091388404</v>
      </c>
      <c r="E329" s="562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186</v>
      </c>
      <c r="M329" s="33" t="s">
        <v>94</v>
      </c>
      <c r="N329" s="33"/>
      <c r="O329" s="32">
        <v>180</v>
      </c>
      <c r="P329" s="80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9"/>
      <c r="R329" s="559"/>
      <c r="S329" s="559"/>
      <c r="T329" s="560"/>
      <c r="U329" s="34"/>
      <c r="V329" s="34"/>
      <c r="W329" s="35" t="s">
        <v>69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56"/>
      <c r="B330" s="555"/>
      <c r="C330" s="555"/>
      <c r="D330" s="555"/>
      <c r="E330" s="555"/>
      <c r="F330" s="555"/>
      <c r="G330" s="555"/>
      <c r="H330" s="555"/>
      <c r="I330" s="555"/>
      <c r="J330" s="555"/>
      <c r="K330" s="555"/>
      <c r="L330" s="555"/>
      <c r="M330" s="555"/>
      <c r="N330" s="555"/>
      <c r="O330" s="557"/>
      <c r="P330" s="551" t="s">
        <v>75</v>
      </c>
      <c r="Q330" s="552"/>
      <c r="R330" s="552"/>
      <c r="S330" s="552"/>
      <c r="T330" s="552"/>
      <c r="U330" s="552"/>
      <c r="V330" s="553"/>
      <c r="W330" s="37" t="s">
        <v>76</v>
      </c>
      <c r="X330" s="547">
        <f>IFERROR(X326/H326,"0")+IFERROR(X327/H327,"0")+IFERROR(X328/H328,"0")+IFERROR(X329/H329,"0")</f>
        <v>0</v>
      </c>
      <c r="Y330" s="547">
        <f>IFERROR(Y326/H326,"0")+IFERROR(Y327/H327,"0")+IFERROR(Y328/H328,"0")+IFERROR(Y329/H329,"0")</f>
        <v>0</v>
      </c>
      <c r="Z330" s="547">
        <f>IFERROR(IF(Z326="",0,Z326),"0")+IFERROR(IF(Z327="",0,Z327),"0")+IFERROR(IF(Z328="",0,Z328),"0")+IFERROR(IF(Z329="",0,Z329),"0")</f>
        <v>0</v>
      </c>
      <c r="AA330" s="548"/>
      <c r="AB330" s="548"/>
      <c r="AC330" s="548"/>
    </row>
    <row r="331" spans="1:68" hidden="1" x14ac:dyDescent="0.2">
      <c r="A331" s="555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7"/>
      <c r="P331" s="551" t="s">
        <v>75</v>
      </c>
      <c r="Q331" s="552"/>
      <c r="R331" s="552"/>
      <c r="S331" s="552"/>
      <c r="T331" s="552"/>
      <c r="U331" s="552"/>
      <c r="V331" s="553"/>
      <c r="W331" s="37" t="s">
        <v>69</v>
      </c>
      <c r="X331" s="547">
        <f>IFERROR(SUM(X326:X329),"0")</f>
        <v>0</v>
      </c>
      <c r="Y331" s="547">
        <f>IFERROR(SUM(Y326:Y329),"0")</f>
        <v>0</v>
      </c>
      <c r="Z331" s="37"/>
      <c r="AA331" s="548"/>
      <c r="AB331" s="548"/>
      <c r="AC331" s="548"/>
    </row>
    <row r="332" spans="1:68" ht="14.25" hidden="1" customHeight="1" x14ac:dyDescent="0.25">
      <c r="A332" s="554" t="s">
        <v>531</v>
      </c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5"/>
      <c r="P332" s="555"/>
      <c r="Q332" s="555"/>
      <c r="R332" s="555"/>
      <c r="S332" s="555"/>
      <c r="T332" s="555"/>
      <c r="U332" s="555"/>
      <c r="V332" s="555"/>
      <c r="W332" s="555"/>
      <c r="X332" s="555"/>
      <c r="Y332" s="555"/>
      <c r="Z332" s="555"/>
      <c r="AA332" s="541"/>
      <c r="AB332" s="541"/>
      <c r="AC332" s="541"/>
    </row>
    <row r="333" spans="1:68" ht="16.5" hidden="1" customHeight="1" x14ac:dyDescent="0.25">
      <c r="A333" s="54" t="s">
        <v>532</v>
      </c>
      <c r="B333" s="54" t="s">
        <v>533</v>
      </c>
      <c r="C333" s="31">
        <v>4301180007</v>
      </c>
      <c r="D333" s="561">
        <v>4680115881808</v>
      </c>
      <c r="E333" s="562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534</v>
      </c>
      <c r="N333" s="33"/>
      <c r="O333" s="32">
        <v>730</v>
      </c>
      <c r="P333" s="67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9"/>
      <c r="R333" s="559"/>
      <c r="S333" s="559"/>
      <c r="T333" s="560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536</v>
      </c>
      <c r="B334" s="54" t="s">
        <v>537</v>
      </c>
      <c r="C334" s="31">
        <v>4301180006</v>
      </c>
      <c r="D334" s="561">
        <v>4680115881822</v>
      </c>
      <c r="E334" s="562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/>
      <c r="M334" s="33" t="s">
        <v>534</v>
      </c>
      <c r="N334" s="33"/>
      <c r="O334" s="32">
        <v>730</v>
      </c>
      <c r="P334" s="82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9"/>
      <c r="R334" s="559"/>
      <c r="S334" s="559"/>
      <c r="T334" s="560"/>
      <c r="U334" s="34"/>
      <c r="V334" s="34"/>
      <c r="W334" s="35" t="s">
        <v>69</v>
      </c>
      <c r="X334" s="545">
        <v>0</v>
      </c>
      <c r="Y334" s="546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535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538</v>
      </c>
      <c r="B335" s="54" t="s">
        <v>539</v>
      </c>
      <c r="C335" s="31">
        <v>4301180001</v>
      </c>
      <c r="D335" s="561">
        <v>4680115880016</v>
      </c>
      <c r="E335" s="562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/>
      <c r="M335" s="33" t="s">
        <v>534</v>
      </c>
      <c r="N335" s="33"/>
      <c r="O335" s="32">
        <v>730</v>
      </c>
      <c r="P335" s="66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9"/>
      <c r="R335" s="559"/>
      <c r="S335" s="559"/>
      <c r="T335" s="560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556"/>
      <c r="B336" s="555"/>
      <c r="C336" s="555"/>
      <c r="D336" s="555"/>
      <c r="E336" s="555"/>
      <c r="F336" s="555"/>
      <c r="G336" s="555"/>
      <c r="H336" s="555"/>
      <c r="I336" s="555"/>
      <c r="J336" s="555"/>
      <c r="K336" s="555"/>
      <c r="L336" s="555"/>
      <c r="M336" s="555"/>
      <c r="N336" s="555"/>
      <c r="O336" s="557"/>
      <c r="P336" s="551" t="s">
        <v>75</v>
      </c>
      <c r="Q336" s="552"/>
      <c r="R336" s="552"/>
      <c r="S336" s="552"/>
      <c r="T336" s="552"/>
      <c r="U336" s="552"/>
      <c r="V336" s="553"/>
      <c r="W336" s="37" t="s">
        <v>76</v>
      </c>
      <c r="X336" s="547">
        <f>IFERROR(X333/H333,"0")+IFERROR(X334/H334,"0")+IFERROR(X335/H335,"0")</f>
        <v>0</v>
      </c>
      <c r="Y336" s="547">
        <f>IFERROR(Y333/H333,"0")+IFERROR(Y334/H334,"0")+IFERROR(Y335/H335,"0")</f>
        <v>0</v>
      </c>
      <c r="Z336" s="547">
        <f>IFERROR(IF(Z333="",0,Z333),"0")+IFERROR(IF(Z334="",0,Z334),"0")+IFERROR(IF(Z335="",0,Z335),"0")</f>
        <v>0</v>
      </c>
      <c r="AA336" s="548"/>
      <c r="AB336" s="548"/>
      <c r="AC336" s="548"/>
    </row>
    <row r="337" spans="1:68" hidden="1" x14ac:dyDescent="0.2">
      <c r="A337" s="555"/>
      <c r="B337" s="555"/>
      <c r="C337" s="555"/>
      <c r="D337" s="555"/>
      <c r="E337" s="555"/>
      <c r="F337" s="555"/>
      <c r="G337" s="555"/>
      <c r="H337" s="555"/>
      <c r="I337" s="555"/>
      <c r="J337" s="555"/>
      <c r="K337" s="555"/>
      <c r="L337" s="555"/>
      <c r="M337" s="555"/>
      <c r="N337" s="555"/>
      <c r="O337" s="557"/>
      <c r="P337" s="551" t="s">
        <v>75</v>
      </c>
      <c r="Q337" s="552"/>
      <c r="R337" s="552"/>
      <c r="S337" s="552"/>
      <c r="T337" s="552"/>
      <c r="U337" s="552"/>
      <c r="V337" s="553"/>
      <c r="W337" s="37" t="s">
        <v>69</v>
      </c>
      <c r="X337" s="547">
        <f>IFERROR(SUM(X333:X335),"0")</f>
        <v>0</v>
      </c>
      <c r="Y337" s="547">
        <f>IFERROR(SUM(Y333:Y335),"0")</f>
        <v>0</v>
      </c>
      <c r="Z337" s="37"/>
      <c r="AA337" s="548"/>
      <c r="AB337" s="548"/>
      <c r="AC337" s="548"/>
    </row>
    <row r="338" spans="1:68" ht="16.5" hidden="1" customHeight="1" x14ac:dyDescent="0.25">
      <c r="A338" s="590" t="s">
        <v>540</v>
      </c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5"/>
      <c r="P338" s="555"/>
      <c r="Q338" s="555"/>
      <c r="R338" s="555"/>
      <c r="S338" s="555"/>
      <c r="T338" s="555"/>
      <c r="U338" s="555"/>
      <c r="V338" s="555"/>
      <c r="W338" s="555"/>
      <c r="X338" s="555"/>
      <c r="Y338" s="555"/>
      <c r="Z338" s="555"/>
      <c r="AA338" s="540"/>
      <c r="AB338" s="540"/>
      <c r="AC338" s="540"/>
    </row>
    <row r="339" spans="1:68" ht="14.25" hidden="1" customHeight="1" x14ac:dyDescent="0.25">
      <c r="A339" s="554" t="s">
        <v>77</v>
      </c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5"/>
      <c r="P339" s="555"/>
      <c r="Q339" s="555"/>
      <c r="R339" s="555"/>
      <c r="S339" s="555"/>
      <c r="T339" s="555"/>
      <c r="U339" s="555"/>
      <c r="V339" s="555"/>
      <c r="W339" s="555"/>
      <c r="X339" s="555"/>
      <c r="Y339" s="555"/>
      <c r="Z339" s="555"/>
      <c r="AA339" s="541"/>
      <c r="AB339" s="541"/>
      <c r="AC339" s="541"/>
    </row>
    <row r="340" spans="1:68" ht="27" hidden="1" customHeight="1" x14ac:dyDescent="0.25">
      <c r="A340" s="54" t="s">
        <v>541</v>
      </c>
      <c r="B340" s="54" t="s">
        <v>542</v>
      </c>
      <c r="C340" s="31">
        <v>4301051489</v>
      </c>
      <c r="D340" s="561">
        <v>4607091387919</v>
      </c>
      <c r="E340" s="562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/>
      <c r="M340" s="33" t="s">
        <v>86</v>
      </c>
      <c r="N340" s="33"/>
      <c r="O340" s="32">
        <v>45</v>
      </c>
      <c r="P340" s="76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9"/>
      <c r="R340" s="559"/>
      <c r="S340" s="559"/>
      <c r="T340" s="560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544</v>
      </c>
      <c r="B341" s="54" t="s">
        <v>545</v>
      </c>
      <c r="C341" s="31">
        <v>4301051461</v>
      </c>
      <c r="D341" s="561">
        <v>4680115883604</v>
      </c>
      <c r="E341" s="562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 t="s">
        <v>186</v>
      </c>
      <c r="M341" s="33" t="s">
        <v>80</v>
      </c>
      <c r="N341" s="33"/>
      <c r="O341" s="32">
        <v>45</v>
      </c>
      <c r="P341" s="65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9"/>
      <c r="R341" s="559"/>
      <c r="S341" s="559"/>
      <c r="T341" s="560"/>
      <c r="U341" s="34"/>
      <c r="V341" s="34"/>
      <c r="W341" s="35" t="s">
        <v>69</v>
      </c>
      <c r="X341" s="545">
        <v>0</v>
      </c>
      <c r="Y341" s="546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546</v>
      </c>
      <c r="AG341" s="64"/>
      <c r="AJ341" s="68" t="s">
        <v>106</v>
      </c>
      <c r="AK341" s="68">
        <v>29.4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547</v>
      </c>
      <c r="B342" s="54" t="s">
        <v>548</v>
      </c>
      <c r="C342" s="31">
        <v>4301051864</v>
      </c>
      <c r="D342" s="561">
        <v>4680115883567</v>
      </c>
      <c r="E342" s="562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 t="s">
        <v>186</v>
      </c>
      <c r="M342" s="33" t="s">
        <v>86</v>
      </c>
      <c r="N342" s="33"/>
      <c r="O342" s="32">
        <v>40</v>
      </c>
      <c r="P342" s="60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9"/>
      <c r="R342" s="559"/>
      <c r="S342" s="559"/>
      <c r="T342" s="560"/>
      <c r="U342" s="34"/>
      <c r="V342" s="34"/>
      <c r="W342" s="35" t="s">
        <v>69</v>
      </c>
      <c r="X342" s="545">
        <v>0</v>
      </c>
      <c r="Y342" s="546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556"/>
      <c r="B343" s="555"/>
      <c r="C343" s="555"/>
      <c r="D343" s="555"/>
      <c r="E343" s="555"/>
      <c r="F343" s="555"/>
      <c r="G343" s="555"/>
      <c r="H343" s="555"/>
      <c r="I343" s="555"/>
      <c r="J343" s="555"/>
      <c r="K343" s="555"/>
      <c r="L343" s="555"/>
      <c r="M343" s="555"/>
      <c r="N343" s="555"/>
      <c r="O343" s="557"/>
      <c r="P343" s="551" t="s">
        <v>75</v>
      </c>
      <c r="Q343" s="552"/>
      <c r="R343" s="552"/>
      <c r="S343" s="552"/>
      <c r="T343" s="552"/>
      <c r="U343" s="552"/>
      <c r="V343" s="553"/>
      <c r="W343" s="37" t="s">
        <v>76</v>
      </c>
      <c r="X343" s="547">
        <f>IFERROR(X340/H340,"0")+IFERROR(X341/H341,"0")+IFERROR(X342/H342,"0")</f>
        <v>0</v>
      </c>
      <c r="Y343" s="547">
        <f>IFERROR(Y340/H340,"0")+IFERROR(Y341/H341,"0")+IFERROR(Y342/H342,"0")</f>
        <v>0</v>
      </c>
      <c r="Z343" s="547">
        <f>IFERROR(IF(Z340="",0,Z340),"0")+IFERROR(IF(Z341="",0,Z341),"0")+IFERROR(IF(Z342="",0,Z342),"0")</f>
        <v>0</v>
      </c>
      <c r="AA343" s="548"/>
      <c r="AB343" s="548"/>
      <c r="AC343" s="548"/>
    </row>
    <row r="344" spans="1:68" hidden="1" x14ac:dyDescent="0.2">
      <c r="A344" s="555"/>
      <c r="B344" s="555"/>
      <c r="C344" s="555"/>
      <c r="D344" s="555"/>
      <c r="E344" s="555"/>
      <c r="F344" s="555"/>
      <c r="G344" s="555"/>
      <c r="H344" s="555"/>
      <c r="I344" s="555"/>
      <c r="J344" s="555"/>
      <c r="K344" s="555"/>
      <c r="L344" s="555"/>
      <c r="M344" s="555"/>
      <c r="N344" s="555"/>
      <c r="O344" s="557"/>
      <c r="P344" s="551" t="s">
        <v>75</v>
      </c>
      <c r="Q344" s="552"/>
      <c r="R344" s="552"/>
      <c r="S344" s="552"/>
      <c r="T344" s="552"/>
      <c r="U344" s="552"/>
      <c r="V344" s="553"/>
      <c r="W344" s="37" t="s">
        <v>69</v>
      </c>
      <c r="X344" s="547">
        <f>IFERROR(SUM(X340:X342),"0")</f>
        <v>0</v>
      </c>
      <c r="Y344" s="547">
        <f>IFERROR(SUM(Y340:Y342),"0")</f>
        <v>0</v>
      </c>
      <c r="Z344" s="37"/>
      <c r="AA344" s="548"/>
      <c r="AB344" s="548"/>
      <c r="AC344" s="548"/>
    </row>
    <row r="345" spans="1:68" ht="27.75" hidden="1" customHeight="1" x14ac:dyDescent="0.2">
      <c r="A345" s="669" t="s">
        <v>550</v>
      </c>
      <c r="B345" s="670"/>
      <c r="C345" s="670"/>
      <c r="D345" s="670"/>
      <c r="E345" s="670"/>
      <c r="F345" s="670"/>
      <c r="G345" s="670"/>
      <c r="H345" s="670"/>
      <c r="I345" s="670"/>
      <c r="J345" s="670"/>
      <c r="K345" s="670"/>
      <c r="L345" s="670"/>
      <c r="M345" s="670"/>
      <c r="N345" s="670"/>
      <c r="O345" s="670"/>
      <c r="P345" s="670"/>
      <c r="Q345" s="670"/>
      <c r="R345" s="670"/>
      <c r="S345" s="670"/>
      <c r="T345" s="670"/>
      <c r="U345" s="670"/>
      <c r="V345" s="670"/>
      <c r="W345" s="670"/>
      <c r="X345" s="670"/>
      <c r="Y345" s="670"/>
      <c r="Z345" s="670"/>
      <c r="AA345" s="48"/>
      <c r="AB345" s="48"/>
      <c r="AC345" s="48"/>
    </row>
    <row r="346" spans="1:68" ht="16.5" hidden="1" customHeight="1" x14ac:dyDescent="0.25">
      <c r="A346" s="590" t="s">
        <v>551</v>
      </c>
      <c r="B346" s="555"/>
      <c r="C346" s="555"/>
      <c r="D346" s="555"/>
      <c r="E346" s="555"/>
      <c r="F346" s="555"/>
      <c r="G346" s="555"/>
      <c r="H346" s="555"/>
      <c r="I346" s="555"/>
      <c r="J346" s="555"/>
      <c r="K346" s="555"/>
      <c r="L346" s="555"/>
      <c r="M346" s="555"/>
      <c r="N346" s="555"/>
      <c r="O346" s="555"/>
      <c r="P346" s="555"/>
      <c r="Q346" s="555"/>
      <c r="R346" s="555"/>
      <c r="S346" s="555"/>
      <c r="T346" s="555"/>
      <c r="U346" s="555"/>
      <c r="V346" s="555"/>
      <c r="W346" s="555"/>
      <c r="X346" s="555"/>
      <c r="Y346" s="555"/>
      <c r="Z346" s="555"/>
      <c r="AA346" s="540"/>
      <c r="AB346" s="540"/>
      <c r="AC346" s="540"/>
    </row>
    <row r="347" spans="1:68" ht="14.25" hidden="1" customHeight="1" x14ac:dyDescent="0.25">
      <c r="A347" s="554" t="s">
        <v>99</v>
      </c>
      <c r="B347" s="555"/>
      <c r="C347" s="555"/>
      <c r="D347" s="555"/>
      <c r="E347" s="555"/>
      <c r="F347" s="555"/>
      <c r="G347" s="555"/>
      <c r="H347" s="555"/>
      <c r="I347" s="555"/>
      <c r="J347" s="555"/>
      <c r="K347" s="555"/>
      <c r="L347" s="555"/>
      <c r="M347" s="555"/>
      <c r="N347" s="555"/>
      <c r="O347" s="555"/>
      <c r="P347" s="555"/>
      <c r="Q347" s="555"/>
      <c r="R347" s="555"/>
      <c r="S347" s="555"/>
      <c r="T347" s="555"/>
      <c r="U347" s="555"/>
      <c r="V347" s="555"/>
      <c r="W347" s="555"/>
      <c r="X347" s="555"/>
      <c r="Y347" s="555"/>
      <c r="Z347" s="555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61">
        <v>4680115884847</v>
      </c>
      <c r="E348" s="562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 t="s">
        <v>103</v>
      </c>
      <c r="M348" s="33" t="s">
        <v>68</v>
      </c>
      <c r="N348" s="33"/>
      <c r="O348" s="32">
        <v>60</v>
      </c>
      <c r="P348" s="6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9"/>
      <c r="R348" s="559"/>
      <c r="S348" s="559"/>
      <c r="T348" s="560"/>
      <c r="U348" s="34"/>
      <c r="V348" s="34"/>
      <c r="W348" s="35" t="s">
        <v>69</v>
      </c>
      <c r="X348" s="545">
        <v>685</v>
      </c>
      <c r="Y348" s="546">
        <f t="shared" ref="Y348:Y354" si="31">IFERROR(IF(X348="",0,CEILING((X348/$H348),1)*$H348),"")</f>
        <v>690</v>
      </c>
      <c r="Z348" s="36">
        <f>IFERROR(IF(Y348=0,"",ROUNDUP(Y348/H348,0)*0.02175),"")</f>
        <v>1.0004999999999999</v>
      </c>
      <c r="AA348" s="56"/>
      <c r="AB348" s="57"/>
      <c r="AC348" s="401" t="s">
        <v>554</v>
      </c>
      <c r="AG348" s="64"/>
      <c r="AJ348" s="68" t="s">
        <v>106</v>
      </c>
      <c r="AK348" s="68">
        <v>120</v>
      </c>
      <c r="BB348" s="402" t="s">
        <v>1</v>
      </c>
      <c r="BM348" s="64">
        <f t="shared" ref="BM348:BM354" si="32">IFERROR(X348*I348/H348,"0")</f>
        <v>706.46333333333337</v>
      </c>
      <c r="BN348" s="64">
        <f t="shared" ref="BN348:BN354" si="33">IFERROR(Y348*I348/H348,"0")</f>
        <v>711.62000000000012</v>
      </c>
      <c r="BO348" s="64">
        <f t="shared" ref="BO348:BO354" si="34">IFERROR(1/J348*(X348/H348),"0")</f>
        <v>0.95138888888888884</v>
      </c>
      <c r="BP348" s="64">
        <f t="shared" ref="BP348:BP354" si="35">IFERROR(1/J348*(Y348/H348),"0")</f>
        <v>0.95833333333333326</v>
      </c>
    </row>
    <row r="349" spans="1:68" ht="27" customHeight="1" x14ac:dyDescent="0.25">
      <c r="A349" s="54" t="s">
        <v>555</v>
      </c>
      <c r="B349" s="54" t="s">
        <v>556</v>
      </c>
      <c r="C349" s="31">
        <v>4301011870</v>
      </c>
      <c r="D349" s="561">
        <v>4680115884854</v>
      </c>
      <c r="E349" s="562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63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9"/>
      <c r="R349" s="559"/>
      <c r="S349" s="559"/>
      <c r="T349" s="560"/>
      <c r="U349" s="34"/>
      <c r="V349" s="34"/>
      <c r="W349" s="35" t="s">
        <v>69</v>
      </c>
      <c r="X349" s="545">
        <v>235</v>
      </c>
      <c r="Y349" s="546">
        <f t="shared" si="31"/>
        <v>240</v>
      </c>
      <c r="Z349" s="36">
        <f>IFERROR(IF(Y349=0,"",ROUNDUP(Y349/H349,0)*0.02175),"")</f>
        <v>0.34799999999999998</v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si="32"/>
        <v>242.36333333333334</v>
      </c>
      <c r="BN349" s="64">
        <f t="shared" si="33"/>
        <v>247.52</v>
      </c>
      <c r="BO349" s="64">
        <f t="shared" si="34"/>
        <v>0.32638888888888884</v>
      </c>
      <c r="BP349" s="64">
        <f t="shared" si="35"/>
        <v>0.33333333333333331</v>
      </c>
    </row>
    <row r="350" spans="1:68" ht="37.5" customHeight="1" x14ac:dyDescent="0.25">
      <c r="A350" s="54" t="s">
        <v>558</v>
      </c>
      <c r="B350" s="54" t="s">
        <v>559</v>
      </c>
      <c r="C350" s="31">
        <v>4301011867</v>
      </c>
      <c r="D350" s="561">
        <v>4680115884830</v>
      </c>
      <c r="E350" s="562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85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9"/>
      <c r="R350" s="559"/>
      <c r="S350" s="559"/>
      <c r="T350" s="560"/>
      <c r="U350" s="34"/>
      <c r="V350" s="34"/>
      <c r="W350" s="35" t="s">
        <v>69</v>
      </c>
      <c r="X350" s="545">
        <v>441</v>
      </c>
      <c r="Y350" s="546">
        <f t="shared" si="31"/>
        <v>450</v>
      </c>
      <c r="Z350" s="36">
        <f>IFERROR(IF(Y350=0,"",ROUNDUP(Y350/H350,0)*0.02175),"")</f>
        <v>0.65249999999999997</v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2"/>
        <v>454.81800000000004</v>
      </c>
      <c r="BN350" s="64">
        <f t="shared" si="33"/>
        <v>464.1</v>
      </c>
      <c r="BO350" s="64">
        <f t="shared" si="34"/>
        <v>0.61249999999999993</v>
      </c>
      <c r="BP350" s="64">
        <f t="shared" si="35"/>
        <v>0.625</v>
      </c>
    </row>
    <row r="351" spans="1:68" ht="27" customHeight="1" x14ac:dyDescent="0.25">
      <c r="A351" s="54" t="s">
        <v>561</v>
      </c>
      <c r="B351" s="54" t="s">
        <v>562</v>
      </c>
      <c r="C351" s="31">
        <v>4301012215</v>
      </c>
      <c r="D351" s="561">
        <v>4680115887046</v>
      </c>
      <c r="E351" s="562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75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9"/>
      <c r="R351" s="559"/>
      <c r="S351" s="559"/>
      <c r="T351" s="560"/>
      <c r="U351" s="34"/>
      <c r="V351" s="34"/>
      <c r="W351" s="35" t="s">
        <v>69</v>
      </c>
      <c r="X351" s="545">
        <v>121</v>
      </c>
      <c r="Y351" s="546">
        <f t="shared" si="31"/>
        <v>135</v>
      </c>
      <c r="Z351" s="36">
        <f>IFERROR(IF(Y351=0,"",ROUNDUP(Y351/H351,0)*0.02175),"")</f>
        <v>0.19574999999999998</v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2"/>
        <v>124.79133333333334</v>
      </c>
      <c r="BN351" s="64">
        <f t="shared" si="33"/>
        <v>139.23000000000002</v>
      </c>
      <c r="BO351" s="64">
        <f t="shared" si="34"/>
        <v>0.16805555555555554</v>
      </c>
      <c r="BP351" s="64">
        <f t="shared" si="35"/>
        <v>0.1875</v>
      </c>
    </row>
    <row r="352" spans="1:68" ht="27" hidden="1" customHeight="1" x14ac:dyDescent="0.25">
      <c r="A352" s="54" t="s">
        <v>564</v>
      </c>
      <c r="B352" s="54" t="s">
        <v>565</v>
      </c>
      <c r="C352" s="31">
        <v>4301011433</v>
      </c>
      <c r="D352" s="561">
        <v>4680115882638</v>
      </c>
      <c r="E352" s="562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87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9"/>
      <c r="R352" s="559"/>
      <c r="S352" s="559"/>
      <c r="T352" s="560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4301011952</v>
      </c>
      <c r="D353" s="561">
        <v>4680115884922</v>
      </c>
      <c r="E353" s="562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76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9"/>
      <c r="R353" s="559"/>
      <c r="S353" s="559"/>
      <c r="T353" s="560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hidden="1" customHeight="1" x14ac:dyDescent="0.25">
      <c r="A354" s="54" t="s">
        <v>569</v>
      </c>
      <c r="B354" s="54" t="s">
        <v>570</v>
      </c>
      <c r="C354" s="31">
        <v>4301011868</v>
      </c>
      <c r="D354" s="561">
        <v>4680115884861</v>
      </c>
      <c r="E354" s="562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6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9"/>
      <c r="R354" s="559"/>
      <c r="S354" s="559"/>
      <c r="T354" s="560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x14ac:dyDescent="0.2">
      <c r="A355" s="556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7"/>
      <c r="P355" s="551" t="s">
        <v>75</v>
      </c>
      <c r="Q355" s="552"/>
      <c r="R355" s="552"/>
      <c r="S355" s="552"/>
      <c r="T355" s="552"/>
      <c r="U355" s="552"/>
      <c r="V355" s="553"/>
      <c r="W355" s="37" t="s">
        <v>76</v>
      </c>
      <c r="X355" s="547">
        <f>IFERROR(X348/H348,"0")+IFERROR(X349/H349,"0")+IFERROR(X350/H350,"0")+IFERROR(X351/H351,"0")+IFERROR(X352/H352,"0")+IFERROR(X353/H353,"0")+IFERROR(X354/H354,"0")</f>
        <v>98.799999999999983</v>
      </c>
      <c r="Y355" s="547">
        <f>IFERROR(Y348/H348,"0")+IFERROR(Y349/H349,"0")+IFERROR(Y350/H350,"0")+IFERROR(Y351/H351,"0")+IFERROR(Y352/H352,"0")+IFERROR(Y353/H353,"0")+IFERROR(Y354/H354,"0")</f>
        <v>101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2.1967499999999998</v>
      </c>
      <c r="AA355" s="548"/>
      <c r="AB355" s="548"/>
      <c r="AC355" s="548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7"/>
      <c r="P356" s="551" t="s">
        <v>75</v>
      </c>
      <c r="Q356" s="552"/>
      <c r="R356" s="552"/>
      <c r="S356" s="552"/>
      <c r="T356" s="552"/>
      <c r="U356" s="552"/>
      <c r="V356" s="553"/>
      <c r="W356" s="37" t="s">
        <v>69</v>
      </c>
      <c r="X356" s="547">
        <f>IFERROR(SUM(X348:X354),"0")</f>
        <v>1482</v>
      </c>
      <c r="Y356" s="547">
        <f>IFERROR(SUM(Y348:Y354),"0")</f>
        <v>1515</v>
      </c>
      <c r="Z356" s="37"/>
      <c r="AA356" s="548"/>
      <c r="AB356" s="548"/>
      <c r="AC356" s="548"/>
    </row>
    <row r="357" spans="1:68" ht="14.25" hidden="1" customHeight="1" x14ac:dyDescent="0.25">
      <c r="A357" s="554" t="s">
        <v>135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61">
        <v>4607091383980</v>
      </c>
      <c r="E358" s="562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 t="s">
        <v>103</v>
      </c>
      <c r="M358" s="33" t="s">
        <v>104</v>
      </c>
      <c r="N358" s="33"/>
      <c r="O358" s="32">
        <v>50</v>
      </c>
      <c r="P358" s="77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9"/>
      <c r="R358" s="559"/>
      <c r="S358" s="559"/>
      <c r="T358" s="560"/>
      <c r="U358" s="34"/>
      <c r="V358" s="34"/>
      <c r="W358" s="35" t="s">
        <v>69</v>
      </c>
      <c r="X358" s="545">
        <v>607</v>
      </c>
      <c r="Y358" s="546">
        <f>IFERROR(IF(X358="",0,CEILING((X358/$H358),1)*$H358),"")</f>
        <v>615</v>
      </c>
      <c r="Z358" s="36">
        <f>IFERROR(IF(Y358=0,"",ROUNDUP(Y358/H358,0)*0.02175),"")</f>
        <v>0.89174999999999993</v>
      </c>
      <c r="AA358" s="56"/>
      <c r="AB358" s="57"/>
      <c r="AC358" s="415" t="s">
        <v>573</v>
      </c>
      <c r="AG358" s="64"/>
      <c r="AJ358" s="68" t="s">
        <v>106</v>
      </c>
      <c r="AK358" s="68">
        <v>120</v>
      </c>
      <c r="BB358" s="416" t="s">
        <v>1</v>
      </c>
      <c r="BM358" s="64">
        <f>IFERROR(X358*I358/H358,"0")</f>
        <v>626.01933333333341</v>
      </c>
      <c r="BN358" s="64">
        <f>IFERROR(Y358*I358/H358,"0")</f>
        <v>634.2700000000001</v>
      </c>
      <c r="BO358" s="64">
        <f>IFERROR(1/J358*(X358/H358),"0")</f>
        <v>0.84305555555555556</v>
      </c>
      <c r="BP358" s="64">
        <f>IFERROR(1/J358*(Y358/H358),"0")</f>
        <v>0.85416666666666663</v>
      </c>
    </row>
    <row r="359" spans="1:68" ht="27" hidden="1" customHeight="1" x14ac:dyDescent="0.25">
      <c r="A359" s="54" t="s">
        <v>574</v>
      </c>
      <c r="B359" s="54" t="s">
        <v>575</v>
      </c>
      <c r="C359" s="31">
        <v>4301020179</v>
      </c>
      <c r="D359" s="561">
        <v>4607091384178</v>
      </c>
      <c r="E359" s="562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65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9"/>
      <c r="R359" s="559"/>
      <c r="S359" s="559"/>
      <c r="T359" s="560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6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7"/>
      <c r="P360" s="551" t="s">
        <v>75</v>
      </c>
      <c r="Q360" s="552"/>
      <c r="R360" s="552"/>
      <c r="S360" s="552"/>
      <c r="T360" s="552"/>
      <c r="U360" s="552"/>
      <c r="V360" s="553"/>
      <c r="W360" s="37" t="s">
        <v>76</v>
      </c>
      <c r="X360" s="547">
        <f>IFERROR(X358/H358,"0")+IFERROR(X359/H359,"0")</f>
        <v>40.466666666666669</v>
      </c>
      <c r="Y360" s="547">
        <f>IFERROR(Y358/H358,"0")+IFERROR(Y359/H359,"0")</f>
        <v>41</v>
      </c>
      <c r="Z360" s="547">
        <f>IFERROR(IF(Z358="",0,Z358),"0")+IFERROR(IF(Z359="",0,Z359),"0")</f>
        <v>0.89174999999999993</v>
      </c>
      <c r="AA360" s="548"/>
      <c r="AB360" s="548"/>
      <c r="AC360" s="548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7"/>
      <c r="P361" s="551" t="s">
        <v>75</v>
      </c>
      <c r="Q361" s="552"/>
      <c r="R361" s="552"/>
      <c r="S361" s="552"/>
      <c r="T361" s="552"/>
      <c r="U361" s="552"/>
      <c r="V361" s="553"/>
      <c r="W361" s="37" t="s">
        <v>69</v>
      </c>
      <c r="X361" s="547">
        <f>IFERROR(SUM(X358:X359),"0")</f>
        <v>607</v>
      </c>
      <c r="Y361" s="547">
        <f>IFERROR(SUM(Y358:Y359),"0")</f>
        <v>615</v>
      </c>
      <c r="Z361" s="37"/>
      <c r="AA361" s="548"/>
      <c r="AB361" s="548"/>
      <c r="AC361" s="548"/>
    </row>
    <row r="362" spans="1:68" ht="14.25" hidden="1" customHeight="1" x14ac:dyDescent="0.25">
      <c r="A362" s="554" t="s">
        <v>77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41"/>
      <c r="AB362" s="541"/>
      <c r="AC362" s="541"/>
    </row>
    <row r="363" spans="1:68" ht="27" hidden="1" customHeight="1" x14ac:dyDescent="0.25">
      <c r="A363" s="54" t="s">
        <v>577</v>
      </c>
      <c r="B363" s="54" t="s">
        <v>578</v>
      </c>
      <c r="C363" s="31">
        <v>4301051903</v>
      </c>
      <c r="D363" s="561">
        <v>4607091383928</v>
      </c>
      <c r="E363" s="562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55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9"/>
      <c r="R363" s="559"/>
      <c r="S363" s="559"/>
      <c r="T363" s="560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580</v>
      </c>
      <c r="B364" s="54" t="s">
        <v>581</v>
      </c>
      <c r="C364" s="31">
        <v>4301051897</v>
      </c>
      <c r="D364" s="561">
        <v>4607091384260</v>
      </c>
      <c r="E364" s="562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63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9"/>
      <c r="R364" s="559"/>
      <c r="S364" s="559"/>
      <c r="T364" s="560"/>
      <c r="U364" s="34"/>
      <c r="V364" s="34"/>
      <c r="W364" s="35" t="s">
        <v>69</v>
      </c>
      <c r="X364" s="545">
        <v>0</v>
      </c>
      <c r="Y364" s="54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56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7"/>
      <c r="P365" s="551" t="s">
        <v>75</v>
      </c>
      <c r="Q365" s="552"/>
      <c r="R365" s="552"/>
      <c r="S365" s="552"/>
      <c r="T365" s="552"/>
      <c r="U365" s="552"/>
      <c r="V365" s="553"/>
      <c r="W365" s="37" t="s">
        <v>76</v>
      </c>
      <c r="X365" s="547">
        <f>IFERROR(X363/H363,"0")+IFERROR(X364/H364,"0")</f>
        <v>0</v>
      </c>
      <c r="Y365" s="547">
        <f>IFERROR(Y363/H363,"0")+IFERROR(Y364/H364,"0")</f>
        <v>0</v>
      </c>
      <c r="Z365" s="547">
        <f>IFERROR(IF(Z363="",0,Z363),"0")+IFERROR(IF(Z364="",0,Z364),"0")</f>
        <v>0</v>
      </c>
      <c r="AA365" s="548"/>
      <c r="AB365" s="548"/>
      <c r="AC365" s="548"/>
    </row>
    <row r="366" spans="1:68" hidden="1" x14ac:dyDescent="0.2">
      <c r="A366" s="555"/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7"/>
      <c r="P366" s="551" t="s">
        <v>75</v>
      </c>
      <c r="Q366" s="552"/>
      <c r="R366" s="552"/>
      <c r="S366" s="552"/>
      <c r="T366" s="552"/>
      <c r="U366" s="552"/>
      <c r="V366" s="553"/>
      <c r="W366" s="37" t="s">
        <v>69</v>
      </c>
      <c r="X366" s="547">
        <f>IFERROR(SUM(X363:X364),"0")</f>
        <v>0</v>
      </c>
      <c r="Y366" s="547">
        <f>IFERROR(SUM(Y363:Y364),"0")</f>
        <v>0</v>
      </c>
      <c r="Z366" s="37"/>
      <c r="AA366" s="548"/>
      <c r="AB366" s="548"/>
      <c r="AC366" s="548"/>
    </row>
    <row r="367" spans="1:68" ht="14.25" hidden="1" customHeight="1" x14ac:dyDescent="0.25">
      <c r="A367" s="554" t="s">
        <v>160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41"/>
      <c r="AB367" s="541"/>
      <c r="AC367" s="541"/>
    </row>
    <row r="368" spans="1:68" ht="16.5" hidden="1" customHeight="1" x14ac:dyDescent="0.25">
      <c r="A368" s="54" t="s">
        <v>583</v>
      </c>
      <c r="B368" s="54" t="s">
        <v>584</v>
      </c>
      <c r="C368" s="31">
        <v>4301060524</v>
      </c>
      <c r="D368" s="561">
        <v>4607091384673</v>
      </c>
      <c r="E368" s="562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58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9"/>
      <c r="R368" s="559"/>
      <c r="S368" s="559"/>
      <c r="T368" s="560"/>
      <c r="U368" s="34"/>
      <c r="V368" s="34"/>
      <c r="W368" s="35" t="s">
        <v>69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56"/>
      <c r="B369" s="555"/>
      <c r="C369" s="555"/>
      <c r="D369" s="555"/>
      <c r="E369" s="555"/>
      <c r="F369" s="555"/>
      <c r="G369" s="555"/>
      <c r="H369" s="555"/>
      <c r="I369" s="555"/>
      <c r="J369" s="555"/>
      <c r="K369" s="555"/>
      <c r="L369" s="555"/>
      <c r="M369" s="555"/>
      <c r="N369" s="555"/>
      <c r="O369" s="557"/>
      <c r="P369" s="551" t="s">
        <v>75</v>
      </c>
      <c r="Q369" s="552"/>
      <c r="R369" s="552"/>
      <c r="S369" s="552"/>
      <c r="T369" s="552"/>
      <c r="U369" s="552"/>
      <c r="V369" s="553"/>
      <c r="W369" s="37" t="s">
        <v>76</v>
      </c>
      <c r="X369" s="547">
        <f>IFERROR(X368/H368,"0")</f>
        <v>0</v>
      </c>
      <c r="Y369" s="547">
        <f>IFERROR(Y368/H368,"0")</f>
        <v>0</v>
      </c>
      <c r="Z369" s="547">
        <f>IFERROR(IF(Z368="",0,Z368),"0")</f>
        <v>0</v>
      </c>
      <c r="AA369" s="548"/>
      <c r="AB369" s="548"/>
      <c r="AC369" s="548"/>
    </row>
    <row r="370" spans="1:68" hidden="1" x14ac:dyDescent="0.2">
      <c r="A370" s="555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7"/>
      <c r="P370" s="551" t="s">
        <v>75</v>
      </c>
      <c r="Q370" s="552"/>
      <c r="R370" s="552"/>
      <c r="S370" s="552"/>
      <c r="T370" s="552"/>
      <c r="U370" s="552"/>
      <c r="V370" s="553"/>
      <c r="W370" s="37" t="s">
        <v>69</v>
      </c>
      <c r="X370" s="547">
        <f>IFERROR(SUM(X368:X368),"0")</f>
        <v>0</v>
      </c>
      <c r="Y370" s="547">
        <f>IFERROR(SUM(Y368:Y368),"0")</f>
        <v>0</v>
      </c>
      <c r="Z370" s="37"/>
      <c r="AA370" s="548"/>
      <c r="AB370" s="548"/>
      <c r="AC370" s="548"/>
    </row>
    <row r="371" spans="1:68" ht="16.5" hidden="1" customHeight="1" x14ac:dyDescent="0.25">
      <c r="A371" s="590" t="s">
        <v>586</v>
      </c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5"/>
      <c r="P371" s="555"/>
      <c r="Q371" s="555"/>
      <c r="R371" s="555"/>
      <c r="S371" s="555"/>
      <c r="T371" s="555"/>
      <c r="U371" s="555"/>
      <c r="V371" s="555"/>
      <c r="W371" s="555"/>
      <c r="X371" s="555"/>
      <c r="Y371" s="555"/>
      <c r="Z371" s="555"/>
      <c r="AA371" s="540"/>
      <c r="AB371" s="540"/>
      <c r="AC371" s="540"/>
    </row>
    <row r="372" spans="1:68" ht="14.25" hidden="1" customHeight="1" x14ac:dyDescent="0.25">
      <c r="A372" s="554" t="s">
        <v>99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41"/>
      <c r="AB372" s="541"/>
      <c r="AC372" s="541"/>
    </row>
    <row r="373" spans="1:68" ht="37.5" hidden="1" customHeight="1" x14ac:dyDescent="0.25">
      <c r="A373" s="54" t="s">
        <v>587</v>
      </c>
      <c r="B373" s="54" t="s">
        <v>588</v>
      </c>
      <c r="C373" s="31">
        <v>4301011875</v>
      </c>
      <c r="D373" s="561">
        <v>4680115884885</v>
      </c>
      <c r="E373" s="562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 t="s">
        <v>103</v>
      </c>
      <c r="M373" s="33" t="s">
        <v>68</v>
      </c>
      <c r="N373" s="33"/>
      <c r="O373" s="32">
        <v>60</v>
      </c>
      <c r="P373" s="56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9"/>
      <c r="R373" s="559"/>
      <c r="S373" s="559"/>
      <c r="T373" s="560"/>
      <c r="U373" s="34"/>
      <c r="V373" s="34"/>
      <c r="W373" s="35" t="s">
        <v>69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589</v>
      </c>
      <c r="AG373" s="64"/>
      <c r="AJ373" s="68" t="s">
        <v>106</v>
      </c>
      <c r="AK373" s="68">
        <v>96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hidden="1" customHeight="1" x14ac:dyDescent="0.25">
      <c r="A374" s="54" t="s">
        <v>590</v>
      </c>
      <c r="B374" s="54" t="s">
        <v>591</v>
      </c>
      <c r="C374" s="31">
        <v>4301011871</v>
      </c>
      <c r="D374" s="561">
        <v>4680115884908</v>
      </c>
      <c r="E374" s="562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3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9"/>
      <c r="R374" s="559"/>
      <c r="S374" s="559"/>
      <c r="T374" s="560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6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7"/>
      <c r="P375" s="551" t="s">
        <v>75</v>
      </c>
      <c r="Q375" s="552"/>
      <c r="R375" s="552"/>
      <c r="S375" s="552"/>
      <c r="T375" s="552"/>
      <c r="U375" s="552"/>
      <c r="V375" s="553"/>
      <c r="W375" s="37" t="s">
        <v>76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hidden="1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7"/>
      <c r="P376" s="551" t="s">
        <v>75</v>
      </c>
      <c r="Q376" s="552"/>
      <c r="R376" s="552"/>
      <c r="S376" s="552"/>
      <c r="T376" s="552"/>
      <c r="U376" s="552"/>
      <c r="V376" s="553"/>
      <c r="W376" s="37" t="s">
        <v>69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hidden="1" customHeight="1" x14ac:dyDescent="0.25">
      <c r="A377" s="554" t="s">
        <v>64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41"/>
      <c r="AB377" s="541"/>
      <c r="AC377" s="541"/>
    </row>
    <row r="378" spans="1:68" ht="27" hidden="1" customHeight="1" x14ac:dyDescent="0.25">
      <c r="A378" s="54" t="s">
        <v>592</v>
      </c>
      <c r="B378" s="54" t="s">
        <v>593</v>
      </c>
      <c r="C378" s="31">
        <v>4301031303</v>
      </c>
      <c r="D378" s="561">
        <v>4607091384802</v>
      </c>
      <c r="E378" s="562"/>
      <c r="F378" s="544">
        <v>0.73</v>
      </c>
      <c r="G378" s="32">
        <v>6</v>
      </c>
      <c r="H378" s="544">
        <v>4.38</v>
      </c>
      <c r="I378" s="544">
        <v>4.63</v>
      </c>
      <c r="J378" s="32">
        <v>132</v>
      </c>
      <c r="K378" s="32" t="s">
        <v>109</v>
      </c>
      <c r="L378" s="32" t="s">
        <v>110</v>
      </c>
      <c r="M378" s="33" t="s">
        <v>68</v>
      </c>
      <c r="N378" s="33"/>
      <c r="O378" s="32">
        <v>35</v>
      </c>
      <c r="P378" s="77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9"/>
      <c r="R378" s="559"/>
      <c r="S378" s="559"/>
      <c r="T378" s="560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 t="s">
        <v>106</v>
      </c>
      <c r="AK378" s="68">
        <v>52.56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592</v>
      </c>
      <c r="B379" s="54" t="s">
        <v>595</v>
      </c>
      <c r="C379" s="31">
        <v>4301031457</v>
      </c>
      <c r="D379" s="561">
        <v>4607091384802</v>
      </c>
      <c r="E379" s="562"/>
      <c r="F379" s="544">
        <v>0.7</v>
      </c>
      <c r="G379" s="32">
        <v>6</v>
      </c>
      <c r="H379" s="544">
        <v>4.2</v>
      </c>
      <c r="I379" s="544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82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9"/>
      <c r="R379" s="559"/>
      <c r="S379" s="559"/>
      <c r="T379" s="560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56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7"/>
      <c r="P380" s="551" t="s">
        <v>75</v>
      </c>
      <c r="Q380" s="552"/>
      <c r="R380" s="552"/>
      <c r="S380" s="552"/>
      <c r="T380" s="552"/>
      <c r="U380" s="552"/>
      <c r="V380" s="553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hidden="1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7"/>
      <c r="P381" s="551" t="s">
        <v>75</v>
      </c>
      <c r="Q381" s="552"/>
      <c r="R381" s="552"/>
      <c r="S381" s="552"/>
      <c r="T381" s="552"/>
      <c r="U381" s="552"/>
      <c r="V381" s="553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hidden="1" customHeight="1" x14ac:dyDescent="0.25">
      <c r="A382" s="554" t="s">
        <v>77</v>
      </c>
      <c r="B382" s="555"/>
      <c r="C382" s="555"/>
      <c r="D382" s="555"/>
      <c r="E382" s="555"/>
      <c r="F382" s="555"/>
      <c r="G382" s="555"/>
      <c r="H382" s="555"/>
      <c r="I382" s="555"/>
      <c r="J382" s="555"/>
      <c r="K382" s="555"/>
      <c r="L382" s="555"/>
      <c r="M382" s="555"/>
      <c r="N382" s="555"/>
      <c r="O382" s="555"/>
      <c r="P382" s="555"/>
      <c r="Q382" s="555"/>
      <c r="R382" s="555"/>
      <c r="S382" s="555"/>
      <c r="T382" s="555"/>
      <c r="U382" s="555"/>
      <c r="V382" s="555"/>
      <c r="W382" s="555"/>
      <c r="X382" s="555"/>
      <c r="Y382" s="555"/>
      <c r="Z382" s="555"/>
      <c r="AA382" s="541"/>
      <c r="AB382" s="541"/>
      <c r="AC382" s="541"/>
    </row>
    <row r="383" spans="1:68" ht="27" hidden="1" customHeight="1" x14ac:dyDescent="0.25">
      <c r="A383" s="54" t="s">
        <v>597</v>
      </c>
      <c r="B383" s="54" t="s">
        <v>598</v>
      </c>
      <c r="C383" s="31">
        <v>4301051899</v>
      </c>
      <c r="D383" s="561">
        <v>4607091384246</v>
      </c>
      <c r="E383" s="562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71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9"/>
      <c r="R383" s="559"/>
      <c r="S383" s="559"/>
      <c r="T383" s="560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600</v>
      </c>
      <c r="B384" s="54" t="s">
        <v>601</v>
      </c>
      <c r="C384" s="31">
        <v>4301051660</v>
      </c>
      <c r="D384" s="561">
        <v>4607091384253</v>
      </c>
      <c r="E384" s="562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 t="s">
        <v>186</v>
      </c>
      <c r="M384" s="33" t="s">
        <v>80</v>
      </c>
      <c r="N384" s="33"/>
      <c r="O384" s="32">
        <v>40</v>
      </c>
      <c r="P384" s="86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9"/>
      <c r="R384" s="559"/>
      <c r="S384" s="559"/>
      <c r="T384" s="560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599</v>
      </c>
      <c r="AG384" s="64"/>
      <c r="AJ384" s="68" t="s">
        <v>106</v>
      </c>
      <c r="AK384" s="68">
        <v>33.6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600</v>
      </c>
      <c r="B385" s="54" t="s">
        <v>602</v>
      </c>
      <c r="C385" s="31">
        <v>4301052069</v>
      </c>
      <c r="D385" s="561">
        <v>4607091384253</v>
      </c>
      <c r="E385" s="562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58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9"/>
      <c r="R385" s="559"/>
      <c r="S385" s="559"/>
      <c r="T385" s="560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idden="1" x14ac:dyDescent="0.2">
      <c r="A386" s="556"/>
      <c r="B386" s="555"/>
      <c r="C386" s="555"/>
      <c r="D386" s="555"/>
      <c r="E386" s="555"/>
      <c r="F386" s="555"/>
      <c r="G386" s="555"/>
      <c r="H386" s="555"/>
      <c r="I386" s="555"/>
      <c r="J386" s="555"/>
      <c r="K386" s="555"/>
      <c r="L386" s="555"/>
      <c r="M386" s="555"/>
      <c r="N386" s="555"/>
      <c r="O386" s="557"/>
      <c r="P386" s="551" t="s">
        <v>75</v>
      </c>
      <c r="Q386" s="552"/>
      <c r="R386" s="552"/>
      <c r="S386" s="552"/>
      <c r="T386" s="552"/>
      <c r="U386" s="552"/>
      <c r="V386" s="553"/>
      <c r="W386" s="37" t="s">
        <v>76</v>
      </c>
      <c r="X386" s="547">
        <f>IFERROR(X383/H383,"0")+IFERROR(X384/H384,"0")+IFERROR(X385/H385,"0")</f>
        <v>0</v>
      </c>
      <c r="Y386" s="547">
        <f>IFERROR(Y383/H383,"0")+IFERROR(Y384/H384,"0")+IFERROR(Y385/H385,"0")</f>
        <v>0</v>
      </c>
      <c r="Z386" s="547">
        <f>IFERROR(IF(Z383="",0,Z383),"0")+IFERROR(IF(Z384="",0,Z384),"0")+IFERROR(IF(Z385="",0,Z385),"0")</f>
        <v>0</v>
      </c>
      <c r="AA386" s="548"/>
      <c r="AB386" s="548"/>
      <c r="AC386" s="548"/>
    </row>
    <row r="387" spans="1:68" hidden="1" x14ac:dyDescent="0.2">
      <c r="A387" s="555"/>
      <c r="B387" s="555"/>
      <c r="C387" s="555"/>
      <c r="D387" s="555"/>
      <c r="E387" s="555"/>
      <c r="F387" s="555"/>
      <c r="G387" s="555"/>
      <c r="H387" s="555"/>
      <c r="I387" s="555"/>
      <c r="J387" s="555"/>
      <c r="K387" s="555"/>
      <c r="L387" s="555"/>
      <c r="M387" s="555"/>
      <c r="N387" s="555"/>
      <c r="O387" s="557"/>
      <c r="P387" s="551" t="s">
        <v>75</v>
      </c>
      <c r="Q387" s="552"/>
      <c r="R387" s="552"/>
      <c r="S387" s="552"/>
      <c r="T387" s="552"/>
      <c r="U387" s="552"/>
      <c r="V387" s="553"/>
      <c r="W387" s="37" t="s">
        <v>69</v>
      </c>
      <c r="X387" s="547">
        <f>IFERROR(SUM(X383:X385),"0")</f>
        <v>0</v>
      </c>
      <c r="Y387" s="547">
        <f>IFERROR(SUM(Y383:Y385),"0")</f>
        <v>0</v>
      </c>
      <c r="Z387" s="37"/>
      <c r="AA387" s="548"/>
      <c r="AB387" s="548"/>
      <c r="AC387" s="548"/>
    </row>
    <row r="388" spans="1:68" ht="27.75" hidden="1" customHeight="1" x14ac:dyDescent="0.2">
      <c r="A388" s="669" t="s">
        <v>604</v>
      </c>
      <c r="B388" s="670"/>
      <c r="C388" s="670"/>
      <c r="D388" s="670"/>
      <c r="E388" s="670"/>
      <c r="F388" s="670"/>
      <c r="G388" s="670"/>
      <c r="H388" s="670"/>
      <c r="I388" s="670"/>
      <c r="J388" s="670"/>
      <c r="K388" s="670"/>
      <c r="L388" s="670"/>
      <c r="M388" s="670"/>
      <c r="N388" s="670"/>
      <c r="O388" s="670"/>
      <c r="P388" s="670"/>
      <c r="Q388" s="670"/>
      <c r="R388" s="670"/>
      <c r="S388" s="670"/>
      <c r="T388" s="670"/>
      <c r="U388" s="670"/>
      <c r="V388" s="670"/>
      <c r="W388" s="670"/>
      <c r="X388" s="670"/>
      <c r="Y388" s="670"/>
      <c r="Z388" s="670"/>
      <c r="AA388" s="48"/>
      <c r="AB388" s="48"/>
      <c r="AC388" s="48"/>
    </row>
    <row r="389" spans="1:68" ht="16.5" hidden="1" customHeight="1" x14ac:dyDescent="0.25">
      <c r="A389" s="590" t="s">
        <v>605</v>
      </c>
      <c r="B389" s="555"/>
      <c r="C389" s="555"/>
      <c r="D389" s="555"/>
      <c r="E389" s="555"/>
      <c r="F389" s="555"/>
      <c r="G389" s="555"/>
      <c r="H389" s="555"/>
      <c r="I389" s="555"/>
      <c r="J389" s="555"/>
      <c r="K389" s="555"/>
      <c r="L389" s="555"/>
      <c r="M389" s="555"/>
      <c r="N389" s="555"/>
      <c r="O389" s="555"/>
      <c r="P389" s="555"/>
      <c r="Q389" s="555"/>
      <c r="R389" s="555"/>
      <c r="S389" s="555"/>
      <c r="T389" s="555"/>
      <c r="U389" s="555"/>
      <c r="V389" s="555"/>
      <c r="W389" s="555"/>
      <c r="X389" s="555"/>
      <c r="Y389" s="555"/>
      <c r="Z389" s="555"/>
      <c r="AA389" s="540"/>
      <c r="AB389" s="540"/>
      <c r="AC389" s="540"/>
    </row>
    <row r="390" spans="1:68" ht="14.25" hidden="1" customHeight="1" x14ac:dyDescent="0.25">
      <c r="A390" s="554" t="s">
        <v>64</v>
      </c>
      <c r="B390" s="555"/>
      <c r="C390" s="555"/>
      <c r="D390" s="555"/>
      <c r="E390" s="555"/>
      <c r="F390" s="555"/>
      <c r="G390" s="555"/>
      <c r="H390" s="555"/>
      <c r="I390" s="555"/>
      <c r="J390" s="555"/>
      <c r="K390" s="555"/>
      <c r="L390" s="555"/>
      <c r="M390" s="555"/>
      <c r="N390" s="555"/>
      <c r="O390" s="555"/>
      <c r="P390" s="555"/>
      <c r="Q390" s="555"/>
      <c r="R390" s="555"/>
      <c r="S390" s="555"/>
      <c r="T390" s="555"/>
      <c r="U390" s="555"/>
      <c r="V390" s="555"/>
      <c r="W390" s="555"/>
      <c r="X390" s="555"/>
      <c r="Y390" s="555"/>
      <c r="Z390" s="555"/>
      <c r="AA390" s="541"/>
      <c r="AB390" s="541"/>
      <c r="AC390" s="541"/>
    </row>
    <row r="391" spans="1:68" ht="27" hidden="1" customHeight="1" x14ac:dyDescent="0.25">
      <c r="A391" s="54" t="s">
        <v>606</v>
      </c>
      <c r="B391" s="54" t="s">
        <v>607</v>
      </c>
      <c r="C391" s="31">
        <v>4301031405</v>
      </c>
      <c r="D391" s="561">
        <v>4680115886100</v>
      </c>
      <c r="E391" s="562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/>
      <c r="M391" s="33" t="s">
        <v>68</v>
      </c>
      <c r="N391" s="33"/>
      <c r="O391" s="32">
        <v>50</v>
      </c>
      <c r="P391" s="8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9"/>
      <c r="R391" s="559"/>
      <c r="S391" s="559"/>
      <c r="T391" s="560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hidden="1" customHeight="1" x14ac:dyDescent="0.25">
      <c r="A392" s="54" t="s">
        <v>609</v>
      </c>
      <c r="B392" s="54" t="s">
        <v>610</v>
      </c>
      <c r="C392" s="31">
        <v>4301031406</v>
      </c>
      <c r="D392" s="561">
        <v>4680115886117</v>
      </c>
      <c r="E392" s="562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84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9"/>
      <c r="R392" s="559"/>
      <c r="S392" s="559"/>
      <c r="T392" s="560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4301031402</v>
      </c>
      <c r="D393" s="561">
        <v>4680115886124</v>
      </c>
      <c r="E393" s="562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 t="s">
        <v>110</v>
      </c>
      <c r="M393" s="33" t="s">
        <v>68</v>
      </c>
      <c r="N393" s="33"/>
      <c r="O393" s="32">
        <v>50</v>
      </c>
      <c r="P393" s="59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9"/>
      <c r="R393" s="559"/>
      <c r="S393" s="559"/>
      <c r="T393" s="560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 t="s">
        <v>106</v>
      </c>
      <c r="AK393" s="68">
        <v>64.8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4301031366</v>
      </c>
      <c r="D394" s="561">
        <v>4680115883147</v>
      </c>
      <c r="E394" s="562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830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9"/>
      <c r="R394" s="559"/>
      <c r="S394" s="559"/>
      <c r="T394" s="560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617</v>
      </c>
      <c r="B395" s="54" t="s">
        <v>618</v>
      </c>
      <c r="C395" s="31">
        <v>4301031362</v>
      </c>
      <c r="D395" s="561">
        <v>4607091384338</v>
      </c>
      <c r="E395" s="562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1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9"/>
      <c r="R395" s="559"/>
      <c r="S395" s="559"/>
      <c r="T395" s="560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hidden="1" customHeight="1" x14ac:dyDescent="0.25">
      <c r="A396" s="54" t="s">
        <v>619</v>
      </c>
      <c r="B396" s="54" t="s">
        <v>620</v>
      </c>
      <c r="C396" s="31">
        <v>4301031361</v>
      </c>
      <c r="D396" s="561">
        <v>4607091389524</v>
      </c>
      <c r="E396" s="562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66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9"/>
      <c r="R396" s="559"/>
      <c r="S396" s="559"/>
      <c r="T396" s="560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621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27" hidden="1" customHeight="1" x14ac:dyDescent="0.25">
      <c r="A397" s="54" t="s">
        <v>622</v>
      </c>
      <c r="B397" s="54" t="s">
        <v>623</v>
      </c>
      <c r="C397" s="31">
        <v>4301031364</v>
      </c>
      <c r="D397" s="561">
        <v>4680115883161</v>
      </c>
      <c r="E397" s="562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4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9"/>
      <c r="R397" s="559"/>
      <c r="S397" s="559"/>
      <c r="T397" s="560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4301031358</v>
      </c>
      <c r="D398" s="561">
        <v>4607091389531</v>
      </c>
      <c r="E398" s="562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65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9"/>
      <c r="R398" s="559"/>
      <c r="S398" s="559"/>
      <c r="T398" s="560"/>
      <c r="U398" s="34"/>
      <c r="V398" s="34"/>
      <c r="W398" s="35" t="s">
        <v>69</v>
      </c>
      <c r="X398" s="545">
        <v>0</v>
      </c>
      <c r="Y398" s="546">
        <f t="shared" si="36"/>
        <v>0</v>
      </c>
      <c r="Z398" s="36" t="str">
        <f t="shared" si="4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37"/>
        <v>0</v>
      </c>
      <c r="BN398" s="64">
        <f t="shared" si="38"/>
        <v>0</v>
      </c>
      <c r="BO398" s="64">
        <f t="shared" si="39"/>
        <v>0</v>
      </c>
      <c r="BP398" s="64">
        <f t="shared" si="40"/>
        <v>0</v>
      </c>
    </row>
    <row r="399" spans="1:68" ht="37.5" hidden="1" customHeight="1" x14ac:dyDescent="0.25">
      <c r="A399" s="54" t="s">
        <v>628</v>
      </c>
      <c r="B399" s="54" t="s">
        <v>629</v>
      </c>
      <c r="C399" s="31">
        <v>4301031360</v>
      </c>
      <c r="D399" s="561">
        <v>4607091384345</v>
      </c>
      <c r="E399" s="562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67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9"/>
      <c r="R399" s="559"/>
      <c r="S399" s="559"/>
      <c r="T399" s="560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hidden="1" x14ac:dyDescent="0.2">
      <c r="A400" s="556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7"/>
      <c r="P400" s="551" t="s">
        <v>75</v>
      </c>
      <c r="Q400" s="552"/>
      <c r="R400" s="552"/>
      <c r="S400" s="552"/>
      <c r="T400" s="552"/>
      <c r="U400" s="552"/>
      <c r="V400" s="553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0</v>
      </c>
      <c r="Y400" s="547">
        <f>IFERROR(Y391/H391,"0")+IFERROR(Y392/H392,"0")+IFERROR(Y393/H393,"0")+IFERROR(Y394/H394,"0")+IFERROR(Y395/H395,"0")+IFERROR(Y396/H396,"0")+IFERROR(Y397/H397,"0")+IFERROR(Y398/H398,"0")+IFERROR(Y399/H399,"0")</f>
        <v>0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48"/>
      <c r="AB400" s="548"/>
      <c r="AC400" s="548"/>
    </row>
    <row r="401" spans="1:68" hidden="1" x14ac:dyDescent="0.2">
      <c r="A401" s="555"/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7"/>
      <c r="P401" s="551" t="s">
        <v>75</v>
      </c>
      <c r="Q401" s="552"/>
      <c r="R401" s="552"/>
      <c r="S401" s="552"/>
      <c r="T401" s="552"/>
      <c r="U401" s="552"/>
      <c r="V401" s="553"/>
      <c r="W401" s="37" t="s">
        <v>69</v>
      </c>
      <c r="X401" s="547">
        <f>IFERROR(SUM(X391:X399),"0")</f>
        <v>0</v>
      </c>
      <c r="Y401" s="547">
        <f>IFERROR(SUM(Y391:Y399),"0")</f>
        <v>0</v>
      </c>
      <c r="Z401" s="37"/>
      <c r="AA401" s="548"/>
      <c r="AB401" s="548"/>
      <c r="AC401" s="548"/>
    </row>
    <row r="402" spans="1:68" ht="14.25" hidden="1" customHeight="1" x14ac:dyDescent="0.25">
      <c r="A402" s="554" t="s">
        <v>77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41"/>
      <c r="AB402" s="541"/>
      <c r="AC402" s="541"/>
    </row>
    <row r="403" spans="1:68" ht="27" hidden="1" customHeight="1" x14ac:dyDescent="0.25">
      <c r="A403" s="54" t="s">
        <v>630</v>
      </c>
      <c r="B403" s="54" t="s">
        <v>631</v>
      </c>
      <c r="C403" s="31">
        <v>4301051284</v>
      </c>
      <c r="D403" s="561">
        <v>4607091384352</v>
      </c>
      <c r="E403" s="562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77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9"/>
      <c r="R403" s="559"/>
      <c r="S403" s="559"/>
      <c r="T403" s="560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633</v>
      </c>
      <c r="B404" s="54" t="s">
        <v>634</v>
      </c>
      <c r="C404" s="31">
        <v>4301051431</v>
      </c>
      <c r="D404" s="561">
        <v>4607091389654</v>
      </c>
      <c r="E404" s="562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82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9"/>
      <c r="R404" s="559"/>
      <c r="S404" s="559"/>
      <c r="T404" s="560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56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7"/>
      <c r="P405" s="551" t="s">
        <v>75</v>
      </c>
      <c r="Q405" s="552"/>
      <c r="R405" s="552"/>
      <c r="S405" s="552"/>
      <c r="T405" s="552"/>
      <c r="U405" s="552"/>
      <c r="V405" s="553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hidden="1" x14ac:dyDescent="0.2">
      <c r="A406" s="555"/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7"/>
      <c r="P406" s="551" t="s">
        <v>75</v>
      </c>
      <c r="Q406" s="552"/>
      <c r="R406" s="552"/>
      <c r="S406" s="552"/>
      <c r="T406" s="552"/>
      <c r="U406" s="552"/>
      <c r="V406" s="553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hidden="1" customHeight="1" x14ac:dyDescent="0.25">
      <c r="A407" s="590" t="s">
        <v>636</v>
      </c>
      <c r="B407" s="555"/>
      <c r="C407" s="555"/>
      <c r="D407" s="555"/>
      <c r="E407" s="555"/>
      <c r="F407" s="555"/>
      <c r="G407" s="555"/>
      <c r="H407" s="555"/>
      <c r="I407" s="555"/>
      <c r="J407" s="555"/>
      <c r="K407" s="555"/>
      <c r="L407" s="555"/>
      <c r="M407" s="555"/>
      <c r="N407" s="555"/>
      <c r="O407" s="555"/>
      <c r="P407" s="555"/>
      <c r="Q407" s="555"/>
      <c r="R407" s="555"/>
      <c r="S407" s="555"/>
      <c r="T407" s="555"/>
      <c r="U407" s="555"/>
      <c r="V407" s="555"/>
      <c r="W407" s="555"/>
      <c r="X407" s="555"/>
      <c r="Y407" s="555"/>
      <c r="Z407" s="555"/>
      <c r="AA407" s="540"/>
      <c r="AB407" s="540"/>
      <c r="AC407" s="540"/>
    </row>
    <row r="408" spans="1:68" ht="14.25" hidden="1" customHeight="1" x14ac:dyDescent="0.25">
      <c r="A408" s="554" t="s">
        <v>135</v>
      </c>
      <c r="B408" s="555"/>
      <c r="C408" s="555"/>
      <c r="D408" s="555"/>
      <c r="E408" s="555"/>
      <c r="F408" s="555"/>
      <c r="G408" s="555"/>
      <c r="H408" s="555"/>
      <c r="I408" s="555"/>
      <c r="J408" s="555"/>
      <c r="K408" s="555"/>
      <c r="L408" s="555"/>
      <c r="M408" s="555"/>
      <c r="N408" s="555"/>
      <c r="O408" s="555"/>
      <c r="P408" s="555"/>
      <c r="Q408" s="555"/>
      <c r="R408" s="555"/>
      <c r="S408" s="555"/>
      <c r="T408" s="555"/>
      <c r="U408" s="555"/>
      <c r="V408" s="555"/>
      <c r="W408" s="555"/>
      <c r="X408" s="555"/>
      <c r="Y408" s="555"/>
      <c r="Z408" s="555"/>
      <c r="AA408" s="541"/>
      <c r="AB408" s="541"/>
      <c r="AC408" s="541"/>
    </row>
    <row r="409" spans="1:68" ht="27" hidden="1" customHeight="1" x14ac:dyDescent="0.25">
      <c r="A409" s="54" t="s">
        <v>637</v>
      </c>
      <c r="B409" s="54" t="s">
        <v>638</v>
      </c>
      <c r="C409" s="31">
        <v>4301020319</v>
      </c>
      <c r="D409" s="561">
        <v>4680115885240</v>
      </c>
      <c r="E409" s="562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64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9"/>
      <c r="R409" s="559"/>
      <c r="S409" s="559"/>
      <c r="T409" s="560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56"/>
      <c r="B410" s="555"/>
      <c r="C410" s="555"/>
      <c r="D410" s="555"/>
      <c r="E410" s="555"/>
      <c r="F410" s="555"/>
      <c r="G410" s="555"/>
      <c r="H410" s="555"/>
      <c r="I410" s="555"/>
      <c r="J410" s="555"/>
      <c r="K410" s="555"/>
      <c r="L410" s="555"/>
      <c r="M410" s="555"/>
      <c r="N410" s="555"/>
      <c r="O410" s="557"/>
      <c r="P410" s="551" t="s">
        <v>75</v>
      </c>
      <c r="Q410" s="552"/>
      <c r="R410" s="552"/>
      <c r="S410" s="552"/>
      <c r="T410" s="552"/>
      <c r="U410" s="552"/>
      <c r="V410" s="553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hidden="1" x14ac:dyDescent="0.2">
      <c r="A411" s="555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7"/>
      <c r="P411" s="551" t="s">
        <v>75</v>
      </c>
      <c r="Q411" s="552"/>
      <c r="R411" s="552"/>
      <c r="S411" s="552"/>
      <c r="T411" s="552"/>
      <c r="U411" s="552"/>
      <c r="V411" s="553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hidden="1" customHeight="1" x14ac:dyDescent="0.25">
      <c r="A412" s="554" t="s">
        <v>64</v>
      </c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5"/>
      <c r="P412" s="555"/>
      <c r="Q412" s="555"/>
      <c r="R412" s="555"/>
      <c r="S412" s="555"/>
      <c r="T412" s="555"/>
      <c r="U412" s="555"/>
      <c r="V412" s="555"/>
      <c r="W412" s="555"/>
      <c r="X412" s="555"/>
      <c r="Y412" s="555"/>
      <c r="Z412" s="555"/>
      <c r="AA412" s="541"/>
      <c r="AB412" s="541"/>
      <c r="AC412" s="541"/>
    </row>
    <row r="413" spans="1:68" ht="27" hidden="1" customHeight="1" x14ac:dyDescent="0.25">
      <c r="A413" s="54" t="s">
        <v>640</v>
      </c>
      <c r="B413" s="54" t="s">
        <v>641</v>
      </c>
      <c r="C413" s="31">
        <v>4301031403</v>
      </c>
      <c r="D413" s="561">
        <v>4680115886094</v>
      </c>
      <c r="E413" s="562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/>
      <c r="M413" s="33" t="s">
        <v>104</v>
      </c>
      <c r="N413" s="33"/>
      <c r="O413" s="32">
        <v>50</v>
      </c>
      <c r="P413" s="8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9"/>
      <c r="R413" s="559"/>
      <c r="S413" s="559"/>
      <c r="T413" s="560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642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643</v>
      </c>
      <c r="B414" s="54" t="s">
        <v>644</v>
      </c>
      <c r="C414" s="31">
        <v>4301031363</v>
      </c>
      <c r="D414" s="561">
        <v>4607091389425</v>
      </c>
      <c r="E414" s="562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87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9"/>
      <c r="R414" s="559"/>
      <c r="S414" s="559"/>
      <c r="T414" s="560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4301031373</v>
      </c>
      <c r="D415" s="561">
        <v>4680115880771</v>
      </c>
      <c r="E415" s="562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63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9"/>
      <c r="R415" s="559"/>
      <c r="S415" s="559"/>
      <c r="T415" s="560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4301031359</v>
      </c>
      <c r="D416" s="561">
        <v>4607091389500</v>
      </c>
      <c r="E416" s="562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7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9"/>
      <c r="R416" s="559"/>
      <c r="S416" s="559"/>
      <c r="T416" s="560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56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7"/>
      <c r="P417" s="551" t="s">
        <v>75</v>
      </c>
      <c r="Q417" s="552"/>
      <c r="R417" s="552"/>
      <c r="S417" s="552"/>
      <c r="T417" s="552"/>
      <c r="U417" s="552"/>
      <c r="V417" s="553"/>
      <c r="W417" s="37" t="s">
        <v>76</v>
      </c>
      <c r="X417" s="547">
        <f>IFERROR(X413/H413,"0")+IFERROR(X414/H414,"0")+IFERROR(X415/H415,"0")+IFERROR(X416/H416,"0")</f>
        <v>0</v>
      </c>
      <c r="Y417" s="547">
        <f>IFERROR(Y413/H413,"0")+IFERROR(Y414/H414,"0")+IFERROR(Y415/H415,"0")+IFERROR(Y416/H416,"0")</f>
        <v>0</v>
      </c>
      <c r="Z417" s="547">
        <f>IFERROR(IF(Z413="",0,Z413),"0")+IFERROR(IF(Z414="",0,Z414),"0")+IFERROR(IF(Z415="",0,Z415),"0")+IFERROR(IF(Z416="",0,Z416),"0")</f>
        <v>0</v>
      </c>
      <c r="AA417" s="548"/>
      <c r="AB417" s="548"/>
      <c r="AC417" s="548"/>
    </row>
    <row r="418" spans="1:68" hidden="1" x14ac:dyDescent="0.2">
      <c r="A418" s="555"/>
      <c r="B418" s="555"/>
      <c r="C418" s="555"/>
      <c r="D418" s="555"/>
      <c r="E418" s="555"/>
      <c r="F418" s="555"/>
      <c r="G418" s="555"/>
      <c r="H418" s="555"/>
      <c r="I418" s="555"/>
      <c r="J418" s="555"/>
      <c r="K418" s="555"/>
      <c r="L418" s="555"/>
      <c r="M418" s="555"/>
      <c r="N418" s="555"/>
      <c r="O418" s="557"/>
      <c r="P418" s="551" t="s">
        <v>75</v>
      </c>
      <c r="Q418" s="552"/>
      <c r="R418" s="552"/>
      <c r="S418" s="552"/>
      <c r="T418" s="552"/>
      <c r="U418" s="552"/>
      <c r="V418" s="553"/>
      <c r="W418" s="37" t="s">
        <v>69</v>
      </c>
      <c r="X418" s="547">
        <f>IFERROR(SUM(X413:X416),"0")</f>
        <v>0</v>
      </c>
      <c r="Y418" s="547">
        <f>IFERROR(SUM(Y413:Y416),"0")</f>
        <v>0</v>
      </c>
      <c r="Z418" s="37"/>
      <c r="AA418" s="548"/>
      <c r="AB418" s="548"/>
      <c r="AC418" s="548"/>
    </row>
    <row r="419" spans="1:68" ht="16.5" hidden="1" customHeight="1" x14ac:dyDescent="0.25">
      <c r="A419" s="590" t="s">
        <v>651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40"/>
      <c r="AB419" s="540"/>
      <c r="AC419" s="540"/>
    </row>
    <row r="420" spans="1:68" ht="14.25" hidden="1" customHeight="1" x14ac:dyDescent="0.25">
      <c r="A420" s="554" t="s">
        <v>64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41"/>
      <c r="AB420" s="541"/>
      <c r="AC420" s="541"/>
    </row>
    <row r="421" spans="1:68" ht="27" hidden="1" customHeight="1" x14ac:dyDescent="0.25">
      <c r="A421" s="54" t="s">
        <v>652</v>
      </c>
      <c r="B421" s="54" t="s">
        <v>653</v>
      </c>
      <c r="C421" s="31">
        <v>4301031347</v>
      </c>
      <c r="D421" s="561">
        <v>4680115885110</v>
      </c>
      <c r="E421" s="562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61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9"/>
      <c r="R421" s="559"/>
      <c r="S421" s="559"/>
      <c r="T421" s="560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654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556"/>
      <c r="B422" s="555"/>
      <c r="C422" s="555"/>
      <c r="D422" s="555"/>
      <c r="E422" s="555"/>
      <c r="F422" s="555"/>
      <c r="G422" s="555"/>
      <c r="H422" s="555"/>
      <c r="I422" s="555"/>
      <c r="J422" s="555"/>
      <c r="K422" s="555"/>
      <c r="L422" s="555"/>
      <c r="M422" s="555"/>
      <c r="N422" s="555"/>
      <c r="O422" s="557"/>
      <c r="P422" s="551" t="s">
        <v>75</v>
      </c>
      <c r="Q422" s="552"/>
      <c r="R422" s="552"/>
      <c r="S422" s="552"/>
      <c r="T422" s="552"/>
      <c r="U422" s="552"/>
      <c r="V422" s="553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hidden="1" x14ac:dyDescent="0.2">
      <c r="A423" s="555"/>
      <c r="B423" s="555"/>
      <c r="C423" s="555"/>
      <c r="D423" s="555"/>
      <c r="E423" s="555"/>
      <c r="F423" s="555"/>
      <c r="G423" s="555"/>
      <c r="H423" s="555"/>
      <c r="I423" s="555"/>
      <c r="J423" s="555"/>
      <c r="K423" s="555"/>
      <c r="L423" s="555"/>
      <c r="M423" s="555"/>
      <c r="N423" s="555"/>
      <c r="O423" s="557"/>
      <c r="P423" s="551" t="s">
        <v>75</v>
      </c>
      <c r="Q423" s="552"/>
      <c r="R423" s="552"/>
      <c r="S423" s="552"/>
      <c r="T423" s="552"/>
      <c r="U423" s="552"/>
      <c r="V423" s="553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hidden="1" customHeight="1" x14ac:dyDescent="0.2">
      <c r="A424" s="669" t="s">
        <v>655</v>
      </c>
      <c r="B424" s="670"/>
      <c r="C424" s="670"/>
      <c r="D424" s="670"/>
      <c r="E424" s="670"/>
      <c r="F424" s="670"/>
      <c r="G424" s="670"/>
      <c r="H424" s="670"/>
      <c r="I424" s="670"/>
      <c r="J424" s="670"/>
      <c r="K424" s="670"/>
      <c r="L424" s="670"/>
      <c r="M424" s="670"/>
      <c r="N424" s="670"/>
      <c r="O424" s="670"/>
      <c r="P424" s="670"/>
      <c r="Q424" s="670"/>
      <c r="R424" s="670"/>
      <c r="S424" s="670"/>
      <c r="T424" s="670"/>
      <c r="U424" s="670"/>
      <c r="V424" s="670"/>
      <c r="W424" s="670"/>
      <c r="X424" s="670"/>
      <c r="Y424" s="670"/>
      <c r="Z424" s="670"/>
      <c r="AA424" s="48"/>
      <c r="AB424" s="48"/>
      <c r="AC424" s="48"/>
    </row>
    <row r="425" spans="1:68" ht="16.5" hidden="1" customHeight="1" x14ac:dyDescent="0.25">
      <c r="A425" s="590" t="s">
        <v>655</v>
      </c>
      <c r="B425" s="555"/>
      <c r="C425" s="555"/>
      <c r="D425" s="555"/>
      <c r="E425" s="555"/>
      <c r="F425" s="555"/>
      <c r="G425" s="555"/>
      <c r="H425" s="555"/>
      <c r="I425" s="555"/>
      <c r="J425" s="555"/>
      <c r="K425" s="555"/>
      <c r="L425" s="555"/>
      <c r="M425" s="555"/>
      <c r="N425" s="555"/>
      <c r="O425" s="555"/>
      <c r="P425" s="555"/>
      <c r="Q425" s="555"/>
      <c r="R425" s="555"/>
      <c r="S425" s="555"/>
      <c r="T425" s="555"/>
      <c r="U425" s="555"/>
      <c r="V425" s="555"/>
      <c r="W425" s="555"/>
      <c r="X425" s="555"/>
      <c r="Y425" s="555"/>
      <c r="Z425" s="555"/>
      <c r="AA425" s="540"/>
      <c r="AB425" s="540"/>
      <c r="AC425" s="540"/>
    </row>
    <row r="426" spans="1:68" ht="14.25" hidden="1" customHeight="1" x14ac:dyDescent="0.25">
      <c r="A426" s="554" t="s">
        <v>99</v>
      </c>
      <c r="B426" s="555"/>
      <c r="C426" s="555"/>
      <c r="D426" s="555"/>
      <c r="E426" s="555"/>
      <c r="F426" s="555"/>
      <c r="G426" s="555"/>
      <c r="H426" s="555"/>
      <c r="I426" s="555"/>
      <c r="J426" s="555"/>
      <c r="K426" s="555"/>
      <c r="L426" s="555"/>
      <c r="M426" s="555"/>
      <c r="N426" s="555"/>
      <c r="O426" s="555"/>
      <c r="P426" s="555"/>
      <c r="Q426" s="555"/>
      <c r="R426" s="555"/>
      <c r="S426" s="555"/>
      <c r="T426" s="555"/>
      <c r="U426" s="555"/>
      <c r="V426" s="555"/>
      <c r="W426" s="555"/>
      <c r="X426" s="555"/>
      <c r="Y426" s="555"/>
      <c r="Z426" s="555"/>
      <c r="AA426" s="541"/>
      <c r="AB426" s="541"/>
      <c r="AC426" s="541"/>
    </row>
    <row r="427" spans="1:68" ht="27" hidden="1" customHeight="1" x14ac:dyDescent="0.25">
      <c r="A427" s="54" t="s">
        <v>656</v>
      </c>
      <c r="B427" s="54" t="s">
        <v>657</v>
      </c>
      <c r="C427" s="31">
        <v>4301011795</v>
      </c>
      <c r="D427" s="561">
        <v>4607091389067</v>
      </c>
      <c r="E427" s="562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87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9"/>
      <c r="R427" s="559"/>
      <c r="S427" s="559"/>
      <c r="T427" s="560"/>
      <c r="U427" s="34"/>
      <c r="V427" s="34"/>
      <c r="W427" s="35" t="s">
        <v>69</v>
      </c>
      <c r="X427" s="545">
        <v>0</v>
      </c>
      <c r="Y427" s="546">
        <f t="shared" ref="Y427:Y438" si="42">IFERROR(IF(X427="",0,CEILING((X427/$H427),1)*$H427),"")</f>
        <v>0</v>
      </c>
      <c r="Z427" s="36" t="str">
        <f t="shared" ref="Z427:Z433" si="43">IFERROR(IF(Y427=0,"",ROUNDUP(Y427/H427,0)*0.01196),"")</f>
        <v/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0</v>
      </c>
      <c r="BN427" s="64">
        <f t="shared" ref="BN427:BN438" si="45">IFERROR(Y427*I427/H427,"0")</f>
        <v>0</v>
      </c>
      <c r="BO427" s="64">
        <f t="shared" ref="BO427:BO438" si="46">IFERROR(1/J427*(X427/H427),"0")</f>
        <v>0</v>
      </c>
      <c r="BP427" s="64">
        <f t="shared" ref="BP427:BP438" si="47">IFERROR(1/J427*(Y427/H427),"0")</f>
        <v>0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4301012210</v>
      </c>
      <c r="D428" s="561">
        <v>4607091383522</v>
      </c>
      <c r="E428" s="562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79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9"/>
      <c r="R428" s="559"/>
      <c r="S428" s="559"/>
      <c r="T428" s="560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661</v>
      </c>
      <c r="C429" s="31">
        <v>4301012145</v>
      </c>
      <c r="D429" s="561">
        <v>4607091383522</v>
      </c>
      <c r="E429" s="562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87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9"/>
      <c r="R429" s="559"/>
      <c r="S429" s="559"/>
      <c r="T429" s="560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662</v>
      </c>
      <c r="B430" s="54" t="s">
        <v>663</v>
      </c>
      <c r="C430" s="31">
        <v>4301011961</v>
      </c>
      <c r="D430" s="561">
        <v>4680115885271</v>
      </c>
      <c r="E430" s="562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 t="s">
        <v>103</v>
      </c>
      <c r="M430" s="33" t="s">
        <v>104</v>
      </c>
      <c r="N430" s="33"/>
      <c r="O430" s="32">
        <v>60</v>
      </c>
      <c r="P430" s="64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9"/>
      <c r="R430" s="559"/>
      <c r="S430" s="559"/>
      <c r="T430" s="560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664</v>
      </c>
      <c r="AG430" s="64"/>
      <c r="AJ430" s="68" t="s">
        <v>106</v>
      </c>
      <c r="AK430" s="68">
        <v>42.24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4301011376</v>
      </c>
      <c r="D431" s="561">
        <v>4680115885226</v>
      </c>
      <c r="E431" s="562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76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9"/>
      <c r="R431" s="559"/>
      <c r="S431" s="559"/>
      <c r="T431" s="560"/>
      <c r="U431" s="34"/>
      <c r="V431" s="34"/>
      <c r="W431" s="35" t="s">
        <v>69</v>
      </c>
      <c r="X431" s="545">
        <v>697</v>
      </c>
      <c r="Y431" s="546">
        <f t="shared" si="42"/>
        <v>702.24</v>
      </c>
      <c r="Z431" s="36">
        <f t="shared" si="43"/>
        <v>1.5906800000000001</v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743.2026515151515</v>
      </c>
      <c r="BN431" s="64">
        <f t="shared" si="45"/>
        <v>748.79</v>
      </c>
      <c r="BO431" s="64">
        <f t="shared" si="46"/>
        <v>1.2693036130536131</v>
      </c>
      <c r="BP431" s="64">
        <f t="shared" si="47"/>
        <v>1.278846153846154</v>
      </c>
    </row>
    <row r="432" spans="1:68" ht="16.5" hidden="1" customHeight="1" x14ac:dyDescent="0.25">
      <c r="A432" s="54" t="s">
        <v>668</v>
      </c>
      <c r="B432" s="54" t="s">
        <v>669</v>
      </c>
      <c r="C432" s="31">
        <v>4301011774</v>
      </c>
      <c r="D432" s="561">
        <v>4680115884502</v>
      </c>
      <c r="E432" s="562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83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9"/>
      <c r="R432" s="559"/>
      <c r="S432" s="559"/>
      <c r="T432" s="560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671</v>
      </c>
      <c r="B433" s="54" t="s">
        <v>672</v>
      </c>
      <c r="C433" s="31">
        <v>4301011771</v>
      </c>
      <c r="D433" s="561">
        <v>4607091389104</v>
      </c>
      <c r="E433" s="562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59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9"/>
      <c r="R433" s="559"/>
      <c r="S433" s="559"/>
      <c r="T433" s="560"/>
      <c r="U433" s="34"/>
      <c r="V433" s="34"/>
      <c r="W433" s="35" t="s">
        <v>69</v>
      </c>
      <c r="X433" s="545">
        <v>924</v>
      </c>
      <c r="Y433" s="546">
        <f t="shared" si="42"/>
        <v>924</v>
      </c>
      <c r="Z433" s="36">
        <f t="shared" si="43"/>
        <v>2.093</v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985.24999999999989</v>
      </c>
      <c r="BN433" s="64">
        <f t="shared" si="45"/>
        <v>985.24999999999989</v>
      </c>
      <c r="BO433" s="64">
        <f t="shared" si="46"/>
        <v>1.6826923076923077</v>
      </c>
      <c r="BP433" s="64">
        <f t="shared" si="47"/>
        <v>1.6826923076923077</v>
      </c>
    </row>
    <row r="434" spans="1:68" ht="27" hidden="1" customHeight="1" x14ac:dyDescent="0.25">
      <c r="A434" s="54" t="s">
        <v>674</v>
      </c>
      <c r="B434" s="54" t="s">
        <v>675</v>
      </c>
      <c r="C434" s="31">
        <v>4301012125</v>
      </c>
      <c r="D434" s="561">
        <v>4680115886391</v>
      </c>
      <c r="E434" s="562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60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9"/>
      <c r="R434" s="559"/>
      <c r="S434" s="559"/>
      <c r="T434" s="560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676</v>
      </c>
      <c r="B435" s="54" t="s">
        <v>677</v>
      </c>
      <c r="C435" s="31">
        <v>4301012035</v>
      </c>
      <c r="D435" s="561">
        <v>4680115880603</v>
      </c>
      <c r="E435" s="562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5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9"/>
      <c r="R435" s="559"/>
      <c r="S435" s="559"/>
      <c r="T435" s="560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IFERROR(IF(Y435=0,"",ROUNDUP(Y435/H435,0)*0.00902),"")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hidden="1" customHeight="1" x14ac:dyDescent="0.25">
      <c r="A436" s="54" t="s">
        <v>678</v>
      </c>
      <c r="B436" s="54" t="s">
        <v>679</v>
      </c>
      <c r="C436" s="31">
        <v>4301012036</v>
      </c>
      <c r="D436" s="561">
        <v>4680115882782</v>
      </c>
      <c r="E436" s="562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61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9"/>
      <c r="R436" s="559"/>
      <c r="S436" s="559"/>
      <c r="T436" s="560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hidden="1" customHeight="1" x14ac:dyDescent="0.25">
      <c r="A437" s="54" t="s">
        <v>680</v>
      </c>
      <c r="B437" s="54" t="s">
        <v>681</v>
      </c>
      <c r="C437" s="31">
        <v>4301012050</v>
      </c>
      <c r="D437" s="561">
        <v>4680115885479</v>
      </c>
      <c r="E437" s="562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86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9"/>
      <c r="R437" s="559"/>
      <c r="S437" s="559"/>
      <c r="T437" s="560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4301012034</v>
      </c>
      <c r="D438" s="561">
        <v>4607091389982</v>
      </c>
      <c r="E438" s="562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/>
      <c r="M438" s="33" t="s">
        <v>104</v>
      </c>
      <c r="N438" s="33"/>
      <c r="O438" s="32">
        <v>60</v>
      </c>
      <c r="P438" s="74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9"/>
      <c r="R438" s="559"/>
      <c r="S438" s="559"/>
      <c r="T438" s="560"/>
      <c r="U438" s="34"/>
      <c r="V438" s="34"/>
      <c r="W438" s="35" t="s">
        <v>69</v>
      </c>
      <c r="X438" s="545">
        <v>0</v>
      </c>
      <c r="Y438" s="546">
        <f t="shared" si="42"/>
        <v>0</v>
      </c>
      <c r="Z438" s="36" t="str">
        <f>IFERROR(IF(Y438=0,"",ROUNDUP(Y438/H438,0)*0.00902),"")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4"/>
        <v>0</v>
      </c>
      <c r="BN438" s="64">
        <f t="shared" si="45"/>
        <v>0</v>
      </c>
      <c r="BO438" s="64">
        <f t="shared" si="46"/>
        <v>0</v>
      </c>
      <c r="BP438" s="64">
        <f t="shared" si="47"/>
        <v>0</v>
      </c>
    </row>
    <row r="439" spans="1:68" x14ac:dyDescent="0.2">
      <c r="A439" s="556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7"/>
      <c r="P439" s="551" t="s">
        <v>75</v>
      </c>
      <c r="Q439" s="552"/>
      <c r="R439" s="552"/>
      <c r="S439" s="552"/>
      <c r="T439" s="552"/>
      <c r="U439" s="552"/>
      <c r="V439" s="553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307.00757575757575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308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3.6836799999999998</v>
      </c>
      <c r="AA439" s="548"/>
      <c r="AB439" s="548"/>
      <c r="AC439" s="548"/>
    </row>
    <row r="440" spans="1:68" x14ac:dyDescent="0.2">
      <c r="A440" s="555"/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7"/>
      <c r="P440" s="551" t="s">
        <v>75</v>
      </c>
      <c r="Q440" s="552"/>
      <c r="R440" s="552"/>
      <c r="S440" s="552"/>
      <c r="T440" s="552"/>
      <c r="U440" s="552"/>
      <c r="V440" s="553"/>
      <c r="W440" s="37" t="s">
        <v>69</v>
      </c>
      <c r="X440" s="547">
        <f>IFERROR(SUM(X427:X438),"0")</f>
        <v>1621</v>
      </c>
      <c r="Y440" s="547">
        <f>IFERROR(SUM(Y427:Y438),"0")</f>
        <v>1626.24</v>
      </c>
      <c r="Z440" s="37"/>
      <c r="AA440" s="548"/>
      <c r="AB440" s="548"/>
      <c r="AC440" s="548"/>
    </row>
    <row r="441" spans="1:68" ht="14.25" hidden="1" customHeight="1" x14ac:dyDescent="0.25">
      <c r="A441" s="554" t="s">
        <v>135</v>
      </c>
      <c r="B441" s="555"/>
      <c r="C441" s="555"/>
      <c r="D441" s="555"/>
      <c r="E441" s="555"/>
      <c r="F441" s="555"/>
      <c r="G441" s="555"/>
      <c r="H441" s="555"/>
      <c r="I441" s="555"/>
      <c r="J441" s="555"/>
      <c r="K441" s="555"/>
      <c r="L441" s="555"/>
      <c r="M441" s="555"/>
      <c r="N441" s="555"/>
      <c r="O441" s="555"/>
      <c r="P441" s="555"/>
      <c r="Q441" s="555"/>
      <c r="R441" s="555"/>
      <c r="S441" s="555"/>
      <c r="T441" s="555"/>
      <c r="U441" s="555"/>
      <c r="V441" s="555"/>
      <c r="W441" s="555"/>
      <c r="X441" s="555"/>
      <c r="Y441" s="555"/>
      <c r="Z441" s="555"/>
      <c r="AA441" s="541"/>
      <c r="AB441" s="541"/>
      <c r="AC441" s="541"/>
    </row>
    <row r="442" spans="1:68" ht="16.5" customHeight="1" x14ac:dyDescent="0.25">
      <c r="A442" s="54" t="s">
        <v>685</v>
      </c>
      <c r="B442" s="54" t="s">
        <v>686</v>
      </c>
      <c r="C442" s="31">
        <v>4301020334</v>
      </c>
      <c r="D442" s="561">
        <v>4607091388930</v>
      </c>
      <c r="E442" s="562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79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9"/>
      <c r="R442" s="559"/>
      <c r="S442" s="559"/>
      <c r="T442" s="560"/>
      <c r="U442" s="34"/>
      <c r="V442" s="34"/>
      <c r="W442" s="35" t="s">
        <v>69</v>
      </c>
      <c r="X442" s="545">
        <v>617</v>
      </c>
      <c r="Y442" s="546">
        <f>IFERROR(IF(X442="",0,CEILING((X442/$H442),1)*$H442),"")</f>
        <v>617.76</v>
      </c>
      <c r="Z442" s="36">
        <f>IFERROR(IF(Y442=0,"",ROUNDUP(Y442/H442,0)*0.01196),"")</f>
        <v>1.3993200000000001</v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657.89962121212113</v>
      </c>
      <c r="BN442" s="64">
        <f>IFERROR(Y442*I442/H442,"0")</f>
        <v>658.71</v>
      </c>
      <c r="BO442" s="64">
        <f>IFERROR(1/J442*(X442/H442),"0")</f>
        <v>1.1236159673659674</v>
      </c>
      <c r="BP442" s="64">
        <f>IFERROR(1/J442*(Y442/H442),"0")</f>
        <v>1.125</v>
      </c>
    </row>
    <row r="443" spans="1:68" ht="16.5" hidden="1" customHeight="1" x14ac:dyDescent="0.25">
      <c r="A443" s="54" t="s">
        <v>688</v>
      </c>
      <c r="B443" s="54" t="s">
        <v>689</v>
      </c>
      <c r="C443" s="31">
        <v>4301020384</v>
      </c>
      <c r="D443" s="561">
        <v>4680115886407</v>
      </c>
      <c r="E443" s="562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81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9"/>
      <c r="R443" s="559"/>
      <c r="S443" s="559"/>
      <c r="T443" s="560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690</v>
      </c>
      <c r="B444" s="54" t="s">
        <v>691</v>
      </c>
      <c r="C444" s="31">
        <v>4301020385</v>
      </c>
      <c r="D444" s="561">
        <v>4680115880054</v>
      </c>
      <c r="E444" s="562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 t="s">
        <v>110</v>
      </c>
      <c r="M444" s="33" t="s">
        <v>104</v>
      </c>
      <c r="N444" s="33"/>
      <c r="O444" s="32">
        <v>70</v>
      </c>
      <c r="P444" s="57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9"/>
      <c r="R444" s="559"/>
      <c r="S444" s="559"/>
      <c r="T444" s="560"/>
      <c r="U444" s="34"/>
      <c r="V444" s="34"/>
      <c r="W444" s="35" t="s">
        <v>69</v>
      </c>
      <c r="X444" s="545">
        <v>0</v>
      </c>
      <c r="Y444" s="546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687</v>
      </c>
      <c r="AG444" s="64"/>
      <c r="AJ444" s="68" t="s">
        <v>106</v>
      </c>
      <c r="AK444" s="68">
        <v>57.6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56"/>
      <c r="B445" s="555"/>
      <c r="C445" s="555"/>
      <c r="D445" s="555"/>
      <c r="E445" s="555"/>
      <c r="F445" s="555"/>
      <c r="G445" s="555"/>
      <c r="H445" s="555"/>
      <c r="I445" s="555"/>
      <c r="J445" s="555"/>
      <c r="K445" s="555"/>
      <c r="L445" s="555"/>
      <c r="M445" s="555"/>
      <c r="N445" s="555"/>
      <c r="O445" s="557"/>
      <c r="P445" s="551" t="s">
        <v>75</v>
      </c>
      <c r="Q445" s="552"/>
      <c r="R445" s="552"/>
      <c r="S445" s="552"/>
      <c r="T445" s="552"/>
      <c r="U445" s="552"/>
      <c r="V445" s="553"/>
      <c r="W445" s="37" t="s">
        <v>76</v>
      </c>
      <c r="X445" s="547">
        <f>IFERROR(X442/H442,"0")+IFERROR(X443/H443,"0")+IFERROR(X444/H444,"0")</f>
        <v>116.85606060606059</v>
      </c>
      <c r="Y445" s="547">
        <f>IFERROR(Y442/H442,"0")+IFERROR(Y443/H443,"0")+IFERROR(Y444/H444,"0")</f>
        <v>116.99999999999999</v>
      </c>
      <c r="Z445" s="547">
        <f>IFERROR(IF(Z442="",0,Z442),"0")+IFERROR(IF(Z443="",0,Z443),"0")+IFERROR(IF(Z444="",0,Z444),"0")</f>
        <v>1.3993200000000001</v>
      </c>
      <c r="AA445" s="548"/>
      <c r="AB445" s="548"/>
      <c r="AC445" s="548"/>
    </row>
    <row r="446" spans="1:68" x14ac:dyDescent="0.2">
      <c r="A446" s="555"/>
      <c r="B446" s="555"/>
      <c r="C446" s="555"/>
      <c r="D446" s="555"/>
      <c r="E446" s="555"/>
      <c r="F446" s="555"/>
      <c r="G446" s="555"/>
      <c r="H446" s="555"/>
      <c r="I446" s="555"/>
      <c r="J446" s="555"/>
      <c r="K446" s="555"/>
      <c r="L446" s="555"/>
      <c r="M446" s="555"/>
      <c r="N446" s="555"/>
      <c r="O446" s="557"/>
      <c r="P446" s="551" t="s">
        <v>75</v>
      </c>
      <c r="Q446" s="552"/>
      <c r="R446" s="552"/>
      <c r="S446" s="552"/>
      <c r="T446" s="552"/>
      <c r="U446" s="552"/>
      <c r="V446" s="553"/>
      <c r="W446" s="37" t="s">
        <v>69</v>
      </c>
      <c r="X446" s="547">
        <f>IFERROR(SUM(X442:X444),"0")</f>
        <v>617</v>
      </c>
      <c r="Y446" s="547">
        <f>IFERROR(SUM(Y442:Y444),"0")</f>
        <v>617.76</v>
      </c>
      <c r="Z446" s="37"/>
      <c r="AA446" s="548"/>
      <c r="AB446" s="548"/>
      <c r="AC446" s="548"/>
    </row>
    <row r="447" spans="1:68" ht="14.25" hidden="1" customHeight="1" x14ac:dyDescent="0.25">
      <c r="A447" s="554" t="s">
        <v>64</v>
      </c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5"/>
      <c r="P447" s="555"/>
      <c r="Q447" s="555"/>
      <c r="R447" s="555"/>
      <c r="S447" s="555"/>
      <c r="T447" s="555"/>
      <c r="U447" s="555"/>
      <c r="V447" s="555"/>
      <c r="W447" s="555"/>
      <c r="X447" s="555"/>
      <c r="Y447" s="555"/>
      <c r="Z447" s="555"/>
      <c r="AA447" s="541"/>
      <c r="AB447" s="541"/>
      <c r="AC447" s="541"/>
    </row>
    <row r="448" spans="1:68" ht="27" customHeight="1" x14ac:dyDescent="0.25">
      <c r="A448" s="54" t="s">
        <v>692</v>
      </c>
      <c r="B448" s="54" t="s">
        <v>693</v>
      </c>
      <c r="C448" s="31">
        <v>4301031349</v>
      </c>
      <c r="D448" s="561">
        <v>4680115883116</v>
      </c>
      <c r="E448" s="562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2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9"/>
      <c r="R448" s="559"/>
      <c r="S448" s="559"/>
      <c r="T448" s="560"/>
      <c r="U448" s="34"/>
      <c r="V448" s="34"/>
      <c r="W448" s="35" t="s">
        <v>69</v>
      </c>
      <c r="X448" s="545">
        <v>143</v>
      </c>
      <c r="Y448" s="546">
        <f t="shared" ref="Y448:Y453" si="48">IFERROR(IF(X448="",0,CEILING((X448/$H448),1)*$H448),"")</f>
        <v>147.84</v>
      </c>
      <c r="Z448" s="36">
        <f>IFERROR(IF(Y448=0,"",ROUNDUP(Y448/H448,0)*0.01196),"")</f>
        <v>0.33488000000000001</v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152.47916666666666</v>
      </c>
      <c r="BN448" s="64">
        <f t="shared" ref="BN448:BN453" si="50">IFERROR(Y448*I448/H448,"0")</f>
        <v>157.63999999999999</v>
      </c>
      <c r="BO448" s="64">
        <f t="shared" ref="BO448:BO453" si="51">IFERROR(1/J448*(X448/H448),"0")</f>
        <v>0.26041666666666669</v>
      </c>
      <c r="BP448" s="64">
        <f t="shared" ref="BP448:BP453" si="52">IFERROR(1/J448*(Y448/H448),"0")</f>
        <v>0.26923076923076927</v>
      </c>
    </row>
    <row r="449" spans="1:68" ht="27" customHeight="1" x14ac:dyDescent="0.25">
      <c r="A449" s="54" t="s">
        <v>695</v>
      </c>
      <c r="B449" s="54" t="s">
        <v>696</v>
      </c>
      <c r="C449" s="31">
        <v>4301031350</v>
      </c>
      <c r="D449" s="561">
        <v>4680115883093</v>
      </c>
      <c r="E449" s="562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5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9"/>
      <c r="R449" s="559"/>
      <c r="S449" s="559"/>
      <c r="T449" s="560"/>
      <c r="U449" s="34"/>
      <c r="V449" s="34"/>
      <c r="W449" s="35" t="s">
        <v>69</v>
      </c>
      <c r="X449" s="545">
        <v>166</v>
      </c>
      <c r="Y449" s="546">
        <f t="shared" si="48"/>
        <v>168.96</v>
      </c>
      <c r="Z449" s="36">
        <f>IFERROR(IF(Y449=0,"",ROUNDUP(Y449/H449,0)*0.01196),"")</f>
        <v>0.38272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177.00378787878785</v>
      </c>
      <c r="BN449" s="64">
        <f t="shared" si="50"/>
        <v>180.16</v>
      </c>
      <c r="BO449" s="64">
        <f t="shared" si="51"/>
        <v>0.30230186480186483</v>
      </c>
      <c r="BP449" s="64">
        <f t="shared" si="52"/>
        <v>0.30769230769230771</v>
      </c>
    </row>
    <row r="450" spans="1:68" ht="27" customHeight="1" x14ac:dyDescent="0.25">
      <c r="A450" s="54" t="s">
        <v>698</v>
      </c>
      <c r="B450" s="54" t="s">
        <v>699</v>
      </c>
      <c r="C450" s="31">
        <v>4301031353</v>
      </c>
      <c r="D450" s="561">
        <v>4680115883109</v>
      </c>
      <c r="E450" s="562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5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9"/>
      <c r="R450" s="559"/>
      <c r="S450" s="559"/>
      <c r="T450" s="560"/>
      <c r="U450" s="34"/>
      <c r="V450" s="34"/>
      <c r="W450" s="35" t="s">
        <v>69</v>
      </c>
      <c r="X450" s="545">
        <v>449</v>
      </c>
      <c r="Y450" s="546">
        <f t="shared" si="48"/>
        <v>454.08000000000004</v>
      </c>
      <c r="Z450" s="36">
        <f>IFERROR(IF(Y450=0,"",ROUNDUP(Y450/H450,0)*0.01196),"")</f>
        <v>1.0285599999999999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478.76325757575751</v>
      </c>
      <c r="BN450" s="64">
        <f t="shared" si="50"/>
        <v>484.18</v>
      </c>
      <c r="BO450" s="64">
        <f t="shared" si="51"/>
        <v>0.81767191142191142</v>
      </c>
      <c r="BP450" s="64">
        <f t="shared" si="52"/>
        <v>0.82692307692307698</v>
      </c>
    </row>
    <row r="451" spans="1:68" ht="27" hidden="1" customHeight="1" x14ac:dyDescent="0.25">
      <c r="A451" s="54" t="s">
        <v>701</v>
      </c>
      <c r="B451" s="54" t="s">
        <v>702</v>
      </c>
      <c r="C451" s="31">
        <v>4301031419</v>
      </c>
      <c r="D451" s="561">
        <v>4680115882072</v>
      </c>
      <c r="E451" s="562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/>
      <c r="M451" s="33" t="s">
        <v>104</v>
      </c>
      <c r="N451" s="33"/>
      <c r="O451" s="32">
        <v>70</v>
      </c>
      <c r="P451" s="71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9"/>
      <c r="R451" s="559"/>
      <c r="S451" s="559"/>
      <c r="T451" s="560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694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t="27" hidden="1" customHeight="1" x14ac:dyDescent="0.25">
      <c r="A452" s="54" t="s">
        <v>703</v>
      </c>
      <c r="B452" s="54" t="s">
        <v>704</v>
      </c>
      <c r="C452" s="31">
        <v>4301031418</v>
      </c>
      <c r="D452" s="561">
        <v>4680115882102</v>
      </c>
      <c r="E452" s="562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/>
      <c r="M452" s="33" t="s">
        <v>68</v>
      </c>
      <c r="N452" s="33"/>
      <c r="O452" s="32">
        <v>70</v>
      </c>
      <c r="P452" s="83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9"/>
      <c r="R452" s="559"/>
      <c r="S452" s="559"/>
      <c r="T452" s="560"/>
      <c r="U452" s="34"/>
      <c r="V452" s="34"/>
      <c r="W452" s="35" t="s">
        <v>69</v>
      </c>
      <c r="X452" s="545">
        <v>0</v>
      </c>
      <c r="Y452" s="546">
        <f t="shared" si="48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49"/>
        <v>0</v>
      </c>
      <c r="BN452" s="64">
        <f t="shared" si="50"/>
        <v>0</v>
      </c>
      <c r="BO452" s="64">
        <f t="shared" si="51"/>
        <v>0</v>
      </c>
      <c r="BP452" s="64">
        <f t="shared" si="52"/>
        <v>0</v>
      </c>
    </row>
    <row r="453" spans="1:68" ht="27" hidden="1" customHeight="1" x14ac:dyDescent="0.25">
      <c r="A453" s="54" t="s">
        <v>705</v>
      </c>
      <c r="B453" s="54" t="s">
        <v>706</v>
      </c>
      <c r="C453" s="31">
        <v>4301031417</v>
      </c>
      <c r="D453" s="561">
        <v>4680115882096</v>
      </c>
      <c r="E453" s="562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80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9"/>
      <c r="R453" s="559"/>
      <c r="S453" s="559"/>
      <c r="T453" s="560"/>
      <c r="U453" s="34"/>
      <c r="V453" s="34"/>
      <c r="W453" s="35" t="s">
        <v>69</v>
      </c>
      <c r="X453" s="545">
        <v>0</v>
      </c>
      <c r="Y453" s="546">
        <f t="shared" si="4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49"/>
        <v>0</v>
      </c>
      <c r="BN453" s="64">
        <f t="shared" si="50"/>
        <v>0</v>
      </c>
      <c r="BO453" s="64">
        <f t="shared" si="51"/>
        <v>0</v>
      </c>
      <c r="BP453" s="64">
        <f t="shared" si="52"/>
        <v>0</v>
      </c>
    </row>
    <row r="454" spans="1:68" x14ac:dyDescent="0.2">
      <c r="A454" s="556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7"/>
      <c r="P454" s="551" t="s">
        <v>75</v>
      </c>
      <c r="Q454" s="552"/>
      <c r="R454" s="552"/>
      <c r="S454" s="552"/>
      <c r="T454" s="552"/>
      <c r="U454" s="552"/>
      <c r="V454" s="553"/>
      <c r="W454" s="37" t="s">
        <v>76</v>
      </c>
      <c r="X454" s="547">
        <f>IFERROR(X448/H448,"0")+IFERROR(X449/H449,"0")+IFERROR(X450/H450,"0")+IFERROR(X451/H451,"0")+IFERROR(X452/H452,"0")+IFERROR(X453/H453,"0")</f>
        <v>143.56060606060606</v>
      </c>
      <c r="Y454" s="547">
        <f>IFERROR(Y448/H448,"0")+IFERROR(Y449/H449,"0")+IFERROR(Y450/H450,"0")+IFERROR(Y451/H451,"0")+IFERROR(Y452/H452,"0")+IFERROR(Y453/H453,"0")</f>
        <v>146</v>
      </c>
      <c r="Z454" s="547">
        <f>IFERROR(IF(Z448="",0,Z448),"0")+IFERROR(IF(Z449="",0,Z449),"0")+IFERROR(IF(Z450="",0,Z450),"0")+IFERROR(IF(Z451="",0,Z451),"0")+IFERROR(IF(Z452="",0,Z452),"0")+IFERROR(IF(Z453="",0,Z453),"0")</f>
        <v>1.7461599999999999</v>
      </c>
      <c r="AA454" s="548"/>
      <c r="AB454" s="548"/>
      <c r="AC454" s="548"/>
    </row>
    <row r="455" spans="1:68" x14ac:dyDescent="0.2">
      <c r="A455" s="555"/>
      <c r="B455" s="555"/>
      <c r="C455" s="555"/>
      <c r="D455" s="555"/>
      <c r="E455" s="555"/>
      <c r="F455" s="555"/>
      <c r="G455" s="555"/>
      <c r="H455" s="555"/>
      <c r="I455" s="555"/>
      <c r="J455" s="555"/>
      <c r="K455" s="555"/>
      <c r="L455" s="555"/>
      <c r="M455" s="555"/>
      <c r="N455" s="555"/>
      <c r="O455" s="557"/>
      <c r="P455" s="551" t="s">
        <v>75</v>
      </c>
      <c r="Q455" s="552"/>
      <c r="R455" s="552"/>
      <c r="S455" s="552"/>
      <c r="T455" s="552"/>
      <c r="U455" s="552"/>
      <c r="V455" s="553"/>
      <c r="W455" s="37" t="s">
        <v>69</v>
      </c>
      <c r="X455" s="547">
        <f>IFERROR(SUM(X448:X453),"0")</f>
        <v>758</v>
      </c>
      <c r="Y455" s="547">
        <f>IFERROR(SUM(Y448:Y453),"0")</f>
        <v>770.88000000000011</v>
      </c>
      <c r="Z455" s="37"/>
      <c r="AA455" s="548"/>
      <c r="AB455" s="548"/>
      <c r="AC455" s="548"/>
    </row>
    <row r="456" spans="1:68" ht="27.75" hidden="1" customHeight="1" x14ac:dyDescent="0.2">
      <c r="A456" s="669" t="s">
        <v>707</v>
      </c>
      <c r="B456" s="670"/>
      <c r="C456" s="670"/>
      <c r="D456" s="670"/>
      <c r="E456" s="670"/>
      <c r="F456" s="670"/>
      <c r="G456" s="670"/>
      <c r="H456" s="670"/>
      <c r="I456" s="670"/>
      <c r="J456" s="670"/>
      <c r="K456" s="670"/>
      <c r="L456" s="670"/>
      <c r="M456" s="670"/>
      <c r="N456" s="670"/>
      <c r="O456" s="670"/>
      <c r="P456" s="670"/>
      <c r="Q456" s="670"/>
      <c r="R456" s="670"/>
      <c r="S456" s="670"/>
      <c r="T456" s="670"/>
      <c r="U456" s="670"/>
      <c r="V456" s="670"/>
      <c r="W456" s="670"/>
      <c r="X456" s="670"/>
      <c r="Y456" s="670"/>
      <c r="Z456" s="670"/>
      <c r="AA456" s="48"/>
      <c r="AB456" s="48"/>
      <c r="AC456" s="48"/>
    </row>
    <row r="457" spans="1:68" ht="16.5" hidden="1" customHeight="1" x14ac:dyDescent="0.25">
      <c r="A457" s="590" t="s">
        <v>707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40"/>
      <c r="AB457" s="540"/>
      <c r="AC457" s="540"/>
    </row>
    <row r="458" spans="1:68" ht="14.25" hidden="1" customHeight="1" x14ac:dyDescent="0.25">
      <c r="A458" s="554" t="s">
        <v>99</v>
      </c>
      <c r="B458" s="555"/>
      <c r="C458" s="555"/>
      <c r="D458" s="555"/>
      <c r="E458" s="555"/>
      <c r="F458" s="555"/>
      <c r="G458" s="555"/>
      <c r="H458" s="555"/>
      <c r="I458" s="555"/>
      <c r="J458" s="555"/>
      <c r="K458" s="555"/>
      <c r="L458" s="555"/>
      <c r="M458" s="555"/>
      <c r="N458" s="555"/>
      <c r="O458" s="555"/>
      <c r="P458" s="555"/>
      <c r="Q458" s="555"/>
      <c r="R458" s="555"/>
      <c r="S458" s="555"/>
      <c r="T458" s="555"/>
      <c r="U458" s="555"/>
      <c r="V458" s="555"/>
      <c r="W458" s="555"/>
      <c r="X458" s="555"/>
      <c r="Y458" s="555"/>
      <c r="Z458" s="555"/>
      <c r="AA458" s="541"/>
      <c r="AB458" s="541"/>
      <c r="AC458" s="541"/>
    </row>
    <row r="459" spans="1:68" ht="27" hidden="1" customHeight="1" x14ac:dyDescent="0.25">
      <c r="A459" s="54" t="s">
        <v>708</v>
      </c>
      <c r="B459" s="54" t="s">
        <v>709</v>
      </c>
      <c r="C459" s="31">
        <v>4301011763</v>
      </c>
      <c r="D459" s="561">
        <v>4640242181011</v>
      </c>
      <c r="E459" s="562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60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9"/>
      <c r="R459" s="559"/>
      <c r="S459" s="559"/>
      <c r="T459" s="560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711</v>
      </c>
      <c r="B460" s="54" t="s">
        <v>712</v>
      </c>
      <c r="C460" s="31">
        <v>4301011585</v>
      </c>
      <c r="D460" s="561">
        <v>4640242180441</v>
      </c>
      <c r="E460" s="562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65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9"/>
      <c r="R460" s="559"/>
      <c r="S460" s="559"/>
      <c r="T460" s="560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714</v>
      </c>
      <c r="B461" s="54" t="s">
        <v>715</v>
      </c>
      <c r="C461" s="31">
        <v>4301011584</v>
      </c>
      <c r="D461" s="561">
        <v>4640242180564</v>
      </c>
      <c r="E461" s="562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 t="s">
        <v>103</v>
      </c>
      <c r="M461" s="33" t="s">
        <v>104</v>
      </c>
      <c r="N461" s="33"/>
      <c r="O461" s="32">
        <v>50</v>
      </c>
      <c r="P461" s="67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9"/>
      <c r="R461" s="559"/>
      <c r="S461" s="559"/>
      <c r="T461" s="560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 t="s">
        <v>106</v>
      </c>
      <c r="AK461" s="68">
        <v>96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717</v>
      </c>
      <c r="B462" s="54" t="s">
        <v>718</v>
      </c>
      <c r="C462" s="31">
        <v>4301011764</v>
      </c>
      <c r="D462" s="561">
        <v>4640242181189</v>
      </c>
      <c r="E462" s="562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66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9"/>
      <c r="R462" s="559"/>
      <c r="S462" s="559"/>
      <c r="T462" s="560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556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7"/>
      <c r="P463" s="551" t="s">
        <v>75</v>
      </c>
      <c r="Q463" s="552"/>
      <c r="R463" s="552"/>
      <c r="S463" s="552"/>
      <c r="T463" s="552"/>
      <c r="U463" s="552"/>
      <c r="V463" s="553"/>
      <c r="W463" s="37" t="s">
        <v>76</v>
      </c>
      <c r="X463" s="547">
        <f>IFERROR(X459/H459,"0")+IFERROR(X460/H460,"0")+IFERROR(X461/H461,"0")+IFERROR(X462/H462,"0")</f>
        <v>0</v>
      </c>
      <c r="Y463" s="547">
        <f>IFERROR(Y459/H459,"0")+IFERROR(Y460/H460,"0")+IFERROR(Y461/H461,"0")+IFERROR(Y462/H462,"0")</f>
        <v>0</v>
      </c>
      <c r="Z463" s="547">
        <f>IFERROR(IF(Z459="",0,Z459),"0")+IFERROR(IF(Z460="",0,Z460),"0")+IFERROR(IF(Z461="",0,Z461),"0")+IFERROR(IF(Z462="",0,Z462),"0")</f>
        <v>0</v>
      </c>
      <c r="AA463" s="548"/>
      <c r="AB463" s="548"/>
      <c r="AC463" s="548"/>
    </row>
    <row r="464" spans="1:68" hidden="1" x14ac:dyDescent="0.2">
      <c r="A464" s="555"/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7"/>
      <c r="P464" s="551" t="s">
        <v>75</v>
      </c>
      <c r="Q464" s="552"/>
      <c r="R464" s="552"/>
      <c r="S464" s="552"/>
      <c r="T464" s="552"/>
      <c r="U464" s="552"/>
      <c r="V464" s="553"/>
      <c r="W464" s="37" t="s">
        <v>69</v>
      </c>
      <c r="X464" s="547">
        <f>IFERROR(SUM(X459:X462),"0")</f>
        <v>0</v>
      </c>
      <c r="Y464" s="547">
        <f>IFERROR(SUM(Y459:Y462),"0")</f>
        <v>0</v>
      </c>
      <c r="Z464" s="37"/>
      <c r="AA464" s="548"/>
      <c r="AB464" s="548"/>
      <c r="AC464" s="548"/>
    </row>
    <row r="465" spans="1:68" ht="14.25" hidden="1" customHeight="1" x14ac:dyDescent="0.25">
      <c r="A465" s="554" t="s">
        <v>135</v>
      </c>
      <c r="B465" s="555"/>
      <c r="C465" s="555"/>
      <c r="D465" s="555"/>
      <c r="E465" s="555"/>
      <c r="F465" s="555"/>
      <c r="G465" s="555"/>
      <c r="H465" s="555"/>
      <c r="I465" s="555"/>
      <c r="J465" s="555"/>
      <c r="K465" s="555"/>
      <c r="L465" s="555"/>
      <c r="M465" s="555"/>
      <c r="N465" s="555"/>
      <c r="O465" s="555"/>
      <c r="P465" s="555"/>
      <c r="Q465" s="555"/>
      <c r="R465" s="555"/>
      <c r="S465" s="555"/>
      <c r="T465" s="555"/>
      <c r="U465" s="555"/>
      <c r="V465" s="555"/>
      <c r="W465" s="555"/>
      <c r="X465" s="555"/>
      <c r="Y465" s="555"/>
      <c r="Z465" s="555"/>
      <c r="AA465" s="541"/>
      <c r="AB465" s="541"/>
      <c r="AC465" s="541"/>
    </row>
    <row r="466" spans="1:68" ht="27" hidden="1" customHeight="1" x14ac:dyDescent="0.25">
      <c r="A466" s="54" t="s">
        <v>719</v>
      </c>
      <c r="B466" s="54" t="s">
        <v>720</v>
      </c>
      <c r="C466" s="31">
        <v>4301020400</v>
      </c>
      <c r="D466" s="561">
        <v>4640242180519</v>
      </c>
      <c r="E466" s="562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81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9"/>
      <c r="R466" s="559"/>
      <c r="S466" s="559"/>
      <c r="T466" s="560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722</v>
      </c>
      <c r="B467" s="54" t="s">
        <v>723</v>
      </c>
      <c r="C467" s="31">
        <v>4301020260</v>
      </c>
      <c r="D467" s="561">
        <v>4640242180526</v>
      </c>
      <c r="E467" s="562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78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9"/>
      <c r="R467" s="559"/>
      <c r="S467" s="559"/>
      <c r="T467" s="560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6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7"/>
      <c r="P468" s="551" t="s">
        <v>75</v>
      </c>
      <c r="Q468" s="552"/>
      <c r="R468" s="552"/>
      <c r="S468" s="552"/>
      <c r="T468" s="552"/>
      <c r="U468" s="552"/>
      <c r="V468" s="553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hidden="1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7"/>
      <c r="P469" s="551" t="s">
        <v>75</v>
      </c>
      <c r="Q469" s="552"/>
      <c r="R469" s="552"/>
      <c r="S469" s="552"/>
      <c r="T469" s="552"/>
      <c r="U469" s="552"/>
      <c r="V469" s="553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hidden="1" customHeight="1" x14ac:dyDescent="0.25">
      <c r="A470" s="554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41"/>
      <c r="AB470" s="541"/>
      <c r="AC470" s="541"/>
    </row>
    <row r="471" spans="1:68" ht="27" hidden="1" customHeight="1" x14ac:dyDescent="0.25">
      <c r="A471" s="54" t="s">
        <v>725</v>
      </c>
      <c r="B471" s="54" t="s">
        <v>726</v>
      </c>
      <c r="C471" s="31">
        <v>4301031467</v>
      </c>
      <c r="D471" s="561">
        <v>4640242180595</v>
      </c>
      <c r="E471" s="562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810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9"/>
      <c r="R471" s="559"/>
      <c r="S471" s="559"/>
      <c r="T471" s="560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56"/>
      <c r="B472" s="555"/>
      <c r="C472" s="555"/>
      <c r="D472" s="555"/>
      <c r="E472" s="555"/>
      <c r="F472" s="555"/>
      <c r="G472" s="555"/>
      <c r="H472" s="555"/>
      <c r="I472" s="555"/>
      <c r="J472" s="555"/>
      <c r="K472" s="555"/>
      <c r="L472" s="555"/>
      <c r="M472" s="555"/>
      <c r="N472" s="555"/>
      <c r="O472" s="557"/>
      <c r="P472" s="551" t="s">
        <v>75</v>
      </c>
      <c r="Q472" s="552"/>
      <c r="R472" s="552"/>
      <c r="S472" s="552"/>
      <c r="T472" s="552"/>
      <c r="U472" s="552"/>
      <c r="V472" s="553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hidden="1" x14ac:dyDescent="0.2">
      <c r="A473" s="555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7"/>
      <c r="P473" s="551" t="s">
        <v>75</v>
      </c>
      <c r="Q473" s="552"/>
      <c r="R473" s="552"/>
      <c r="S473" s="552"/>
      <c r="T473" s="552"/>
      <c r="U473" s="552"/>
      <c r="V473" s="553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hidden="1" customHeight="1" x14ac:dyDescent="0.25">
      <c r="A474" s="554" t="s">
        <v>77</v>
      </c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5"/>
      <c r="P474" s="555"/>
      <c r="Q474" s="555"/>
      <c r="R474" s="555"/>
      <c r="S474" s="555"/>
      <c r="T474" s="555"/>
      <c r="U474" s="555"/>
      <c r="V474" s="555"/>
      <c r="W474" s="555"/>
      <c r="X474" s="555"/>
      <c r="Y474" s="555"/>
      <c r="Z474" s="555"/>
      <c r="AA474" s="541"/>
      <c r="AB474" s="541"/>
      <c r="AC474" s="541"/>
    </row>
    <row r="475" spans="1:68" ht="27" hidden="1" customHeight="1" x14ac:dyDescent="0.25">
      <c r="A475" s="54" t="s">
        <v>728</v>
      </c>
      <c r="B475" s="54" t="s">
        <v>729</v>
      </c>
      <c r="C475" s="31">
        <v>4301052046</v>
      </c>
      <c r="D475" s="561">
        <v>4640242180533</v>
      </c>
      <c r="E475" s="562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 t="s">
        <v>103</v>
      </c>
      <c r="M475" s="33" t="s">
        <v>86</v>
      </c>
      <c r="N475" s="33"/>
      <c r="O475" s="32">
        <v>45</v>
      </c>
      <c r="P475" s="6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9"/>
      <c r="R475" s="559"/>
      <c r="S475" s="559"/>
      <c r="T475" s="560"/>
      <c r="U475" s="34"/>
      <c r="V475" s="34"/>
      <c r="W475" s="35" t="s">
        <v>69</v>
      </c>
      <c r="X475" s="545">
        <v>0</v>
      </c>
      <c r="Y475" s="546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9" t="s">
        <v>730</v>
      </c>
      <c r="AG475" s="64"/>
      <c r="AJ475" s="68" t="s">
        <v>106</v>
      </c>
      <c r="AK475" s="68">
        <v>72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56"/>
      <c r="B476" s="555"/>
      <c r="C476" s="555"/>
      <c r="D476" s="555"/>
      <c r="E476" s="555"/>
      <c r="F476" s="555"/>
      <c r="G476" s="555"/>
      <c r="H476" s="555"/>
      <c r="I476" s="555"/>
      <c r="J476" s="555"/>
      <c r="K476" s="555"/>
      <c r="L476" s="555"/>
      <c r="M476" s="555"/>
      <c r="N476" s="555"/>
      <c r="O476" s="557"/>
      <c r="P476" s="551" t="s">
        <v>75</v>
      </c>
      <c r="Q476" s="552"/>
      <c r="R476" s="552"/>
      <c r="S476" s="552"/>
      <c r="T476" s="552"/>
      <c r="U476" s="552"/>
      <c r="V476" s="553"/>
      <c r="W476" s="37" t="s">
        <v>76</v>
      </c>
      <c r="X476" s="547">
        <f>IFERROR(X475/H475,"0")</f>
        <v>0</v>
      </c>
      <c r="Y476" s="547">
        <f>IFERROR(Y475/H475,"0")</f>
        <v>0</v>
      </c>
      <c r="Z476" s="547">
        <f>IFERROR(IF(Z475="",0,Z475),"0")</f>
        <v>0</v>
      </c>
      <c r="AA476" s="548"/>
      <c r="AB476" s="548"/>
      <c r="AC476" s="548"/>
    </row>
    <row r="477" spans="1:68" hidden="1" x14ac:dyDescent="0.2">
      <c r="A477" s="555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7"/>
      <c r="P477" s="551" t="s">
        <v>75</v>
      </c>
      <c r="Q477" s="552"/>
      <c r="R477" s="552"/>
      <c r="S477" s="552"/>
      <c r="T477" s="552"/>
      <c r="U477" s="552"/>
      <c r="V477" s="553"/>
      <c r="W477" s="37" t="s">
        <v>69</v>
      </c>
      <c r="X477" s="547">
        <f>IFERROR(SUM(X475:X475),"0")</f>
        <v>0</v>
      </c>
      <c r="Y477" s="547">
        <f>IFERROR(SUM(Y475:Y475),"0")</f>
        <v>0</v>
      </c>
      <c r="Z477" s="37"/>
      <c r="AA477" s="548"/>
      <c r="AB477" s="548"/>
      <c r="AC477" s="548"/>
    </row>
    <row r="478" spans="1:68" ht="14.25" hidden="1" customHeight="1" x14ac:dyDescent="0.25">
      <c r="A478" s="554" t="s">
        <v>160</v>
      </c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5"/>
      <c r="P478" s="555"/>
      <c r="Q478" s="555"/>
      <c r="R478" s="555"/>
      <c r="S478" s="555"/>
      <c r="T478" s="555"/>
      <c r="U478" s="555"/>
      <c r="V478" s="555"/>
      <c r="W478" s="555"/>
      <c r="X478" s="555"/>
      <c r="Y478" s="555"/>
      <c r="Z478" s="555"/>
      <c r="AA478" s="541"/>
      <c r="AB478" s="541"/>
      <c r="AC478" s="541"/>
    </row>
    <row r="479" spans="1:68" ht="27" hidden="1" customHeight="1" x14ac:dyDescent="0.25">
      <c r="A479" s="54" t="s">
        <v>731</v>
      </c>
      <c r="B479" s="54" t="s">
        <v>732</v>
      </c>
      <c r="C479" s="31">
        <v>4301060491</v>
      </c>
      <c r="D479" s="561">
        <v>4640242180120</v>
      </c>
      <c r="E479" s="562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79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9"/>
      <c r="R479" s="559"/>
      <c r="S479" s="559"/>
      <c r="T479" s="560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734</v>
      </c>
      <c r="B480" s="54" t="s">
        <v>735</v>
      </c>
      <c r="C480" s="31">
        <v>4301060493</v>
      </c>
      <c r="D480" s="561">
        <v>4640242180137</v>
      </c>
      <c r="E480" s="562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78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9"/>
      <c r="R480" s="559"/>
      <c r="S480" s="559"/>
      <c r="T480" s="560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56"/>
      <c r="B481" s="555"/>
      <c r="C481" s="555"/>
      <c r="D481" s="555"/>
      <c r="E481" s="555"/>
      <c r="F481" s="555"/>
      <c r="G481" s="555"/>
      <c r="H481" s="555"/>
      <c r="I481" s="555"/>
      <c r="J481" s="555"/>
      <c r="K481" s="555"/>
      <c r="L481" s="555"/>
      <c r="M481" s="555"/>
      <c r="N481" s="555"/>
      <c r="O481" s="557"/>
      <c r="P481" s="551" t="s">
        <v>75</v>
      </c>
      <c r="Q481" s="552"/>
      <c r="R481" s="552"/>
      <c r="S481" s="552"/>
      <c r="T481" s="552"/>
      <c r="U481" s="552"/>
      <c r="V481" s="553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hidden="1" x14ac:dyDescent="0.2">
      <c r="A482" s="555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7"/>
      <c r="P482" s="551" t="s">
        <v>75</v>
      </c>
      <c r="Q482" s="552"/>
      <c r="R482" s="552"/>
      <c r="S482" s="552"/>
      <c r="T482" s="552"/>
      <c r="U482" s="552"/>
      <c r="V482" s="553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hidden="1" customHeight="1" x14ac:dyDescent="0.25">
      <c r="A483" s="590" t="s">
        <v>737</v>
      </c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5"/>
      <c r="P483" s="555"/>
      <c r="Q483" s="555"/>
      <c r="R483" s="555"/>
      <c r="S483" s="555"/>
      <c r="T483" s="555"/>
      <c r="U483" s="555"/>
      <c r="V483" s="555"/>
      <c r="W483" s="555"/>
      <c r="X483" s="555"/>
      <c r="Y483" s="555"/>
      <c r="Z483" s="555"/>
      <c r="AA483" s="540"/>
      <c r="AB483" s="540"/>
      <c r="AC483" s="540"/>
    </row>
    <row r="484" spans="1:68" ht="14.25" hidden="1" customHeight="1" x14ac:dyDescent="0.25">
      <c r="A484" s="554" t="s">
        <v>135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41"/>
      <c r="AB484" s="541"/>
      <c r="AC484" s="541"/>
    </row>
    <row r="485" spans="1:68" ht="27" hidden="1" customHeight="1" x14ac:dyDescent="0.25">
      <c r="A485" s="54" t="s">
        <v>738</v>
      </c>
      <c r="B485" s="54" t="s">
        <v>739</v>
      </c>
      <c r="C485" s="31">
        <v>4301020314</v>
      </c>
      <c r="D485" s="561">
        <v>4640242180090</v>
      </c>
      <c r="E485" s="562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0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9"/>
      <c r="R485" s="559"/>
      <c r="S485" s="559"/>
      <c r="T485" s="560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56"/>
      <c r="B486" s="555"/>
      <c r="C486" s="555"/>
      <c r="D486" s="555"/>
      <c r="E486" s="555"/>
      <c r="F486" s="555"/>
      <c r="G486" s="555"/>
      <c r="H486" s="555"/>
      <c r="I486" s="555"/>
      <c r="J486" s="555"/>
      <c r="K486" s="555"/>
      <c r="L486" s="555"/>
      <c r="M486" s="555"/>
      <c r="N486" s="555"/>
      <c r="O486" s="557"/>
      <c r="P486" s="551" t="s">
        <v>75</v>
      </c>
      <c r="Q486" s="552"/>
      <c r="R486" s="552"/>
      <c r="S486" s="552"/>
      <c r="T486" s="552"/>
      <c r="U486" s="552"/>
      <c r="V486" s="553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hidden="1" x14ac:dyDescent="0.2">
      <c r="A487" s="555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7"/>
      <c r="P487" s="551" t="s">
        <v>75</v>
      </c>
      <c r="Q487" s="552"/>
      <c r="R487" s="552"/>
      <c r="S487" s="552"/>
      <c r="T487" s="552"/>
      <c r="U487" s="552"/>
      <c r="V487" s="553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60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606"/>
      <c r="P488" s="609" t="s">
        <v>741</v>
      </c>
      <c r="Q488" s="610"/>
      <c r="R488" s="610"/>
      <c r="S488" s="610"/>
      <c r="T488" s="610"/>
      <c r="U488" s="610"/>
      <c r="V488" s="578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5783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5868.4800000000005</v>
      </c>
      <c r="Z488" s="37"/>
      <c r="AA488" s="548"/>
      <c r="AB488" s="548"/>
      <c r="AC488" s="548"/>
    </row>
    <row r="489" spans="1:68" x14ac:dyDescent="0.2">
      <c r="A489" s="5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606"/>
      <c r="P489" s="609" t="s">
        <v>742</v>
      </c>
      <c r="Q489" s="610"/>
      <c r="R489" s="610"/>
      <c r="S489" s="610"/>
      <c r="T489" s="610"/>
      <c r="U489" s="610"/>
      <c r="V489" s="578"/>
      <c r="W489" s="37" t="s">
        <v>69</v>
      </c>
      <c r="X489" s="547">
        <f>IFERROR(SUM(BM22:BM485),"0")</f>
        <v>6073.9949292929286</v>
      </c>
      <c r="Y489" s="547">
        <f>IFERROR(SUM(BN22:BN485),"0")</f>
        <v>6163</v>
      </c>
      <c r="Z489" s="37"/>
      <c r="AA489" s="548"/>
      <c r="AB489" s="548"/>
      <c r="AC489" s="548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606"/>
      <c r="P490" s="609" t="s">
        <v>743</v>
      </c>
      <c r="Q490" s="610"/>
      <c r="R490" s="610"/>
      <c r="S490" s="610"/>
      <c r="T490" s="610"/>
      <c r="U490" s="610"/>
      <c r="V490" s="578"/>
      <c r="W490" s="37" t="s">
        <v>744</v>
      </c>
      <c r="X490" s="38">
        <f>ROUNDUP(SUM(BO22:BO485),0)</f>
        <v>10</v>
      </c>
      <c r="Y490" s="38">
        <f>ROUNDUP(SUM(BP22:BP485),0)</f>
        <v>10</v>
      </c>
      <c r="Z490" s="37"/>
      <c r="AA490" s="548"/>
      <c r="AB490" s="548"/>
      <c r="AC490" s="548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606"/>
      <c r="P491" s="609" t="s">
        <v>745</v>
      </c>
      <c r="Q491" s="610"/>
      <c r="R491" s="610"/>
      <c r="S491" s="610"/>
      <c r="T491" s="610"/>
      <c r="U491" s="610"/>
      <c r="V491" s="578"/>
      <c r="W491" s="37" t="s">
        <v>69</v>
      </c>
      <c r="X491" s="547">
        <f>GrossWeightTotal+PalletQtyTotal*25</f>
        <v>6323.9949292929286</v>
      </c>
      <c r="Y491" s="547">
        <f>GrossWeightTotalR+PalletQtyTotalR*25</f>
        <v>6413</v>
      </c>
      <c r="Z491" s="37"/>
      <c r="AA491" s="548"/>
      <c r="AB491" s="548"/>
      <c r="AC491" s="548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606"/>
      <c r="P492" s="609" t="s">
        <v>746</v>
      </c>
      <c r="Q492" s="610"/>
      <c r="R492" s="610"/>
      <c r="S492" s="610"/>
      <c r="T492" s="610"/>
      <c r="U492" s="610"/>
      <c r="V492" s="578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784.80202020202023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794</v>
      </c>
      <c r="Z492" s="37"/>
      <c r="AA492" s="548"/>
      <c r="AB492" s="548"/>
      <c r="AC492" s="548"/>
    </row>
    <row r="493" spans="1:68" ht="14.25" hidden="1" customHeight="1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606"/>
      <c r="P493" s="609" t="s">
        <v>747</v>
      </c>
      <c r="Q493" s="610"/>
      <c r="R493" s="610"/>
      <c r="S493" s="610"/>
      <c r="T493" s="610"/>
      <c r="U493" s="610"/>
      <c r="V493" s="578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11.215999999999998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49" t="s">
        <v>97</v>
      </c>
      <c r="D495" s="783"/>
      <c r="E495" s="783"/>
      <c r="F495" s="783"/>
      <c r="G495" s="783"/>
      <c r="H495" s="664"/>
      <c r="I495" s="549" t="s">
        <v>263</v>
      </c>
      <c r="J495" s="783"/>
      <c r="K495" s="783"/>
      <c r="L495" s="783"/>
      <c r="M495" s="783"/>
      <c r="N495" s="783"/>
      <c r="O495" s="783"/>
      <c r="P495" s="783"/>
      <c r="Q495" s="783"/>
      <c r="R495" s="664"/>
      <c r="S495" s="549" t="s">
        <v>550</v>
      </c>
      <c r="T495" s="664"/>
      <c r="U495" s="549" t="s">
        <v>604</v>
      </c>
      <c r="V495" s="783"/>
      <c r="W495" s="664"/>
      <c r="X495" s="542" t="s">
        <v>655</v>
      </c>
      <c r="Y495" s="549" t="s">
        <v>707</v>
      </c>
      <c r="Z495" s="664"/>
      <c r="AB495" s="52"/>
      <c r="AC495" s="52"/>
      <c r="AF495" s="543"/>
    </row>
    <row r="496" spans="1:68" ht="14.25" customHeight="1" thickTop="1" x14ac:dyDescent="0.2">
      <c r="A496" s="838" t="s">
        <v>750</v>
      </c>
      <c r="B496" s="549" t="s">
        <v>63</v>
      </c>
      <c r="C496" s="549" t="s">
        <v>98</v>
      </c>
      <c r="D496" s="549" t="s">
        <v>116</v>
      </c>
      <c r="E496" s="549" t="s">
        <v>167</v>
      </c>
      <c r="F496" s="549" t="s">
        <v>190</v>
      </c>
      <c r="G496" s="549" t="s">
        <v>227</v>
      </c>
      <c r="H496" s="549" t="s">
        <v>97</v>
      </c>
      <c r="I496" s="549" t="s">
        <v>264</v>
      </c>
      <c r="J496" s="549" t="s">
        <v>319</v>
      </c>
      <c r="K496" s="549" t="s">
        <v>379</v>
      </c>
      <c r="L496" s="549" t="s">
        <v>420</v>
      </c>
      <c r="M496" s="549" t="s">
        <v>436</v>
      </c>
      <c r="N496" s="543"/>
      <c r="O496" s="549" t="s">
        <v>447</v>
      </c>
      <c r="P496" s="549" t="s">
        <v>456</v>
      </c>
      <c r="Q496" s="549" t="s">
        <v>469</v>
      </c>
      <c r="R496" s="549" t="s">
        <v>540</v>
      </c>
      <c r="S496" s="549" t="s">
        <v>551</v>
      </c>
      <c r="T496" s="549" t="s">
        <v>586</v>
      </c>
      <c r="U496" s="549" t="s">
        <v>605</v>
      </c>
      <c r="V496" s="549" t="s">
        <v>636</v>
      </c>
      <c r="W496" s="549" t="s">
        <v>651</v>
      </c>
      <c r="X496" s="549" t="s">
        <v>655</v>
      </c>
      <c r="Y496" s="549" t="s">
        <v>707</v>
      </c>
      <c r="Z496" s="549" t="s">
        <v>737</v>
      </c>
      <c r="AB496" s="52"/>
      <c r="AC496" s="52"/>
      <c r="AF496" s="543"/>
    </row>
    <row r="497" spans="1:32" ht="13.5" customHeight="1" thickBot="1" x14ac:dyDescent="0.25">
      <c r="A497" s="839"/>
      <c r="B497" s="550"/>
      <c r="C497" s="550"/>
      <c r="D497" s="550"/>
      <c r="E497" s="550"/>
      <c r="F497" s="550"/>
      <c r="G497" s="550"/>
      <c r="H497" s="550"/>
      <c r="I497" s="550"/>
      <c r="J497" s="550"/>
      <c r="K497" s="550"/>
      <c r="L497" s="550"/>
      <c r="M497" s="550"/>
      <c r="N497" s="543"/>
      <c r="O497" s="550"/>
      <c r="P497" s="550"/>
      <c r="Q497" s="550"/>
      <c r="R497" s="550"/>
      <c r="S497" s="550"/>
      <c r="T497" s="550"/>
      <c r="U497" s="550"/>
      <c r="V497" s="550"/>
      <c r="W497" s="550"/>
      <c r="X497" s="550"/>
      <c r="Y497" s="550"/>
      <c r="Z497" s="550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194.4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498" s="46">
        <f>IFERROR(Y84*1,"0")+IFERROR(Y85*1,"0")+IFERROR(Y86*1,"0")+IFERROR(Y87*1,"0")+IFERROR(Y91*1,"0")+IFERROR(Y92*1,"0")+IFERROR(Y93*1,"0")+IFERROR(Y94*1,"0")</f>
        <v>250.20000000000002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279</v>
      </c>
      <c r="G498" s="46">
        <f>IFERROR(Y126*1,"0")+IFERROR(Y127*1,"0")+IFERROR(Y131*1,"0")+IFERROR(Y132*1,"0")+IFERROR(Y136*1,"0")+IFERROR(Y137*1,"0")</f>
        <v>0</v>
      </c>
      <c r="H498" s="46">
        <f>IFERROR(Y142*1,"0")+IFERROR(Y143*1,"0")+IFERROR(Y147*1,"0")+IFERROR(Y148*1,"0")+IFERROR(Y149*1,"0")+IFERROR(Y150*1,"0")+IFERROR(Y151*1,"0")+IFERROR(Y155*1,"0")</f>
        <v>0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0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0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0</v>
      </c>
      <c r="R498" s="46">
        <f>IFERROR(Y340*1,"0")+IFERROR(Y341*1,"0")+IFERROR(Y342*1,"0")</f>
        <v>0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2130</v>
      </c>
      <c r="T498" s="46">
        <f>IFERROR(Y373*1,"0")+IFERROR(Y374*1,"0")+IFERROR(Y378*1,"0")+IFERROR(Y379*1,"0")+IFERROR(Y383*1,"0")+IFERROR(Y384*1,"0")+IFERROR(Y385*1,"0")</f>
        <v>0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498" s="46">
        <f>IFERROR(Y409*1,"0")+IFERROR(Y413*1,"0")+IFERROR(Y414*1,"0")+IFERROR(Y415*1,"0")+IFERROR(Y416*1,"0")</f>
        <v>0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3014.88</v>
      </c>
      <c r="Y498" s="46">
        <f>IFERROR(Y459*1,"0")+IFERROR(Y460*1,"0")+IFERROR(Y461*1,"0")+IFERROR(Y462*1,"0")+IFERROR(Y466*1,"0")+IFERROR(Y467*1,"0")+IFERROR(Y471*1,"0")+IFERROR(Y475*1,"0")+IFERROR(Y479*1,"0")+IFERROR(Y480*1,"0")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43"/>
    </row>
  </sheetData>
  <sheetProtection algorithmName="SHA-512" hashValue="fnz0DG5DRnjJHhCnQRq2YTTa9uvGcHaAiAay2SESnKKo4UuJQRxCkWI9o2YNV+q3J90/sJ4nTcs8+MmCxx0OYw==" saltValue="c1Vg350yDZ4Cj/oCuRd2xQ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82,00"/>
        <filter val="1 621,00"/>
        <filter val="10"/>
        <filter val="116,86"/>
        <filter val="121,00"/>
        <filter val="143,00"/>
        <filter val="143,56"/>
        <filter val="166,00"/>
        <filter val="17,04"/>
        <filter val="184,00"/>
        <filter val="197,00"/>
        <filter val="213,00"/>
        <filter val="235,00"/>
        <filter val="242,00"/>
        <filter val="272,00"/>
        <filter val="28,24"/>
        <filter val="307,01"/>
        <filter val="32,83"/>
        <filter val="40,47"/>
        <filter val="441,00"/>
        <filter val="449,00"/>
        <filter val="45,00"/>
        <filter val="5 783,00"/>
        <filter val="59,00"/>
        <filter val="6 073,99"/>
        <filter val="6 323,99"/>
        <filter val="607,00"/>
        <filter val="617,00"/>
        <filter val="685,00"/>
        <filter val="697,00"/>
        <filter val="758,00"/>
        <filter val="784,80"/>
        <filter val="924,00"/>
        <filter val="98,80"/>
      </filters>
    </filterColumn>
    <filterColumn colId="29" showButton="0"/>
    <filterColumn colId="30" showButton="0"/>
  </autoFilter>
  <mergeCells count="874"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P204:T204"/>
    <mergeCell ref="D348:E348"/>
    <mergeCell ref="D62:E62"/>
    <mergeCell ref="D56:E56"/>
    <mergeCell ref="P216:T216"/>
    <mergeCell ref="D137:E137"/>
    <mergeCell ref="P360:V360"/>
    <mergeCell ref="P80:V80"/>
    <mergeCell ref="D74:E74"/>
    <mergeCell ref="P87:T87"/>
    <mergeCell ref="D335:E335"/>
    <mergeCell ref="D188:E188"/>
    <mergeCell ref="P322:T322"/>
    <mergeCell ref="D132:E132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A419:Z419"/>
    <mergeCell ref="Q496:Q497"/>
    <mergeCell ref="S496:S497"/>
    <mergeCell ref="P454:V454"/>
    <mergeCell ref="D485:E485"/>
    <mergeCell ref="P451:T451"/>
    <mergeCell ref="A470:Z470"/>
    <mergeCell ref="A375:O376"/>
    <mergeCell ref="D399:E399"/>
    <mergeCell ref="A439:O440"/>
    <mergeCell ref="P309:T309"/>
    <mergeCell ref="D193:E193"/>
    <mergeCell ref="P206:T206"/>
    <mergeCell ref="P448:T448"/>
    <mergeCell ref="P233:T233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81:V81"/>
    <mergeCell ref="D51:E51"/>
    <mergeCell ref="P306:T306"/>
    <mergeCell ref="P157:V157"/>
    <mergeCell ref="A38:Z38"/>
    <mergeCell ref="P249:V249"/>
    <mergeCell ref="P207:T207"/>
    <mergeCell ref="P299:T299"/>
    <mergeCell ref="D203:E203"/>
    <mergeCell ref="P232:T232"/>
    <mergeCell ref="P152:V152"/>
    <mergeCell ref="A82:Z82"/>
    <mergeCell ref="P51:T51"/>
    <mergeCell ref="P58:V58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P468:V468"/>
    <mergeCell ref="A160:Z160"/>
    <mergeCell ref="A141:Z141"/>
    <mergeCell ref="A144:O145"/>
    <mergeCell ref="A135:Z135"/>
    <mergeCell ref="P161:T161"/>
    <mergeCell ref="P459:T459"/>
    <mergeCell ref="D198:E198"/>
    <mergeCell ref="D296:E296"/>
    <mergeCell ref="P275:V275"/>
    <mergeCell ref="D427:E427"/>
    <mergeCell ref="P366:V366"/>
    <mergeCell ref="D349:E349"/>
    <mergeCell ref="P455:V455"/>
    <mergeCell ref="A454:O455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104:V104"/>
    <mergeCell ref="A372:Z372"/>
    <mergeCell ref="P386:V386"/>
    <mergeCell ref="P393:T393"/>
    <mergeCell ref="D374:E374"/>
    <mergeCell ref="A338:Z338"/>
    <mergeCell ref="D127:E127"/>
    <mergeCell ref="P304:T304"/>
    <mergeCell ref="D176:E176"/>
    <mergeCell ref="D93:E93"/>
    <mergeCell ref="A133:O134"/>
    <mergeCell ref="D391:E391"/>
    <mergeCell ref="D220:E220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D291:E291"/>
    <mergeCell ref="D239:E239"/>
    <mergeCell ref="P174:T174"/>
    <mergeCell ref="P149:T149"/>
    <mergeCell ref="A339:Z339"/>
    <mergeCell ref="D218:E218"/>
    <mergeCell ref="A347:Z347"/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M496:M497"/>
    <mergeCell ref="O496:O49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8 X84 X86:X87 X91 X93:X94 X99 X101:X102 X107 X114 X116 X126:X127 X131 X167 X169 X176 X194 X203:X208 X210 X214:X217 X219:X222 X239 X261 X263 X279:X280 X305 X313 X321 X328:X329 X341:X342 X348:X350 X358 X373 X378 X383:X384 X393 X427 X430:X431 X433 X442 X444 X448:X450 X461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nRcQEMPvMMmv2SF8IJ/JgXk+B1RH85izkwPFln9byq4yteWfcc6RwY+XBRJyrm2yQPtRJm/89Z1REextb5Prdg==" saltValue="PKk/GTZvaZqeR9LB7x0hE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2026-01-26T10:54:37Z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