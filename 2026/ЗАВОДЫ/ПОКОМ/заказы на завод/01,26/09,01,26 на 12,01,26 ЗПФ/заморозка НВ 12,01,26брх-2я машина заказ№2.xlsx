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EC9EF46-0E98-4EE8-A4DF-5EC6E6BF50E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O266" i="1"/>
  <c r="BM266" i="1"/>
  <c r="Z266" i="1"/>
  <c r="Y266" i="1"/>
  <c r="BP266" i="1" s="1"/>
  <c r="P266" i="1"/>
  <c r="BO265" i="1"/>
  <c r="BM265" i="1"/>
  <c r="Z265" i="1"/>
  <c r="Y265" i="1"/>
  <c r="P265" i="1"/>
  <c r="BO264" i="1"/>
  <c r="BM264" i="1"/>
  <c r="Z264" i="1"/>
  <c r="Y264" i="1"/>
  <c r="BP264" i="1" s="1"/>
  <c r="P264" i="1"/>
  <c r="BO263" i="1"/>
  <c r="BM263" i="1"/>
  <c r="Z263" i="1"/>
  <c r="Y263" i="1"/>
  <c r="P263" i="1"/>
  <c r="BO262" i="1"/>
  <c r="BM262" i="1"/>
  <c r="Z262" i="1"/>
  <c r="Y262" i="1"/>
  <c r="BP262" i="1" s="1"/>
  <c r="P262" i="1"/>
  <c r="BO261" i="1"/>
  <c r="BM261" i="1"/>
  <c r="Z261" i="1"/>
  <c r="Y261" i="1"/>
  <c r="P261" i="1"/>
  <c r="BO260" i="1"/>
  <c r="BM260" i="1"/>
  <c r="Z260" i="1"/>
  <c r="Y260" i="1"/>
  <c r="BP260" i="1" s="1"/>
  <c r="P260" i="1"/>
  <c r="BO259" i="1"/>
  <c r="BM259" i="1"/>
  <c r="Z259" i="1"/>
  <c r="Y259" i="1"/>
  <c r="P259" i="1"/>
  <c r="BO258" i="1"/>
  <c r="BM258" i="1"/>
  <c r="Z258" i="1"/>
  <c r="Y258" i="1"/>
  <c r="BP258" i="1" s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P252" i="1"/>
  <c r="X250" i="1"/>
  <c r="X249" i="1"/>
  <c r="BO248" i="1"/>
  <c r="BM248" i="1"/>
  <c r="Z248" i="1"/>
  <c r="Y248" i="1"/>
  <c r="BP248" i="1" s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O214" i="1"/>
  <c r="BM214" i="1"/>
  <c r="Z214" i="1"/>
  <c r="Y214" i="1"/>
  <c r="BP214" i="1" s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BO195" i="1"/>
  <c r="BM195" i="1"/>
  <c r="Z195" i="1"/>
  <c r="Z200" i="1" s="1"/>
  <c r="Y195" i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BP179" i="1" s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O140" i="1"/>
  <c r="BN140" i="1"/>
  <c r="BM140" i="1"/>
  <c r="Z140" i="1"/>
  <c r="Y140" i="1"/>
  <c r="BP140" i="1" s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Z121" i="1" s="1"/>
  <c r="Y113" i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Z82" i="1" s="1"/>
  <c r="Y80" i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Y52" i="1"/>
  <c r="P52" i="1"/>
  <c r="X49" i="1"/>
  <c r="X48" i="1"/>
  <c r="BO47" i="1"/>
  <c r="BM47" i="1"/>
  <c r="Z47" i="1"/>
  <c r="Y47" i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P40" i="1"/>
  <c r="BP39" i="1"/>
  <c r="BO39" i="1"/>
  <c r="BN39" i="1"/>
  <c r="BM39" i="1"/>
  <c r="Z39" i="1"/>
  <c r="Z41" i="1" s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Z34" i="1" s="1"/>
  <c r="Y32" i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P22" i="1"/>
  <c r="H10" i="1"/>
  <c r="A9" i="1"/>
  <c r="F10" i="1" s="1"/>
  <c r="D7" i="1"/>
  <c r="Q6" i="1"/>
  <c r="P2" i="1"/>
  <c r="Z174" i="1" l="1"/>
  <c r="Z182" i="1"/>
  <c r="BN179" i="1"/>
  <c r="BN181" i="1"/>
  <c r="Y201" i="1"/>
  <c r="BN196" i="1"/>
  <c r="BN198" i="1"/>
  <c r="BN214" i="1"/>
  <c r="Y244" i="1"/>
  <c r="Z244" i="1"/>
  <c r="BN248" i="1"/>
  <c r="Y256" i="1"/>
  <c r="Z268" i="1"/>
  <c r="BN258" i="1"/>
  <c r="Y269" i="1"/>
  <c r="BN260" i="1"/>
  <c r="BN262" i="1"/>
  <c r="BN264" i="1"/>
  <c r="BN266" i="1"/>
  <c r="Y245" i="1"/>
  <c r="Y29" i="1"/>
  <c r="Y35" i="1"/>
  <c r="BN33" i="1"/>
  <c r="Y41" i="1"/>
  <c r="Y42" i="1"/>
  <c r="Y49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Z141" i="1"/>
  <c r="Y147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Z255" i="1"/>
  <c r="BN252" i="1"/>
  <c r="BP252" i="1"/>
  <c r="BN254" i="1"/>
  <c r="Y268" i="1"/>
  <c r="H9" i="1"/>
  <c r="A10" i="1"/>
  <c r="X271" i="1"/>
  <c r="X272" i="1"/>
  <c r="BN23" i="1"/>
  <c r="BN25" i="1"/>
  <c r="BN27" i="1"/>
  <c r="Y28" i="1"/>
  <c r="X270" i="1"/>
  <c r="BN32" i="1"/>
  <c r="BP32" i="1"/>
  <c r="BP40" i="1"/>
  <c r="BN40" i="1"/>
  <c r="Y57" i="1"/>
  <c r="BP52" i="1"/>
  <c r="BN52" i="1"/>
  <c r="Y56" i="1"/>
  <c r="F9" i="1"/>
  <c r="J9" i="1"/>
  <c r="Y34" i="1"/>
  <c r="Y48" i="1"/>
  <c r="BP45" i="1"/>
  <c r="BN45" i="1"/>
  <c r="BP47" i="1"/>
  <c r="BN47" i="1"/>
  <c r="Y71" i="1"/>
  <c r="Y77" i="1"/>
  <c r="Y82" i="1"/>
  <c r="Y94" i="1"/>
  <c r="Y103" i="1"/>
  <c r="Y110" i="1"/>
  <c r="Y121" i="1"/>
  <c r="BP133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BN139" i="1"/>
  <c r="BP139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Z275" i="1" s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1" i="1" l="1"/>
  <c r="Y270" i="1"/>
  <c r="Y272" i="1"/>
  <c r="Y274" i="1"/>
  <c r="X273" i="1"/>
  <c r="B283" i="1" l="1"/>
  <c r="Y273" i="1"/>
  <c r="A283" i="1" s="1"/>
  <c r="C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<sst xmlns="http://schemas.openxmlformats.org/spreadsheetml/2006/main" count="1223" uniqueCount="395">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</sst>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39" sqref="AA39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46034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0.45833333333333331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112</v>
      </c>
      <c r="Y39" s="269">
        <f>IFERROR(IF(X39="","",X39),"")</f>
        <v>112</v>
      </c>
      <c r="Z39" s="36">
        <f>IFERROR(IF(X39="","",X39*0.00941),"")</f>
        <v>1.05392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215.24160000000001</v>
      </c>
      <c r="BN39" s="67">
        <f>IFERROR(Y39*I39,"0")</f>
        <v>215.24160000000001</v>
      </c>
      <c r="BO39" s="67">
        <f>IFERROR(X39/J39,"0")</f>
        <v>0.8</v>
      </c>
      <c r="BP39" s="67">
        <f>IFERROR(Y39/J39,"0")</f>
        <v>0.8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112</v>
      </c>
      <c r="Y41" s="270">
        <f>IFERROR(SUM(Y39:Y40),"0")</f>
        <v>112</v>
      </c>
      <c r="Z41" s="270">
        <f>IFERROR(IF(Z39="",0,Z39),"0")+IFERROR(IF(Z40="",0,Z40),"0")</f>
        <v>1.05392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168</v>
      </c>
      <c r="Y42" s="270">
        <f>IFERROR(SUMPRODUCT(Y39:Y40*H39:H40),"0")</f>
        <v>168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hidden="1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hidden="1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hidden="1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hidden="1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hidden="1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hidden="1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hidden="1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70</v>
      </c>
      <c r="Y100" s="269">
        <f t="shared" si="6"/>
        <v>70</v>
      </c>
      <c r="Z100" s="36">
        <f t="shared" si="7"/>
        <v>1.2516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67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71</v>
      </c>
      <c r="AK102" s="71">
        <v>1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70</v>
      </c>
      <c r="Y103" s="270">
        <f>IFERROR(SUM(Y97:Y102),"0")</f>
        <v>70</v>
      </c>
      <c r="Z103" s="270">
        <f>IFERROR(IF(Z97="",0,Z97),"0")+IFERROR(IF(Z98="",0,Z98),"0")+IFERROR(IF(Z99="",0,Z99),"0")+IFERROR(IF(Z100="",0,Z100),"0")+IFERROR(IF(Z101="",0,Z101),"0")+IFERROR(IF(Z102="",0,Z102),"0")</f>
        <v>1.2516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201.6</v>
      </c>
      <c r="Y104" s="270">
        <f>IFERROR(SUMPRODUCT(Y97:Y102*H97:H102),"0")</f>
        <v>201.6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72</v>
      </c>
      <c r="Y119" s="269">
        <f t="shared" si="12"/>
        <v>72</v>
      </c>
      <c r="Z119" s="36">
        <f t="shared" si="13"/>
        <v>1.1160000000000001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525.6</v>
      </c>
      <c r="BN119" s="67">
        <f t="shared" si="15"/>
        <v>525.6</v>
      </c>
      <c r="BO119" s="67">
        <f t="shared" si="16"/>
        <v>0.8571428571428571</v>
      </c>
      <c r="BP119" s="67">
        <f t="shared" si="17"/>
        <v>0.8571428571428571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72</v>
      </c>
      <c r="Y121" s="270">
        <f>IFERROR(SUM(Y113:Y120),"0")</f>
        <v>72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1.1160000000000001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504</v>
      </c>
      <c r="Y122" s="270">
        <f>IFERROR(SUMPRODUCT(Y113:Y120*H113:H120),"0")</f>
        <v>504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56</v>
      </c>
      <c r="Y133" s="269">
        <f>IFERROR(IF(X133="","",X133),"")</f>
        <v>56</v>
      </c>
      <c r="Z133" s="36">
        <f>IFERROR(IF(X133="","",X133*0.01788),"")</f>
        <v>1.0012799999999999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207.40159999999997</v>
      </c>
      <c r="BN133" s="67">
        <f>IFERROR(Y133*I133,"0")</f>
        <v>207.40159999999997</v>
      </c>
      <c r="BO133" s="67">
        <f>IFERROR(X133/J133,"0")</f>
        <v>0.8</v>
      </c>
      <c r="BP133" s="67">
        <f>IFERROR(Y133/J133,"0")</f>
        <v>0.8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70</v>
      </c>
      <c r="Y134" s="269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126</v>
      </c>
      <c r="Y135" s="270">
        <f>IFERROR(SUM(Y133:Y134),"0")</f>
        <v>126</v>
      </c>
      <c r="Z135" s="270">
        <f>IFERROR(IF(Z133="",0,Z133),"0")+IFERROR(IF(Z134="",0,Z134),"0")</f>
        <v>2.2528800000000002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378</v>
      </c>
      <c r="Y136" s="270">
        <f>IFERROR(SUMPRODUCT(Y133:Y134*H133:H134),"0")</f>
        <v>378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hidden="1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hidden="1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hidden="1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67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71</v>
      </c>
      <c r="AK156" s="71">
        <v>1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hidden="1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hidden="1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hidden="1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56</v>
      </c>
      <c r="Y180" s="269">
        <f>IFERROR(IF(X180="","",X180),"")</f>
        <v>56</v>
      </c>
      <c r="Z180" s="36">
        <f>IFERROR(IF(X180="","",X180*0.01788),"")</f>
        <v>1.0012799999999999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189.72800000000001</v>
      </c>
      <c r="BN180" s="67">
        <f>IFERROR(Y180*I180,"0")</f>
        <v>189.72800000000001</v>
      </c>
      <c r="BO180" s="67">
        <f>IFERROR(X180/J180,"0")</f>
        <v>0.8</v>
      </c>
      <c r="BP180" s="67">
        <f>IFERROR(Y180/J180,"0")</f>
        <v>0.8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56</v>
      </c>
      <c r="Y182" s="270">
        <f>IFERROR(SUM(Y179:Y181),"0")</f>
        <v>56</v>
      </c>
      <c r="Z182" s="270">
        <f>IFERROR(IF(Z179="",0,Z179),"0")+IFERROR(IF(Z180="",0,Z180),"0")+IFERROR(IF(Z181="",0,Z181),"0")</f>
        <v>1.0012799999999999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168</v>
      </c>
      <c r="Y183" s="270">
        <f>IFERROR(SUMPRODUCT(Y179:Y181*H179:H181),"0")</f>
        <v>168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12</v>
      </c>
      <c r="Y247" s="269">
        <f>IFERROR(IF(X247="","",X247),"")</f>
        <v>12</v>
      </c>
      <c r="Z247" s="36">
        <f>IFERROR(IF(X247="","",X247*0.0155),"")</f>
        <v>0.186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75.12</v>
      </c>
      <c r="BN247" s="67">
        <f>IFERROR(Y247*I247,"0")</f>
        <v>75.12</v>
      </c>
      <c r="BO247" s="67">
        <f>IFERROR(X247/J247,"0")</f>
        <v>0.14285714285714285</v>
      </c>
      <c r="BP247" s="67">
        <f>IFERROR(Y247/J247,"0")</f>
        <v>0.14285714285714285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12</v>
      </c>
      <c r="Y249" s="270">
        <f>IFERROR(SUM(Y247:Y248),"0")</f>
        <v>12</v>
      </c>
      <c r="Z249" s="270">
        <f>IFERROR(IF(Z247="",0,Z247),"0")+IFERROR(IF(Z248="",0,Z248),"0")</f>
        <v>0.186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72</v>
      </c>
      <c r="Y250" s="270">
        <f>IFERROR(SUMPRODUCT(Y247:Y248*H247:H248),"0")</f>
        <v>72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hidden="1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67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71</v>
      </c>
      <c r="AK261" s="71">
        <v>1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67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71</v>
      </c>
      <c r="AK262" s="71">
        <v>1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67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71</v>
      </c>
      <c r="AK263" s="71">
        <v>1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idden="1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hidden="1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1491.6</v>
      </c>
      <c r="Y270" s="270">
        <f>IFERROR(Y29+Y35+Y42+Y49+Y57+Y62+Y66+Y71+Y77+Y83+Y88+Y94+Y104+Y110+Y122+Y126+Y130+Y136+Y142+Y148+Y153+Y158+Y163+Y168+Y175+Y183+Y187+Y193+Y201+Y206+Y211+Y216+Y222+Y228+Y234+Y238+Y245+Y250+Y256+Y269,"0")</f>
        <v>1491.6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1723.1952000000001</v>
      </c>
      <c r="Y271" s="270">
        <f>IFERROR(SUM(BN22:BN267),"0")</f>
        <v>1723.1952000000001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6</v>
      </c>
      <c r="Y272" s="38">
        <f>ROUNDUP(SUM(BP22:BP267),0)</f>
        <v>6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1873.1952000000001</v>
      </c>
      <c r="Y273" s="270">
        <f>GrossWeightTotalR+PalletQtyTotalR*25</f>
        <v>1873.1952000000001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448</v>
      </c>
      <c r="Y274" s="270">
        <f>IFERROR(Y28+Y34+Y41+Y48+Y56+Y61+Y65+Y70+Y76+Y82+Y87+Y93+Y103+Y109+Y121+Y125+Y129+Y135+Y141+Y147+Y152+Y157+Y162+Y167+Y174+Y182+Y186+Y192+Y200+Y205+Y210+Y215+Y221+Y227+Y233+Y237+Y244+Y249+Y255+Y268,"0")</f>
        <v>448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6.8616799999999998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168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0</v>
      </c>
      <c r="K280" s="46">
        <f>IFERROR(X97*H97,"0")+IFERROR(X98*H98,"0")+IFERROR(X99*H99,"0")+IFERROR(X100*H100,"0")+IFERROR(X101*H101,"0")+IFERROR(X102*H102,"0")</f>
        <v>201.6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504</v>
      </c>
      <c r="N280" s="266"/>
      <c r="O280" s="46">
        <f>IFERROR(X133*H133,"0")+IFERROR(X134*H134,"0")</f>
        <v>378</v>
      </c>
      <c r="P280" s="46">
        <f>IFERROR(X139*H139,"0")+IFERROR(X140*H140,"0")</f>
        <v>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0</v>
      </c>
      <c r="W280" s="46">
        <f>IFERROR(X179*H179,"0")+IFERROR(X180*H180,"0")+IFERROR(X181*H181,"0")+IFERROR(X185*H185,"0")</f>
        <v>168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72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504</v>
      </c>
      <c r="B283" s="60">
        <f>SUMPRODUCT(--(BB:BB="ПГП"),--(W:W="кор"),H:H,Y:Y)+SUMPRODUCT(--(BB:BB="ПГП"),--(W:W="кг"),Y:Y)</f>
        <v>987.6</v>
      </c>
      <c r="C283" s="60">
        <f>SUMPRODUCT(--(BB:BB="КИЗ"),--(W:W="кор"),H:H,Y:Y)+SUMPRODUCT(--(BB:BB="КИЗ"),--(W:W="кг"),Y:Y)</f>
        <v>0</v>
      </c>
    </row>
  </sheetData>
  <sheetProtection algorithmName="SHA-512" hashValue="PAJPxXpmTwwSwStAQ3lq8HpYqXizjcQThJ0szzBaZkNuXjhZAFcuB2UcxkMkeU63ZFpndH013h2YHWvF3uzcDw==" saltValue="E+9aWAtbyxwcNIATLB/qM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91,60"/>
        <filter val="1 723,20"/>
        <filter val="1 873,20"/>
        <filter val="112,00"/>
        <filter val="12,00"/>
        <filter val="126,00"/>
        <filter val="168,00"/>
        <filter val="201,60"/>
        <filter val="378,00"/>
        <filter val="448,00"/>
        <filter val="504,00"/>
        <filter val="56,00"/>
        <filter val="6"/>
        <filter val="70,00"/>
        <filter val="72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3 X117 X120 X124 X128 X139 X145:X146 X156 X161 X172 X185 X195:X199 X209 X213:X214 X220 X232 X236 X242 X248 X254 X258 X261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4:X116 X118:X119 X133 X140 X151 X166 X173 X179:X181 X191 X204 X226 X243 X247 X252:X253 X259:X260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MnhdSWAHXEyZLVYhVICG7DEFs+4LYxNAPBZqpQA66bZVqmTmSsGN4qlsV4NFLU61IZWgRFBS2g9yEIBMMZ8zcg==" saltValue="vviGMYnQPAjWqdu0qr9J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2026-01-09T10:40:39Z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