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13F9C99-D366-4C51-AB11-2D40049CC9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O268" i="1"/>
  <c r="BM268" i="1"/>
  <c r="Z268" i="1"/>
  <c r="Y268" i="1"/>
  <c r="BP268" i="1" s="1"/>
  <c r="P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Z202" i="1" s="1"/>
  <c r="Y197" i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BP183" i="1" s="1"/>
  <c r="P183" i="1"/>
  <c r="BO182" i="1"/>
  <c r="BM182" i="1"/>
  <c r="Z182" i="1"/>
  <c r="Y182" i="1"/>
  <c r="P182" i="1"/>
  <c r="BO181" i="1"/>
  <c r="BM181" i="1"/>
  <c r="Z181" i="1"/>
  <c r="Y181" i="1"/>
  <c r="BP181" i="1" s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Z127" i="1" s="1"/>
  <c r="Y125" i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Z110" i="1" s="1"/>
  <c r="Y108" i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Y28" i="1" l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Z176" i="1"/>
  <c r="Z184" i="1"/>
  <c r="BN181" i="1"/>
  <c r="BN183" i="1"/>
  <c r="Y203" i="1"/>
  <c r="BN198" i="1"/>
  <c r="BN200" i="1"/>
  <c r="BN216" i="1"/>
  <c r="BN250" i="1"/>
  <c r="Y258" i="1"/>
  <c r="Z270" i="1"/>
  <c r="BN260" i="1"/>
  <c r="BN262" i="1"/>
  <c r="BN264" i="1"/>
  <c r="BN266" i="1"/>
  <c r="BN268" i="1"/>
  <c r="J9" i="1"/>
  <c r="F9" i="1"/>
  <c r="F10" i="1"/>
  <c r="Z28" i="1"/>
  <c r="BN22" i="1"/>
  <c r="BP22" i="1"/>
  <c r="BN24" i="1"/>
  <c r="BN26" i="1"/>
  <c r="X276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Y111" i="1"/>
  <c r="BN109" i="1"/>
  <c r="Y122" i="1"/>
  <c r="Y128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Z251" i="1"/>
  <c r="Z257" i="1"/>
  <c r="BN254" i="1"/>
  <c r="BP254" i="1"/>
  <c r="BN256" i="1"/>
  <c r="Y270" i="1"/>
  <c r="Y271" i="1"/>
  <c r="Y29" i="1"/>
  <c r="Y34" i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BN25" i="1"/>
  <c r="BN27" i="1"/>
  <c r="X27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Z277" i="1" l="1"/>
  <c r="Y273" i="1"/>
  <c r="Y275" i="1" s="1"/>
  <c r="Y274" i="1"/>
  <c r="Y276" i="1"/>
  <c r="X275" i="1"/>
  <c r="Y272" i="1"/>
  <c r="C285" i="1" l="1"/>
  <c r="B285" i="1"/>
  <c r="A285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<sst xmlns="http://schemas.openxmlformats.org/spreadsheetml/2006/main" count="1241" uniqueCount="399">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</sst>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5" t="s">
        <v>0</v>
      </c>
      <c r="E1" s="298"/>
      <c r="F1" s="298"/>
      <c r="G1" s="12" t="s">
        <v>1</v>
      </c>
      <c r="H1" s="325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7" t="s">
        <v>7</v>
      </c>
      <c r="B5" s="311"/>
      <c r="C5" s="312"/>
      <c r="D5" s="328"/>
      <c r="E5" s="329"/>
      <c r="F5" s="449" t="s">
        <v>8</v>
      </c>
      <c r="G5" s="312"/>
      <c r="H5" s="328" t="s">
        <v>398</v>
      </c>
      <c r="I5" s="421"/>
      <c r="J5" s="421"/>
      <c r="K5" s="421"/>
      <c r="L5" s="421"/>
      <c r="M5" s="329"/>
      <c r="N5" s="61"/>
      <c r="P5" s="24" t="s">
        <v>9</v>
      </c>
      <c r="Q5" s="442">
        <v>46034</v>
      </c>
      <c r="R5" s="345"/>
      <c r="T5" s="364" t="s">
        <v>10</v>
      </c>
      <c r="U5" s="365"/>
      <c r="V5" s="366" t="s">
        <v>11</v>
      </c>
      <c r="W5" s="345"/>
      <c r="AB5" s="51"/>
      <c r="AC5" s="51"/>
      <c r="AD5" s="51"/>
      <c r="AE5" s="51"/>
    </row>
    <row r="6" spans="1:32" s="266" customFormat="1" ht="24" customHeight="1" x14ac:dyDescent="0.2">
      <c r="A6" s="357" t="s">
        <v>12</v>
      </c>
      <c r="B6" s="311"/>
      <c r="C6" s="312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2" t="s">
        <v>15</v>
      </c>
      <c r="U6" s="365"/>
      <c r="V6" s="401" t="s">
        <v>16</v>
      </c>
      <c r="W6" s="302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65"/>
      <c r="V7" s="402"/>
      <c r="W7" s="403"/>
      <c r="AB7" s="51"/>
      <c r="AC7" s="51"/>
      <c r="AD7" s="51"/>
      <c r="AE7" s="51"/>
    </row>
    <row r="8" spans="1:32" s="266" customFormat="1" ht="25.5" customHeight="1" x14ac:dyDescent="0.2">
      <c r="A8" s="459" t="s">
        <v>17</v>
      </c>
      <c r="B8" s="286"/>
      <c r="C8" s="287"/>
      <c r="D8" s="416" t="s">
        <v>18</v>
      </c>
      <c r="E8" s="417"/>
      <c r="F8" s="417"/>
      <c r="G8" s="417"/>
      <c r="H8" s="417"/>
      <c r="I8" s="417"/>
      <c r="J8" s="417"/>
      <c r="K8" s="417"/>
      <c r="L8" s="417"/>
      <c r="M8" s="418"/>
      <c r="N8" s="64"/>
      <c r="P8" s="24" t="s">
        <v>19</v>
      </c>
      <c r="Q8" s="368">
        <v>0.41666666666666669</v>
      </c>
      <c r="R8" s="307"/>
      <c r="T8" s="277"/>
      <c r="U8" s="365"/>
      <c r="V8" s="402"/>
      <c r="W8" s="403"/>
      <c r="AB8" s="51"/>
      <c r="AC8" s="51"/>
      <c r="AD8" s="51"/>
      <c r="AE8" s="51"/>
    </row>
    <row r="9" spans="1:32" s="266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290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64"/>
      <c r="P9" s="26" t="s">
        <v>20</v>
      </c>
      <c r="Q9" s="342"/>
      <c r="R9" s="343"/>
      <c r="T9" s="277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290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3" t="str">
        <f>IFERROR(VLOOKUP($D$10,Proxy,2,FALSE),"")</f>
        <v/>
      </c>
      <c r="I10" s="277"/>
      <c r="J10" s="277"/>
      <c r="K10" s="277"/>
      <c r="L10" s="277"/>
      <c r="M10" s="277"/>
      <c r="N10" s="265"/>
      <c r="P10" s="26" t="s">
        <v>21</v>
      </c>
      <c r="Q10" s="373"/>
      <c r="R10" s="374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398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10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2"/>
      <c r="N12" s="65"/>
      <c r="P12" s="24" t="s">
        <v>29</v>
      </c>
      <c r="Q12" s="368"/>
      <c r="R12" s="307"/>
      <c r="S12" s="23"/>
      <c r="U12" s="24"/>
      <c r="V12" s="298"/>
      <c r="W12" s="277"/>
      <c r="AB12" s="51"/>
      <c r="AC12" s="51"/>
      <c r="AD12" s="51"/>
      <c r="AE12" s="51"/>
    </row>
    <row r="13" spans="1:32" s="266" customFormat="1" ht="23.25" customHeight="1" x14ac:dyDescent="0.2">
      <c r="A13" s="310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2"/>
      <c r="N13" s="65"/>
      <c r="O13" s="26"/>
      <c r="P13" s="26" t="s">
        <v>31</v>
      </c>
      <c r="Q13" s="398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10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70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2"/>
      <c r="N15" s="66"/>
      <c r="P15" s="414" t="s">
        <v>34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5"/>
      <c r="Q16" s="415"/>
      <c r="R16" s="415"/>
      <c r="S16" s="415"/>
      <c r="T16" s="4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8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8" t="s">
        <v>50</v>
      </c>
      <c r="V17" s="312"/>
      <c r="W17" s="293" t="s">
        <v>51</v>
      </c>
      <c r="X17" s="293" t="s">
        <v>52</v>
      </c>
      <c r="Y17" s="462" t="s">
        <v>53</v>
      </c>
      <c r="Z17" s="412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44"/>
      <c r="AF17" s="44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63"/>
      <c r="Z18" s="413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7"/>
      <c r="AB20" s="267"/>
      <c r="AC20" s="267"/>
    </row>
    <row r="21" spans="1:68" ht="14.25" hidden="1" customHeight="1" x14ac:dyDescent="0.25">
      <c r="A21" s="303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2">
        <v>4607111035912</v>
      </c>
      <c r="E22" s="283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0"/>
      <c r="R22" s="280"/>
      <c r="S22" s="280"/>
      <c r="T22" s="281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2">
        <v>4607111035103</v>
      </c>
      <c r="E23" s="283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4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0"/>
      <c r="R23" s="280"/>
      <c r="S23" s="280"/>
      <c r="T23" s="281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2">
        <v>4607111035929</v>
      </c>
      <c r="E24" s="283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0"/>
      <c r="R24" s="280"/>
      <c r="S24" s="280"/>
      <c r="T24" s="281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2">
        <v>4607111035882</v>
      </c>
      <c r="E25" s="283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0"/>
      <c r="R25" s="280"/>
      <c r="S25" s="280"/>
      <c r="T25" s="281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2">
        <v>4607111035110</v>
      </c>
      <c r="E26" s="283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0"/>
      <c r="R26" s="280"/>
      <c r="S26" s="280"/>
      <c r="T26" s="281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2">
        <v>4607111035905</v>
      </c>
      <c r="E27" s="283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0"/>
      <c r="R27" s="280"/>
      <c r="S27" s="280"/>
      <c r="T27" s="281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8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8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7"/>
      <c r="AB30" s="267"/>
      <c r="AC30" s="267"/>
    </row>
    <row r="31" spans="1:68" ht="14.25" hidden="1" customHeight="1" x14ac:dyDescent="0.25">
      <c r="A31" s="303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2">
        <v>4607111039019</v>
      </c>
      <c r="E32" s="283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0"/>
      <c r="R32" s="280"/>
      <c r="S32" s="280"/>
      <c r="T32" s="281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2">
        <v>4607111038708</v>
      </c>
      <c r="E33" s="283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0"/>
      <c r="R33" s="280"/>
      <c r="S33" s="280"/>
      <c r="T33" s="281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76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8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91" t="s">
        <v>90</v>
      </c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7"/>
      <c r="AB37" s="267"/>
      <c r="AC37" s="267"/>
    </row>
    <row r="38" spans="1:68" ht="14.25" hidden="1" customHeight="1" x14ac:dyDescent="0.25">
      <c r="A38" s="303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8"/>
      <c r="AB38" s="268"/>
      <c r="AC38" s="268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2">
        <v>4607111036537</v>
      </c>
      <c r="E39" s="283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0"/>
      <c r="R39" s="280"/>
      <c r="S39" s="280"/>
      <c r="T39" s="281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2">
        <v>4607111036605</v>
      </c>
      <c r="E40" s="283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0"/>
      <c r="R40" s="280"/>
      <c r="S40" s="280"/>
      <c r="T40" s="281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76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8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hidden="1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8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7"/>
      <c r="AB43" s="267"/>
      <c r="AC43" s="267"/>
    </row>
    <row r="44" spans="1:68" ht="14.25" hidden="1" customHeight="1" x14ac:dyDescent="0.25">
      <c r="A44" s="303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8"/>
      <c r="AB44" s="268"/>
      <c r="AC44" s="268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2">
        <v>4620207490075</v>
      </c>
      <c r="E45" s="283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0"/>
      <c r="R45" s="280"/>
      <c r="S45" s="280"/>
      <c r="T45" s="281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2">
        <v>4620207490174</v>
      </c>
      <c r="E46" s="283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0"/>
      <c r="R46" s="280"/>
      <c r="S46" s="280"/>
      <c r="T46" s="281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2">
        <v>4620207490044</v>
      </c>
      <c r="E47" s="283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0"/>
      <c r="R47" s="280"/>
      <c r="S47" s="280"/>
      <c r="T47" s="281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76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8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hidden="1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8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7"/>
      <c r="AB50" s="267"/>
      <c r="AC50" s="267"/>
    </row>
    <row r="51" spans="1:68" ht="14.25" hidden="1" customHeight="1" x14ac:dyDescent="0.25">
      <c r="A51" s="303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2">
        <v>4607111039385</v>
      </c>
      <c r="E52" s="283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0"/>
      <c r="R52" s="280"/>
      <c r="S52" s="280"/>
      <c r="T52" s="281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2">
        <v>4607111038982</v>
      </c>
      <c r="E53" s="283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0"/>
      <c r="R53" s="280"/>
      <c r="S53" s="280"/>
      <c r="T53" s="281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2">
        <v>4607111039354</v>
      </c>
      <c r="E54" s="283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0"/>
      <c r="R54" s="280"/>
      <c r="S54" s="280"/>
      <c r="T54" s="281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2">
        <v>4607111039330</v>
      </c>
      <c r="E55" s="283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0"/>
      <c r="R55" s="280"/>
      <c r="S55" s="280"/>
      <c r="T55" s="281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8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hidden="1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7"/>
      <c r="AB58" s="267"/>
      <c r="AC58" s="267"/>
    </row>
    <row r="59" spans="1:68" ht="14.25" hidden="1" customHeight="1" x14ac:dyDescent="0.25">
      <c r="A59" s="303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2">
        <v>4620207490822</v>
      </c>
      <c r="E60" s="283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0"/>
      <c r="R60" s="280"/>
      <c r="S60" s="280"/>
      <c r="T60" s="281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8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8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03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2">
        <v>4607111039712</v>
      </c>
      <c r="E64" s="283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7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8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8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03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2">
        <v>4607111037008</v>
      </c>
      <c r="E68" s="283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0"/>
      <c r="R68" s="280"/>
      <c r="S68" s="280"/>
      <c r="T68" s="281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2">
        <v>4607111037398</v>
      </c>
      <c r="E69" s="283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0"/>
      <c r="R69" s="280"/>
      <c r="S69" s="280"/>
      <c r="T69" s="281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76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8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8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03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2">
        <v>4607111039705</v>
      </c>
      <c r="E73" s="283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0"/>
      <c r="R73" s="280"/>
      <c r="S73" s="280"/>
      <c r="T73" s="281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2">
        <v>4607111039729</v>
      </c>
      <c r="E74" s="283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0"/>
      <c r="R74" s="280"/>
      <c r="S74" s="280"/>
      <c r="T74" s="281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2">
        <v>4620207490228</v>
      </c>
      <c r="E75" s="283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5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0"/>
      <c r="R75" s="280"/>
      <c r="S75" s="280"/>
      <c r="T75" s="281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7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8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7"/>
      <c r="AB78" s="267"/>
      <c r="AC78" s="267"/>
    </row>
    <row r="79" spans="1:68" ht="14.25" hidden="1" customHeight="1" x14ac:dyDescent="0.25">
      <c r="A79" s="303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2">
        <v>4607111037411</v>
      </c>
      <c r="E80" s="283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0"/>
      <c r="R80" s="280"/>
      <c r="S80" s="280"/>
      <c r="T80" s="281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2">
        <v>4607111036728</v>
      </c>
      <c r="E81" s="283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0"/>
      <c r="R81" s="280"/>
      <c r="S81" s="280"/>
      <c r="T81" s="281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7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8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hidden="1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8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7"/>
      <c r="AB84" s="267"/>
      <c r="AC84" s="267"/>
    </row>
    <row r="85" spans="1:68" ht="14.25" hidden="1" customHeight="1" x14ac:dyDescent="0.25">
      <c r="A85" s="303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8"/>
      <c r="AB85" s="268"/>
      <c r="AC85" s="268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2">
        <v>4607111033659</v>
      </c>
      <c r="E86" s="283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0"/>
      <c r="R86" s="280"/>
      <c r="S86" s="280"/>
      <c r="T86" s="281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76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8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8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7"/>
      <c r="AB89" s="267"/>
      <c r="AC89" s="267"/>
    </row>
    <row r="90" spans="1:68" ht="14.25" hidden="1" customHeight="1" x14ac:dyDescent="0.25">
      <c r="A90" s="303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2">
        <v>4607111034120</v>
      </c>
      <c r="E91" s="283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0"/>
      <c r="R91" s="280"/>
      <c r="S91" s="280"/>
      <c r="T91" s="281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2">
        <v>4607111034137</v>
      </c>
      <c r="E92" s="283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0"/>
      <c r="R92" s="280"/>
      <c r="S92" s="280"/>
      <c r="T92" s="281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76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8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1.2516</v>
      </c>
      <c r="AA93" s="275"/>
      <c r="AB93" s="275"/>
      <c r="AC93" s="275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8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7"/>
      <c r="AB95" s="267"/>
      <c r="AC95" s="267"/>
    </row>
    <row r="96" spans="1:68" ht="14.25" hidden="1" customHeight="1" x14ac:dyDescent="0.25">
      <c r="A96" s="303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2">
        <v>4620207491027</v>
      </c>
      <c r="E97" s="283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0"/>
      <c r="R97" s="280"/>
      <c r="S97" s="280"/>
      <c r="T97" s="281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2">
        <v>4620207491003</v>
      </c>
      <c r="E98" s="283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0"/>
      <c r="R98" s="280"/>
      <c r="S98" s="280"/>
      <c r="T98" s="281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2">
        <v>4620207491034</v>
      </c>
      <c r="E99" s="283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2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0"/>
      <c r="R99" s="280"/>
      <c r="S99" s="280"/>
      <c r="T99" s="281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2">
        <v>4620207491010</v>
      </c>
      <c r="E100" s="283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0"/>
      <c r="R100" s="280"/>
      <c r="S100" s="280"/>
      <c r="T100" s="281"/>
      <c r="U100" s="34"/>
      <c r="V100" s="34"/>
      <c r="W100" s="35" t="s">
        <v>69</v>
      </c>
      <c r="X100" s="272">
        <v>140</v>
      </c>
      <c r="Y100" s="273">
        <f t="shared" si="6"/>
        <v>140</v>
      </c>
      <c r="Z100" s="36">
        <f t="shared" si="7"/>
        <v>2.5032000000000001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501.70400000000001</v>
      </c>
      <c r="BN100" s="67">
        <f t="shared" si="9"/>
        <v>501.70400000000001</v>
      </c>
      <c r="BO100" s="67">
        <f t="shared" si="10"/>
        <v>2</v>
      </c>
      <c r="BP100" s="67">
        <f t="shared" si="11"/>
        <v>2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82">
        <v>4620207491010</v>
      </c>
      <c r="E101" s="283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0"/>
      <c r="R101" s="280"/>
      <c r="S101" s="280"/>
      <c r="T101" s="281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174</v>
      </c>
      <c r="B102" s="54" t="s">
        <v>175</v>
      </c>
      <c r="C102" s="31">
        <v>4301135571</v>
      </c>
      <c r="D102" s="282">
        <v>4607111035028</v>
      </c>
      <c r="E102" s="283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0"/>
      <c r="R102" s="280"/>
      <c r="S102" s="280"/>
      <c r="T102" s="281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82">
        <v>4607111036407</v>
      </c>
      <c r="E103" s="283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0"/>
      <c r="R103" s="280"/>
      <c r="S103" s="280"/>
      <c r="T103" s="281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76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8"/>
      <c r="P104" s="285" t="s">
        <v>82</v>
      </c>
      <c r="Q104" s="286"/>
      <c r="R104" s="286"/>
      <c r="S104" s="286"/>
      <c r="T104" s="286"/>
      <c r="U104" s="286"/>
      <c r="V104" s="287"/>
      <c r="W104" s="37" t="s">
        <v>69</v>
      </c>
      <c r="X104" s="274">
        <f>IFERROR(SUM(X97:X103),"0")</f>
        <v>280</v>
      </c>
      <c r="Y104" s="274">
        <f>IFERROR(SUM(Y97:Y103),"0")</f>
        <v>280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5.0064000000000002</v>
      </c>
      <c r="AA104" s="275"/>
      <c r="AB104" s="275"/>
      <c r="AC104" s="275"/>
    </row>
    <row r="105" spans="1:68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8"/>
      <c r="P105" s="285" t="s">
        <v>82</v>
      </c>
      <c r="Q105" s="286"/>
      <c r="R105" s="286"/>
      <c r="S105" s="286"/>
      <c r="T105" s="286"/>
      <c r="U105" s="286"/>
      <c r="V105" s="287"/>
      <c r="W105" s="37" t="s">
        <v>83</v>
      </c>
      <c r="X105" s="274">
        <f>IFERROR(SUMPRODUCT(X97:X103*H97:H103),"0")</f>
        <v>806.4</v>
      </c>
      <c r="Y105" s="274">
        <f>IFERROR(SUMPRODUCT(Y97:Y103*H97:H103),"0")</f>
        <v>806.4</v>
      </c>
      <c r="Z105" s="37"/>
      <c r="AA105" s="275"/>
      <c r="AB105" s="275"/>
      <c r="AC105" s="275"/>
    </row>
    <row r="106" spans="1:68" ht="16.5" hidden="1" customHeight="1" x14ac:dyDescent="0.25">
      <c r="A106" s="284" t="s">
        <v>179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7"/>
      <c r="AB106" s="267"/>
      <c r="AC106" s="267"/>
    </row>
    <row r="107" spans="1:68" ht="14.25" hidden="1" customHeight="1" x14ac:dyDescent="0.25">
      <c r="A107" s="303" t="s">
        <v>130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68"/>
      <c r="AB107" s="268"/>
      <c r="AC107" s="268"/>
    </row>
    <row r="108" spans="1:68" ht="27" hidden="1" customHeight="1" x14ac:dyDescent="0.25">
      <c r="A108" s="54" t="s">
        <v>180</v>
      </c>
      <c r="B108" s="54" t="s">
        <v>181</v>
      </c>
      <c r="C108" s="31">
        <v>4301136070</v>
      </c>
      <c r="D108" s="282">
        <v>4607025784012</v>
      </c>
      <c r="E108" s="283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0"/>
      <c r="R108" s="280"/>
      <c r="S108" s="280"/>
      <c r="T108" s="281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hidden="1" customHeight="1" x14ac:dyDescent="0.25">
      <c r="A109" s="54" t="s">
        <v>183</v>
      </c>
      <c r="B109" s="54" t="s">
        <v>184</v>
      </c>
      <c r="C109" s="31">
        <v>4301136079</v>
      </c>
      <c r="D109" s="282">
        <v>4607025784319</v>
      </c>
      <c r="E109" s="283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0"/>
      <c r="R109" s="280"/>
      <c r="S109" s="280"/>
      <c r="T109" s="281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idden="1" x14ac:dyDescent="0.2">
      <c r="A110" s="276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8"/>
      <c r="P110" s="285" t="s">
        <v>82</v>
      </c>
      <c r="Q110" s="286"/>
      <c r="R110" s="286"/>
      <c r="S110" s="286"/>
      <c r="T110" s="286"/>
      <c r="U110" s="286"/>
      <c r="V110" s="287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hidden="1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8"/>
      <c r="P111" s="285" t="s">
        <v>82</v>
      </c>
      <c r="Q111" s="286"/>
      <c r="R111" s="286"/>
      <c r="S111" s="286"/>
      <c r="T111" s="286"/>
      <c r="U111" s="286"/>
      <c r="V111" s="287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hidden="1" customHeight="1" x14ac:dyDescent="0.25">
      <c r="A112" s="284" t="s">
        <v>185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7"/>
      <c r="AB112" s="267"/>
      <c r="AC112" s="267"/>
    </row>
    <row r="113" spans="1:68" ht="14.25" hidden="1" customHeight="1" x14ac:dyDescent="0.25">
      <c r="A113" s="303" t="s">
        <v>63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82">
        <v>4620207491393</v>
      </c>
      <c r="E114" s="283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0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0"/>
      <c r="R114" s="280"/>
      <c r="S114" s="280"/>
      <c r="T114" s="281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2">
        <v>4620207491157</v>
      </c>
      <c r="E115" s="283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0"/>
      <c r="R115" s="280"/>
      <c r="S115" s="280"/>
      <c r="T115" s="281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82">
        <v>4607111039262</v>
      </c>
      <c r="E116" s="283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0"/>
      <c r="R116" s="280"/>
      <c r="S116" s="280"/>
      <c r="T116" s="281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4301071038</v>
      </c>
      <c r="D117" s="282">
        <v>4607111039248</v>
      </c>
      <c r="E117" s="283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0"/>
      <c r="R117" s="280"/>
      <c r="S117" s="280"/>
      <c r="T117" s="281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82">
        <v>4607111037145</v>
      </c>
      <c r="E118" s="283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0"/>
      <c r="R118" s="280"/>
      <c r="S118" s="280"/>
      <c r="T118" s="281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82">
        <v>4607111039293</v>
      </c>
      <c r="E119" s="283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0"/>
      <c r="R119" s="280"/>
      <c r="S119" s="280"/>
      <c r="T119" s="281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4301071039</v>
      </c>
      <c r="D120" s="282">
        <v>4607111039279</v>
      </c>
      <c r="E120" s="283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0"/>
      <c r="R120" s="280"/>
      <c r="S120" s="280"/>
      <c r="T120" s="281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82">
        <v>4607111037435</v>
      </c>
      <c r="E121" s="283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0"/>
      <c r="R121" s="280"/>
      <c r="S121" s="280"/>
      <c r="T121" s="281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hidden="1" x14ac:dyDescent="0.2">
      <c r="A122" s="276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8"/>
      <c r="P122" s="285" t="s">
        <v>82</v>
      </c>
      <c r="Q122" s="286"/>
      <c r="R122" s="286"/>
      <c r="S122" s="286"/>
      <c r="T122" s="286"/>
      <c r="U122" s="286"/>
      <c r="V122" s="287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hidden="1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8"/>
      <c r="P123" s="285" t="s">
        <v>82</v>
      </c>
      <c r="Q123" s="286"/>
      <c r="R123" s="286"/>
      <c r="S123" s="286"/>
      <c r="T123" s="286"/>
      <c r="U123" s="286"/>
      <c r="V123" s="287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hidden="1" customHeight="1" x14ac:dyDescent="0.25">
      <c r="A124" s="303" t="s">
        <v>136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82">
        <v>4620207490983</v>
      </c>
      <c r="E125" s="283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0"/>
      <c r="R125" s="280"/>
      <c r="S125" s="280"/>
      <c r="T125" s="281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82">
        <v>4620207490983</v>
      </c>
      <c r="E126" s="283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0"/>
      <c r="R126" s="280"/>
      <c r="S126" s="280"/>
      <c r="T126" s="281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76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8"/>
      <c r="P127" s="285" t="s">
        <v>82</v>
      </c>
      <c r="Q127" s="286"/>
      <c r="R127" s="286"/>
      <c r="S127" s="286"/>
      <c r="T127" s="286"/>
      <c r="U127" s="286"/>
      <c r="V127" s="287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8"/>
      <c r="P128" s="285" t="s">
        <v>82</v>
      </c>
      <c r="Q128" s="286"/>
      <c r="R128" s="286"/>
      <c r="S128" s="286"/>
      <c r="T128" s="286"/>
      <c r="U128" s="286"/>
      <c r="V128" s="287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303" t="s">
        <v>213</v>
      </c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82">
        <v>4620207491140</v>
      </c>
      <c r="E130" s="283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0"/>
      <c r="R130" s="280"/>
      <c r="S130" s="280"/>
      <c r="T130" s="281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76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8"/>
      <c r="P131" s="285" t="s">
        <v>82</v>
      </c>
      <c r="Q131" s="286"/>
      <c r="R131" s="286"/>
      <c r="S131" s="286"/>
      <c r="T131" s="286"/>
      <c r="U131" s="286"/>
      <c r="V131" s="287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8"/>
      <c r="P132" s="285" t="s">
        <v>82</v>
      </c>
      <c r="Q132" s="286"/>
      <c r="R132" s="286"/>
      <c r="S132" s="286"/>
      <c r="T132" s="286"/>
      <c r="U132" s="286"/>
      <c r="V132" s="287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284" t="s">
        <v>217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7"/>
      <c r="AB133" s="267"/>
      <c r="AC133" s="267"/>
    </row>
    <row r="134" spans="1:68" ht="14.25" hidden="1" customHeight="1" x14ac:dyDescent="0.25">
      <c r="A134" s="303" t="s">
        <v>136</v>
      </c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82">
        <v>4607111034014</v>
      </c>
      <c r="E135" s="283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0"/>
      <c r="R135" s="280"/>
      <c r="S135" s="280"/>
      <c r="T135" s="281"/>
      <c r="U135" s="34"/>
      <c r="V135" s="34"/>
      <c r="W135" s="35" t="s">
        <v>69</v>
      </c>
      <c r="X135" s="272">
        <v>140</v>
      </c>
      <c r="Y135" s="273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82">
        <v>4607111033994</v>
      </c>
      <c r="E136" s="283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3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0"/>
      <c r="R136" s="280"/>
      <c r="S136" s="280"/>
      <c r="T136" s="281"/>
      <c r="U136" s="34"/>
      <c r="V136" s="34"/>
      <c r="W136" s="35" t="s">
        <v>69</v>
      </c>
      <c r="X136" s="272">
        <v>140</v>
      </c>
      <c r="Y136" s="273">
        <f>IFERROR(IF(X136="","",X136),"")</f>
        <v>140</v>
      </c>
      <c r="Z136" s="36">
        <f>IFERROR(IF(X136="","",X136*0.01788),"")</f>
        <v>2.5032000000000001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518.50400000000002</v>
      </c>
      <c r="BN136" s="67">
        <f>IFERROR(Y136*I136,"0")</f>
        <v>518.50400000000002</v>
      </c>
      <c r="BO136" s="67">
        <f>IFERROR(X136/J136,"0")</f>
        <v>2</v>
      </c>
      <c r="BP136" s="67">
        <f>IFERROR(Y136/J136,"0")</f>
        <v>2</v>
      </c>
    </row>
    <row r="137" spans="1:68" x14ac:dyDescent="0.2">
      <c r="A137" s="276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8"/>
      <c r="P137" s="285" t="s">
        <v>82</v>
      </c>
      <c r="Q137" s="286"/>
      <c r="R137" s="286"/>
      <c r="S137" s="286"/>
      <c r="T137" s="286"/>
      <c r="U137" s="286"/>
      <c r="V137" s="287"/>
      <c r="W137" s="37" t="s">
        <v>69</v>
      </c>
      <c r="X137" s="274">
        <f>IFERROR(SUM(X135:X136),"0")</f>
        <v>280</v>
      </c>
      <c r="Y137" s="274">
        <f>IFERROR(SUM(Y135:Y136),"0")</f>
        <v>280</v>
      </c>
      <c r="Z137" s="274">
        <f>IFERROR(IF(Z135="",0,Z135),"0")+IFERROR(IF(Z136="",0,Z136),"0")</f>
        <v>5.0064000000000002</v>
      </c>
      <c r="AA137" s="275"/>
      <c r="AB137" s="275"/>
      <c r="AC137" s="275"/>
    </row>
    <row r="138" spans="1:68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8"/>
      <c r="P138" s="285" t="s">
        <v>82</v>
      </c>
      <c r="Q138" s="286"/>
      <c r="R138" s="286"/>
      <c r="S138" s="286"/>
      <c r="T138" s="286"/>
      <c r="U138" s="286"/>
      <c r="V138" s="287"/>
      <c r="W138" s="37" t="s">
        <v>83</v>
      </c>
      <c r="X138" s="274">
        <f>IFERROR(SUMPRODUCT(X135:X136*H135:H136),"0")</f>
        <v>840</v>
      </c>
      <c r="Y138" s="274">
        <f>IFERROR(SUMPRODUCT(Y135:Y136*H135:H136),"0")</f>
        <v>840</v>
      </c>
      <c r="Z138" s="37"/>
      <c r="AA138" s="275"/>
      <c r="AB138" s="275"/>
      <c r="AC138" s="275"/>
    </row>
    <row r="139" spans="1:68" ht="16.5" hidden="1" customHeight="1" x14ac:dyDescent="0.25">
      <c r="A139" s="284" t="s">
        <v>225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7"/>
      <c r="AB139" s="267"/>
      <c r="AC139" s="267"/>
    </row>
    <row r="140" spans="1:68" ht="14.25" hidden="1" customHeight="1" x14ac:dyDescent="0.25">
      <c r="A140" s="303" t="s">
        <v>136</v>
      </c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68"/>
      <c r="AB140" s="268"/>
      <c r="AC140" s="268"/>
    </row>
    <row r="141" spans="1:68" ht="27" hidden="1" customHeight="1" x14ac:dyDescent="0.25">
      <c r="A141" s="54" t="s">
        <v>226</v>
      </c>
      <c r="B141" s="54" t="s">
        <v>227</v>
      </c>
      <c r="C141" s="31">
        <v>4301135824</v>
      </c>
      <c r="D141" s="282">
        <v>4607111039095</v>
      </c>
      <c r="E141" s="283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0"/>
      <c r="R141" s="280"/>
      <c r="S141" s="280"/>
      <c r="T141" s="281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82">
        <v>4607111034199</v>
      </c>
      <c r="E142" s="283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0"/>
      <c r="R142" s="280"/>
      <c r="S142" s="280"/>
      <c r="T142" s="281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76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8"/>
      <c r="P143" s="285" t="s">
        <v>82</v>
      </c>
      <c r="Q143" s="286"/>
      <c r="R143" s="286"/>
      <c r="S143" s="286"/>
      <c r="T143" s="286"/>
      <c r="U143" s="286"/>
      <c r="V143" s="287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1.2516</v>
      </c>
      <c r="AA143" s="275"/>
      <c r="AB143" s="275"/>
      <c r="AC143" s="275"/>
    </row>
    <row r="144" spans="1:68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8"/>
      <c r="P144" s="285" t="s">
        <v>82</v>
      </c>
      <c r="Q144" s="286"/>
      <c r="R144" s="286"/>
      <c r="S144" s="286"/>
      <c r="T144" s="286"/>
      <c r="U144" s="286"/>
      <c r="V144" s="287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hidden="1" customHeight="1" x14ac:dyDescent="0.25">
      <c r="A145" s="284" t="s">
        <v>232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7"/>
      <c r="AB145" s="267"/>
      <c r="AC145" s="267"/>
    </row>
    <row r="146" spans="1:68" ht="14.25" hidden="1" customHeight="1" x14ac:dyDescent="0.25">
      <c r="A146" s="303" t="s">
        <v>136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68"/>
      <c r="AB146" s="268"/>
      <c r="AC146" s="268"/>
    </row>
    <row r="147" spans="1:68" ht="27" hidden="1" customHeight="1" x14ac:dyDescent="0.25">
      <c r="A147" s="54" t="s">
        <v>233</v>
      </c>
      <c r="B147" s="54" t="s">
        <v>234</v>
      </c>
      <c r="C147" s="31">
        <v>4301135753</v>
      </c>
      <c r="D147" s="282">
        <v>4620207490914</v>
      </c>
      <c r="E147" s="283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0"/>
      <c r="R147" s="280"/>
      <c r="S147" s="280"/>
      <c r="T147" s="281"/>
      <c r="U147" s="34"/>
      <c r="V147" s="34"/>
      <c r="W147" s="35" t="s">
        <v>69</v>
      </c>
      <c r="X147" s="272">
        <v>0</v>
      </c>
      <c r="Y147" s="273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hidden="1" customHeight="1" x14ac:dyDescent="0.25">
      <c r="A148" s="54" t="s">
        <v>235</v>
      </c>
      <c r="B148" s="54" t="s">
        <v>236</v>
      </c>
      <c r="C148" s="31">
        <v>4301135778</v>
      </c>
      <c r="D148" s="282">
        <v>4620207490853</v>
      </c>
      <c r="E148" s="283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0"/>
      <c r="R148" s="280"/>
      <c r="S148" s="280"/>
      <c r="T148" s="281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276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8"/>
      <c r="P149" s="285" t="s">
        <v>82</v>
      </c>
      <c r="Q149" s="286"/>
      <c r="R149" s="286"/>
      <c r="S149" s="286"/>
      <c r="T149" s="286"/>
      <c r="U149" s="286"/>
      <c r="V149" s="287"/>
      <c r="W149" s="37" t="s">
        <v>69</v>
      </c>
      <c r="X149" s="274">
        <f>IFERROR(SUM(X147:X148),"0")</f>
        <v>0</v>
      </c>
      <c r="Y149" s="274">
        <f>IFERROR(SUM(Y147:Y148),"0")</f>
        <v>0</v>
      </c>
      <c r="Z149" s="274">
        <f>IFERROR(IF(Z147="",0,Z147),"0")+IFERROR(IF(Z148="",0,Z148),"0")</f>
        <v>0</v>
      </c>
      <c r="AA149" s="275"/>
      <c r="AB149" s="275"/>
      <c r="AC149" s="275"/>
    </row>
    <row r="150" spans="1:68" hidden="1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8"/>
      <c r="P150" s="285" t="s">
        <v>82</v>
      </c>
      <c r="Q150" s="286"/>
      <c r="R150" s="286"/>
      <c r="S150" s="286"/>
      <c r="T150" s="286"/>
      <c r="U150" s="286"/>
      <c r="V150" s="287"/>
      <c r="W150" s="37" t="s">
        <v>83</v>
      </c>
      <c r="X150" s="274">
        <f>IFERROR(SUMPRODUCT(X147:X148*H147:H148),"0")</f>
        <v>0</v>
      </c>
      <c r="Y150" s="274">
        <f>IFERROR(SUMPRODUCT(Y147:Y148*H147:H148),"0")</f>
        <v>0</v>
      </c>
      <c r="Z150" s="37"/>
      <c r="AA150" s="275"/>
      <c r="AB150" s="275"/>
      <c r="AC150" s="275"/>
    </row>
    <row r="151" spans="1:68" ht="16.5" hidden="1" customHeight="1" x14ac:dyDescent="0.25">
      <c r="A151" s="284" t="s">
        <v>237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7"/>
      <c r="AB151" s="267"/>
      <c r="AC151" s="267"/>
    </row>
    <row r="152" spans="1:68" ht="14.25" hidden="1" customHeight="1" x14ac:dyDescent="0.25">
      <c r="A152" s="303" t="s">
        <v>136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68"/>
      <c r="AB152" s="268"/>
      <c r="AC152" s="268"/>
    </row>
    <row r="153" spans="1:68" ht="27" hidden="1" customHeight="1" x14ac:dyDescent="0.25">
      <c r="A153" s="54" t="s">
        <v>238</v>
      </c>
      <c r="B153" s="54" t="s">
        <v>239</v>
      </c>
      <c r="C153" s="31">
        <v>4301135570</v>
      </c>
      <c r="D153" s="282">
        <v>4607111035806</v>
      </c>
      <c r="E153" s="283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0"/>
      <c r="R153" s="280"/>
      <c r="S153" s="280"/>
      <c r="T153" s="281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76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8"/>
      <c r="P154" s="285" t="s">
        <v>82</v>
      </c>
      <c r="Q154" s="286"/>
      <c r="R154" s="286"/>
      <c r="S154" s="286"/>
      <c r="T154" s="286"/>
      <c r="U154" s="286"/>
      <c r="V154" s="287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hidden="1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8"/>
      <c r="P155" s="285" t="s">
        <v>82</v>
      </c>
      <c r="Q155" s="286"/>
      <c r="R155" s="286"/>
      <c r="S155" s="286"/>
      <c r="T155" s="286"/>
      <c r="U155" s="286"/>
      <c r="V155" s="287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hidden="1" customHeight="1" x14ac:dyDescent="0.25">
      <c r="A156" s="284" t="s">
        <v>241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7"/>
      <c r="AB156" s="267"/>
      <c r="AC156" s="267"/>
    </row>
    <row r="157" spans="1:68" ht="14.25" hidden="1" customHeight="1" x14ac:dyDescent="0.25">
      <c r="A157" s="303" t="s">
        <v>136</v>
      </c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82">
        <v>4607111039613</v>
      </c>
      <c r="E158" s="283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0"/>
      <c r="R158" s="280"/>
      <c r="S158" s="280"/>
      <c r="T158" s="281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76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8"/>
      <c r="P159" s="285" t="s">
        <v>82</v>
      </c>
      <c r="Q159" s="286"/>
      <c r="R159" s="286"/>
      <c r="S159" s="286"/>
      <c r="T159" s="286"/>
      <c r="U159" s="286"/>
      <c r="V159" s="287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8"/>
      <c r="P160" s="285" t="s">
        <v>82</v>
      </c>
      <c r="Q160" s="286"/>
      <c r="R160" s="286"/>
      <c r="S160" s="286"/>
      <c r="T160" s="286"/>
      <c r="U160" s="286"/>
      <c r="V160" s="287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284" t="s">
        <v>244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7"/>
      <c r="AB161" s="267"/>
      <c r="AC161" s="267"/>
    </row>
    <row r="162" spans="1:68" ht="14.25" hidden="1" customHeight="1" x14ac:dyDescent="0.25">
      <c r="A162" s="303" t="s">
        <v>213</v>
      </c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68"/>
      <c r="AB162" s="268"/>
      <c r="AC162" s="268"/>
    </row>
    <row r="163" spans="1:68" ht="27" hidden="1" customHeight="1" x14ac:dyDescent="0.25">
      <c r="A163" s="54" t="s">
        <v>245</v>
      </c>
      <c r="B163" s="54" t="s">
        <v>246</v>
      </c>
      <c r="C163" s="31">
        <v>4301135540</v>
      </c>
      <c r="D163" s="282">
        <v>4607111035646</v>
      </c>
      <c r="E163" s="283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0"/>
      <c r="R163" s="280"/>
      <c r="S163" s="280"/>
      <c r="T163" s="281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76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8"/>
      <c r="P164" s="285" t="s">
        <v>82</v>
      </c>
      <c r="Q164" s="286"/>
      <c r="R164" s="286"/>
      <c r="S164" s="286"/>
      <c r="T164" s="286"/>
      <c r="U164" s="286"/>
      <c r="V164" s="287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hidden="1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8"/>
      <c r="P165" s="285" t="s">
        <v>82</v>
      </c>
      <c r="Q165" s="286"/>
      <c r="R165" s="286"/>
      <c r="S165" s="286"/>
      <c r="T165" s="286"/>
      <c r="U165" s="286"/>
      <c r="V165" s="287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hidden="1" customHeight="1" x14ac:dyDescent="0.25">
      <c r="A166" s="284" t="s">
        <v>249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7"/>
      <c r="AB166" s="267"/>
      <c r="AC166" s="267"/>
    </row>
    <row r="167" spans="1:68" ht="14.25" hidden="1" customHeight="1" x14ac:dyDescent="0.25">
      <c r="A167" s="303" t="s">
        <v>136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8"/>
      <c r="AB167" s="268"/>
      <c r="AC167" s="268"/>
    </row>
    <row r="168" spans="1:68" ht="27" hidden="1" customHeight="1" x14ac:dyDescent="0.25">
      <c r="A168" s="54" t="s">
        <v>250</v>
      </c>
      <c r="B168" s="54" t="s">
        <v>251</v>
      </c>
      <c r="C168" s="31">
        <v>4301135591</v>
      </c>
      <c r="D168" s="282">
        <v>4607111036568</v>
      </c>
      <c r="E168" s="283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0"/>
      <c r="R168" s="280"/>
      <c r="S168" s="280"/>
      <c r="T168" s="281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76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8"/>
      <c r="P169" s="285" t="s">
        <v>82</v>
      </c>
      <c r="Q169" s="286"/>
      <c r="R169" s="286"/>
      <c r="S169" s="286"/>
      <c r="T169" s="286"/>
      <c r="U169" s="286"/>
      <c r="V169" s="287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hidden="1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8"/>
      <c r="P170" s="285" t="s">
        <v>82</v>
      </c>
      <c r="Q170" s="286"/>
      <c r="R170" s="286"/>
      <c r="S170" s="286"/>
      <c r="T170" s="286"/>
      <c r="U170" s="286"/>
      <c r="V170" s="287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hidden="1" customHeight="1" x14ac:dyDescent="0.2">
      <c r="A171" s="291" t="s">
        <v>253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48"/>
      <c r="AB171" s="48"/>
      <c r="AC171" s="48"/>
    </row>
    <row r="172" spans="1:68" ht="16.5" hidden="1" customHeight="1" x14ac:dyDescent="0.25">
      <c r="A172" s="284" t="s">
        <v>254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7"/>
      <c r="AB172" s="267"/>
      <c r="AC172" s="267"/>
    </row>
    <row r="173" spans="1:68" ht="14.25" hidden="1" customHeight="1" x14ac:dyDescent="0.25">
      <c r="A173" s="303" t="s">
        <v>63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82">
        <v>4607111036384</v>
      </c>
      <c r="E174" s="283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0"/>
      <c r="R174" s="280"/>
      <c r="S174" s="280"/>
      <c r="T174" s="281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258</v>
      </c>
      <c r="B175" s="54" t="s">
        <v>259</v>
      </c>
      <c r="C175" s="31">
        <v>4301071050</v>
      </c>
      <c r="D175" s="282">
        <v>4607111036216</v>
      </c>
      <c r="E175" s="283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0"/>
      <c r="R175" s="280"/>
      <c r="S175" s="280"/>
      <c r="T175" s="281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idden="1" x14ac:dyDescent="0.2">
      <c r="A176" s="276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8"/>
      <c r="P176" s="285" t="s">
        <v>82</v>
      </c>
      <c r="Q176" s="286"/>
      <c r="R176" s="286"/>
      <c r="S176" s="286"/>
      <c r="T176" s="286"/>
      <c r="U176" s="286"/>
      <c r="V176" s="287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hidden="1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8"/>
      <c r="P177" s="285" t="s">
        <v>82</v>
      </c>
      <c r="Q177" s="286"/>
      <c r="R177" s="286"/>
      <c r="S177" s="286"/>
      <c r="T177" s="286"/>
      <c r="U177" s="286"/>
      <c r="V177" s="287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hidden="1" customHeight="1" x14ac:dyDescent="0.2">
      <c r="A178" s="291" t="s">
        <v>261</v>
      </c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48"/>
      <c r="AB178" s="48"/>
      <c r="AC178" s="48"/>
    </row>
    <row r="179" spans="1:68" ht="16.5" hidden="1" customHeight="1" x14ac:dyDescent="0.25">
      <c r="A179" s="284" t="s">
        <v>262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7"/>
      <c r="AB179" s="267"/>
      <c r="AC179" s="267"/>
    </row>
    <row r="180" spans="1:68" ht="14.25" hidden="1" customHeight="1" x14ac:dyDescent="0.25">
      <c r="A180" s="303" t="s">
        <v>92</v>
      </c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82">
        <v>4607111035691</v>
      </c>
      <c r="E181" s="283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0"/>
      <c r="R181" s="280"/>
      <c r="S181" s="280"/>
      <c r="T181" s="281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hidden="1" customHeight="1" x14ac:dyDescent="0.25">
      <c r="A182" s="54" t="s">
        <v>266</v>
      </c>
      <c r="B182" s="54" t="s">
        <v>267</v>
      </c>
      <c r="C182" s="31">
        <v>4301132182</v>
      </c>
      <c r="D182" s="282">
        <v>4607111035721</v>
      </c>
      <c r="E182" s="283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0"/>
      <c r="R182" s="280"/>
      <c r="S182" s="280"/>
      <c r="T182" s="281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269</v>
      </c>
      <c r="B183" s="54" t="s">
        <v>270</v>
      </c>
      <c r="C183" s="31">
        <v>4301132170</v>
      </c>
      <c r="D183" s="282">
        <v>4607111038487</v>
      </c>
      <c r="E183" s="283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0"/>
      <c r="R183" s="280"/>
      <c r="S183" s="280"/>
      <c r="T183" s="281"/>
      <c r="U183" s="34"/>
      <c r="V183" s="34"/>
      <c r="W183" s="35" t="s">
        <v>69</v>
      </c>
      <c r="X183" s="272">
        <v>0</v>
      </c>
      <c r="Y183" s="273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76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8"/>
      <c r="P184" s="285" t="s">
        <v>82</v>
      </c>
      <c r="Q184" s="286"/>
      <c r="R184" s="286"/>
      <c r="S184" s="286"/>
      <c r="T184" s="286"/>
      <c r="U184" s="286"/>
      <c r="V184" s="287"/>
      <c r="W184" s="37" t="s">
        <v>69</v>
      </c>
      <c r="X184" s="274">
        <f>IFERROR(SUM(X181:X183),"0")</f>
        <v>70</v>
      </c>
      <c r="Y184" s="274">
        <f>IFERROR(SUM(Y181:Y183),"0")</f>
        <v>70</v>
      </c>
      <c r="Z184" s="274">
        <f>IFERROR(IF(Z181="",0,Z181),"0")+IFERROR(IF(Z182="",0,Z182),"0")+IFERROR(IF(Z183="",0,Z183),"0")</f>
        <v>1.2516</v>
      </c>
      <c r="AA184" s="275"/>
      <c r="AB184" s="275"/>
      <c r="AC184" s="275"/>
    </row>
    <row r="185" spans="1:68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8"/>
      <c r="P185" s="285" t="s">
        <v>82</v>
      </c>
      <c r="Q185" s="286"/>
      <c r="R185" s="286"/>
      <c r="S185" s="286"/>
      <c r="T185" s="286"/>
      <c r="U185" s="286"/>
      <c r="V185" s="287"/>
      <c r="W185" s="37" t="s">
        <v>83</v>
      </c>
      <c r="X185" s="274">
        <f>IFERROR(SUMPRODUCT(X181:X183*H181:H183),"0")</f>
        <v>210</v>
      </c>
      <c r="Y185" s="274">
        <f>IFERROR(SUMPRODUCT(Y181:Y183*H181:H183),"0")</f>
        <v>210</v>
      </c>
      <c r="Z185" s="37"/>
      <c r="AA185" s="275"/>
      <c r="AB185" s="275"/>
      <c r="AC185" s="275"/>
    </row>
    <row r="186" spans="1:68" ht="14.25" hidden="1" customHeight="1" x14ac:dyDescent="0.25">
      <c r="A186" s="303" t="s">
        <v>272</v>
      </c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82">
        <v>4680115885875</v>
      </c>
      <c r="E187" s="283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0" t="s">
        <v>277</v>
      </c>
      <c r="Q187" s="280"/>
      <c r="R187" s="280"/>
      <c r="S187" s="280"/>
      <c r="T187" s="281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7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8"/>
      <c r="P188" s="285" t="s">
        <v>82</v>
      </c>
      <c r="Q188" s="286"/>
      <c r="R188" s="286"/>
      <c r="S188" s="286"/>
      <c r="T188" s="286"/>
      <c r="U188" s="286"/>
      <c r="V188" s="287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8"/>
      <c r="P189" s="285" t="s">
        <v>82</v>
      </c>
      <c r="Q189" s="286"/>
      <c r="R189" s="286"/>
      <c r="S189" s="286"/>
      <c r="T189" s="286"/>
      <c r="U189" s="286"/>
      <c r="V189" s="287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291" t="s">
        <v>280</v>
      </c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48"/>
      <c r="AB190" s="48"/>
      <c r="AC190" s="48"/>
    </row>
    <row r="191" spans="1:68" ht="16.5" hidden="1" customHeight="1" x14ac:dyDescent="0.25">
      <c r="A191" s="284" t="s">
        <v>281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7"/>
      <c r="AB191" s="267"/>
      <c r="AC191" s="267"/>
    </row>
    <row r="192" spans="1:68" ht="14.25" hidden="1" customHeight="1" x14ac:dyDescent="0.25">
      <c r="A192" s="303" t="s">
        <v>92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68"/>
      <c r="AB192" s="268"/>
      <c r="AC192" s="268"/>
    </row>
    <row r="193" spans="1:68" ht="27" hidden="1" customHeight="1" x14ac:dyDescent="0.25">
      <c r="A193" s="54" t="s">
        <v>282</v>
      </c>
      <c r="B193" s="54" t="s">
        <v>283</v>
      </c>
      <c r="C193" s="31">
        <v>4301132227</v>
      </c>
      <c r="D193" s="282">
        <v>4620207491133</v>
      </c>
      <c r="E193" s="283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0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0"/>
      <c r="R193" s="280"/>
      <c r="S193" s="280"/>
      <c r="T193" s="281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76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8"/>
      <c r="P194" s="285" t="s">
        <v>82</v>
      </c>
      <c r="Q194" s="286"/>
      <c r="R194" s="286"/>
      <c r="S194" s="286"/>
      <c r="T194" s="286"/>
      <c r="U194" s="286"/>
      <c r="V194" s="287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hidden="1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8"/>
      <c r="P195" s="285" t="s">
        <v>82</v>
      </c>
      <c r="Q195" s="286"/>
      <c r="R195" s="286"/>
      <c r="S195" s="286"/>
      <c r="T195" s="286"/>
      <c r="U195" s="286"/>
      <c r="V195" s="287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hidden="1" customHeight="1" x14ac:dyDescent="0.25">
      <c r="A196" s="303" t="s">
        <v>136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82">
        <v>4620207491188</v>
      </c>
      <c r="E197" s="283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0"/>
      <c r="R197" s="280"/>
      <c r="S197" s="280"/>
      <c r="T197" s="281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82">
        <v>4620207490198</v>
      </c>
      <c r="E198" s="283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0"/>
      <c r="R198" s="280"/>
      <c r="S198" s="280"/>
      <c r="T198" s="281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82">
        <v>4620207490235</v>
      </c>
      <c r="E199" s="283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0"/>
      <c r="R199" s="280"/>
      <c r="S199" s="280"/>
      <c r="T199" s="281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82">
        <v>4620207490259</v>
      </c>
      <c r="E200" s="283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0"/>
      <c r="R200" s="280"/>
      <c r="S200" s="280"/>
      <c r="T200" s="281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82">
        <v>4620207490143</v>
      </c>
      <c r="E201" s="283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9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0"/>
      <c r="R201" s="280"/>
      <c r="S201" s="280"/>
      <c r="T201" s="281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76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85" t="s">
        <v>82</v>
      </c>
      <c r="Q202" s="286"/>
      <c r="R202" s="286"/>
      <c r="S202" s="286"/>
      <c r="T202" s="286"/>
      <c r="U202" s="286"/>
      <c r="V202" s="287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85" t="s">
        <v>82</v>
      </c>
      <c r="Q203" s="286"/>
      <c r="R203" s="286"/>
      <c r="S203" s="286"/>
      <c r="T203" s="286"/>
      <c r="U203" s="286"/>
      <c r="V203" s="287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284" t="s">
        <v>299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7"/>
      <c r="AB204" s="267"/>
      <c r="AC204" s="267"/>
    </row>
    <row r="205" spans="1:68" ht="14.25" hidden="1" customHeight="1" x14ac:dyDescent="0.25">
      <c r="A205" s="303" t="s">
        <v>63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8"/>
      <c r="AB205" s="268"/>
      <c r="AC205" s="268"/>
    </row>
    <row r="206" spans="1:68" ht="27" hidden="1" customHeight="1" x14ac:dyDescent="0.25">
      <c r="A206" s="54" t="s">
        <v>300</v>
      </c>
      <c r="B206" s="54" t="s">
        <v>301</v>
      </c>
      <c r="C206" s="31">
        <v>4301071097</v>
      </c>
      <c r="D206" s="282">
        <v>4620207491096</v>
      </c>
      <c r="E206" s="283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0"/>
      <c r="R206" s="280"/>
      <c r="S206" s="280"/>
      <c r="T206" s="281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76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85" t="s">
        <v>82</v>
      </c>
      <c r="Q207" s="286"/>
      <c r="R207" s="286"/>
      <c r="S207" s="286"/>
      <c r="T207" s="286"/>
      <c r="U207" s="286"/>
      <c r="V207" s="287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hidden="1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8"/>
      <c r="P208" s="285" t="s">
        <v>82</v>
      </c>
      <c r="Q208" s="286"/>
      <c r="R208" s="286"/>
      <c r="S208" s="286"/>
      <c r="T208" s="286"/>
      <c r="U208" s="286"/>
      <c r="V208" s="287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hidden="1" customHeight="1" x14ac:dyDescent="0.25">
      <c r="A209" s="284" t="s">
        <v>303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7"/>
      <c r="AB209" s="267"/>
      <c r="AC209" s="267"/>
    </row>
    <row r="210" spans="1:68" ht="14.25" hidden="1" customHeight="1" x14ac:dyDescent="0.25">
      <c r="A210" s="303" t="s">
        <v>63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82">
        <v>4620207490709</v>
      </c>
      <c r="E211" s="283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0"/>
      <c r="R211" s="280"/>
      <c r="S211" s="280"/>
      <c r="T211" s="281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7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8"/>
      <c r="P212" s="285" t="s">
        <v>82</v>
      </c>
      <c r="Q212" s="286"/>
      <c r="R212" s="286"/>
      <c r="S212" s="286"/>
      <c r="T212" s="286"/>
      <c r="U212" s="286"/>
      <c r="V212" s="287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85" t="s">
        <v>82</v>
      </c>
      <c r="Q213" s="286"/>
      <c r="R213" s="286"/>
      <c r="S213" s="286"/>
      <c r="T213" s="286"/>
      <c r="U213" s="286"/>
      <c r="V213" s="287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303" t="s">
        <v>136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82">
        <v>4620207490549</v>
      </c>
      <c r="E215" s="283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0"/>
      <c r="R215" s="280"/>
      <c r="S215" s="280"/>
      <c r="T215" s="281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82">
        <v>4620207490501</v>
      </c>
      <c r="E216" s="283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0"/>
      <c r="R216" s="280"/>
      <c r="S216" s="280"/>
      <c r="T216" s="281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76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8"/>
      <c r="P217" s="285" t="s">
        <v>82</v>
      </c>
      <c r="Q217" s="286"/>
      <c r="R217" s="286"/>
      <c r="S217" s="286"/>
      <c r="T217" s="286"/>
      <c r="U217" s="286"/>
      <c r="V217" s="287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8"/>
      <c r="P218" s="285" t="s">
        <v>82</v>
      </c>
      <c r="Q218" s="286"/>
      <c r="R218" s="286"/>
      <c r="S218" s="286"/>
      <c r="T218" s="286"/>
      <c r="U218" s="286"/>
      <c r="V218" s="287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291" t="s">
        <v>312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48"/>
      <c r="AB219" s="48"/>
      <c r="AC219" s="48"/>
    </row>
    <row r="220" spans="1:68" ht="16.5" hidden="1" customHeight="1" x14ac:dyDescent="0.25">
      <c r="A220" s="284" t="s">
        <v>313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7"/>
      <c r="AB220" s="267"/>
      <c r="AC220" s="267"/>
    </row>
    <row r="221" spans="1:68" ht="14.25" hidden="1" customHeight="1" x14ac:dyDescent="0.25">
      <c r="A221" s="303" t="s">
        <v>63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82">
        <v>4607111036162</v>
      </c>
      <c r="E222" s="283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0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0"/>
      <c r="R222" s="280"/>
      <c r="S222" s="280"/>
      <c r="T222" s="281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76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8"/>
      <c r="P223" s="285" t="s">
        <v>82</v>
      </c>
      <c r="Q223" s="286"/>
      <c r="R223" s="286"/>
      <c r="S223" s="286"/>
      <c r="T223" s="286"/>
      <c r="U223" s="286"/>
      <c r="V223" s="287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8"/>
      <c r="P224" s="285" t="s">
        <v>82</v>
      </c>
      <c r="Q224" s="286"/>
      <c r="R224" s="286"/>
      <c r="S224" s="286"/>
      <c r="T224" s="286"/>
      <c r="U224" s="286"/>
      <c r="V224" s="287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291" t="s">
        <v>317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48"/>
      <c r="AB225" s="48"/>
      <c r="AC225" s="48"/>
    </row>
    <row r="226" spans="1:68" ht="16.5" hidden="1" customHeight="1" x14ac:dyDescent="0.25">
      <c r="A226" s="284" t="s">
        <v>318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7"/>
      <c r="AB226" s="267"/>
      <c r="AC226" s="267"/>
    </row>
    <row r="227" spans="1:68" ht="14.25" hidden="1" customHeight="1" x14ac:dyDescent="0.25">
      <c r="A227" s="303" t="s">
        <v>63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82">
        <v>4607111035899</v>
      </c>
      <c r="E228" s="283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0"/>
      <c r="R228" s="280"/>
      <c r="S228" s="280"/>
      <c r="T228" s="281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76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8"/>
      <c r="P229" s="285" t="s">
        <v>82</v>
      </c>
      <c r="Q229" s="286"/>
      <c r="R229" s="286"/>
      <c r="S229" s="286"/>
      <c r="T229" s="286"/>
      <c r="U229" s="286"/>
      <c r="V229" s="287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85" t="s">
        <v>82</v>
      </c>
      <c r="Q230" s="286"/>
      <c r="R230" s="286"/>
      <c r="S230" s="286"/>
      <c r="T230" s="286"/>
      <c r="U230" s="286"/>
      <c r="V230" s="287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291" t="s">
        <v>321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48"/>
      <c r="AB231" s="48"/>
      <c r="AC231" s="48"/>
    </row>
    <row r="232" spans="1:68" ht="16.5" hidden="1" customHeight="1" x14ac:dyDescent="0.25">
      <c r="A232" s="284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7"/>
      <c r="AB232" s="267"/>
      <c r="AC232" s="267"/>
    </row>
    <row r="233" spans="1:68" ht="14.25" hidden="1" customHeight="1" x14ac:dyDescent="0.25">
      <c r="A233" s="303" t="s">
        <v>323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82">
        <v>4607111039774</v>
      </c>
      <c r="E234" s="283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0"/>
      <c r="R234" s="280"/>
      <c r="S234" s="280"/>
      <c r="T234" s="281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76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8"/>
      <c r="P235" s="285" t="s">
        <v>82</v>
      </c>
      <c r="Q235" s="286"/>
      <c r="R235" s="286"/>
      <c r="S235" s="286"/>
      <c r="T235" s="286"/>
      <c r="U235" s="286"/>
      <c r="V235" s="287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8"/>
      <c r="P236" s="285" t="s">
        <v>82</v>
      </c>
      <c r="Q236" s="286"/>
      <c r="R236" s="286"/>
      <c r="S236" s="286"/>
      <c r="T236" s="286"/>
      <c r="U236" s="286"/>
      <c r="V236" s="287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303" t="s">
        <v>136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82">
        <v>4607111039361</v>
      </c>
      <c r="E238" s="283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0"/>
      <c r="R238" s="280"/>
      <c r="S238" s="280"/>
      <c r="T238" s="281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76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8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291" t="s">
        <v>329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48"/>
      <c r="AB241" s="48"/>
      <c r="AC241" s="48"/>
    </row>
    <row r="242" spans="1:68" ht="16.5" hidden="1" customHeight="1" x14ac:dyDescent="0.25">
      <c r="A242" s="284" t="s">
        <v>329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7"/>
      <c r="AB242" s="267"/>
      <c r="AC242" s="267"/>
    </row>
    <row r="243" spans="1:68" ht="14.25" hidden="1" customHeight="1" x14ac:dyDescent="0.25">
      <c r="A243" s="303" t="s">
        <v>63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82">
        <v>4640242181264</v>
      </c>
      <c r="E244" s="283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0"/>
      <c r="R244" s="280"/>
      <c r="S244" s="280"/>
      <c r="T244" s="281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333</v>
      </c>
      <c r="B245" s="54" t="s">
        <v>334</v>
      </c>
      <c r="C245" s="31">
        <v>4301071021</v>
      </c>
      <c r="D245" s="282">
        <v>4640242181325</v>
      </c>
      <c r="E245" s="283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0"/>
      <c r="R245" s="280"/>
      <c r="S245" s="280"/>
      <c r="T245" s="281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76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8"/>
      <c r="P246" s="285" t="s">
        <v>82</v>
      </c>
      <c r="Q246" s="286"/>
      <c r="R246" s="286"/>
      <c r="S246" s="286"/>
      <c r="T246" s="286"/>
      <c r="U246" s="286"/>
      <c r="V246" s="287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hidden="1" x14ac:dyDescent="0.2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85" t="s">
        <v>82</v>
      </c>
      <c r="Q247" s="286"/>
      <c r="R247" s="286"/>
      <c r="S247" s="286"/>
      <c r="T247" s="286"/>
      <c r="U247" s="286"/>
      <c r="V247" s="287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hidden="1" customHeight="1" x14ac:dyDescent="0.25">
      <c r="A248" s="303" t="s">
        <v>92</v>
      </c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82">
        <v>4640242180397</v>
      </c>
      <c r="E249" s="283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0"/>
      <c r="R249" s="280"/>
      <c r="S249" s="280"/>
      <c r="T249" s="281"/>
      <c r="U249" s="34"/>
      <c r="V249" s="34"/>
      <c r="W249" s="35" t="s">
        <v>69</v>
      </c>
      <c r="X249" s="272">
        <v>168</v>
      </c>
      <c r="Y249" s="273">
        <f>IFERROR(IF(X249="","",X249),"")</f>
        <v>168</v>
      </c>
      <c r="Z249" s="36">
        <f>IFERROR(IF(X249="","",X249*0.0155),"")</f>
        <v>2.6040000000000001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1051.68</v>
      </c>
      <c r="BN249" s="67">
        <f>IFERROR(Y249*I249,"0")</f>
        <v>1051.68</v>
      </c>
      <c r="BO249" s="67">
        <f>IFERROR(X249/J249,"0")</f>
        <v>2</v>
      </c>
      <c r="BP249" s="67">
        <f>IFERROR(Y249/J249,"0")</f>
        <v>2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82">
        <v>4640242181219</v>
      </c>
      <c r="E250" s="283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0"/>
      <c r="R250" s="280"/>
      <c r="S250" s="280"/>
      <c r="T250" s="281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76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8"/>
      <c r="P251" s="285" t="s">
        <v>82</v>
      </c>
      <c r="Q251" s="286"/>
      <c r="R251" s="286"/>
      <c r="S251" s="286"/>
      <c r="T251" s="286"/>
      <c r="U251" s="286"/>
      <c r="V251" s="287"/>
      <c r="W251" s="37" t="s">
        <v>69</v>
      </c>
      <c r="X251" s="274">
        <f>IFERROR(SUM(X249:X250),"0")</f>
        <v>168</v>
      </c>
      <c r="Y251" s="274">
        <f>IFERROR(SUM(Y249:Y250),"0")</f>
        <v>168</v>
      </c>
      <c r="Z251" s="274">
        <f>IFERROR(IF(Z249="",0,Z249),"0")+IFERROR(IF(Z250="",0,Z250),"0")</f>
        <v>2.6040000000000001</v>
      </c>
      <c r="AA251" s="275"/>
      <c r="AB251" s="275"/>
      <c r="AC251" s="275"/>
    </row>
    <row r="252" spans="1:68" x14ac:dyDescent="0.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8"/>
      <c r="P252" s="285" t="s">
        <v>82</v>
      </c>
      <c r="Q252" s="286"/>
      <c r="R252" s="286"/>
      <c r="S252" s="286"/>
      <c r="T252" s="286"/>
      <c r="U252" s="286"/>
      <c r="V252" s="287"/>
      <c r="W252" s="37" t="s">
        <v>83</v>
      </c>
      <c r="X252" s="274">
        <f>IFERROR(SUMPRODUCT(X249:X250*H249:H250),"0")</f>
        <v>1008</v>
      </c>
      <c r="Y252" s="274">
        <f>IFERROR(SUMPRODUCT(Y249:Y250*H249:H250),"0")</f>
        <v>1008</v>
      </c>
      <c r="Z252" s="37"/>
      <c r="AA252" s="275"/>
      <c r="AB252" s="275"/>
      <c r="AC252" s="275"/>
    </row>
    <row r="253" spans="1:68" ht="14.25" hidden="1" customHeight="1" x14ac:dyDescent="0.25">
      <c r="A253" s="303" t="s">
        <v>130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68"/>
      <c r="AB253" s="268"/>
      <c r="AC253" s="268"/>
    </row>
    <row r="254" spans="1:68" ht="27" hidden="1" customHeight="1" x14ac:dyDescent="0.25">
      <c r="A254" s="54" t="s">
        <v>340</v>
      </c>
      <c r="B254" s="54" t="s">
        <v>341</v>
      </c>
      <c r="C254" s="31">
        <v>4301136051</v>
      </c>
      <c r="D254" s="282">
        <v>4640242180304</v>
      </c>
      <c r="E254" s="283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0"/>
      <c r="R254" s="280"/>
      <c r="S254" s="280"/>
      <c r="T254" s="281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82">
        <v>4640242180236</v>
      </c>
      <c r="E255" s="283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0"/>
      <c r="R255" s="280"/>
      <c r="S255" s="280"/>
      <c r="T255" s="281"/>
      <c r="U255" s="34"/>
      <c r="V255" s="34"/>
      <c r="W255" s="35" t="s">
        <v>69</v>
      </c>
      <c r="X255" s="272">
        <v>336</v>
      </c>
      <c r="Y255" s="273">
        <f>IFERROR(IF(X255="","",X255),"")</f>
        <v>336</v>
      </c>
      <c r="Z255" s="36">
        <f>IFERROR(IF(X255="","",X255*0.0155),"")</f>
        <v>5.2080000000000002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1758.96</v>
      </c>
      <c r="BN255" s="67">
        <f>IFERROR(Y255*I255,"0")</f>
        <v>1758.96</v>
      </c>
      <c r="BO255" s="67">
        <f>IFERROR(X255/J255,"0")</f>
        <v>4</v>
      </c>
      <c r="BP255" s="67">
        <f>IFERROR(Y255/J255,"0")</f>
        <v>4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82">
        <v>4640242180410</v>
      </c>
      <c r="E256" s="283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0"/>
      <c r="R256" s="280"/>
      <c r="S256" s="280"/>
      <c r="T256" s="281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76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85" t="s">
        <v>82</v>
      </c>
      <c r="Q257" s="286"/>
      <c r="R257" s="286"/>
      <c r="S257" s="286"/>
      <c r="T257" s="286"/>
      <c r="U257" s="286"/>
      <c r="V257" s="287"/>
      <c r="W257" s="37" t="s">
        <v>69</v>
      </c>
      <c r="X257" s="274">
        <f>IFERROR(SUM(X254:X256),"0")</f>
        <v>336</v>
      </c>
      <c r="Y257" s="274">
        <f>IFERROR(SUM(Y254:Y256),"0")</f>
        <v>336</v>
      </c>
      <c r="Z257" s="274">
        <f>IFERROR(IF(Z254="",0,Z254),"0")+IFERROR(IF(Z255="",0,Z255),"0")+IFERROR(IF(Z256="",0,Z256),"0")</f>
        <v>5.2080000000000002</v>
      </c>
      <c r="AA257" s="275"/>
      <c r="AB257" s="275"/>
      <c r="AC257" s="275"/>
    </row>
    <row r="258" spans="1:68" x14ac:dyDescent="0.2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8"/>
      <c r="P258" s="285" t="s">
        <v>82</v>
      </c>
      <c r="Q258" s="286"/>
      <c r="R258" s="286"/>
      <c r="S258" s="286"/>
      <c r="T258" s="286"/>
      <c r="U258" s="286"/>
      <c r="V258" s="287"/>
      <c r="W258" s="37" t="s">
        <v>83</v>
      </c>
      <c r="X258" s="274">
        <f>IFERROR(SUMPRODUCT(X254:X256*H254:H256),"0")</f>
        <v>1680</v>
      </c>
      <c r="Y258" s="274">
        <f>IFERROR(SUMPRODUCT(Y254:Y256*H254:H256),"0")</f>
        <v>1680</v>
      </c>
      <c r="Z258" s="37"/>
      <c r="AA258" s="275"/>
      <c r="AB258" s="275"/>
      <c r="AC258" s="275"/>
    </row>
    <row r="259" spans="1:68" ht="14.25" hidden="1" customHeight="1" x14ac:dyDescent="0.25">
      <c r="A259" s="303" t="s">
        <v>136</v>
      </c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82">
        <v>4640242181554</v>
      </c>
      <c r="E260" s="283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0"/>
      <c r="R260" s="280"/>
      <c r="S260" s="280"/>
      <c r="T260" s="281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82">
        <v>4640242181561</v>
      </c>
      <c r="E261" s="283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0"/>
      <c r="R261" s="280"/>
      <c r="S261" s="280"/>
      <c r="T261" s="281"/>
      <c r="U261" s="34"/>
      <c r="V261" s="34"/>
      <c r="W261" s="35" t="s">
        <v>69</v>
      </c>
      <c r="X261" s="272">
        <v>378</v>
      </c>
      <c r="Y261" s="273">
        <f t="shared" si="18"/>
        <v>378</v>
      </c>
      <c r="Z261" s="36">
        <f>IFERROR(IF(X261="","",X261*0.00936),"")</f>
        <v>3.5380799999999999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1471.1759999999999</v>
      </c>
      <c r="BN261" s="67">
        <f t="shared" si="20"/>
        <v>1471.1759999999999</v>
      </c>
      <c r="BO261" s="67">
        <f t="shared" si="21"/>
        <v>3</v>
      </c>
      <c r="BP261" s="67">
        <f t="shared" si="22"/>
        <v>3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82">
        <v>4640242181424</v>
      </c>
      <c r="E262" s="283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0"/>
      <c r="R262" s="280"/>
      <c r="S262" s="280"/>
      <c r="T262" s="281"/>
      <c r="U262" s="34"/>
      <c r="V262" s="34"/>
      <c r="W262" s="35" t="s">
        <v>69</v>
      </c>
      <c r="X262" s="272">
        <v>168</v>
      </c>
      <c r="Y262" s="273">
        <f t="shared" si="18"/>
        <v>168</v>
      </c>
      <c r="Z262" s="36">
        <f>IFERROR(IF(X262="","",X262*0.0155),"")</f>
        <v>2.6040000000000001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963.48</v>
      </c>
      <c r="BN262" s="67">
        <f t="shared" si="20"/>
        <v>963.48</v>
      </c>
      <c r="BO262" s="67">
        <f t="shared" si="21"/>
        <v>2</v>
      </c>
      <c r="BP262" s="67">
        <f t="shared" si="22"/>
        <v>2</v>
      </c>
    </row>
    <row r="263" spans="1:68" ht="27" hidden="1" customHeight="1" x14ac:dyDescent="0.25">
      <c r="A263" s="54" t="s">
        <v>355</v>
      </c>
      <c r="B263" s="54" t="s">
        <v>356</v>
      </c>
      <c r="C263" s="31">
        <v>4301135405</v>
      </c>
      <c r="D263" s="282">
        <v>4640242181523</v>
      </c>
      <c r="E263" s="283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0"/>
      <c r="R263" s="280"/>
      <c r="S263" s="280"/>
      <c r="T263" s="281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82">
        <v>4640242181486</v>
      </c>
      <c r="E264" s="283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69</v>
      </c>
      <c r="X264" s="272">
        <v>378</v>
      </c>
      <c r="Y264" s="273">
        <f t="shared" si="18"/>
        <v>378</v>
      </c>
      <c r="Z264" s="36">
        <f t="shared" si="23"/>
        <v>3.5380799999999999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1471.1759999999999</v>
      </c>
      <c r="BN264" s="67">
        <f t="shared" si="20"/>
        <v>1471.1759999999999</v>
      </c>
      <c r="BO264" s="67">
        <f t="shared" si="21"/>
        <v>3</v>
      </c>
      <c r="BP264" s="67">
        <f t="shared" si="22"/>
        <v>3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82">
        <v>4640242181493</v>
      </c>
      <c r="E265" s="283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0"/>
      <c r="R265" s="280"/>
      <c r="S265" s="280"/>
      <c r="T265" s="281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82">
        <v>4640242181509</v>
      </c>
      <c r="E266" s="283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0"/>
      <c r="R266" s="280"/>
      <c r="S266" s="280"/>
      <c r="T266" s="281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82">
        <v>4640242181240</v>
      </c>
      <c r="E267" s="283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0"/>
      <c r="R267" s="280"/>
      <c r="S267" s="280"/>
      <c r="T267" s="281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82">
        <v>4640242181318</v>
      </c>
      <c r="E268" s="283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0"/>
      <c r="R268" s="280"/>
      <c r="S268" s="280"/>
      <c r="T268" s="281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82">
        <v>4640242181387</v>
      </c>
      <c r="E269" s="283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76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8"/>
      <c r="P270" s="285" t="s">
        <v>82</v>
      </c>
      <c r="Q270" s="286"/>
      <c r="R270" s="286"/>
      <c r="S270" s="286"/>
      <c r="T270" s="286"/>
      <c r="U270" s="286"/>
      <c r="V270" s="287"/>
      <c r="W270" s="37" t="s">
        <v>69</v>
      </c>
      <c r="X270" s="274">
        <f>IFERROR(SUM(X260:X269),"0")</f>
        <v>924</v>
      </c>
      <c r="Y270" s="274">
        <f>IFERROR(SUM(Y260:Y269),"0")</f>
        <v>924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9.6801600000000008</v>
      </c>
      <c r="AA270" s="275"/>
      <c r="AB270" s="275"/>
      <c r="AC270" s="275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85" t="s">
        <v>82</v>
      </c>
      <c r="Q271" s="286"/>
      <c r="R271" s="286"/>
      <c r="S271" s="286"/>
      <c r="T271" s="286"/>
      <c r="U271" s="286"/>
      <c r="V271" s="287"/>
      <c r="W271" s="37" t="s">
        <v>83</v>
      </c>
      <c r="X271" s="274">
        <f>IFERROR(SUMPRODUCT(X260:X269*H260:H269),"0")</f>
        <v>3721.2000000000007</v>
      </c>
      <c r="Y271" s="274">
        <f>IFERROR(SUMPRODUCT(Y260:Y269*H260:H269),"0")</f>
        <v>3721.2000000000007</v>
      </c>
      <c r="Z271" s="37"/>
      <c r="AA271" s="275"/>
      <c r="AB271" s="275"/>
      <c r="AC271" s="275"/>
    </row>
    <row r="272" spans="1:68" ht="15" customHeight="1" x14ac:dyDescent="0.2">
      <c r="A272" s="438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65"/>
      <c r="P272" s="326" t="s">
        <v>369</v>
      </c>
      <c r="Q272" s="311"/>
      <c r="R272" s="311"/>
      <c r="S272" s="311"/>
      <c r="T272" s="311"/>
      <c r="U272" s="311"/>
      <c r="V272" s="31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8727.6</v>
      </c>
      <c r="Y272" s="274">
        <f>IFERROR(Y29+Y35+Y42+Y49+Y57+Y62+Y66+Y71+Y77+Y83+Y88+Y94+Y105+Y111+Y123+Y128+Y132+Y138+Y144+Y150+Y155+Y160+Y165+Y170+Y177+Y185+Y189+Y195+Y203+Y208+Y213+Y218+Y224+Y230+Y236+Y240+Y247+Y252+Y258+Y271,"0")</f>
        <v>8727.6</v>
      </c>
      <c r="Z272" s="37"/>
      <c r="AA272" s="275"/>
      <c r="AB272" s="275"/>
      <c r="AC272" s="275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65"/>
      <c r="P273" s="326" t="s">
        <v>370</v>
      </c>
      <c r="Q273" s="311"/>
      <c r="R273" s="311"/>
      <c r="S273" s="311"/>
      <c r="T273" s="311"/>
      <c r="U273" s="311"/>
      <c r="V273" s="312"/>
      <c r="W273" s="37" t="s">
        <v>83</v>
      </c>
      <c r="X273" s="274">
        <f>IFERROR(SUM(BM22:BM269),"0")</f>
        <v>9554.5519999999997</v>
      </c>
      <c r="Y273" s="274">
        <f>IFERROR(SUM(BN22:BN269),"0")</f>
        <v>9554.5519999999997</v>
      </c>
      <c r="Z273" s="37"/>
      <c r="AA273" s="275"/>
      <c r="AB273" s="275"/>
      <c r="AC273" s="275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65"/>
      <c r="P274" s="326" t="s">
        <v>371</v>
      </c>
      <c r="Q274" s="311"/>
      <c r="R274" s="311"/>
      <c r="S274" s="311"/>
      <c r="T274" s="311"/>
      <c r="U274" s="311"/>
      <c r="V274" s="312"/>
      <c r="W274" s="37" t="s">
        <v>372</v>
      </c>
      <c r="X274" s="38">
        <f>ROUNDUP(SUM(BO22:BO269),0)</f>
        <v>25</v>
      </c>
      <c r="Y274" s="38">
        <f>ROUNDUP(SUM(BP22:BP269),0)</f>
        <v>25</v>
      </c>
      <c r="Z274" s="37"/>
      <c r="AA274" s="275"/>
      <c r="AB274" s="275"/>
      <c r="AC274" s="275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65"/>
      <c r="P275" s="326" t="s">
        <v>373</v>
      </c>
      <c r="Q275" s="311"/>
      <c r="R275" s="311"/>
      <c r="S275" s="311"/>
      <c r="T275" s="311"/>
      <c r="U275" s="311"/>
      <c r="V275" s="312"/>
      <c r="W275" s="37" t="s">
        <v>83</v>
      </c>
      <c r="X275" s="274">
        <f>GrossWeightTotal+PalletQtyTotal*25</f>
        <v>10179.552</v>
      </c>
      <c r="Y275" s="274">
        <f>GrossWeightTotalR+PalletQtyTotalR*25</f>
        <v>10179.552</v>
      </c>
      <c r="Z275" s="37"/>
      <c r="AA275" s="275"/>
      <c r="AB275" s="275"/>
      <c r="AC275" s="275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65"/>
      <c r="P276" s="326" t="s">
        <v>374</v>
      </c>
      <c r="Q276" s="311"/>
      <c r="R276" s="311"/>
      <c r="S276" s="311"/>
      <c r="T276" s="311"/>
      <c r="U276" s="311"/>
      <c r="V276" s="31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2198</v>
      </c>
      <c r="Y276" s="274">
        <f>IFERROR(Y28+Y34+Y41+Y48+Y56+Y61+Y65+Y70+Y76+Y82+Y87+Y93+Y104+Y110+Y122+Y127+Y131+Y137+Y143+Y149+Y154+Y159+Y164+Y169+Y176+Y184+Y188+Y194+Y202+Y207+Y212+Y217+Y223+Y229+Y235+Y239+Y246+Y251+Y257+Y270,"0")</f>
        <v>2198</v>
      </c>
      <c r="Z276" s="37"/>
      <c r="AA276" s="275"/>
      <c r="AB276" s="275"/>
      <c r="AC276" s="275"/>
    </row>
    <row r="277" spans="1:32" ht="14.25" hidden="1" customHeight="1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65"/>
      <c r="P277" s="326" t="s">
        <v>375</v>
      </c>
      <c r="Q277" s="311"/>
      <c r="R277" s="311"/>
      <c r="S277" s="311"/>
      <c r="T277" s="311"/>
      <c r="U277" s="311"/>
      <c r="V277" s="31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31.25976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16" t="s">
        <v>62</v>
      </c>
      <c r="C279" s="321"/>
      <c r="D279" s="316" t="s">
        <v>90</v>
      </c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1"/>
      <c r="V279" s="269" t="s">
        <v>253</v>
      </c>
      <c r="W279" s="269" t="s">
        <v>261</v>
      </c>
      <c r="X279" s="316" t="s">
        <v>280</v>
      </c>
      <c r="Y279" s="320"/>
      <c r="Z279" s="321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76" t="s">
        <v>378</v>
      </c>
      <c r="B280" s="316" t="s">
        <v>62</v>
      </c>
      <c r="C280" s="316" t="s">
        <v>84</v>
      </c>
      <c r="D280" s="316" t="s">
        <v>91</v>
      </c>
      <c r="E280" s="316" t="s">
        <v>102</v>
      </c>
      <c r="F280" s="316" t="s">
        <v>112</v>
      </c>
      <c r="G280" s="316" t="s">
        <v>123</v>
      </c>
      <c r="H280" s="316" t="s">
        <v>144</v>
      </c>
      <c r="I280" s="316" t="s">
        <v>151</v>
      </c>
      <c r="J280" s="316" t="s">
        <v>155</v>
      </c>
      <c r="K280" s="316" t="s">
        <v>163</v>
      </c>
      <c r="L280" s="316" t="s">
        <v>179</v>
      </c>
      <c r="M280" s="316" t="s">
        <v>185</v>
      </c>
      <c r="N280" s="270"/>
      <c r="O280" s="316" t="s">
        <v>217</v>
      </c>
      <c r="P280" s="316" t="s">
        <v>225</v>
      </c>
      <c r="Q280" s="316" t="s">
        <v>232</v>
      </c>
      <c r="R280" s="316" t="s">
        <v>237</v>
      </c>
      <c r="S280" s="316" t="s">
        <v>241</v>
      </c>
      <c r="T280" s="316" t="s">
        <v>244</v>
      </c>
      <c r="U280" s="316" t="s">
        <v>249</v>
      </c>
      <c r="V280" s="316" t="s">
        <v>254</v>
      </c>
      <c r="W280" s="316" t="s">
        <v>262</v>
      </c>
      <c r="X280" s="316" t="s">
        <v>281</v>
      </c>
      <c r="Y280" s="316" t="s">
        <v>299</v>
      </c>
      <c r="Z280" s="316" t="s">
        <v>303</v>
      </c>
      <c r="AA280" s="316" t="s">
        <v>313</v>
      </c>
      <c r="AB280" s="316" t="s">
        <v>318</v>
      </c>
      <c r="AC280" s="316" t="s">
        <v>322</v>
      </c>
      <c r="AD280" s="316" t="s">
        <v>329</v>
      </c>
      <c r="AF280" s="270"/>
    </row>
    <row r="281" spans="1:32" ht="13.5" customHeight="1" thickBot="1" x14ac:dyDescent="0.25">
      <c r="A281" s="37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270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252</v>
      </c>
      <c r="K282" s="46">
        <f>IFERROR(X97*H97,"0")+IFERROR(X98*H98,"0")+IFERROR(X99*H99,"0")+IFERROR(X100*H100,"0")+IFERROR(X101*H101,"0")+IFERROR(X102*H102,"0")+IFERROR(X103*H103,"0")</f>
        <v>806.4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840</v>
      </c>
      <c r="P282" s="46">
        <f>IFERROR(X141*H141,"0")+IFERROR(X142*H142,"0")</f>
        <v>210</v>
      </c>
      <c r="Q282" s="46">
        <f>IFERROR(X147*H147,"0")+IFERROR(X148*H148,"0")</f>
        <v>0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210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6409.2000000000007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8727.6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680,00"/>
        <filter val="10 179,55"/>
        <filter val="140,00"/>
        <filter val="168,00"/>
        <filter val="2 198,00"/>
        <filter val="210,00"/>
        <filter val="25"/>
        <filter val="252,00"/>
        <filter val="280,00"/>
        <filter val="3 721,20"/>
        <filter val="336,00"/>
        <filter val="378,00"/>
        <filter val="70,00"/>
        <filter val="8 727,60"/>
        <filter val="806,40"/>
        <filter val="840,00"/>
        <filter val="9 554,55"/>
        <filter val="924,00"/>
      </filters>
    </filterColumn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