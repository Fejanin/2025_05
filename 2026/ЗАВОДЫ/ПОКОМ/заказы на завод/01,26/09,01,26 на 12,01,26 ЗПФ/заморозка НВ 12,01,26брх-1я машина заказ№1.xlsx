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E3FAED-D937-4985-9E6B-703CDF7E77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1" i="1"/>
  <c r="Y274" i="1"/>
  <c r="X273" i="1"/>
  <c r="Y270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<sst xmlns="http://schemas.openxmlformats.org/spreadsheetml/2006/main" count="1223" uniqueCount="395">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</sst>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46034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24</v>
      </c>
      <c r="Y28" s="270">
        <f>IFERROR(SUM(Y22:Y27),"0")</f>
        <v>24</v>
      </c>
      <c r="Z28" s="270">
        <f>IFERROR(IF(Z22="",0,Z22),"0")+IFERROR(IF(Z23="",0,Z23),"0")+IFERROR(IF(Z24="",0,Z24),"0")+IFERROR(IF(Z25="",0,Z25),"0")+IFERROR(IF(Z26="",0,Z26),"0")+IFERROR(IF(Z27="",0,Z27),"0")</f>
        <v>0.372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172.8</v>
      </c>
      <c r="Y29" s="270">
        <f>IFERROR(SUMPRODUCT(Y22:Y27*H22:H27),"0")</f>
        <v>172.8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42</v>
      </c>
      <c r="Y40" s="269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42</v>
      </c>
      <c r="Y41" s="270">
        <f>IFERROR(SUM(Y39:Y40),"0")</f>
        <v>42</v>
      </c>
      <c r="Z41" s="270">
        <f>IFERROR(IF(Z39="",0,Z39),"0")+IFERROR(IF(Z40="",0,Z40),"0")</f>
        <v>0.39522000000000002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63</v>
      </c>
      <c r="Y42" s="270">
        <f>IFERROR(SUMPRODUCT(Y39:Y40*H39:H40),"0")</f>
        <v>63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201.59999999999997</v>
      </c>
      <c r="Y49" s="270">
        <f>IFERROR(SUMPRODUCT(Y45:Y47*H45:H47),"0")</f>
        <v>201.59999999999997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12</v>
      </c>
      <c r="Y55" s="26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36</v>
      </c>
      <c r="Y56" s="270">
        <f>IFERROR(SUM(Y52:Y55),"0")</f>
        <v>36</v>
      </c>
      <c r="Z56" s="270">
        <f>IFERROR(IF(Z52="",0,Z52),"0")+IFERROR(IF(Z53="",0,Z53),"0")+IFERROR(IF(Z54="",0,Z54),"0")+IFERROR(IF(Z55="",0,Z55),"0")</f>
        <v>0.55800000000000005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252</v>
      </c>
      <c r="Y57" s="270">
        <f>IFERROR(SUMPRODUCT(Y52:Y55*H52:H55),"0")</f>
        <v>252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108</v>
      </c>
      <c r="Y81" s="269">
        <f>IFERROR(IF(X81="","",X81),"")</f>
        <v>108</v>
      </c>
      <c r="Z81" s="36">
        <f>IFERROR(IF(X81="","",X81*0.00866),"")</f>
        <v>0.93527999999999989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563.02559999999994</v>
      </c>
      <c r="BN81" s="67">
        <f>IFERROR(Y81*I81,"0")</f>
        <v>563.02559999999994</v>
      </c>
      <c r="BO81" s="67">
        <f>IFERROR(X81/J81,"0")</f>
        <v>0.75</v>
      </c>
      <c r="BP81" s="67">
        <f>IFERROR(Y81/J81,"0")</f>
        <v>0.75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108</v>
      </c>
      <c r="Y82" s="270">
        <f>IFERROR(SUM(Y80:Y81),"0")</f>
        <v>108</v>
      </c>
      <c r="Z82" s="270">
        <f>IFERROR(IF(Z80="",0,Z80),"0")+IFERROR(IF(Z81="",0,Z81),"0")</f>
        <v>0.93527999999999989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540</v>
      </c>
      <c r="Y83" s="270">
        <f>IFERROR(SUMPRODUCT(Y80:Y81*H80:H81),"0")</f>
        <v>540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112</v>
      </c>
      <c r="Y93" s="270">
        <f>IFERROR(SUM(Y91:Y92),"0")</f>
        <v>112</v>
      </c>
      <c r="Z93" s="270">
        <f>IFERROR(IF(Z91="",0,Z91),"0")+IFERROR(IF(Z92="",0,Z92),"0")</f>
        <v>2.0025599999999999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403.20000000000005</v>
      </c>
      <c r="Y94" s="270">
        <f>IFERROR(SUMPRODUCT(Y91:Y92*H91:H92),"0")</f>
        <v>403.20000000000005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56</v>
      </c>
      <c r="Y97" s="269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42</v>
      </c>
      <c r="Y98" s="269">
        <f t="shared" si="6"/>
        <v>42</v>
      </c>
      <c r="Z98" s="36">
        <f t="shared" si="7"/>
        <v>0.75095999999999996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1.75224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282.24</v>
      </c>
      <c r="Y104" s="270">
        <f>IFERROR(SUMPRODUCT(Y97:Y102*H97:H102),"0")</f>
        <v>282.24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12</v>
      </c>
      <c r="Y115" s="269">
        <f t="shared" si="12"/>
        <v>12</v>
      </c>
      <c r="Z115" s="36">
        <f t="shared" si="13"/>
        <v>0.186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12</v>
      </c>
      <c r="Y116" s="269">
        <f t="shared" si="12"/>
        <v>12</v>
      </c>
      <c r="Z116" s="36">
        <f t="shared" si="13"/>
        <v>0.186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24</v>
      </c>
      <c r="Y121" s="270">
        <f>IFERROR(SUM(Y113:Y120),"0")</f>
        <v>24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0.372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160.80000000000001</v>
      </c>
      <c r="Y122" s="270">
        <f>IFERROR(SUMPRODUCT(Y113:Y120*H113:H120),"0")</f>
        <v>160.80000000000001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14</v>
      </c>
      <c r="Y124" s="269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14</v>
      </c>
      <c r="Y125" s="270">
        <f>IFERROR(SUM(Y124:Y124),"0")</f>
        <v>14</v>
      </c>
      <c r="Z125" s="270">
        <f>IFERROR(IF(Z124="",0,Z124),"0")</f>
        <v>0.25031999999999999</v>
      </c>
      <c r="AA125" s="271"/>
      <c r="AB125" s="271"/>
      <c r="AC125" s="271"/>
    </row>
    <row r="126" spans="1:68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36.96</v>
      </c>
      <c r="Y126" s="270">
        <f>IFERROR(SUMPRODUCT(Y124:Y124*H124:H124),"0")</f>
        <v>36.96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hidden="1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42</v>
      </c>
      <c r="Y139" s="269">
        <f>IFERROR(IF(X139="","",X139),"")</f>
        <v>42</v>
      </c>
      <c r="Z139" s="36">
        <f>IFERROR(IF(X139="","",X139*0.01788),"")</f>
        <v>0.75095999999999996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157.416</v>
      </c>
      <c r="BN139" s="67">
        <f>IFERROR(Y139*I139,"0")</f>
        <v>157.416</v>
      </c>
      <c r="BO139" s="67">
        <f>IFERROR(X139/J139,"0")</f>
        <v>0.6</v>
      </c>
      <c r="BP139" s="67">
        <f>IFERROR(Y139/J139,"0")</f>
        <v>0.6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70</v>
      </c>
      <c r="Y141" s="270">
        <f>IFERROR(SUM(Y139:Y140),"0")</f>
        <v>70</v>
      </c>
      <c r="Z141" s="270">
        <f>IFERROR(IF(Z139="",0,Z139),"0")+IFERROR(IF(Z140="",0,Z140),"0")</f>
        <v>1.2515999999999998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210</v>
      </c>
      <c r="Y142" s="270">
        <f>IFERROR(SUMPRODUCT(Y139:Y140*H139:H140),"0")</f>
        <v>210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96</v>
      </c>
      <c r="Y173" s="269">
        <f>IFERROR(IF(X173="","",X173),"")</f>
        <v>96</v>
      </c>
      <c r="Z173" s="36">
        <f>IFERROR(IF(X173="","",X173*0.00866),"")</f>
        <v>0.83135999999999988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500.46719999999993</v>
      </c>
      <c r="BN173" s="67">
        <f>IFERROR(Y173*I173,"0")</f>
        <v>500.46719999999993</v>
      </c>
      <c r="BO173" s="67">
        <f>IFERROR(X173/J173,"0")</f>
        <v>0.66666666666666663</v>
      </c>
      <c r="BP173" s="67">
        <f>IFERROR(Y173/J173,"0")</f>
        <v>0.66666666666666663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96</v>
      </c>
      <c r="Y174" s="270">
        <f>IFERROR(SUM(Y172:Y173),"0")</f>
        <v>96</v>
      </c>
      <c r="Z174" s="270">
        <f>IFERROR(IF(Z172="",0,Z172),"0")+IFERROR(IF(Z173="",0,Z173),"0")</f>
        <v>0.83135999999999988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480</v>
      </c>
      <c r="Y175" s="270">
        <f>IFERROR(SUMPRODUCT(Y172:Y173*H172:H173),"0")</f>
        <v>480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70</v>
      </c>
      <c r="Y179" s="269">
        <f>IFERROR(IF(X179="","",X179),"")</f>
        <v>70</v>
      </c>
      <c r="Z179" s="36">
        <f>IFERROR(IF(X179="","",X179*0.01788),"")</f>
        <v>1.2516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237.16</v>
      </c>
      <c r="BN179" s="67">
        <f>IFERROR(Y179*I179,"0")</f>
        <v>237.16</v>
      </c>
      <c r="BO179" s="67">
        <f>IFERROR(X179/J179,"0")</f>
        <v>1</v>
      </c>
      <c r="BP179" s="67">
        <f>IFERROR(Y179/J179,"0")</f>
        <v>1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98</v>
      </c>
      <c r="Y182" s="270">
        <f>IFERROR(SUM(Y179:Y181),"0")</f>
        <v>98</v>
      </c>
      <c r="Z182" s="270">
        <f>IFERROR(IF(Z179="",0,Z179),"0")+IFERROR(IF(Z180="",0,Z180),"0")+IFERROR(IF(Z181="",0,Z181),"0")</f>
        <v>1.75224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294</v>
      </c>
      <c r="Y183" s="270">
        <f>IFERROR(SUMPRODUCT(Y179:Y181*H179:H181),"0")</f>
        <v>294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12</v>
      </c>
      <c r="Y243" s="269">
        <f>IFERROR(IF(X243="","",X243),"")</f>
        <v>12</v>
      </c>
      <c r="Z243" s="36">
        <f>IFERROR(IF(X243="","",X243*0.0155),"")</f>
        <v>0.186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87.36</v>
      </c>
      <c r="BN243" s="67">
        <f>IFERROR(Y243*I243,"0")</f>
        <v>87.36</v>
      </c>
      <c r="BO243" s="67">
        <f>IFERROR(X243/J243,"0")</f>
        <v>0.14285714285714285</v>
      </c>
      <c r="BP243" s="67">
        <f>IFERROR(Y243/J243,"0")</f>
        <v>0.14285714285714285</v>
      </c>
    </row>
    <row r="244" spans="1:68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12</v>
      </c>
      <c r="Y244" s="270">
        <f>IFERROR(SUM(Y242:Y243),"0")</f>
        <v>12</v>
      </c>
      <c r="Z244" s="270">
        <f>IFERROR(IF(Z242="",0,Z242),"0")+IFERROR(IF(Z243="",0,Z243),"0")</f>
        <v>0.186</v>
      </c>
      <c r="AA244" s="271"/>
      <c r="AB244" s="271"/>
      <c r="AC244" s="271"/>
    </row>
    <row r="245" spans="1:68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84</v>
      </c>
      <c r="Y245" s="270">
        <f>IFERROR(SUMPRODUCT(Y242:Y243*H242:H243),"0")</f>
        <v>84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idden="1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hidden="1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3358.6800000000003</v>
      </c>
      <c r="Y270" s="270">
        <f>IFERROR(Y29+Y35+Y42+Y49+Y57+Y62+Y66+Y71+Y77+Y83+Y88+Y94+Y104+Y110+Y122+Y126+Y130+Y136+Y142+Y148+Y153+Y158+Y163+Y168+Y175+Y183+Y187+Y193+Y201+Y206+Y211+Y216+Y222+Y228+Y234+Y238+Y245+Y250+Y256+Y269,"0")</f>
        <v>3358.6800000000003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3757.1604000000002</v>
      </c>
      <c r="Y271" s="270">
        <f>IFERROR(SUM(BN22:BN267),"0")</f>
        <v>3757.1604000000002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10</v>
      </c>
      <c r="Y272" s="38">
        <f>ROUNDUP(SUM(BP22:BP267),0)</f>
        <v>10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4007.1604000000002</v>
      </c>
      <c r="Y273" s="270">
        <f>GrossWeightTotalR+PalletQtyTotalR*25</f>
        <v>4007.1604000000002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854</v>
      </c>
      <c r="Y274" s="270">
        <f>IFERROR(Y28+Y34+Y41+Y48+Y56+Y61+Y65+Y70+Y76+Y82+Y87+Y93+Y103+Y109+Y121+Y125+Y129+Y135+Y141+Y147+Y152+Y157+Y162+Y167+Y174+Y182+Y186+Y192+Y200+Y205+Y210+Y215+Y221+Y227+Y233+Y237+Y244+Y249+Y255+Y268,"0")</f>
        <v>854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12.244420000000002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172.8</v>
      </c>
      <c r="C280" s="46">
        <f>IFERROR(X32*H32,"0")+IFERROR(X33*H33,"0")</f>
        <v>0</v>
      </c>
      <c r="D280" s="46">
        <f>IFERROR(X39*H39,"0")+IFERROR(X40*H40,"0")</f>
        <v>63</v>
      </c>
      <c r="E280" s="46">
        <f>IFERROR(X45*H45,"0")+IFERROR(X46*H46,"0")+IFERROR(X47*H47,"0")</f>
        <v>201.59999999999997</v>
      </c>
      <c r="F280" s="46">
        <f>IFERROR(X52*H52,"0")+IFERROR(X53*H53,"0")+IFERROR(X54*H54,"0")+IFERROR(X55*H55,"0")</f>
        <v>252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540</v>
      </c>
      <c r="I280" s="46">
        <f>IFERROR(X86*H86,"0")</f>
        <v>50.4</v>
      </c>
      <c r="J280" s="46">
        <f>IFERROR(X91*H91,"0")+IFERROR(X92*H92,"0")</f>
        <v>403.20000000000005</v>
      </c>
      <c r="K280" s="46">
        <f>IFERROR(X97*H97,"0")+IFERROR(X98*H98,"0")+IFERROR(X99*H99,"0")+IFERROR(X100*H100,"0")+IFERROR(X101*H101,"0")+IFERROR(X102*H102,"0")</f>
        <v>282.24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197.76000000000002</v>
      </c>
      <c r="N280" s="266"/>
      <c r="O280" s="46">
        <f>IFERROR(X133*H133,"0")+IFERROR(X134*H134,"0")</f>
        <v>0</v>
      </c>
      <c r="P280" s="46">
        <f>IFERROR(X139*H139,"0")+IFERROR(X140*H140,"0")</f>
        <v>210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480</v>
      </c>
      <c r="W280" s="46">
        <f>IFERROR(X179*H179,"0")+IFERROR(X180*H180,"0")+IFERROR(X181*H181,"0")+IFERROR(X185*H185,"0")</f>
        <v>294</v>
      </c>
      <c r="X280" s="46">
        <f>IFERROR(X191*H191,"0")+IFERROR(X195*H195,"0")+IFERROR(X196*H196,"0")+IFERROR(X197*H197,"0")+IFERROR(X198*H198,"0")+IFERROR(X199*H199,"0")</f>
        <v>33.6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84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1891.2</v>
      </c>
      <c r="B283" s="60">
        <f>SUMPRODUCT(--(BB:BB="ПГП"),--(W:W="кор"),H:H,Y:Y)+SUMPRODUCT(--(BB:BB="ПГП"),--(W:W="кг"),Y:Y)</f>
        <v>1467.48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08,00"/>
        <filter val="112,00"/>
        <filter val="12,00"/>
        <filter val="14,00"/>
        <filter val="160,80"/>
        <filter val="172,80"/>
        <filter val="201,60"/>
        <filter val="210,00"/>
        <filter val="24,00"/>
        <filter val="252,00"/>
        <filter val="28,00"/>
        <filter val="282,24"/>
        <filter val="294,00"/>
        <filter val="3 358,68"/>
        <filter val="3 757,16"/>
        <filter val="33,60"/>
        <filter val="36,00"/>
        <filter val="36,96"/>
        <filter val="4 007,16"/>
        <filter val="403,20"/>
        <filter val="42,00"/>
        <filter val="480,00"/>
        <filter val="50,40"/>
        <filter val="540,00"/>
        <filter val="56,00"/>
        <filter val="63,00"/>
        <filter val="70,00"/>
        <filter val="84,00"/>
        <filter val="854,00"/>
        <filter val="94,08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