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EC47B33-0403-4B4A-87D8-B703BCE168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BP467" i="1" s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P385" i="1" s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Y339" i="1" s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Z287" i="1"/>
  <c r="Y287" i="1"/>
  <c r="P287" i="1"/>
  <c r="BO286" i="1"/>
  <c r="BM286" i="1"/>
  <c r="Y286" i="1"/>
  <c r="Y288" i="1" s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BO253" i="1"/>
  <c r="BM253" i="1"/>
  <c r="Y253" i="1"/>
  <c r="BP253" i="1" s="1"/>
  <c r="P253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Y247" i="1" s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BP195" i="1" s="1"/>
  <c r="P195" i="1"/>
  <c r="BO194" i="1"/>
  <c r="BM194" i="1"/>
  <c r="Y194" i="1"/>
  <c r="P194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P183" i="1"/>
  <c r="X181" i="1"/>
  <c r="X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Y180" i="1" s="1"/>
  <c r="P166" i="1"/>
  <c r="X164" i="1"/>
  <c r="X163" i="1"/>
  <c r="BO162" i="1"/>
  <c r="BM162" i="1"/>
  <c r="Y162" i="1"/>
  <c r="Y163" i="1" s="1"/>
  <c r="P162" i="1"/>
  <c r="X158" i="1"/>
  <c r="X157" i="1"/>
  <c r="BO156" i="1"/>
  <c r="BM156" i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Z53" i="1" l="1"/>
  <c r="BN53" i="1"/>
  <c r="Z114" i="1"/>
  <c r="BN114" i="1"/>
  <c r="Y119" i="1"/>
  <c r="Z184" i="1"/>
  <c r="BN184" i="1"/>
  <c r="J504" i="1"/>
  <c r="Z255" i="1"/>
  <c r="BN255" i="1"/>
  <c r="Z310" i="1"/>
  <c r="BN310" i="1"/>
  <c r="Z385" i="1"/>
  <c r="BN385" i="1"/>
  <c r="Z451" i="1"/>
  <c r="BN451" i="1"/>
  <c r="Z30" i="1"/>
  <c r="BN30" i="1"/>
  <c r="Z66" i="1"/>
  <c r="BN66" i="1"/>
  <c r="Z100" i="1"/>
  <c r="BN100" i="1"/>
  <c r="Z137" i="1"/>
  <c r="BN137" i="1"/>
  <c r="H504" i="1"/>
  <c r="Z172" i="1"/>
  <c r="BN172" i="1"/>
  <c r="Z208" i="1"/>
  <c r="BN208" i="1"/>
  <c r="Z237" i="1"/>
  <c r="BN237" i="1"/>
  <c r="Z266" i="1"/>
  <c r="BN266" i="1"/>
  <c r="Z300" i="1"/>
  <c r="BN300" i="1"/>
  <c r="Z324" i="1"/>
  <c r="BN324" i="1"/>
  <c r="Z356" i="1"/>
  <c r="BN356" i="1"/>
  <c r="Z399" i="1"/>
  <c r="BN399" i="1"/>
  <c r="Z435" i="1"/>
  <c r="BN435" i="1"/>
  <c r="Z467" i="1"/>
  <c r="BN467" i="1"/>
  <c r="Y201" i="1"/>
  <c r="BN199" i="1"/>
  <c r="Z199" i="1"/>
  <c r="BP200" i="1"/>
  <c r="BN200" i="1"/>
  <c r="Z200" i="1"/>
  <c r="BP204" i="1"/>
  <c r="BN204" i="1"/>
  <c r="Z204" i="1"/>
  <c r="BP228" i="1"/>
  <c r="BN228" i="1"/>
  <c r="Z228" i="1"/>
  <c r="BP233" i="1"/>
  <c r="BN233" i="1"/>
  <c r="Z233" i="1"/>
  <c r="BP262" i="1"/>
  <c r="BN262" i="1"/>
  <c r="Z262" i="1"/>
  <c r="BP291" i="1"/>
  <c r="BN291" i="1"/>
  <c r="Z291" i="1"/>
  <c r="BP318" i="1"/>
  <c r="BN318" i="1"/>
  <c r="Z318" i="1"/>
  <c r="BP352" i="1"/>
  <c r="BN352" i="1"/>
  <c r="Z352" i="1"/>
  <c r="BP395" i="1"/>
  <c r="BN395" i="1"/>
  <c r="Z395" i="1"/>
  <c r="BP431" i="1"/>
  <c r="BN431" i="1"/>
  <c r="Z431" i="1"/>
  <c r="BP455" i="1"/>
  <c r="BN455" i="1"/>
  <c r="Z455" i="1"/>
  <c r="Z22" i="1"/>
  <c r="BN22" i="1"/>
  <c r="Y25" i="1"/>
  <c r="Z42" i="1"/>
  <c r="BN42" i="1"/>
  <c r="Z60" i="1"/>
  <c r="BN60" i="1"/>
  <c r="Y63" i="1"/>
  <c r="Z74" i="1"/>
  <c r="BN74" i="1"/>
  <c r="Z91" i="1"/>
  <c r="BN91" i="1"/>
  <c r="Z108" i="1"/>
  <c r="BN108" i="1"/>
  <c r="Z127" i="1"/>
  <c r="BN127" i="1"/>
  <c r="Z148" i="1"/>
  <c r="BN148" i="1"/>
  <c r="Z168" i="1"/>
  <c r="BN168" i="1"/>
  <c r="BP176" i="1"/>
  <c r="BN176" i="1"/>
  <c r="Z176" i="1"/>
  <c r="BP216" i="1"/>
  <c r="BN216" i="1"/>
  <c r="Z216" i="1"/>
  <c r="BP241" i="1"/>
  <c r="BN241" i="1"/>
  <c r="Z241" i="1"/>
  <c r="BP273" i="1"/>
  <c r="BN273" i="1"/>
  <c r="Z273" i="1"/>
  <c r="BP306" i="1"/>
  <c r="BN306" i="1"/>
  <c r="Z306" i="1"/>
  <c r="BP330" i="1"/>
  <c r="BN330" i="1"/>
  <c r="Z330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39" i="1"/>
  <c r="BN439" i="1"/>
  <c r="Z439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BP485" i="1"/>
  <c r="BN485" i="1"/>
  <c r="Z485" i="1"/>
  <c r="Y213" i="1"/>
  <c r="BP302" i="1"/>
  <c r="BN302" i="1"/>
  <c r="Z302" i="1"/>
  <c r="BP316" i="1"/>
  <c r="BN316" i="1"/>
  <c r="Z316" i="1"/>
  <c r="Y332" i="1"/>
  <c r="BP328" i="1"/>
  <c r="BN328" i="1"/>
  <c r="Z328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5" i="1"/>
  <c r="W504" i="1"/>
  <c r="Y424" i="1"/>
  <c r="BP423" i="1"/>
  <c r="BN423" i="1"/>
  <c r="Z423" i="1"/>
  <c r="Z424" i="1" s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X498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Z56" i="1"/>
  <c r="BN56" i="1"/>
  <c r="Z62" i="1"/>
  <c r="BN62" i="1"/>
  <c r="Y68" i="1"/>
  <c r="Z72" i="1"/>
  <c r="BN72" i="1"/>
  <c r="Z78" i="1"/>
  <c r="BN78" i="1"/>
  <c r="BP78" i="1"/>
  <c r="Z87" i="1"/>
  <c r="BN87" i="1"/>
  <c r="Y95" i="1"/>
  <c r="Z93" i="1"/>
  <c r="BN93" i="1"/>
  <c r="Z102" i="1"/>
  <c r="BN102" i="1"/>
  <c r="Z110" i="1"/>
  <c r="BN110" i="1"/>
  <c r="Z116" i="1"/>
  <c r="BN116" i="1"/>
  <c r="G504" i="1"/>
  <c r="Z131" i="1"/>
  <c r="BN131" i="1"/>
  <c r="BP131" i="1"/>
  <c r="Y134" i="1"/>
  <c r="Z142" i="1"/>
  <c r="BN142" i="1"/>
  <c r="BP142" i="1"/>
  <c r="Y145" i="1"/>
  <c r="Y153" i="1"/>
  <c r="Z150" i="1"/>
  <c r="BN150" i="1"/>
  <c r="Z156" i="1"/>
  <c r="Z157" i="1" s="1"/>
  <c r="BN156" i="1"/>
  <c r="BP156" i="1"/>
  <c r="Y157" i="1"/>
  <c r="Z162" i="1"/>
  <c r="Z163" i="1" s="1"/>
  <c r="BN162" i="1"/>
  <c r="BP162" i="1"/>
  <c r="Z166" i="1"/>
  <c r="BN166" i="1"/>
  <c r="BP166" i="1"/>
  <c r="Y181" i="1"/>
  <c r="Z170" i="1"/>
  <c r="BN170" i="1"/>
  <c r="Z174" i="1"/>
  <c r="BN174" i="1"/>
  <c r="Z178" i="1"/>
  <c r="BN178" i="1"/>
  <c r="Y187" i="1"/>
  <c r="Z195" i="1"/>
  <c r="BN195" i="1"/>
  <c r="Z206" i="1"/>
  <c r="BN206" i="1"/>
  <c r="Z210" i="1"/>
  <c r="BN210" i="1"/>
  <c r="Z218" i="1"/>
  <c r="BN218" i="1"/>
  <c r="Z222" i="1"/>
  <c r="BN222" i="1"/>
  <c r="Z235" i="1"/>
  <c r="BN235" i="1"/>
  <c r="Z239" i="1"/>
  <c r="BN239" i="1"/>
  <c r="Z245" i="1"/>
  <c r="Z246" i="1" s="1"/>
  <c r="BN245" i="1"/>
  <c r="BP245" i="1"/>
  <c r="Y246" i="1"/>
  <c r="Z249" i="1"/>
  <c r="Z250" i="1" s="1"/>
  <c r="BN249" i="1"/>
  <c r="BP249" i="1"/>
  <c r="Y250" i="1"/>
  <c r="Z253" i="1"/>
  <c r="BN253" i="1"/>
  <c r="Z257" i="1"/>
  <c r="BN257" i="1"/>
  <c r="Z264" i="1"/>
  <c r="BN264" i="1"/>
  <c r="Z271" i="1"/>
  <c r="BN271" i="1"/>
  <c r="Y276" i="1"/>
  <c r="Z280" i="1"/>
  <c r="BN280" i="1"/>
  <c r="BP287" i="1"/>
  <c r="BN287" i="1"/>
  <c r="BP298" i="1"/>
  <c r="BN298" i="1"/>
  <c r="Z298" i="1"/>
  <c r="BP308" i="1"/>
  <c r="BN308" i="1"/>
  <c r="Z308" i="1"/>
  <c r="BP322" i="1"/>
  <c r="BN322" i="1"/>
  <c r="Z322" i="1"/>
  <c r="BP336" i="1"/>
  <c r="BN336" i="1"/>
  <c r="Z336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Y469" i="1"/>
  <c r="BP465" i="1"/>
  <c r="BN465" i="1"/>
  <c r="Z465" i="1"/>
  <c r="Y293" i="1"/>
  <c r="Y325" i="1"/>
  <c r="Y389" i="1"/>
  <c r="Y388" i="1"/>
  <c r="Y487" i="1"/>
  <c r="H9" i="1"/>
  <c r="A10" i="1"/>
  <c r="B504" i="1"/>
  <c r="X495" i="1"/>
  <c r="X496" i="1"/>
  <c r="Z23" i="1"/>
  <c r="Z24" i="1" s="1"/>
  <c r="BN23" i="1"/>
  <c r="BP23" i="1"/>
  <c r="Y24" i="1"/>
  <c r="X494" i="1"/>
  <c r="Z27" i="1"/>
  <c r="BN27" i="1"/>
  <c r="BP27" i="1"/>
  <c r="Z29" i="1"/>
  <c r="BN29" i="1"/>
  <c r="Y32" i="1"/>
  <c r="C504" i="1"/>
  <c r="Z41" i="1"/>
  <c r="BN41" i="1"/>
  <c r="BP41" i="1"/>
  <c r="Y44" i="1"/>
  <c r="D504" i="1"/>
  <c r="Y58" i="1"/>
  <c r="Z52" i="1"/>
  <c r="BN52" i="1"/>
  <c r="Z54" i="1"/>
  <c r="BN54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504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3" i="1"/>
  <c r="Y122" i="1"/>
  <c r="BP121" i="1"/>
  <c r="BN121" i="1"/>
  <c r="Z121" i="1"/>
  <c r="Z122" i="1" s="1"/>
  <c r="F9" i="1"/>
  <c r="J9" i="1"/>
  <c r="Y57" i="1"/>
  <c r="BP61" i="1"/>
  <c r="BN61" i="1"/>
  <c r="Z61" i="1"/>
  <c r="BP73" i="1"/>
  <c r="BN73" i="1"/>
  <c r="Z73" i="1"/>
  <c r="BP86" i="1"/>
  <c r="BN86" i="1"/>
  <c r="Z86" i="1"/>
  <c r="BP94" i="1"/>
  <c r="BN94" i="1"/>
  <c r="Z94" i="1"/>
  <c r="Y96" i="1"/>
  <c r="F504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Z126" i="1"/>
  <c r="Z128" i="1" s="1"/>
  <c r="BN126" i="1"/>
  <c r="BP126" i="1"/>
  <c r="Y129" i="1"/>
  <c r="Z132" i="1"/>
  <c r="BN132" i="1"/>
  <c r="BP132" i="1"/>
  <c r="Z136" i="1"/>
  <c r="Z138" i="1" s="1"/>
  <c r="BN136" i="1"/>
  <c r="BP136" i="1"/>
  <c r="Y139" i="1"/>
  <c r="Z143" i="1"/>
  <c r="Z144" i="1" s="1"/>
  <c r="BN143" i="1"/>
  <c r="BP143" i="1"/>
  <c r="Y144" i="1"/>
  <c r="Z147" i="1"/>
  <c r="BN147" i="1"/>
  <c r="BP147" i="1"/>
  <c r="Z149" i="1"/>
  <c r="BN149" i="1"/>
  <c r="Z151" i="1"/>
  <c r="BN151" i="1"/>
  <c r="Y154" i="1"/>
  <c r="I504" i="1"/>
  <c r="Y164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3" i="1"/>
  <c r="BN183" i="1"/>
  <c r="BP183" i="1"/>
  <c r="Z185" i="1"/>
  <c r="BN185" i="1"/>
  <c r="Y186" i="1"/>
  <c r="Z189" i="1"/>
  <c r="Z190" i="1" s="1"/>
  <c r="BN189" i="1"/>
  <c r="BP189" i="1"/>
  <c r="Y190" i="1"/>
  <c r="Z194" i="1"/>
  <c r="BN194" i="1"/>
  <c r="BP194" i="1"/>
  <c r="Y197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BP274" i="1"/>
  <c r="BN274" i="1"/>
  <c r="Z274" i="1"/>
  <c r="O504" i="1"/>
  <c r="Y282" i="1"/>
  <c r="BP279" i="1"/>
  <c r="BN279" i="1"/>
  <c r="Z279" i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BP337" i="1"/>
  <c r="BN337" i="1"/>
  <c r="Z337" i="1"/>
  <c r="R504" i="1"/>
  <c r="Y346" i="1"/>
  <c r="Y345" i="1"/>
  <c r="BP342" i="1"/>
  <c r="BN342" i="1"/>
  <c r="Z342" i="1"/>
  <c r="BP376" i="1"/>
  <c r="BN376" i="1"/>
  <c r="Z376" i="1"/>
  <c r="Y378" i="1"/>
  <c r="Y383" i="1"/>
  <c r="BP380" i="1"/>
  <c r="BN380" i="1"/>
  <c r="Z380" i="1"/>
  <c r="Y382" i="1"/>
  <c r="Q504" i="1"/>
  <c r="Y128" i="1"/>
  <c r="Y196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Y267" i="1"/>
  <c r="BP272" i="1"/>
  <c r="BN272" i="1"/>
  <c r="Z272" i="1"/>
  <c r="BP281" i="1"/>
  <c r="BN281" i="1"/>
  <c r="Z281" i="1"/>
  <c r="Y283" i="1"/>
  <c r="P504" i="1"/>
  <c r="Y289" i="1"/>
  <c r="BP286" i="1"/>
  <c r="BN286" i="1"/>
  <c r="Z286" i="1"/>
  <c r="Z288" i="1" s="1"/>
  <c r="BP299" i="1"/>
  <c r="BN299" i="1"/>
  <c r="Z299" i="1"/>
  <c r="Y303" i="1"/>
  <c r="BP307" i="1"/>
  <c r="BN307" i="1"/>
  <c r="Z307" i="1"/>
  <c r="BP311" i="1"/>
  <c r="BN311" i="1"/>
  <c r="Z311" i="1"/>
  <c r="Y313" i="1"/>
  <c r="Y320" i="1"/>
  <c r="BP315" i="1"/>
  <c r="BN315" i="1"/>
  <c r="Z315" i="1"/>
  <c r="Y319" i="1"/>
  <c r="BP323" i="1"/>
  <c r="BN323" i="1"/>
  <c r="Z323" i="1"/>
  <c r="BP331" i="1"/>
  <c r="BN331" i="1"/>
  <c r="Z331" i="1"/>
  <c r="Y333" i="1"/>
  <c r="Y338" i="1"/>
  <c r="BP335" i="1"/>
  <c r="BN335" i="1"/>
  <c r="Z335" i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Y363" i="1"/>
  <c r="Y368" i="1"/>
  <c r="BP365" i="1"/>
  <c r="BN365" i="1"/>
  <c r="Z365" i="1"/>
  <c r="Z367" i="1" s="1"/>
  <c r="BP386" i="1"/>
  <c r="BN386" i="1"/>
  <c r="Z386" i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BP452" i="1"/>
  <c r="BN452" i="1"/>
  <c r="Z452" i="1"/>
  <c r="BP466" i="1"/>
  <c r="BN466" i="1"/>
  <c r="Z466" i="1"/>
  <c r="BP486" i="1"/>
  <c r="BN486" i="1"/>
  <c r="Z486" i="1"/>
  <c r="Y488" i="1"/>
  <c r="Z504" i="1"/>
  <c r="Y492" i="1"/>
  <c r="BP491" i="1"/>
  <c r="BN491" i="1"/>
  <c r="Z491" i="1"/>
  <c r="Z492" i="1" s="1"/>
  <c r="Y493" i="1"/>
  <c r="Y441" i="1"/>
  <c r="Z469" i="1" l="1"/>
  <c r="Z388" i="1"/>
  <c r="Z212" i="1"/>
  <c r="Z377" i="1"/>
  <c r="Z180" i="1"/>
  <c r="Z153" i="1"/>
  <c r="Z118" i="1"/>
  <c r="Z111" i="1"/>
  <c r="Z325" i="1"/>
  <c r="Z487" i="1"/>
  <c r="Z362" i="1"/>
  <c r="Z407" i="1"/>
  <c r="Z319" i="1"/>
  <c r="Z312" i="1"/>
  <c r="Z275" i="1"/>
  <c r="Z267" i="1"/>
  <c r="Z133" i="1"/>
  <c r="Z63" i="1"/>
  <c r="Z57" i="1"/>
  <c r="Z43" i="1"/>
  <c r="Z258" i="1"/>
  <c r="Z201" i="1"/>
  <c r="Y495" i="1"/>
  <c r="Y494" i="1"/>
  <c r="Z447" i="1"/>
  <c r="Z441" i="1"/>
  <c r="Z402" i="1"/>
  <c r="Z357" i="1"/>
  <c r="Z338" i="1"/>
  <c r="Z242" i="1"/>
  <c r="Z382" i="1"/>
  <c r="Z196" i="1"/>
  <c r="Y496" i="1"/>
  <c r="Z80" i="1"/>
  <c r="Z456" i="1"/>
  <c r="Z419" i="1"/>
  <c r="Z332" i="1"/>
  <c r="Z303" i="1"/>
  <c r="Z282" i="1"/>
  <c r="X497" i="1"/>
  <c r="Z345" i="1"/>
  <c r="Z224" i="1"/>
  <c r="Z186" i="1"/>
  <c r="Z104" i="1"/>
  <c r="Z95" i="1"/>
  <c r="Z88" i="1"/>
  <c r="Z75" i="1"/>
  <c r="Z31" i="1"/>
  <c r="Y498" i="1"/>
  <c r="Z499" i="1" l="1"/>
  <c r="Y497" i="1"/>
</calcChain>
</file>

<file path=xl/sharedStrings.xml><?xml version="1.0" encoding="utf-8"?>
<sst xmlns="http://schemas.openxmlformats.org/spreadsheetml/2006/main" count="2364" uniqueCount="777">
  <si>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</si>
  <si>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</si>
  <si>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</si>
  <si>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</si>
  <si>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</si>
  <si>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</si>
  <si>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</si>
  <si>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</si>
  <si>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</si>
  <si>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</si>
  <si>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</si>
  <si>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</si>
  <si>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</si>
  <si>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</si>
  <si>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</si>
  <si>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</si>
  <si>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</si>
  <si>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</si>
  <si>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</si>
  <si>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</si>
  <si>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</si>
  <si>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</si>
  <si>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</si>
  <si>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</si>
  <si>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</si>
  <si>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</si>
  <si>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</si>
  <si>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</si>
  <si>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</si>
  <si>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</si>
  <si>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</si>
  <si>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</si>
  <si>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</si>
  <si>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</si>
  <si>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</si>
  <si>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</si>
  <si>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</si>
  <si>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</si>
  <si>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</si>
  <si>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</si>
  <si>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</si>
  <si>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</si>
  <si>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</si>
  <si>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</si>
  <si>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</si>
  <si>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</si>
  <si>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</si>
  <si>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</si>
  <si>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</si>
  <si>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</si>
  <si>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</si>
  <si>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</si>
  <si>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</si>
  <si>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</si>
  <si>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</si>
  <si>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</si>
  <si>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</si>
  <si>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</si>
  <si>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</si>
  <si>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</si>
  <si>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</si>
  <si>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</si>
  <si>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</si>
  <si>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</si>
  <si>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</si>
  <si>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</si>
  <si>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</si>
  <si>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</si>
  <si>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</si>
  <si>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</si>
  <si>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</si>
  <si>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</si>
  <si>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</si>
  <si>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</si>
  <si>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</si>
  <si>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</si>
  <si>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</si>
  <si>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</si>
  <si>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</si>
  <si>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</si>
  <si>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</si>
  <si>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</si>
  <si>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</si>
  <si>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</si>
  <si>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</si>
  <si>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</si>
  <si>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</si>
  <si>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</si>
  <si>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</si>
  <si>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</si>
  <si>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</si>
  <si>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</si>
  <si>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</si>
  <si>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</si>
  <si>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</si>
  <si>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</si>
  <si>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</si>
  <si>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</si>
  <si>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</si>
  <si>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</si>
  <si>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</si>
  <si>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</si>
  <si>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</si>
  <si>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</si>
  <si>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</si>
  <si>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</si>
  <si>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</si>
  <si>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</si>
  <si>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</si>
  <si>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</si>
  <si>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</si>
  <si>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</si>
  <si>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</si>
  <si>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</si>
  <si>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</si>
  <si>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</si>
  <si>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</si>
  <si>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</si>
  <si>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</si>
  <si>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</si>
  <si>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</si>
  <si>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</si>
  <si>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</si>
  <si>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</si>
  <si>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</si>
  <si>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</si>
  <si>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</si>
  <si>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</si>
  <si>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</si>
  <si>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</si>
  <si>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</si>
  <si>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</si>
  <si>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</si>
  <si>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</si>
  <si>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</si>
  <si>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</si>
  <si>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</si>
  <si>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</si>
  <si>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</si>
  <si>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</si>
  <si>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</si>
  <si>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</si>
  <si>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</si>
  <si>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</si>
  <si>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</si>
  <si>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</si>
  <si>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</si>
  <si>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</si>
  <si>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</si>
  <si>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</si>
  <si>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</si>
  <si>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</si>
  <si>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</si>
  <si>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</si>
  <si>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</si>
  <si>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</si>
  <si>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</si>
  <si>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</si>
  <si>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</si>
  <si>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</si>
  <si>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</si>
  <si>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</si>
  <si>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</si>
  <si>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</si>
  <si>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</si>
  <si>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</si>
  <si>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</si>
  <si>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</si>
  <si>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</si>
  <si>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</si>
  <si>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</si>
  <si>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</si>
  <si>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</si>
  <si>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</si>
  <si>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</si>
  <si>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</si>
  <si>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</si>
  <si>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</si>
  <si>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</si>
  <si>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</si>
  <si>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</si>
  <si>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</si>
  <si>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</si>
  <si>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</si>
  <si>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</si>
  <si>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</si>
  <si>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</si>
  <si>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</si>
  <si>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</si>
  <si>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</si>
  <si>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</si>
  <si>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</si>
  <si>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</si>
  <si>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</si>
  <si>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</si>
  <si>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</si>
  <si>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</si>
  <si>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</si>
  <si>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</si>
  <si>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</si>
  <si>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</si>
  <si>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</si>
  <si>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</si>
  <si>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</si>
  <si>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</si>
  <si>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</si>
  <si>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</si>
  <si>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</si>
  <si>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</si>
  <si>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</si>
  <si>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</si>
  <si>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</si>
  <si>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</si>
  <si>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</si>
  <si>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</si>
  <si>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</si>
  <si>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</si>
  <si>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</si>
  <si>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</si>
  <si>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</si>
  <si>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</si>
  <si>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</si>
  <si>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</si>
  <si>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</si>
  <si>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</si>
  <si>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</si>
  <si>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</si>
  <si>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</si>
  <si>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</si>
  <si>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</si>
  <si>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</si>
  <si>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</si>
  <si>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</si>
  <si>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</si>
  <si>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</si>
  <si>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</si>
  <si>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</si>
  <si>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</si>
  <si>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</si>
  <si>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</si>
  <si>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</si>
  <si>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</si>
  <si>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</si>
  <si>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</si>
  <si>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</si>
  <si>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</si>
  <si>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</si>
  <si>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</si>
  <si>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</si>
  <si>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</si>
  <si>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</si>
  <si>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</si>
  <si>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</si>
  <si>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</si>
  <si>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</si>
  <si>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</si>
  <si>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</si>
  <si>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</si>
  <si>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</si>
  <si>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</si>
  <si>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</si>
  <si>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</si>
  <si>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</si>
  <si>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</si>
  <si>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</si>
  <si>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</si>
  <si>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</si>
  <si>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</si>
  <si>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</si>
  <si>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</si>
  <si>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</si>
  <si>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</si>
  <si>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</si>
  <si>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</si>
  <si>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</si>
  <si>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</si>
  <si>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</si>
  <si>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</si>
  <si>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</si>
  <si>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</si>
  <si>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</si>
  <si>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</si>
  <si>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</si>
  <si>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</si>
  <si>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</si>
  <si>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</si>
  <si>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</si>
  <si>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</si>
  <si>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</si>
  <si>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</si>
  <si>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</si>
  <si>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</si>
  <si>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</si>
  <si>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</si>
  <si>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</si>
  <si>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</si>
  <si>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</si>
  <si>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</si>
  <si>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</si>
  <si>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</si>
  <si>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</si>
  <si>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</si>
  <si>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</si>
  <si>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</si>
  <si>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</si>
  <si>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</si>
  <si>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</si>
  <si>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</si>
  <si>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</si>
  <si>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</si>
  <si>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</si>
  <si>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</si>
  <si>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</si>
  <si>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</si>
  <si>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</si>
  <si>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</si>
  <si>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</si>
  <si>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</si>
  <si>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</si>
  <si>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</si>
  <si>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</si>
  <si>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</si>
  <si>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</si>
  <si>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</si>
  <si>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</si>
  <si>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</si>
  <si>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</si>
  <si>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</si>
  <si>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</si>
  <si>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</si>
  <si>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</si>
  <si>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</si>
  <si>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</si>
  <si>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</si>
  <si>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</si>
  <si>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</si>
  <si>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</si>
  <si>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</si>
  <si>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</si>
  <si>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</si>
  <si>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</si>
  <si>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</si>
  <si>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</si>
  <si>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</si>
  <si>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</si>
  <si>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</si>
  <si>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</si>
  <si>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</si>
  <si>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</si>
  <si>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</si>
  <si>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</si>
  <si>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</si>
  <si>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</si>
  <si>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</si>
  <si>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</si>
  <si>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</si>
  <si>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</si>
  <si>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</si>
  <si>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</si>
  <si>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</si>
  <si>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</si>
  <si>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</si>
  <si>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</si>
  <si>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</si>
  <si>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</si>
  <si>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</si>
  <si>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</si>
  <si>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</si>
  <si>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</si>
  <si>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</si>
  <si>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</si>
  <si>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</si>
  <si>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</si>
  <si>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</si>
  <si>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</si>
  <si>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</si>
  <si>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</si>
  <si>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</si>
  <si>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</si>
  <si>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</si>
  <si>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</si>
  <si>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</si>
  <si>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</si>
  <si>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</si>
  <si>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</si>
  <si>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</si>
  <si>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</si>
  <si>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</si>
  <si>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</si>
  <si>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</si>
  <si>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</si>
  <si>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</si>
  <si>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</si>
  <si>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</si>
  <si>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</si>
  <si>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</si>
  <si>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</si>
  <si>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</si>
  <si>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</si>
  <si>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</si>
  <si>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</si>
  <si>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</si>
  <si>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</si>
  <si>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</si>
  <si>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</si>
  <si>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</si>
  <si>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</si>
  <si>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</si>
  <si>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</si>
  <si>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</si>
  <si>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</si>
  <si>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</si>
  <si>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</si>
  <si>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</si>
  <si>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</si>
  <si>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</si>
  <si>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</si>
  <si>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</si>
  <si>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</si>
  <si>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</si>
  <si>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</si>
  <si>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</si>
  <si>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</si>
  <si>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</si>
  <si>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</si>
  <si>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</si>
  <si>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</si>
  <si>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</si>
  <si>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</si>
  <si>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</si>
  <si>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</si>
  <si>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</si>
  <si>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</si>
  <si>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</si>
  <si>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</si>
  <si>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</si>
  <si>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</si>
  <si>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</si>
  <si>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</si>
  <si>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</si>
  <si>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</si>
  <si>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</si>
  <si>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</si>
  <si>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</si>
  <si>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</si>
  <si>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</si>
  <si>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</si>
  <si>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</si>
  <si>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</si>
  <si>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</si>
  <si>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</si>
  <si>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</si>
  <si>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</si>
  <si>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</si>
  <si>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</si>
  <si>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</si>
  <si>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</si>
  <si>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</si>
  <si>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</si>
  <si>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</si>
  <si>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</si>
  <si>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</si>
  <si>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</si>
  <si>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</si>
  <si>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</si>
  <si>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</si>
  <si>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</si>
  <si>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</si>
  <si>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</si>
  <si>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</si>
  <si>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</si>
  <si>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</si>
  <si>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</si>
  <si>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</si>
  <si>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</si>
  <si>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</si>
  <si>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</si>
  <si>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</si>
  <si>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</si>
  <si>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</si>
  <si>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</si>
  <si>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</si>
  <si>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</si>
  <si>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</si>
  <si>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</si>
  <si>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</si>
  <si>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</si>
  <si>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</si>
  <si>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</si>
  <si>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</si>
  <si>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</si>
  <si>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</si>
  <si>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</si>
  <si>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</si>
  <si>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</si>
  <si>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</si>
  <si>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</si>
  <si>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</si>
  <si>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</si>
  <si>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</si>
  <si>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</si>
  <si>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</si>
  <si>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</si>
  <si>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</si>
  <si>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</si>
  <si>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</si>
  <si>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</si>
  <si>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</si>
  <si>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</si>
  <si>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</si>
  <si>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</si>
  <si>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</si>
  <si>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</si>
  <si>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</si>
  <si>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</si>
  <si>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</si>
  <si>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</si>
  <si>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</si>
  <si>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</si>
  <si>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</si>
  <si>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</si>
  <si>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</si>
  <si>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</si>
  <si>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</si>
  <si>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</si>
  <si>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</si>
  <si>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</si>
  <si>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</si>
  <si>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</si>
  <si>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</si>
  <si>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</si>
  <si>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</si>
  <si>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</si>
  <si>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</si>
  <si>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</si>
  <si>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</si>
  <si>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</si>
  <si>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</si>
  <si>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</si>
  <si>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</si>
  <si>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</si>
  <si>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</si>
  <si>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</si>
  <si>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</si>
  <si>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</si>
  <si>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</si>
  <si>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</si>
  <si>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</si>
  <si>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</si>
  <si>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</si>
  <si>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</si>
  <si>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</si>
  <si>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</si>
  <si>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</si>
  <si>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</si>
  <si>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</si>
  <si>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</si>
  <si>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</si>
  <si>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</si>
  <si>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</si>
  <si>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</si>
  <si>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</si>
  <si>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</si>
  <si>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</si>
  <si>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</si>
  <si>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</si>
  <si>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</si>
  <si>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</si>
  <si>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</si>
  <si>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</si>
  <si>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</si>
  <si>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</si>
  <si>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</si>
  <si>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</si>
  <si>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</si>
  <si>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</si>
  <si>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</si>
  <si>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</si>
  <si>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</si>
  <si>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</si>
  <si>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</si>
  <si>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</si>
  <si>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</si>
  <si>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</si>
  <si>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</si>
  <si>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</si>
  <si>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</si>
  <si>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</si>
  <si>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</si>
  <si>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</si>
  <si>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</si>
  <si>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</si>
  <si>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</si>
  <si>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</si>
  <si>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</si>
  <si>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</si>
  <si>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</si>
  <si>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</si>
  <si>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</si>
  <si>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</si>
  <si>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</si>
  <si>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</si>
  <si>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</si>
  <si>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</si>
  <si>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</si>
  <si>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</si>
  <si>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</si>
  <si>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</si>
  <si>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</si>
  <si>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</si>
  <si>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</si>
  <si>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</si>
  <si>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</si>
  <si>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</si>
  <si>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</si>
  <si>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</si>
  <si>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</si>
  <si>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</si>
  <si>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</si>
  <si>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</si>
  <si>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</si>
  <si>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</si>
  <si>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</si>
  <si>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</si>
  <si>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</si>
  <si>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</si>
  <si>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</si>
  <si>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</si>
  <si>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</si>
  <si>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</si>
  <si>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</si>
  <si>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</si>
  <si>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</si>
  <si>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</si>
  <si>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</si>
  <si>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</si>
  <si>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</si>
  <si>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</si>
  <si>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</si>
  <si>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</si>
  <si>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</si>
  <si>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</si>
  <si>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</si>
  <si>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</si>
  <si>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</si>
  <si>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</si>
  <si>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</si>
  <si>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</si>
  <si>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</si>
  <si>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</si>
  <si>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</si>
  <si>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</si>
  <si>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</si>
  <si>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</si>
  <si>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</si>
  <si>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</si>
  <si>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</si>
  <si>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</si>
  <si>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</si>
  <si>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</si>
  <si>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</si>
  <si>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</si>
  <si>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</si>
  <si>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</si>
  <si>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</si>
  <si>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</si>
  <si>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</si>
  <si>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</si>
  <si>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</si>
  <si>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</si>
  <si>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</si>
  <si>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</si>
  <si>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</si>
  <si>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</si>
  <si>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</si>
  <si>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</si>
  <si>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</si>
  <si>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</si>
  <si>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</si>
  <si>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</si>
  <si>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</si>
  <si>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</si>
  <si>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</si>
  <si>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</si>
  <si>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</si>
  <si>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</si>
  <si>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</si>
  <si>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</si>
  <si>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</si>
  <si>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</si>
  <si>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</si>
  <si>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</si>
  <si>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</si>
  <si>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</si>
  <si>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</si>
  <si>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</si>
  <si>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</si>
  <si>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</si>
  <si>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</si>
  <si>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</si>
  <si>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</si>
  <si>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</si>
  <si>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</si>
  <si>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</si>
  <si>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</si>
  <si>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</si>
  <si>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</si>
  <si>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</si>
  <si>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</si>
  <si>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</si>
  <si>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</si>
  <si>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</si>
  <si>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</si>
  <si>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</si>
  <si>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</si>
  <si>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</si>
  <si>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</si>
  <si>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</si>
  <si>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</si>
  <si>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</si>
  <si>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</si>
  <si>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</si>
  <si>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</si>
  <si>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</si>
  <si>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</si>
  <si>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</si>
  <si>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</si>
  <si>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</si>
  <si>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</si>
  <si>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</si>
  <si>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</si>
  <si>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</si>
  <si>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</si>
  <si>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</si>
  <si>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</si>
  <si>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</si>
  <si>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</si>
  <si>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</si>
  <si>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</si>
  <si>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</si>
  <si>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</si>
  <si>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</si>
  <si>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</si>
  <si>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</si>
  <si>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</si>
  <si>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</si>
  <si>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</si>
  <si>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</si>
  <si>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</si>
  <si>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</si>
  <si>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</si>
  <si>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</si>
  <si>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</si>
  <si>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</si>
  <si>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</si>
  <si>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</si>
  <si>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</si>
  <si>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</si>
  <si>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</si>
  <si>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</si>
  <si>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</si>
  <si>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</si>
  <si>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</si>
  <si>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</si>
  <si>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</si>
  <si>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</si>
  <si>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</si>
  <si>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</si>
  <si>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</si>
  <si>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</si>
  <si>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</si>
  <si>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</si>
  <si>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</si>
  <si>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</si>
  <si>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</si>
  <si>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</si>
  <si>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 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</si>
</sst>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5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4" t="s">
        <v>0</v>
      </c>
      <c r="E1" s="594"/>
      <c r="F1" s="594"/>
      <c r="G1" s="12" t="s">
        <v>1</v>
      </c>
      <c r="H1" s="634" t="s">
        <v>2</v>
      </c>
      <c r="I1" s="594"/>
      <c r="J1" s="594"/>
      <c r="K1" s="594"/>
      <c r="L1" s="594"/>
      <c r="M1" s="594"/>
      <c r="N1" s="594"/>
      <c r="O1" s="594"/>
      <c r="P1" s="594"/>
      <c r="Q1" s="594"/>
      <c r="R1" s="593" t="s">
        <v>3</v>
      </c>
      <c r="S1" s="594"/>
      <c r="T1" s="5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95" t="s">
        <v>8</v>
      </c>
      <c r="B5" s="669"/>
      <c r="C5" s="670"/>
      <c r="D5" s="638"/>
      <c r="E5" s="639"/>
      <c r="F5" s="832" t="s">
        <v>9</v>
      </c>
      <c r="G5" s="670"/>
      <c r="H5" s="638" t="s">
        <v>776</v>
      </c>
      <c r="I5" s="790"/>
      <c r="J5" s="790"/>
      <c r="K5" s="790"/>
      <c r="L5" s="790"/>
      <c r="M5" s="639"/>
      <c r="N5" s="58"/>
      <c r="P5" s="24" t="s">
        <v>10</v>
      </c>
      <c r="Q5" s="849">
        <v>46044</v>
      </c>
      <c r="R5" s="688"/>
      <c r="T5" s="735" t="s">
        <v>11</v>
      </c>
      <c r="U5" s="666"/>
      <c r="V5" s="736" t="s">
        <v>12</v>
      </c>
      <c r="W5" s="688"/>
      <c r="AB5" s="51"/>
      <c r="AC5" s="51"/>
      <c r="AD5" s="51"/>
      <c r="AE5" s="51"/>
    </row>
    <row r="6" spans="1:32" s="545" customFormat="1" ht="24" customHeight="1" x14ac:dyDescent="0.2">
      <c r="A6" s="695" t="s">
        <v>13</v>
      </c>
      <c r="B6" s="669"/>
      <c r="C6" s="670"/>
      <c r="D6" s="792" t="s">
        <v>14</v>
      </c>
      <c r="E6" s="793"/>
      <c r="F6" s="793"/>
      <c r="G6" s="793"/>
      <c r="H6" s="793"/>
      <c r="I6" s="793"/>
      <c r="J6" s="793"/>
      <c r="K6" s="793"/>
      <c r="L6" s="793"/>
      <c r="M6" s="688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Четверг</v>
      </c>
      <c r="R6" s="559"/>
      <c r="T6" s="740" t="s">
        <v>16</v>
      </c>
      <c r="U6" s="666"/>
      <c r="V6" s="775" t="s">
        <v>17</v>
      </c>
      <c r="W6" s="604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15" t="str">
        <f>IFERROR(VLOOKUP(DeliveryAddress,Table,3,0),1)</f>
        <v>1</v>
      </c>
      <c r="E7" s="616"/>
      <c r="F7" s="616"/>
      <c r="G7" s="616"/>
      <c r="H7" s="616"/>
      <c r="I7" s="616"/>
      <c r="J7" s="616"/>
      <c r="K7" s="616"/>
      <c r="L7" s="616"/>
      <c r="M7" s="617"/>
      <c r="N7" s="60"/>
      <c r="P7" s="24"/>
      <c r="Q7" s="42"/>
      <c r="R7" s="42"/>
      <c r="T7" s="564"/>
      <c r="U7" s="666"/>
      <c r="V7" s="776"/>
      <c r="W7" s="777"/>
      <c r="AB7" s="51"/>
      <c r="AC7" s="51"/>
      <c r="AD7" s="51"/>
      <c r="AE7" s="51"/>
    </row>
    <row r="8" spans="1:32" s="545" customFormat="1" ht="25.5" customHeight="1" x14ac:dyDescent="0.2">
      <c r="A8" s="879" t="s">
        <v>18</v>
      </c>
      <c r="B8" s="569"/>
      <c r="C8" s="570"/>
      <c r="D8" s="627" t="s">
        <v>19</v>
      </c>
      <c r="E8" s="628"/>
      <c r="F8" s="628"/>
      <c r="G8" s="628"/>
      <c r="H8" s="628"/>
      <c r="I8" s="628"/>
      <c r="J8" s="628"/>
      <c r="K8" s="628"/>
      <c r="L8" s="628"/>
      <c r="M8" s="629"/>
      <c r="N8" s="61"/>
      <c r="P8" s="24" t="s">
        <v>20</v>
      </c>
      <c r="Q8" s="702">
        <v>0.5</v>
      </c>
      <c r="R8" s="617"/>
      <c r="T8" s="564"/>
      <c r="U8" s="666"/>
      <c r="V8" s="776"/>
      <c r="W8" s="777"/>
      <c r="AB8" s="51"/>
      <c r="AC8" s="51"/>
      <c r="AD8" s="51"/>
      <c r="AE8" s="51"/>
    </row>
    <row r="9" spans="1:32" s="545" customFormat="1" ht="39.950000000000003" customHeight="1" x14ac:dyDescent="0.2">
      <c r="A9" s="7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6"/>
      <c r="E9" s="575"/>
      <c r="F9" s="7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74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543"/>
      <c r="P9" s="26" t="s">
        <v>21</v>
      </c>
      <c r="Q9" s="684"/>
      <c r="R9" s="685"/>
      <c r="T9" s="564"/>
      <c r="U9" s="666"/>
      <c r="V9" s="778"/>
      <c r="W9" s="779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6"/>
      <c r="E10" s="575"/>
      <c r="F10" s="7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6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7"/>
      <c r="R10" s="728"/>
      <c r="U10" s="24" t="s">
        <v>23</v>
      </c>
      <c r="V10" s="603" t="s">
        <v>24</v>
      </c>
      <c r="W10" s="604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7"/>
      <c r="R11" s="688"/>
      <c r="U11" s="24" t="s">
        <v>27</v>
      </c>
      <c r="V11" s="807" t="s">
        <v>28</v>
      </c>
      <c r="W11" s="685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29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702"/>
      <c r="R12" s="617"/>
      <c r="S12" s="23"/>
      <c r="U12" s="24"/>
      <c r="V12" s="594"/>
      <c r="W12" s="564"/>
      <c r="AB12" s="51"/>
      <c r="AC12" s="51"/>
      <c r="AD12" s="51"/>
      <c r="AE12" s="51"/>
    </row>
    <row r="13" spans="1:32" s="545" customFormat="1" ht="23.25" customHeight="1" x14ac:dyDescent="0.2">
      <c r="A13" s="729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807"/>
      <c r="R13" s="68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29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18" t="s">
        <v>35</v>
      </c>
      <c r="Q15" s="594"/>
      <c r="R15" s="594"/>
      <c r="S15" s="594"/>
      <c r="T15" s="5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9"/>
      <c r="Q16" s="719"/>
      <c r="R16" s="719"/>
      <c r="S16" s="719"/>
      <c r="T16" s="71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712" t="s">
        <v>38</v>
      </c>
      <c r="D17" s="581" t="s">
        <v>39</v>
      </c>
      <c r="E17" s="65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55"/>
      <c r="R17" s="655"/>
      <c r="S17" s="655"/>
      <c r="T17" s="656"/>
      <c r="U17" s="871" t="s">
        <v>51</v>
      </c>
      <c r="V17" s="670"/>
      <c r="W17" s="581" t="s">
        <v>52</v>
      </c>
      <c r="X17" s="581" t="s">
        <v>53</v>
      </c>
      <c r="Y17" s="872" t="s">
        <v>54</v>
      </c>
      <c r="Z17" s="787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57"/>
      <c r="E18" s="65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2"/>
      <c r="X18" s="582"/>
      <c r="Y18" s="873"/>
      <c r="Z18" s="788"/>
      <c r="AA18" s="765"/>
      <c r="AB18" s="765"/>
      <c r="AC18" s="765"/>
      <c r="AD18" s="829"/>
      <c r="AE18" s="830"/>
      <c r="AF18" s="831"/>
      <c r="AG18" s="66"/>
      <c r="BD18" s="65"/>
    </row>
    <row r="19" spans="1:68" ht="27.75" hidden="1" customHeight="1" x14ac:dyDescent="0.2">
      <c r="A19" s="613" t="s">
        <v>63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48"/>
      <c r="AB19" s="48"/>
      <c r="AC19" s="48"/>
    </row>
    <row r="20" spans="1:68" ht="16.5" hidden="1" customHeight="1" x14ac:dyDescent="0.25">
      <c r="A20" s="576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hidden="1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hidden="1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hidden="1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68" t="s">
        <v>75</v>
      </c>
      <c r="Q31" s="569"/>
      <c r="R31" s="569"/>
      <c r="S31" s="569"/>
      <c r="T31" s="569"/>
      <c r="U31" s="569"/>
      <c r="V31" s="570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hidden="1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68" t="s">
        <v>75</v>
      </c>
      <c r="Q32" s="569"/>
      <c r="R32" s="569"/>
      <c r="S32" s="569"/>
      <c r="T32" s="569"/>
      <c r="U32" s="569"/>
      <c r="V32" s="570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hidden="1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68" t="s">
        <v>75</v>
      </c>
      <c r="Q35" s="569"/>
      <c r="R35" s="569"/>
      <c r="S35" s="569"/>
      <c r="T35" s="569"/>
      <c r="U35" s="569"/>
      <c r="V35" s="570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hidden="1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68" t="s">
        <v>75</v>
      </c>
      <c r="Q36" s="569"/>
      <c r="R36" s="569"/>
      <c r="S36" s="569"/>
      <c r="T36" s="569"/>
      <c r="U36" s="569"/>
      <c r="V36" s="570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hidden="1" customHeight="1" x14ac:dyDescent="0.2">
      <c r="A37" s="613" t="s">
        <v>99</v>
      </c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48"/>
      <c r="AB37" s="48"/>
      <c r="AC37" s="48"/>
    </row>
    <row r="38" spans="1:68" ht="16.5" hidden="1" customHeight="1" x14ac:dyDescent="0.25">
      <c r="A38" s="576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hidden="1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400</v>
      </c>
      <c r="Y40" s="552">
        <f>IFERROR(IF(X40="",0,CEILING((X40/$H40),1)*$H40),"")</f>
        <v>410.40000000000003</v>
      </c>
      <c r="Z40" s="36">
        <f>IFERROR(IF(Y40=0,"",ROUNDUP(Y40/H40,0)*0.01898),"")</f>
        <v>0.72123999999999999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415.18518518518516</v>
      </c>
      <c r="BN40" s="64">
        <f>IFERROR(Y40*I40/H40,"0")</f>
        <v>425.98</v>
      </c>
      <c r="BO40" s="64">
        <f>IFERROR(1/J40*(X40/H40),"0")</f>
        <v>0.57870370370370372</v>
      </c>
      <c r="BP40" s="64">
        <f>IFERROR(1/J40*(Y40/H40),"0")</f>
        <v>0.59375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160</v>
      </c>
      <c r="Y41" s="552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68" t="s">
        <v>75</v>
      </c>
      <c r="Q43" s="569"/>
      <c r="R43" s="569"/>
      <c r="S43" s="569"/>
      <c r="T43" s="569"/>
      <c r="U43" s="569"/>
      <c r="V43" s="570"/>
      <c r="W43" s="37" t="s">
        <v>76</v>
      </c>
      <c r="X43" s="553">
        <f>IFERROR(X40/H40,"0")+IFERROR(X41/H41,"0")+IFERROR(X42/H42,"0")</f>
        <v>77.037037037037038</v>
      </c>
      <c r="Y43" s="553">
        <f>IFERROR(Y40/H40,"0")+IFERROR(Y41/H41,"0")+IFERROR(Y42/H42,"0")</f>
        <v>78</v>
      </c>
      <c r="Z43" s="553">
        <f>IFERROR(IF(Z40="",0,Z40),"0")+IFERROR(IF(Z41="",0,Z41),"0")+IFERROR(IF(Z42="",0,Z42),"0")</f>
        <v>1.0820400000000001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68" t="s">
        <v>75</v>
      </c>
      <c r="Q44" s="569"/>
      <c r="R44" s="569"/>
      <c r="S44" s="569"/>
      <c r="T44" s="569"/>
      <c r="U44" s="569"/>
      <c r="V44" s="570"/>
      <c r="W44" s="37" t="s">
        <v>69</v>
      </c>
      <c r="X44" s="553">
        <f>IFERROR(SUM(X40:X42),"0")</f>
        <v>560</v>
      </c>
      <c r="Y44" s="553">
        <f>IFERROR(SUM(Y40:Y42),"0")</f>
        <v>570.40000000000009</v>
      </c>
      <c r="Z44" s="37"/>
      <c r="AA44" s="554"/>
      <c r="AB44" s="554"/>
      <c r="AC44" s="554"/>
    </row>
    <row r="45" spans="1:68" ht="14.25" hidden="1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68" t="s">
        <v>75</v>
      </c>
      <c r="Q47" s="569"/>
      <c r="R47" s="569"/>
      <c r="S47" s="569"/>
      <c r="T47" s="569"/>
      <c r="U47" s="569"/>
      <c r="V47" s="570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hidden="1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68" t="s">
        <v>75</v>
      </c>
      <c r="Q48" s="569"/>
      <c r="R48" s="569"/>
      <c r="S48" s="569"/>
      <c r="T48" s="569"/>
      <c r="U48" s="569"/>
      <c r="V48" s="570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hidden="1" customHeight="1" x14ac:dyDescent="0.25">
      <c r="A49" s="576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hidden="1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200</v>
      </c>
      <c r="Y52" s="55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360</v>
      </c>
      <c r="Y56" s="552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68" t="s">
        <v>75</v>
      </c>
      <c r="Q57" s="569"/>
      <c r="R57" s="569"/>
      <c r="S57" s="569"/>
      <c r="T57" s="569"/>
      <c r="U57" s="569"/>
      <c r="V57" s="570"/>
      <c r="W57" s="37" t="s">
        <v>76</v>
      </c>
      <c r="X57" s="553">
        <f>IFERROR(X51/H51,"0")+IFERROR(X52/H52,"0")+IFERROR(X53/H53,"0")+IFERROR(X54/H54,"0")+IFERROR(X55/H55,"0")+IFERROR(X56/H56,"0")</f>
        <v>98.518518518518519</v>
      </c>
      <c r="Y57" s="553">
        <f>IFERROR(Y51/H51,"0")+IFERROR(Y52/H52,"0")+IFERROR(Y53/H53,"0")+IFERROR(Y54/H54,"0")+IFERROR(Y55/H55,"0")+IFERROR(Y56/H56,"0")</f>
        <v>99</v>
      </c>
      <c r="Z57" s="553">
        <f>IFERROR(IF(Z51="",0,Z51),"0")+IFERROR(IF(Z52="",0,Z52),"0")+IFERROR(IF(Z53="",0,Z53),"0")+IFERROR(IF(Z54="",0,Z54),"0")+IFERROR(IF(Z55="",0,Z55),"0")+IFERROR(IF(Z56="",0,Z56),"0")</f>
        <v>1.08222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68" t="s">
        <v>75</v>
      </c>
      <c r="Q58" s="569"/>
      <c r="R58" s="569"/>
      <c r="S58" s="569"/>
      <c r="T58" s="569"/>
      <c r="U58" s="569"/>
      <c r="V58" s="570"/>
      <c r="W58" s="37" t="s">
        <v>69</v>
      </c>
      <c r="X58" s="553">
        <f>IFERROR(SUM(X51:X56),"0")</f>
        <v>560</v>
      </c>
      <c r="Y58" s="553">
        <f>IFERROR(SUM(Y51:Y56),"0")</f>
        <v>565.20000000000005</v>
      </c>
      <c r="Z58" s="37"/>
      <c r="AA58" s="554"/>
      <c r="AB58" s="554"/>
      <c r="AC58" s="554"/>
    </row>
    <row r="59" spans="1:68" ht="14.25" hidden="1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400</v>
      </c>
      <c r="Y60" s="552">
        <f>IFERROR(IF(X60="",0,CEILING((X60/$H60),1)*$H60),"")</f>
        <v>410.40000000000003</v>
      </c>
      <c r="Z60" s="36">
        <f>IFERROR(IF(Y60=0,"",ROUNDUP(Y60/H60,0)*0.01898),"")</f>
        <v>0.72123999999999999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415.18518518518516</v>
      </c>
      <c r="BN60" s="64">
        <f>IFERROR(Y60*I60/H60,"0")</f>
        <v>425.98</v>
      </c>
      <c r="BO60" s="64">
        <f>IFERROR(1/J60*(X60/H60),"0")</f>
        <v>0.57870370370370372</v>
      </c>
      <c r="BP60" s="64">
        <f>IFERROR(1/J60*(Y60/H60),"0")</f>
        <v>0.59375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108</v>
      </c>
      <c r="Y62" s="552">
        <f>IFERROR(IF(X62="",0,CEILING((X62/$H62),1)*$H62),"")</f>
        <v>108</v>
      </c>
      <c r="Z62" s="36">
        <f>IFERROR(IF(Y62=0,"",ROUNDUP(Y62/H62,0)*0.00651),"")</f>
        <v>0.26040000000000002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115.19999999999997</v>
      </c>
      <c r="BN62" s="64">
        <f>IFERROR(Y62*I62/H62,"0")</f>
        <v>115.19999999999997</v>
      </c>
      <c r="BO62" s="64">
        <f>IFERROR(1/J62*(X62/H62),"0")</f>
        <v>0.2197802197802198</v>
      </c>
      <c r="BP62" s="64">
        <f>IFERROR(1/J62*(Y62/H62),"0")</f>
        <v>0.2197802197802198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68" t="s">
        <v>75</v>
      </c>
      <c r="Q63" s="569"/>
      <c r="R63" s="569"/>
      <c r="S63" s="569"/>
      <c r="T63" s="569"/>
      <c r="U63" s="569"/>
      <c r="V63" s="570"/>
      <c r="W63" s="37" t="s">
        <v>76</v>
      </c>
      <c r="X63" s="553">
        <f>IFERROR(X60/H60,"0")+IFERROR(X61/H61,"0")+IFERROR(X62/H62,"0")</f>
        <v>77.037037037037038</v>
      </c>
      <c r="Y63" s="553">
        <f>IFERROR(Y60/H60,"0")+IFERROR(Y61/H61,"0")+IFERROR(Y62/H62,"0")</f>
        <v>78</v>
      </c>
      <c r="Z63" s="553">
        <f>IFERROR(IF(Z60="",0,Z60),"0")+IFERROR(IF(Z61="",0,Z61),"0")+IFERROR(IF(Z62="",0,Z62),"0")</f>
        <v>0.98164000000000007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68" t="s">
        <v>75</v>
      </c>
      <c r="Q64" s="569"/>
      <c r="R64" s="569"/>
      <c r="S64" s="569"/>
      <c r="T64" s="569"/>
      <c r="U64" s="569"/>
      <c r="V64" s="570"/>
      <c r="W64" s="37" t="s">
        <v>69</v>
      </c>
      <c r="X64" s="553">
        <f>IFERROR(SUM(X60:X62),"0")</f>
        <v>508</v>
      </c>
      <c r="Y64" s="553">
        <f>IFERROR(SUM(Y60:Y62),"0")</f>
        <v>518.40000000000009</v>
      </c>
      <c r="Z64" s="37"/>
      <c r="AA64" s="554"/>
      <c r="AB64" s="554"/>
      <c r="AC64" s="554"/>
    </row>
    <row r="65" spans="1:68" ht="14.25" hidden="1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68" t="s">
        <v>75</v>
      </c>
      <c r="Q68" s="569"/>
      <c r="R68" s="569"/>
      <c r="S68" s="569"/>
      <c r="T68" s="569"/>
      <c r="U68" s="569"/>
      <c r="V68" s="570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hidden="1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68" t="s">
        <v>75</v>
      </c>
      <c r="Q69" s="569"/>
      <c r="R69" s="569"/>
      <c r="S69" s="569"/>
      <c r="T69" s="569"/>
      <c r="U69" s="569"/>
      <c r="V69" s="570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hidden="1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68" t="s">
        <v>75</v>
      </c>
      <c r="Q75" s="569"/>
      <c r="R75" s="569"/>
      <c r="S75" s="569"/>
      <c r="T75" s="569"/>
      <c r="U75" s="569"/>
      <c r="V75" s="570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hidden="1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68" t="s">
        <v>75</v>
      </c>
      <c r="Q76" s="569"/>
      <c r="R76" s="569"/>
      <c r="S76" s="569"/>
      <c r="T76" s="569"/>
      <c r="U76" s="569"/>
      <c r="V76" s="570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hidden="1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68" t="s">
        <v>75</v>
      </c>
      <c r="Q80" s="569"/>
      <c r="R80" s="569"/>
      <c r="S80" s="569"/>
      <c r="T80" s="569"/>
      <c r="U80" s="569"/>
      <c r="V80" s="570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hidden="1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68" t="s">
        <v>75</v>
      </c>
      <c r="Q81" s="569"/>
      <c r="R81" s="569"/>
      <c r="S81" s="569"/>
      <c r="T81" s="569"/>
      <c r="U81" s="569"/>
      <c r="V81" s="570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hidden="1" customHeight="1" x14ac:dyDescent="0.25">
      <c r="A82" s="576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hidden="1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280</v>
      </c>
      <c r="Y84" s="552">
        <f>IFERROR(IF(X84="",0,CEILING((X84/$H84),1)*$H84),"")</f>
        <v>280.8</v>
      </c>
      <c r="Z84" s="36">
        <f>IFERROR(IF(Y84=0,"",ROUNDUP(Y84/H84,0)*0.01898),"")</f>
        <v>0.49348000000000003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290.62962962962962</v>
      </c>
      <c r="BN84" s="64">
        <f>IFERROR(Y84*I84/H84,"0")</f>
        <v>291.46000000000004</v>
      </c>
      <c r="BO84" s="64">
        <f>IFERROR(1/J84*(X84/H84),"0")</f>
        <v>0.40509259259259256</v>
      </c>
      <c r="BP84" s="64">
        <f>IFERROR(1/J84*(Y84/H84),"0")</f>
        <v>0.40625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5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157.5</v>
      </c>
      <c r="Y87" s="552">
        <f>IFERROR(IF(X87="",0,CEILING((X87/$H87),1)*$H87),"")</f>
        <v>157.5</v>
      </c>
      <c r="Z87" s="36">
        <f>IFERROR(IF(Y87=0,"",ROUNDUP(Y87/H87,0)*0.00902),"")</f>
        <v>0.31569999999999998</v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164.15</v>
      </c>
      <c r="BN87" s="64">
        <f>IFERROR(Y87*I87/H87,"0")</f>
        <v>164.15</v>
      </c>
      <c r="BO87" s="64">
        <f>IFERROR(1/J87*(X87/H87),"0")</f>
        <v>0.26515151515151514</v>
      </c>
      <c r="BP87" s="64">
        <f>IFERROR(1/J87*(Y87/H87),"0")</f>
        <v>0.26515151515151514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68" t="s">
        <v>75</v>
      </c>
      <c r="Q88" s="569"/>
      <c r="R88" s="569"/>
      <c r="S88" s="569"/>
      <c r="T88" s="569"/>
      <c r="U88" s="569"/>
      <c r="V88" s="570"/>
      <c r="W88" s="37" t="s">
        <v>76</v>
      </c>
      <c r="X88" s="553">
        <f>IFERROR(X84/H84,"0")+IFERROR(X85/H85,"0")+IFERROR(X86/H86,"0")+IFERROR(X87/H87,"0")</f>
        <v>60.925925925925924</v>
      </c>
      <c r="Y88" s="553">
        <f>IFERROR(Y84/H84,"0")+IFERROR(Y85/H85,"0")+IFERROR(Y86/H86,"0")+IFERROR(Y87/H87,"0")</f>
        <v>61</v>
      </c>
      <c r="Z88" s="553">
        <f>IFERROR(IF(Z84="",0,Z84),"0")+IFERROR(IF(Z85="",0,Z85),"0")+IFERROR(IF(Z86="",0,Z86),"0")+IFERROR(IF(Z87="",0,Z87),"0")</f>
        <v>0.80918000000000001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68" t="s">
        <v>75</v>
      </c>
      <c r="Q89" s="569"/>
      <c r="R89" s="569"/>
      <c r="S89" s="569"/>
      <c r="T89" s="569"/>
      <c r="U89" s="569"/>
      <c r="V89" s="570"/>
      <c r="W89" s="37" t="s">
        <v>69</v>
      </c>
      <c r="X89" s="553">
        <f>IFERROR(SUM(X84:X87),"0")</f>
        <v>437.5</v>
      </c>
      <c r="Y89" s="553">
        <f>IFERROR(SUM(Y84:Y87),"0")</f>
        <v>438.3</v>
      </c>
      <c r="Z89" s="37"/>
      <c r="AA89" s="554"/>
      <c r="AB89" s="554"/>
      <c r="AC89" s="554"/>
    </row>
    <row r="90" spans="1:68" ht="14.25" hidden="1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150</v>
      </c>
      <c r="Y91" s="552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64.8</v>
      </c>
      <c r="Y93" s="552">
        <f>IFERROR(IF(X93="",0,CEILING((X93/$H93),1)*$H93),"")</f>
        <v>64.800000000000011</v>
      </c>
      <c r="Z93" s="36">
        <f>IFERROR(IF(Y93=0,"",ROUNDUP(Y93/H93,0)*0.00651),"")</f>
        <v>0.15623999999999999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70.847999999999985</v>
      </c>
      <c r="BN93" s="64">
        <f>IFERROR(Y93*I93/H93,"0")</f>
        <v>70.848000000000013</v>
      </c>
      <c r="BO93" s="64">
        <f>IFERROR(1/J93*(X93/H93),"0")</f>
        <v>0.13186813186813187</v>
      </c>
      <c r="BP93" s="64">
        <f>IFERROR(1/J93*(Y93/H93),"0")</f>
        <v>0.1318681318681319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99</v>
      </c>
      <c r="Y94" s="552">
        <f>IFERROR(IF(X94="",0,CEILING((X94/$H94),1)*$H94),"")</f>
        <v>99</v>
      </c>
      <c r="Z94" s="36">
        <f>IFERROR(IF(Y94=0,"",ROUNDUP(Y94/H94,0)*0.00651),"")</f>
        <v>0.32550000000000001</v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111.9</v>
      </c>
      <c r="BN94" s="64">
        <f>IFERROR(Y94*I94/H94,"0")</f>
        <v>111.9</v>
      </c>
      <c r="BO94" s="64">
        <f>IFERROR(1/J94*(X94/H94),"0")</f>
        <v>0.27472527472527475</v>
      </c>
      <c r="BP94" s="64">
        <f>IFERROR(1/J94*(Y94/H94),"0")</f>
        <v>0.27472527472527475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68" t="s">
        <v>75</v>
      </c>
      <c r="Q95" s="569"/>
      <c r="R95" s="569"/>
      <c r="S95" s="569"/>
      <c r="T95" s="569"/>
      <c r="U95" s="569"/>
      <c r="V95" s="570"/>
      <c r="W95" s="37" t="s">
        <v>76</v>
      </c>
      <c r="X95" s="553">
        <f>IFERROR(X91/H91,"0")+IFERROR(X92/H92,"0")+IFERROR(X93/H93,"0")+IFERROR(X94/H94,"0")</f>
        <v>92.518518518518519</v>
      </c>
      <c r="Y95" s="553">
        <f>IFERROR(Y91/H91,"0")+IFERROR(Y92/H92,"0")+IFERROR(Y93/H93,"0")+IFERROR(Y94/H94,"0")</f>
        <v>93</v>
      </c>
      <c r="Z95" s="553">
        <f>IFERROR(IF(Z91="",0,Z91),"0")+IFERROR(IF(Z92="",0,Z92),"0")+IFERROR(IF(Z93="",0,Z93),"0")+IFERROR(IF(Z94="",0,Z94),"0")</f>
        <v>0.84236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68" t="s">
        <v>75</v>
      </c>
      <c r="Q96" s="569"/>
      <c r="R96" s="569"/>
      <c r="S96" s="569"/>
      <c r="T96" s="569"/>
      <c r="U96" s="569"/>
      <c r="V96" s="570"/>
      <c r="W96" s="37" t="s">
        <v>69</v>
      </c>
      <c r="X96" s="553">
        <f>IFERROR(SUM(X91:X94),"0")</f>
        <v>313.8</v>
      </c>
      <c r="Y96" s="553">
        <f>IFERROR(SUM(Y91:Y94),"0")</f>
        <v>317.70000000000005</v>
      </c>
      <c r="Z96" s="37"/>
      <c r="AA96" s="554"/>
      <c r="AB96" s="554"/>
      <c r="AC96" s="554"/>
    </row>
    <row r="97" spans="1:68" ht="16.5" hidden="1" customHeight="1" x14ac:dyDescent="0.25">
      <c r="A97" s="576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hidden="1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50</v>
      </c>
      <c r="Y99" s="552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150</v>
      </c>
      <c r="Y101" s="552">
        <f>IFERROR(IF(X101="",0,CEILING((X101/$H101),1)*$H101),"")</f>
        <v>150</v>
      </c>
      <c r="Z101" s="36">
        <f>IFERROR(IF(Y101=0,"",ROUNDUP(Y101/H101,0)*0.00902),"")</f>
        <v>0.36080000000000001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157.6</v>
      </c>
      <c r="BN101" s="64">
        <f>IFERROR(Y101*I101/H101,"0")</f>
        <v>157.6</v>
      </c>
      <c r="BO101" s="64">
        <f>IFERROR(1/J101*(X101/H101),"0")</f>
        <v>0.30303030303030304</v>
      </c>
      <c r="BP101" s="64">
        <f>IFERROR(1/J101*(Y101/H101),"0")</f>
        <v>0.30303030303030304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22.5</v>
      </c>
      <c r="Y102" s="552">
        <f>IFERROR(IF(X102="",0,CEILING((X102/$H102),1)*$H102),"")</f>
        <v>22.5</v>
      </c>
      <c r="Z102" s="36">
        <f>IFERROR(IF(Y102=0,"",ROUNDUP(Y102/H102,0)*0.00902),"")</f>
        <v>4.5100000000000001E-2</v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23.450000000000003</v>
      </c>
      <c r="BN102" s="64">
        <f>IFERROR(Y102*I102/H102,"0")</f>
        <v>23.450000000000003</v>
      </c>
      <c r="BO102" s="64">
        <f>IFERROR(1/J102*(X102/H102),"0")</f>
        <v>3.787878787878788E-2</v>
      </c>
      <c r="BP102" s="64">
        <f>IFERROR(1/J102*(Y102/H102),"0")</f>
        <v>3.787878787878788E-2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68" t="s">
        <v>75</v>
      </c>
      <c r="Q104" s="569"/>
      <c r="R104" s="569"/>
      <c r="S104" s="569"/>
      <c r="T104" s="569"/>
      <c r="U104" s="569"/>
      <c r="V104" s="570"/>
      <c r="W104" s="37" t="s">
        <v>76</v>
      </c>
      <c r="X104" s="553">
        <f>IFERROR(X99/H99,"0")+IFERROR(X100/H100,"0")+IFERROR(X101/H101,"0")+IFERROR(X102/H102,"0")+IFERROR(X103/H103,"0")</f>
        <v>49.629629629629633</v>
      </c>
      <c r="Y104" s="553">
        <f>IFERROR(Y99/H99,"0")+IFERROR(Y100/H100,"0")+IFERROR(Y101/H101,"0")+IFERROR(Y102/H102,"0")+IFERROR(Y103/H103,"0")</f>
        <v>50</v>
      </c>
      <c r="Z104" s="553">
        <f>IFERROR(IF(Z99="",0,Z99),"0")+IFERROR(IF(Z100="",0,Z100),"0")+IFERROR(IF(Z101="",0,Z101),"0")+IFERROR(IF(Z102="",0,Z102),"0")+IFERROR(IF(Z103="",0,Z103),"0")</f>
        <v>0.50080000000000002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68" t="s">
        <v>75</v>
      </c>
      <c r="Q105" s="569"/>
      <c r="R105" s="569"/>
      <c r="S105" s="569"/>
      <c r="T105" s="569"/>
      <c r="U105" s="569"/>
      <c r="V105" s="570"/>
      <c r="W105" s="37" t="s">
        <v>69</v>
      </c>
      <c r="X105" s="553">
        <f>IFERROR(SUM(X99:X103),"0")</f>
        <v>222.5</v>
      </c>
      <c r="Y105" s="553">
        <f>IFERROR(SUM(Y99:Y103),"0")</f>
        <v>226.5</v>
      </c>
      <c r="Z105" s="37"/>
      <c r="AA105" s="554"/>
      <c r="AB105" s="554"/>
      <c r="AC105" s="554"/>
    </row>
    <row r="106" spans="1:68" ht="14.25" hidden="1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24</v>
      </c>
      <c r="Y109" s="552">
        <f>IFERROR(IF(X109="",0,CEILING((X109/$H109),1)*$H109),"")</f>
        <v>24</v>
      </c>
      <c r="Z109" s="36">
        <f>IFERROR(IF(Y109=0,"",ROUNDUP(Y109/H109,0)*0.00502),"")</f>
        <v>5.0200000000000002E-2</v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25</v>
      </c>
      <c r="BN109" s="64">
        <f>IFERROR(Y109*I109/H109,"0")</f>
        <v>25</v>
      </c>
      <c r="BO109" s="64">
        <f>IFERROR(1/J109*(X109/H109),"0")</f>
        <v>4.2735042735042736E-2</v>
      </c>
      <c r="BP109" s="64">
        <f>IFERROR(1/J109*(Y109/H109),"0")</f>
        <v>4.2735042735042736E-2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68" t="s">
        <v>75</v>
      </c>
      <c r="Q111" s="569"/>
      <c r="R111" s="569"/>
      <c r="S111" s="569"/>
      <c r="T111" s="569"/>
      <c r="U111" s="569"/>
      <c r="V111" s="570"/>
      <c r="W111" s="37" t="s">
        <v>76</v>
      </c>
      <c r="X111" s="553">
        <f>IFERROR(X107/H107,"0")+IFERROR(X108/H108,"0")+IFERROR(X109/H109,"0")+IFERROR(X110/H110,"0")</f>
        <v>10</v>
      </c>
      <c r="Y111" s="553">
        <f>IFERROR(Y107/H107,"0")+IFERROR(Y108/H108,"0")+IFERROR(Y109/H109,"0")+IFERROR(Y110/H110,"0")</f>
        <v>10</v>
      </c>
      <c r="Z111" s="553">
        <f>IFERROR(IF(Z107="",0,Z107),"0")+IFERROR(IF(Z108="",0,Z108),"0")+IFERROR(IF(Z109="",0,Z109),"0")+IFERROR(IF(Z110="",0,Z110),"0")</f>
        <v>5.0200000000000002E-2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68" t="s">
        <v>75</v>
      </c>
      <c r="Q112" s="569"/>
      <c r="R112" s="569"/>
      <c r="S112" s="569"/>
      <c r="T112" s="569"/>
      <c r="U112" s="569"/>
      <c r="V112" s="570"/>
      <c r="W112" s="37" t="s">
        <v>69</v>
      </c>
      <c r="X112" s="553">
        <f>IFERROR(SUM(X107:X110),"0")</f>
        <v>24</v>
      </c>
      <c r="Y112" s="553">
        <f>IFERROR(SUM(Y107:Y110),"0")</f>
        <v>24</v>
      </c>
      <c r="Z112" s="37"/>
      <c r="AA112" s="554"/>
      <c r="AB112" s="554"/>
      <c r="AC112" s="554"/>
    </row>
    <row r="113" spans="1:68" ht="14.25" hidden="1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120</v>
      </c>
      <c r="Y114" s="552">
        <f>IFERROR(IF(X114="",0,CEILING((X114/$H114),1)*$H114),"")</f>
        <v>121.5</v>
      </c>
      <c r="Z114" s="36">
        <f>IFERROR(IF(Y114=0,"",ROUNDUP(Y114/H114,0)*0.01898),"")</f>
        <v>0.28470000000000001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127.22962962962963</v>
      </c>
      <c r="BN114" s="64">
        <f>IFERROR(Y114*I114/H114,"0")</f>
        <v>128.82</v>
      </c>
      <c r="BO114" s="64">
        <f>IFERROR(1/J114*(X114/H114),"0")</f>
        <v>0.23148148148148148</v>
      </c>
      <c r="BP114" s="64">
        <f>IFERROR(1/J114*(Y114/H114),"0")</f>
        <v>0.234375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108.9</v>
      </c>
      <c r="Y115" s="552">
        <f>IFERROR(IF(X115="",0,CEILING((X115/$H115),1)*$H115),"")</f>
        <v>108.9</v>
      </c>
      <c r="Z115" s="36">
        <f>IFERROR(IF(Y115=0,"",ROUNDUP(Y115/H115,0)*0.00651),"")</f>
        <v>0.35805000000000003</v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122.43</v>
      </c>
      <c r="BN115" s="64">
        <f>IFERROR(Y115*I115/H115,"0")</f>
        <v>122.43</v>
      </c>
      <c r="BO115" s="64">
        <f>IFERROR(1/J115*(X115/H115),"0")</f>
        <v>0.30219780219780223</v>
      </c>
      <c r="BP115" s="64">
        <f>IFERROR(1/J115*(Y115/H115),"0")</f>
        <v>0.30219780219780223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81</v>
      </c>
      <c r="Y116" s="552">
        <f>IFERROR(IF(X116="",0,CEILING((X116/$H116),1)*$H116),"")</f>
        <v>81</v>
      </c>
      <c r="Z116" s="36">
        <f>IFERROR(IF(Y116=0,"",ROUNDUP(Y116/H116,0)*0.00651),"")</f>
        <v>0.1953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88.559999999999988</v>
      </c>
      <c r="BN116" s="64">
        <f>IFERROR(Y116*I116/H116,"0")</f>
        <v>88.559999999999988</v>
      </c>
      <c r="BO116" s="64">
        <f>IFERROR(1/J116*(X116/H116),"0")</f>
        <v>0.16483516483516483</v>
      </c>
      <c r="BP116" s="64">
        <f>IFERROR(1/J116*(Y116/H116),"0")</f>
        <v>0.16483516483516483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68" t="s">
        <v>75</v>
      </c>
      <c r="Q118" s="569"/>
      <c r="R118" s="569"/>
      <c r="S118" s="569"/>
      <c r="T118" s="569"/>
      <c r="U118" s="569"/>
      <c r="V118" s="570"/>
      <c r="W118" s="37" t="s">
        <v>76</v>
      </c>
      <c r="X118" s="553">
        <f>IFERROR(X114/H114,"0")+IFERROR(X115/H115,"0")+IFERROR(X116/H116,"0")+IFERROR(X117/H117,"0")</f>
        <v>99.81481481481481</v>
      </c>
      <c r="Y118" s="553">
        <f>IFERROR(Y114/H114,"0")+IFERROR(Y115/H115,"0")+IFERROR(Y116/H116,"0")+IFERROR(Y117/H117,"0")</f>
        <v>100</v>
      </c>
      <c r="Z118" s="553">
        <f>IFERROR(IF(Z114="",0,Z114),"0")+IFERROR(IF(Z115="",0,Z115),"0")+IFERROR(IF(Z116="",0,Z116),"0")+IFERROR(IF(Z117="",0,Z117),"0")</f>
        <v>0.83805000000000007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68" t="s">
        <v>75</v>
      </c>
      <c r="Q119" s="569"/>
      <c r="R119" s="569"/>
      <c r="S119" s="569"/>
      <c r="T119" s="569"/>
      <c r="U119" s="569"/>
      <c r="V119" s="570"/>
      <c r="W119" s="37" t="s">
        <v>69</v>
      </c>
      <c r="X119" s="553">
        <f>IFERROR(SUM(X114:X117),"0")</f>
        <v>309.89999999999998</v>
      </c>
      <c r="Y119" s="553">
        <f>IFERROR(SUM(Y114:Y117),"0")</f>
        <v>311.39999999999998</v>
      </c>
      <c r="Z119" s="37"/>
      <c r="AA119" s="554"/>
      <c r="AB119" s="554"/>
      <c r="AC119" s="554"/>
    </row>
    <row r="120" spans="1:68" ht="14.25" hidden="1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68" t="s">
        <v>75</v>
      </c>
      <c r="Q122" s="569"/>
      <c r="R122" s="569"/>
      <c r="S122" s="569"/>
      <c r="T122" s="569"/>
      <c r="U122" s="569"/>
      <c r="V122" s="570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hidden="1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68" t="s">
        <v>75</v>
      </c>
      <c r="Q123" s="569"/>
      <c r="R123" s="569"/>
      <c r="S123" s="569"/>
      <c r="T123" s="569"/>
      <c r="U123" s="569"/>
      <c r="V123" s="570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hidden="1" customHeight="1" x14ac:dyDescent="0.25">
      <c r="A124" s="576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hidden="1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64</v>
      </c>
      <c r="Y127" s="552">
        <f>IFERROR(IF(X127="",0,CEILING((X127/$H127),1)*$H127),"")</f>
        <v>64</v>
      </c>
      <c r="Z127" s="36">
        <f>IFERROR(IF(Y127=0,"",ROUNDUP(Y127/H127,0)*0.00651),"")</f>
        <v>0.13020000000000001</v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67.599999999999994</v>
      </c>
      <c r="BN127" s="64">
        <f>IFERROR(Y127*I127/H127,"0")</f>
        <v>67.599999999999994</v>
      </c>
      <c r="BO127" s="64">
        <f>IFERROR(1/J127*(X127/H127),"0")</f>
        <v>0.1098901098901099</v>
      </c>
      <c r="BP127" s="64">
        <f>IFERROR(1/J127*(Y127/H127),"0")</f>
        <v>0.1098901098901099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68" t="s">
        <v>75</v>
      </c>
      <c r="Q128" s="569"/>
      <c r="R128" s="569"/>
      <c r="S128" s="569"/>
      <c r="T128" s="569"/>
      <c r="U128" s="569"/>
      <c r="V128" s="570"/>
      <c r="W128" s="37" t="s">
        <v>76</v>
      </c>
      <c r="X128" s="553">
        <f>IFERROR(X126/H126,"0")+IFERROR(X127/H127,"0")</f>
        <v>20</v>
      </c>
      <c r="Y128" s="553">
        <f>IFERROR(Y126/H126,"0")+IFERROR(Y127/H127,"0")</f>
        <v>20</v>
      </c>
      <c r="Z128" s="553">
        <f>IFERROR(IF(Z126="",0,Z126),"0")+IFERROR(IF(Z127="",0,Z127),"0")</f>
        <v>0.13020000000000001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68" t="s">
        <v>75</v>
      </c>
      <c r="Q129" s="569"/>
      <c r="R129" s="569"/>
      <c r="S129" s="569"/>
      <c r="T129" s="569"/>
      <c r="U129" s="569"/>
      <c r="V129" s="570"/>
      <c r="W129" s="37" t="s">
        <v>69</v>
      </c>
      <c r="X129" s="553">
        <f>IFERROR(SUM(X126:X127),"0")</f>
        <v>64</v>
      </c>
      <c r="Y129" s="553">
        <f>IFERROR(SUM(Y126:Y127),"0")</f>
        <v>64</v>
      </c>
      <c r="Z129" s="37"/>
      <c r="AA129" s="554"/>
      <c r="AB129" s="554"/>
      <c r="AC129" s="554"/>
    </row>
    <row r="130" spans="1:68" ht="14.25" hidden="1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16.8</v>
      </c>
      <c r="Y132" s="552">
        <f>IFERROR(IF(X132="",0,CEILING((X132/$H132),1)*$H132),"")</f>
        <v>16.799999999999997</v>
      </c>
      <c r="Z132" s="36">
        <f>IFERROR(IF(Y132=0,"",ROUNDUP(Y132/H132,0)*0.00651),"")</f>
        <v>3.9059999999999997E-2</v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18.408000000000001</v>
      </c>
      <c r="BN132" s="64">
        <f>IFERROR(Y132*I132/H132,"0")</f>
        <v>18.407999999999998</v>
      </c>
      <c r="BO132" s="64">
        <f>IFERROR(1/J132*(X132/H132),"0")</f>
        <v>3.2967032967032975E-2</v>
      </c>
      <c r="BP132" s="64">
        <f>IFERROR(1/J132*(Y132/H132),"0")</f>
        <v>3.2967032967032968E-2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68" t="s">
        <v>75</v>
      </c>
      <c r="Q133" s="569"/>
      <c r="R133" s="569"/>
      <c r="S133" s="569"/>
      <c r="T133" s="569"/>
      <c r="U133" s="569"/>
      <c r="V133" s="570"/>
      <c r="W133" s="37" t="s">
        <v>76</v>
      </c>
      <c r="X133" s="553">
        <f>IFERROR(X131/H131,"0")+IFERROR(X132/H132,"0")</f>
        <v>6.0000000000000009</v>
      </c>
      <c r="Y133" s="553">
        <f>IFERROR(Y131/H131,"0")+IFERROR(Y132/H132,"0")</f>
        <v>5.9999999999999991</v>
      </c>
      <c r="Z133" s="553">
        <f>IFERROR(IF(Z131="",0,Z131),"0")+IFERROR(IF(Z132="",0,Z132),"0")</f>
        <v>3.9059999999999997E-2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68" t="s">
        <v>75</v>
      </c>
      <c r="Q134" s="569"/>
      <c r="R134" s="569"/>
      <c r="S134" s="569"/>
      <c r="T134" s="569"/>
      <c r="U134" s="569"/>
      <c r="V134" s="570"/>
      <c r="W134" s="37" t="s">
        <v>69</v>
      </c>
      <c r="X134" s="553">
        <f>IFERROR(SUM(X131:X132),"0")</f>
        <v>16.8</v>
      </c>
      <c r="Y134" s="553">
        <f>IFERROR(SUM(Y131:Y132),"0")</f>
        <v>16.799999999999997</v>
      </c>
      <c r="Z134" s="37"/>
      <c r="AA134" s="554"/>
      <c r="AB134" s="554"/>
      <c r="AC134" s="554"/>
    </row>
    <row r="135" spans="1:68" ht="14.25" hidden="1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26.4</v>
      </c>
      <c r="Y136" s="552">
        <f>IFERROR(IF(X136="",0,CEILING((X136/$H136),1)*$H136),"")</f>
        <v>26.400000000000002</v>
      </c>
      <c r="Z136" s="36">
        <f>IFERROR(IF(Y136=0,"",ROUNDUP(Y136/H136,0)*0.00651),"")</f>
        <v>6.5100000000000005E-2</v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29.079999999999995</v>
      </c>
      <c r="BN136" s="64">
        <f>IFERROR(Y136*I136/H136,"0")</f>
        <v>29.080000000000002</v>
      </c>
      <c r="BO136" s="64">
        <f>IFERROR(1/J136*(X136/H136),"0")</f>
        <v>5.4945054945054937E-2</v>
      </c>
      <c r="BP136" s="64">
        <f>IFERROR(1/J136*(Y136/H136),"0")</f>
        <v>5.4945054945054951E-2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0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68" t="s">
        <v>75</v>
      </c>
      <c r="Q138" s="569"/>
      <c r="R138" s="569"/>
      <c r="S138" s="569"/>
      <c r="T138" s="569"/>
      <c r="U138" s="569"/>
      <c r="V138" s="570"/>
      <c r="W138" s="37" t="s">
        <v>76</v>
      </c>
      <c r="X138" s="553">
        <f>IFERROR(X136/H136,"0")+IFERROR(X137/H137,"0")</f>
        <v>9.9999999999999982</v>
      </c>
      <c r="Y138" s="553">
        <f>IFERROR(Y136/H136,"0")+IFERROR(Y137/H137,"0")</f>
        <v>10</v>
      </c>
      <c r="Z138" s="553">
        <f>IFERROR(IF(Z136="",0,Z136),"0")+IFERROR(IF(Z137="",0,Z137),"0")</f>
        <v>6.5100000000000005E-2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68" t="s">
        <v>75</v>
      </c>
      <c r="Q139" s="569"/>
      <c r="R139" s="569"/>
      <c r="S139" s="569"/>
      <c r="T139" s="569"/>
      <c r="U139" s="569"/>
      <c r="V139" s="570"/>
      <c r="W139" s="37" t="s">
        <v>69</v>
      </c>
      <c r="X139" s="553">
        <f>IFERROR(SUM(X136:X137),"0")</f>
        <v>26.4</v>
      </c>
      <c r="Y139" s="553">
        <f>IFERROR(SUM(Y136:Y137),"0")</f>
        <v>26.400000000000002</v>
      </c>
      <c r="Z139" s="37"/>
      <c r="AA139" s="554"/>
      <c r="AB139" s="554"/>
      <c r="AC139" s="554"/>
    </row>
    <row r="140" spans="1:68" ht="16.5" hidden="1" customHeight="1" x14ac:dyDescent="0.25">
      <c r="A140" s="576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hidden="1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48</v>
      </c>
      <c r="Y143" s="552">
        <f>IFERROR(IF(X143="",0,CEILING((X143/$H143),1)*$H143),"")</f>
        <v>48</v>
      </c>
      <c r="Z143" s="36">
        <f>IFERROR(IF(Y143=0,"",ROUNDUP(Y143/H143,0)*0.00902),"")</f>
        <v>0.10824</v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50.28</v>
      </c>
      <c r="BN143" s="64">
        <f>IFERROR(Y143*I143/H143,"0")</f>
        <v>50.28</v>
      </c>
      <c r="BO143" s="64">
        <f>IFERROR(1/J143*(X143/H143),"0")</f>
        <v>9.0909090909090912E-2</v>
      </c>
      <c r="BP143" s="64">
        <f>IFERROR(1/J143*(Y143/H143),"0")</f>
        <v>9.0909090909090912E-2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68" t="s">
        <v>75</v>
      </c>
      <c r="Q144" s="569"/>
      <c r="R144" s="569"/>
      <c r="S144" s="569"/>
      <c r="T144" s="569"/>
      <c r="U144" s="569"/>
      <c r="V144" s="570"/>
      <c r="W144" s="37" t="s">
        <v>76</v>
      </c>
      <c r="X144" s="553">
        <f>IFERROR(X142/H142,"0")+IFERROR(X143/H143,"0")</f>
        <v>12</v>
      </c>
      <c r="Y144" s="553">
        <f>IFERROR(Y142/H142,"0")+IFERROR(Y143/H143,"0")</f>
        <v>12</v>
      </c>
      <c r="Z144" s="553">
        <f>IFERROR(IF(Z142="",0,Z142),"0")+IFERROR(IF(Z143="",0,Z143),"0")</f>
        <v>0.10824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68" t="s">
        <v>75</v>
      </c>
      <c r="Q145" s="569"/>
      <c r="R145" s="569"/>
      <c r="S145" s="569"/>
      <c r="T145" s="569"/>
      <c r="U145" s="569"/>
      <c r="V145" s="570"/>
      <c r="W145" s="37" t="s">
        <v>69</v>
      </c>
      <c r="X145" s="553">
        <f>IFERROR(SUM(X142:X143),"0")</f>
        <v>48</v>
      </c>
      <c r="Y145" s="553">
        <f>IFERROR(SUM(Y142:Y143),"0")</f>
        <v>48</v>
      </c>
      <c r="Z145" s="37"/>
      <c r="AA145" s="554"/>
      <c r="AB145" s="554"/>
      <c r="AC145" s="554"/>
    </row>
    <row r="146" spans="1:68" ht="14.25" hidden="1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90</v>
      </c>
      <c r="Y147" s="552">
        <f t="shared" ref="Y147:Y152" si="5">IFERROR(IF(X147="",0,CEILING((X147/$H147),1)*$H147),"")</f>
        <v>90</v>
      </c>
      <c r="Z147" s="36">
        <f>IFERROR(IF(Y147=0,"",ROUNDUP(Y147/H147,0)*0.01898),"")</f>
        <v>0.1898</v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95.600000000000009</v>
      </c>
      <c r="BN147" s="64">
        <f t="shared" ref="BN147:BN152" si="7">IFERROR(Y147*I147/H147,"0")</f>
        <v>95.600000000000009</v>
      </c>
      <c r="BO147" s="64">
        <f t="shared" ref="BO147:BO152" si="8">IFERROR(1/J147*(X147/H147),"0")</f>
        <v>0.15625</v>
      </c>
      <c r="BP147" s="64">
        <f t="shared" ref="BP147:BP152" si="9">IFERROR(1/J147*(Y147/H147),"0")</f>
        <v>0.15625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4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60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68" t="s">
        <v>75</v>
      </c>
      <c r="Q153" s="569"/>
      <c r="R153" s="569"/>
      <c r="S153" s="569"/>
      <c r="T153" s="569"/>
      <c r="U153" s="569"/>
      <c r="V153" s="570"/>
      <c r="W153" s="37" t="s">
        <v>76</v>
      </c>
      <c r="X153" s="553">
        <f>IFERROR(X147/H147,"0")+IFERROR(X148/H148,"0")+IFERROR(X149/H149,"0")+IFERROR(X150/H150,"0")+IFERROR(X151/H151,"0")+IFERROR(X152/H152,"0")</f>
        <v>10</v>
      </c>
      <c r="Y153" s="553">
        <f>IFERROR(Y147/H147,"0")+IFERROR(Y148/H148,"0")+IFERROR(Y149/H149,"0")+IFERROR(Y150/H150,"0")+IFERROR(Y151/H151,"0")+IFERROR(Y152/H152,"0")</f>
        <v>10</v>
      </c>
      <c r="Z153" s="553">
        <f>IFERROR(IF(Z147="",0,Z147),"0")+IFERROR(IF(Z148="",0,Z148),"0")+IFERROR(IF(Z149="",0,Z149),"0")+IFERROR(IF(Z150="",0,Z150),"0")+IFERROR(IF(Z151="",0,Z151),"0")+IFERROR(IF(Z152="",0,Z152),"0")</f>
        <v>0.1898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68" t="s">
        <v>75</v>
      </c>
      <c r="Q154" s="569"/>
      <c r="R154" s="569"/>
      <c r="S154" s="569"/>
      <c r="T154" s="569"/>
      <c r="U154" s="569"/>
      <c r="V154" s="570"/>
      <c r="W154" s="37" t="s">
        <v>69</v>
      </c>
      <c r="X154" s="553">
        <f>IFERROR(SUM(X147:X152),"0")</f>
        <v>90</v>
      </c>
      <c r="Y154" s="553">
        <f>IFERROR(SUM(Y147:Y152),"0")</f>
        <v>90</v>
      </c>
      <c r="Z154" s="37"/>
      <c r="AA154" s="554"/>
      <c r="AB154" s="554"/>
      <c r="AC154" s="554"/>
    </row>
    <row r="155" spans="1:68" ht="14.25" hidden="1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68" t="s">
        <v>75</v>
      </c>
      <c r="Q157" s="569"/>
      <c r="R157" s="569"/>
      <c r="S157" s="569"/>
      <c r="T157" s="569"/>
      <c r="U157" s="569"/>
      <c r="V157" s="570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hidden="1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68" t="s">
        <v>75</v>
      </c>
      <c r="Q158" s="569"/>
      <c r="R158" s="569"/>
      <c r="S158" s="569"/>
      <c r="T158" s="569"/>
      <c r="U158" s="569"/>
      <c r="V158" s="570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hidden="1" customHeight="1" x14ac:dyDescent="0.2">
      <c r="A159" s="613" t="s">
        <v>266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48"/>
      <c r="AB159" s="48"/>
      <c r="AC159" s="48"/>
    </row>
    <row r="160" spans="1:68" ht="16.5" hidden="1" customHeight="1" x14ac:dyDescent="0.25">
      <c r="A160" s="576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hidden="1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68" t="s">
        <v>75</v>
      </c>
      <c r="Q163" s="569"/>
      <c r="R163" s="569"/>
      <c r="S163" s="569"/>
      <c r="T163" s="569"/>
      <c r="U163" s="569"/>
      <c r="V163" s="570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hidden="1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68" t="s">
        <v>75</v>
      </c>
      <c r="Q164" s="569"/>
      <c r="R164" s="569"/>
      <c r="S164" s="569"/>
      <c r="T164" s="569"/>
      <c r="U164" s="569"/>
      <c r="V164" s="570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hidden="1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40</v>
      </c>
      <c r="Y168" s="552">
        <f t="shared" si="10"/>
        <v>42</v>
      </c>
      <c r="Z168" s="36">
        <f>IFERROR(IF(Y168=0,"",ROUNDUP(Y168/H168,0)*0.00902),"")</f>
        <v>9.0200000000000002E-2</v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41.809523809523803</v>
      </c>
      <c r="BN168" s="64">
        <f t="shared" si="12"/>
        <v>43.9</v>
      </c>
      <c r="BO168" s="64">
        <f t="shared" si="13"/>
        <v>7.2150072150072145E-2</v>
      </c>
      <c r="BP168" s="64">
        <f t="shared" si="14"/>
        <v>7.575757575757576E-2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6.3</v>
      </c>
      <c r="Y170" s="552">
        <f t="shared" si="10"/>
        <v>6.3000000000000007</v>
      </c>
      <c r="Z170" s="36">
        <f>IFERROR(IF(Y170=0,"",ROUNDUP(Y170/H170,0)*0.00502),"")</f>
        <v>1.506E-2</v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6.6899999999999995</v>
      </c>
      <c r="BN170" s="64">
        <f t="shared" si="12"/>
        <v>6.69</v>
      </c>
      <c r="BO170" s="64">
        <f t="shared" si="13"/>
        <v>1.2820512820512822E-2</v>
      </c>
      <c r="BP170" s="64">
        <f t="shared" si="14"/>
        <v>1.2820512820512822E-2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84</v>
      </c>
      <c r="Y172" s="552">
        <f t="shared" si="10"/>
        <v>84</v>
      </c>
      <c r="Z172" s="36">
        <f>IFERROR(IF(Y172=0,"",ROUNDUP(Y172/H172,0)*0.00502),"")</f>
        <v>0.20080000000000001</v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89.199999999999989</v>
      </c>
      <c r="BN172" s="64">
        <f t="shared" si="12"/>
        <v>89.199999999999989</v>
      </c>
      <c r="BO172" s="64">
        <f t="shared" si="13"/>
        <v>0.17094017094017094</v>
      </c>
      <c r="BP172" s="64">
        <f t="shared" si="14"/>
        <v>0.17094017094017094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2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126</v>
      </c>
      <c r="Y177" s="552">
        <f t="shared" si="10"/>
        <v>126</v>
      </c>
      <c r="Z177" s="36">
        <f>IFERROR(IF(Y177=0,"",ROUNDUP(Y177/H177,0)*0.00502),"")</f>
        <v>0.30120000000000002</v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132.00000000000003</v>
      </c>
      <c r="BN177" s="64">
        <f t="shared" si="12"/>
        <v>132.00000000000003</v>
      </c>
      <c r="BO177" s="64">
        <f t="shared" si="13"/>
        <v>0.25641025641025644</v>
      </c>
      <c r="BP177" s="64">
        <f t="shared" si="14"/>
        <v>0.25641025641025644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68" t="s">
        <v>75</v>
      </c>
      <c r="Q180" s="569"/>
      <c r="R180" s="569"/>
      <c r="S180" s="569"/>
      <c r="T180" s="569"/>
      <c r="U180" s="569"/>
      <c r="V180" s="570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112.52380952380952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113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0.60726000000000002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68" t="s">
        <v>75</v>
      </c>
      <c r="Q181" s="569"/>
      <c r="R181" s="569"/>
      <c r="S181" s="569"/>
      <c r="T181" s="569"/>
      <c r="U181" s="569"/>
      <c r="V181" s="570"/>
      <c r="W181" s="37" t="s">
        <v>69</v>
      </c>
      <c r="X181" s="553">
        <f>IFERROR(SUM(X166:X179),"0")</f>
        <v>256.3</v>
      </c>
      <c r="Y181" s="553">
        <f>IFERROR(SUM(Y166:Y179),"0")</f>
        <v>258.3</v>
      </c>
      <c r="Z181" s="37"/>
      <c r="AA181" s="554"/>
      <c r="AB181" s="554"/>
      <c r="AC181" s="554"/>
    </row>
    <row r="182" spans="1:68" ht="14.25" hidden="1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12.6</v>
      </c>
      <c r="Y184" s="552">
        <f>IFERROR(IF(X184="",0,CEILING((X184/$H184),1)*$H184),"")</f>
        <v>12.6</v>
      </c>
      <c r="Z184" s="36">
        <f>IFERROR(IF(Y184=0,"",ROUNDUP(Y184/H184,0)*0.0059),"")</f>
        <v>5.8999999999999997E-2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14.5</v>
      </c>
      <c r="BN184" s="64">
        <f>IFERROR(Y184*I184/H184,"0")</f>
        <v>14.5</v>
      </c>
      <c r="BO184" s="64">
        <f>IFERROR(1/J184*(X184/H184),"0")</f>
        <v>4.6296296296296294E-2</v>
      </c>
      <c r="BP184" s="64">
        <f>IFERROR(1/J184*(Y184/H184),"0")</f>
        <v>4.6296296296296294E-2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8.82</v>
      </c>
      <c r="Y185" s="552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10.15</v>
      </c>
      <c r="BN185" s="64">
        <f>IFERROR(Y185*I185/H185,"0")</f>
        <v>10.15</v>
      </c>
      <c r="BO185" s="64">
        <f>IFERROR(1/J185*(X185/H185),"0")</f>
        <v>3.2407407407407406E-2</v>
      </c>
      <c r="BP185" s="64">
        <f>IFERROR(1/J185*(Y185/H185),"0")</f>
        <v>3.2407407407407406E-2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68" t="s">
        <v>75</v>
      </c>
      <c r="Q186" s="569"/>
      <c r="R186" s="569"/>
      <c r="S186" s="569"/>
      <c r="T186" s="569"/>
      <c r="U186" s="569"/>
      <c r="V186" s="570"/>
      <c r="W186" s="37" t="s">
        <v>76</v>
      </c>
      <c r="X186" s="553">
        <f>IFERROR(X183/H183,"0")+IFERROR(X184/H184,"0")+IFERROR(X185/H185,"0")</f>
        <v>17</v>
      </c>
      <c r="Y186" s="553">
        <f>IFERROR(Y183/H183,"0")+IFERROR(Y184/H184,"0")+IFERROR(Y185/H185,"0")</f>
        <v>17</v>
      </c>
      <c r="Z186" s="553">
        <f>IFERROR(IF(Z183="",0,Z183),"0")+IFERROR(IF(Z184="",0,Z184),"0")+IFERROR(IF(Z185="",0,Z185),"0")</f>
        <v>0.1003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68" t="s">
        <v>75</v>
      </c>
      <c r="Q187" s="569"/>
      <c r="R187" s="569"/>
      <c r="S187" s="569"/>
      <c r="T187" s="569"/>
      <c r="U187" s="569"/>
      <c r="V187" s="570"/>
      <c r="W187" s="37" t="s">
        <v>69</v>
      </c>
      <c r="X187" s="553">
        <f>IFERROR(SUM(X183:X185),"0")</f>
        <v>21.42</v>
      </c>
      <c r="Y187" s="553">
        <f>IFERROR(SUM(Y183:Y185),"0")</f>
        <v>21.42</v>
      </c>
      <c r="Z187" s="37"/>
      <c r="AA187" s="554"/>
      <c r="AB187" s="554"/>
      <c r="AC187" s="554"/>
    </row>
    <row r="188" spans="1:68" ht="14.25" hidden="1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7.56</v>
      </c>
      <c r="Y189" s="552">
        <f>IFERROR(IF(X189="",0,CEILING((X189/$H189),1)*$H189),"")</f>
        <v>7.5600000000000005</v>
      </c>
      <c r="Z189" s="36">
        <f>IFERROR(IF(Y189=0,"",ROUNDUP(Y189/H189,0)*0.0059),"")</f>
        <v>3.5400000000000001E-2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8.6999999999999993</v>
      </c>
      <c r="BN189" s="64">
        <f>IFERROR(Y189*I189/H189,"0")</f>
        <v>8.6999999999999993</v>
      </c>
      <c r="BO189" s="64">
        <f>IFERROR(1/J189*(X189/H189),"0")</f>
        <v>2.7777777777777776E-2</v>
      </c>
      <c r="BP189" s="64">
        <f>IFERROR(1/J189*(Y189/H189),"0")</f>
        <v>2.7777777777777776E-2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68" t="s">
        <v>75</v>
      </c>
      <c r="Q190" s="569"/>
      <c r="R190" s="569"/>
      <c r="S190" s="569"/>
      <c r="T190" s="569"/>
      <c r="U190" s="569"/>
      <c r="V190" s="570"/>
      <c r="W190" s="37" t="s">
        <v>76</v>
      </c>
      <c r="X190" s="553">
        <f>IFERROR(X189/H189,"0")</f>
        <v>6</v>
      </c>
      <c r="Y190" s="553">
        <f>IFERROR(Y189/H189,"0")</f>
        <v>6</v>
      </c>
      <c r="Z190" s="553">
        <f>IFERROR(IF(Z189="",0,Z189),"0")</f>
        <v>3.5400000000000001E-2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68" t="s">
        <v>75</v>
      </c>
      <c r="Q191" s="569"/>
      <c r="R191" s="569"/>
      <c r="S191" s="569"/>
      <c r="T191" s="569"/>
      <c r="U191" s="569"/>
      <c r="V191" s="570"/>
      <c r="W191" s="37" t="s">
        <v>69</v>
      </c>
      <c r="X191" s="553">
        <f>IFERROR(SUM(X189:X189),"0")</f>
        <v>7.56</v>
      </c>
      <c r="Y191" s="553">
        <f>IFERROR(SUM(Y189:Y189),"0")</f>
        <v>7.5600000000000005</v>
      </c>
      <c r="Z191" s="37"/>
      <c r="AA191" s="554"/>
      <c r="AB191" s="554"/>
      <c r="AC191" s="554"/>
    </row>
    <row r="192" spans="1:68" ht="16.5" hidden="1" customHeight="1" x14ac:dyDescent="0.25">
      <c r="A192" s="576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hidden="1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68" t="s">
        <v>75</v>
      </c>
      <c r="Q196" s="569"/>
      <c r="R196" s="569"/>
      <c r="S196" s="569"/>
      <c r="T196" s="569"/>
      <c r="U196" s="569"/>
      <c r="V196" s="570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hidden="1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68" t="s">
        <v>75</v>
      </c>
      <c r="Q197" s="569"/>
      <c r="R197" s="569"/>
      <c r="S197" s="569"/>
      <c r="T197" s="569"/>
      <c r="U197" s="569"/>
      <c r="V197" s="570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hidden="1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68" t="s">
        <v>75</v>
      </c>
      <c r="Q201" s="569"/>
      <c r="R201" s="569"/>
      <c r="S201" s="569"/>
      <c r="T201" s="569"/>
      <c r="U201" s="569"/>
      <c r="V201" s="570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hidden="1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68" t="s">
        <v>75</v>
      </c>
      <c r="Q202" s="569"/>
      <c r="R202" s="569"/>
      <c r="S202" s="569"/>
      <c r="T202" s="569"/>
      <c r="U202" s="569"/>
      <c r="V202" s="570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hidden="1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15</v>
      </c>
      <c r="Y204" s="552">
        <f t="shared" ref="Y204:Y211" si="15">IFERROR(IF(X204="",0,CEILING((X204/$H204),1)*$H204),"")</f>
        <v>16.200000000000003</v>
      </c>
      <c r="Z204" s="36">
        <f>IFERROR(IF(Y204=0,"",ROUNDUP(Y204/H204,0)*0.00902),"")</f>
        <v>2.7060000000000001E-2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15.527777777777775</v>
      </c>
      <c r="BN204" s="64">
        <f t="shared" ref="BN204:BN211" si="17">IFERROR(Y204*I204/H204,"0")</f>
        <v>16.77</v>
      </c>
      <c r="BO204" s="64">
        <f t="shared" ref="BO204:BO211" si="18">IFERROR(1/J204*(X204/H204),"0")</f>
        <v>2.1043771043771045E-2</v>
      </c>
      <c r="BP204" s="64">
        <f t="shared" ref="BP204:BP211" si="19">IFERROR(1/J204*(Y204/H204),"0")</f>
        <v>2.2727272727272731E-2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0</v>
      </c>
      <c r="Y205" s="552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60</v>
      </c>
      <c r="Y206" s="552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108</v>
      </c>
      <c r="Y208" s="552">
        <f t="shared" si="15"/>
        <v>108</v>
      </c>
      <c r="Z208" s="36">
        <f>IFERROR(IF(Y208=0,"",ROUNDUP(Y208/H208,0)*0.00502),"")</f>
        <v>0.30120000000000002</v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115.8</v>
      </c>
      <c r="BN208" s="64">
        <f t="shared" si="17"/>
        <v>115.8</v>
      </c>
      <c r="BO208" s="64">
        <f t="shared" si="18"/>
        <v>0.25641025641025644</v>
      </c>
      <c r="BP208" s="64">
        <f t="shared" si="19"/>
        <v>0.25641025641025644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54</v>
      </c>
      <c r="Y209" s="552">
        <f t="shared" si="15"/>
        <v>54</v>
      </c>
      <c r="Z209" s="36">
        <f>IFERROR(IF(Y209=0,"",ROUNDUP(Y209/H209,0)*0.00502),"")</f>
        <v>0.15060000000000001</v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56.999999999999993</v>
      </c>
      <c r="BN209" s="64">
        <f t="shared" si="17"/>
        <v>56.999999999999993</v>
      </c>
      <c r="BO209" s="64">
        <f t="shared" si="18"/>
        <v>0.12820512820512822</v>
      </c>
      <c r="BP209" s="64">
        <f t="shared" si="19"/>
        <v>0.12820512820512822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21.6</v>
      </c>
      <c r="Y211" s="552">
        <f t="shared" si="15"/>
        <v>21.6</v>
      </c>
      <c r="Z211" s="36">
        <f>IFERROR(IF(Y211=0,"",ROUNDUP(Y211/H211,0)*0.00502),"")</f>
        <v>6.0240000000000002E-2</v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22.8</v>
      </c>
      <c r="BN211" s="64">
        <f t="shared" si="17"/>
        <v>22.8</v>
      </c>
      <c r="BO211" s="64">
        <f t="shared" si="18"/>
        <v>5.1282051282051287E-2</v>
      </c>
      <c r="BP211" s="64">
        <f t="shared" si="19"/>
        <v>5.1282051282051287E-2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68" t="s">
        <v>75</v>
      </c>
      <c r="Q212" s="569"/>
      <c r="R212" s="569"/>
      <c r="S212" s="569"/>
      <c r="T212" s="569"/>
      <c r="U212" s="569"/>
      <c r="V212" s="570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115.88888888888889</v>
      </c>
      <c r="Y212" s="553">
        <f>IFERROR(Y204/H204,"0")+IFERROR(Y205/H205,"0")+IFERROR(Y206/H206,"0")+IFERROR(Y207/H207,"0")+IFERROR(Y208/H208,"0")+IFERROR(Y209/H209,"0")+IFERROR(Y210/H210,"0")+IFERROR(Y211/H211,"0")</f>
        <v>117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0.64733999999999992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68" t="s">
        <v>75</v>
      </c>
      <c r="Q213" s="569"/>
      <c r="R213" s="569"/>
      <c r="S213" s="569"/>
      <c r="T213" s="569"/>
      <c r="U213" s="569"/>
      <c r="V213" s="570"/>
      <c r="W213" s="37" t="s">
        <v>69</v>
      </c>
      <c r="X213" s="553">
        <f>IFERROR(SUM(X204:X211),"0")</f>
        <v>258.60000000000002</v>
      </c>
      <c r="Y213" s="553">
        <f>IFERROR(SUM(Y204:Y211),"0")</f>
        <v>264.60000000000002</v>
      </c>
      <c r="Z213" s="37"/>
      <c r="AA213" s="554"/>
      <c r="AB213" s="554"/>
      <c r="AC213" s="554"/>
    </row>
    <row r="214" spans="1:68" ht="14.25" hidden="1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96</v>
      </c>
      <c r="Y218" s="552">
        <f t="shared" si="20"/>
        <v>96</v>
      </c>
      <c r="Z218" s="36">
        <f t="shared" ref="Z218:Z223" si="25">IFERROR(IF(Y218=0,"",ROUNDUP(Y218/H218,0)*0.00651),"")</f>
        <v>0.26040000000000002</v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106.8</v>
      </c>
      <c r="BN218" s="64">
        <f t="shared" si="22"/>
        <v>106.8</v>
      </c>
      <c r="BO218" s="64">
        <f t="shared" si="23"/>
        <v>0.2197802197802198</v>
      </c>
      <c r="BP218" s="64">
        <f t="shared" si="24"/>
        <v>0.2197802197802198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132</v>
      </c>
      <c r="Y219" s="552">
        <f t="shared" si="20"/>
        <v>133.20000000000002</v>
      </c>
      <c r="Z219" s="36">
        <f t="shared" si="25"/>
        <v>0.48174</v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150.48000000000002</v>
      </c>
      <c r="BN219" s="64">
        <f t="shared" si="22"/>
        <v>151.84800000000001</v>
      </c>
      <c r="BO219" s="64">
        <f t="shared" si="23"/>
        <v>0.40293040293040294</v>
      </c>
      <c r="BP219" s="64">
        <f t="shared" si="24"/>
        <v>0.4065934065934067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0</v>
      </c>
      <c r="Y220" s="552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132</v>
      </c>
      <c r="Y221" s="552">
        <f t="shared" si="20"/>
        <v>132</v>
      </c>
      <c r="Z221" s="36">
        <f t="shared" si="25"/>
        <v>0.35805000000000003</v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145.86000000000001</v>
      </c>
      <c r="BN221" s="64">
        <f t="shared" si="22"/>
        <v>145.86000000000001</v>
      </c>
      <c r="BO221" s="64">
        <f t="shared" si="23"/>
        <v>0.30219780219780223</v>
      </c>
      <c r="BP221" s="64">
        <f t="shared" si="24"/>
        <v>0.30219780219780223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80</v>
      </c>
      <c r="Y223" s="552">
        <f t="shared" si="20"/>
        <v>81.599999999999994</v>
      </c>
      <c r="Z223" s="36">
        <f t="shared" si="25"/>
        <v>0.22134000000000001</v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88.6</v>
      </c>
      <c r="BN223" s="64">
        <f t="shared" si="22"/>
        <v>90.371999999999986</v>
      </c>
      <c r="BO223" s="64">
        <f t="shared" si="23"/>
        <v>0.18315018315018317</v>
      </c>
      <c r="BP223" s="64">
        <f t="shared" si="24"/>
        <v>0.18681318681318682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68" t="s">
        <v>75</v>
      </c>
      <c r="Q224" s="569"/>
      <c r="R224" s="569"/>
      <c r="S224" s="569"/>
      <c r="T224" s="569"/>
      <c r="U224" s="569"/>
      <c r="V224" s="570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201.66666666666666</v>
      </c>
      <c r="Y224" s="553">
        <f>IFERROR(Y215/H215,"0")+IFERROR(Y216/H216,"0")+IFERROR(Y217/H217,"0")+IFERROR(Y218/H218,"0")+IFERROR(Y219/H219,"0")+IFERROR(Y220/H220,"0")+IFERROR(Y221/H221,"0")+IFERROR(Y222/H222,"0")+IFERROR(Y223/H223,"0")</f>
        <v>203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1.3215300000000001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68" t="s">
        <v>75</v>
      </c>
      <c r="Q225" s="569"/>
      <c r="R225" s="569"/>
      <c r="S225" s="569"/>
      <c r="T225" s="569"/>
      <c r="U225" s="569"/>
      <c r="V225" s="570"/>
      <c r="W225" s="37" t="s">
        <v>69</v>
      </c>
      <c r="X225" s="553">
        <f>IFERROR(SUM(X215:X223),"0")</f>
        <v>440</v>
      </c>
      <c r="Y225" s="553">
        <f>IFERROR(SUM(Y215:Y223),"0")</f>
        <v>442.80000000000007</v>
      </c>
      <c r="Z225" s="37"/>
      <c r="AA225" s="554"/>
      <c r="AB225" s="554"/>
      <c r="AC225" s="554"/>
    </row>
    <row r="226" spans="1:68" ht="14.25" hidden="1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24</v>
      </c>
      <c r="Y228" s="552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68" t="s">
        <v>75</v>
      </c>
      <c r="Q229" s="569"/>
      <c r="R229" s="569"/>
      <c r="S229" s="569"/>
      <c r="T229" s="569"/>
      <c r="U229" s="569"/>
      <c r="V229" s="570"/>
      <c r="W229" s="37" t="s">
        <v>76</v>
      </c>
      <c r="X229" s="553">
        <f>IFERROR(X227/H227,"0")+IFERROR(X228/H228,"0")</f>
        <v>10</v>
      </c>
      <c r="Y229" s="553">
        <f>IFERROR(Y227/H227,"0")+IFERROR(Y228/H228,"0")</f>
        <v>10</v>
      </c>
      <c r="Z229" s="553">
        <f>IFERROR(IF(Z227="",0,Z227),"0")+IFERROR(IF(Z228="",0,Z228),"0")</f>
        <v>6.5100000000000005E-2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68" t="s">
        <v>75</v>
      </c>
      <c r="Q230" s="569"/>
      <c r="R230" s="569"/>
      <c r="S230" s="569"/>
      <c r="T230" s="569"/>
      <c r="U230" s="569"/>
      <c r="V230" s="570"/>
      <c r="W230" s="37" t="s">
        <v>69</v>
      </c>
      <c r="X230" s="553">
        <f>IFERROR(SUM(X227:X228),"0")</f>
        <v>24</v>
      </c>
      <c r="Y230" s="553">
        <f>IFERROR(SUM(Y227:Y228),"0")</f>
        <v>24</v>
      </c>
      <c r="Z230" s="37"/>
      <c r="AA230" s="554"/>
      <c r="AB230" s="554"/>
      <c r="AC230" s="554"/>
    </row>
    <row r="231" spans="1:68" ht="16.5" hidden="1" customHeight="1" x14ac:dyDescent="0.25">
      <c r="A231" s="576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hidden="1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3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68" t="s">
        <v>75</v>
      </c>
      <c r="Q242" s="569"/>
      <c r="R242" s="569"/>
      <c r="S242" s="569"/>
      <c r="T242" s="569"/>
      <c r="U242" s="569"/>
      <c r="V242" s="570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hidden="1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68" t="s">
        <v>75</v>
      </c>
      <c r="Q243" s="569"/>
      <c r="R243" s="569"/>
      <c r="S243" s="569"/>
      <c r="T243" s="569"/>
      <c r="U243" s="569"/>
      <c r="V243" s="570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hidden="1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68" t="s">
        <v>75</v>
      </c>
      <c r="Q246" s="569"/>
      <c r="R246" s="569"/>
      <c r="S246" s="569"/>
      <c r="T246" s="569"/>
      <c r="U246" s="569"/>
      <c r="V246" s="570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hidden="1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68" t="s">
        <v>75</v>
      </c>
      <c r="Q247" s="569"/>
      <c r="R247" s="569"/>
      <c r="S247" s="569"/>
      <c r="T247" s="569"/>
      <c r="U247" s="569"/>
      <c r="V247" s="570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hidden="1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1.8</v>
      </c>
      <c r="Y249" s="552">
        <f>IFERROR(IF(X249="",0,CEILING((X249/$H249),1)*$H249),"")</f>
        <v>1.8</v>
      </c>
      <c r="Z249" s="36">
        <f>IFERROR(IF(Y249=0,"",ROUNDUP(Y249/H249,0)*0.0059),"")</f>
        <v>5.8999999999999999E-3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1.9750000000000001</v>
      </c>
      <c r="BN249" s="64">
        <f>IFERROR(Y249*I249/H249,"0")</f>
        <v>1.9750000000000001</v>
      </c>
      <c r="BO249" s="64">
        <f>IFERROR(1/J249*(X249/H249),"0")</f>
        <v>4.6296296296296294E-3</v>
      </c>
      <c r="BP249" s="64">
        <f>IFERROR(1/J249*(Y249/H249),"0")</f>
        <v>4.6296296296296294E-3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68" t="s">
        <v>75</v>
      </c>
      <c r="Q250" s="569"/>
      <c r="R250" s="569"/>
      <c r="S250" s="569"/>
      <c r="T250" s="569"/>
      <c r="U250" s="569"/>
      <c r="V250" s="570"/>
      <c r="W250" s="37" t="s">
        <v>76</v>
      </c>
      <c r="X250" s="553">
        <f>IFERROR(X249/H249,"0")</f>
        <v>1</v>
      </c>
      <c r="Y250" s="553">
        <f>IFERROR(Y249/H249,"0")</f>
        <v>1</v>
      </c>
      <c r="Z250" s="553">
        <f>IFERROR(IF(Z249="",0,Z249),"0")</f>
        <v>5.8999999999999999E-3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68" t="s">
        <v>75</v>
      </c>
      <c r="Q251" s="569"/>
      <c r="R251" s="569"/>
      <c r="S251" s="569"/>
      <c r="T251" s="569"/>
      <c r="U251" s="569"/>
      <c r="V251" s="570"/>
      <c r="W251" s="37" t="s">
        <v>69</v>
      </c>
      <c r="X251" s="553">
        <f>IFERROR(SUM(X249:X249),"0")</f>
        <v>1.8</v>
      </c>
      <c r="Y251" s="553">
        <f>IFERROR(SUM(Y249:Y249),"0")</f>
        <v>1.8</v>
      </c>
      <c r="Z251" s="37"/>
      <c r="AA251" s="554"/>
      <c r="AB251" s="554"/>
      <c r="AC251" s="554"/>
    </row>
    <row r="252" spans="1:68" ht="14.25" hidden="1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1.98</v>
      </c>
      <c r="Y253" s="552">
        <f>IFERROR(IF(X253="",0,CEILING((X253/$H253),1)*$H253),"")</f>
        <v>1.98</v>
      </c>
      <c r="Z253" s="36">
        <f>IFERROR(IF(Y253=0,"",ROUNDUP(Y253/H253,0)*0.0059),"")</f>
        <v>1.18E-2</v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2.36</v>
      </c>
      <c r="BN253" s="64">
        <f>IFERROR(Y253*I253/H253,"0")</f>
        <v>2.36</v>
      </c>
      <c r="BO253" s="64">
        <f>IFERROR(1/J253*(X253/H253),"0")</f>
        <v>9.2592592592592587E-3</v>
      </c>
      <c r="BP253" s="64">
        <f>IFERROR(1/J253*(Y253/H253),"0")</f>
        <v>9.2592592592592587E-3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7.2</v>
      </c>
      <c r="Y254" s="552">
        <f>IFERROR(IF(X254="",0,CEILING((X254/$H254),1)*$H254),"")</f>
        <v>7.2</v>
      </c>
      <c r="Z254" s="36">
        <f>IFERROR(IF(Y254=0,"",ROUNDUP(Y254/H254,0)*0.0059),"")</f>
        <v>2.3599999999999999E-2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7.9</v>
      </c>
      <c r="BN254" s="64">
        <f>IFERROR(Y254*I254/H254,"0")</f>
        <v>7.9</v>
      </c>
      <c r="BO254" s="64">
        <f>IFERROR(1/J254*(X254/H254),"0")</f>
        <v>1.8518518518518517E-2</v>
      </c>
      <c r="BP254" s="64">
        <f>IFERROR(1/J254*(Y254/H254),"0")</f>
        <v>1.8518518518518517E-2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3.6</v>
      </c>
      <c r="Y255" s="552">
        <f>IFERROR(IF(X255="",0,CEILING((X255/$H255),1)*$H255),"")</f>
        <v>3.6</v>
      </c>
      <c r="Z255" s="36">
        <f>IFERROR(IF(Y255=0,"",ROUNDUP(Y255/H255,0)*0.0059),"")</f>
        <v>2.3599999999999999E-2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4.3600000000000003</v>
      </c>
      <c r="BN255" s="64">
        <f>IFERROR(Y255*I255/H255,"0")</f>
        <v>4.3600000000000003</v>
      </c>
      <c r="BO255" s="64">
        <f>IFERROR(1/J255*(X255/H255),"0")</f>
        <v>1.8518518518518517E-2</v>
      </c>
      <c r="BP255" s="64">
        <f>IFERROR(1/J255*(Y255/H255),"0")</f>
        <v>1.8518518518518517E-2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5.28</v>
      </c>
      <c r="Y256" s="552">
        <f>IFERROR(IF(X256="",0,CEILING((X256/$H256),1)*$H256),"")</f>
        <v>5.9399999999999995</v>
      </c>
      <c r="Z256" s="36">
        <f>IFERROR(IF(Y256=0,"",ROUNDUP(Y256/H256,0)*0.0059),"")</f>
        <v>3.5400000000000001E-2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6.2933333333333339</v>
      </c>
      <c r="BN256" s="64">
        <f>IFERROR(Y256*I256/H256,"0")</f>
        <v>7.0799999999999992</v>
      </c>
      <c r="BO256" s="64">
        <f>IFERROR(1/J256*(X256/H256),"0")</f>
        <v>2.469135802469136E-2</v>
      </c>
      <c r="BP256" s="64">
        <f>IFERROR(1/J256*(Y256/H256),"0")</f>
        <v>2.7777777777777773E-2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1.98</v>
      </c>
      <c r="Y257" s="552">
        <f>IFERROR(IF(X257="",0,CEILING((X257/$H257),1)*$H257),"")</f>
        <v>1.98</v>
      </c>
      <c r="Z257" s="36">
        <f>IFERROR(IF(Y257=0,"",ROUNDUP(Y257/H257,0)*0.0059),"")</f>
        <v>1.18E-2</v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2.36</v>
      </c>
      <c r="BN257" s="64">
        <f>IFERROR(Y257*I257/H257,"0")</f>
        <v>2.36</v>
      </c>
      <c r="BO257" s="64">
        <f>IFERROR(1/J257*(X257/H257),"0")</f>
        <v>9.2592592592592587E-3</v>
      </c>
      <c r="BP257" s="64">
        <f>IFERROR(1/J257*(Y257/H257),"0")</f>
        <v>9.2592592592592587E-3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68" t="s">
        <v>75</v>
      </c>
      <c r="Q258" s="569"/>
      <c r="R258" s="569"/>
      <c r="S258" s="569"/>
      <c r="T258" s="569"/>
      <c r="U258" s="569"/>
      <c r="V258" s="570"/>
      <c r="W258" s="37" t="s">
        <v>76</v>
      </c>
      <c r="X258" s="553">
        <f>IFERROR(X253/H253,"0")+IFERROR(X254/H254,"0")+IFERROR(X255/H255,"0")+IFERROR(X256/H256,"0")+IFERROR(X257/H257,"0")</f>
        <v>17.333333333333336</v>
      </c>
      <c r="Y258" s="553">
        <f>IFERROR(Y253/H253,"0")+IFERROR(Y254/H254,"0")+IFERROR(Y255/H255,"0")+IFERROR(Y256/H256,"0")+IFERROR(Y257/H257,"0")</f>
        <v>18</v>
      </c>
      <c r="Z258" s="553">
        <f>IFERROR(IF(Z253="",0,Z253),"0")+IFERROR(IF(Z254="",0,Z254),"0")+IFERROR(IF(Z255="",0,Z255),"0")+IFERROR(IF(Z256="",0,Z256),"0")+IFERROR(IF(Z257="",0,Z257),"0")</f>
        <v>0.1062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68" t="s">
        <v>75</v>
      </c>
      <c r="Q259" s="569"/>
      <c r="R259" s="569"/>
      <c r="S259" s="569"/>
      <c r="T259" s="569"/>
      <c r="U259" s="569"/>
      <c r="V259" s="570"/>
      <c r="W259" s="37" t="s">
        <v>69</v>
      </c>
      <c r="X259" s="553">
        <f>IFERROR(SUM(X253:X257),"0")</f>
        <v>20.04</v>
      </c>
      <c r="Y259" s="553">
        <f>IFERROR(SUM(Y253:Y257),"0")</f>
        <v>20.7</v>
      </c>
      <c r="Z259" s="37"/>
      <c r="AA259" s="554"/>
      <c r="AB259" s="554"/>
      <c r="AC259" s="554"/>
    </row>
    <row r="260" spans="1:68" ht="16.5" hidden="1" customHeight="1" x14ac:dyDescent="0.25">
      <c r="A260" s="576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hidden="1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80</v>
      </c>
      <c r="Y262" s="552">
        <f>IFERROR(IF(X262="",0,CEILING((X262/$H262),1)*$H262),"")</f>
        <v>86.4</v>
      </c>
      <c r="Z262" s="36">
        <f>IFERROR(IF(Y262=0,"",ROUNDUP(Y262/H262,0)*0.01898),"")</f>
        <v>0.15184</v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83.037037037037038</v>
      </c>
      <c r="BN262" s="64">
        <f>IFERROR(Y262*I262/H262,"0")</f>
        <v>89.68</v>
      </c>
      <c r="BO262" s="64">
        <f>IFERROR(1/J262*(X262/H262),"0")</f>
        <v>0.11574074074074073</v>
      </c>
      <c r="BP262" s="64">
        <f>IFERROR(1/J262*(Y262/H262),"0")</f>
        <v>0.125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150</v>
      </c>
      <c r="Y264" s="552">
        <f>IFERROR(IF(X264="",0,CEILING((X264/$H264),1)*$H264),"")</f>
        <v>151.20000000000002</v>
      </c>
      <c r="Z264" s="36">
        <f>IFERROR(IF(Y264=0,"",ROUNDUP(Y264/H264,0)*0.01898),"")</f>
        <v>0.26572000000000001</v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155.69444444444446</v>
      </c>
      <c r="BN264" s="64">
        <f>IFERROR(Y264*I264/H264,"0")</f>
        <v>156.94</v>
      </c>
      <c r="BO264" s="64">
        <f>IFERROR(1/J264*(X264/H264),"0")</f>
        <v>0.21701388888888887</v>
      </c>
      <c r="BP264" s="64">
        <f>IFERROR(1/J264*(Y264/H264),"0")</f>
        <v>0.21875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68" t="s">
        <v>75</v>
      </c>
      <c r="Q267" s="569"/>
      <c r="R267" s="569"/>
      <c r="S267" s="569"/>
      <c r="T267" s="569"/>
      <c r="U267" s="569"/>
      <c r="V267" s="570"/>
      <c r="W267" s="37" t="s">
        <v>76</v>
      </c>
      <c r="X267" s="553">
        <f>IFERROR(X262/H262,"0")+IFERROR(X263/H263,"0")+IFERROR(X264/H264,"0")+IFERROR(X265/H265,"0")+IFERROR(X266/H266,"0")</f>
        <v>21.296296296296294</v>
      </c>
      <c r="Y267" s="553">
        <f>IFERROR(Y262/H262,"0")+IFERROR(Y263/H263,"0")+IFERROR(Y264/H264,"0")+IFERROR(Y265/H265,"0")+IFERROR(Y266/H266,"0")</f>
        <v>22</v>
      </c>
      <c r="Z267" s="553">
        <f>IFERROR(IF(Z262="",0,Z262),"0")+IFERROR(IF(Z263="",0,Z263),"0")+IFERROR(IF(Z264="",0,Z264),"0")+IFERROR(IF(Z265="",0,Z265),"0")+IFERROR(IF(Z266="",0,Z266),"0")</f>
        <v>0.41756000000000004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68" t="s">
        <v>75</v>
      </c>
      <c r="Q268" s="569"/>
      <c r="R268" s="569"/>
      <c r="S268" s="569"/>
      <c r="T268" s="569"/>
      <c r="U268" s="569"/>
      <c r="V268" s="570"/>
      <c r="W268" s="37" t="s">
        <v>69</v>
      </c>
      <c r="X268" s="553">
        <f>IFERROR(SUM(X262:X266),"0")</f>
        <v>230</v>
      </c>
      <c r="Y268" s="553">
        <f>IFERROR(SUM(Y262:Y266),"0")</f>
        <v>237.60000000000002</v>
      </c>
      <c r="Z268" s="37"/>
      <c r="AA268" s="554"/>
      <c r="AB268" s="554"/>
      <c r="AC268" s="554"/>
    </row>
    <row r="269" spans="1:68" ht="16.5" hidden="1" customHeight="1" x14ac:dyDescent="0.25">
      <c r="A269" s="576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hidden="1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68" t="s">
        <v>75</v>
      </c>
      <c r="Q275" s="569"/>
      <c r="R275" s="569"/>
      <c r="S275" s="569"/>
      <c r="T275" s="569"/>
      <c r="U275" s="569"/>
      <c r="V275" s="570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hidden="1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68" t="s">
        <v>75</v>
      </c>
      <c r="Q276" s="569"/>
      <c r="R276" s="569"/>
      <c r="S276" s="569"/>
      <c r="T276" s="569"/>
      <c r="U276" s="569"/>
      <c r="V276" s="570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hidden="1" customHeight="1" x14ac:dyDescent="0.25">
      <c r="A277" s="576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hidden="1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4.8</v>
      </c>
      <c r="Y279" s="552">
        <f>IFERROR(IF(X279="",0,CEILING((X279/$H279),1)*$H279),"")</f>
        <v>5.4</v>
      </c>
      <c r="Z279" s="36">
        <f>IFERROR(IF(Y279=0,"",ROUNDUP(Y279/H279,0)*0.00651),"")</f>
        <v>1.9529999999999999E-2</v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5.2799999999999994</v>
      </c>
      <c r="BN279" s="64">
        <f>IFERROR(Y279*I279/H279,"0")</f>
        <v>5.94</v>
      </c>
      <c r="BO279" s="64">
        <f>IFERROR(1/J279*(X279/H279),"0")</f>
        <v>1.4652014652014652E-2</v>
      </c>
      <c r="BP279" s="64">
        <f>IFERROR(1/J279*(Y279/H279),"0")</f>
        <v>1.6483516483516484E-2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7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4.8</v>
      </c>
      <c r="Y280" s="552">
        <f>IFERROR(IF(X280="",0,CEILING((X280/$H280),1)*$H280),"")</f>
        <v>4.8</v>
      </c>
      <c r="Z280" s="36">
        <f>IFERROR(IF(Y280=0,"",ROUNDUP(Y280/H280,0)*0.00651),"")</f>
        <v>1.302E-2</v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5.3040000000000003</v>
      </c>
      <c r="BN280" s="64">
        <f>IFERROR(Y280*I280/H280,"0")</f>
        <v>5.3040000000000003</v>
      </c>
      <c r="BO280" s="64">
        <f>IFERROR(1/J280*(X280/H280),"0")</f>
        <v>1.098901098901099E-2</v>
      </c>
      <c r="BP280" s="64">
        <f>IFERROR(1/J280*(Y280/H280),"0")</f>
        <v>1.098901098901099E-2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68" t="s">
        <v>75</v>
      </c>
      <c r="Q282" s="569"/>
      <c r="R282" s="569"/>
      <c r="S282" s="569"/>
      <c r="T282" s="569"/>
      <c r="U282" s="569"/>
      <c r="V282" s="570"/>
      <c r="W282" s="37" t="s">
        <v>76</v>
      </c>
      <c r="X282" s="553">
        <f>IFERROR(X279/H279,"0")+IFERROR(X280/H280,"0")+IFERROR(X281/H281,"0")</f>
        <v>4.6666666666666661</v>
      </c>
      <c r="Y282" s="553">
        <f>IFERROR(Y279/H279,"0")+IFERROR(Y280/H280,"0")+IFERROR(Y281/H281,"0")</f>
        <v>5</v>
      </c>
      <c r="Z282" s="553">
        <f>IFERROR(IF(Z279="",0,Z279),"0")+IFERROR(IF(Z280="",0,Z280),"0")+IFERROR(IF(Z281="",0,Z281),"0")</f>
        <v>3.2549999999999996E-2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68" t="s">
        <v>75</v>
      </c>
      <c r="Q283" s="569"/>
      <c r="R283" s="569"/>
      <c r="S283" s="569"/>
      <c r="T283" s="569"/>
      <c r="U283" s="569"/>
      <c r="V283" s="570"/>
      <c r="W283" s="37" t="s">
        <v>69</v>
      </c>
      <c r="X283" s="553">
        <f>IFERROR(SUM(X279:X281),"0")</f>
        <v>9.6</v>
      </c>
      <c r="Y283" s="553">
        <f>IFERROR(SUM(Y279:Y281),"0")</f>
        <v>10.199999999999999</v>
      </c>
      <c r="Z283" s="37"/>
      <c r="AA283" s="554"/>
      <c r="AB283" s="554"/>
      <c r="AC283" s="554"/>
    </row>
    <row r="284" spans="1:68" ht="16.5" hidden="1" customHeight="1" x14ac:dyDescent="0.25">
      <c r="A284" s="576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hidden="1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68" t="s">
        <v>75</v>
      </c>
      <c r="Q288" s="569"/>
      <c r="R288" s="569"/>
      <c r="S288" s="569"/>
      <c r="T288" s="569"/>
      <c r="U288" s="569"/>
      <c r="V288" s="570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hidden="1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68" t="s">
        <v>75</v>
      </c>
      <c r="Q289" s="569"/>
      <c r="R289" s="569"/>
      <c r="S289" s="569"/>
      <c r="T289" s="569"/>
      <c r="U289" s="569"/>
      <c r="V289" s="570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hidden="1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68" t="s">
        <v>75</v>
      </c>
      <c r="Q293" s="569"/>
      <c r="R293" s="569"/>
      <c r="S293" s="569"/>
      <c r="T293" s="569"/>
      <c r="U293" s="569"/>
      <c r="V293" s="570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hidden="1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68" t="s">
        <v>75</v>
      </c>
      <c r="Q294" s="569"/>
      <c r="R294" s="569"/>
      <c r="S294" s="569"/>
      <c r="T294" s="569"/>
      <c r="U294" s="569"/>
      <c r="V294" s="570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hidden="1" customHeight="1" x14ac:dyDescent="0.25">
      <c r="A295" s="576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hidden="1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hidden="1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100</v>
      </c>
      <c r="Y298" s="552">
        <f t="shared" si="31"/>
        <v>108</v>
      </c>
      <c r="Z298" s="36">
        <f>IFERROR(IF(Y298=0,"",ROUNDUP(Y298/H298,0)*0.01898),"")</f>
        <v>0.1898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103.79629629629629</v>
      </c>
      <c r="BN298" s="64">
        <f t="shared" si="33"/>
        <v>112.1</v>
      </c>
      <c r="BO298" s="64">
        <f t="shared" si="34"/>
        <v>0.14467592592592593</v>
      </c>
      <c r="BP298" s="64">
        <f t="shared" si="35"/>
        <v>0.15625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30</v>
      </c>
      <c r="Y299" s="552">
        <f t="shared" si="31"/>
        <v>32.400000000000006</v>
      </c>
      <c r="Z299" s="36">
        <f>IFERROR(IF(Y299=0,"",ROUNDUP(Y299/H299,0)*0.01898),"")</f>
        <v>5.6940000000000004E-2</v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31.138888888888889</v>
      </c>
      <c r="BN299" s="64">
        <f t="shared" si="33"/>
        <v>33.630000000000003</v>
      </c>
      <c r="BO299" s="64">
        <f t="shared" si="34"/>
        <v>4.3402777777777776E-2</v>
      </c>
      <c r="BP299" s="64">
        <f t="shared" si="35"/>
        <v>4.6875000000000007E-2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650</v>
      </c>
      <c r="Y300" s="552">
        <f t="shared" si="31"/>
        <v>658.80000000000007</v>
      </c>
      <c r="Z300" s="36">
        <f>IFERROR(IF(Y300=0,"",ROUNDUP(Y300/H300,0)*0.01898),"")</f>
        <v>1.15778</v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674.67592592592598</v>
      </c>
      <c r="BN300" s="64">
        <f t="shared" si="33"/>
        <v>683.81000000000006</v>
      </c>
      <c r="BO300" s="64">
        <f t="shared" si="34"/>
        <v>0.94039351851851849</v>
      </c>
      <c r="BP300" s="64">
        <f t="shared" si="35"/>
        <v>0.953125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40</v>
      </c>
      <c r="Y301" s="552">
        <f t="shared" si="31"/>
        <v>40</v>
      </c>
      <c r="Z301" s="36">
        <f>IFERROR(IF(Y301=0,"",ROUNDUP(Y301/H301,0)*0.00902),"")</f>
        <v>9.0200000000000002E-2</v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41.900000000000006</v>
      </c>
      <c r="BN301" s="64">
        <f t="shared" si="33"/>
        <v>41.900000000000006</v>
      </c>
      <c r="BO301" s="64">
        <f t="shared" si="34"/>
        <v>7.575757575757576E-2</v>
      </c>
      <c r="BP301" s="64">
        <f t="shared" si="35"/>
        <v>7.575757575757576E-2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60</v>
      </c>
      <c r="Y302" s="552">
        <f t="shared" si="31"/>
        <v>60</v>
      </c>
      <c r="Z302" s="36">
        <f>IFERROR(IF(Y302=0,"",ROUNDUP(Y302/H302,0)*0.00902),"")</f>
        <v>0.1353</v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62.850000000000009</v>
      </c>
      <c r="BN302" s="64">
        <f t="shared" si="33"/>
        <v>62.850000000000009</v>
      </c>
      <c r="BO302" s="64">
        <f t="shared" si="34"/>
        <v>0.11363636363636365</v>
      </c>
      <c r="BP302" s="64">
        <f t="shared" si="35"/>
        <v>0.11363636363636365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68" t="s">
        <v>75</v>
      </c>
      <c r="Q303" s="569"/>
      <c r="R303" s="569"/>
      <c r="S303" s="569"/>
      <c r="T303" s="569"/>
      <c r="U303" s="569"/>
      <c r="V303" s="570"/>
      <c r="W303" s="37" t="s">
        <v>76</v>
      </c>
      <c r="X303" s="553">
        <f>IFERROR(X297/H297,"0")+IFERROR(X298/H298,"0")+IFERROR(X299/H299,"0")+IFERROR(X300/H300,"0")+IFERROR(X301/H301,"0")+IFERROR(X302/H302,"0")</f>
        <v>97.222222222222229</v>
      </c>
      <c r="Y303" s="553">
        <f>IFERROR(Y297/H297,"0")+IFERROR(Y298/H298,"0")+IFERROR(Y299/H299,"0")+IFERROR(Y300/H300,"0")+IFERROR(Y301/H301,"0")+IFERROR(Y302/H302,"0")</f>
        <v>99</v>
      </c>
      <c r="Z303" s="553">
        <f>IFERROR(IF(Z297="",0,Z297),"0")+IFERROR(IF(Z298="",0,Z298),"0")+IFERROR(IF(Z299="",0,Z299),"0")+IFERROR(IF(Z300="",0,Z300),"0")+IFERROR(IF(Z301="",0,Z301),"0")+IFERROR(IF(Z302="",0,Z302),"0")</f>
        <v>1.63002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68" t="s">
        <v>75</v>
      </c>
      <c r="Q304" s="569"/>
      <c r="R304" s="569"/>
      <c r="S304" s="569"/>
      <c r="T304" s="569"/>
      <c r="U304" s="569"/>
      <c r="V304" s="570"/>
      <c r="W304" s="37" t="s">
        <v>69</v>
      </c>
      <c r="X304" s="553">
        <f>IFERROR(SUM(X297:X302),"0")</f>
        <v>880</v>
      </c>
      <c r="Y304" s="553">
        <f>IFERROR(SUM(Y297:Y302),"0")</f>
        <v>899.2</v>
      </c>
      <c r="Z304" s="37"/>
      <c r="AA304" s="554"/>
      <c r="AB304" s="554"/>
      <c r="AC304" s="554"/>
    </row>
    <row r="305" spans="1:68" ht="14.25" hidden="1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250</v>
      </c>
      <c r="Y306" s="552">
        <f t="shared" ref="Y306:Y311" si="36">IFERROR(IF(X306="",0,CEILING((X306/$H306),1)*$H306),"")</f>
        <v>252</v>
      </c>
      <c r="Z306" s="36">
        <f>IFERROR(IF(Y306=0,"",ROUNDUP(Y306/H306,0)*0.00902),"")</f>
        <v>0.54120000000000001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264.88095238095235</v>
      </c>
      <c r="BN306" s="64">
        <f t="shared" ref="BN306:BN311" si="38">IFERROR(Y306*I306/H306,"0")</f>
        <v>267</v>
      </c>
      <c r="BO306" s="64">
        <f t="shared" ref="BO306:BO311" si="39">IFERROR(1/J306*(X306/H306),"0")</f>
        <v>0.45093795093795092</v>
      </c>
      <c r="BP306" s="64">
        <f t="shared" ref="BP306:BP311" si="40">IFERROR(1/J306*(Y306/H306),"0")</f>
        <v>0.45454545454545459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300</v>
      </c>
      <c r="Y307" s="552">
        <f t="shared" si="36"/>
        <v>302.40000000000003</v>
      </c>
      <c r="Z307" s="36">
        <f>IFERROR(IF(Y307=0,"",ROUNDUP(Y307/H307,0)*0.00902),"")</f>
        <v>0.64944000000000002</v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317.85714285714283</v>
      </c>
      <c r="BN307" s="64">
        <f t="shared" si="38"/>
        <v>320.40000000000003</v>
      </c>
      <c r="BO307" s="64">
        <f t="shared" si="39"/>
        <v>0.54112554112554112</v>
      </c>
      <c r="BP307" s="64">
        <f t="shared" si="40"/>
        <v>0.54545454545454541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5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63</v>
      </c>
      <c r="Y309" s="552">
        <f t="shared" si="36"/>
        <v>63</v>
      </c>
      <c r="Z309" s="36">
        <f>IFERROR(IF(Y309=0,"",ROUNDUP(Y309/H309,0)*0.00502),"")</f>
        <v>0.15060000000000001</v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66.900000000000006</v>
      </c>
      <c r="BN309" s="64">
        <f t="shared" si="38"/>
        <v>66.900000000000006</v>
      </c>
      <c r="BO309" s="64">
        <f t="shared" si="39"/>
        <v>0.12820512820512822</v>
      </c>
      <c r="BP309" s="64">
        <f t="shared" si="40"/>
        <v>0.12820512820512822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63</v>
      </c>
      <c r="Y310" s="552">
        <f t="shared" si="36"/>
        <v>63</v>
      </c>
      <c r="Z310" s="36">
        <f>IFERROR(IF(Y310=0,"",ROUNDUP(Y310/H310,0)*0.00502),"")</f>
        <v>0.15060000000000001</v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66.000000000000014</v>
      </c>
      <c r="BN310" s="64">
        <f t="shared" si="38"/>
        <v>66.000000000000014</v>
      </c>
      <c r="BO310" s="64">
        <f t="shared" si="39"/>
        <v>0.12820512820512822</v>
      </c>
      <c r="BP310" s="64">
        <f t="shared" si="40"/>
        <v>0.12820512820512822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72</v>
      </c>
      <c r="Y311" s="552">
        <f t="shared" si="36"/>
        <v>72</v>
      </c>
      <c r="Z311" s="36">
        <f>IFERROR(IF(Y311=0,"",ROUNDUP(Y311/H311,0)*0.00651),"")</f>
        <v>0.26040000000000002</v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81.11999999999999</v>
      </c>
      <c r="BN311" s="64">
        <f t="shared" si="38"/>
        <v>81.11999999999999</v>
      </c>
      <c r="BO311" s="64">
        <f t="shared" si="39"/>
        <v>0.2197802197802198</v>
      </c>
      <c r="BP311" s="64">
        <f t="shared" si="40"/>
        <v>0.2197802197802198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68" t="s">
        <v>75</v>
      </c>
      <c r="Q312" s="569"/>
      <c r="R312" s="569"/>
      <c r="S312" s="569"/>
      <c r="T312" s="569"/>
      <c r="U312" s="569"/>
      <c r="V312" s="570"/>
      <c r="W312" s="37" t="s">
        <v>76</v>
      </c>
      <c r="X312" s="553">
        <f>IFERROR(X306/H306,"0")+IFERROR(X307/H307,"0")+IFERROR(X308/H308,"0")+IFERROR(X309/H309,"0")+IFERROR(X310/H310,"0")+IFERROR(X311/H311,"0")</f>
        <v>230.95238095238096</v>
      </c>
      <c r="Y312" s="553">
        <f>IFERROR(Y306/H306,"0")+IFERROR(Y307/H307,"0")+IFERROR(Y308/H308,"0")+IFERROR(Y309/H309,"0")+IFERROR(Y310/H310,"0")+IFERROR(Y311/H311,"0")</f>
        <v>232</v>
      </c>
      <c r="Z312" s="553">
        <f>IFERROR(IF(Z306="",0,Z306),"0")+IFERROR(IF(Z307="",0,Z307),"0")+IFERROR(IF(Z308="",0,Z308),"0")+IFERROR(IF(Z309="",0,Z309),"0")+IFERROR(IF(Z310="",0,Z310),"0")+IFERROR(IF(Z311="",0,Z311),"0")</f>
        <v>1.7522400000000002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68" t="s">
        <v>75</v>
      </c>
      <c r="Q313" s="569"/>
      <c r="R313" s="569"/>
      <c r="S313" s="569"/>
      <c r="T313" s="569"/>
      <c r="U313" s="569"/>
      <c r="V313" s="570"/>
      <c r="W313" s="37" t="s">
        <v>69</v>
      </c>
      <c r="X313" s="553">
        <f>IFERROR(SUM(X306:X311),"0")</f>
        <v>748</v>
      </c>
      <c r="Y313" s="553">
        <f>IFERROR(SUM(Y306:Y311),"0")</f>
        <v>752.40000000000009</v>
      </c>
      <c r="Z313" s="37"/>
      <c r="AA313" s="554"/>
      <c r="AB313" s="554"/>
      <c r="AC313" s="554"/>
    </row>
    <row r="314" spans="1:68" ht="14.25" hidden="1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800</v>
      </c>
      <c r="Y315" s="552">
        <f>IFERROR(IF(X315="",0,CEILING((X315/$H315),1)*$H315),"")</f>
        <v>803.4</v>
      </c>
      <c r="Z315" s="36">
        <f>IFERROR(IF(Y315=0,"",ROUNDUP(Y315/H315,0)*0.01898),"")</f>
        <v>1.9549400000000001</v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850.0512820512821</v>
      </c>
      <c r="BN315" s="64">
        <f>IFERROR(Y315*I315/H315,"0")</f>
        <v>853.66399999999999</v>
      </c>
      <c r="BO315" s="64">
        <f>IFERROR(1/J315*(X315/H315),"0")</f>
        <v>1.6025641025641026</v>
      </c>
      <c r="BP315" s="64">
        <f>IFERROR(1/J315*(Y315/H315),"0")</f>
        <v>1.609375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150</v>
      </c>
      <c r="Y318" s="552">
        <f>IFERROR(IF(X318="",0,CEILING((X318/$H318),1)*$H318),"")</f>
        <v>150</v>
      </c>
      <c r="Z318" s="36">
        <f>IFERROR(IF(Y318=0,"",ROUNDUP(Y318/H318,0)*0.00651),"")</f>
        <v>0.32550000000000001</v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162.29999999999998</v>
      </c>
      <c r="BN318" s="64">
        <f>IFERROR(Y318*I318/H318,"0")</f>
        <v>162.29999999999998</v>
      </c>
      <c r="BO318" s="64">
        <f>IFERROR(1/J318*(X318/H318),"0")</f>
        <v>0.27472527472527475</v>
      </c>
      <c r="BP318" s="64">
        <f>IFERROR(1/J318*(Y318/H318),"0")</f>
        <v>0.27472527472527475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68" t="s">
        <v>75</v>
      </c>
      <c r="Q319" s="569"/>
      <c r="R319" s="569"/>
      <c r="S319" s="569"/>
      <c r="T319" s="569"/>
      <c r="U319" s="569"/>
      <c r="V319" s="570"/>
      <c r="W319" s="37" t="s">
        <v>76</v>
      </c>
      <c r="X319" s="553">
        <f>IFERROR(X315/H315,"0")+IFERROR(X316/H316,"0")+IFERROR(X317/H317,"0")+IFERROR(X318/H318,"0")</f>
        <v>152.56410256410257</v>
      </c>
      <c r="Y319" s="553">
        <f>IFERROR(Y315/H315,"0")+IFERROR(Y316/H316,"0")+IFERROR(Y317/H317,"0")+IFERROR(Y318/H318,"0")</f>
        <v>153</v>
      </c>
      <c r="Z319" s="553">
        <f>IFERROR(IF(Z315="",0,Z315),"0")+IFERROR(IF(Z316="",0,Z316),"0")+IFERROR(IF(Z317="",0,Z317),"0")+IFERROR(IF(Z318="",0,Z318),"0")</f>
        <v>2.28044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68" t="s">
        <v>75</v>
      </c>
      <c r="Q320" s="569"/>
      <c r="R320" s="569"/>
      <c r="S320" s="569"/>
      <c r="T320" s="569"/>
      <c r="U320" s="569"/>
      <c r="V320" s="570"/>
      <c r="W320" s="37" t="s">
        <v>69</v>
      </c>
      <c r="X320" s="553">
        <f>IFERROR(SUM(X315:X318),"0")</f>
        <v>950</v>
      </c>
      <c r="Y320" s="553">
        <f>IFERROR(SUM(Y315:Y318),"0")</f>
        <v>953.4</v>
      </c>
      <c r="Z320" s="37"/>
      <c r="AA320" s="554"/>
      <c r="AB320" s="554"/>
      <c r="AC320" s="554"/>
    </row>
    <row r="321" spans="1:68" ht="14.25" hidden="1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100</v>
      </c>
      <c r="Y322" s="552">
        <f>IFERROR(IF(X322="",0,CEILING((X322/$H322),1)*$H322),"")</f>
        <v>100.80000000000001</v>
      </c>
      <c r="Z322" s="36">
        <f>IFERROR(IF(Y322=0,"",ROUNDUP(Y322/H322,0)*0.01898),"")</f>
        <v>0.22776000000000002</v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105.88095238095238</v>
      </c>
      <c r="BN322" s="64">
        <f>IFERROR(Y322*I322/H322,"0")</f>
        <v>106.72800000000001</v>
      </c>
      <c r="BO322" s="64">
        <f>IFERROR(1/J322*(X322/H322),"0")</f>
        <v>0.18601190476190477</v>
      </c>
      <c r="BP322" s="64">
        <f>IFERROR(1/J322*(Y322/H322),"0")</f>
        <v>0.1875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120</v>
      </c>
      <c r="Y323" s="552">
        <f>IFERROR(IF(X323="",0,CEILING((X323/$H323),1)*$H323),"")</f>
        <v>124.8</v>
      </c>
      <c r="Z323" s="36">
        <f>IFERROR(IF(Y323=0,"",ROUNDUP(Y323/H323,0)*0.01898),"")</f>
        <v>0.30368000000000001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127.60000000000001</v>
      </c>
      <c r="BN323" s="64">
        <f>IFERROR(Y323*I323/H323,"0")</f>
        <v>132.70400000000001</v>
      </c>
      <c r="BO323" s="64">
        <f>IFERROR(1/J323*(X323/H323),"0")</f>
        <v>0.24038461538461539</v>
      </c>
      <c r="BP323" s="64">
        <f>IFERROR(1/J323*(Y323/H323),"0")</f>
        <v>0.25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140</v>
      </c>
      <c r="Y324" s="552">
        <f>IFERROR(IF(X324="",0,CEILING((X324/$H324),1)*$H324),"")</f>
        <v>142.80000000000001</v>
      </c>
      <c r="Z324" s="36">
        <f>IFERROR(IF(Y324=0,"",ROUNDUP(Y324/H324,0)*0.01898),"")</f>
        <v>0.32266</v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148.23333333333335</v>
      </c>
      <c r="BN324" s="64">
        <f>IFERROR(Y324*I324/H324,"0")</f>
        <v>151.19800000000001</v>
      </c>
      <c r="BO324" s="64">
        <f>IFERROR(1/J324*(X324/H324),"0")</f>
        <v>0.26041666666666663</v>
      </c>
      <c r="BP324" s="64">
        <f>IFERROR(1/J324*(Y324/H324),"0")</f>
        <v>0.265625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68" t="s">
        <v>75</v>
      </c>
      <c r="Q325" s="569"/>
      <c r="R325" s="569"/>
      <c r="S325" s="569"/>
      <c r="T325" s="569"/>
      <c r="U325" s="569"/>
      <c r="V325" s="570"/>
      <c r="W325" s="37" t="s">
        <v>76</v>
      </c>
      <c r="X325" s="553">
        <f>IFERROR(X322/H322,"0")+IFERROR(X323/H323,"0")+IFERROR(X324/H324,"0")</f>
        <v>43.956043956043956</v>
      </c>
      <c r="Y325" s="553">
        <f>IFERROR(Y322/H322,"0")+IFERROR(Y323/H323,"0")+IFERROR(Y324/H324,"0")</f>
        <v>45</v>
      </c>
      <c r="Z325" s="553">
        <f>IFERROR(IF(Z322="",0,Z322),"0")+IFERROR(IF(Z323="",0,Z323),"0")+IFERROR(IF(Z324="",0,Z324),"0")</f>
        <v>0.85410000000000008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68" t="s">
        <v>75</v>
      </c>
      <c r="Q326" s="569"/>
      <c r="R326" s="569"/>
      <c r="S326" s="569"/>
      <c r="T326" s="569"/>
      <c r="U326" s="569"/>
      <c r="V326" s="570"/>
      <c r="W326" s="37" t="s">
        <v>69</v>
      </c>
      <c r="X326" s="553">
        <f>IFERROR(SUM(X322:X324),"0")</f>
        <v>360</v>
      </c>
      <c r="Y326" s="553">
        <f>IFERROR(SUM(Y322:Y324),"0")</f>
        <v>368.40000000000003</v>
      </c>
      <c r="Z326" s="37"/>
      <c r="AA326" s="554"/>
      <c r="AB326" s="554"/>
      <c r="AC326" s="554"/>
    </row>
    <row r="327" spans="1:68" ht="14.25" hidden="1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6</v>
      </c>
      <c r="Y328" s="552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6.5328947368421053</v>
      </c>
      <c r="BN328" s="64">
        <f>IFERROR(Y328*I328/H328,"0")</f>
        <v>6.62</v>
      </c>
      <c r="BO328" s="64">
        <f>IFERROR(1/J328*(X328/H328),"0")</f>
        <v>1.4952153110047847E-2</v>
      </c>
      <c r="BP328" s="64">
        <f>IFERROR(1/J328*(Y328/H328),"0")</f>
        <v>1.5151515151515152E-2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6</v>
      </c>
      <c r="Y329" s="552">
        <f>IFERROR(IF(X329="",0,CEILING((X329/$H329),1)*$H329),"")</f>
        <v>6.08</v>
      </c>
      <c r="Z329" s="36">
        <f>IFERROR(IF(Y329=0,"",ROUNDUP(Y329/H329,0)*0.00902),"")</f>
        <v>1.804E-2</v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6.4539473684210531</v>
      </c>
      <c r="BN329" s="64">
        <f>IFERROR(Y329*I329/H329,"0")</f>
        <v>6.5399999999999991</v>
      </c>
      <c r="BO329" s="64">
        <f>IFERROR(1/J329*(X329/H329),"0")</f>
        <v>1.4952153110047847E-2</v>
      </c>
      <c r="BP329" s="64">
        <f>IFERROR(1/J329*(Y329/H329),"0")</f>
        <v>1.5151515151515152E-2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8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2.5499999999999998</v>
      </c>
      <c r="Y330" s="552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2.9550000000000001</v>
      </c>
      <c r="BN330" s="64">
        <f>IFERROR(Y330*I330/H330,"0")</f>
        <v>2.9550000000000001</v>
      </c>
      <c r="BO330" s="64">
        <f>IFERROR(1/J330*(X330/H330),"0")</f>
        <v>5.4945054945054949E-3</v>
      </c>
      <c r="BP330" s="64">
        <f>IFERROR(1/J330*(Y330/H330),"0")</f>
        <v>5.4945054945054949E-3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25.5</v>
      </c>
      <c r="Y331" s="552">
        <f>IFERROR(IF(X331="",0,CEILING((X331/$H331),1)*$H331),"")</f>
        <v>25.5</v>
      </c>
      <c r="Z331" s="36">
        <f>IFERROR(IF(Y331=0,"",ROUNDUP(Y331/H331,0)*0.00651),"")</f>
        <v>6.5100000000000005E-2</v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28.8</v>
      </c>
      <c r="BN331" s="64">
        <f>IFERROR(Y331*I331/H331,"0")</f>
        <v>28.8</v>
      </c>
      <c r="BO331" s="64">
        <f>IFERROR(1/J331*(X331/H331),"0")</f>
        <v>5.4945054945054951E-2</v>
      </c>
      <c r="BP331" s="64">
        <f>IFERROR(1/J331*(Y331/H331),"0")</f>
        <v>5.4945054945054951E-2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68" t="s">
        <v>75</v>
      </c>
      <c r="Q332" s="569"/>
      <c r="R332" s="569"/>
      <c r="S332" s="569"/>
      <c r="T332" s="569"/>
      <c r="U332" s="569"/>
      <c r="V332" s="570"/>
      <c r="W332" s="37" t="s">
        <v>76</v>
      </c>
      <c r="X332" s="553">
        <f>IFERROR(X328/H328,"0")+IFERROR(X329/H329,"0")+IFERROR(X330/H330,"0")+IFERROR(X331/H331,"0")</f>
        <v>14.947368421052632</v>
      </c>
      <c r="Y332" s="553">
        <f>IFERROR(Y328/H328,"0")+IFERROR(Y329/H329,"0")+IFERROR(Y330/H330,"0")+IFERROR(Y331/H331,"0")</f>
        <v>15</v>
      </c>
      <c r="Z332" s="553">
        <f>IFERROR(IF(Z328="",0,Z328),"0")+IFERROR(IF(Z329="",0,Z329),"0")+IFERROR(IF(Z330="",0,Z330),"0")+IFERROR(IF(Z331="",0,Z331),"0")</f>
        <v>0.10769000000000001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68" t="s">
        <v>75</v>
      </c>
      <c r="Q333" s="569"/>
      <c r="R333" s="569"/>
      <c r="S333" s="569"/>
      <c r="T333" s="569"/>
      <c r="U333" s="569"/>
      <c r="V333" s="570"/>
      <c r="W333" s="37" t="s">
        <v>69</v>
      </c>
      <c r="X333" s="553">
        <f>IFERROR(SUM(X328:X331),"0")</f>
        <v>40.049999999999997</v>
      </c>
      <c r="Y333" s="553">
        <f>IFERROR(SUM(Y328:Y331),"0")</f>
        <v>40.21</v>
      </c>
      <c r="Z333" s="37"/>
      <c r="AA333" s="554"/>
      <c r="AB333" s="554"/>
      <c r="AC333" s="554"/>
    </row>
    <row r="334" spans="1:68" ht="14.25" hidden="1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20</v>
      </c>
      <c r="Y335" s="552">
        <f>IFERROR(IF(X335="",0,CEILING((X335/$H335),1)*$H335),"")</f>
        <v>20</v>
      </c>
      <c r="Z335" s="36">
        <f>IFERROR(IF(Y335=0,"",ROUNDUP(Y335/H335,0)*0.00474),"")</f>
        <v>4.7400000000000005E-2</v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22.400000000000002</v>
      </c>
      <c r="BN335" s="64">
        <f>IFERROR(Y335*I335/H335,"0")</f>
        <v>22.400000000000002</v>
      </c>
      <c r="BO335" s="64">
        <f>IFERROR(1/J335*(X335/H335),"0")</f>
        <v>4.2016806722689072E-2</v>
      </c>
      <c r="BP335" s="64">
        <f>IFERROR(1/J335*(Y335/H335),"0")</f>
        <v>4.2016806722689072E-2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10</v>
      </c>
      <c r="Y336" s="552">
        <f>IFERROR(IF(X336="",0,CEILING((X336/$H336),1)*$H336),"")</f>
        <v>10</v>
      </c>
      <c r="Z336" s="36">
        <f>IFERROR(IF(Y336=0,"",ROUNDUP(Y336/H336,0)*0.00474),"")</f>
        <v>2.3700000000000002E-2</v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11.200000000000001</v>
      </c>
      <c r="BN336" s="64">
        <f>IFERROR(Y336*I336/H336,"0")</f>
        <v>11.200000000000001</v>
      </c>
      <c r="BO336" s="64">
        <f>IFERROR(1/J336*(X336/H336),"0")</f>
        <v>2.1008403361344536E-2</v>
      </c>
      <c r="BP336" s="64">
        <f>IFERROR(1/J336*(Y336/H336),"0")</f>
        <v>2.1008403361344536E-2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26</v>
      </c>
      <c r="Y337" s="552">
        <f>IFERROR(IF(X337="",0,CEILING((X337/$H337),1)*$H337),"")</f>
        <v>26</v>
      </c>
      <c r="Z337" s="36">
        <f>IFERROR(IF(Y337=0,"",ROUNDUP(Y337/H337,0)*0.00474),"")</f>
        <v>6.1620000000000001E-2</v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29.120000000000005</v>
      </c>
      <c r="BN337" s="64">
        <f>IFERROR(Y337*I337/H337,"0")</f>
        <v>29.120000000000005</v>
      </c>
      <c r="BO337" s="64">
        <f>IFERROR(1/J337*(X337/H337),"0")</f>
        <v>5.4621848739495799E-2</v>
      </c>
      <c r="BP337" s="64">
        <f>IFERROR(1/J337*(Y337/H337),"0")</f>
        <v>5.4621848739495799E-2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68" t="s">
        <v>75</v>
      </c>
      <c r="Q338" s="569"/>
      <c r="R338" s="569"/>
      <c r="S338" s="569"/>
      <c r="T338" s="569"/>
      <c r="U338" s="569"/>
      <c r="V338" s="570"/>
      <c r="W338" s="37" t="s">
        <v>76</v>
      </c>
      <c r="X338" s="553">
        <f>IFERROR(X335/H335,"0")+IFERROR(X336/H336,"0")+IFERROR(X337/H337,"0")</f>
        <v>28</v>
      </c>
      <c r="Y338" s="553">
        <f>IFERROR(Y335/H335,"0")+IFERROR(Y336/H336,"0")+IFERROR(Y337/H337,"0")</f>
        <v>28</v>
      </c>
      <c r="Z338" s="553">
        <f>IFERROR(IF(Z335="",0,Z335),"0")+IFERROR(IF(Z336="",0,Z336),"0")+IFERROR(IF(Z337="",0,Z337),"0")</f>
        <v>0.13272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68" t="s">
        <v>75</v>
      </c>
      <c r="Q339" s="569"/>
      <c r="R339" s="569"/>
      <c r="S339" s="569"/>
      <c r="T339" s="569"/>
      <c r="U339" s="569"/>
      <c r="V339" s="570"/>
      <c r="W339" s="37" t="s">
        <v>69</v>
      </c>
      <c r="X339" s="553">
        <f>IFERROR(SUM(X335:X337),"0")</f>
        <v>56</v>
      </c>
      <c r="Y339" s="553">
        <f>IFERROR(SUM(Y335:Y337),"0")</f>
        <v>56</v>
      </c>
      <c r="Z339" s="37"/>
      <c r="AA339" s="554"/>
      <c r="AB339" s="554"/>
      <c r="AC339" s="554"/>
    </row>
    <row r="340" spans="1:68" ht="16.5" hidden="1" customHeight="1" x14ac:dyDescent="0.25">
      <c r="A340" s="576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hidden="1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80</v>
      </c>
      <c r="Y342" s="552">
        <f>IFERROR(IF(X342="",0,CEILING((X342/$H342),1)*$H342),"")</f>
        <v>81</v>
      </c>
      <c r="Z342" s="36">
        <f>IFERROR(IF(Y342=0,"",ROUNDUP(Y342/H342,0)*0.01898),"")</f>
        <v>0.1898</v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84.879012345679016</v>
      </c>
      <c r="BN342" s="64">
        <f>IFERROR(Y342*I342/H342,"0")</f>
        <v>85.94</v>
      </c>
      <c r="BO342" s="64">
        <f>IFERROR(1/J342*(X342/H342),"0")</f>
        <v>0.15432098765432101</v>
      </c>
      <c r="BP342" s="64">
        <f>IFERROR(1/J342*(Y342/H342),"0")</f>
        <v>0.15625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178.5</v>
      </c>
      <c r="Y343" s="552">
        <f>IFERROR(IF(X343="",0,CEILING((X343/$H343),1)*$H343),"")</f>
        <v>178.5</v>
      </c>
      <c r="Z343" s="36">
        <f>IFERROR(IF(Y343=0,"",ROUNDUP(Y343/H343,0)*0.00651),"")</f>
        <v>0.55335000000000001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199.92</v>
      </c>
      <c r="BN343" s="64">
        <f>IFERROR(Y343*I343/H343,"0")</f>
        <v>199.92</v>
      </c>
      <c r="BO343" s="64">
        <f>IFERROR(1/J343*(X343/H343),"0")</f>
        <v>0.46703296703296709</v>
      </c>
      <c r="BP343" s="64">
        <f>IFERROR(1/J343*(Y343/H343),"0")</f>
        <v>0.46703296703296709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126</v>
      </c>
      <c r="Y344" s="552">
        <f>IFERROR(IF(X344="",0,CEILING((X344/$H344),1)*$H344),"")</f>
        <v>126</v>
      </c>
      <c r="Z344" s="36">
        <f>IFERROR(IF(Y344=0,"",ROUNDUP(Y344/H344,0)*0.00651),"")</f>
        <v>0.3906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140.39999999999998</v>
      </c>
      <c r="BN344" s="64">
        <f>IFERROR(Y344*I344/H344,"0")</f>
        <v>140.39999999999998</v>
      </c>
      <c r="BO344" s="64">
        <f>IFERROR(1/J344*(X344/H344),"0")</f>
        <v>0.32967032967032972</v>
      </c>
      <c r="BP344" s="64">
        <f>IFERROR(1/J344*(Y344/H344),"0")</f>
        <v>0.32967032967032972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68" t="s">
        <v>75</v>
      </c>
      <c r="Q345" s="569"/>
      <c r="R345" s="569"/>
      <c r="S345" s="569"/>
      <c r="T345" s="569"/>
      <c r="U345" s="569"/>
      <c r="V345" s="570"/>
      <c r="W345" s="37" t="s">
        <v>76</v>
      </c>
      <c r="X345" s="553">
        <f>IFERROR(X342/H342,"0")+IFERROR(X343/H343,"0")+IFERROR(X344/H344,"0")</f>
        <v>154.87654320987656</v>
      </c>
      <c r="Y345" s="553">
        <f>IFERROR(Y342/H342,"0")+IFERROR(Y343/H343,"0")+IFERROR(Y344/H344,"0")</f>
        <v>155</v>
      </c>
      <c r="Z345" s="553">
        <f>IFERROR(IF(Z342="",0,Z342),"0")+IFERROR(IF(Z343="",0,Z343),"0")+IFERROR(IF(Z344="",0,Z344),"0")</f>
        <v>1.13375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68" t="s">
        <v>75</v>
      </c>
      <c r="Q346" s="569"/>
      <c r="R346" s="569"/>
      <c r="S346" s="569"/>
      <c r="T346" s="569"/>
      <c r="U346" s="569"/>
      <c r="V346" s="570"/>
      <c r="W346" s="37" t="s">
        <v>69</v>
      </c>
      <c r="X346" s="553">
        <f>IFERROR(SUM(X342:X344),"0")</f>
        <v>384.5</v>
      </c>
      <c r="Y346" s="553">
        <f>IFERROR(SUM(Y342:Y344),"0")</f>
        <v>385.5</v>
      </c>
      <c r="Z346" s="37"/>
      <c r="AA346" s="554"/>
      <c r="AB346" s="554"/>
      <c r="AC346" s="554"/>
    </row>
    <row r="347" spans="1:68" ht="27.75" hidden="1" customHeight="1" x14ac:dyDescent="0.2">
      <c r="A347" s="613" t="s">
        <v>556</v>
      </c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48"/>
      <c r="AB347" s="48"/>
      <c r="AC347" s="48"/>
    </row>
    <row r="348" spans="1:68" ht="16.5" hidden="1" customHeight="1" x14ac:dyDescent="0.25">
      <c r="A348" s="576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hidden="1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90</v>
      </c>
      <c r="Y350" s="552">
        <f t="shared" ref="Y350:Y356" si="41">IFERROR(IF(X350="",0,CEILING((X350/$H350),1)*$H350),"")</f>
        <v>90</v>
      </c>
      <c r="Z350" s="36">
        <f>IFERROR(IF(Y350=0,"",ROUNDUP(Y350/H350,0)*0.02175),"")</f>
        <v>0.1305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92.82</v>
      </c>
      <c r="BN350" s="64">
        <f t="shared" ref="BN350:BN356" si="43">IFERROR(Y350*I350/H350,"0")</f>
        <v>92.82</v>
      </c>
      <c r="BO350" s="64">
        <f t="shared" ref="BO350:BO356" si="44">IFERROR(1/J350*(X350/H350),"0")</f>
        <v>0.125</v>
      </c>
      <c r="BP350" s="64">
        <f t="shared" ref="BP350:BP356" si="45">IFERROR(1/J350*(Y350/H350),"0")</f>
        <v>0.125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120</v>
      </c>
      <c r="Y351" s="552">
        <f t="shared" si="41"/>
        <v>120</v>
      </c>
      <c r="Z351" s="36">
        <f>IFERROR(IF(Y351=0,"",ROUNDUP(Y351/H351,0)*0.02175),"")</f>
        <v>0.17399999999999999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123.76</v>
      </c>
      <c r="BN351" s="64">
        <f t="shared" si="43"/>
        <v>123.76</v>
      </c>
      <c r="BO351" s="64">
        <f t="shared" si="44"/>
        <v>0.16666666666666666</v>
      </c>
      <c r="BP351" s="64">
        <f t="shared" si="45"/>
        <v>0.16666666666666666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300</v>
      </c>
      <c r="Y352" s="552">
        <f t="shared" si="41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309.39999999999998</v>
      </c>
      <c r="BN352" s="64">
        <f t="shared" si="43"/>
        <v>309.39999999999998</v>
      </c>
      <c r="BO352" s="64">
        <f t="shared" si="44"/>
        <v>0.41666666666666663</v>
      </c>
      <c r="BP352" s="64">
        <f t="shared" si="45"/>
        <v>0.41666666666666663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68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hidden="1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68" t="s">
        <v>75</v>
      </c>
      <c r="Q357" s="569"/>
      <c r="R357" s="569"/>
      <c r="S357" s="569"/>
      <c r="T357" s="569"/>
      <c r="U357" s="569"/>
      <c r="V357" s="570"/>
      <c r="W357" s="37" t="s">
        <v>76</v>
      </c>
      <c r="X357" s="553">
        <f>IFERROR(X350/H350,"0")+IFERROR(X351/H351,"0")+IFERROR(X352/H352,"0")+IFERROR(X353/H353,"0")+IFERROR(X354/H354,"0")+IFERROR(X355/H355,"0")+IFERROR(X356/H356,"0")</f>
        <v>34</v>
      </c>
      <c r="Y357" s="553">
        <f>IFERROR(Y350/H350,"0")+IFERROR(Y351/H351,"0")+IFERROR(Y352/H352,"0")+IFERROR(Y353/H353,"0")+IFERROR(Y354/H354,"0")+IFERROR(Y355/H355,"0")+IFERROR(Y356/H356,"0")</f>
        <v>34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0.73949999999999994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68" t="s">
        <v>75</v>
      </c>
      <c r="Q358" s="569"/>
      <c r="R358" s="569"/>
      <c r="S358" s="569"/>
      <c r="T358" s="569"/>
      <c r="U358" s="569"/>
      <c r="V358" s="570"/>
      <c r="W358" s="37" t="s">
        <v>69</v>
      </c>
      <c r="X358" s="553">
        <f>IFERROR(SUM(X350:X356),"0")</f>
        <v>510</v>
      </c>
      <c r="Y358" s="553">
        <f>IFERROR(SUM(Y350:Y356),"0")</f>
        <v>510</v>
      </c>
      <c r="Z358" s="37"/>
      <c r="AA358" s="554"/>
      <c r="AB358" s="554"/>
      <c r="AC358" s="554"/>
    </row>
    <row r="359" spans="1:68" ht="14.25" hidden="1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800</v>
      </c>
      <c r="Y360" s="552">
        <f>IFERROR(IF(X360="",0,CEILING((X360/$H360),1)*$H360),"")</f>
        <v>810</v>
      </c>
      <c r="Z360" s="36">
        <f>IFERROR(IF(Y360=0,"",ROUNDUP(Y360/H360,0)*0.02175),"")</f>
        <v>1.1744999999999999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825.06666666666672</v>
      </c>
      <c r="BN360" s="64">
        <f>IFERROR(Y360*I360/H360,"0")</f>
        <v>835.38</v>
      </c>
      <c r="BO360" s="64">
        <f>IFERROR(1/J360*(X360/H360),"0")</f>
        <v>1.1111111111111112</v>
      </c>
      <c r="BP360" s="64">
        <f>IFERROR(1/J360*(Y360/H360),"0")</f>
        <v>1.125</v>
      </c>
    </row>
    <row r="361" spans="1:68" ht="27" hidden="1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68" t="s">
        <v>75</v>
      </c>
      <c r="Q362" s="569"/>
      <c r="R362" s="569"/>
      <c r="S362" s="569"/>
      <c r="T362" s="569"/>
      <c r="U362" s="569"/>
      <c r="V362" s="570"/>
      <c r="W362" s="37" t="s">
        <v>76</v>
      </c>
      <c r="X362" s="553">
        <f>IFERROR(X360/H360,"0")+IFERROR(X361/H361,"0")</f>
        <v>53.333333333333336</v>
      </c>
      <c r="Y362" s="553">
        <f>IFERROR(Y360/H360,"0")+IFERROR(Y361/H361,"0")</f>
        <v>54</v>
      </c>
      <c r="Z362" s="553">
        <f>IFERROR(IF(Z360="",0,Z360),"0")+IFERROR(IF(Z361="",0,Z361),"0")</f>
        <v>1.1744999999999999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68" t="s">
        <v>75</v>
      </c>
      <c r="Q363" s="569"/>
      <c r="R363" s="569"/>
      <c r="S363" s="569"/>
      <c r="T363" s="569"/>
      <c r="U363" s="569"/>
      <c r="V363" s="570"/>
      <c r="W363" s="37" t="s">
        <v>69</v>
      </c>
      <c r="X363" s="553">
        <f>IFERROR(SUM(X360:X361),"0")</f>
        <v>800</v>
      </c>
      <c r="Y363" s="553">
        <f>IFERROR(SUM(Y360:Y361),"0")</f>
        <v>810</v>
      </c>
      <c r="Z363" s="37"/>
      <c r="AA363" s="554"/>
      <c r="AB363" s="554"/>
      <c r="AC363" s="554"/>
    </row>
    <row r="364" spans="1:68" ht="14.25" hidden="1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18</v>
      </c>
      <c r="Y365" s="552">
        <f>IFERROR(IF(X365="",0,CEILING((X365/$H365),1)*$H365),"")</f>
        <v>18</v>
      </c>
      <c r="Z365" s="36">
        <f>IFERROR(IF(Y365=0,"",ROUNDUP(Y365/H365,0)*0.01898),"")</f>
        <v>3.7960000000000001E-2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19</v>
      </c>
      <c r="BN365" s="64">
        <f>IFERROR(Y365*I365/H365,"0")</f>
        <v>19</v>
      </c>
      <c r="BO365" s="64">
        <f>IFERROR(1/J365*(X365/H365),"0")</f>
        <v>3.125E-2</v>
      </c>
      <c r="BP365" s="64">
        <f>IFERROR(1/J365*(Y365/H365),"0")</f>
        <v>3.125E-2</v>
      </c>
    </row>
    <row r="366" spans="1:68" ht="27" hidden="1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68" t="s">
        <v>75</v>
      </c>
      <c r="Q367" s="569"/>
      <c r="R367" s="569"/>
      <c r="S367" s="569"/>
      <c r="T367" s="569"/>
      <c r="U367" s="569"/>
      <c r="V367" s="570"/>
      <c r="W367" s="37" t="s">
        <v>76</v>
      </c>
      <c r="X367" s="553">
        <f>IFERROR(X365/H365,"0")+IFERROR(X366/H366,"0")</f>
        <v>2</v>
      </c>
      <c r="Y367" s="553">
        <f>IFERROR(Y365/H365,"0")+IFERROR(Y366/H366,"0")</f>
        <v>2</v>
      </c>
      <c r="Z367" s="553">
        <f>IFERROR(IF(Z365="",0,Z365),"0")+IFERROR(IF(Z366="",0,Z366),"0")</f>
        <v>3.7960000000000001E-2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68" t="s">
        <v>75</v>
      </c>
      <c r="Q368" s="569"/>
      <c r="R368" s="569"/>
      <c r="S368" s="569"/>
      <c r="T368" s="569"/>
      <c r="U368" s="569"/>
      <c r="V368" s="570"/>
      <c r="W368" s="37" t="s">
        <v>69</v>
      </c>
      <c r="X368" s="553">
        <f>IFERROR(SUM(X365:X366),"0")</f>
        <v>18</v>
      </c>
      <c r="Y368" s="553">
        <f>IFERROR(SUM(Y365:Y366),"0")</f>
        <v>18</v>
      </c>
      <c r="Z368" s="37"/>
      <c r="AA368" s="554"/>
      <c r="AB368" s="554"/>
      <c r="AC368" s="554"/>
    </row>
    <row r="369" spans="1:68" ht="14.25" hidden="1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hidden="1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68" t="s">
        <v>75</v>
      </c>
      <c r="Q371" s="569"/>
      <c r="R371" s="569"/>
      <c r="S371" s="569"/>
      <c r="T371" s="569"/>
      <c r="U371" s="569"/>
      <c r="V371" s="570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hidden="1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68" t="s">
        <v>75</v>
      </c>
      <c r="Q372" s="569"/>
      <c r="R372" s="569"/>
      <c r="S372" s="569"/>
      <c r="T372" s="569"/>
      <c r="U372" s="569"/>
      <c r="V372" s="570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hidden="1" customHeight="1" x14ac:dyDescent="0.25">
      <c r="A373" s="576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hidden="1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hidden="1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75</v>
      </c>
      <c r="Y376" s="552">
        <f>IFERROR(IF(X376="",0,CEILING((X376/$H376),1)*$H376),"")</f>
        <v>76</v>
      </c>
      <c r="Z376" s="36">
        <f>IFERROR(IF(Y376=0,"",ROUNDUP(Y376/H376,0)*0.00902),"")</f>
        <v>0.17138</v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78.562500000000014</v>
      </c>
      <c r="BN376" s="64">
        <f>IFERROR(Y376*I376/H376,"0")</f>
        <v>79.610000000000014</v>
      </c>
      <c r="BO376" s="64">
        <f>IFERROR(1/J376*(X376/H376),"0")</f>
        <v>0.14204545454545456</v>
      </c>
      <c r="BP376" s="64">
        <f>IFERROR(1/J376*(Y376/H376),"0")</f>
        <v>0.14393939393939395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68" t="s">
        <v>75</v>
      </c>
      <c r="Q377" s="569"/>
      <c r="R377" s="569"/>
      <c r="S377" s="569"/>
      <c r="T377" s="569"/>
      <c r="U377" s="569"/>
      <c r="V377" s="570"/>
      <c r="W377" s="37" t="s">
        <v>76</v>
      </c>
      <c r="X377" s="553">
        <f>IFERROR(X375/H375,"0")+IFERROR(X376/H376,"0")</f>
        <v>18.75</v>
      </c>
      <c r="Y377" s="553">
        <f>IFERROR(Y375/H375,"0")+IFERROR(Y376/H376,"0")</f>
        <v>19</v>
      </c>
      <c r="Z377" s="553">
        <f>IFERROR(IF(Z375="",0,Z375),"0")+IFERROR(IF(Z376="",0,Z376),"0")</f>
        <v>0.17138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68" t="s">
        <v>75</v>
      </c>
      <c r="Q378" s="569"/>
      <c r="R378" s="569"/>
      <c r="S378" s="569"/>
      <c r="T378" s="569"/>
      <c r="U378" s="569"/>
      <c r="V378" s="570"/>
      <c r="W378" s="37" t="s">
        <v>69</v>
      </c>
      <c r="X378" s="553">
        <f>IFERROR(SUM(X375:X376),"0")</f>
        <v>75</v>
      </c>
      <c r="Y378" s="553">
        <f>IFERROR(SUM(Y375:Y376),"0")</f>
        <v>76</v>
      </c>
      <c r="Z378" s="37"/>
      <c r="AA378" s="554"/>
      <c r="AB378" s="554"/>
      <c r="AC378" s="554"/>
    </row>
    <row r="379" spans="1:68" ht="14.25" hidden="1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hidden="1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68" t="s">
        <v>75</v>
      </c>
      <c r="Q382" s="569"/>
      <c r="R382" s="569"/>
      <c r="S382" s="569"/>
      <c r="T382" s="569"/>
      <c r="U382" s="569"/>
      <c r="V382" s="570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hidden="1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68" t="s">
        <v>75</v>
      </c>
      <c r="Q383" s="569"/>
      <c r="R383" s="569"/>
      <c r="S383" s="569"/>
      <c r="T383" s="569"/>
      <c r="U383" s="569"/>
      <c r="V383" s="570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hidden="1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400</v>
      </c>
      <c r="Y385" s="552">
        <f>IFERROR(IF(X385="",0,CEILING((X385/$H385),1)*$H385),"")</f>
        <v>405</v>
      </c>
      <c r="Z385" s="36">
        <f>IFERROR(IF(Y385=0,"",ROUNDUP(Y385/H385,0)*0.01898),"")</f>
        <v>0.85409999999999997</v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421.95555555555552</v>
      </c>
      <c r="BN385" s="64">
        <f>IFERROR(Y385*I385/H385,"0")</f>
        <v>427.22999999999996</v>
      </c>
      <c r="BO385" s="64">
        <f>IFERROR(1/J385*(X385/H385),"0")</f>
        <v>0.69444444444444442</v>
      </c>
      <c r="BP385" s="64">
        <f>IFERROR(1/J385*(Y385/H385),"0")</f>
        <v>0.703125</v>
      </c>
    </row>
    <row r="386" spans="1:68" ht="27" hidden="1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72</v>
      </c>
      <c r="Y387" s="552">
        <f>IFERROR(IF(X387="",0,CEILING((X387/$H387),1)*$H387),"")</f>
        <v>72</v>
      </c>
      <c r="Z387" s="36">
        <f>IFERROR(IF(Y387=0,"",ROUNDUP(Y387/H387,0)*0.00651),"")</f>
        <v>0.1953</v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79.920000000000016</v>
      </c>
      <c r="BN387" s="64">
        <f>IFERROR(Y387*I387/H387,"0")</f>
        <v>79.920000000000016</v>
      </c>
      <c r="BO387" s="64">
        <f>IFERROR(1/J387*(X387/H387),"0")</f>
        <v>0.16483516483516486</v>
      </c>
      <c r="BP387" s="64">
        <f>IFERROR(1/J387*(Y387/H387),"0")</f>
        <v>0.16483516483516486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68" t="s">
        <v>75</v>
      </c>
      <c r="Q388" s="569"/>
      <c r="R388" s="569"/>
      <c r="S388" s="569"/>
      <c r="T388" s="569"/>
      <c r="U388" s="569"/>
      <c r="V388" s="570"/>
      <c r="W388" s="37" t="s">
        <v>76</v>
      </c>
      <c r="X388" s="553">
        <f>IFERROR(X385/H385,"0")+IFERROR(X386/H386,"0")+IFERROR(X387/H387,"0")</f>
        <v>74.444444444444443</v>
      </c>
      <c r="Y388" s="553">
        <f>IFERROR(Y385/H385,"0")+IFERROR(Y386/H386,"0")+IFERROR(Y387/H387,"0")</f>
        <v>75</v>
      </c>
      <c r="Z388" s="553">
        <f>IFERROR(IF(Z385="",0,Z385),"0")+IFERROR(IF(Z386="",0,Z386),"0")+IFERROR(IF(Z387="",0,Z387),"0")</f>
        <v>1.0493999999999999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68" t="s">
        <v>75</v>
      </c>
      <c r="Q389" s="569"/>
      <c r="R389" s="569"/>
      <c r="S389" s="569"/>
      <c r="T389" s="569"/>
      <c r="U389" s="569"/>
      <c r="V389" s="570"/>
      <c r="W389" s="37" t="s">
        <v>69</v>
      </c>
      <c r="X389" s="553">
        <f>IFERROR(SUM(X385:X387),"0")</f>
        <v>472</v>
      </c>
      <c r="Y389" s="553">
        <f>IFERROR(SUM(Y385:Y387),"0")</f>
        <v>477</v>
      </c>
      <c r="Z389" s="37"/>
      <c r="AA389" s="554"/>
      <c r="AB389" s="554"/>
      <c r="AC389" s="554"/>
    </row>
    <row r="390" spans="1:68" ht="27.75" hidden="1" customHeight="1" x14ac:dyDescent="0.2">
      <c r="A390" s="613" t="s">
        <v>610</v>
      </c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  <c r="Z390" s="614"/>
      <c r="AA390" s="48"/>
      <c r="AB390" s="48"/>
      <c r="AC390" s="48"/>
    </row>
    <row r="391" spans="1:68" ht="16.5" hidden="1" customHeight="1" x14ac:dyDescent="0.25">
      <c r="A391" s="576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hidden="1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hidden="1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84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8.4</v>
      </c>
      <c r="Y397" s="552">
        <f t="shared" si="46"/>
        <v>8.4</v>
      </c>
      <c r="Z397" s="36">
        <f t="shared" si="51"/>
        <v>2.0080000000000001E-2</v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8.92</v>
      </c>
      <c r="BN397" s="64">
        <f t="shared" si="48"/>
        <v>8.92</v>
      </c>
      <c r="BO397" s="64">
        <f t="shared" si="49"/>
        <v>1.7094017094017096E-2</v>
      </c>
      <c r="BP397" s="64">
        <f t="shared" si="50"/>
        <v>1.7094017094017096E-2</v>
      </c>
    </row>
    <row r="398" spans="1:68" ht="37.5" hidden="1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hidden="1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68" t="s">
        <v>75</v>
      </c>
      <c r="Q402" s="569"/>
      <c r="R402" s="569"/>
      <c r="S402" s="569"/>
      <c r="T402" s="569"/>
      <c r="U402" s="569"/>
      <c r="V402" s="570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4</v>
      </c>
      <c r="Y402" s="553">
        <f>IFERROR(Y393/H393,"0")+IFERROR(Y394/H394,"0")+IFERROR(Y395/H395,"0")+IFERROR(Y396/H396,"0")+IFERROR(Y397/H397,"0")+IFERROR(Y398/H398,"0")+IFERROR(Y399/H399,"0")+IFERROR(Y400/H400,"0")+IFERROR(Y401/H401,"0")</f>
        <v>4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2.0080000000000001E-2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68" t="s">
        <v>75</v>
      </c>
      <c r="Q403" s="569"/>
      <c r="R403" s="569"/>
      <c r="S403" s="569"/>
      <c r="T403" s="569"/>
      <c r="U403" s="569"/>
      <c r="V403" s="570"/>
      <c r="W403" s="37" t="s">
        <v>69</v>
      </c>
      <c r="X403" s="553">
        <f>IFERROR(SUM(X393:X401),"0")</f>
        <v>8.4</v>
      </c>
      <c r="Y403" s="553">
        <f>IFERROR(SUM(Y393:Y401),"0")</f>
        <v>8.4</v>
      </c>
      <c r="Z403" s="37"/>
      <c r="AA403" s="554"/>
      <c r="AB403" s="554"/>
      <c r="AC403" s="554"/>
    </row>
    <row r="404" spans="1:68" ht="14.25" hidden="1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hidden="1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7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68" t="s">
        <v>75</v>
      </c>
      <c r="Q407" s="569"/>
      <c r="R407" s="569"/>
      <c r="S407" s="569"/>
      <c r="T407" s="569"/>
      <c r="U407" s="569"/>
      <c r="V407" s="570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hidden="1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68" t="s">
        <v>75</v>
      </c>
      <c r="Q408" s="569"/>
      <c r="R408" s="569"/>
      <c r="S408" s="569"/>
      <c r="T408" s="569"/>
      <c r="U408" s="569"/>
      <c r="V408" s="570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hidden="1" customHeight="1" x14ac:dyDescent="0.25">
      <c r="A409" s="576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hidden="1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hidden="1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68" t="s">
        <v>75</v>
      </c>
      <c r="Q412" s="569"/>
      <c r="R412" s="569"/>
      <c r="S412" s="569"/>
      <c r="T412" s="569"/>
      <c r="U412" s="569"/>
      <c r="V412" s="570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hidden="1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68" t="s">
        <v>75</v>
      </c>
      <c r="Q413" s="569"/>
      <c r="R413" s="569"/>
      <c r="S413" s="569"/>
      <c r="T413" s="569"/>
      <c r="U413" s="569"/>
      <c r="V413" s="570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hidden="1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25</v>
      </c>
      <c r="Y415" s="552">
        <f>IFERROR(IF(X415="",0,CEILING((X415/$H415),1)*$H415),"")</f>
        <v>27</v>
      </c>
      <c r="Z415" s="36">
        <f>IFERROR(IF(Y415=0,"",ROUNDUP(Y415/H415,0)*0.00902),"")</f>
        <v>4.5100000000000001E-2</v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25.879629629629626</v>
      </c>
      <c r="BN415" s="64">
        <f>IFERROR(Y415*I415/H415,"0")</f>
        <v>27.95</v>
      </c>
      <c r="BO415" s="64">
        <f>IFERROR(1/J415*(X415/H415),"0")</f>
        <v>3.5072951739618406E-2</v>
      </c>
      <c r="BP415" s="64">
        <f>IFERROR(1/J415*(Y415/H415),"0")</f>
        <v>3.787878787878788E-2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68" t="s">
        <v>75</v>
      </c>
      <c r="Q419" s="569"/>
      <c r="R419" s="569"/>
      <c r="S419" s="569"/>
      <c r="T419" s="569"/>
      <c r="U419" s="569"/>
      <c r="V419" s="570"/>
      <c r="W419" s="37" t="s">
        <v>76</v>
      </c>
      <c r="X419" s="553">
        <f>IFERROR(X415/H415,"0")+IFERROR(X416/H416,"0")+IFERROR(X417/H417,"0")+IFERROR(X418/H418,"0")</f>
        <v>4.6296296296296298</v>
      </c>
      <c r="Y419" s="553">
        <f>IFERROR(Y415/H415,"0")+IFERROR(Y416/H416,"0")+IFERROR(Y417/H417,"0")+IFERROR(Y418/H418,"0")</f>
        <v>5</v>
      </c>
      <c r="Z419" s="553">
        <f>IFERROR(IF(Z415="",0,Z415),"0")+IFERROR(IF(Z416="",0,Z416),"0")+IFERROR(IF(Z417="",0,Z417),"0")+IFERROR(IF(Z418="",0,Z418),"0")</f>
        <v>4.5100000000000001E-2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68" t="s">
        <v>75</v>
      </c>
      <c r="Q420" s="569"/>
      <c r="R420" s="569"/>
      <c r="S420" s="569"/>
      <c r="T420" s="569"/>
      <c r="U420" s="569"/>
      <c r="V420" s="570"/>
      <c r="W420" s="37" t="s">
        <v>69</v>
      </c>
      <c r="X420" s="553">
        <f>IFERROR(SUM(X415:X418),"0")</f>
        <v>25</v>
      </c>
      <c r="Y420" s="553">
        <f>IFERROR(SUM(Y415:Y418),"0")</f>
        <v>27</v>
      </c>
      <c r="Z420" s="37"/>
      <c r="AA420" s="554"/>
      <c r="AB420" s="554"/>
      <c r="AC420" s="554"/>
    </row>
    <row r="421" spans="1:68" ht="16.5" hidden="1" customHeight="1" x14ac:dyDescent="0.25">
      <c r="A421" s="576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hidden="1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hidden="1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68" t="s">
        <v>75</v>
      </c>
      <c r="Q424" s="569"/>
      <c r="R424" s="569"/>
      <c r="S424" s="569"/>
      <c r="T424" s="569"/>
      <c r="U424" s="569"/>
      <c r="V424" s="570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hidden="1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68" t="s">
        <v>75</v>
      </c>
      <c r="Q425" s="569"/>
      <c r="R425" s="569"/>
      <c r="S425" s="569"/>
      <c r="T425" s="569"/>
      <c r="U425" s="569"/>
      <c r="V425" s="570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hidden="1" customHeight="1" x14ac:dyDescent="0.2">
      <c r="A426" s="613" t="s">
        <v>661</v>
      </c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48"/>
      <c r="AB426" s="48"/>
      <c r="AC426" s="48"/>
    </row>
    <row r="427" spans="1:68" ht="16.5" hidden="1" customHeight="1" x14ac:dyDescent="0.25">
      <c r="A427" s="576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hidden="1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hidden="1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1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150</v>
      </c>
      <c r="Y431" s="552">
        <f t="shared" si="52"/>
        <v>153.12</v>
      </c>
      <c r="Z431" s="36">
        <f t="shared" si="53"/>
        <v>0.34683999999999998</v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159.94318181818181</v>
      </c>
      <c r="BN431" s="64">
        <f t="shared" si="55"/>
        <v>163.26999999999998</v>
      </c>
      <c r="BO431" s="64">
        <f t="shared" si="56"/>
        <v>0.27316433566433568</v>
      </c>
      <c r="BP431" s="64">
        <f t="shared" si="57"/>
        <v>0.27884615384615385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hidden="1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50</v>
      </c>
      <c r="Y435" s="552">
        <f t="shared" si="52"/>
        <v>52.800000000000004</v>
      </c>
      <c r="Z435" s="36">
        <f t="shared" si="53"/>
        <v>0.1196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53.314393939393938</v>
      </c>
      <c r="BN435" s="64">
        <f t="shared" si="55"/>
        <v>56.3</v>
      </c>
      <c r="BO435" s="64">
        <f t="shared" si="56"/>
        <v>9.1054778554778545E-2</v>
      </c>
      <c r="BP435" s="64">
        <f t="shared" si="57"/>
        <v>9.6153846153846159E-2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9.6</v>
      </c>
      <c r="Y437" s="552">
        <f t="shared" si="52"/>
        <v>9.6</v>
      </c>
      <c r="Z437" s="36">
        <f>IFERROR(IF(Y437=0,"",ROUNDUP(Y437/H437,0)*0.00902),"")</f>
        <v>1.804E-2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13.82</v>
      </c>
      <c r="BN437" s="64">
        <f t="shared" si="55"/>
        <v>13.82</v>
      </c>
      <c r="BO437" s="64">
        <f t="shared" si="56"/>
        <v>1.5151515151515152E-2</v>
      </c>
      <c r="BP437" s="64">
        <f t="shared" si="57"/>
        <v>1.5151515151515152E-2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9.6</v>
      </c>
      <c r="Y440" s="552">
        <f t="shared" si="52"/>
        <v>9.6</v>
      </c>
      <c r="Z440" s="36">
        <f>IFERROR(IF(Y440=0,"",ROUNDUP(Y440/H440,0)*0.00902),"")</f>
        <v>1.804E-2</v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13.82</v>
      </c>
      <c r="BN440" s="64">
        <f t="shared" si="55"/>
        <v>13.82</v>
      </c>
      <c r="BO440" s="64">
        <f t="shared" si="56"/>
        <v>1.5151515151515152E-2</v>
      </c>
      <c r="BP440" s="64">
        <f t="shared" si="57"/>
        <v>1.5151515151515152E-2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68" t="s">
        <v>75</v>
      </c>
      <c r="Q441" s="569"/>
      <c r="R441" s="569"/>
      <c r="S441" s="569"/>
      <c r="T441" s="569"/>
      <c r="U441" s="569"/>
      <c r="V441" s="570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41.878787878787875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43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0.50251999999999997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68" t="s">
        <v>75</v>
      </c>
      <c r="Q442" s="569"/>
      <c r="R442" s="569"/>
      <c r="S442" s="569"/>
      <c r="T442" s="569"/>
      <c r="U442" s="569"/>
      <c r="V442" s="570"/>
      <c r="W442" s="37" t="s">
        <v>69</v>
      </c>
      <c r="X442" s="553">
        <f>IFERROR(SUM(X429:X440),"0")</f>
        <v>219.2</v>
      </c>
      <c r="Y442" s="553">
        <f>IFERROR(SUM(Y429:Y440),"0")</f>
        <v>225.12</v>
      </c>
      <c r="Z442" s="37"/>
      <c r="AA442" s="554"/>
      <c r="AB442" s="554"/>
      <c r="AC442" s="554"/>
    </row>
    <row r="443" spans="1:68" ht="14.25" hidden="1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350</v>
      </c>
      <c r="Y444" s="552">
        <f>IFERROR(IF(X444="",0,CEILING((X444/$H444),1)*$H444),"")</f>
        <v>353.76</v>
      </c>
      <c r="Z444" s="36">
        <f>IFERROR(IF(Y444=0,"",ROUNDUP(Y444/H444,0)*0.01196),"")</f>
        <v>0.80132000000000003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373.20075757575756</v>
      </c>
      <c r="BN444" s="64">
        <f>IFERROR(Y444*I444/H444,"0")</f>
        <v>377.21</v>
      </c>
      <c r="BO444" s="64">
        <f>IFERROR(1/J444*(X444/H444),"0")</f>
        <v>0.63738344988344986</v>
      </c>
      <c r="BP444" s="64">
        <f>IFERROR(1/J444*(Y444/H444),"0")</f>
        <v>0.64423076923076927</v>
      </c>
    </row>
    <row r="445" spans="1:68" ht="16.5" hidden="1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68" t="s">
        <v>75</v>
      </c>
      <c r="Q447" s="569"/>
      <c r="R447" s="569"/>
      <c r="S447" s="569"/>
      <c r="T447" s="569"/>
      <c r="U447" s="569"/>
      <c r="V447" s="570"/>
      <c r="W447" s="37" t="s">
        <v>76</v>
      </c>
      <c r="X447" s="553">
        <f>IFERROR(X444/H444,"0")+IFERROR(X445/H445,"0")+IFERROR(X446/H446,"0")</f>
        <v>66.287878787878782</v>
      </c>
      <c r="Y447" s="553">
        <f>IFERROR(Y444/H444,"0")+IFERROR(Y445/H445,"0")+IFERROR(Y446/H446,"0")</f>
        <v>67</v>
      </c>
      <c r="Z447" s="553">
        <f>IFERROR(IF(Z444="",0,Z444),"0")+IFERROR(IF(Z445="",0,Z445),"0")+IFERROR(IF(Z446="",0,Z446),"0")</f>
        <v>0.80132000000000003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68" t="s">
        <v>75</v>
      </c>
      <c r="Q448" s="569"/>
      <c r="R448" s="569"/>
      <c r="S448" s="569"/>
      <c r="T448" s="569"/>
      <c r="U448" s="569"/>
      <c r="V448" s="570"/>
      <c r="W448" s="37" t="s">
        <v>69</v>
      </c>
      <c r="X448" s="553">
        <f>IFERROR(SUM(X444:X446),"0")</f>
        <v>350</v>
      </c>
      <c r="Y448" s="553">
        <f>IFERROR(SUM(Y444:Y446),"0")</f>
        <v>353.76</v>
      </c>
      <c r="Z448" s="37"/>
      <c r="AA448" s="554"/>
      <c r="AB448" s="554"/>
      <c r="AC448" s="554"/>
    </row>
    <row r="449" spans="1:68" ht="14.25" hidden="1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120</v>
      </c>
      <c r="Y450" s="552">
        <f t="shared" ref="Y450:Y455" si="58">IFERROR(IF(X450="",0,CEILING((X450/$H450),1)*$H450),"")</f>
        <v>121.44000000000001</v>
      </c>
      <c r="Z450" s="36">
        <f>IFERROR(IF(Y450=0,"",ROUNDUP(Y450/H450,0)*0.01196),"")</f>
        <v>0.27507999999999999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127.95454545454545</v>
      </c>
      <c r="BN450" s="64">
        <f t="shared" ref="BN450:BN455" si="60">IFERROR(Y450*I450/H450,"0")</f>
        <v>129.49</v>
      </c>
      <c r="BO450" s="64">
        <f t="shared" ref="BO450:BO455" si="61">IFERROR(1/J450*(X450/H450),"0")</f>
        <v>0.21853146853146854</v>
      </c>
      <c r="BP450" s="64">
        <f t="shared" ref="BP450:BP455" si="62">IFERROR(1/J450*(Y450/H450),"0")</f>
        <v>0.22115384615384617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50</v>
      </c>
      <c r="Y451" s="552">
        <f t="shared" si="58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53.314393939393938</v>
      </c>
      <c r="BN451" s="64">
        <f t="shared" si="60"/>
        <v>56.3</v>
      </c>
      <c r="BO451" s="64">
        <f t="shared" si="61"/>
        <v>9.1054778554778545E-2</v>
      </c>
      <c r="BP451" s="64">
        <f t="shared" si="62"/>
        <v>9.6153846153846159E-2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0</v>
      </c>
      <c r="Y452" s="552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5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19.2</v>
      </c>
      <c r="Y453" s="552">
        <f t="shared" si="58"/>
        <v>19.2</v>
      </c>
      <c r="Z453" s="36">
        <f>IFERROR(IF(Y453=0,"",ROUNDUP(Y453/H453,0)*0.00902),"")</f>
        <v>3.6080000000000001E-2</v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27.64</v>
      </c>
      <c r="BN453" s="64">
        <f t="shared" si="60"/>
        <v>27.64</v>
      </c>
      <c r="BO453" s="64">
        <f t="shared" si="61"/>
        <v>3.0303030303030304E-2</v>
      </c>
      <c r="BP453" s="64">
        <f t="shared" si="62"/>
        <v>3.0303030303030304E-2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14.4</v>
      </c>
      <c r="Y454" s="552">
        <f t="shared" si="58"/>
        <v>14.399999999999999</v>
      </c>
      <c r="Z454" s="36">
        <f>IFERROR(IF(Y454=0,"",ROUNDUP(Y454/H454,0)*0.00902),"")</f>
        <v>2.7060000000000001E-2</v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20.010000000000002</v>
      </c>
      <c r="BN454" s="64">
        <f t="shared" si="60"/>
        <v>20.009999999999998</v>
      </c>
      <c r="BO454" s="64">
        <f t="shared" si="61"/>
        <v>2.2727272727272728E-2</v>
      </c>
      <c r="BP454" s="64">
        <f t="shared" si="62"/>
        <v>2.2727272727272728E-2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19.2</v>
      </c>
      <c r="Y455" s="552">
        <f t="shared" si="58"/>
        <v>19.2</v>
      </c>
      <c r="Z455" s="36">
        <f>IFERROR(IF(Y455=0,"",ROUNDUP(Y455/H455,0)*0.00902),"")</f>
        <v>3.6080000000000001E-2</v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26.68</v>
      </c>
      <c r="BN455" s="64">
        <f t="shared" si="60"/>
        <v>26.68</v>
      </c>
      <c r="BO455" s="64">
        <f t="shared" si="61"/>
        <v>3.0303030303030304E-2</v>
      </c>
      <c r="BP455" s="64">
        <f t="shared" si="62"/>
        <v>3.0303030303030304E-2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68" t="s">
        <v>75</v>
      </c>
      <c r="Q456" s="569"/>
      <c r="R456" s="569"/>
      <c r="S456" s="569"/>
      <c r="T456" s="569"/>
      <c r="U456" s="569"/>
      <c r="V456" s="570"/>
      <c r="W456" s="37" t="s">
        <v>76</v>
      </c>
      <c r="X456" s="553">
        <f>IFERROR(X450/H450,"0")+IFERROR(X451/H451,"0")+IFERROR(X452/H452,"0")+IFERROR(X453/H453,"0")+IFERROR(X454/H454,"0")+IFERROR(X455/H455,"0")</f>
        <v>43.196969696969695</v>
      </c>
      <c r="Y456" s="553">
        <f>IFERROR(Y450/H450,"0")+IFERROR(Y451/H451,"0")+IFERROR(Y452/H452,"0")+IFERROR(Y453/H453,"0")+IFERROR(Y454/H454,"0")+IFERROR(Y455/H455,"0")</f>
        <v>44</v>
      </c>
      <c r="Z456" s="553">
        <f>IFERROR(IF(Z450="",0,Z450),"0")+IFERROR(IF(Z451="",0,Z451),"0")+IFERROR(IF(Z452="",0,Z452),"0")+IFERROR(IF(Z453="",0,Z453),"0")+IFERROR(IF(Z454="",0,Z454),"0")+IFERROR(IF(Z455="",0,Z455),"0")</f>
        <v>0.49390000000000001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68" t="s">
        <v>75</v>
      </c>
      <c r="Q457" s="569"/>
      <c r="R457" s="569"/>
      <c r="S457" s="569"/>
      <c r="T457" s="569"/>
      <c r="U457" s="569"/>
      <c r="V457" s="570"/>
      <c r="W457" s="37" t="s">
        <v>69</v>
      </c>
      <c r="X457" s="553">
        <f>IFERROR(SUM(X450:X455),"0")</f>
        <v>222.79999999999998</v>
      </c>
      <c r="Y457" s="553">
        <f>IFERROR(SUM(Y450:Y455),"0")</f>
        <v>227.04</v>
      </c>
      <c r="Z457" s="37"/>
      <c r="AA457" s="554"/>
      <c r="AB457" s="554"/>
      <c r="AC457" s="554"/>
    </row>
    <row r="458" spans="1:68" ht="14.25" hidden="1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hidden="1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68" t="s">
        <v>75</v>
      </c>
      <c r="Q460" s="569"/>
      <c r="R460" s="569"/>
      <c r="S460" s="569"/>
      <c r="T460" s="569"/>
      <c r="U460" s="569"/>
      <c r="V460" s="570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hidden="1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68" t="s">
        <v>75</v>
      </c>
      <c r="Q461" s="569"/>
      <c r="R461" s="569"/>
      <c r="S461" s="569"/>
      <c r="T461" s="569"/>
      <c r="U461" s="569"/>
      <c r="V461" s="570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hidden="1" customHeight="1" x14ac:dyDescent="0.2">
      <c r="A462" s="613" t="s">
        <v>716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48"/>
      <c r="AB462" s="48"/>
      <c r="AC462" s="48"/>
    </row>
    <row r="463" spans="1:68" ht="16.5" hidden="1" customHeight="1" x14ac:dyDescent="0.25">
      <c r="A463" s="576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hidden="1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hidden="1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0</v>
      </c>
      <c r="Y467" s="55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68" t="s">
        <v>75</v>
      </c>
      <c r="Q469" s="569"/>
      <c r="R469" s="569"/>
      <c r="S469" s="569"/>
      <c r="T469" s="569"/>
      <c r="U469" s="569"/>
      <c r="V469" s="570"/>
      <c r="W469" s="37" t="s">
        <v>76</v>
      </c>
      <c r="X469" s="553">
        <f>IFERROR(X465/H465,"0")+IFERROR(X466/H466,"0")+IFERROR(X467/H467,"0")+IFERROR(X468/H468,"0")</f>
        <v>0</v>
      </c>
      <c r="Y469" s="553">
        <f>IFERROR(Y465/H465,"0")+IFERROR(Y466/H466,"0")+IFERROR(Y467/H467,"0")+IFERROR(Y468/H468,"0")</f>
        <v>0</v>
      </c>
      <c r="Z469" s="553">
        <f>IFERROR(IF(Z465="",0,Z465),"0")+IFERROR(IF(Z466="",0,Z466),"0")+IFERROR(IF(Z467="",0,Z467),"0")+IFERROR(IF(Z468="",0,Z468),"0")</f>
        <v>0</v>
      </c>
      <c r="AA469" s="554"/>
      <c r="AB469" s="554"/>
      <c r="AC469" s="554"/>
    </row>
    <row r="470" spans="1:68" hidden="1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68" t="s">
        <v>75</v>
      </c>
      <c r="Q470" s="569"/>
      <c r="R470" s="569"/>
      <c r="S470" s="569"/>
      <c r="T470" s="569"/>
      <c r="U470" s="569"/>
      <c r="V470" s="570"/>
      <c r="W470" s="37" t="s">
        <v>69</v>
      </c>
      <c r="X470" s="553">
        <f>IFERROR(SUM(X465:X468),"0")</f>
        <v>0</v>
      </c>
      <c r="Y470" s="553">
        <f>IFERROR(SUM(Y465:Y468),"0")</f>
        <v>0</v>
      </c>
      <c r="Z470" s="37"/>
      <c r="AA470" s="554"/>
      <c r="AB470" s="554"/>
      <c r="AC470" s="554"/>
    </row>
    <row r="471" spans="1:68" ht="14.25" hidden="1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hidden="1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1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68" t="s">
        <v>75</v>
      </c>
      <c r="Q474" s="569"/>
      <c r="R474" s="569"/>
      <c r="S474" s="569"/>
      <c r="T474" s="569"/>
      <c r="U474" s="569"/>
      <c r="V474" s="570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hidden="1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68" t="s">
        <v>75</v>
      </c>
      <c r="Q475" s="569"/>
      <c r="R475" s="569"/>
      <c r="S475" s="569"/>
      <c r="T475" s="569"/>
      <c r="U475" s="569"/>
      <c r="V475" s="570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hidden="1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80</v>
      </c>
      <c r="Y477" s="552">
        <f>IFERROR(IF(X477="",0,CEILING((X477/$H477),1)*$H477),"")</f>
        <v>81.599999999999994</v>
      </c>
      <c r="Z477" s="36">
        <f>IFERROR(IF(Y477=0,"",ROUNDUP(Y477/H477,0)*0.00902),"")</f>
        <v>0.15334</v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84.166666666666671</v>
      </c>
      <c r="BN477" s="64">
        <f>IFERROR(Y477*I477/H477,"0")</f>
        <v>85.85</v>
      </c>
      <c r="BO477" s="64">
        <f>IFERROR(1/J477*(X477/H477),"0")</f>
        <v>0.12626262626262627</v>
      </c>
      <c r="BP477" s="64">
        <f>IFERROR(1/J477*(Y477/H477),"0")</f>
        <v>0.12878787878787878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68" t="s">
        <v>75</v>
      </c>
      <c r="Q478" s="569"/>
      <c r="R478" s="569"/>
      <c r="S478" s="569"/>
      <c r="T478" s="569"/>
      <c r="U478" s="569"/>
      <c r="V478" s="570"/>
      <c r="W478" s="37" t="s">
        <v>76</v>
      </c>
      <c r="X478" s="553">
        <f>IFERROR(X477/H477,"0")</f>
        <v>16.666666666666668</v>
      </c>
      <c r="Y478" s="553">
        <f>IFERROR(Y477/H477,"0")</f>
        <v>17</v>
      </c>
      <c r="Z478" s="553">
        <f>IFERROR(IF(Z477="",0,Z477),"0")</f>
        <v>0.15334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68" t="s">
        <v>75</v>
      </c>
      <c r="Q479" s="569"/>
      <c r="R479" s="569"/>
      <c r="S479" s="569"/>
      <c r="T479" s="569"/>
      <c r="U479" s="569"/>
      <c r="V479" s="570"/>
      <c r="W479" s="37" t="s">
        <v>69</v>
      </c>
      <c r="X479" s="553">
        <f>IFERROR(SUM(X477:X477),"0")</f>
        <v>80</v>
      </c>
      <c r="Y479" s="553">
        <f>IFERROR(SUM(Y477:Y477),"0")</f>
        <v>81.599999999999994</v>
      </c>
      <c r="Z479" s="37"/>
      <c r="AA479" s="554"/>
      <c r="AB479" s="554"/>
      <c r="AC479" s="554"/>
    </row>
    <row r="480" spans="1:68" ht="14.25" hidden="1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hidden="1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68" t="s">
        <v>75</v>
      </c>
      <c r="Q482" s="569"/>
      <c r="R482" s="569"/>
      <c r="S482" s="569"/>
      <c r="T482" s="569"/>
      <c r="U482" s="569"/>
      <c r="V482" s="570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hidden="1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68" t="s">
        <v>75</v>
      </c>
      <c r="Q483" s="569"/>
      <c r="R483" s="569"/>
      <c r="S483" s="569"/>
      <c r="T483" s="569"/>
      <c r="U483" s="569"/>
      <c r="V483" s="570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hidden="1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hidden="1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68" t="s">
        <v>75</v>
      </c>
      <c r="Q487" s="569"/>
      <c r="R487" s="569"/>
      <c r="S487" s="569"/>
      <c r="T487" s="569"/>
      <c r="U487" s="569"/>
      <c r="V487" s="570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hidden="1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68" t="s">
        <v>75</v>
      </c>
      <c r="Q488" s="569"/>
      <c r="R488" s="569"/>
      <c r="S488" s="569"/>
      <c r="T488" s="569"/>
      <c r="U488" s="569"/>
      <c r="V488" s="570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hidden="1" customHeight="1" x14ac:dyDescent="0.25">
      <c r="A489" s="576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hidden="1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hidden="1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6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68" t="s">
        <v>75</v>
      </c>
      <c r="Q492" s="569"/>
      <c r="R492" s="569"/>
      <c r="S492" s="569"/>
      <c r="T492" s="569"/>
      <c r="U492" s="569"/>
      <c r="V492" s="570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hidden="1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68" t="s">
        <v>75</v>
      </c>
      <c r="Q493" s="569"/>
      <c r="R493" s="569"/>
      <c r="S493" s="569"/>
      <c r="T493" s="569"/>
      <c r="U493" s="569"/>
      <c r="V493" s="570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65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66"/>
      <c r="P494" s="668" t="s">
        <v>750</v>
      </c>
      <c r="Q494" s="669"/>
      <c r="R494" s="669"/>
      <c r="S494" s="669"/>
      <c r="T494" s="669"/>
      <c r="U494" s="669"/>
      <c r="V494" s="670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10649.17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10775.11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66"/>
      <c r="P495" s="668" t="s">
        <v>751</v>
      </c>
      <c r="Q495" s="669"/>
      <c r="R495" s="669"/>
      <c r="S495" s="669"/>
      <c r="T495" s="669"/>
      <c r="U495" s="669"/>
      <c r="V495" s="670"/>
      <c r="W495" s="37" t="s">
        <v>69</v>
      </c>
      <c r="X495" s="553">
        <f>IFERROR(SUM(BM22:BM491),"0")</f>
        <v>11295.880665843255</v>
      </c>
      <c r="Y495" s="553">
        <f>IFERROR(SUM(BN22:BN491),"0")</f>
        <v>11427.939999999995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66"/>
      <c r="P496" s="668" t="s">
        <v>752</v>
      </c>
      <c r="Q496" s="669"/>
      <c r="R496" s="669"/>
      <c r="S496" s="669"/>
      <c r="T496" s="669"/>
      <c r="U496" s="669"/>
      <c r="V496" s="670"/>
      <c r="W496" s="37" t="s">
        <v>753</v>
      </c>
      <c r="X496" s="38">
        <f>ROUNDUP(SUM(BO22:BO491),0)</f>
        <v>20</v>
      </c>
      <c r="Y496" s="38">
        <f>ROUNDUP(SUM(BP22:BP491),0)</f>
        <v>20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66"/>
      <c r="P497" s="668" t="s">
        <v>754</v>
      </c>
      <c r="Q497" s="669"/>
      <c r="R497" s="669"/>
      <c r="S497" s="669"/>
      <c r="T497" s="669"/>
      <c r="U497" s="669"/>
      <c r="V497" s="670"/>
      <c r="W497" s="37" t="s">
        <v>69</v>
      </c>
      <c r="X497" s="553">
        <f>GrossWeightTotal+PalletQtyTotal*25</f>
        <v>11795.880665843255</v>
      </c>
      <c r="Y497" s="553">
        <f>GrossWeightTotalR+PalletQtyTotalR*25</f>
        <v>11927.939999999995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66"/>
      <c r="P498" s="668" t="s">
        <v>755</v>
      </c>
      <c r="Q498" s="669"/>
      <c r="R498" s="669"/>
      <c r="S498" s="669"/>
      <c r="T498" s="669"/>
      <c r="U498" s="669"/>
      <c r="V498" s="670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2212.5635146205318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2230</v>
      </c>
      <c r="Z498" s="37"/>
      <c r="AA498" s="554"/>
      <c r="AB498" s="554"/>
      <c r="AC498" s="554"/>
    </row>
    <row r="499" spans="1:32" ht="14.25" hidden="1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66"/>
      <c r="P499" s="668" t="s">
        <v>756</v>
      </c>
      <c r="Q499" s="669"/>
      <c r="R499" s="669"/>
      <c r="S499" s="669"/>
      <c r="T499" s="669"/>
      <c r="U499" s="669"/>
      <c r="V499" s="670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23.137990000000002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5" t="s">
        <v>99</v>
      </c>
      <c r="D501" s="667"/>
      <c r="E501" s="667"/>
      <c r="F501" s="667"/>
      <c r="G501" s="667"/>
      <c r="H501" s="646"/>
      <c r="I501" s="605" t="s">
        <v>266</v>
      </c>
      <c r="J501" s="667"/>
      <c r="K501" s="667"/>
      <c r="L501" s="667"/>
      <c r="M501" s="667"/>
      <c r="N501" s="667"/>
      <c r="O501" s="667"/>
      <c r="P501" s="667"/>
      <c r="Q501" s="667"/>
      <c r="R501" s="646"/>
      <c r="S501" s="605" t="s">
        <v>556</v>
      </c>
      <c r="T501" s="646"/>
      <c r="U501" s="605" t="s">
        <v>610</v>
      </c>
      <c r="V501" s="667"/>
      <c r="W501" s="646"/>
      <c r="X501" s="548" t="s">
        <v>661</v>
      </c>
      <c r="Y501" s="605" t="s">
        <v>716</v>
      </c>
      <c r="Z501" s="646"/>
      <c r="AB501" s="52"/>
      <c r="AC501" s="52"/>
      <c r="AF501" s="549"/>
    </row>
    <row r="502" spans="1:32" ht="14.25" customHeight="1" thickTop="1" x14ac:dyDescent="0.2">
      <c r="A502" s="877" t="s">
        <v>759</v>
      </c>
      <c r="B502" s="605" t="s">
        <v>63</v>
      </c>
      <c r="C502" s="605" t="s">
        <v>100</v>
      </c>
      <c r="D502" s="605" t="s">
        <v>117</v>
      </c>
      <c r="E502" s="605" t="s">
        <v>168</v>
      </c>
      <c r="F502" s="605" t="s">
        <v>190</v>
      </c>
      <c r="G502" s="605" t="s">
        <v>227</v>
      </c>
      <c r="H502" s="605" t="s">
        <v>99</v>
      </c>
      <c r="I502" s="605" t="s">
        <v>267</v>
      </c>
      <c r="J502" s="605" t="s">
        <v>322</v>
      </c>
      <c r="K502" s="605" t="s">
        <v>382</v>
      </c>
      <c r="L502" s="605" t="s">
        <v>423</v>
      </c>
      <c r="M502" s="605" t="s">
        <v>439</v>
      </c>
      <c r="N502" s="549"/>
      <c r="O502" s="605" t="s">
        <v>450</v>
      </c>
      <c r="P502" s="605" t="s">
        <v>459</v>
      </c>
      <c r="Q502" s="605" t="s">
        <v>472</v>
      </c>
      <c r="R502" s="605" t="s">
        <v>546</v>
      </c>
      <c r="S502" s="605" t="s">
        <v>557</v>
      </c>
      <c r="T502" s="605" t="s">
        <v>592</v>
      </c>
      <c r="U502" s="605" t="s">
        <v>611</v>
      </c>
      <c r="V502" s="605" t="s">
        <v>642</v>
      </c>
      <c r="W502" s="605" t="s">
        <v>657</v>
      </c>
      <c r="X502" s="605" t="s">
        <v>661</v>
      </c>
      <c r="Y502" s="605" t="s">
        <v>716</v>
      </c>
      <c r="Z502" s="605" t="s">
        <v>746</v>
      </c>
      <c r="AB502" s="52"/>
      <c r="AC502" s="52"/>
      <c r="AF502" s="549"/>
    </row>
    <row r="503" spans="1:32" ht="13.5" customHeight="1" thickBot="1" x14ac:dyDescent="0.25">
      <c r="A503" s="878"/>
      <c r="B503" s="606"/>
      <c r="C503" s="606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549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570.40000000000009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1083.6000000000001</v>
      </c>
      <c r="E504" s="46">
        <f>IFERROR(Y84*1,"0")+IFERROR(Y85*1,"0")+IFERROR(Y86*1,"0")+IFERROR(Y87*1,"0")+IFERROR(Y91*1,"0")+IFERROR(Y92*1,"0")+IFERROR(Y93*1,"0")+IFERROR(Y94*1,"0")</f>
        <v>756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561.9</v>
      </c>
      <c r="G504" s="46">
        <f>IFERROR(Y126*1,"0")+IFERROR(Y127*1,"0")+IFERROR(Y131*1,"0")+IFERROR(Y132*1,"0")+IFERROR(Y136*1,"0")+IFERROR(Y137*1,"0")</f>
        <v>107.2</v>
      </c>
      <c r="H504" s="46">
        <f>IFERROR(Y142*1,"0")+IFERROR(Y143*1,"0")+IFERROR(Y147*1,"0")+IFERROR(Y148*1,"0")+IFERROR(Y149*1,"0")+IFERROR(Y150*1,"0")+IFERROR(Y151*1,"0")+IFERROR(Y152*1,"0")+IFERROR(Y156*1,"0")</f>
        <v>138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287.28000000000003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731.40000000000009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22.5</v>
      </c>
      <c r="L504" s="46">
        <f>IFERROR(Y262*1,"0")+IFERROR(Y263*1,"0")+IFERROR(Y264*1,"0")+IFERROR(Y265*1,"0")+IFERROR(Y266*1,"0")</f>
        <v>237.60000000000002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10.199999999999999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3069.6100000000006</v>
      </c>
      <c r="R504" s="46">
        <f>IFERROR(Y342*1,"0")+IFERROR(Y343*1,"0")+IFERROR(Y344*1,"0")</f>
        <v>385.5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1338</v>
      </c>
      <c r="T504" s="46">
        <f>IFERROR(Y375*1,"0")+IFERROR(Y376*1,"0")+IFERROR(Y380*1,"0")+IFERROR(Y381*1,"0")+IFERROR(Y385*1,"0")+IFERROR(Y386*1,"0")+IFERROR(Y387*1,"0")</f>
        <v>553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8.4</v>
      </c>
      <c r="V504" s="46">
        <f>IFERROR(Y411*1,"0")+IFERROR(Y415*1,"0")+IFERROR(Y416*1,"0")+IFERROR(Y417*1,"0")+IFERROR(Y418*1,"0")</f>
        <v>27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805.92000000000007</v>
      </c>
      <c r="Y504" s="46">
        <f>IFERROR(Y465*1,"0")+IFERROR(Y466*1,"0")+IFERROR(Y467*1,"0")+IFERROR(Y468*1,"0")+IFERROR(Y472*1,"0")+IFERROR(Y473*1,"0")+IFERROR(Y477*1,"0")+IFERROR(Y481*1,"0")+IFERROR(Y485*1,"0")+IFERROR(Y486*1,"0")</f>
        <v>81.599999999999994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80"/>
        <filter val="1,98"/>
        <filter val="10 649,17"/>
        <filter val="10,00"/>
        <filter val="100,00"/>
        <filter val="108,00"/>
        <filter val="108,90"/>
        <filter val="11 295,88"/>
        <filter val="11 795,88"/>
        <filter val="112,52"/>
        <filter val="115,89"/>
        <filter val="12,00"/>
        <filter val="12,60"/>
        <filter val="120,00"/>
        <filter val="126,00"/>
        <filter val="132,00"/>
        <filter val="14,40"/>
        <filter val="14,95"/>
        <filter val="140,00"/>
        <filter val="15,00"/>
        <filter val="150,00"/>
        <filter val="152,56"/>
        <filter val="154,88"/>
        <filter val="157,50"/>
        <filter val="16,67"/>
        <filter val="16,80"/>
        <filter val="160,00"/>
        <filter val="17,00"/>
        <filter val="17,33"/>
        <filter val="178,50"/>
        <filter val="18,00"/>
        <filter val="18,75"/>
        <filter val="19,20"/>
        <filter val="2 212,56"/>
        <filter val="2,00"/>
        <filter val="2,55"/>
        <filter val="20"/>
        <filter val="20,00"/>
        <filter val="20,04"/>
        <filter val="200,00"/>
        <filter val="201,67"/>
        <filter val="21,30"/>
        <filter val="21,42"/>
        <filter val="21,60"/>
        <filter val="219,20"/>
        <filter val="22,50"/>
        <filter val="222,50"/>
        <filter val="222,80"/>
        <filter val="230,00"/>
        <filter val="230,95"/>
        <filter val="24,00"/>
        <filter val="25,00"/>
        <filter val="25,50"/>
        <filter val="250,00"/>
        <filter val="256,30"/>
        <filter val="258,60"/>
        <filter val="26,00"/>
        <filter val="26,40"/>
        <filter val="28,00"/>
        <filter val="280,00"/>
        <filter val="3,60"/>
        <filter val="30,00"/>
        <filter val="300,00"/>
        <filter val="309,90"/>
        <filter val="313,80"/>
        <filter val="34,00"/>
        <filter val="350,00"/>
        <filter val="360,00"/>
        <filter val="384,50"/>
        <filter val="4,00"/>
        <filter val="4,63"/>
        <filter val="4,67"/>
        <filter val="4,80"/>
        <filter val="40,00"/>
        <filter val="40,05"/>
        <filter val="400,00"/>
        <filter val="41,88"/>
        <filter val="43,20"/>
        <filter val="43,96"/>
        <filter val="437,50"/>
        <filter val="440,00"/>
        <filter val="472,00"/>
        <filter val="48,00"/>
        <filter val="49,63"/>
        <filter val="5,28"/>
        <filter val="50,00"/>
        <filter val="508,00"/>
        <filter val="510,00"/>
        <filter val="53,33"/>
        <filter val="54,00"/>
        <filter val="56,00"/>
        <filter val="560,00"/>
        <filter val="6,00"/>
        <filter val="6,30"/>
        <filter val="60,00"/>
        <filter val="60,93"/>
        <filter val="63,00"/>
        <filter val="64,00"/>
        <filter val="64,80"/>
        <filter val="650,00"/>
        <filter val="66,29"/>
        <filter val="7,20"/>
        <filter val="7,56"/>
        <filter val="72,00"/>
        <filter val="74,44"/>
        <filter val="748,00"/>
        <filter val="75,00"/>
        <filter val="77,04"/>
        <filter val="8,40"/>
        <filter val="8,82"/>
        <filter val="80,00"/>
        <filter val="800,00"/>
        <filter val="81,00"/>
        <filter val="84,00"/>
        <filter val="880,00"/>
        <filter val="9,60"/>
        <filter val="90,00"/>
        <filter val="92,52"/>
        <filter val="950,00"/>
        <filter val="96,00"/>
        <filter val="97,22"/>
        <filter val="98,52"/>
        <filter val="99,00"/>
        <filter val="99,81"/>
      </filters>
    </filterColumn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U17:V17"/>
    <mergeCell ref="Y17:Y18"/>
    <mergeCell ref="D17:E18"/>
    <mergeCell ref="X17:X18"/>
    <mergeCell ref="N17:N18"/>
    <mergeCell ref="F17:F18"/>
    <mergeCell ref="A20:Z20"/>
    <mergeCell ref="A31:O32"/>
    <mergeCell ref="A33:Z33"/>
    <mergeCell ref="P91:T91"/>
    <mergeCell ref="A80:O81"/>
    <mergeCell ref="P105:V105"/>
    <mergeCell ref="A13:M13"/>
    <mergeCell ref="D87:E87"/>
    <mergeCell ref="D61:E61"/>
    <mergeCell ref="D331:E331"/>
    <mergeCell ref="D173:E173"/>
    <mergeCell ref="P71:T71"/>
    <mergeCell ref="P370:T370"/>
    <mergeCell ref="P199:T199"/>
    <mergeCell ref="A125:Z125"/>
    <mergeCell ref="D54:E54"/>
    <mergeCell ref="P101:T101"/>
    <mergeCell ref="P63:V63"/>
    <mergeCell ref="A192:Z19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D23:E23"/>
    <mergeCell ref="P344:T344"/>
    <mergeCell ref="D265:E265"/>
    <mergeCell ref="D216:E216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P145:V145"/>
    <mergeCell ref="A231:Z231"/>
    <mergeCell ref="P283:V283"/>
    <mergeCell ref="D271:E271"/>
    <mergeCell ref="P483:V483"/>
    <mergeCell ref="D298:E298"/>
    <mergeCell ref="D273:E273"/>
    <mergeCell ref="P156:T156"/>
    <mergeCell ref="P123:V123"/>
    <mergeCell ref="P440:T440"/>
    <mergeCell ref="P179:T179"/>
    <mergeCell ref="P326:V326"/>
    <mergeCell ref="P457:V457"/>
    <mergeCell ref="P393:T393"/>
    <mergeCell ref="P330:T330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492:V492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P461:V461"/>
    <mergeCell ref="P324:T324"/>
    <mergeCell ref="A441:O442"/>
    <mergeCell ref="A261:Z261"/>
    <mergeCell ref="P338:V338"/>
    <mergeCell ref="P313:V313"/>
    <mergeCell ref="P320:V320"/>
    <mergeCell ref="P447:V447"/>
    <mergeCell ref="A443:Z443"/>
    <mergeCell ref="P387:T387"/>
    <mergeCell ref="D433:E433"/>
    <mergeCell ref="D262:E262"/>
    <mergeCell ref="P372:V372"/>
    <mergeCell ref="P385:T385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2026-01-20T10:27:36Z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