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C707C0-CA1C-43E6-8F12-2C9F0292219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Y196" i="1" s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N174" i="1"/>
  <c r="BM174" i="1"/>
  <c r="Z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95" i="1" l="1"/>
  <c r="BN195" i="1"/>
  <c r="Z195" i="1"/>
  <c r="Y201" i="1"/>
  <c r="BN199" i="1"/>
  <c r="Z199" i="1"/>
  <c r="Z201" i="1" s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62" i="1"/>
  <c r="BN262" i="1"/>
  <c r="Z262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Z22" i="1"/>
  <c r="BN22" i="1"/>
  <c r="Z42" i="1"/>
  <c r="BN42" i="1"/>
  <c r="Z60" i="1"/>
  <c r="BN60" i="1"/>
  <c r="Z74" i="1"/>
  <c r="BN74" i="1"/>
  <c r="Z91" i="1"/>
  <c r="BN91" i="1"/>
  <c r="Z108" i="1"/>
  <c r="BN108" i="1"/>
  <c r="Z127" i="1"/>
  <c r="BN127" i="1"/>
  <c r="Z131" i="1"/>
  <c r="BN131" i="1"/>
  <c r="Z150" i="1"/>
  <c r="BN150" i="1"/>
  <c r="Z170" i="1"/>
  <c r="BN170" i="1"/>
  <c r="BP216" i="1"/>
  <c r="BN216" i="1"/>
  <c r="Z216" i="1"/>
  <c r="BP241" i="1"/>
  <c r="BN241" i="1"/>
  <c r="Z241" i="1"/>
  <c r="BP273" i="1"/>
  <c r="BN273" i="1"/>
  <c r="Z273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J9" i="1"/>
  <c r="X498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Z102" i="1"/>
  <c r="BN102" i="1"/>
  <c r="Z110" i="1"/>
  <c r="BN110" i="1"/>
  <c r="Z116" i="1"/>
  <c r="BN116" i="1"/>
  <c r="Z137" i="1"/>
  <c r="BN137" i="1"/>
  <c r="H504" i="1"/>
  <c r="Z148" i="1"/>
  <c r="BN148" i="1"/>
  <c r="Z152" i="1"/>
  <c r="BN152" i="1"/>
  <c r="Z168" i="1"/>
  <c r="BN168" i="1"/>
  <c r="Z172" i="1"/>
  <c r="BN172" i="1"/>
  <c r="Z176" i="1"/>
  <c r="BN176" i="1"/>
  <c r="Z184" i="1"/>
  <c r="BN18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Z257" i="1"/>
  <c r="BN257" i="1"/>
  <c r="Z264" i="1"/>
  <c r="BN264" i="1"/>
  <c r="Z271" i="1"/>
  <c r="BN271" i="1"/>
  <c r="Z280" i="1"/>
  <c r="BN280" i="1"/>
  <c r="BP287" i="1"/>
  <c r="BN287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293" i="1"/>
  <c r="Y325" i="1"/>
  <c r="Y389" i="1"/>
  <c r="Y388" i="1"/>
  <c r="Y487" i="1"/>
  <c r="Y25" i="1"/>
  <c r="Y31" i="1"/>
  <c r="Y43" i="1"/>
  <c r="BP86" i="1"/>
  <c r="BN86" i="1"/>
  <c r="Z86" i="1"/>
  <c r="F504" i="1"/>
  <c r="Y104" i="1"/>
  <c r="BP99" i="1"/>
  <c r="BN99" i="1"/>
  <c r="Z99" i="1"/>
  <c r="Y112" i="1"/>
  <c r="BP107" i="1"/>
  <c r="BN107" i="1"/>
  <c r="Z107" i="1"/>
  <c r="BP115" i="1"/>
  <c r="BN115" i="1"/>
  <c r="Z115" i="1"/>
  <c r="Z118" i="1" s="1"/>
  <c r="Y57" i="1"/>
  <c r="BP61" i="1"/>
  <c r="BN61" i="1"/>
  <c r="Z61" i="1"/>
  <c r="Z63" i="1" s="1"/>
  <c r="BP73" i="1"/>
  <c r="BN73" i="1"/>
  <c r="Z73" i="1"/>
  <c r="BP94" i="1"/>
  <c r="BN94" i="1"/>
  <c r="Z94" i="1"/>
  <c r="Y96" i="1"/>
  <c r="BP103" i="1"/>
  <c r="BN103" i="1"/>
  <c r="Z103" i="1"/>
  <c r="Y105" i="1"/>
  <c r="Y111" i="1"/>
  <c r="BP132" i="1"/>
  <c r="BN132" i="1"/>
  <c r="Z132" i="1"/>
  <c r="Y134" i="1"/>
  <c r="Y139" i="1"/>
  <c r="BP136" i="1"/>
  <c r="BN136" i="1"/>
  <c r="Z136" i="1"/>
  <c r="Z138" i="1" s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H9" i="1"/>
  <c r="B504" i="1"/>
  <c r="X495" i="1"/>
  <c r="X496" i="1"/>
  <c r="Z23" i="1"/>
  <c r="Z24" i="1" s="1"/>
  <c r="BN23" i="1"/>
  <c r="Y24" i="1"/>
  <c r="X494" i="1"/>
  <c r="Z27" i="1"/>
  <c r="BN27" i="1"/>
  <c r="BP27" i="1"/>
  <c r="Z29" i="1"/>
  <c r="BN29" i="1"/>
  <c r="C504" i="1"/>
  <c r="Z41" i="1"/>
  <c r="Z43" i="1" s="1"/>
  <c r="BN41" i="1"/>
  <c r="Y44" i="1"/>
  <c r="D504" i="1"/>
  <c r="Y58" i="1"/>
  <c r="Z52" i="1"/>
  <c r="BN52" i="1"/>
  <c r="Z54" i="1"/>
  <c r="BN54" i="1"/>
  <c r="BP55" i="1"/>
  <c r="BN55" i="1"/>
  <c r="Z55" i="1"/>
  <c r="Y64" i="1"/>
  <c r="Y63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Y133" i="1"/>
  <c r="Y138" i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Y180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Y144" i="1"/>
  <c r="I504" i="1"/>
  <c r="Y164" i="1"/>
  <c r="Y202" i="1"/>
  <c r="BP199" i="1"/>
  <c r="Y212" i="1"/>
  <c r="BP207" i="1"/>
  <c r="BN207" i="1"/>
  <c r="Z207" i="1"/>
  <c r="Z212" i="1" s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Z258" i="1" s="1"/>
  <c r="L504" i="1"/>
  <c r="BP265" i="1"/>
  <c r="BN265" i="1"/>
  <c r="Z265" i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Y382" i="1"/>
  <c r="Q504" i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Z319" i="1" s="1"/>
  <c r="Y319" i="1"/>
  <c r="BP323" i="1"/>
  <c r="BN323" i="1"/>
  <c r="Z323" i="1"/>
  <c r="Z325" i="1" s="1"/>
  <c r="BP331" i="1"/>
  <c r="BN331" i="1"/>
  <c r="Z331" i="1"/>
  <c r="Y333" i="1"/>
  <c r="Y338" i="1"/>
  <c r="BP335" i="1"/>
  <c r="BN335" i="1"/>
  <c r="Z335" i="1"/>
  <c r="Z338" i="1" s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Z357" i="1" s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07" i="1" l="1"/>
  <c r="Z293" i="1"/>
  <c r="Z133" i="1"/>
  <c r="Z441" i="1"/>
  <c r="Y496" i="1"/>
  <c r="Z267" i="1"/>
  <c r="Z447" i="1"/>
  <c r="Z388" i="1"/>
  <c r="Z402" i="1"/>
  <c r="Z382" i="1"/>
  <c r="Z275" i="1"/>
  <c r="Z242" i="1"/>
  <c r="Z95" i="1"/>
  <c r="Z88" i="1"/>
  <c r="Z80" i="1"/>
  <c r="Z75" i="1"/>
  <c r="Z57" i="1"/>
  <c r="Y495" i="1"/>
  <c r="Z180" i="1"/>
  <c r="Y497" i="1"/>
  <c r="Z345" i="1"/>
  <c r="Z224" i="1"/>
  <c r="Z111" i="1"/>
  <c r="Z104" i="1"/>
  <c r="Z469" i="1"/>
  <c r="Z456" i="1"/>
  <c r="Z419" i="1"/>
  <c r="Z332" i="1"/>
  <c r="Z303" i="1"/>
  <c r="Z153" i="1"/>
  <c r="Z31" i="1"/>
  <c r="Y498" i="1"/>
  <c r="X497" i="1"/>
  <c r="Z186" i="1"/>
  <c r="Y494" i="1"/>
  <c r="Z499" i="1" l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<sst xmlns="http://schemas.openxmlformats.org/spreadsheetml/2006/main" count="2364" uniqueCount="777">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</sst>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4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1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9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9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0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6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4" customWidth="1"/>
    <col min="19" max="19" width="6.140625" style="54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4" customWidth="1"/>
    <col min="25" max="25" width="11" style="544" customWidth="1"/>
    <col min="26" max="26" width="10" style="544" customWidth="1"/>
    <col min="27" max="27" width="11.5703125" style="544" customWidth="1"/>
    <col min="28" max="28" width="10.42578125" style="544" customWidth="1"/>
    <col min="29" max="29" width="30" style="54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4" customWidth="1"/>
    <col min="34" max="34" width="9.140625" style="544" customWidth="1"/>
    <col min="35" max="16384" width="9.140625" style="544"/>
  </cols>
  <sheetData>
    <row r="1" spans="1:32" s="548" customFormat="1" ht="45" customHeight="1" x14ac:dyDescent="0.2">
      <c r="A1" s="41"/>
      <c r="B1" s="41"/>
      <c r="C1" s="41"/>
      <c r="D1" s="623" t="s">
        <v>0</v>
      </c>
      <c r="E1" s="580"/>
      <c r="F1" s="580"/>
      <c r="G1" s="12" t="s">
        <v>1</v>
      </c>
      <c r="H1" s="62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7"/>
      <c r="R2" s="567"/>
      <c r="S2" s="567"/>
      <c r="T2" s="567"/>
      <c r="U2" s="567"/>
      <c r="V2" s="567"/>
      <c r="W2" s="567"/>
      <c r="X2" s="16"/>
      <c r="Y2" s="16"/>
      <c r="Z2" s="16"/>
      <c r="AA2" s="16"/>
      <c r="AB2" s="51"/>
      <c r="AC2" s="51"/>
      <c r="AD2" s="51"/>
      <c r="AE2" s="51"/>
    </row>
    <row r="3" spans="1:32" s="5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7"/>
      <c r="Q3" s="567"/>
      <c r="R3" s="567"/>
      <c r="S3" s="567"/>
      <c r="T3" s="567"/>
      <c r="U3" s="567"/>
      <c r="V3" s="567"/>
      <c r="W3" s="567"/>
      <c r="X3" s="16"/>
      <c r="Y3" s="16"/>
      <c r="Z3" s="16"/>
      <c r="AA3" s="16"/>
      <c r="AB3" s="51"/>
      <c r="AC3" s="51"/>
      <c r="AD3" s="51"/>
      <c r="AE3" s="51"/>
    </row>
    <row r="4" spans="1:32" s="5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8" customFormat="1" ht="23.45" customHeight="1" x14ac:dyDescent="0.2">
      <c r="A5" s="700" t="s">
        <v>8</v>
      </c>
      <c r="B5" s="592"/>
      <c r="C5" s="593"/>
      <c r="D5" s="627"/>
      <c r="E5" s="628"/>
      <c r="F5" s="829" t="s">
        <v>9</v>
      </c>
      <c r="G5" s="593"/>
      <c r="H5" s="627" t="s">
        <v>776</v>
      </c>
      <c r="I5" s="795"/>
      <c r="J5" s="795"/>
      <c r="K5" s="795"/>
      <c r="L5" s="795"/>
      <c r="M5" s="628"/>
      <c r="N5" s="58"/>
      <c r="P5" s="24" t="s">
        <v>10</v>
      </c>
      <c r="Q5" s="857">
        <v>46044</v>
      </c>
      <c r="R5" s="681"/>
      <c r="T5" s="722" t="s">
        <v>11</v>
      </c>
      <c r="U5" s="714"/>
      <c r="V5" s="723" t="s">
        <v>12</v>
      </c>
      <c r="W5" s="681"/>
      <c r="AB5" s="51"/>
      <c r="AC5" s="51"/>
      <c r="AD5" s="51"/>
      <c r="AE5" s="51"/>
    </row>
    <row r="6" spans="1:32" s="548" customFormat="1" ht="24" customHeight="1" x14ac:dyDescent="0.2">
      <c r="A6" s="700" t="s">
        <v>13</v>
      </c>
      <c r="B6" s="592"/>
      <c r="C6" s="593"/>
      <c r="D6" s="796" t="s">
        <v>14</v>
      </c>
      <c r="E6" s="797"/>
      <c r="F6" s="797"/>
      <c r="G6" s="797"/>
      <c r="H6" s="797"/>
      <c r="I6" s="797"/>
      <c r="J6" s="797"/>
      <c r="K6" s="797"/>
      <c r="L6" s="797"/>
      <c r="M6" s="681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7" t="s">
        <v>16</v>
      </c>
      <c r="U6" s="714"/>
      <c r="V6" s="862" t="s">
        <v>17</v>
      </c>
      <c r="W6" s="620"/>
      <c r="AB6" s="51"/>
      <c r="AC6" s="51"/>
      <c r="AD6" s="51"/>
      <c r="AE6" s="51"/>
    </row>
    <row r="7" spans="1:32" s="548" customFormat="1" ht="21.75" hidden="1" customHeight="1" x14ac:dyDescent="0.2">
      <c r="A7" s="55"/>
      <c r="B7" s="55"/>
      <c r="C7" s="55"/>
      <c r="D7" s="629" t="str">
        <f>IFERROR(VLOOKUP(DeliveryAddress,Table,3,0),1)</f>
        <v>1</v>
      </c>
      <c r="E7" s="630"/>
      <c r="F7" s="630"/>
      <c r="G7" s="630"/>
      <c r="H7" s="630"/>
      <c r="I7" s="630"/>
      <c r="J7" s="630"/>
      <c r="K7" s="630"/>
      <c r="L7" s="630"/>
      <c r="M7" s="631"/>
      <c r="N7" s="60"/>
      <c r="P7" s="24"/>
      <c r="Q7" s="42"/>
      <c r="R7" s="42"/>
      <c r="T7" s="567"/>
      <c r="U7" s="714"/>
      <c r="V7" s="863"/>
      <c r="W7" s="864"/>
      <c r="AB7" s="51"/>
      <c r="AC7" s="51"/>
      <c r="AD7" s="51"/>
      <c r="AE7" s="51"/>
    </row>
    <row r="8" spans="1:32" s="548" customFormat="1" ht="25.5" customHeight="1" x14ac:dyDescent="0.2">
      <c r="A8" s="878" t="s">
        <v>18</v>
      </c>
      <c r="B8" s="564"/>
      <c r="C8" s="565"/>
      <c r="D8" s="613" t="s">
        <v>19</v>
      </c>
      <c r="E8" s="614"/>
      <c r="F8" s="614"/>
      <c r="G8" s="614"/>
      <c r="H8" s="614"/>
      <c r="I8" s="614"/>
      <c r="J8" s="614"/>
      <c r="K8" s="614"/>
      <c r="L8" s="614"/>
      <c r="M8" s="615"/>
      <c r="N8" s="61"/>
      <c r="P8" s="24" t="s">
        <v>20</v>
      </c>
      <c r="Q8" s="692">
        <v>0.45833333333333331</v>
      </c>
      <c r="R8" s="631"/>
      <c r="T8" s="567"/>
      <c r="U8" s="714"/>
      <c r="V8" s="863"/>
      <c r="W8" s="864"/>
      <c r="AB8" s="51"/>
      <c r="AC8" s="51"/>
      <c r="AD8" s="51"/>
      <c r="AE8" s="51"/>
    </row>
    <row r="9" spans="1:32" s="548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7"/>
      <c r="C9" s="567"/>
      <c r="D9" s="677"/>
      <c r="E9" s="589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7"/>
      <c r="H9" s="588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549"/>
      <c r="P9" s="26" t="s">
        <v>21</v>
      </c>
      <c r="Q9" s="669"/>
      <c r="R9" s="670"/>
      <c r="T9" s="567"/>
      <c r="U9" s="714"/>
      <c r="V9" s="865"/>
      <c r="W9" s="866"/>
      <c r="X9" s="43"/>
      <c r="Y9" s="43"/>
      <c r="Z9" s="43"/>
      <c r="AA9" s="43"/>
      <c r="AB9" s="51"/>
      <c r="AC9" s="51"/>
      <c r="AD9" s="51"/>
      <c r="AE9" s="51"/>
    </row>
    <row r="10" spans="1:32" s="548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7"/>
      <c r="C10" s="567"/>
      <c r="D10" s="677"/>
      <c r="E10" s="589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7"/>
      <c r="H10" s="763" t="str">
        <f>IFERROR(VLOOKUP($D$10,Proxy,2,FALSE),"")</f>
        <v/>
      </c>
      <c r="I10" s="567"/>
      <c r="J10" s="567"/>
      <c r="K10" s="567"/>
      <c r="L10" s="567"/>
      <c r="M10" s="567"/>
      <c r="N10" s="547"/>
      <c r="P10" s="26" t="s">
        <v>22</v>
      </c>
      <c r="Q10" s="728"/>
      <c r="R10" s="729"/>
      <c r="U10" s="24" t="s">
        <v>23</v>
      </c>
      <c r="V10" s="619" t="s">
        <v>24</v>
      </c>
      <c r="W10" s="620"/>
      <c r="X10" s="44"/>
      <c r="Y10" s="44"/>
      <c r="Z10" s="44"/>
      <c r="AA10" s="44"/>
      <c r="AB10" s="51"/>
      <c r="AC10" s="51"/>
      <c r="AD10" s="51"/>
      <c r="AE10" s="51"/>
    </row>
    <row r="11" spans="1:32" s="5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0"/>
      <c r="R11" s="681"/>
      <c r="U11" s="24" t="s">
        <v>27</v>
      </c>
      <c r="V11" s="832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8" customFormat="1" ht="18.600000000000001" customHeight="1" x14ac:dyDescent="0.2">
      <c r="A12" s="591" t="s">
        <v>29</v>
      </c>
      <c r="B12" s="592"/>
      <c r="C12" s="592"/>
      <c r="D12" s="592"/>
      <c r="E12" s="592"/>
      <c r="F12" s="592"/>
      <c r="G12" s="592"/>
      <c r="H12" s="592"/>
      <c r="I12" s="592"/>
      <c r="J12" s="592"/>
      <c r="K12" s="592"/>
      <c r="L12" s="592"/>
      <c r="M12" s="593"/>
      <c r="N12" s="62"/>
      <c r="P12" s="24" t="s">
        <v>30</v>
      </c>
      <c r="Q12" s="692"/>
      <c r="R12" s="631"/>
      <c r="S12" s="23"/>
      <c r="U12" s="24"/>
      <c r="V12" s="580"/>
      <c r="W12" s="567"/>
      <c r="AB12" s="51"/>
      <c r="AC12" s="51"/>
      <c r="AD12" s="51"/>
      <c r="AE12" s="51"/>
    </row>
    <row r="13" spans="1:32" s="548" customFormat="1" ht="23.25" customHeight="1" x14ac:dyDescent="0.2">
      <c r="A13" s="591" t="s">
        <v>31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93"/>
      <c r="N13" s="62"/>
      <c r="O13" s="26"/>
      <c r="P13" s="26" t="s">
        <v>32</v>
      </c>
      <c r="Q13" s="832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8" customFormat="1" ht="18.600000000000001" customHeight="1" x14ac:dyDescent="0.2">
      <c r="A14" s="591" t="s">
        <v>33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9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8" customFormat="1" ht="22.5" customHeight="1" x14ac:dyDescent="0.2">
      <c r="A15" s="738" t="s">
        <v>34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3"/>
      <c r="N15" s="63"/>
      <c r="P15" s="689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0"/>
      <c r="Q16" s="690"/>
      <c r="R16" s="690"/>
      <c r="S16" s="690"/>
      <c r="T16" s="6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9" t="s">
        <v>36</v>
      </c>
      <c r="B17" s="569" t="s">
        <v>37</v>
      </c>
      <c r="C17" s="704" t="s">
        <v>38</v>
      </c>
      <c r="D17" s="569" t="s">
        <v>39</v>
      </c>
      <c r="E17" s="652"/>
      <c r="F17" s="569" t="s">
        <v>40</v>
      </c>
      <c r="G17" s="569" t="s">
        <v>41</v>
      </c>
      <c r="H17" s="569" t="s">
        <v>42</v>
      </c>
      <c r="I17" s="569" t="s">
        <v>43</v>
      </c>
      <c r="J17" s="569" t="s">
        <v>44</v>
      </c>
      <c r="K17" s="569" t="s">
        <v>45</v>
      </c>
      <c r="L17" s="569" t="s">
        <v>46</v>
      </c>
      <c r="M17" s="569" t="s">
        <v>47</v>
      </c>
      <c r="N17" s="569" t="s">
        <v>48</v>
      </c>
      <c r="O17" s="569" t="s">
        <v>49</v>
      </c>
      <c r="P17" s="569" t="s">
        <v>50</v>
      </c>
      <c r="Q17" s="651"/>
      <c r="R17" s="651"/>
      <c r="S17" s="651"/>
      <c r="T17" s="652"/>
      <c r="U17" s="872" t="s">
        <v>51</v>
      </c>
      <c r="V17" s="593"/>
      <c r="W17" s="569" t="s">
        <v>52</v>
      </c>
      <c r="X17" s="569" t="s">
        <v>53</v>
      </c>
      <c r="Y17" s="873" t="s">
        <v>54</v>
      </c>
      <c r="Z17" s="778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70"/>
      <c r="B18" s="570"/>
      <c r="C18" s="570"/>
      <c r="D18" s="653"/>
      <c r="E18" s="655"/>
      <c r="F18" s="570"/>
      <c r="G18" s="570"/>
      <c r="H18" s="570"/>
      <c r="I18" s="570"/>
      <c r="J18" s="570"/>
      <c r="K18" s="570"/>
      <c r="L18" s="570"/>
      <c r="M18" s="570"/>
      <c r="N18" s="570"/>
      <c r="O18" s="570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70"/>
      <c r="X18" s="570"/>
      <c r="Y18" s="874"/>
      <c r="Z18" s="779"/>
      <c r="AA18" s="765"/>
      <c r="AB18" s="765"/>
      <c r="AC18" s="765"/>
      <c r="AD18" s="826"/>
      <c r="AE18" s="827"/>
      <c r="AF18" s="828"/>
      <c r="AG18" s="66"/>
      <c r="BD18" s="65"/>
    </row>
    <row r="19" spans="1:68" ht="27.75" hidden="1" customHeight="1" x14ac:dyDescent="0.2">
      <c r="A19" s="606" t="s">
        <v>63</v>
      </c>
      <c r="B19" s="607"/>
      <c r="C19" s="607"/>
      <c r="D19" s="607"/>
      <c r="E19" s="607"/>
      <c r="F19" s="607"/>
      <c r="G19" s="607"/>
      <c r="H19" s="607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607"/>
      <c r="T19" s="607"/>
      <c r="U19" s="607"/>
      <c r="V19" s="607"/>
      <c r="W19" s="607"/>
      <c r="X19" s="607"/>
      <c r="Y19" s="607"/>
      <c r="Z19" s="607"/>
      <c r="AA19" s="48"/>
      <c r="AB19" s="48"/>
      <c r="AC19" s="48"/>
    </row>
    <row r="20" spans="1:68" ht="16.5" hidden="1" customHeight="1" x14ac:dyDescent="0.25">
      <c r="A20" s="577" t="s">
        <v>63</v>
      </c>
      <c r="B20" s="567"/>
      <c r="C20" s="567"/>
      <c r="D20" s="567"/>
      <c r="E20" s="567"/>
      <c r="F20" s="567"/>
      <c r="G20" s="567"/>
      <c r="H20" s="567"/>
      <c r="I20" s="567"/>
      <c r="J20" s="567"/>
      <c r="K20" s="567"/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46"/>
      <c r="AB20" s="546"/>
      <c r="AC20" s="546"/>
    </row>
    <row r="21" spans="1:68" ht="14.25" hidden="1" customHeight="1" x14ac:dyDescent="0.25">
      <c r="A21" s="576" t="s">
        <v>64</v>
      </c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76" t="s">
        <v>77</v>
      </c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6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8"/>
      <c r="P31" s="563" t="s">
        <v>75</v>
      </c>
      <c r="Q31" s="564"/>
      <c r="R31" s="564"/>
      <c r="S31" s="564"/>
      <c r="T31" s="564"/>
      <c r="U31" s="564"/>
      <c r="V31" s="565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8"/>
      <c r="P32" s="563" t="s">
        <v>75</v>
      </c>
      <c r="Q32" s="564"/>
      <c r="R32" s="564"/>
      <c r="S32" s="564"/>
      <c r="T32" s="564"/>
      <c r="U32" s="564"/>
      <c r="V32" s="565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76" t="s">
        <v>93</v>
      </c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45"/>
      <c r="AB33" s="545"/>
      <c r="AC33" s="54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6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8"/>
      <c r="P35" s="563" t="s">
        <v>75</v>
      </c>
      <c r="Q35" s="564"/>
      <c r="R35" s="564"/>
      <c r="S35" s="564"/>
      <c r="T35" s="564"/>
      <c r="U35" s="564"/>
      <c r="V35" s="565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8"/>
      <c r="P36" s="563" t="s">
        <v>75</v>
      </c>
      <c r="Q36" s="564"/>
      <c r="R36" s="564"/>
      <c r="S36" s="564"/>
      <c r="T36" s="564"/>
      <c r="U36" s="564"/>
      <c r="V36" s="565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06" t="s">
        <v>99</v>
      </c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7"/>
      <c r="P37" s="607"/>
      <c r="Q37" s="607"/>
      <c r="R37" s="607"/>
      <c r="S37" s="607"/>
      <c r="T37" s="607"/>
      <c r="U37" s="607"/>
      <c r="V37" s="607"/>
      <c r="W37" s="607"/>
      <c r="X37" s="607"/>
      <c r="Y37" s="607"/>
      <c r="Z37" s="607"/>
      <c r="AA37" s="48"/>
      <c r="AB37" s="48"/>
      <c r="AC37" s="48"/>
    </row>
    <row r="38" spans="1:68" ht="16.5" hidden="1" customHeight="1" x14ac:dyDescent="0.25">
      <c r="A38" s="577" t="s">
        <v>100</v>
      </c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46"/>
      <c r="AB38" s="546"/>
      <c r="AC38" s="546"/>
    </row>
    <row r="39" spans="1:68" ht="14.25" hidden="1" customHeight="1" x14ac:dyDescent="0.25">
      <c r="A39" s="576" t="s">
        <v>101</v>
      </c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45"/>
      <c r="AB39" s="545"/>
      <c r="AC39" s="54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670</v>
      </c>
      <c r="Y40" s="552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80</v>
      </c>
      <c r="Y41" s="55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5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8"/>
      <c r="P43" s="563" t="s">
        <v>75</v>
      </c>
      <c r="Q43" s="564"/>
      <c r="R43" s="564"/>
      <c r="S43" s="564"/>
      <c r="T43" s="564"/>
      <c r="U43" s="564"/>
      <c r="V43" s="565"/>
      <c r="W43" s="37" t="s">
        <v>76</v>
      </c>
      <c r="X43" s="553">
        <f>IFERROR(X40/H40,"0")+IFERROR(X41/H41,"0")+IFERROR(X42/H42,"0")</f>
        <v>82.037037037037038</v>
      </c>
      <c r="Y43" s="553">
        <f>IFERROR(Y40/H40,"0")+IFERROR(Y41/H41,"0")+IFERROR(Y42/H42,"0")</f>
        <v>83</v>
      </c>
      <c r="Z43" s="553">
        <f>IFERROR(IF(Z40="",0,Z40),"0")+IFERROR(IF(Z41="",0,Z41),"0")+IFERROR(IF(Z42="",0,Z42),"0")</f>
        <v>1.3761399999999999</v>
      </c>
      <c r="AA43" s="554"/>
      <c r="AB43" s="554"/>
      <c r="AC43" s="554"/>
    </row>
    <row r="44" spans="1:68" x14ac:dyDescent="0.2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8"/>
      <c r="P44" s="563" t="s">
        <v>75</v>
      </c>
      <c r="Q44" s="564"/>
      <c r="R44" s="564"/>
      <c r="S44" s="564"/>
      <c r="T44" s="564"/>
      <c r="U44" s="564"/>
      <c r="V44" s="565"/>
      <c r="W44" s="37" t="s">
        <v>69</v>
      </c>
      <c r="X44" s="553">
        <f>IFERROR(SUM(X40:X42),"0")</f>
        <v>750</v>
      </c>
      <c r="Y44" s="553">
        <f>IFERROR(SUM(Y40:Y42),"0")</f>
        <v>760.40000000000009</v>
      </c>
      <c r="Z44" s="37"/>
      <c r="AA44" s="554"/>
      <c r="AB44" s="554"/>
      <c r="AC44" s="554"/>
    </row>
    <row r="45" spans="1:68" ht="14.25" hidden="1" customHeight="1" x14ac:dyDescent="0.25">
      <c r="A45" s="576" t="s">
        <v>77</v>
      </c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45"/>
      <c r="AB45" s="545"/>
      <c r="AC45" s="54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6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8"/>
      <c r="P47" s="563" t="s">
        <v>75</v>
      </c>
      <c r="Q47" s="564"/>
      <c r="R47" s="564"/>
      <c r="S47" s="564"/>
      <c r="T47" s="564"/>
      <c r="U47" s="564"/>
      <c r="V47" s="565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8"/>
      <c r="P48" s="563" t="s">
        <v>75</v>
      </c>
      <c r="Q48" s="564"/>
      <c r="R48" s="564"/>
      <c r="S48" s="564"/>
      <c r="T48" s="564"/>
      <c r="U48" s="564"/>
      <c r="V48" s="565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7" t="s">
        <v>117</v>
      </c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46"/>
      <c r="AB49" s="546"/>
      <c r="AC49" s="546"/>
    </row>
    <row r="50" spans="1:68" ht="14.25" hidden="1" customHeight="1" x14ac:dyDescent="0.25">
      <c r="A50" s="576" t="s">
        <v>101</v>
      </c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45"/>
      <c r="AB50" s="545"/>
      <c r="AC50" s="54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5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100</v>
      </c>
      <c r="Y51" s="552">
        <f t="shared" ref="Y51:Y56" si="0">IFERROR(IF(X51="",0,CEILING((X51/$H51),1)*$H51),"")</f>
        <v>100.8</v>
      </c>
      <c r="Z51" s="36">
        <f>IFERROR(IF(Y51=0,"",ROUNDUP(Y51/H51,0)*0.01898),"")</f>
        <v>0.17082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103.66071428571429</v>
      </c>
      <c r="BN51" s="64">
        <f t="shared" ref="BN51:BN56" si="2">IFERROR(Y51*I51/H51,"0")</f>
        <v>104.49000000000001</v>
      </c>
      <c r="BO51" s="64">
        <f t="shared" ref="BO51:BO56" si="3">IFERROR(1/J51*(X51/H51),"0")</f>
        <v>0.13950892857142858</v>
      </c>
      <c r="BP51" s="64">
        <f t="shared" ref="BP51:BP56" si="4">IFERROR(1/J51*(Y51/H51),"0")</f>
        <v>0.140625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9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8"/>
      <c r="P57" s="563" t="s">
        <v>75</v>
      </c>
      <c r="Q57" s="564"/>
      <c r="R57" s="564"/>
      <c r="S57" s="564"/>
      <c r="T57" s="564"/>
      <c r="U57" s="564"/>
      <c r="V57" s="565"/>
      <c r="W57" s="37" t="s">
        <v>76</v>
      </c>
      <c r="X57" s="553">
        <f>IFERROR(X51/H51,"0")+IFERROR(X52/H52,"0")+IFERROR(X53/H53,"0")+IFERROR(X54/H54,"0")+IFERROR(X55/H55,"0")+IFERROR(X56/H56,"0")</f>
        <v>8.9285714285714288</v>
      </c>
      <c r="Y57" s="553">
        <f>IFERROR(Y51/H51,"0")+IFERROR(Y52/H52,"0")+IFERROR(Y53/H53,"0")+IFERROR(Y54/H54,"0")+IFERROR(Y55/H55,"0")+IFERROR(Y56/H56,"0")</f>
        <v>9</v>
      </c>
      <c r="Z57" s="553">
        <f>IFERROR(IF(Z51="",0,Z51),"0")+IFERROR(IF(Z52="",0,Z52),"0")+IFERROR(IF(Z53="",0,Z53),"0")+IFERROR(IF(Z54="",0,Z54),"0")+IFERROR(IF(Z55="",0,Z55),"0")+IFERROR(IF(Z56="",0,Z56),"0")</f>
        <v>0.17082</v>
      </c>
      <c r="AA57" s="554"/>
      <c r="AB57" s="554"/>
      <c r="AC57" s="554"/>
    </row>
    <row r="58" spans="1:68" x14ac:dyDescent="0.2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8"/>
      <c r="P58" s="563" t="s">
        <v>75</v>
      </c>
      <c r="Q58" s="564"/>
      <c r="R58" s="564"/>
      <c r="S58" s="564"/>
      <c r="T58" s="564"/>
      <c r="U58" s="564"/>
      <c r="V58" s="565"/>
      <c r="W58" s="37" t="s">
        <v>69</v>
      </c>
      <c r="X58" s="553">
        <f>IFERROR(SUM(X51:X56),"0")</f>
        <v>100</v>
      </c>
      <c r="Y58" s="553">
        <f>IFERROR(SUM(Y51:Y56),"0")</f>
        <v>100.8</v>
      </c>
      <c r="Z58" s="37"/>
      <c r="AA58" s="554"/>
      <c r="AB58" s="554"/>
      <c r="AC58" s="554"/>
    </row>
    <row r="59" spans="1:68" ht="14.25" hidden="1" customHeight="1" x14ac:dyDescent="0.25">
      <c r="A59" s="576" t="s">
        <v>136</v>
      </c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45"/>
      <c r="AB59" s="545"/>
      <c r="AC59" s="54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1400</v>
      </c>
      <c r="Y60" s="552">
        <f>IFERROR(IF(X60="",0,CEILING((X60/$H60),1)*$H60),"")</f>
        <v>1404</v>
      </c>
      <c r="Z60" s="36">
        <f>IFERROR(IF(Y60=0,"",ROUNDUP(Y60/H60,0)*0.01898),"")</f>
        <v>2.4674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1453.1481481481483</v>
      </c>
      <c r="BN60" s="64">
        <f>IFERROR(Y60*I60/H60,"0")</f>
        <v>1457.3000000000002</v>
      </c>
      <c r="BO60" s="64">
        <f>IFERROR(1/J60*(X60/H60),"0")</f>
        <v>2.0254629629629628</v>
      </c>
      <c r="BP60" s="64">
        <f>IFERROR(1/J60*(Y60/H60),"0")</f>
        <v>2.03125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162</v>
      </c>
      <c r="Y62" s="552">
        <f>IFERROR(IF(X62="",0,CEILING((X62/$H62),1)*$H62),"")</f>
        <v>162</v>
      </c>
      <c r="Z62" s="36">
        <f>IFERROR(IF(Y62=0,"",ROUNDUP(Y62/H62,0)*0.00651),"")</f>
        <v>0.3906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172.79999999999998</v>
      </c>
      <c r="BN62" s="64">
        <f>IFERROR(Y62*I62/H62,"0")</f>
        <v>172.79999999999998</v>
      </c>
      <c r="BO62" s="64">
        <f>IFERROR(1/J62*(X62/H62),"0")</f>
        <v>0.32967032967032966</v>
      </c>
      <c r="BP62" s="64">
        <f>IFERROR(1/J62*(Y62/H62),"0")</f>
        <v>0.32967032967032966</v>
      </c>
    </row>
    <row r="63" spans="1:68" x14ac:dyDescent="0.2">
      <c r="A63" s="566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8"/>
      <c r="P63" s="563" t="s">
        <v>75</v>
      </c>
      <c r="Q63" s="564"/>
      <c r="R63" s="564"/>
      <c r="S63" s="564"/>
      <c r="T63" s="564"/>
      <c r="U63" s="564"/>
      <c r="V63" s="565"/>
      <c r="W63" s="37" t="s">
        <v>76</v>
      </c>
      <c r="X63" s="553">
        <f>IFERROR(X60/H60,"0")+IFERROR(X61/H61,"0")+IFERROR(X62/H62,"0")</f>
        <v>189.62962962962962</v>
      </c>
      <c r="Y63" s="553">
        <f>IFERROR(Y60/H60,"0")+IFERROR(Y61/H61,"0")+IFERROR(Y62/H62,"0")</f>
        <v>190</v>
      </c>
      <c r="Z63" s="553">
        <f>IFERROR(IF(Z60="",0,Z60),"0")+IFERROR(IF(Z61="",0,Z61),"0")+IFERROR(IF(Z62="",0,Z62),"0")</f>
        <v>2.8580000000000001</v>
      </c>
      <c r="AA63" s="554"/>
      <c r="AB63" s="554"/>
      <c r="AC63" s="554"/>
    </row>
    <row r="64" spans="1:68" x14ac:dyDescent="0.2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8"/>
      <c r="P64" s="563" t="s">
        <v>75</v>
      </c>
      <c r="Q64" s="564"/>
      <c r="R64" s="564"/>
      <c r="S64" s="564"/>
      <c r="T64" s="564"/>
      <c r="U64" s="564"/>
      <c r="V64" s="565"/>
      <c r="W64" s="37" t="s">
        <v>69</v>
      </c>
      <c r="X64" s="553">
        <f>IFERROR(SUM(X60:X62),"0")</f>
        <v>1562</v>
      </c>
      <c r="Y64" s="553">
        <f>IFERROR(SUM(Y60:Y62),"0")</f>
        <v>1566</v>
      </c>
      <c r="Z64" s="37"/>
      <c r="AA64" s="554"/>
      <c r="AB64" s="554"/>
      <c r="AC64" s="554"/>
    </row>
    <row r="65" spans="1:68" ht="14.25" hidden="1" customHeight="1" x14ac:dyDescent="0.25">
      <c r="A65" s="576" t="s">
        <v>64</v>
      </c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45"/>
      <c r="AB65" s="545"/>
      <c r="AC65" s="54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9">
        <v>4680115885097</v>
      </c>
      <c r="E67" s="560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6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8"/>
      <c r="P68" s="563" t="s">
        <v>75</v>
      </c>
      <c r="Q68" s="564"/>
      <c r="R68" s="564"/>
      <c r="S68" s="564"/>
      <c r="T68" s="564"/>
      <c r="U68" s="564"/>
      <c r="V68" s="565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8"/>
      <c r="P69" s="563" t="s">
        <v>75</v>
      </c>
      <c r="Q69" s="564"/>
      <c r="R69" s="564"/>
      <c r="S69" s="564"/>
      <c r="T69" s="564"/>
      <c r="U69" s="564"/>
      <c r="V69" s="565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76" t="s">
        <v>77</v>
      </c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45"/>
      <c r="AB70" s="545"/>
      <c r="AC70" s="545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9">
        <v>4680115885769</v>
      </c>
      <c r="E71" s="560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9">
        <v>4680115884311</v>
      </c>
      <c r="E72" s="560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9">
        <v>4680115885929</v>
      </c>
      <c r="E73" s="560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9">
        <v>4680115884403</v>
      </c>
      <c r="E74" s="560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6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8"/>
      <c r="P75" s="563" t="s">
        <v>75</v>
      </c>
      <c r="Q75" s="564"/>
      <c r="R75" s="564"/>
      <c r="S75" s="564"/>
      <c r="T75" s="564"/>
      <c r="U75" s="564"/>
      <c r="V75" s="565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8"/>
      <c r="P76" s="563" t="s">
        <v>75</v>
      </c>
      <c r="Q76" s="564"/>
      <c r="R76" s="564"/>
      <c r="S76" s="564"/>
      <c r="T76" s="564"/>
      <c r="U76" s="564"/>
      <c r="V76" s="565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76" t="s">
        <v>161</v>
      </c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45"/>
      <c r="AB77" s="545"/>
      <c r="AC77" s="545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9">
        <v>4680115881532</v>
      </c>
      <c r="E78" s="560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9">
        <v>4680115881464</v>
      </c>
      <c r="E79" s="560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6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8"/>
      <c r="P80" s="563" t="s">
        <v>75</v>
      </c>
      <c r="Q80" s="564"/>
      <c r="R80" s="564"/>
      <c r="S80" s="564"/>
      <c r="T80" s="564"/>
      <c r="U80" s="564"/>
      <c r="V80" s="565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8"/>
      <c r="P81" s="563" t="s">
        <v>75</v>
      </c>
      <c r="Q81" s="564"/>
      <c r="R81" s="564"/>
      <c r="S81" s="564"/>
      <c r="T81" s="564"/>
      <c r="U81" s="564"/>
      <c r="V81" s="565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7" t="s">
        <v>168</v>
      </c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46"/>
      <c r="AB82" s="546"/>
      <c r="AC82" s="546"/>
    </row>
    <row r="83" spans="1:68" ht="14.25" hidden="1" customHeight="1" x14ac:dyDescent="0.25">
      <c r="A83" s="576" t="s">
        <v>101</v>
      </c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45"/>
      <c r="AB83" s="545"/>
      <c r="AC83" s="545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9">
        <v>4680115881327</v>
      </c>
      <c r="E84" s="560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9">
        <v>4680115887732</v>
      </c>
      <c r="E85" s="560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9">
        <v>4680115881518</v>
      </c>
      <c r="E86" s="560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9">
        <v>4680115881303</v>
      </c>
      <c r="E87" s="560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6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8"/>
      <c r="P88" s="563" t="s">
        <v>75</v>
      </c>
      <c r="Q88" s="564"/>
      <c r="R88" s="564"/>
      <c r="S88" s="564"/>
      <c r="T88" s="564"/>
      <c r="U88" s="564"/>
      <c r="V88" s="565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hidden="1" x14ac:dyDescent="0.2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8"/>
      <c r="P89" s="563" t="s">
        <v>75</v>
      </c>
      <c r="Q89" s="564"/>
      <c r="R89" s="564"/>
      <c r="S89" s="564"/>
      <c r="T89" s="564"/>
      <c r="U89" s="564"/>
      <c r="V89" s="565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hidden="1" customHeight="1" x14ac:dyDescent="0.25">
      <c r="A90" s="576" t="s">
        <v>77</v>
      </c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45"/>
      <c r="AB90" s="545"/>
      <c r="AC90" s="545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9">
        <v>4607091386967</v>
      </c>
      <c r="E91" s="560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670</v>
      </c>
      <c r="Y91" s="552">
        <f>IFERROR(IF(X91="",0,CEILING((X91/$H91),1)*$H91),"")</f>
        <v>672.3</v>
      </c>
      <c r="Z91" s="36">
        <f>IFERROR(IF(Y91=0,"",ROUNDUP(Y91/H91,0)*0.01898),"")</f>
        <v>1.57534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710.86172839506173</v>
      </c>
      <c r="BN91" s="64">
        <f>IFERROR(Y91*I91/H91,"0")</f>
        <v>713.30200000000002</v>
      </c>
      <c r="BO91" s="64">
        <f>IFERROR(1/J91*(X91/H91),"0")</f>
        <v>1.2924382716049383</v>
      </c>
      <c r="BP91" s="64">
        <f>IFERROR(1/J91*(Y91/H91),"0")</f>
        <v>1.296875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9">
        <v>4680115884953</v>
      </c>
      <c r="E92" s="560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8"/>
      <c r="P95" s="563" t="s">
        <v>75</v>
      </c>
      <c r="Q95" s="564"/>
      <c r="R95" s="564"/>
      <c r="S95" s="564"/>
      <c r="T95" s="564"/>
      <c r="U95" s="564"/>
      <c r="V95" s="565"/>
      <c r="W95" s="37" t="s">
        <v>76</v>
      </c>
      <c r="X95" s="553">
        <f>IFERROR(X91/H91,"0")+IFERROR(X92/H92,"0")+IFERROR(X93/H93,"0")+IFERROR(X94/H94,"0")</f>
        <v>82.716049382716051</v>
      </c>
      <c r="Y95" s="553">
        <f>IFERROR(Y91/H91,"0")+IFERROR(Y92/H92,"0")+IFERROR(Y93/H93,"0")+IFERROR(Y94/H94,"0")</f>
        <v>83</v>
      </c>
      <c r="Z95" s="553">
        <f>IFERROR(IF(Z91="",0,Z91),"0")+IFERROR(IF(Z92="",0,Z92),"0")+IFERROR(IF(Z93="",0,Z93),"0")+IFERROR(IF(Z94="",0,Z94),"0")</f>
        <v>1.57534</v>
      </c>
      <c r="AA95" s="554"/>
      <c r="AB95" s="554"/>
      <c r="AC95" s="554"/>
    </row>
    <row r="96" spans="1:68" x14ac:dyDescent="0.2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8"/>
      <c r="P96" s="563" t="s">
        <v>75</v>
      </c>
      <c r="Q96" s="564"/>
      <c r="R96" s="564"/>
      <c r="S96" s="564"/>
      <c r="T96" s="564"/>
      <c r="U96" s="564"/>
      <c r="V96" s="565"/>
      <c r="W96" s="37" t="s">
        <v>69</v>
      </c>
      <c r="X96" s="553">
        <f>IFERROR(SUM(X91:X94),"0")</f>
        <v>670</v>
      </c>
      <c r="Y96" s="553">
        <f>IFERROR(SUM(Y91:Y94),"0")</f>
        <v>672.3</v>
      </c>
      <c r="Z96" s="37"/>
      <c r="AA96" s="554"/>
      <c r="AB96" s="554"/>
      <c r="AC96" s="554"/>
    </row>
    <row r="97" spans="1:68" ht="16.5" hidden="1" customHeight="1" x14ac:dyDescent="0.25">
      <c r="A97" s="577" t="s">
        <v>190</v>
      </c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46"/>
      <c r="AB97" s="546"/>
      <c r="AC97" s="546"/>
    </row>
    <row r="98" spans="1:68" ht="14.25" hidden="1" customHeight="1" x14ac:dyDescent="0.25">
      <c r="A98" s="576" t="s">
        <v>101</v>
      </c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9">
        <v>4680115887718</v>
      </c>
      <c r="E100" s="560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9">
        <v>4680115880269</v>
      </c>
      <c r="E101" s="560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9">
        <v>4680115880429</v>
      </c>
      <c r="E102" s="560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9">
        <v>4680115881457</v>
      </c>
      <c r="E103" s="560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6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8"/>
      <c r="P104" s="563" t="s">
        <v>75</v>
      </c>
      <c r="Q104" s="564"/>
      <c r="R104" s="564"/>
      <c r="S104" s="564"/>
      <c r="T104" s="564"/>
      <c r="U104" s="564"/>
      <c r="V104" s="565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8"/>
      <c r="P105" s="563" t="s">
        <v>75</v>
      </c>
      <c r="Q105" s="564"/>
      <c r="R105" s="564"/>
      <c r="S105" s="564"/>
      <c r="T105" s="564"/>
      <c r="U105" s="564"/>
      <c r="V105" s="565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76" t="s">
        <v>136</v>
      </c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9">
        <v>4680115881488</v>
      </c>
      <c r="E107" s="560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9">
        <v>4680115887664</v>
      </c>
      <c r="E108" s="560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9">
        <v>4680115882775</v>
      </c>
      <c r="E109" s="560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9">
        <v>4680115880658</v>
      </c>
      <c r="E110" s="560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6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8"/>
      <c r="P111" s="563" t="s">
        <v>75</v>
      </c>
      <c r="Q111" s="564"/>
      <c r="R111" s="564"/>
      <c r="S111" s="564"/>
      <c r="T111" s="564"/>
      <c r="U111" s="564"/>
      <c r="V111" s="565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8"/>
      <c r="P112" s="563" t="s">
        <v>75</v>
      </c>
      <c r="Q112" s="564"/>
      <c r="R112" s="564"/>
      <c r="S112" s="564"/>
      <c r="T112" s="564"/>
      <c r="U112" s="564"/>
      <c r="V112" s="565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76" t="s">
        <v>77</v>
      </c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9">
        <v>4607091385168</v>
      </c>
      <c r="E114" s="560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650</v>
      </c>
      <c r="Y114" s="552">
        <f>IFERROR(IF(X114="",0,CEILING((X114/$H114),1)*$H114),"")</f>
        <v>656.1</v>
      </c>
      <c r="Z114" s="36">
        <f>IFERROR(IF(Y114=0,"",ROUNDUP(Y114/H114,0)*0.01898),"")</f>
        <v>1.53738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689.16049382716051</v>
      </c>
      <c r="BN114" s="64">
        <f>IFERROR(Y114*I114/H114,"0")</f>
        <v>695.62800000000004</v>
      </c>
      <c r="BO114" s="64">
        <f>IFERROR(1/J114*(X114/H114),"0")</f>
        <v>1.253858024691358</v>
      </c>
      <c r="BP114" s="64">
        <f>IFERROR(1/J114*(Y114/H114),"0")</f>
        <v>1.265625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9">
        <v>4607091383256</v>
      </c>
      <c r="E115" s="560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9">
        <v>4607091385748</v>
      </c>
      <c r="E116" s="560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6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8"/>
      <c r="P118" s="563" t="s">
        <v>75</v>
      </c>
      <c r="Q118" s="564"/>
      <c r="R118" s="564"/>
      <c r="S118" s="564"/>
      <c r="T118" s="564"/>
      <c r="U118" s="564"/>
      <c r="V118" s="565"/>
      <c r="W118" s="37" t="s">
        <v>76</v>
      </c>
      <c r="X118" s="553">
        <f>IFERROR(X114/H114,"0")+IFERROR(X115/H115,"0")+IFERROR(X116/H116,"0")+IFERROR(X117/H117,"0")</f>
        <v>80.246913580246911</v>
      </c>
      <c r="Y118" s="553">
        <f>IFERROR(Y114/H114,"0")+IFERROR(Y115/H115,"0")+IFERROR(Y116/H116,"0")+IFERROR(Y117/H117,"0")</f>
        <v>81</v>
      </c>
      <c r="Z118" s="553">
        <f>IFERROR(IF(Z114="",0,Z114),"0")+IFERROR(IF(Z115="",0,Z115),"0")+IFERROR(IF(Z116="",0,Z116),"0")+IFERROR(IF(Z117="",0,Z117),"0")</f>
        <v>1.53738</v>
      </c>
      <c r="AA118" s="554"/>
      <c r="AB118" s="554"/>
      <c r="AC118" s="554"/>
    </row>
    <row r="119" spans="1:68" x14ac:dyDescent="0.2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8"/>
      <c r="P119" s="563" t="s">
        <v>75</v>
      </c>
      <c r="Q119" s="564"/>
      <c r="R119" s="564"/>
      <c r="S119" s="564"/>
      <c r="T119" s="564"/>
      <c r="U119" s="564"/>
      <c r="V119" s="565"/>
      <c r="W119" s="37" t="s">
        <v>69</v>
      </c>
      <c r="X119" s="553">
        <f>IFERROR(SUM(X114:X117),"0")</f>
        <v>650</v>
      </c>
      <c r="Y119" s="553">
        <f>IFERROR(SUM(Y114:Y117),"0")</f>
        <v>656.1</v>
      </c>
      <c r="Z119" s="37"/>
      <c r="AA119" s="554"/>
      <c r="AB119" s="554"/>
      <c r="AC119" s="554"/>
    </row>
    <row r="120" spans="1:68" ht="14.25" hidden="1" customHeight="1" x14ac:dyDescent="0.25">
      <c r="A120" s="576" t="s">
        <v>161</v>
      </c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6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8"/>
      <c r="P122" s="563" t="s">
        <v>75</v>
      </c>
      <c r="Q122" s="564"/>
      <c r="R122" s="564"/>
      <c r="S122" s="564"/>
      <c r="T122" s="564"/>
      <c r="U122" s="564"/>
      <c r="V122" s="565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8"/>
      <c r="P123" s="563" t="s">
        <v>75</v>
      </c>
      <c r="Q123" s="564"/>
      <c r="R123" s="564"/>
      <c r="S123" s="564"/>
      <c r="T123" s="564"/>
      <c r="U123" s="564"/>
      <c r="V123" s="565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7" t="s">
        <v>227</v>
      </c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46"/>
      <c r="AB124" s="546"/>
      <c r="AC124" s="546"/>
    </row>
    <row r="125" spans="1:68" ht="14.25" hidden="1" customHeight="1" x14ac:dyDescent="0.25">
      <c r="A125" s="576" t="s">
        <v>101</v>
      </c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9">
        <v>4680115882577</v>
      </c>
      <c r="E126" s="560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9">
        <v>4680115882577</v>
      </c>
      <c r="E127" s="560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6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8"/>
      <c r="P128" s="563" t="s">
        <v>75</v>
      </c>
      <c r="Q128" s="564"/>
      <c r="R128" s="564"/>
      <c r="S128" s="564"/>
      <c r="T128" s="564"/>
      <c r="U128" s="564"/>
      <c r="V128" s="565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8"/>
      <c r="P129" s="563" t="s">
        <v>75</v>
      </c>
      <c r="Q129" s="564"/>
      <c r="R129" s="564"/>
      <c r="S129" s="564"/>
      <c r="T129" s="564"/>
      <c r="U129" s="564"/>
      <c r="V129" s="565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76" t="s">
        <v>64</v>
      </c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9">
        <v>4680115883444</v>
      </c>
      <c r="E131" s="560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9">
        <v>4680115883444</v>
      </c>
      <c r="E132" s="560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6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8"/>
      <c r="P133" s="563" t="s">
        <v>75</v>
      </c>
      <c r="Q133" s="564"/>
      <c r="R133" s="564"/>
      <c r="S133" s="564"/>
      <c r="T133" s="564"/>
      <c r="U133" s="564"/>
      <c r="V133" s="565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8"/>
      <c r="P134" s="563" t="s">
        <v>75</v>
      </c>
      <c r="Q134" s="564"/>
      <c r="R134" s="564"/>
      <c r="S134" s="564"/>
      <c r="T134" s="564"/>
      <c r="U134" s="564"/>
      <c r="V134" s="565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76" t="s">
        <v>77</v>
      </c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6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8"/>
      <c r="P138" s="563" t="s">
        <v>75</v>
      </c>
      <c r="Q138" s="564"/>
      <c r="R138" s="564"/>
      <c r="S138" s="564"/>
      <c r="T138" s="564"/>
      <c r="U138" s="564"/>
      <c r="V138" s="565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8"/>
      <c r="P139" s="563" t="s">
        <v>75</v>
      </c>
      <c r="Q139" s="564"/>
      <c r="R139" s="564"/>
      <c r="S139" s="564"/>
      <c r="T139" s="564"/>
      <c r="U139" s="564"/>
      <c r="V139" s="565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7" t="s">
        <v>99</v>
      </c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46"/>
      <c r="AB140" s="546"/>
      <c r="AC140" s="546"/>
    </row>
    <row r="141" spans="1:68" ht="14.25" hidden="1" customHeight="1" x14ac:dyDescent="0.25">
      <c r="A141" s="576" t="s">
        <v>101</v>
      </c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7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6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8"/>
      <c r="P144" s="563" t="s">
        <v>75</v>
      </c>
      <c r="Q144" s="564"/>
      <c r="R144" s="564"/>
      <c r="S144" s="564"/>
      <c r="T144" s="564"/>
      <c r="U144" s="564"/>
      <c r="V144" s="565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8"/>
      <c r="P145" s="563" t="s">
        <v>75</v>
      </c>
      <c r="Q145" s="564"/>
      <c r="R145" s="564"/>
      <c r="S145" s="564"/>
      <c r="T145" s="564"/>
      <c r="U145" s="564"/>
      <c r="V145" s="565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76" t="s">
        <v>64</v>
      </c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60</v>
      </c>
      <c r="Y147" s="552">
        <f t="shared" ref="Y147:Y152" si="5">IFERROR(IF(X147="",0,CEILING((X147/$H147),1)*$H147),"")</f>
        <v>63</v>
      </c>
      <c r="Z147" s="36">
        <f>IFERROR(IF(Y147=0,"",ROUNDUP(Y147/H147,0)*0.01898),"")</f>
        <v>0.13286000000000001</v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63.733333333333334</v>
      </c>
      <c r="BN147" s="64">
        <f t="shared" ref="BN147:BN152" si="7">IFERROR(Y147*I147/H147,"0")</f>
        <v>66.920000000000016</v>
      </c>
      <c r="BO147" s="64">
        <f t="shared" ref="BO147:BO152" si="8">IFERROR(1/J147*(X147/H147),"0")</f>
        <v>0.10416666666666667</v>
      </c>
      <c r="BP147" s="64">
        <f t="shared" ref="BP147:BP152" si="9">IFERROR(1/J147*(Y147/H147),"0")</f>
        <v>0.109375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7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25</v>
      </c>
      <c r="Y149" s="552">
        <f t="shared" si="5"/>
        <v>25.200000000000003</v>
      </c>
      <c r="Z149" s="36">
        <f>IFERROR(IF(Y149=0,"",ROUNDUP(Y149/H149,0)*0.00651),"")</f>
        <v>3.9059999999999997E-2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26.607142857142858</v>
      </c>
      <c r="BN149" s="64">
        <f t="shared" si="7"/>
        <v>26.82</v>
      </c>
      <c r="BO149" s="64">
        <f t="shared" si="8"/>
        <v>3.2705389848246995E-2</v>
      </c>
      <c r="BP149" s="64">
        <f t="shared" si="9"/>
        <v>3.2967032967032968E-2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6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8"/>
      <c r="P153" s="563" t="s">
        <v>75</v>
      </c>
      <c r="Q153" s="564"/>
      <c r="R153" s="564"/>
      <c r="S153" s="564"/>
      <c r="T153" s="564"/>
      <c r="U153" s="564"/>
      <c r="V153" s="565"/>
      <c r="W153" s="37" t="s">
        <v>76</v>
      </c>
      <c r="X153" s="553">
        <f>IFERROR(X147/H147,"0")+IFERROR(X148/H148,"0")+IFERROR(X149/H149,"0")+IFERROR(X150/H150,"0")+IFERROR(X151/H151,"0")+IFERROR(X152/H152,"0")</f>
        <v>12.61904761904762</v>
      </c>
      <c r="Y153" s="553">
        <f>IFERROR(Y147/H147,"0")+IFERROR(Y148/H148,"0")+IFERROR(Y149/H149,"0")+IFERROR(Y150/H150,"0")+IFERROR(Y151/H151,"0")+IFERROR(Y152/H152,"0")</f>
        <v>13</v>
      </c>
      <c r="Z153" s="553">
        <f>IFERROR(IF(Z147="",0,Z147),"0")+IFERROR(IF(Z148="",0,Z148),"0")+IFERROR(IF(Z149="",0,Z149),"0")+IFERROR(IF(Z150="",0,Z150),"0")+IFERROR(IF(Z151="",0,Z151),"0")+IFERROR(IF(Z152="",0,Z152),"0")</f>
        <v>0.17192000000000002</v>
      </c>
      <c r="AA153" s="554"/>
      <c r="AB153" s="554"/>
      <c r="AC153" s="554"/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3" t="s">
        <v>75</v>
      </c>
      <c r="Q154" s="564"/>
      <c r="R154" s="564"/>
      <c r="S154" s="564"/>
      <c r="T154" s="564"/>
      <c r="U154" s="564"/>
      <c r="V154" s="565"/>
      <c r="W154" s="37" t="s">
        <v>69</v>
      </c>
      <c r="X154" s="553">
        <f>IFERROR(SUM(X147:X152),"0")</f>
        <v>85</v>
      </c>
      <c r="Y154" s="553">
        <f>IFERROR(SUM(Y147:Y152),"0")</f>
        <v>88.2</v>
      </c>
      <c r="Z154" s="37"/>
      <c r="AA154" s="554"/>
      <c r="AB154" s="554"/>
      <c r="AC154" s="554"/>
    </row>
    <row r="155" spans="1:68" ht="14.25" hidden="1" customHeight="1" x14ac:dyDescent="0.25">
      <c r="A155" s="576" t="s">
        <v>77</v>
      </c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6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8"/>
      <c r="P157" s="563" t="s">
        <v>75</v>
      </c>
      <c r="Q157" s="564"/>
      <c r="R157" s="564"/>
      <c r="S157" s="564"/>
      <c r="T157" s="564"/>
      <c r="U157" s="564"/>
      <c r="V157" s="565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3" t="s">
        <v>75</v>
      </c>
      <c r="Q158" s="564"/>
      <c r="R158" s="564"/>
      <c r="S158" s="564"/>
      <c r="T158" s="564"/>
      <c r="U158" s="564"/>
      <c r="V158" s="565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06" t="s">
        <v>266</v>
      </c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48"/>
      <c r="AB159" s="48"/>
      <c r="AC159" s="48"/>
    </row>
    <row r="160" spans="1:68" ht="16.5" hidden="1" customHeight="1" x14ac:dyDescent="0.25">
      <c r="A160" s="577" t="s">
        <v>267</v>
      </c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46"/>
      <c r="AB160" s="546"/>
      <c r="AC160" s="546"/>
    </row>
    <row r="161" spans="1:68" ht="14.25" hidden="1" customHeight="1" x14ac:dyDescent="0.25">
      <c r="A161" s="576" t="s">
        <v>136</v>
      </c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6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8"/>
      <c r="P163" s="563" t="s">
        <v>75</v>
      </c>
      <c r="Q163" s="564"/>
      <c r="R163" s="564"/>
      <c r="S163" s="564"/>
      <c r="T163" s="564"/>
      <c r="U163" s="564"/>
      <c r="V163" s="565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3" t="s">
        <v>75</v>
      </c>
      <c r="Q164" s="564"/>
      <c r="R164" s="564"/>
      <c r="S164" s="564"/>
      <c r="T164" s="564"/>
      <c r="U164" s="564"/>
      <c r="V164" s="565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76" t="s">
        <v>64</v>
      </c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50</v>
      </c>
      <c r="Y166" s="552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9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7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6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8"/>
      <c r="P180" s="563" t="s">
        <v>75</v>
      </c>
      <c r="Q180" s="564"/>
      <c r="R180" s="564"/>
      <c r="S180" s="564"/>
      <c r="T180" s="564"/>
      <c r="U180" s="564"/>
      <c r="V180" s="565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11.904761904761905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12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0.10824</v>
      </c>
      <c r="AA180" s="554"/>
      <c r="AB180" s="554"/>
      <c r="AC180" s="554"/>
    </row>
    <row r="181" spans="1:68" x14ac:dyDescent="0.2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8"/>
      <c r="P181" s="563" t="s">
        <v>75</v>
      </c>
      <c r="Q181" s="564"/>
      <c r="R181" s="564"/>
      <c r="S181" s="564"/>
      <c r="T181" s="564"/>
      <c r="U181" s="564"/>
      <c r="V181" s="565"/>
      <c r="W181" s="37" t="s">
        <v>69</v>
      </c>
      <c r="X181" s="553">
        <f>IFERROR(SUM(X166:X179),"0")</f>
        <v>50</v>
      </c>
      <c r="Y181" s="553">
        <f>IFERROR(SUM(Y166:Y179),"0")</f>
        <v>50.400000000000006</v>
      </c>
      <c r="Z181" s="37"/>
      <c r="AA181" s="554"/>
      <c r="AB181" s="554"/>
      <c r="AC181" s="554"/>
    </row>
    <row r="182" spans="1:68" ht="14.25" hidden="1" customHeight="1" x14ac:dyDescent="0.25">
      <c r="A182" s="576" t="s">
        <v>93</v>
      </c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4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6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8"/>
      <c r="P186" s="563" t="s">
        <v>75</v>
      </c>
      <c r="Q186" s="564"/>
      <c r="R186" s="564"/>
      <c r="S186" s="564"/>
      <c r="T186" s="564"/>
      <c r="U186" s="564"/>
      <c r="V186" s="565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8"/>
      <c r="P187" s="563" t="s">
        <v>75</v>
      </c>
      <c r="Q187" s="564"/>
      <c r="R187" s="564"/>
      <c r="S187" s="564"/>
      <c r="T187" s="564"/>
      <c r="U187" s="564"/>
      <c r="V187" s="565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76" t="s">
        <v>319</v>
      </c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6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8"/>
      <c r="P190" s="563" t="s">
        <v>75</v>
      </c>
      <c r="Q190" s="564"/>
      <c r="R190" s="564"/>
      <c r="S190" s="564"/>
      <c r="T190" s="564"/>
      <c r="U190" s="564"/>
      <c r="V190" s="565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8"/>
      <c r="P191" s="563" t="s">
        <v>75</v>
      </c>
      <c r="Q191" s="564"/>
      <c r="R191" s="564"/>
      <c r="S191" s="564"/>
      <c r="T191" s="564"/>
      <c r="U191" s="564"/>
      <c r="V191" s="565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7" t="s">
        <v>322</v>
      </c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46"/>
      <c r="AB192" s="546"/>
      <c r="AC192" s="546"/>
    </row>
    <row r="193" spans="1:68" ht="14.25" hidden="1" customHeight="1" x14ac:dyDescent="0.25">
      <c r="A193" s="576" t="s">
        <v>101</v>
      </c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6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8"/>
      <c r="P196" s="563" t="s">
        <v>75</v>
      </c>
      <c r="Q196" s="564"/>
      <c r="R196" s="564"/>
      <c r="S196" s="564"/>
      <c r="T196" s="564"/>
      <c r="U196" s="564"/>
      <c r="V196" s="565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8"/>
      <c r="P197" s="563" t="s">
        <v>75</v>
      </c>
      <c r="Q197" s="564"/>
      <c r="R197" s="564"/>
      <c r="S197" s="564"/>
      <c r="T197" s="564"/>
      <c r="U197" s="564"/>
      <c r="V197" s="565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76" t="s">
        <v>136</v>
      </c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6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8"/>
      <c r="P201" s="563" t="s">
        <v>75</v>
      </c>
      <c r="Q201" s="564"/>
      <c r="R201" s="564"/>
      <c r="S201" s="564"/>
      <c r="T201" s="564"/>
      <c r="U201" s="564"/>
      <c r="V201" s="565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8"/>
      <c r="P202" s="563" t="s">
        <v>75</v>
      </c>
      <c r="Q202" s="564"/>
      <c r="R202" s="564"/>
      <c r="S202" s="564"/>
      <c r="T202" s="564"/>
      <c r="U202" s="564"/>
      <c r="V202" s="565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76" t="s">
        <v>64</v>
      </c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60</v>
      </c>
      <c r="Y204" s="552">
        <f t="shared" ref="Y204:Y211" si="15">IFERROR(IF(X204="",0,CEILING((X204/$H204),1)*$H204),"")</f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62.1111111111111</v>
      </c>
      <c r="BN204" s="64">
        <f t="shared" ref="BN204:BN211" si="17">IFERROR(Y204*I204/H204,"0")</f>
        <v>67.08</v>
      </c>
      <c r="BO204" s="64">
        <f t="shared" ref="BO204:BO211" si="18">IFERROR(1/J204*(X204/H204),"0")</f>
        <v>8.4175084175084181E-2</v>
      </c>
      <c r="BP204" s="64">
        <f t="shared" ref="BP204:BP211" si="19">IFERROR(1/J204*(Y204/H204),"0")</f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60</v>
      </c>
      <c r="Y205" s="552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62.1111111111111</v>
      </c>
      <c r="BN205" s="64">
        <f t="shared" si="17"/>
        <v>67.08</v>
      </c>
      <c r="BO205" s="64">
        <f t="shared" si="18"/>
        <v>8.4175084175084181E-2</v>
      </c>
      <c r="BP205" s="64">
        <f t="shared" si="19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200</v>
      </c>
      <c r="Y206" s="552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60</v>
      </c>
      <c r="Y207" s="552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62.1111111111111</v>
      </c>
      <c r="BN207" s="64">
        <f t="shared" si="17"/>
        <v>67.08</v>
      </c>
      <c r="BO207" s="64">
        <f t="shared" si="18"/>
        <v>8.4175084175084181E-2</v>
      </c>
      <c r="BP207" s="64">
        <f t="shared" si="19"/>
        <v>9.0909090909090925E-2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7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6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8"/>
      <c r="P212" s="563" t="s">
        <v>75</v>
      </c>
      <c r="Q212" s="564"/>
      <c r="R212" s="564"/>
      <c r="S212" s="564"/>
      <c r="T212" s="564"/>
      <c r="U212" s="564"/>
      <c r="V212" s="565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70.370370370370367</v>
      </c>
      <c r="Y212" s="553">
        <f>IFERROR(Y204/H204,"0")+IFERROR(Y205/H205,"0")+IFERROR(Y206/H206,"0")+IFERROR(Y207/H207,"0")+IFERROR(Y208/H208,"0")+IFERROR(Y209/H209,"0")+IFERROR(Y210/H210,"0")+IFERROR(Y211/H211,"0")</f>
        <v>74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0.66747999999999996</v>
      </c>
      <c r="AA212" s="554"/>
      <c r="AB212" s="554"/>
      <c r="AC212" s="554"/>
    </row>
    <row r="213" spans="1:68" x14ac:dyDescent="0.2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8"/>
      <c r="P213" s="563" t="s">
        <v>75</v>
      </c>
      <c r="Q213" s="564"/>
      <c r="R213" s="564"/>
      <c r="S213" s="564"/>
      <c r="T213" s="564"/>
      <c r="U213" s="564"/>
      <c r="V213" s="565"/>
      <c r="W213" s="37" t="s">
        <v>69</v>
      </c>
      <c r="X213" s="553">
        <f>IFERROR(SUM(X204:X211),"0")</f>
        <v>380</v>
      </c>
      <c r="Y213" s="553">
        <f>IFERROR(SUM(Y204:Y211),"0")</f>
        <v>399.60000000000008</v>
      </c>
      <c r="Z213" s="37"/>
      <c r="AA213" s="554"/>
      <c r="AB213" s="554"/>
      <c r="AC213" s="554"/>
    </row>
    <row r="214" spans="1:68" ht="14.25" hidden="1" customHeight="1" x14ac:dyDescent="0.25">
      <c r="A214" s="576" t="s">
        <v>77</v>
      </c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6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idden="1" x14ac:dyDescent="0.2">
      <c r="A224" s="566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8"/>
      <c r="P224" s="563" t="s">
        <v>75</v>
      </c>
      <c r="Q224" s="564"/>
      <c r="R224" s="564"/>
      <c r="S224" s="564"/>
      <c r="T224" s="564"/>
      <c r="U224" s="564"/>
      <c r="V224" s="565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0</v>
      </c>
      <c r="Y224" s="553">
        <f>IFERROR(Y215/H215,"0")+IFERROR(Y216/H216,"0")+IFERROR(Y217/H217,"0")+IFERROR(Y218/H218,"0")+IFERROR(Y219/H219,"0")+IFERROR(Y220/H220,"0")+IFERROR(Y221/H221,"0")+IFERROR(Y222/H222,"0")+IFERROR(Y223/H223,"0")</f>
        <v>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4"/>
      <c r="AB224" s="554"/>
      <c r="AC224" s="554"/>
    </row>
    <row r="225" spans="1:68" hidden="1" x14ac:dyDescent="0.2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8"/>
      <c r="P225" s="563" t="s">
        <v>75</v>
      </c>
      <c r="Q225" s="564"/>
      <c r="R225" s="564"/>
      <c r="S225" s="564"/>
      <c r="T225" s="564"/>
      <c r="U225" s="564"/>
      <c r="V225" s="565"/>
      <c r="W225" s="37" t="s">
        <v>69</v>
      </c>
      <c r="X225" s="553">
        <f>IFERROR(SUM(X215:X223),"0")</f>
        <v>0</v>
      </c>
      <c r="Y225" s="553">
        <f>IFERROR(SUM(Y215:Y223),"0")</f>
        <v>0</v>
      </c>
      <c r="Z225" s="37"/>
      <c r="AA225" s="554"/>
      <c r="AB225" s="554"/>
      <c r="AC225" s="554"/>
    </row>
    <row r="226" spans="1:68" ht="14.25" hidden="1" customHeight="1" x14ac:dyDescent="0.25">
      <c r="A226" s="576" t="s">
        <v>161</v>
      </c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6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8"/>
      <c r="P229" s="563" t="s">
        <v>75</v>
      </c>
      <c r="Q229" s="564"/>
      <c r="R229" s="564"/>
      <c r="S229" s="564"/>
      <c r="T229" s="564"/>
      <c r="U229" s="564"/>
      <c r="V229" s="565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8"/>
      <c r="P230" s="563" t="s">
        <v>75</v>
      </c>
      <c r="Q230" s="564"/>
      <c r="R230" s="564"/>
      <c r="S230" s="564"/>
      <c r="T230" s="564"/>
      <c r="U230" s="564"/>
      <c r="V230" s="565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7" t="s">
        <v>382</v>
      </c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46"/>
      <c r="AB231" s="546"/>
      <c r="AC231" s="546"/>
    </row>
    <row r="232" spans="1:68" ht="14.25" hidden="1" customHeight="1" x14ac:dyDescent="0.25">
      <c r="A232" s="576" t="s">
        <v>101</v>
      </c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6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3" t="s">
        <v>75</v>
      </c>
      <c r="Q242" s="564"/>
      <c r="R242" s="564"/>
      <c r="S242" s="564"/>
      <c r="T242" s="564"/>
      <c r="U242" s="564"/>
      <c r="V242" s="565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3" t="s">
        <v>75</v>
      </c>
      <c r="Q243" s="564"/>
      <c r="R243" s="564"/>
      <c r="S243" s="564"/>
      <c r="T243" s="564"/>
      <c r="U243" s="564"/>
      <c r="V243" s="565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76" t="s">
        <v>136</v>
      </c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6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3" t="s">
        <v>75</v>
      </c>
      <c r="Q246" s="564"/>
      <c r="R246" s="564"/>
      <c r="S246" s="564"/>
      <c r="T246" s="564"/>
      <c r="U246" s="564"/>
      <c r="V246" s="565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3" t="s">
        <v>75</v>
      </c>
      <c r="Q247" s="564"/>
      <c r="R247" s="564"/>
      <c r="S247" s="564"/>
      <c r="T247" s="564"/>
      <c r="U247" s="564"/>
      <c r="V247" s="565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76" t="s">
        <v>407</v>
      </c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6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3" t="s">
        <v>75</v>
      </c>
      <c r="Q250" s="564"/>
      <c r="R250" s="564"/>
      <c r="S250" s="564"/>
      <c r="T250" s="564"/>
      <c r="U250" s="564"/>
      <c r="V250" s="565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3" t="s">
        <v>75</v>
      </c>
      <c r="Q251" s="564"/>
      <c r="R251" s="564"/>
      <c r="S251" s="564"/>
      <c r="T251" s="564"/>
      <c r="U251" s="564"/>
      <c r="V251" s="565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76" t="s">
        <v>411</v>
      </c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8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6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3" t="s">
        <v>75</v>
      </c>
      <c r="Q258" s="564"/>
      <c r="R258" s="564"/>
      <c r="S258" s="564"/>
      <c r="T258" s="564"/>
      <c r="U258" s="564"/>
      <c r="V258" s="565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3" t="s">
        <v>75</v>
      </c>
      <c r="Q259" s="564"/>
      <c r="R259" s="564"/>
      <c r="S259" s="564"/>
      <c r="T259" s="564"/>
      <c r="U259" s="564"/>
      <c r="V259" s="565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7" t="s">
        <v>423</v>
      </c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46"/>
      <c r="AB260" s="546"/>
      <c r="AC260" s="546"/>
    </row>
    <row r="261" spans="1:68" ht="14.25" hidden="1" customHeight="1" x14ac:dyDescent="0.25">
      <c r="A261" s="576" t="s">
        <v>101</v>
      </c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100</v>
      </c>
      <c r="Y262" s="552">
        <f>IFERROR(IF(X262="",0,CEILING((X262/$H262),1)*$H262),"")</f>
        <v>108</v>
      </c>
      <c r="Z262" s="36">
        <f>IFERROR(IF(Y262=0,"",ROUNDUP(Y262/H262,0)*0.01898),"")</f>
        <v>0.1898</v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103.79629629629629</v>
      </c>
      <c r="BN262" s="64">
        <f>IFERROR(Y262*I262/H262,"0")</f>
        <v>112.1</v>
      </c>
      <c r="BO262" s="64">
        <f>IFERROR(1/J262*(X262/H262),"0")</f>
        <v>0.14467592592592593</v>
      </c>
      <c r="BP262" s="64">
        <f>IFERROR(1/J262*(Y262/H262),"0")</f>
        <v>0.15625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80</v>
      </c>
      <c r="Y266" s="552">
        <f>IFERROR(IF(X266="",0,CEILING((X266/$H266),1)*$H266),"")</f>
        <v>80</v>
      </c>
      <c r="Z266" s="36">
        <f>IFERROR(IF(Y266=0,"",ROUNDUP(Y266/H266,0)*0.00902),"")</f>
        <v>0.1804</v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83.800000000000011</v>
      </c>
      <c r="BN266" s="64">
        <f>IFERROR(Y266*I266/H266,"0")</f>
        <v>83.800000000000011</v>
      </c>
      <c r="BO266" s="64">
        <f>IFERROR(1/J266*(X266/H266),"0")</f>
        <v>0.15151515151515152</v>
      </c>
      <c r="BP266" s="64">
        <f>IFERROR(1/J266*(Y266/H266),"0")</f>
        <v>0.15151515151515152</v>
      </c>
    </row>
    <row r="267" spans="1:68" x14ac:dyDescent="0.2">
      <c r="A267" s="566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3" t="s">
        <v>75</v>
      </c>
      <c r="Q267" s="564"/>
      <c r="R267" s="564"/>
      <c r="S267" s="564"/>
      <c r="T267" s="564"/>
      <c r="U267" s="564"/>
      <c r="V267" s="565"/>
      <c r="W267" s="37" t="s">
        <v>76</v>
      </c>
      <c r="X267" s="553">
        <f>IFERROR(X262/H262,"0")+IFERROR(X263/H263,"0")+IFERROR(X264/H264,"0")+IFERROR(X265/H265,"0")+IFERROR(X266/H266,"0")</f>
        <v>29.25925925925926</v>
      </c>
      <c r="Y267" s="553">
        <f>IFERROR(Y262/H262,"0")+IFERROR(Y263/H263,"0")+IFERROR(Y264/H264,"0")+IFERROR(Y265/H265,"0")+IFERROR(Y266/H266,"0")</f>
        <v>30</v>
      </c>
      <c r="Z267" s="553">
        <f>IFERROR(IF(Z262="",0,Z262),"0")+IFERROR(IF(Z263="",0,Z263),"0")+IFERROR(IF(Z264="",0,Z264),"0")+IFERROR(IF(Z265="",0,Z265),"0")+IFERROR(IF(Z266="",0,Z266),"0")</f>
        <v>0.37019999999999997</v>
      </c>
      <c r="AA267" s="554"/>
      <c r="AB267" s="554"/>
      <c r="AC267" s="554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3" t="s">
        <v>75</v>
      </c>
      <c r="Q268" s="564"/>
      <c r="R268" s="564"/>
      <c r="S268" s="564"/>
      <c r="T268" s="564"/>
      <c r="U268" s="564"/>
      <c r="V268" s="565"/>
      <c r="W268" s="37" t="s">
        <v>69</v>
      </c>
      <c r="X268" s="553">
        <f>IFERROR(SUM(X262:X266),"0")</f>
        <v>180</v>
      </c>
      <c r="Y268" s="553">
        <f>IFERROR(SUM(Y262:Y266),"0")</f>
        <v>188</v>
      </c>
      <c r="Z268" s="37"/>
      <c r="AA268" s="554"/>
      <c r="AB268" s="554"/>
      <c r="AC268" s="554"/>
    </row>
    <row r="269" spans="1:68" ht="16.5" hidden="1" customHeight="1" x14ac:dyDescent="0.25">
      <c r="A269" s="577" t="s">
        <v>439</v>
      </c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46"/>
      <c r="AB269" s="546"/>
      <c r="AC269" s="546"/>
    </row>
    <row r="270" spans="1:68" ht="14.25" hidden="1" customHeight="1" x14ac:dyDescent="0.25">
      <c r="A270" s="576" t="s">
        <v>101</v>
      </c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6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3" t="s">
        <v>75</v>
      </c>
      <c r="Q275" s="564"/>
      <c r="R275" s="564"/>
      <c r="S275" s="564"/>
      <c r="T275" s="564"/>
      <c r="U275" s="564"/>
      <c r="V275" s="565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3" t="s">
        <v>75</v>
      </c>
      <c r="Q276" s="564"/>
      <c r="R276" s="564"/>
      <c r="S276" s="564"/>
      <c r="T276" s="564"/>
      <c r="U276" s="564"/>
      <c r="V276" s="565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7" t="s">
        <v>450</v>
      </c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46"/>
      <c r="AB277" s="546"/>
      <c r="AC277" s="546"/>
    </row>
    <row r="278" spans="1:68" ht="14.25" hidden="1" customHeight="1" x14ac:dyDescent="0.25">
      <c r="A278" s="576" t="s">
        <v>77</v>
      </c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6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3" t="s">
        <v>75</v>
      </c>
      <c r="Q282" s="564"/>
      <c r="R282" s="564"/>
      <c r="S282" s="564"/>
      <c r="T282" s="564"/>
      <c r="U282" s="564"/>
      <c r="V282" s="565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3" t="s">
        <v>75</v>
      </c>
      <c r="Q283" s="564"/>
      <c r="R283" s="564"/>
      <c r="S283" s="564"/>
      <c r="T283" s="564"/>
      <c r="U283" s="564"/>
      <c r="V283" s="565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7" t="s">
        <v>459</v>
      </c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46"/>
      <c r="AB284" s="546"/>
      <c r="AC284" s="546"/>
    </row>
    <row r="285" spans="1:68" ht="14.25" hidden="1" customHeight="1" x14ac:dyDescent="0.25">
      <c r="A285" s="576" t="s">
        <v>64</v>
      </c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6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3" t="s">
        <v>75</v>
      </c>
      <c r="Q288" s="564"/>
      <c r="R288" s="564"/>
      <c r="S288" s="564"/>
      <c r="T288" s="564"/>
      <c r="U288" s="564"/>
      <c r="V288" s="565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3" t="s">
        <v>75</v>
      </c>
      <c r="Q289" s="564"/>
      <c r="R289" s="564"/>
      <c r="S289" s="564"/>
      <c r="T289" s="564"/>
      <c r="U289" s="564"/>
      <c r="V289" s="565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76" t="s">
        <v>77</v>
      </c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6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3" t="s">
        <v>75</v>
      </c>
      <c r="Q293" s="564"/>
      <c r="R293" s="564"/>
      <c r="S293" s="564"/>
      <c r="T293" s="564"/>
      <c r="U293" s="564"/>
      <c r="V293" s="565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3" t="s">
        <v>75</v>
      </c>
      <c r="Q294" s="564"/>
      <c r="R294" s="564"/>
      <c r="S294" s="564"/>
      <c r="T294" s="564"/>
      <c r="U294" s="564"/>
      <c r="V294" s="565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7" t="s">
        <v>472</v>
      </c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46"/>
      <c r="AB295" s="546"/>
      <c r="AC295" s="546"/>
    </row>
    <row r="296" spans="1:68" ht="14.25" hidden="1" customHeight="1" x14ac:dyDescent="0.25">
      <c r="A296" s="576" t="s">
        <v>101</v>
      </c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9">
        <v>4607091386004</v>
      </c>
      <c r="E297" s="560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9">
        <v>4680115885615</v>
      </c>
      <c r="E298" s="560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250</v>
      </c>
      <c r="Y298" s="552">
        <f t="shared" si="31"/>
        <v>259.20000000000005</v>
      </c>
      <c r="Z298" s="36">
        <f>IFERROR(IF(Y298=0,"",ROUNDUP(Y298/H298,0)*0.01898),"")</f>
        <v>0.45552000000000004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259.4907407407407</v>
      </c>
      <c r="BN298" s="64">
        <f t="shared" si="33"/>
        <v>269.04000000000002</v>
      </c>
      <c r="BO298" s="64">
        <f t="shared" si="34"/>
        <v>0.36168981481481477</v>
      </c>
      <c r="BP298" s="64">
        <f t="shared" si="35"/>
        <v>0.37500000000000006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9">
        <v>4680115885646</v>
      </c>
      <c r="E299" s="560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200</v>
      </c>
      <c r="Y299" s="552">
        <f t="shared" si="31"/>
        <v>205.20000000000002</v>
      </c>
      <c r="Z299" s="36">
        <f>IFERROR(IF(Y299=0,"",ROUNDUP(Y299/H299,0)*0.01898),"")</f>
        <v>0.36062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207.59259259259258</v>
      </c>
      <c r="BN299" s="64">
        <f t="shared" si="33"/>
        <v>212.99</v>
      </c>
      <c r="BO299" s="64">
        <f t="shared" si="34"/>
        <v>0.28935185185185186</v>
      </c>
      <c r="BP299" s="64">
        <f t="shared" si="35"/>
        <v>0.296875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9">
        <v>4680115885554</v>
      </c>
      <c r="E300" s="560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9">
        <v>4680115885622</v>
      </c>
      <c r="E301" s="560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9">
        <v>4680115885608</v>
      </c>
      <c r="E302" s="560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6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3">
        <f>IFERROR(X297/H297,"0")+IFERROR(X298/H298,"0")+IFERROR(X299/H299,"0")+IFERROR(X300/H300,"0")+IFERROR(X301/H301,"0")+IFERROR(X302/H302,"0")</f>
        <v>41.666666666666664</v>
      </c>
      <c r="Y303" s="553">
        <f>IFERROR(Y297/H297,"0")+IFERROR(Y298/H298,"0")+IFERROR(Y299/H299,"0")+IFERROR(Y300/H300,"0")+IFERROR(Y301/H301,"0")+IFERROR(Y302/H302,"0")</f>
        <v>43</v>
      </c>
      <c r="Z303" s="553">
        <f>IFERROR(IF(Z297="",0,Z297),"0")+IFERROR(IF(Z298="",0,Z298),"0")+IFERROR(IF(Z299="",0,Z299),"0")+IFERROR(IF(Z300="",0,Z300),"0")+IFERROR(IF(Z301="",0,Z301),"0")+IFERROR(IF(Z302="",0,Z302),"0")</f>
        <v>0.81614000000000009</v>
      </c>
      <c r="AA303" s="554"/>
      <c r="AB303" s="554"/>
      <c r="AC303" s="554"/>
    </row>
    <row r="304" spans="1:68" x14ac:dyDescent="0.2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8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3">
        <f>IFERROR(SUM(X297:X302),"0")</f>
        <v>450</v>
      </c>
      <c r="Y304" s="553">
        <f>IFERROR(SUM(Y297:Y302),"0")</f>
        <v>464.40000000000009</v>
      </c>
      <c r="Z304" s="37"/>
      <c r="AA304" s="554"/>
      <c r="AB304" s="554"/>
      <c r="AC304" s="554"/>
    </row>
    <row r="305" spans="1:68" ht="14.25" hidden="1" customHeight="1" x14ac:dyDescent="0.25">
      <c r="A305" s="576" t="s">
        <v>64</v>
      </c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45"/>
      <c r="AB305" s="545"/>
      <c r="AC305" s="545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9">
        <v>4607091387193</v>
      </c>
      <c r="E306" s="560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200</v>
      </c>
      <c r="Y306" s="552">
        <f t="shared" ref="Y306:Y311" si="36">IFERROR(IF(X306="",0,CEILING((X306/$H306),1)*$H306),"")</f>
        <v>201.60000000000002</v>
      </c>
      <c r="Z306" s="36">
        <f>IFERROR(IF(Y306=0,"",ROUNDUP(Y306/H306,0)*0.00902),"")</f>
        <v>0.43296000000000001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211.9047619047619</v>
      </c>
      <c r="BN306" s="64">
        <f t="shared" ref="BN306:BN311" si="38">IFERROR(Y306*I306/H306,"0")</f>
        <v>213.60000000000002</v>
      </c>
      <c r="BO306" s="64">
        <f t="shared" ref="BO306:BO311" si="39">IFERROR(1/J306*(X306/H306),"0")</f>
        <v>0.36075036075036077</v>
      </c>
      <c r="BP306" s="64">
        <f t="shared" ref="BP306:BP311" si="40">IFERROR(1/J306*(Y306/H306),"0")</f>
        <v>0.36363636363636365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9">
        <v>4607091387230</v>
      </c>
      <c r="E307" s="560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500</v>
      </c>
      <c r="Y307" s="552">
        <f t="shared" si="36"/>
        <v>504</v>
      </c>
      <c r="Z307" s="36">
        <f>IFERROR(IF(Y307=0,"",ROUNDUP(Y307/H307,0)*0.00902),"")</f>
        <v>1.0824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529.7619047619047</v>
      </c>
      <c r="BN307" s="64">
        <f t="shared" si="38"/>
        <v>534</v>
      </c>
      <c r="BO307" s="64">
        <f t="shared" si="39"/>
        <v>0.90187590187590183</v>
      </c>
      <c r="BP307" s="64">
        <f t="shared" si="40"/>
        <v>0.90909090909090917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9">
        <v>4607091387292</v>
      </c>
      <c r="E308" s="560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6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9">
        <v>4607091387285</v>
      </c>
      <c r="E309" s="560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42</v>
      </c>
      <c r="Y309" s="552">
        <f t="shared" si="36"/>
        <v>42</v>
      </c>
      <c r="Z309" s="36">
        <f>IFERROR(IF(Y309=0,"",ROUNDUP(Y309/H309,0)*0.00502),"")</f>
        <v>0.1004</v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44.599999999999994</v>
      </c>
      <c r="BN309" s="64">
        <f t="shared" si="38"/>
        <v>44.599999999999994</v>
      </c>
      <c r="BO309" s="64">
        <f t="shared" si="39"/>
        <v>8.5470085470085472E-2</v>
      </c>
      <c r="BP309" s="64">
        <f t="shared" si="40"/>
        <v>8.5470085470085472E-2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9">
        <v>4607091389845</v>
      </c>
      <c r="E310" s="560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9">
        <v>4607091383836</v>
      </c>
      <c r="E311" s="560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6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3">
        <f>IFERROR(X306/H306,"0")+IFERROR(X307/H307,"0")+IFERROR(X308/H308,"0")+IFERROR(X309/H309,"0")+IFERROR(X310/H310,"0")+IFERROR(X311/H311,"0")</f>
        <v>186.66666666666666</v>
      </c>
      <c r="Y312" s="553">
        <f>IFERROR(Y306/H306,"0")+IFERROR(Y307/H307,"0")+IFERROR(Y308/H308,"0")+IFERROR(Y309/H309,"0")+IFERROR(Y310/H310,"0")+IFERROR(Y311/H311,"0")</f>
        <v>188</v>
      </c>
      <c r="Z312" s="553">
        <f>IFERROR(IF(Z306="",0,Z306),"0")+IFERROR(IF(Z307="",0,Z307),"0")+IFERROR(IF(Z308="",0,Z308),"0")+IFERROR(IF(Z309="",0,Z309),"0")+IFERROR(IF(Z310="",0,Z310),"0")+IFERROR(IF(Z311="",0,Z311),"0")</f>
        <v>1.6157600000000001</v>
      </c>
      <c r="AA312" s="554"/>
      <c r="AB312" s="554"/>
      <c r="AC312" s="554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3">
        <f>IFERROR(SUM(X306:X311),"0")</f>
        <v>742</v>
      </c>
      <c r="Y313" s="553">
        <f>IFERROR(SUM(Y306:Y311),"0")</f>
        <v>747.6</v>
      </c>
      <c r="Z313" s="37"/>
      <c r="AA313" s="554"/>
      <c r="AB313" s="554"/>
      <c r="AC313" s="554"/>
    </row>
    <row r="314" spans="1:68" ht="14.25" hidden="1" customHeight="1" x14ac:dyDescent="0.25">
      <c r="A314" s="576" t="s">
        <v>77</v>
      </c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45"/>
      <c r="AB314" s="545"/>
      <c r="AC314" s="545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9">
        <v>4607091387766</v>
      </c>
      <c r="E315" s="560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1300</v>
      </c>
      <c r="Y315" s="552">
        <f>IFERROR(IF(X315="",0,CEILING((X315/$H315),1)*$H315),"")</f>
        <v>1302.5999999999999</v>
      </c>
      <c r="Z315" s="36">
        <f>IFERROR(IF(Y315=0,"",ROUNDUP(Y315/H315,0)*0.01898),"")</f>
        <v>3.1696599999999999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1381.3333333333333</v>
      </c>
      <c r="BN315" s="64">
        <f>IFERROR(Y315*I315/H315,"0")</f>
        <v>1384.096</v>
      </c>
      <c r="BO315" s="64">
        <f>IFERROR(1/J315*(X315/H315),"0")</f>
        <v>2.6041666666666665</v>
      </c>
      <c r="BP315" s="64">
        <f>IFERROR(1/J315*(Y315/H315),"0")</f>
        <v>2.609375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9">
        <v>4607091387957</v>
      </c>
      <c r="E316" s="560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9">
        <v>4607091387964</v>
      </c>
      <c r="E317" s="560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9">
        <v>4680115884588</v>
      </c>
      <c r="E318" s="560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6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3">
        <f>IFERROR(X315/H315,"0")+IFERROR(X316/H316,"0")+IFERROR(X317/H317,"0")+IFERROR(X318/H318,"0")</f>
        <v>166.66666666666666</v>
      </c>
      <c r="Y319" s="553">
        <f>IFERROR(Y315/H315,"0")+IFERROR(Y316/H316,"0")+IFERROR(Y317/H317,"0")+IFERROR(Y318/H318,"0")</f>
        <v>167</v>
      </c>
      <c r="Z319" s="553">
        <f>IFERROR(IF(Z315="",0,Z315),"0")+IFERROR(IF(Z316="",0,Z316),"0")+IFERROR(IF(Z317="",0,Z317),"0")+IFERROR(IF(Z318="",0,Z318),"0")</f>
        <v>3.1696599999999999</v>
      </c>
      <c r="AA319" s="554"/>
      <c r="AB319" s="554"/>
      <c r="AC319" s="554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3">
        <f>IFERROR(SUM(X315:X318),"0")</f>
        <v>1300</v>
      </c>
      <c r="Y320" s="553">
        <f>IFERROR(SUM(Y315:Y318),"0")</f>
        <v>1302.5999999999999</v>
      </c>
      <c r="Z320" s="37"/>
      <c r="AA320" s="554"/>
      <c r="AB320" s="554"/>
      <c r="AC320" s="554"/>
    </row>
    <row r="321" spans="1:68" ht="14.25" hidden="1" customHeight="1" x14ac:dyDescent="0.25">
      <c r="A321" s="576" t="s">
        <v>161</v>
      </c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45"/>
      <c r="AB321" s="545"/>
      <c r="AC321" s="545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9">
        <v>4607091380880</v>
      </c>
      <c r="E322" s="560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9">
        <v>4607091384482</v>
      </c>
      <c r="E323" s="560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600</v>
      </c>
      <c r="Y323" s="552">
        <f>IFERROR(IF(X323="",0,CEILING((X323/$H323),1)*$H323),"")</f>
        <v>600.6</v>
      </c>
      <c r="Z323" s="36">
        <f>IFERROR(IF(Y323=0,"",ROUNDUP(Y323/H323,0)*0.01898),"")</f>
        <v>1.46146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638.00000000000011</v>
      </c>
      <c r="BN323" s="64">
        <f>IFERROR(Y323*I323/H323,"0")</f>
        <v>638.63800000000003</v>
      </c>
      <c r="BO323" s="64">
        <f>IFERROR(1/J323*(X323/H323),"0")</f>
        <v>1.2019230769230769</v>
      </c>
      <c r="BP323" s="64">
        <f>IFERROR(1/J323*(Y323/H323),"0")</f>
        <v>1.203125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9">
        <v>4607091380897</v>
      </c>
      <c r="E324" s="560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120</v>
      </c>
      <c r="Y324" s="552">
        <f>IFERROR(IF(X324="",0,CEILING((X324/$H324),1)*$H324),"")</f>
        <v>126</v>
      </c>
      <c r="Z324" s="36">
        <f>IFERROR(IF(Y324=0,"",ROUNDUP(Y324/H324,0)*0.01898),"")</f>
        <v>0.28470000000000001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127.05714285714285</v>
      </c>
      <c r="BN324" s="64">
        <f>IFERROR(Y324*I324/H324,"0")</f>
        <v>133.41</v>
      </c>
      <c r="BO324" s="64">
        <f>IFERROR(1/J324*(X324/H324),"0")</f>
        <v>0.2232142857142857</v>
      </c>
      <c r="BP324" s="64">
        <f>IFERROR(1/J324*(Y324/H324),"0")</f>
        <v>0.234375</v>
      </c>
    </row>
    <row r="325" spans="1:68" x14ac:dyDescent="0.2">
      <c r="A325" s="566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3">
        <f>IFERROR(X322/H322,"0")+IFERROR(X323/H323,"0")+IFERROR(X324/H324,"0")</f>
        <v>91.208791208791212</v>
      </c>
      <c r="Y325" s="553">
        <f>IFERROR(Y322/H322,"0")+IFERROR(Y323/H323,"0")+IFERROR(Y324/H324,"0")</f>
        <v>92</v>
      </c>
      <c r="Z325" s="553">
        <f>IFERROR(IF(Z322="",0,Z322),"0")+IFERROR(IF(Z323="",0,Z323),"0")+IFERROR(IF(Z324="",0,Z324),"0")</f>
        <v>1.7461599999999999</v>
      </c>
      <c r="AA325" s="554"/>
      <c r="AB325" s="554"/>
      <c r="AC325" s="554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3">
        <f>IFERROR(SUM(X322:X324),"0")</f>
        <v>720</v>
      </c>
      <c r="Y326" s="553">
        <f>IFERROR(SUM(Y322:Y324),"0")</f>
        <v>726.6</v>
      </c>
      <c r="Z326" s="37"/>
      <c r="AA326" s="554"/>
      <c r="AB326" s="554"/>
      <c r="AC326" s="554"/>
    </row>
    <row r="327" spans="1:68" ht="14.25" hidden="1" customHeight="1" x14ac:dyDescent="0.25">
      <c r="A327" s="576" t="s">
        <v>93</v>
      </c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45"/>
      <c r="AB327" s="545"/>
      <c r="AC327" s="545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9">
        <v>4607091388381</v>
      </c>
      <c r="E328" s="560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6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9">
        <v>4607091388374</v>
      </c>
      <c r="E329" s="560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9">
        <v>4607091383102</v>
      </c>
      <c r="E330" s="560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9">
        <v>4607091388404</v>
      </c>
      <c r="E331" s="560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25</v>
      </c>
      <c r="Y331" s="552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28.235294117647062</v>
      </c>
      <c r="BN331" s="64">
        <f>IFERROR(Y331*I331/H331,"0")</f>
        <v>28.8</v>
      </c>
      <c r="BO331" s="64">
        <f>IFERROR(1/J331*(X331/H331),"0")</f>
        <v>5.3867700926524466E-2</v>
      </c>
      <c r="BP331" s="64">
        <f>IFERROR(1/J331*(Y331/H331),"0")</f>
        <v>5.4945054945054951E-2</v>
      </c>
    </row>
    <row r="332" spans="1:68" x14ac:dyDescent="0.2">
      <c r="A332" s="566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3">
        <f>IFERROR(X328/H328,"0")+IFERROR(X329/H329,"0")+IFERROR(X330/H330,"0")+IFERROR(X331/H331,"0")</f>
        <v>9.8039215686274517</v>
      </c>
      <c r="Y332" s="553">
        <f>IFERROR(Y328/H328,"0")+IFERROR(Y329/H329,"0")+IFERROR(Y330/H330,"0")+IFERROR(Y331/H331,"0")</f>
        <v>10</v>
      </c>
      <c r="Z332" s="553">
        <f>IFERROR(IF(Z328="",0,Z328),"0")+IFERROR(IF(Z329="",0,Z329),"0")+IFERROR(IF(Z330="",0,Z330),"0")+IFERROR(IF(Z331="",0,Z331),"0")</f>
        <v>6.5100000000000005E-2</v>
      </c>
      <c r="AA332" s="554"/>
      <c r="AB332" s="554"/>
      <c r="AC332" s="554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3">
        <f>IFERROR(SUM(X328:X331),"0")</f>
        <v>25</v>
      </c>
      <c r="Y333" s="553">
        <f>IFERROR(SUM(Y328:Y331),"0")</f>
        <v>25.5</v>
      </c>
      <c r="Z333" s="37"/>
      <c r="AA333" s="554"/>
      <c r="AB333" s="554"/>
      <c r="AC333" s="554"/>
    </row>
    <row r="334" spans="1:68" ht="14.25" hidden="1" customHeight="1" x14ac:dyDescent="0.25">
      <c r="A334" s="576" t="s">
        <v>537</v>
      </c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45"/>
      <c r="AB334" s="545"/>
      <c r="AC334" s="545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9">
        <v>4680115881808</v>
      </c>
      <c r="E335" s="560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9">
        <v>4680115881822</v>
      </c>
      <c r="E336" s="560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9">
        <v>4680115880016</v>
      </c>
      <c r="E337" s="560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7" t="s">
        <v>546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46"/>
      <c r="AB340" s="546"/>
      <c r="AC340" s="546"/>
    </row>
    <row r="341" spans="1:68" ht="14.25" hidden="1" customHeight="1" x14ac:dyDescent="0.25">
      <c r="A341" s="576" t="s">
        <v>77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45"/>
      <c r="AB341" s="545"/>
      <c r="AC341" s="545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9">
        <v>4607091387919</v>
      </c>
      <c r="E342" s="560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300</v>
      </c>
      <c r="Y342" s="552">
        <f>IFERROR(IF(X342="",0,CEILING((X342/$H342),1)*$H342),"")</f>
        <v>307.8</v>
      </c>
      <c r="Z342" s="36">
        <f>IFERROR(IF(Y342=0,"",ROUNDUP(Y342/H342,0)*0.01898),"")</f>
        <v>0.72123999999999999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318.2962962962963</v>
      </c>
      <c r="BN342" s="64">
        <f>IFERROR(Y342*I342/H342,"0")</f>
        <v>326.572</v>
      </c>
      <c r="BO342" s="64">
        <f>IFERROR(1/J342*(X342/H342),"0")</f>
        <v>0.57870370370370372</v>
      </c>
      <c r="BP342" s="64">
        <f>IFERROR(1/J342*(Y342/H342),"0")</f>
        <v>0.59375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9">
        <v>4680115883604</v>
      </c>
      <c r="E343" s="560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70</v>
      </c>
      <c r="Y343" s="552">
        <f>IFERROR(IF(X343="",0,CEILING((X343/$H343),1)*$H343),"")</f>
        <v>71.400000000000006</v>
      </c>
      <c r="Z343" s="36">
        <f>IFERROR(IF(Y343=0,"",ROUNDUP(Y343/H343,0)*0.00651),"")</f>
        <v>0.22134000000000001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78.399999999999991</v>
      </c>
      <c r="BN343" s="64">
        <f>IFERROR(Y343*I343/H343,"0")</f>
        <v>79.968000000000004</v>
      </c>
      <c r="BO343" s="64">
        <f>IFERROR(1/J343*(X343/H343),"0")</f>
        <v>0.18315018315018314</v>
      </c>
      <c r="BP343" s="64">
        <f>IFERROR(1/J343*(Y343/H343),"0")</f>
        <v>0.18681318681318682</v>
      </c>
    </row>
    <row r="344" spans="1:68" ht="27" hidden="1" customHeight="1" x14ac:dyDescent="0.25">
      <c r="A344" s="54" t="s">
        <v>553</v>
      </c>
      <c r="B344" s="54" t="s">
        <v>554</v>
      </c>
      <c r="C344" s="31">
        <v>4301051864</v>
      </c>
      <c r="D344" s="559">
        <v>4680115883567</v>
      </c>
      <c r="E344" s="560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6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3">
        <f>IFERROR(X342/H342,"0")+IFERROR(X343/H343,"0")+IFERROR(X344/H344,"0")</f>
        <v>70.370370370370367</v>
      </c>
      <c r="Y345" s="553">
        <f>IFERROR(Y342/H342,"0")+IFERROR(Y343/H343,"0")+IFERROR(Y344/H344,"0")</f>
        <v>72</v>
      </c>
      <c r="Z345" s="553">
        <f>IFERROR(IF(Z342="",0,Z342),"0")+IFERROR(IF(Z343="",0,Z343),"0")+IFERROR(IF(Z344="",0,Z344),"0")</f>
        <v>0.94257999999999997</v>
      </c>
      <c r="AA345" s="554"/>
      <c r="AB345" s="554"/>
      <c r="AC345" s="554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3">
        <f>IFERROR(SUM(X342:X344),"0")</f>
        <v>370</v>
      </c>
      <c r="Y346" s="553">
        <f>IFERROR(SUM(Y342:Y344),"0")</f>
        <v>379.20000000000005</v>
      </c>
      <c r="Z346" s="37"/>
      <c r="AA346" s="554"/>
      <c r="AB346" s="554"/>
      <c r="AC346" s="554"/>
    </row>
    <row r="347" spans="1:68" ht="27.75" hidden="1" customHeight="1" x14ac:dyDescent="0.2">
      <c r="A347" s="606" t="s">
        <v>556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48"/>
      <c r="AB347" s="48"/>
      <c r="AC347" s="48"/>
    </row>
    <row r="348" spans="1:68" ht="16.5" hidden="1" customHeight="1" x14ac:dyDescent="0.25">
      <c r="A348" s="577" t="s">
        <v>557</v>
      </c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46"/>
      <c r="AB348" s="546"/>
      <c r="AC348" s="546"/>
    </row>
    <row r="349" spans="1:68" ht="14.25" hidden="1" customHeight="1" x14ac:dyDescent="0.25">
      <c r="A349" s="576" t="s">
        <v>101</v>
      </c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45"/>
      <c r="AB349" s="545"/>
      <c r="AC349" s="545"/>
    </row>
    <row r="350" spans="1:68" ht="37.5" hidden="1" customHeight="1" x14ac:dyDescent="0.25">
      <c r="A350" s="54" t="s">
        <v>558</v>
      </c>
      <c r="B350" s="54" t="s">
        <v>559</v>
      </c>
      <c r="C350" s="31">
        <v>4301011869</v>
      </c>
      <c r="D350" s="559">
        <v>4680115884847</v>
      </c>
      <c r="E350" s="560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4301011870</v>
      </c>
      <c r="D351" s="559">
        <v>4680115884854</v>
      </c>
      <c r="E351" s="560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9">
        <v>4680115884830</v>
      </c>
      <c r="E352" s="560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9">
        <v>4680115887046</v>
      </c>
      <c r="E353" s="560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3500</v>
      </c>
      <c r="Y353" s="552">
        <f t="shared" si="41"/>
        <v>3510</v>
      </c>
      <c r="Z353" s="36">
        <f>IFERROR(IF(Y353=0,"",ROUNDUP(Y353/H353,0)*0.02175),"")</f>
        <v>5.0894999999999992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3609.6666666666665</v>
      </c>
      <c r="BN353" s="64">
        <f t="shared" si="43"/>
        <v>3619.9800000000005</v>
      </c>
      <c r="BO353" s="64">
        <f t="shared" si="44"/>
        <v>4.8611111111111107</v>
      </c>
      <c r="BP353" s="64">
        <f t="shared" si="45"/>
        <v>4.875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9">
        <v>4680115882638</v>
      </c>
      <c r="E354" s="560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9">
        <v>4680115884922</v>
      </c>
      <c r="E355" s="560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9">
        <v>4680115884861</v>
      </c>
      <c r="E356" s="560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50</v>
      </c>
      <c r="Y356" s="552">
        <f t="shared" si="41"/>
        <v>50</v>
      </c>
      <c r="Z356" s="36">
        <f>IFERROR(IF(Y356=0,"",ROUNDUP(Y356/H356,0)*0.00902),"")</f>
        <v>9.0200000000000002E-2</v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51.9</v>
      </c>
      <c r="BN356" s="64">
        <f t="shared" si="43"/>
        <v>51.9</v>
      </c>
      <c r="BO356" s="64">
        <f t="shared" si="44"/>
        <v>7.575757575757576E-2</v>
      </c>
      <c r="BP356" s="64">
        <f t="shared" si="45"/>
        <v>7.575757575757576E-2</v>
      </c>
    </row>
    <row r="357" spans="1:68" x14ac:dyDescent="0.2">
      <c r="A357" s="566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243.33333333333334</v>
      </c>
      <c r="Y357" s="553">
        <f>IFERROR(Y350/H350,"0")+IFERROR(Y351/H351,"0")+IFERROR(Y352/H352,"0")+IFERROR(Y353/H353,"0")+IFERROR(Y354/H354,"0")+IFERROR(Y355/H355,"0")+IFERROR(Y356/H356,"0")</f>
        <v>244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5.1796999999999995</v>
      </c>
      <c r="AA357" s="554"/>
      <c r="AB357" s="554"/>
      <c r="AC357" s="554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3">
        <f>IFERROR(SUM(X350:X356),"0")</f>
        <v>3550</v>
      </c>
      <c r="Y358" s="553">
        <f>IFERROR(SUM(Y350:Y356),"0")</f>
        <v>3560</v>
      </c>
      <c r="Z358" s="37"/>
      <c r="AA358" s="554"/>
      <c r="AB358" s="554"/>
      <c r="AC358" s="554"/>
    </row>
    <row r="359" spans="1:68" ht="14.25" hidden="1" customHeight="1" x14ac:dyDescent="0.25">
      <c r="A359" s="576" t="s">
        <v>136</v>
      </c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45"/>
      <c r="AB359" s="545"/>
      <c r="AC359" s="545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9">
        <v>4607091383980</v>
      </c>
      <c r="E360" s="560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2100</v>
      </c>
      <c r="Y360" s="552">
        <f>IFERROR(IF(X360="",0,CEILING((X360/$H360),1)*$H360),"")</f>
        <v>2100</v>
      </c>
      <c r="Z360" s="36">
        <f>IFERROR(IF(Y360=0,"",ROUNDUP(Y360/H360,0)*0.02175),"")</f>
        <v>3.0449999999999999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2165.8000000000002</v>
      </c>
      <c r="BN360" s="64">
        <f>IFERROR(Y360*I360/H360,"0")</f>
        <v>2165.8000000000002</v>
      </c>
      <c r="BO360" s="64">
        <f>IFERROR(1/J360*(X360/H360),"0")</f>
        <v>2.9166666666666665</v>
      </c>
      <c r="BP360" s="64">
        <f>IFERROR(1/J360*(Y360/H360),"0")</f>
        <v>2.9166666666666665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9">
        <v>4607091384178</v>
      </c>
      <c r="E361" s="560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40</v>
      </c>
      <c r="Y361" s="552">
        <f>IFERROR(IF(X361="",0,CEILING((X361/$H361),1)*$H361),"")</f>
        <v>40</v>
      </c>
      <c r="Z361" s="36">
        <f>IFERROR(IF(Y361=0,"",ROUNDUP(Y361/H361,0)*0.00902),"")</f>
        <v>9.0200000000000002E-2</v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41.900000000000006</v>
      </c>
      <c r="BN361" s="64">
        <f>IFERROR(Y361*I361/H361,"0")</f>
        <v>41.900000000000006</v>
      </c>
      <c r="BO361" s="64">
        <f>IFERROR(1/J361*(X361/H361),"0")</f>
        <v>7.575757575757576E-2</v>
      </c>
      <c r="BP361" s="64">
        <f>IFERROR(1/J361*(Y361/H361),"0")</f>
        <v>7.575757575757576E-2</v>
      </c>
    </row>
    <row r="362" spans="1:68" x14ac:dyDescent="0.2">
      <c r="A362" s="566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3">
        <f>IFERROR(X360/H360,"0")+IFERROR(X361/H361,"0")</f>
        <v>150</v>
      </c>
      <c r="Y362" s="553">
        <f>IFERROR(Y360/H360,"0")+IFERROR(Y361/H361,"0")</f>
        <v>150</v>
      </c>
      <c r="Z362" s="553">
        <f>IFERROR(IF(Z360="",0,Z360),"0")+IFERROR(IF(Z361="",0,Z361),"0")</f>
        <v>3.1351999999999998</v>
      </c>
      <c r="AA362" s="554"/>
      <c r="AB362" s="554"/>
      <c r="AC362" s="554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3">
        <f>IFERROR(SUM(X360:X361),"0")</f>
        <v>2140</v>
      </c>
      <c r="Y363" s="553">
        <f>IFERROR(SUM(Y360:Y361),"0")</f>
        <v>2140</v>
      </c>
      <c r="Z363" s="37"/>
      <c r="AA363" s="554"/>
      <c r="AB363" s="554"/>
      <c r="AC363" s="554"/>
    </row>
    <row r="364" spans="1:68" ht="14.25" hidden="1" customHeight="1" x14ac:dyDescent="0.25">
      <c r="A364" s="576" t="s">
        <v>77</v>
      </c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45"/>
      <c r="AB364" s="545"/>
      <c r="AC364" s="545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9">
        <v>4607091383928</v>
      </c>
      <c r="E365" s="560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9">
        <v>4607091384260</v>
      </c>
      <c r="E366" s="560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6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76" t="s">
        <v>161</v>
      </c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45"/>
      <c r="AB369" s="545"/>
      <c r="AC369" s="545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9">
        <v>4607091384673</v>
      </c>
      <c r="E370" s="560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6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7" t="s">
        <v>592</v>
      </c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46"/>
      <c r="AB373" s="546"/>
      <c r="AC373" s="546"/>
    </row>
    <row r="374" spans="1:68" ht="14.25" hidden="1" customHeight="1" x14ac:dyDescent="0.25">
      <c r="A374" s="576" t="s">
        <v>101</v>
      </c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45"/>
      <c r="AB374" s="545"/>
      <c r="AC374" s="545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9">
        <v>4680115884885</v>
      </c>
      <c r="E375" s="560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9">
        <v>4680115884908</v>
      </c>
      <c r="E376" s="560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6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76" t="s">
        <v>64</v>
      </c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45"/>
      <c r="AB379" s="545"/>
      <c r="AC379" s="545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9">
        <v>4607091384802</v>
      </c>
      <c r="E380" s="560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9">
        <v>4607091384802</v>
      </c>
      <c r="E381" s="560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8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76" t="s">
        <v>77</v>
      </c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45"/>
      <c r="AB384" s="545"/>
      <c r="AC384" s="545"/>
    </row>
    <row r="385" spans="1:68" ht="27" hidden="1" customHeight="1" x14ac:dyDescent="0.25">
      <c r="A385" s="54" t="s">
        <v>603</v>
      </c>
      <c r="B385" s="54" t="s">
        <v>604</v>
      </c>
      <c r="C385" s="31">
        <v>4301051899</v>
      </c>
      <c r="D385" s="559">
        <v>4607091384246</v>
      </c>
      <c r="E385" s="560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9">
        <v>4607091384253</v>
      </c>
      <c r="E386" s="560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6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9">
        <v>4607091384253</v>
      </c>
      <c r="E387" s="560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hidden="1" x14ac:dyDescent="0.2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8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hidden="1" customHeight="1" x14ac:dyDescent="0.2">
      <c r="A390" s="606" t="s">
        <v>610</v>
      </c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48"/>
      <c r="AB390" s="48"/>
      <c r="AC390" s="48"/>
    </row>
    <row r="391" spans="1:68" ht="16.5" hidden="1" customHeight="1" x14ac:dyDescent="0.25">
      <c r="A391" s="577" t="s">
        <v>611</v>
      </c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46"/>
      <c r="AB391" s="546"/>
      <c r="AC391" s="546"/>
    </row>
    <row r="392" spans="1:68" ht="14.25" hidden="1" customHeight="1" x14ac:dyDescent="0.25">
      <c r="A392" s="576" t="s">
        <v>64</v>
      </c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45"/>
      <c r="AB392" s="545"/>
      <c r="AC392" s="545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9">
        <v>4680115886100</v>
      </c>
      <c r="E393" s="560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50</v>
      </c>
      <c r="Y393" s="552">
        <f t="shared" ref="Y393:Y401" si="46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51.759259259259252</v>
      </c>
      <c r="BN393" s="64">
        <f t="shared" ref="BN393:BN401" si="48">IFERROR(Y393*I393/H393,"0")</f>
        <v>55.9</v>
      </c>
      <c r="BO393" s="64">
        <f t="shared" ref="BO393:BO401" si="49">IFERROR(1/J393*(X393/H393),"0")</f>
        <v>7.0145903479236812E-2</v>
      </c>
      <c r="BP393" s="64">
        <f t="shared" ref="BP393:BP401" si="50">IFERROR(1/J393*(Y393/H393),"0")</f>
        <v>7.575757575757576E-2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9">
        <v>4680115886117</v>
      </c>
      <c r="E394" s="560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3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9">
        <v>4680115886124</v>
      </c>
      <c r="E395" s="560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9">
        <v>4680115883147</v>
      </c>
      <c r="E396" s="560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9">
        <v>4607091384338</v>
      </c>
      <c r="E397" s="560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9">
        <v>4607091389524</v>
      </c>
      <c r="E398" s="560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9">
        <v>4680115883161</v>
      </c>
      <c r="E399" s="560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9">
        <v>4607091389531</v>
      </c>
      <c r="E400" s="560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9">
        <v>4607091384345</v>
      </c>
      <c r="E401" s="560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6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9.2592592592592595</v>
      </c>
      <c r="Y402" s="553">
        <f>IFERROR(Y393/H393,"0")+IFERROR(Y394/H394,"0")+IFERROR(Y395/H395,"0")+IFERROR(Y396/H396,"0")+IFERROR(Y397/H397,"0")+IFERROR(Y398/H398,"0")+IFERROR(Y399/H399,"0")+IFERROR(Y400/H400,"0")+IFERROR(Y401/H401,"0")</f>
        <v>10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4"/>
      <c r="AB402" s="554"/>
      <c r="AC402" s="554"/>
    </row>
    <row r="403" spans="1:68" x14ac:dyDescent="0.2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8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3">
        <f>IFERROR(SUM(X393:X401),"0")</f>
        <v>50</v>
      </c>
      <c r="Y403" s="553">
        <f>IFERROR(SUM(Y393:Y401),"0")</f>
        <v>54</v>
      </c>
      <c r="Z403" s="37"/>
      <c r="AA403" s="554"/>
      <c r="AB403" s="554"/>
      <c r="AC403" s="554"/>
    </row>
    <row r="404" spans="1:68" ht="14.25" hidden="1" customHeight="1" x14ac:dyDescent="0.25">
      <c r="A404" s="576" t="s">
        <v>77</v>
      </c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45"/>
      <c r="AB404" s="545"/>
      <c r="AC404" s="545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9">
        <v>4607091384352</v>
      </c>
      <c r="E405" s="560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9">
        <v>4607091389654</v>
      </c>
      <c r="E406" s="560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8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7" t="s">
        <v>642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46"/>
      <c r="AB409" s="546"/>
      <c r="AC409" s="546"/>
    </row>
    <row r="410" spans="1:68" ht="14.25" hidden="1" customHeight="1" x14ac:dyDescent="0.25">
      <c r="A410" s="576" t="s">
        <v>136</v>
      </c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45"/>
      <c r="AB410" s="545"/>
      <c r="AC410" s="545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9">
        <v>4680115885240</v>
      </c>
      <c r="E411" s="560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8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76" t="s">
        <v>64</v>
      </c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45"/>
      <c r="AB414" s="545"/>
      <c r="AC414" s="545"/>
    </row>
    <row r="415" spans="1:68" ht="27" hidden="1" customHeight="1" x14ac:dyDescent="0.25">
      <c r="A415" s="54" t="s">
        <v>646</v>
      </c>
      <c r="B415" s="54" t="s">
        <v>647</v>
      </c>
      <c r="C415" s="31">
        <v>4301031403</v>
      </c>
      <c r="D415" s="559">
        <v>4680115886094</v>
      </c>
      <c r="E415" s="560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9">
        <v>4607091389425</v>
      </c>
      <c r="E416" s="560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9">
        <v>4680115880771</v>
      </c>
      <c r="E417" s="560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9">
        <v>4607091389500</v>
      </c>
      <c r="E418" s="560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6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8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hidden="1" x14ac:dyDescent="0.2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8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hidden="1" customHeight="1" x14ac:dyDescent="0.25">
      <c r="A421" s="577" t="s">
        <v>657</v>
      </c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46"/>
      <c r="AB421" s="546"/>
      <c r="AC421" s="546"/>
    </row>
    <row r="422" spans="1:68" ht="14.25" hidden="1" customHeight="1" x14ac:dyDescent="0.25">
      <c r="A422" s="576" t="s">
        <v>64</v>
      </c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45"/>
      <c r="AB422" s="545"/>
      <c r="AC422" s="545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9">
        <v>4680115885110</v>
      </c>
      <c r="E423" s="560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6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8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8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06" t="s">
        <v>661</v>
      </c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48"/>
      <c r="AB426" s="48"/>
      <c r="AC426" s="48"/>
    </row>
    <row r="427" spans="1:68" ht="16.5" hidden="1" customHeight="1" x14ac:dyDescent="0.25">
      <c r="A427" s="577" t="s">
        <v>661</v>
      </c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46"/>
      <c r="AB427" s="546"/>
      <c r="AC427" s="546"/>
    </row>
    <row r="428" spans="1:68" ht="14.25" hidden="1" customHeight="1" x14ac:dyDescent="0.25">
      <c r="A428" s="576" t="s">
        <v>101</v>
      </c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45"/>
      <c r="AB428" s="545"/>
      <c r="AC428" s="545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9">
        <v>4607091389067</v>
      </c>
      <c r="E429" s="560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9">
        <v>4607091383522</v>
      </c>
      <c r="E430" s="560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9">
        <v>4607091383522</v>
      </c>
      <c r="E431" s="560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1100</v>
      </c>
      <c r="Y431" s="552">
        <f t="shared" si="52"/>
        <v>1103.52</v>
      </c>
      <c r="Z431" s="36">
        <f t="shared" si="53"/>
        <v>2.4996399999999999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1172.9166666666665</v>
      </c>
      <c r="BN431" s="64">
        <f t="shared" si="55"/>
        <v>1176.6699999999998</v>
      </c>
      <c r="BO431" s="64">
        <f t="shared" si="56"/>
        <v>2.0032051282051282</v>
      </c>
      <c r="BP431" s="64">
        <f t="shared" si="57"/>
        <v>2.0096153846153846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4301011961</v>
      </c>
      <c r="D432" s="559">
        <v>4680115885271</v>
      </c>
      <c r="E432" s="560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4301011376</v>
      </c>
      <c r="D433" s="559">
        <v>4680115885226</v>
      </c>
      <c r="E433" s="560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9">
        <v>4680115884502</v>
      </c>
      <c r="E434" s="560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9">
        <v>4607091389104</v>
      </c>
      <c r="E435" s="560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550</v>
      </c>
      <c r="Y435" s="552">
        <f t="shared" si="52"/>
        <v>554.4</v>
      </c>
      <c r="Z435" s="36">
        <f t="shared" si="53"/>
        <v>1.2558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586.45833333333326</v>
      </c>
      <c r="BN435" s="64">
        <f t="shared" si="55"/>
        <v>591.15</v>
      </c>
      <c r="BO435" s="64">
        <f t="shared" si="56"/>
        <v>1.0016025641025641</v>
      </c>
      <c r="BP435" s="64">
        <f t="shared" si="57"/>
        <v>1.0096153846153846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9">
        <v>4680115886391</v>
      </c>
      <c r="E436" s="560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9">
        <v>4680115880603</v>
      </c>
      <c r="E437" s="560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9">
        <v>4680115882782</v>
      </c>
      <c r="E438" s="560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9">
        <v>4680115885479</v>
      </c>
      <c r="E439" s="560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9">
        <v>4607091389982</v>
      </c>
      <c r="E440" s="560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6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8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312.5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314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3.7554400000000001</v>
      </c>
      <c r="AA441" s="554"/>
      <c r="AB441" s="554"/>
      <c r="AC441" s="554"/>
    </row>
    <row r="442" spans="1:68" x14ac:dyDescent="0.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8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3">
        <f>IFERROR(SUM(X429:X440),"0")</f>
        <v>1650</v>
      </c>
      <c r="Y442" s="553">
        <f>IFERROR(SUM(Y429:Y440),"0")</f>
        <v>1657.92</v>
      </c>
      <c r="Z442" s="37"/>
      <c r="AA442" s="554"/>
      <c r="AB442" s="554"/>
      <c r="AC442" s="554"/>
    </row>
    <row r="443" spans="1:68" ht="14.25" hidden="1" customHeight="1" x14ac:dyDescent="0.25">
      <c r="A443" s="576" t="s">
        <v>136</v>
      </c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45"/>
      <c r="AB443" s="545"/>
      <c r="AC443" s="545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9">
        <v>4607091388930</v>
      </c>
      <c r="E444" s="560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1100</v>
      </c>
      <c r="Y444" s="552">
        <f>IFERROR(IF(X444="",0,CEILING((X444/$H444),1)*$H444),"")</f>
        <v>1103.52</v>
      </c>
      <c r="Z444" s="36">
        <f>IFERROR(IF(Y444=0,"",ROUNDUP(Y444/H444,0)*0.01196),"")</f>
        <v>2.4996399999999999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1172.9166666666665</v>
      </c>
      <c r="BN444" s="64">
        <f>IFERROR(Y444*I444/H444,"0")</f>
        <v>1176.6699999999998</v>
      </c>
      <c r="BO444" s="64">
        <f>IFERROR(1/J444*(X444/H444),"0")</f>
        <v>2.0032051282051282</v>
      </c>
      <c r="BP444" s="64">
        <f>IFERROR(1/J444*(Y444/H444),"0")</f>
        <v>2.0096153846153846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9">
        <v>4680115886407</v>
      </c>
      <c r="E445" s="560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9">
        <v>4680115880054</v>
      </c>
      <c r="E446" s="560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8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3">
        <f>IFERROR(X444/H444,"0")+IFERROR(X445/H445,"0")+IFERROR(X446/H446,"0")</f>
        <v>208.33333333333331</v>
      </c>
      <c r="Y447" s="553">
        <f>IFERROR(Y444/H444,"0")+IFERROR(Y445/H445,"0")+IFERROR(Y446/H446,"0")</f>
        <v>209</v>
      </c>
      <c r="Z447" s="553">
        <f>IFERROR(IF(Z444="",0,Z444),"0")+IFERROR(IF(Z445="",0,Z445),"0")+IFERROR(IF(Z446="",0,Z446),"0")</f>
        <v>2.4996399999999999</v>
      </c>
      <c r="AA447" s="554"/>
      <c r="AB447" s="554"/>
      <c r="AC447" s="554"/>
    </row>
    <row r="448" spans="1:68" x14ac:dyDescent="0.2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8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3">
        <f>IFERROR(SUM(X444:X446),"0")</f>
        <v>1100</v>
      </c>
      <c r="Y448" s="553">
        <f>IFERROR(SUM(Y444:Y446),"0")</f>
        <v>1103.52</v>
      </c>
      <c r="Z448" s="37"/>
      <c r="AA448" s="554"/>
      <c r="AB448" s="554"/>
      <c r="AC448" s="554"/>
    </row>
    <row r="449" spans="1:68" ht="14.25" hidden="1" customHeight="1" x14ac:dyDescent="0.25">
      <c r="A449" s="576" t="s">
        <v>64</v>
      </c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45"/>
      <c r="AB449" s="545"/>
      <c r="AC449" s="545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9">
        <v>4680115883116</v>
      </c>
      <c r="E450" s="560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150</v>
      </c>
      <c r="Y450" s="552">
        <f t="shared" ref="Y450:Y455" si="58">IFERROR(IF(X450="",0,CEILING((X450/$H450),1)*$H450),"")</f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159.94318181818181</v>
      </c>
      <c r="BN450" s="64">
        <f t="shared" ref="BN450:BN455" si="60">IFERROR(Y450*I450/H450,"0")</f>
        <v>163.26999999999998</v>
      </c>
      <c r="BO450" s="64">
        <f t="shared" ref="BO450:BO455" si="61">IFERROR(1/J450*(X450/H450),"0")</f>
        <v>0.27316433566433568</v>
      </c>
      <c r="BP450" s="64">
        <f t="shared" ref="BP450:BP455" si="62">IFERROR(1/J450*(Y450/H450),"0")</f>
        <v>0.27884615384615385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4301031350</v>
      </c>
      <c r="D451" s="559">
        <v>4680115883093</v>
      </c>
      <c r="E451" s="560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9">
        <v>4680115883109</v>
      </c>
      <c r="E452" s="560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450</v>
      </c>
      <c r="Y452" s="552">
        <f t="shared" si="58"/>
        <v>454.08000000000004</v>
      </c>
      <c r="Z452" s="36">
        <f>IFERROR(IF(Y452=0,"",ROUNDUP(Y452/H452,0)*0.01196),"")</f>
        <v>1.0285599999999999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479.82954545454544</v>
      </c>
      <c r="BN452" s="64">
        <f t="shared" si="60"/>
        <v>484.18</v>
      </c>
      <c r="BO452" s="64">
        <f t="shared" si="61"/>
        <v>0.81949300699300698</v>
      </c>
      <c r="BP452" s="64">
        <f t="shared" si="62"/>
        <v>0.82692307692307698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9">
        <v>4680115882072</v>
      </c>
      <c r="E453" s="560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6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9">
        <v>4680115882102</v>
      </c>
      <c r="E454" s="560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6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9">
        <v>4680115882096</v>
      </c>
      <c r="E455" s="560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6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3">
        <f>IFERROR(X450/H450,"0")+IFERROR(X451/H451,"0")+IFERROR(X452/H452,"0")+IFERROR(X453/H453,"0")+IFERROR(X454/H454,"0")+IFERROR(X455/H455,"0")</f>
        <v>113.63636363636363</v>
      </c>
      <c r="Y456" s="553">
        <f>IFERROR(Y450/H450,"0")+IFERROR(Y451/H451,"0")+IFERROR(Y452/H452,"0")+IFERROR(Y453/H453,"0")+IFERROR(Y454/H454,"0")+IFERROR(Y455/H455,"0")</f>
        <v>115</v>
      </c>
      <c r="Z456" s="553">
        <f>IFERROR(IF(Z450="",0,Z450),"0")+IFERROR(IF(Z451="",0,Z451),"0")+IFERROR(IF(Z452="",0,Z452),"0")+IFERROR(IF(Z453="",0,Z453),"0")+IFERROR(IF(Z454="",0,Z454),"0")+IFERROR(IF(Z455="",0,Z455),"0")</f>
        <v>1.3754</v>
      </c>
      <c r="AA456" s="554"/>
      <c r="AB456" s="554"/>
      <c r="AC456" s="554"/>
    </row>
    <row r="457" spans="1:68" x14ac:dyDescent="0.2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8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3">
        <f>IFERROR(SUM(X450:X455),"0")</f>
        <v>600</v>
      </c>
      <c r="Y457" s="553">
        <f>IFERROR(SUM(Y450:Y455),"0")</f>
        <v>607.20000000000005</v>
      </c>
      <c r="Z457" s="37"/>
      <c r="AA457" s="554"/>
      <c r="AB457" s="554"/>
      <c r="AC457" s="554"/>
    </row>
    <row r="458" spans="1:68" ht="14.25" hidden="1" customHeight="1" x14ac:dyDescent="0.25">
      <c r="A458" s="576" t="s">
        <v>77</v>
      </c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45"/>
      <c r="AB458" s="545"/>
      <c r="AC458" s="545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9">
        <v>4680115883536</v>
      </c>
      <c r="E459" s="560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4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8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8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06" t="s">
        <v>716</v>
      </c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48"/>
      <c r="AB462" s="48"/>
      <c r="AC462" s="48"/>
    </row>
    <row r="463" spans="1:68" ht="16.5" hidden="1" customHeight="1" x14ac:dyDescent="0.25">
      <c r="A463" s="577" t="s">
        <v>716</v>
      </c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46"/>
      <c r="AB463" s="546"/>
      <c r="AC463" s="546"/>
    </row>
    <row r="464" spans="1:68" ht="14.25" hidden="1" customHeight="1" x14ac:dyDescent="0.25">
      <c r="A464" s="576" t="s">
        <v>101</v>
      </c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45"/>
      <c r="AB464" s="545"/>
      <c r="AC464" s="545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9">
        <v>4640242181011</v>
      </c>
      <c r="E465" s="560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9">
        <v>4640242180441</v>
      </c>
      <c r="E466" s="560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9">
        <v>4640242180564</v>
      </c>
      <c r="E467" s="560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120</v>
      </c>
      <c r="Y467" s="552">
        <f>IFERROR(IF(X467="",0,CEILING((X467/$H467),1)*$H467),"")</f>
        <v>120</v>
      </c>
      <c r="Z467" s="36">
        <f>IFERROR(IF(Y467=0,"",ROUNDUP(Y467/H467,0)*0.01898),"")</f>
        <v>0.1898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124.10000000000001</v>
      </c>
      <c r="BN467" s="64">
        <f>IFERROR(Y467*I467/H467,"0")</f>
        <v>124.10000000000001</v>
      </c>
      <c r="BO467" s="64">
        <f>IFERROR(1/J467*(X467/H467),"0")</f>
        <v>0.15625</v>
      </c>
      <c r="BP467" s="64">
        <f>IFERROR(1/J467*(Y467/H467),"0")</f>
        <v>0.15625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9">
        <v>4640242181189</v>
      </c>
      <c r="E468" s="560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3">
        <f>IFERROR(X465/H465,"0")+IFERROR(X466/H466,"0")+IFERROR(X467/H467,"0")+IFERROR(X468/H468,"0")</f>
        <v>10</v>
      </c>
      <c r="Y469" s="553">
        <f>IFERROR(Y465/H465,"0")+IFERROR(Y466/H466,"0")+IFERROR(Y467/H467,"0")+IFERROR(Y468/H468,"0")</f>
        <v>10</v>
      </c>
      <c r="Z469" s="553">
        <f>IFERROR(IF(Z465="",0,Z465),"0")+IFERROR(IF(Z466="",0,Z466),"0")+IFERROR(IF(Z467="",0,Z467),"0")+IFERROR(IF(Z468="",0,Z468),"0")</f>
        <v>0.1898</v>
      </c>
      <c r="AA469" s="554"/>
      <c r="AB469" s="554"/>
      <c r="AC469" s="554"/>
    </row>
    <row r="470" spans="1:68" x14ac:dyDescent="0.2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8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3">
        <f>IFERROR(SUM(X465:X468),"0")</f>
        <v>120</v>
      </c>
      <c r="Y470" s="553">
        <f>IFERROR(SUM(Y465:Y468),"0")</f>
        <v>120</v>
      </c>
      <c r="Z470" s="37"/>
      <c r="AA470" s="554"/>
      <c r="AB470" s="554"/>
      <c r="AC470" s="554"/>
    </row>
    <row r="471" spans="1:68" ht="14.25" hidden="1" customHeight="1" x14ac:dyDescent="0.25">
      <c r="A471" s="576" t="s">
        <v>136</v>
      </c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45"/>
      <c r="AB471" s="545"/>
      <c r="AC471" s="545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9">
        <v>4640242180519</v>
      </c>
      <c r="E472" s="560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9">
        <v>4640242180526</v>
      </c>
      <c r="E473" s="560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0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8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8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76" t="s">
        <v>64</v>
      </c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45"/>
      <c r="AB476" s="545"/>
      <c r="AC476" s="545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9">
        <v>4640242180595</v>
      </c>
      <c r="E477" s="560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600</v>
      </c>
      <c r="Y477" s="552">
        <f>IFERROR(IF(X477="",0,CEILING((X477/$H477),1)*$H477),"")</f>
        <v>600</v>
      </c>
      <c r="Z477" s="36">
        <f>IFERROR(IF(Y477=0,"",ROUNDUP(Y477/H477,0)*0.00902),"")</f>
        <v>1.1274999999999999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631.25</v>
      </c>
      <c r="BN477" s="64">
        <f>IFERROR(Y477*I477/H477,"0")</f>
        <v>631.25</v>
      </c>
      <c r="BO477" s="64">
        <f>IFERROR(1/J477*(X477/H477),"0")</f>
        <v>0.94696969696969702</v>
      </c>
      <c r="BP477" s="64">
        <f>IFERROR(1/J477*(Y477/H477),"0")</f>
        <v>0.94696969696969702</v>
      </c>
    </row>
    <row r="478" spans="1:68" x14ac:dyDescent="0.2">
      <c r="A478" s="566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8"/>
      <c r="P478" s="563" t="s">
        <v>75</v>
      </c>
      <c r="Q478" s="564"/>
      <c r="R478" s="564"/>
      <c r="S478" s="564"/>
      <c r="T478" s="564"/>
      <c r="U478" s="564"/>
      <c r="V478" s="565"/>
      <c r="W478" s="37" t="s">
        <v>76</v>
      </c>
      <c r="X478" s="553">
        <f>IFERROR(X477/H477,"0")</f>
        <v>125</v>
      </c>
      <c r="Y478" s="553">
        <f>IFERROR(Y477/H477,"0")</f>
        <v>125</v>
      </c>
      <c r="Z478" s="553">
        <f>IFERROR(IF(Z477="",0,Z477),"0")</f>
        <v>1.1274999999999999</v>
      </c>
      <c r="AA478" s="554"/>
      <c r="AB478" s="554"/>
      <c r="AC478" s="554"/>
    </row>
    <row r="479" spans="1:68" x14ac:dyDescent="0.2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8"/>
      <c r="P479" s="563" t="s">
        <v>75</v>
      </c>
      <c r="Q479" s="564"/>
      <c r="R479" s="564"/>
      <c r="S479" s="564"/>
      <c r="T479" s="564"/>
      <c r="U479" s="564"/>
      <c r="V479" s="565"/>
      <c r="W479" s="37" t="s">
        <v>69</v>
      </c>
      <c r="X479" s="553">
        <f>IFERROR(SUM(X477:X477),"0")</f>
        <v>600</v>
      </c>
      <c r="Y479" s="553">
        <f>IFERROR(SUM(Y477:Y477),"0")</f>
        <v>600</v>
      </c>
      <c r="Z479" s="37"/>
      <c r="AA479" s="554"/>
      <c r="AB479" s="554"/>
      <c r="AC479" s="554"/>
    </row>
    <row r="480" spans="1:68" ht="14.25" hidden="1" customHeight="1" x14ac:dyDescent="0.25">
      <c r="A480" s="576" t="s">
        <v>77</v>
      </c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45"/>
      <c r="AB480" s="545"/>
      <c r="AC480" s="545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9">
        <v>4640242180533</v>
      </c>
      <c r="E481" s="560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6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3" t="s">
        <v>75</v>
      </c>
      <c r="Q482" s="564"/>
      <c r="R482" s="564"/>
      <c r="S482" s="564"/>
      <c r="T482" s="564"/>
      <c r="U482" s="564"/>
      <c r="V482" s="565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8"/>
      <c r="P483" s="563" t="s">
        <v>75</v>
      </c>
      <c r="Q483" s="564"/>
      <c r="R483" s="564"/>
      <c r="S483" s="564"/>
      <c r="T483" s="564"/>
      <c r="U483" s="564"/>
      <c r="V483" s="565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76" t="s">
        <v>161</v>
      </c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45"/>
      <c r="AB484" s="545"/>
      <c r="AC484" s="545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9">
        <v>4640242180120</v>
      </c>
      <c r="E485" s="560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9">
        <v>4640242180137</v>
      </c>
      <c r="E486" s="560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6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3" t="s">
        <v>75</v>
      </c>
      <c r="Q487" s="564"/>
      <c r="R487" s="564"/>
      <c r="S487" s="564"/>
      <c r="T487" s="564"/>
      <c r="U487" s="564"/>
      <c r="V487" s="565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8"/>
      <c r="P488" s="563" t="s">
        <v>75</v>
      </c>
      <c r="Q488" s="564"/>
      <c r="R488" s="564"/>
      <c r="S488" s="564"/>
      <c r="T488" s="564"/>
      <c r="U488" s="564"/>
      <c r="V488" s="565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7" t="s">
        <v>746</v>
      </c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46"/>
      <c r="AB489" s="546"/>
      <c r="AC489" s="546"/>
    </row>
    <row r="490" spans="1:68" ht="14.25" hidden="1" customHeight="1" x14ac:dyDescent="0.25">
      <c r="A490" s="576" t="s">
        <v>136</v>
      </c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45"/>
      <c r="AB490" s="545"/>
      <c r="AC490" s="545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9">
        <v>4640242180090</v>
      </c>
      <c r="E491" s="560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6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8"/>
      <c r="P492" s="563" t="s">
        <v>75</v>
      </c>
      <c r="Q492" s="564"/>
      <c r="R492" s="564"/>
      <c r="S492" s="564"/>
      <c r="T492" s="564"/>
      <c r="U492" s="564"/>
      <c r="V492" s="565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8"/>
      <c r="P493" s="563" t="s">
        <v>75</v>
      </c>
      <c r="Q493" s="564"/>
      <c r="R493" s="564"/>
      <c r="S493" s="564"/>
      <c r="T493" s="564"/>
      <c r="U493" s="564"/>
      <c r="V493" s="565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713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714"/>
      <c r="P494" s="711" t="s">
        <v>750</v>
      </c>
      <c r="Q494" s="592"/>
      <c r="R494" s="592"/>
      <c r="S494" s="592"/>
      <c r="T494" s="592"/>
      <c r="U494" s="592"/>
      <c r="V494" s="593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17844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17970.34</v>
      </c>
      <c r="Z494" s="37"/>
      <c r="AA494" s="554"/>
      <c r="AB494" s="554"/>
      <c r="AC494" s="554"/>
    </row>
    <row r="495" spans="1:68" x14ac:dyDescent="0.2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714"/>
      <c r="P495" s="711" t="s">
        <v>751</v>
      </c>
      <c r="Q495" s="592"/>
      <c r="R495" s="592"/>
      <c r="S495" s="592"/>
      <c r="T495" s="592"/>
      <c r="U495" s="592"/>
      <c r="V495" s="593"/>
      <c r="W495" s="37" t="s">
        <v>69</v>
      </c>
      <c r="X495" s="553">
        <f>IFERROR(SUM(BM22:BM491),"0")</f>
        <v>18706.261989644336</v>
      </c>
      <c r="Y495" s="553">
        <f>IFERROR(SUM(BN22:BN491),"0")</f>
        <v>18838.734</v>
      </c>
      <c r="Z495" s="37"/>
      <c r="AA495" s="554"/>
      <c r="AB495" s="554"/>
      <c r="AC495" s="554"/>
    </row>
    <row r="496" spans="1:68" x14ac:dyDescent="0.2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714"/>
      <c r="P496" s="711" t="s">
        <v>752</v>
      </c>
      <c r="Q496" s="592"/>
      <c r="R496" s="592"/>
      <c r="S496" s="592"/>
      <c r="T496" s="592"/>
      <c r="U496" s="592"/>
      <c r="V496" s="593"/>
      <c r="W496" s="37" t="s">
        <v>753</v>
      </c>
      <c r="X496" s="38">
        <f>ROUNDUP(SUM(BO22:BO491),0)</f>
        <v>30</v>
      </c>
      <c r="Y496" s="38">
        <f>ROUNDUP(SUM(BP22:BP491),0)</f>
        <v>30</v>
      </c>
      <c r="Z496" s="37"/>
      <c r="AA496" s="554"/>
      <c r="AB496" s="554"/>
      <c r="AC496" s="554"/>
    </row>
    <row r="497" spans="1:32" x14ac:dyDescent="0.2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714"/>
      <c r="P497" s="711" t="s">
        <v>754</v>
      </c>
      <c r="Q497" s="592"/>
      <c r="R497" s="592"/>
      <c r="S497" s="592"/>
      <c r="T497" s="592"/>
      <c r="U497" s="592"/>
      <c r="V497" s="593"/>
      <c r="W497" s="37" t="s">
        <v>69</v>
      </c>
      <c r="X497" s="553">
        <f>GrossWeightTotal+PalletQtyTotal*25</f>
        <v>19456.261989644336</v>
      </c>
      <c r="Y497" s="553">
        <f>GrossWeightTotalR+PalletQtyTotalR*25</f>
        <v>19588.734</v>
      </c>
      <c r="Z497" s="37"/>
      <c r="AA497" s="554"/>
      <c r="AB497" s="554"/>
      <c r="AC497" s="554"/>
    </row>
    <row r="498" spans="1:32" x14ac:dyDescent="0.2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714"/>
      <c r="P498" s="711" t="s">
        <v>755</v>
      </c>
      <c r="Q498" s="592"/>
      <c r="R498" s="592"/>
      <c r="S498" s="592"/>
      <c r="T498" s="592"/>
      <c r="U498" s="592"/>
      <c r="V498" s="593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2306.1570129217184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2324</v>
      </c>
      <c r="Z498" s="37"/>
      <c r="AA498" s="554"/>
      <c r="AB498" s="554"/>
      <c r="AC498" s="554"/>
    </row>
    <row r="499" spans="1:32" ht="14.25" hidden="1" customHeight="1" x14ac:dyDescent="0.2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714"/>
      <c r="P499" s="711" t="s">
        <v>756</v>
      </c>
      <c r="Q499" s="592"/>
      <c r="R499" s="592"/>
      <c r="S499" s="592"/>
      <c r="T499" s="592"/>
      <c r="U499" s="592"/>
      <c r="V499" s="593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34.543799999999997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3" t="s">
        <v>63</v>
      </c>
      <c r="C501" s="598" t="s">
        <v>99</v>
      </c>
      <c r="D501" s="702"/>
      <c r="E501" s="702"/>
      <c r="F501" s="702"/>
      <c r="G501" s="702"/>
      <c r="H501" s="645"/>
      <c r="I501" s="598" t="s">
        <v>266</v>
      </c>
      <c r="J501" s="702"/>
      <c r="K501" s="702"/>
      <c r="L501" s="702"/>
      <c r="M501" s="702"/>
      <c r="N501" s="702"/>
      <c r="O501" s="702"/>
      <c r="P501" s="702"/>
      <c r="Q501" s="702"/>
      <c r="R501" s="645"/>
      <c r="S501" s="598" t="s">
        <v>556</v>
      </c>
      <c r="T501" s="645"/>
      <c r="U501" s="598" t="s">
        <v>610</v>
      </c>
      <c r="V501" s="702"/>
      <c r="W501" s="645"/>
      <c r="X501" s="543" t="s">
        <v>661</v>
      </c>
      <c r="Y501" s="598" t="s">
        <v>716</v>
      </c>
      <c r="Z501" s="645"/>
      <c r="AB501" s="52"/>
      <c r="AC501" s="52"/>
      <c r="AF501" s="544"/>
    </row>
    <row r="502" spans="1:32" ht="14.25" customHeight="1" thickTop="1" x14ac:dyDescent="0.2">
      <c r="A502" s="875" t="s">
        <v>759</v>
      </c>
      <c r="B502" s="598" t="s">
        <v>63</v>
      </c>
      <c r="C502" s="598" t="s">
        <v>100</v>
      </c>
      <c r="D502" s="598" t="s">
        <v>117</v>
      </c>
      <c r="E502" s="598" t="s">
        <v>168</v>
      </c>
      <c r="F502" s="598" t="s">
        <v>190</v>
      </c>
      <c r="G502" s="598" t="s">
        <v>227</v>
      </c>
      <c r="H502" s="598" t="s">
        <v>99</v>
      </c>
      <c r="I502" s="598" t="s">
        <v>267</v>
      </c>
      <c r="J502" s="598" t="s">
        <v>322</v>
      </c>
      <c r="K502" s="598" t="s">
        <v>382</v>
      </c>
      <c r="L502" s="598" t="s">
        <v>423</v>
      </c>
      <c r="M502" s="598" t="s">
        <v>439</v>
      </c>
      <c r="N502" s="544"/>
      <c r="O502" s="598" t="s">
        <v>450</v>
      </c>
      <c r="P502" s="598" t="s">
        <v>459</v>
      </c>
      <c r="Q502" s="598" t="s">
        <v>472</v>
      </c>
      <c r="R502" s="598" t="s">
        <v>546</v>
      </c>
      <c r="S502" s="598" t="s">
        <v>557</v>
      </c>
      <c r="T502" s="598" t="s">
        <v>592</v>
      </c>
      <c r="U502" s="598" t="s">
        <v>611</v>
      </c>
      <c r="V502" s="598" t="s">
        <v>642</v>
      </c>
      <c r="W502" s="598" t="s">
        <v>657</v>
      </c>
      <c r="X502" s="598" t="s">
        <v>661</v>
      </c>
      <c r="Y502" s="598" t="s">
        <v>716</v>
      </c>
      <c r="Z502" s="598" t="s">
        <v>746</v>
      </c>
      <c r="AB502" s="52"/>
      <c r="AC502" s="52"/>
      <c r="AF502" s="544"/>
    </row>
    <row r="503" spans="1:32" ht="13.5" customHeight="1" thickBot="1" x14ac:dyDescent="0.25">
      <c r="A503" s="876"/>
      <c r="B503" s="599"/>
      <c r="C503" s="599"/>
      <c r="D503" s="599"/>
      <c r="E503" s="599"/>
      <c r="F503" s="599"/>
      <c r="G503" s="599"/>
      <c r="H503" s="599"/>
      <c r="I503" s="599"/>
      <c r="J503" s="599"/>
      <c r="K503" s="599"/>
      <c r="L503" s="599"/>
      <c r="M503" s="599"/>
      <c r="N503" s="544"/>
      <c r="O503" s="599"/>
      <c r="P503" s="599"/>
      <c r="Q503" s="599"/>
      <c r="R503" s="599"/>
      <c r="S503" s="599"/>
      <c r="T503" s="599"/>
      <c r="U503" s="599"/>
      <c r="V503" s="599"/>
      <c r="W503" s="599"/>
      <c r="X503" s="599"/>
      <c r="Y503" s="599"/>
      <c r="Z503" s="599"/>
      <c r="AB503" s="52"/>
      <c r="AC503" s="52"/>
      <c r="AF503" s="544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760.40000000000009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1666.8</v>
      </c>
      <c r="E504" s="46">
        <f>IFERROR(Y84*1,"0")+IFERROR(Y85*1,"0")+IFERROR(Y86*1,"0")+IFERROR(Y87*1,"0")+IFERROR(Y91*1,"0")+IFERROR(Y92*1,"0")+IFERROR(Y93*1,"0")+IFERROR(Y94*1,"0")</f>
        <v>672.3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656.1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88.2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50.400000000000006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399.60000000000008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188</v>
      </c>
      <c r="M504" s="46">
        <f>IFERROR(Y271*1,"0")+IFERROR(Y272*1,"0")+IFERROR(Y273*1,"0")+IFERROR(Y274*1,"0")</f>
        <v>0</v>
      </c>
      <c r="N504" s="544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3266.7</v>
      </c>
      <c r="R504" s="46">
        <f>IFERROR(Y342*1,"0")+IFERROR(Y343*1,"0")+IFERROR(Y344*1,"0")</f>
        <v>379.20000000000005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5700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3368.64</v>
      </c>
      <c r="Y504" s="46">
        <f>IFERROR(Y465*1,"0")+IFERROR(Y466*1,"0")+IFERROR(Y467*1,"0")+IFERROR(Y468*1,"0")+IFERROR(Y472*1,"0")+IFERROR(Y473*1,"0")+IFERROR(Y477*1,"0")+IFERROR(Y481*1,"0")+IFERROR(Y485*1,"0")+IFERROR(Y486*1,"0")</f>
        <v>720</v>
      </c>
      <c r="Z504" s="46">
        <f>IFERROR(Y491*1,"0")</f>
        <v>0</v>
      </c>
      <c r="AB504" s="52"/>
      <c r="AC504" s="52"/>
      <c r="AF504" s="544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00,00"/>
        <filter val="1 400,00"/>
        <filter val="1 562,00"/>
        <filter val="1 650,00"/>
        <filter val="10,00"/>
        <filter val="100,00"/>
        <filter val="11,90"/>
        <filter val="113,64"/>
        <filter val="12,62"/>
        <filter val="120,00"/>
        <filter val="125,00"/>
        <filter val="150,00"/>
        <filter val="162,00"/>
        <filter val="166,67"/>
        <filter val="17 844,00"/>
        <filter val="18 706,26"/>
        <filter val="180,00"/>
        <filter val="186,67"/>
        <filter val="189,63"/>
        <filter val="19 456,26"/>
        <filter val="2 100,00"/>
        <filter val="2 140,00"/>
        <filter val="2 306,16"/>
        <filter val="200,00"/>
        <filter val="208,33"/>
        <filter val="243,33"/>
        <filter val="25,00"/>
        <filter val="250,00"/>
        <filter val="29,26"/>
        <filter val="3 500,00"/>
        <filter val="3 550,00"/>
        <filter val="30"/>
        <filter val="300,00"/>
        <filter val="312,50"/>
        <filter val="370,00"/>
        <filter val="380,00"/>
        <filter val="40,00"/>
        <filter val="41,67"/>
        <filter val="42,00"/>
        <filter val="450,00"/>
        <filter val="50,00"/>
        <filter val="500,00"/>
        <filter val="550,00"/>
        <filter val="60,00"/>
        <filter val="600,00"/>
        <filter val="650,00"/>
        <filter val="670,00"/>
        <filter val="70,00"/>
        <filter val="70,37"/>
        <filter val="720,00"/>
        <filter val="742,00"/>
        <filter val="750,00"/>
        <filter val="8,93"/>
        <filter val="80,00"/>
        <filter val="80,25"/>
        <filter val="82,04"/>
        <filter val="82,72"/>
        <filter val="85,00"/>
        <filter val="9,26"/>
        <filter val="9,80"/>
        <filter val="91,21"/>
      </filters>
    </filterColumn>
    <filterColumn colId="29" showButton="0"/>
    <filterColumn colId="30" showButton="0"/>
  </autoFilter>
  <mergeCells count="884">
    <mergeCell ref="I502:I503"/>
    <mergeCell ref="G502:G503"/>
    <mergeCell ref="D110:E110"/>
    <mergeCell ref="A502:A503"/>
    <mergeCell ref="P365:T365"/>
    <mergeCell ref="A8:C8"/>
    <mergeCell ref="P385:T385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A364:Z364"/>
    <mergeCell ref="P218:T218"/>
    <mergeCell ref="P69:V69"/>
    <mergeCell ref="A21:Z21"/>
    <mergeCell ref="A192:Z192"/>
    <mergeCell ref="D184:E184"/>
    <mergeCell ref="D121:E121"/>
    <mergeCell ref="D42:E42"/>
    <mergeCell ref="V12:W12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P372:V372"/>
    <mergeCell ref="A426:Z426"/>
    <mergeCell ref="N17:N18"/>
    <mergeCell ref="P72:T72"/>
    <mergeCell ref="Q5:R5"/>
    <mergeCell ref="F17:F18"/>
    <mergeCell ref="P199:T199"/>
    <mergeCell ref="P303:V303"/>
    <mergeCell ref="P370:T370"/>
    <mergeCell ref="P297:T297"/>
    <mergeCell ref="Q6:R6"/>
    <mergeCell ref="A20:Z20"/>
    <mergeCell ref="M17:M18"/>
    <mergeCell ref="O17:O18"/>
    <mergeCell ref="D23:E23"/>
    <mergeCell ref="A9:C9"/>
    <mergeCell ref="Q13:R13"/>
    <mergeCell ref="D299:E299"/>
    <mergeCell ref="D222:E222"/>
    <mergeCell ref="G17:G18"/>
    <mergeCell ref="V6:W9"/>
    <mergeCell ref="D17:E18"/>
    <mergeCell ref="D173:E173"/>
    <mergeCell ref="D344:E344"/>
    <mergeCell ref="P71:T71"/>
    <mergeCell ref="X17:X18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18:O119"/>
    <mergeCell ref="P292:T292"/>
    <mergeCell ref="D102:E102"/>
    <mergeCell ref="A125:Z125"/>
    <mergeCell ref="P371:V371"/>
    <mergeCell ref="P68:V68"/>
    <mergeCell ref="P62:T62"/>
    <mergeCell ref="D29:E29"/>
    <mergeCell ref="P32:V32"/>
    <mergeCell ref="P101:T101"/>
    <mergeCell ref="D386:E386"/>
    <mergeCell ref="P250:V250"/>
    <mergeCell ref="A428:Z428"/>
    <mergeCell ref="P425:V425"/>
    <mergeCell ref="J502:J503"/>
    <mergeCell ref="D249:E249"/>
    <mergeCell ref="P262:T262"/>
    <mergeCell ref="P433:T433"/>
    <mergeCell ref="A349:Z349"/>
    <mergeCell ref="D170:E170"/>
    <mergeCell ref="A476:Z476"/>
    <mergeCell ref="D468:E468"/>
    <mergeCell ref="A31:O32"/>
    <mergeCell ref="D107:E107"/>
    <mergeCell ref="D234:E234"/>
    <mergeCell ref="D405:E405"/>
    <mergeCell ref="A447:O448"/>
    <mergeCell ref="P436:T436"/>
    <mergeCell ref="P81:V81"/>
    <mergeCell ref="A487:O488"/>
    <mergeCell ref="A33:Z33"/>
    <mergeCell ref="A269:Z269"/>
    <mergeCell ref="A424:O425"/>
    <mergeCell ref="P419:V419"/>
    <mergeCell ref="P145:V145"/>
    <mergeCell ref="A231:Z231"/>
    <mergeCell ref="D54:E54"/>
    <mergeCell ref="P283:V283"/>
    <mergeCell ref="D452:E452"/>
    <mergeCell ref="P493:V493"/>
    <mergeCell ref="P358:V358"/>
    <mergeCell ref="P110:T110"/>
    <mergeCell ref="A348:Z348"/>
    <mergeCell ref="D218:E218"/>
    <mergeCell ref="P197:V197"/>
    <mergeCell ref="A258:O259"/>
    <mergeCell ref="A347:Z347"/>
    <mergeCell ref="P289:V289"/>
    <mergeCell ref="A314:Z314"/>
    <mergeCell ref="P439:T439"/>
    <mergeCell ref="D271:E271"/>
    <mergeCell ref="A484:Z484"/>
    <mergeCell ref="P444:T444"/>
    <mergeCell ref="A409:Z409"/>
    <mergeCell ref="P336:T336"/>
    <mergeCell ref="P187:V187"/>
    <mergeCell ref="P258:V258"/>
    <mergeCell ref="A248:Z248"/>
    <mergeCell ref="P430:T430"/>
    <mergeCell ref="A391:Z391"/>
    <mergeCell ref="A128:O129"/>
    <mergeCell ref="D215:E215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P442:V442"/>
    <mergeCell ref="A463:Z463"/>
    <mergeCell ref="P67:T67"/>
    <mergeCell ref="D430:E430"/>
    <mergeCell ref="P119:V119"/>
    <mergeCell ref="D455:E455"/>
    <mergeCell ref="D175:E175"/>
    <mergeCell ref="P253:T253"/>
    <mergeCell ref="D221:E221"/>
    <mergeCell ref="V11:W11"/>
    <mergeCell ref="P469:V469"/>
    <mergeCell ref="P486:T486"/>
    <mergeCell ref="P342:T342"/>
    <mergeCell ref="P317:T317"/>
    <mergeCell ref="D152:E152"/>
    <mergeCell ref="P2:W3"/>
    <mergeCell ref="P498:V498"/>
    <mergeCell ref="A57:O58"/>
    <mergeCell ref="P127:T127"/>
    <mergeCell ref="D241:E241"/>
    <mergeCell ref="P298:T298"/>
    <mergeCell ref="P54:T54"/>
    <mergeCell ref="D437:E437"/>
    <mergeCell ref="P418:T418"/>
    <mergeCell ref="D228:E228"/>
    <mergeCell ref="A371:O372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323:E323"/>
    <mergeCell ref="D223:E223"/>
    <mergeCell ref="D279:E279"/>
    <mergeCell ref="D394:E394"/>
    <mergeCell ref="D450:E450"/>
    <mergeCell ref="P494:V494"/>
    <mergeCell ref="P102:T102"/>
    <mergeCell ref="P417:T417"/>
    <mergeCell ref="P456:V456"/>
    <mergeCell ref="D177:E177"/>
    <mergeCell ref="A106:Z106"/>
    <mergeCell ref="P183:T183"/>
    <mergeCell ref="P354:T354"/>
    <mergeCell ref="A404:Z404"/>
    <mergeCell ref="P121:T121"/>
    <mergeCell ref="D216:E216"/>
    <mergeCell ref="D265:E265"/>
    <mergeCell ref="P344:T344"/>
    <mergeCell ref="A242:O243"/>
    <mergeCell ref="A478:O479"/>
    <mergeCell ref="P323:T323"/>
    <mergeCell ref="A414:Z414"/>
    <mergeCell ref="A327:Z327"/>
    <mergeCell ref="P474:V474"/>
    <mergeCell ref="P134:V134"/>
    <mergeCell ref="A155:Z155"/>
    <mergeCell ref="P268:V268"/>
    <mergeCell ref="D318:E318"/>
    <mergeCell ref="P339:V339"/>
    <mergeCell ref="U502:U503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A284:Z284"/>
    <mergeCell ref="P301:T301"/>
    <mergeCell ref="D385:E385"/>
    <mergeCell ref="P178:T178"/>
    <mergeCell ref="P34:T34"/>
    <mergeCell ref="I501:R501"/>
    <mergeCell ref="D86:E86"/>
    <mergeCell ref="D257:E257"/>
    <mergeCell ref="D151:E151"/>
    <mergeCell ref="A362:O363"/>
    <mergeCell ref="P107:T107"/>
    <mergeCell ref="D150:E150"/>
    <mergeCell ref="P129:V129"/>
    <mergeCell ref="P63:V63"/>
    <mergeCell ref="P465:T465"/>
    <mergeCell ref="P415:T415"/>
    <mergeCell ref="P479:V479"/>
    <mergeCell ref="H5:M5"/>
    <mergeCell ref="P31:V31"/>
    <mergeCell ref="P158:V158"/>
    <mergeCell ref="A214:Z214"/>
    <mergeCell ref="D317:E317"/>
    <mergeCell ref="A285:Z285"/>
    <mergeCell ref="A341:Z341"/>
    <mergeCell ref="D6:M6"/>
    <mergeCell ref="A75:O76"/>
    <mergeCell ref="P175:T175"/>
    <mergeCell ref="P95:V95"/>
    <mergeCell ref="P162:T162"/>
    <mergeCell ref="D143:E143"/>
    <mergeCell ref="A278:Z278"/>
    <mergeCell ref="P227:T227"/>
    <mergeCell ref="P177:T177"/>
    <mergeCell ref="P93:T93"/>
    <mergeCell ref="D85:E85"/>
    <mergeCell ref="D207:E207"/>
    <mergeCell ref="D256:E256"/>
    <mergeCell ref="P335:T335"/>
    <mergeCell ref="D435:E435"/>
    <mergeCell ref="P274:T274"/>
    <mergeCell ref="D217:E217"/>
    <mergeCell ref="P84:T84"/>
    <mergeCell ref="P222:T222"/>
    <mergeCell ref="A161:Z161"/>
    <mergeCell ref="P117:T117"/>
    <mergeCell ref="D301:E301"/>
    <mergeCell ref="D380:E380"/>
    <mergeCell ref="P116:T116"/>
    <mergeCell ref="P92:T92"/>
    <mergeCell ref="A422:Z422"/>
    <mergeCell ref="D360:E360"/>
    <mergeCell ref="D431:E431"/>
    <mergeCell ref="P435:T435"/>
    <mergeCell ref="P291:T291"/>
    <mergeCell ref="P307:T307"/>
    <mergeCell ref="A163:O164"/>
    <mergeCell ref="A402:O403"/>
    <mergeCell ref="D93:E93"/>
    <mergeCell ref="D264:E264"/>
    <mergeCell ref="A133:O134"/>
    <mergeCell ref="D220:E220"/>
    <mergeCell ref="P167:T167"/>
    <mergeCell ref="P142:T142"/>
    <mergeCell ref="D148:E148"/>
    <mergeCell ref="P256:T256"/>
    <mergeCell ref="D199:E199"/>
    <mergeCell ref="P109:T109"/>
    <mergeCell ref="AC17:AC18"/>
    <mergeCell ref="P485:T485"/>
    <mergeCell ref="P108:T108"/>
    <mergeCell ref="P279:T279"/>
    <mergeCell ref="D393:E393"/>
    <mergeCell ref="D418:E418"/>
    <mergeCell ref="P472:T472"/>
    <mergeCell ref="P254:T254"/>
    <mergeCell ref="A104:O105"/>
    <mergeCell ref="P343:T343"/>
    <mergeCell ref="A460:O461"/>
    <mergeCell ref="P318:T318"/>
    <mergeCell ref="AB17:AB18"/>
    <mergeCell ref="D446:E446"/>
    <mergeCell ref="D439:E439"/>
    <mergeCell ref="D481:E481"/>
    <mergeCell ref="P57:V57"/>
    <mergeCell ref="A295:Z295"/>
    <mergeCell ref="P399:T399"/>
    <mergeCell ref="P242:V242"/>
    <mergeCell ref="P413:V413"/>
    <mergeCell ref="P407:V407"/>
    <mergeCell ref="A232:Z232"/>
    <mergeCell ref="P382:V382"/>
    <mergeCell ref="W502:W503"/>
    <mergeCell ref="A489:Z489"/>
    <mergeCell ref="A160:Z160"/>
    <mergeCell ref="A464:Z464"/>
    <mergeCell ref="A141:Z141"/>
    <mergeCell ref="A144:O145"/>
    <mergeCell ref="H10:M10"/>
    <mergeCell ref="AA17:AA18"/>
    <mergeCell ref="A135:Z135"/>
    <mergeCell ref="C502:C503"/>
    <mergeCell ref="E502:E503"/>
    <mergeCell ref="S501:T501"/>
    <mergeCell ref="P357:V357"/>
    <mergeCell ref="A182:Z182"/>
    <mergeCell ref="A296:Z296"/>
    <mergeCell ref="D459:E459"/>
    <mergeCell ref="P123:V123"/>
    <mergeCell ref="D136:E136"/>
    <mergeCell ref="P46:T46"/>
    <mergeCell ref="D434:E434"/>
    <mergeCell ref="P482:V482"/>
    <mergeCell ref="T502:T503"/>
    <mergeCell ref="A412:O413"/>
    <mergeCell ref="V502:V503"/>
    <mergeCell ref="D502:D503"/>
    <mergeCell ref="D114:E114"/>
    <mergeCell ref="F502:F503"/>
    <mergeCell ref="L502:L503"/>
    <mergeCell ref="P143:T143"/>
    <mergeCell ref="D51:E51"/>
    <mergeCell ref="P235:T235"/>
    <mergeCell ref="P306:T306"/>
    <mergeCell ref="P477:T477"/>
    <mergeCell ref="P157:V157"/>
    <mergeCell ref="P213:V213"/>
    <mergeCell ref="P207:T207"/>
    <mergeCell ref="P299:T299"/>
    <mergeCell ref="P326:V326"/>
    <mergeCell ref="P393:T393"/>
    <mergeCell ref="P457:V457"/>
    <mergeCell ref="A82:Z82"/>
    <mergeCell ref="P330:T330"/>
    <mergeCell ref="P395:T395"/>
    <mergeCell ref="D438:E438"/>
    <mergeCell ref="A340:Z340"/>
    <mergeCell ref="A146:Z146"/>
    <mergeCell ref="D204:E204"/>
    <mergeCell ref="P217:T217"/>
    <mergeCell ref="J9:M9"/>
    <mergeCell ref="P440:T440"/>
    <mergeCell ref="P446:T446"/>
    <mergeCell ref="P389:V389"/>
    <mergeCell ref="A388:O389"/>
    <mergeCell ref="D62:E62"/>
    <mergeCell ref="D56:E56"/>
    <mergeCell ref="D127:E127"/>
    <mergeCell ref="P206:T206"/>
    <mergeCell ref="P233:T233"/>
    <mergeCell ref="D176:E176"/>
    <mergeCell ref="A38:Z38"/>
    <mergeCell ref="H17:H18"/>
    <mergeCell ref="D440:E440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A427:Z427"/>
    <mergeCell ref="A88:O89"/>
    <mergeCell ref="A153:O154"/>
    <mergeCell ref="D477:E477"/>
    <mergeCell ref="A193:Z193"/>
    <mergeCell ref="P204:T204"/>
    <mergeCell ref="P179:T179"/>
    <mergeCell ref="A198:Z198"/>
    <mergeCell ref="A369:Z369"/>
    <mergeCell ref="P375:T375"/>
    <mergeCell ref="P459:T459"/>
    <mergeCell ref="D465:E465"/>
    <mergeCell ref="P156:T156"/>
    <mergeCell ref="P105:V105"/>
    <mergeCell ref="D200:E200"/>
    <mergeCell ref="D436:E436"/>
    <mergeCell ref="D292:E292"/>
    <mergeCell ref="D454:E454"/>
    <mergeCell ref="P185:T185"/>
    <mergeCell ref="D416:E416"/>
    <mergeCell ref="A359:Z359"/>
    <mergeCell ref="D415:E415"/>
    <mergeCell ref="P257:T257"/>
    <mergeCell ref="D194:E194"/>
    <mergeCell ref="S502:S503"/>
    <mergeCell ref="P80:V80"/>
    <mergeCell ref="D74:E74"/>
    <mergeCell ref="P87:T87"/>
    <mergeCell ref="A203:Z203"/>
    <mergeCell ref="D335:E335"/>
    <mergeCell ref="P451:T451"/>
    <mergeCell ref="P245:T245"/>
    <mergeCell ref="D286:E286"/>
    <mergeCell ref="P491:T491"/>
    <mergeCell ref="P322:T322"/>
    <mergeCell ref="D132:E132"/>
    <mergeCell ref="P211:T211"/>
    <mergeCell ref="D399:E399"/>
    <mergeCell ref="P309:T309"/>
    <mergeCell ref="A377:O378"/>
    <mergeCell ref="D178:E178"/>
    <mergeCell ref="P225:V225"/>
    <mergeCell ref="D172:E172"/>
    <mergeCell ref="P461:V461"/>
    <mergeCell ref="P324:T324"/>
    <mergeCell ref="A441:O442"/>
    <mergeCell ref="A261:Z261"/>
    <mergeCell ref="P338:V338"/>
    <mergeCell ref="T5:U5"/>
    <mergeCell ref="V5:W5"/>
    <mergeCell ref="D46:E46"/>
    <mergeCell ref="P294:V294"/>
    <mergeCell ref="A490:Z490"/>
    <mergeCell ref="D40:E40"/>
    <mergeCell ref="A224:O225"/>
    <mergeCell ref="D233:E233"/>
    <mergeCell ref="P361:T361"/>
    <mergeCell ref="P212:V212"/>
    <mergeCell ref="Q8:R8"/>
    <mergeCell ref="D183:E183"/>
    <mergeCell ref="P311:T311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P499:V499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D109:E109"/>
    <mergeCell ref="D280:E280"/>
    <mergeCell ref="D467:E467"/>
    <mergeCell ref="A480:Z480"/>
    <mergeCell ref="P25:V25"/>
    <mergeCell ref="P356:T356"/>
    <mergeCell ref="P383:V383"/>
    <mergeCell ref="A37:Z37"/>
    <mergeCell ref="A379:Z379"/>
    <mergeCell ref="D485:E485"/>
    <mergeCell ref="P320:V320"/>
    <mergeCell ref="P447:V447"/>
    <mergeCell ref="D137:E137"/>
    <mergeCell ref="P216:T216"/>
    <mergeCell ref="P387:T387"/>
    <mergeCell ref="P497:V497"/>
    <mergeCell ref="P288:V288"/>
    <mergeCell ref="D328:E328"/>
    <mergeCell ref="A188:Z188"/>
    <mergeCell ref="A443:Z443"/>
    <mergeCell ref="P313:V313"/>
    <mergeCell ref="P202:V202"/>
    <mergeCell ref="P380:T380"/>
    <mergeCell ref="D491:E491"/>
    <mergeCell ref="P483:V483"/>
    <mergeCell ref="D227:E227"/>
    <mergeCell ref="P492:V492"/>
    <mergeCell ref="P495:V495"/>
    <mergeCell ref="P496:V496"/>
    <mergeCell ref="A494:O499"/>
    <mergeCell ref="D309:E309"/>
    <mergeCell ref="D453:E453"/>
    <mergeCell ref="P416:T416"/>
    <mergeCell ref="D324:E324"/>
    <mergeCell ref="P470:V470"/>
    <mergeCell ref="A474:O475"/>
    <mergeCell ref="P460:V460"/>
    <mergeCell ref="D274:E274"/>
    <mergeCell ref="D245:E245"/>
    <mergeCell ref="C501:H501"/>
    <mergeCell ref="D169:E169"/>
    <mergeCell ref="A312:O313"/>
    <mergeCell ref="P353:T353"/>
    <mergeCell ref="X502:X503"/>
    <mergeCell ref="Z502:Z503"/>
    <mergeCell ref="R502:R503"/>
    <mergeCell ref="P132:T132"/>
    <mergeCell ref="A122:O123"/>
    <mergeCell ref="P367:V367"/>
    <mergeCell ref="D330:E330"/>
    <mergeCell ref="P304:V304"/>
    <mergeCell ref="P181:V181"/>
    <mergeCell ref="A421:Z421"/>
    <mergeCell ref="A201:O202"/>
    <mergeCell ref="D350:E350"/>
    <mergeCell ref="P408:V408"/>
    <mergeCell ref="A338:O339"/>
    <mergeCell ref="A138:O139"/>
    <mergeCell ref="P208:T208"/>
    <mergeCell ref="D396:E396"/>
    <mergeCell ref="P450:T450"/>
    <mergeCell ref="A325:O326"/>
    <mergeCell ref="D352:E352"/>
    <mergeCell ref="A5:C5"/>
    <mergeCell ref="P412:V412"/>
    <mergeCell ref="P64:V64"/>
    <mergeCell ref="P406:T406"/>
    <mergeCell ref="P191:V191"/>
    <mergeCell ref="P362:V362"/>
    <mergeCell ref="D179:E179"/>
    <mergeCell ref="U501:W501"/>
    <mergeCell ref="P420:V420"/>
    <mergeCell ref="D166:E166"/>
    <mergeCell ref="D337:E337"/>
    <mergeCell ref="A410:Z410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401:E401"/>
    <mergeCell ref="D168:E168"/>
    <mergeCell ref="D466:E466"/>
    <mergeCell ref="A6:C6"/>
    <mergeCell ref="P411:T411"/>
    <mergeCell ref="A68:O69"/>
    <mergeCell ref="P196:V196"/>
    <mergeCell ref="A43:O44"/>
    <mergeCell ref="P133:V133"/>
    <mergeCell ref="P66:T66"/>
    <mergeCell ref="D116:E116"/>
    <mergeCell ref="D91:E91"/>
    <mergeCell ref="D72:E72"/>
    <mergeCell ref="A120:Z120"/>
    <mergeCell ref="D235:E235"/>
    <mergeCell ref="P276:V276"/>
    <mergeCell ref="P148:T148"/>
    <mergeCell ref="A47:O48"/>
    <mergeCell ref="P240:T240"/>
    <mergeCell ref="D354:E354"/>
    <mergeCell ref="A332:O333"/>
    <mergeCell ref="P337:T337"/>
    <mergeCell ref="P238:T238"/>
    <mergeCell ref="A80:O81"/>
    <mergeCell ref="P61:T61"/>
    <mergeCell ref="A90:Z90"/>
    <mergeCell ref="A277:Z277"/>
    <mergeCell ref="P44:V44"/>
    <mergeCell ref="D417:E417"/>
    <mergeCell ref="A392:Z392"/>
    <mergeCell ref="D9:E9"/>
    <mergeCell ref="P137:T137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P376:T376"/>
    <mergeCell ref="P467:T467"/>
    <mergeCell ref="P53:T53"/>
    <mergeCell ref="D167:E167"/>
    <mergeCell ref="P351:T351"/>
    <mergeCell ref="A419:O420"/>
    <mergeCell ref="P264:T264"/>
    <mergeCell ref="P239:T239"/>
    <mergeCell ref="P186:V186"/>
    <mergeCell ref="P75:V75"/>
    <mergeCell ref="A98:Z98"/>
    <mergeCell ref="D52:E52"/>
    <mergeCell ref="P210:T210"/>
    <mergeCell ref="A196:O197"/>
    <mergeCell ref="A275:O276"/>
    <mergeCell ref="A267:O268"/>
    <mergeCell ref="P308:T308"/>
    <mergeCell ref="A367:O368"/>
    <mergeCell ref="D398:E398"/>
    <mergeCell ref="A303:O304"/>
    <mergeCell ref="D94:E94"/>
    <mergeCell ref="D361:E361"/>
    <mergeCell ref="D115:E115"/>
    <mergeCell ref="D311:E311"/>
    <mergeCell ref="P280:T280"/>
    <mergeCell ref="P169:T169"/>
    <mergeCell ref="A390:Z390"/>
    <mergeCell ref="P396:T396"/>
    <mergeCell ref="P398:T398"/>
    <mergeCell ref="D370:E370"/>
    <mergeCell ref="P115:T115"/>
    <mergeCell ref="D254:E254"/>
    <mergeCell ref="Y502:Y503"/>
    <mergeCell ref="A482:O483"/>
    <mergeCell ref="P286:T286"/>
    <mergeCell ref="D329:E329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P350:T350"/>
    <mergeCell ref="P201:V201"/>
    <mergeCell ref="P139:V139"/>
    <mergeCell ref="P481:T481"/>
    <mergeCell ref="D306:E306"/>
    <mergeCell ref="P189:T189"/>
    <mergeCell ref="A319:O320"/>
    <mergeCell ref="P424:V424"/>
    <mergeCell ref="A246:O247"/>
    <mergeCell ref="P287:T287"/>
    <mergeCell ref="P281:T281"/>
    <mergeCell ref="P352:T352"/>
    <mergeCell ref="D1:F1"/>
    <mergeCell ref="P190:V190"/>
    <mergeCell ref="P466:T466"/>
    <mergeCell ref="A456:O457"/>
    <mergeCell ref="P488:V488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P346:V346"/>
    <mergeCell ref="A165:Z165"/>
    <mergeCell ref="A293:O294"/>
    <mergeCell ref="P112:V112"/>
    <mergeCell ref="D100:E100"/>
    <mergeCell ref="P17:T18"/>
    <mergeCell ref="A471:Z471"/>
    <mergeCell ref="A77:Z77"/>
    <mergeCell ref="P194:T194"/>
    <mergeCell ref="A180:O181"/>
    <mergeCell ref="P52:T52"/>
    <mergeCell ref="Y501:Z501"/>
    <mergeCell ref="P475:V475"/>
    <mergeCell ref="D356:E356"/>
    <mergeCell ref="P502:P503"/>
    <mergeCell ref="P164:V164"/>
    <mergeCell ref="H502:H503"/>
    <mergeCell ref="A45:Z45"/>
    <mergeCell ref="A458:Z458"/>
    <mergeCell ref="P35:V35"/>
    <mergeCell ref="P333:V333"/>
    <mergeCell ref="P273:T273"/>
    <mergeCell ref="D316:E316"/>
    <mergeCell ref="D387:E387"/>
    <mergeCell ref="D272:E272"/>
    <mergeCell ref="P400:T400"/>
    <mergeCell ref="D210:E210"/>
    <mergeCell ref="D381:E381"/>
    <mergeCell ref="A250:O251"/>
    <mergeCell ref="D308:E308"/>
    <mergeCell ref="A492:O493"/>
    <mergeCell ref="D87:E87"/>
    <mergeCell ref="P166:T166"/>
    <mergeCell ref="D147:E147"/>
    <mergeCell ref="D209:E209"/>
    <mergeCell ref="A469:O470"/>
    <mergeCell ref="P168:T168"/>
    <mergeCell ref="D211:E211"/>
    <mergeCell ref="P487:V487"/>
    <mergeCell ref="P266:T266"/>
    <mergeCell ref="A212:O213"/>
    <mergeCell ref="P331:T331"/>
    <mergeCell ref="D315:E315"/>
    <mergeCell ref="P394:T394"/>
    <mergeCell ref="D302:E302"/>
    <mergeCell ref="P173:T173"/>
    <mergeCell ref="D486:E486"/>
    <mergeCell ref="P328:T328"/>
    <mergeCell ref="D376:E376"/>
    <mergeCell ref="P455:T455"/>
    <mergeCell ref="P386:T386"/>
    <mergeCell ref="P432:T432"/>
    <mergeCell ref="P454:T454"/>
    <mergeCell ref="D263:E263"/>
    <mergeCell ref="P402:V402"/>
    <mergeCell ref="P267:V267"/>
    <mergeCell ref="D451:E451"/>
    <mergeCell ref="D255:E255"/>
    <mergeCell ref="P219:T219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67:E67"/>
    <mergeCell ref="D5:E5"/>
    <mergeCell ref="A140:Z140"/>
    <mergeCell ref="D7:M7"/>
    <mergeCell ref="A373:Z373"/>
    <mergeCell ref="D365:E365"/>
    <mergeCell ref="P236:T236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P56:T56"/>
    <mergeCell ref="V10:W10"/>
    <mergeCell ref="D195:E195"/>
    <mergeCell ref="D189:E189"/>
    <mergeCell ref="A124:Z124"/>
    <mergeCell ref="A229:O230"/>
    <mergeCell ref="P99:T99"/>
    <mergeCell ref="D287:E287"/>
    <mergeCell ref="P170:T170"/>
    <mergeCell ref="D66:E66"/>
    <mergeCell ref="P103:T103"/>
    <mergeCell ref="D126:E126"/>
    <mergeCell ref="Q9:R9"/>
    <mergeCell ref="A113:Z113"/>
    <mergeCell ref="P36:V36"/>
    <mergeCell ref="F9:G9"/>
    <mergeCell ref="O502:O503"/>
    <mergeCell ref="D253:E253"/>
    <mergeCell ref="D53:E53"/>
    <mergeCell ref="P381:T381"/>
    <mergeCell ref="Q502:Q50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154:V154"/>
    <mergeCell ref="A321:Z321"/>
    <mergeCell ref="P325:V325"/>
    <mergeCell ref="D142:E142"/>
    <mergeCell ref="D429:E429"/>
    <mergeCell ref="P473:T473"/>
    <mergeCell ref="A462:Z462"/>
    <mergeCell ref="P42:T42"/>
    <mergeCell ref="A26:Z26"/>
    <mergeCell ref="I17:I18"/>
    <mergeCell ref="A12:M12"/>
    <mergeCell ref="A14:M14"/>
    <mergeCell ref="P51:T51"/>
    <mergeCell ref="P58:V58"/>
    <mergeCell ref="A13:M13"/>
    <mergeCell ref="P86:T86"/>
    <mergeCell ref="D78:E78"/>
    <mergeCell ref="A65:Z65"/>
    <mergeCell ref="P29:T29"/>
    <mergeCell ref="P23:T23"/>
    <mergeCell ref="D27:E27"/>
    <mergeCell ref="P15:T16"/>
    <mergeCell ref="P55:T55"/>
    <mergeCell ref="Q12:R12"/>
    <mergeCell ref="A15:M15"/>
    <mergeCell ref="P22:T22"/>
    <mergeCell ref="P40:T40"/>
    <mergeCell ref="Z17:Z18"/>
    <mergeCell ref="D61:E61"/>
    <mergeCell ref="A59:Z59"/>
    <mergeCell ref="D79:E79"/>
    <mergeCell ref="R1:T1"/>
    <mergeCell ref="P172:T172"/>
    <mergeCell ref="P28:T28"/>
    <mergeCell ref="D71:E71"/>
    <mergeCell ref="P150:T150"/>
    <mergeCell ref="P221:T221"/>
    <mergeCell ref="A345:O346"/>
    <mergeCell ref="P215:T215"/>
    <mergeCell ref="D307:E307"/>
    <mergeCell ref="P229:V229"/>
    <mergeCell ref="A282:O283"/>
    <mergeCell ref="P30:T30"/>
    <mergeCell ref="D73:E73"/>
    <mergeCell ref="P152:T152"/>
    <mergeCell ref="H9:I9"/>
    <mergeCell ref="P224:V224"/>
    <mergeCell ref="A49:Z49"/>
    <mergeCell ref="P24:V24"/>
    <mergeCell ref="D281:E281"/>
    <mergeCell ref="P89:V89"/>
    <mergeCell ref="A334:Z334"/>
    <mergeCell ref="D297:E297"/>
    <mergeCell ref="P88:V88"/>
    <mergeCell ref="P259:V259"/>
    <mergeCell ref="B17:B18"/>
    <mergeCell ref="P441:V441"/>
    <mergeCell ref="P79:T79"/>
    <mergeCell ref="D473:E473"/>
    <mergeCell ref="D60:E60"/>
    <mergeCell ref="P73:T73"/>
    <mergeCell ref="P315:T315"/>
    <mergeCell ref="P437:T437"/>
    <mergeCell ref="A190:O191"/>
    <mergeCell ref="D423:E423"/>
    <mergeCell ref="D174:E174"/>
    <mergeCell ref="P302:T302"/>
    <mergeCell ref="D472:E472"/>
    <mergeCell ref="A83:Z83"/>
    <mergeCell ref="A270:Z270"/>
    <mergeCell ref="D131:E131"/>
    <mergeCell ref="A260:Z260"/>
    <mergeCell ref="A407:O408"/>
    <mergeCell ref="P366:T366"/>
    <mergeCell ref="W17:W18"/>
    <mergeCell ref="A50:Z50"/>
    <mergeCell ref="P118:V118"/>
    <mergeCell ref="P251:V251"/>
    <mergeCell ref="A70:Z70"/>
    <mergeCell ref="P468:T468"/>
    <mergeCell ref="P316:T316"/>
    <mergeCell ref="D406:E406"/>
    <mergeCell ref="P453:T453"/>
    <mergeCell ref="P452:T452"/>
    <mergeCell ref="P377:V377"/>
    <mergeCell ref="P448:V448"/>
    <mergeCell ref="P230:V230"/>
    <mergeCell ref="A63:O64"/>
    <mergeCell ref="D205:E205"/>
    <mergeCell ref="P249:T249"/>
    <mergeCell ref="P153:V153"/>
    <mergeCell ref="P220:T220"/>
    <mergeCell ref="D238:E238"/>
    <mergeCell ref="P100:T100"/>
    <mergeCell ref="P271:T271"/>
    <mergeCell ref="P94:T94"/>
    <mergeCell ref="P265:T265"/>
    <mergeCell ref="D208:E208"/>
    <mergeCell ref="D445:E445"/>
    <mergeCell ref="P401:T401"/>
    <mergeCell ref="D162:E162"/>
    <mergeCell ref="P272:T272"/>
    <mergeCell ref="D156:E1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