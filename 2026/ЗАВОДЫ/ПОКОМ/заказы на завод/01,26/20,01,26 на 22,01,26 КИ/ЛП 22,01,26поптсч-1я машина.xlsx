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C941F14-F55B-44E6-9607-D4CD11DF750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заказа'!$X$495:$X$495</definedName>
    <definedName name="GrossWeightTotalR">'Бланк заказа'!$Y$495:$Y$495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заказа'!$X$496:$X$496</definedName>
    <definedName name="PalletQtyTotalR">'Бланк заказа'!$Y$496:$Y$496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заказа'!$B$60:$B$60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заказа'!$B$481:$B$481</definedName>
    <definedName name="ProductId235">'Бланк заказа'!$B$485:$B$485</definedName>
    <definedName name="ProductId236">'Бланк заказа'!$B$486:$B$486</definedName>
    <definedName name="ProductId237">'Бланк заказа'!$B$491:$B$491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заказа'!$X$60:$X$60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заказа'!$X$481:$X$481</definedName>
    <definedName name="SalesQty235">'Бланк заказа'!$X$485:$X$485</definedName>
    <definedName name="SalesQty236">'Бланк заказа'!$X$486:$X$486</definedName>
    <definedName name="SalesQty237">'Бланк заказа'!$X$491:$X$491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заказа'!$Y$60:$Y$60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заказа'!$Y$481:$Y$481</definedName>
    <definedName name="SalesRoundBox235">'Бланк заказа'!$Y$485:$Y$485</definedName>
    <definedName name="SalesRoundBox236">'Бланк заказа'!$Y$486:$Y$486</definedName>
    <definedName name="SalesRoundBox237">'Бланк заказа'!$Y$491:$Y$491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заказа'!$W$60:$W$60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заказа'!$W$481:$W$481</definedName>
    <definedName name="UnitOfMeasure235">'Бланк заказа'!$W$485:$W$485</definedName>
    <definedName name="UnitOfMeasure236">'Бланк заказа'!$W$486:$W$486</definedName>
    <definedName name="UnitOfMeasure237">'Бланк заказа'!$W$491:$W$491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3" i="1" l="1"/>
  <c r="X492" i="1"/>
  <c r="BO491" i="1"/>
  <c r="BM491" i="1"/>
  <c r="Y491" i="1"/>
  <c r="P491" i="1"/>
  <c r="X488" i="1"/>
  <c r="X487" i="1"/>
  <c r="BO486" i="1"/>
  <c r="BM486" i="1"/>
  <c r="Y486" i="1"/>
  <c r="P486" i="1"/>
  <c r="BO485" i="1"/>
  <c r="BM485" i="1"/>
  <c r="Y485" i="1"/>
  <c r="P485" i="1"/>
  <c r="X483" i="1"/>
  <c r="X482" i="1"/>
  <c r="BO481" i="1"/>
  <c r="BM481" i="1"/>
  <c r="Y481" i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P418" i="1"/>
  <c r="BO418" i="1"/>
  <c r="BN418" i="1"/>
  <c r="BM418" i="1"/>
  <c r="Z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Y367" i="1" s="1"/>
  <c r="P365" i="1"/>
  <c r="X363" i="1"/>
  <c r="X362" i="1"/>
  <c r="BO361" i="1"/>
  <c r="BM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X294" i="1"/>
  <c r="X293" i="1"/>
  <c r="BO292" i="1"/>
  <c r="BM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O286" i="1"/>
  <c r="BM286" i="1"/>
  <c r="Y286" i="1"/>
  <c r="P286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X259" i="1"/>
  <c r="X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BO253" i="1"/>
  <c r="BM253" i="1"/>
  <c r="Y253" i="1"/>
  <c r="P253" i="1"/>
  <c r="X251" i="1"/>
  <c r="X250" i="1"/>
  <c r="BO249" i="1"/>
  <c r="BM249" i="1"/>
  <c r="Y249" i="1"/>
  <c r="P249" i="1"/>
  <c r="X247" i="1"/>
  <c r="X246" i="1"/>
  <c r="BO245" i="1"/>
  <c r="BM245" i="1"/>
  <c r="Y245" i="1"/>
  <c r="P245" i="1"/>
  <c r="X243" i="1"/>
  <c r="X242" i="1"/>
  <c r="BP241" i="1"/>
  <c r="BO241" i="1"/>
  <c r="BN241" i="1"/>
  <c r="BM241" i="1"/>
  <c r="Z241" i="1"/>
  <c r="Y241" i="1"/>
  <c r="P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X230" i="1"/>
  <c r="Y229" i="1"/>
  <c r="X229" i="1"/>
  <c r="BP228" i="1"/>
  <c r="BO228" i="1"/>
  <c r="BN228" i="1"/>
  <c r="BM228" i="1"/>
  <c r="Z228" i="1"/>
  <c r="Y228" i="1"/>
  <c r="P228" i="1"/>
  <c r="BO227" i="1"/>
  <c r="BM227" i="1"/>
  <c r="Y227" i="1"/>
  <c r="P227" i="1"/>
  <c r="X225" i="1"/>
  <c r="X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X202" i="1"/>
  <c r="Y201" i="1"/>
  <c r="X201" i="1"/>
  <c r="BP200" i="1"/>
  <c r="BO200" i="1"/>
  <c r="BN200" i="1"/>
  <c r="BM200" i="1"/>
  <c r="Z200" i="1"/>
  <c r="Y200" i="1"/>
  <c r="P200" i="1"/>
  <c r="BO199" i="1"/>
  <c r="BN199" i="1"/>
  <c r="BM199" i="1"/>
  <c r="Z199" i="1"/>
  <c r="Z201" i="1" s="1"/>
  <c r="Y199" i="1"/>
  <c r="P199" i="1"/>
  <c r="X197" i="1"/>
  <c r="Y196" i="1"/>
  <c r="X196" i="1"/>
  <c r="BP195" i="1"/>
  <c r="BO195" i="1"/>
  <c r="BN195" i="1"/>
  <c r="BM195" i="1"/>
  <c r="Z195" i="1"/>
  <c r="Y195" i="1"/>
  <c r="P195" i="1"/>
  <c r="BO194" i="1"/>
  <c r="BM194" i="1"/>
  <c r="Y194" i="1"/>
  <c r="P194" i="1"/>
  <c r="X191" i="1"/>
  <c r="X190" i="1"/>
  <c r="BO189" i="1"/>
  <c r="BM189" i="1"/>
  <c r="Y189" i="1"/>
  <c r="P189" i="1"/>
  <c r="X187" i="1"/>
  <c r="X186" i="1"/>
  <c r="BO185" i="1"/>
  <c r="BM185" i="1"/>
  <c r="Y185" i="1"/>
  <c r="P185" i="1"/>
  <c r="BO184" i="1"/>
  <c r="BM184" i="1"/>
  <c r="Y184" i="1"/>
  <c r="P184" i="1"/>
  <c r="BO183" i="1"/>
  <c r="BM183" i="1"/>
  <c r="Y183" i="1"/>
  <c r="Y187" i="1" s="1"/>
  <c r="P183" i="1"/>
  <c r="X181" i="1"/>
  <c r="X180" i="1"/>
  <c r="BO179" i="1"/>
  <c r="BM179" i="1"/>
  <c r="Y179" i="1"/>
  <c r="P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X164" i="1"/>
  <c r="Y163" i="1"/>
  <c r="X163" i="1"/>
  <c r="BP162" i="1"/>
  <c r="BO162" i="1"/>
  <c r="BN162" i="1"/>
  <c r="BM162" i="1"/>
  <c r="Z162" i="1"/>
  <c r="Z163" i="1" s="1"/>
  <c r="Y162" i="1"/>
  <c r="P162" i="1"/>
  <c r="X158" i="1"/>
  <c r="Y157" i="1"/>
  <c r="X157" i="1"/>
  <c r="BP156" i="1"/>
  <c r="BO156" i="1"/>
  <c r="BN156" i="1"/>
  <c r="BM156" i="1"/>
  <c r="Z156" i="1"/>
  <c r="Z157" i="1" s="1"/>
  <c r="Y156" i="1"/>
  <c r="Y158" i="1" s="1"/>
  <c r="P156" i="1"/>
  <c r="X154" i="1"/>
  <c r="X153" i="1"/>
  <c r="BO152" i="1"/>
  <c r="BM152" i="1"/>
  <c r="Y152" i="1"/>
  <c r="P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P142" i="1"/>
  <c r="X139" i="1"/>
  <c r="X138" i="1"/>
  <c r="BO137" i="1"/>
  <c r="BM137" i="1"/>
  <c r="Y137" i="1"/>
  <c r="P137" i="1"/>
  <c r="BO136" i="1"/>
  <c r="BM136" i="1"/>
  <c r="Y136" i="1"/>
  <c r="Y138" i="1" s="1"/>
  <c r="P136" i="1"/>
  <c r="X134" i="1"/>
  <c r="X133" i="1"/>
  <c r="BO132" i="1"/>
  <c r="BM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O126" i="1"/>
  <c r="BM126" i="1"/>
  <c r="Y126" i="1"/>
  <c r="Y128" i="1" s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P117" i="1"/>
  <c r="BO116" i="1"/>
  <c r="BM116" i="1"/>
  <c r="Y116" i="1"/>
  <c r="P116" i="1"/>
  <c r="BO115" i="1"/>
  <c r="BM115" i="1"/>
  <c r="Y115" i="1"/>
  <c r="Y119" i="1" s="1"/>
  <c r="P115" i="1"/>
  <c r="BP114" i="1"/>
  <c r="BO114" i="1"/>
  <c r="BN114" i="1"/>
  <c r="BM114" i="1"/>
  <c r="Z114" i="1"/>
  <c r="Y114" i="1"/>
  <c r="P114" i="1"/>
  <c r="X112" i="1"/>
  <c r="X111" i="1"/>
  <c r="BO110" i="1"/>
  <c r="BM110" i="1"/>
  <c r="Y110" i="1"/>
  <c r="P110" i="1"/>
  <c r="BO109" i="1"/>
  <c r="BM109" i="1"/>
  <c r="Y109" i="1"/>
  <c r="P109" i="1"/>
  <c r="BO108" i="1"/>
  <c r="BM108" i="1"/>
  <c r="Z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O102" i="1"/>
  <c r="BM102" i="1"/>
  <c r="Y102" i="1"/>
  <c r="P102" i="1"/>
  <c r="BO101" i="1"/>
  <c r="BM101" i="1"/>
  <c r="Y101" i="1"/>
  <c r="P101" i="1"/>
  <c r="BO100" i="1"/>
  <c r="BM100" i="1"/>
  <c r="Y100" i="1"/>
  <c r="BP100" i="1" s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P93" i="1"/>
  <c r="BO92" i="1"/>
  <c r="BM92" i="1"/>
  <c r="Y92" i="1"/>
  <c r="P92" i="1"/>
  <c r="BP91" i="1"/>
  <c r="BO91" i="1"/>
  <c r="BN91" i="1"/>
  <c r="BM91" i="1"/>
  <c r="Z91" i="1"/>
  <c r="Y91" i="1"/>
  <c r="P91" i="1"/>
  <c r="X89" i="1"/>
  <c r="X88" i="1"/>
  <c r="BO87" i="1"/>
  <c r="BM87" i="1"/>
  <c r="Y87" i="1"/>
  <c r="P87" i="1"/>
  <c r="BO86" i="1"/>
  <c r="BM86" i="1"/>
  <c r="Y86" i="1"/>
  <c r="P86" i="1"/>
  <c r="BO85" i="1"/>
  <c r="BM85" i="1"/>
  <c r="Y85" i="1"/>
  <c r="BP85" i="1" s="1"/>
  <c r="P85" i="1"/>
  <c r="BO84" i="1"/>
  <c r="BM84" i="1"/>
  <c r="Y84" i="1"/>
  <c r="P84" i="1"/>
  <c r="X81" i="1"/>
  <c r="X80" i="1"/>
  <c r="BO79" i="1"/>
  <c r="BM79" i="1"/>
  <c r="Y79" i="1"/>
  <c r="P79" i="1"/>
  <c r="BO78" i="1"/>
  <c r="BM78" i="1"/>
  <c r="Y78" i="1"/>
  <c r="BN78" i="1" s="1"/>
  <c r="P78" i="1"/>
  <c r="X76" i="1"/>
  <c r="X75" i="1"/>
  <c r="BO74" i="1"/>
  <c r="BM74" i="1"/>
  <c r="Y74" i="1"/>
  <c r="BP74" i="1" s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P67" i="1"/>
  <c r="BO66" i="1"/>
  <c r="BM66" i="1"/>
  <c r="Y66" i="1"/>
  <c r="Y68" i="1" s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BP60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Y43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BP150" i="1" l="1"/>
  <c r="BN150" i="1"/>
  <c r="Z150" i="1"/>
  <c r="BP178" i="1"/>
  <c r="BN178" i="1"/>
  <c r="Z178" i="1"/>
  <c r="BP220" i="1"/>
  <c r="BN220" i="1"/>
  <c r="Z220" i="1"/>
  <c r="BP255" i="1"/>
  <c r="BN255" i="1"/>
  <c r="Z255" i="1"/>
  <c r="BP291" i="1"/>
  <c r="BN291" i="1"/>
  <c r="Z291" i="1"/>
  <c r="BP318" i="1"/>
  <c r="BN318" i="1"/>
  <c r="Z318" i="1"/>
  <c r="BP352" i="1"/>
  <c r="BN352" i="1"/>
  <c r="Z352" i="1"/>
  <c r="BP395" i="1"/>
  <c r="BN395" i="1"/>
  <c r="Z395" i="1"/>
  <c r="BP431" i="1"/>
  <c r="BN431" i="1"/>
  <c r="Z431" i="1"/>
  <c r="BP455" i="1"/>
  <c r="BN455" i="1"/>
  <c r="Z455" i="1"/>
  <c r="X498" i="1"/>
  <c r="Z28" i="1"/>
  <c r="BN28" i="1"/>
  <c r="Z46" i="1"/>
  <c r="Z47" i="1" s="1"/>
  <c r="BN46" i="1"/>
  <c r="BP46" i="1"/>
  <c r="Y47" i="1"/>
  <c r="Z51" i="1"/>
  <c r="BN51" i="1"/>
  <c r="Y57" i="1"/>
  <c r="Z62" i="1"/>
  <c r="BN62" i="1"/>
  <c r="Z78" i="1"/>
  <c r="Z85" i="1"/>
  <c r="BN85" i="1"/>
  <c r="Z100" i="1"/>
  <c r="BN100" i="1"/>
  <c r="BP108" i="1"/>
  <c r="BN108" i="1"/>
  <c r="BP127" i="1"/>
  <c r="BN127" i="1"/>
  <c r="Z127" i="1"/>
  <c r="BP131" i="1"/>
  <c r="BN131" i="1"/>
  <c r="Z131" i="1"/>
  <c r="BP170" i="1"/>
  <c r="BN170" i="1"/>
  <c r="Z170" i="1"/>
  <c r="BP208" i="1"/>
  <c r="BN208" i="1"/>
  <c r="Z208" i="1"/>
  <c r="BP237" i="1"/>
  <c r="BN237" i="1"/>
  <c r="Z237" i="1"/>
  <c r="BP266" i="1"/>
  <c r="BN266" i="1"/>
  <c r="Z266" i="1"/>
  <c r="BP306" i="1"/>
  <c r="BN306" i="1"/>
  <c r="Z306" i="1"/>
  <c r="BP330" i="1"/>
  <c r="BN330" i="1"/>
  <c r="Z330" i="1"/>
  <c r="BP366" i="1"/>
  <c r="BN366" i="1"/>
  <c r="Z366" i="1"/>
  <c r="Y372" i="1"/>
  <c r="Y371" i="1"/>
  <c r="BP370" i="1"/>
  <c r="BN370" i="1"/>
  <c r="Z370" i="1"/>
  <c r="Z371" i="1" s="1"/>
  <c r="BP375" i="1"/>
  <c r="BN375" i="1"/>
  <c r="Z375" i="1"/>
  <c r="BP405" i="1"/>
  <c r="BN405" i="1"/>
  <c r="Z405" i="1"/>
  <c r="BP439" i="1"/>
  <c r="BN439" i="1"/>
  <c r="Z439" i="1"/>
  <c r="Y479" i="1"/>
  <c r="Y478" i="1"/>
  <c r="BP477" i="1"/>
  <c r="BN477" i="1"/>
  <c r="Z477" i="1"/>
  <c r="Z478" i="1" s="1"/>
  <c r="Y483" i="1"/>
  <c r="Y482" i="1"/>
  <c r="BP481" i="1"/>
  <c r="BN481" i="1"/>
  <c r="Z481" i="1"/>
  <c r="Z482" i="1" s="1"/>
  <c r="BP485" i="1"/>
  <c r="BN485" i="1"/>
  <c r="Z485" i="1"/>
  <c r="BP87" i="1"/>
  <c r="BN87" i="1"/>
  <c r="Z87" i="1"/>
  <c r="BP102" i="1"/>
  <c r="BN102" i="1"/>
  <c r="Z102" i="1"/>
  <c r="BP116" i="1"/>
  <c r="BN116" i="1"/>
  <c r="Z116" i="1"/>
  <c r="BP148" i="1"/>
  <c r="BN148" i="1"/>
  <c r="Z148" i="1"/>
  <c r="BP168" i="1"/>
  <c r="BN168" i="1"/>
  <c r="Z168" i="1"/>
  <c r="BP176" i="1"/>
  <c r="BN176" i="1"/>
  <c r="Z176" i="1"/>
  <c r="BP206" i="1"/>
  <c r="BN206" i="1"/>
  <c r="Z206" i="1"/>
  <c r="BP218" i="1"/>
  <c r="BN218" i="1"/>
  <c r="Z218" i="1"/>
  <c r="BP235" i="1"/>
  <c r="BN235" i="1"/>
  <c r="Z235" i="1"/>
  <c r="Y247" i="1"/>
  <c r="Y246" i="1"/>
  <c r="BP245" i="1"/>
  <c r="BN245" i="1"/>
  <c r="Z245" i="1"/>
  <c r="Z246" i="1" s="1"/>
  <c r="Y251" i="1"/>
  <c r="Y250" i="1"/>
  <c r="BP249" i="1"/>
  <c r="BN249" i="1"/>
  <c r="Z249" i="1"/>
  <c r="Z250" i="1" s="1"/>
  <c r="BP253" i="1"/>
  <c r="BN253" i="1"/>
  <c r="Z253" i="1"/>
  <c r="BP264" i="1"/>
  <c r="BN264" i="1"/>
  <c r="Z264" i="1"/>
  <c r="BP280" i="1"/>
  <c r="BN280" i="1"/>
  <c r="Z280" i="1"/>
  <c r="Z22" i="1"/>
  <c r="BN22" i="1"/>
  <c r="Y25" i="1"/>
  <c r="Y31" i="1"/>
  <c r="Z30" i="1"/>
  <c r="BN30" i="1"/>
  <c r="Z42" i="1"/>
  <c r="BN42" i="1"/>
  <c r="Z53" i="1"/>
  <c r="BN53" i="1"/>
  <c r="Z60" i="1"/>
  <c r="BN60" i="1"/>
  <c r="Y63" i="1"/>
  <c r="Z66" i="1"/>
  <c r="BN66" i="1"/>
  <c r="BP66" i="1"/>
  <c r="Z74" i="1"/>
  <c r="BN74" i="1"/>
  <c r="Y80" i="1"/>
  <c r="BP78" i="1"/>
  <c r="BP93" i="1"/>
  <c r="BN93" i="1"/>
  <c r="Z93" i="1"/>
  <c r="BP110" i="1"/>
  <c r="BN110" i="1"/>
  <c r="Z110" i="1"/>
  <c r="BP137" i="1"/>
  <c r="BN137" i="1"/>
  <c r="Z137" i="1"/>
  <c r="BP152" i="1"/>
  <c r="BN152" i="1"/>
  <c r="Z152" i="1"/>
  <c r="BP172" i="1"/>
  <c r="BN172" i="1"/>
  <c r="Z172" i="1"/>
  <c r="BP184" i="1"/>
  <c r="BN184" i="1"/>
  <c r="Z184" i="1"/>
  <c r="BP210" i="1"/>
  <c r="BN210" i="1"/>
  <c r="Z210" i="1"/>
  <c r="BP222" i="1"/>
  <c r="BN222" i="1"/>
  <c r="Z222" i="1"/>
  <c r="BP239" i="1"/>
  <c r="BN239" i="1"/>
  <c r="Z239" i="1"/>
  <c r="BP257" i="1"/>
  <c r="BN257" i="1"/>
  <c r="Z257" i="1"/>
  <c r="BP271" i="1"/>
  <c r="BN271" i="1"/>
  <c r="Z271" i="1"/>
  <c r="BP298" i="1"/>
  <c r="BN298" i="1"/>
  <c r="Z298" i="1"/>
  <c r="BP308" i="1"/>
  <c r="BN308" i="1"/>
  <c r="Z308" i="1"/>
  <c r="BP322" i="1"/>
  <c r="BN322" i="1"/>
  <c r="Z322" i="1"/>
  <c r="BP336" i="1"/>
  <c r="BN336" i="1"/>
  <c r="Z336" i="1"/>
  <c r="BP354" i="1"/>
  <c r="BN354" i="1"/>
  <c r="Z354" i="1"/>
  <c r="BP381" i="1"/>
  <c r="BN381" i="1"/>
  <c r="Z381" i="1"/>
  <c r="BP397" i="1"/>
  <c r="BN397" i="1"/>
  <c r="Z397" i="1"/>
  <c r="BP416" i="1"/>
  <c r="BN416" i="1"/>
  <c r="Z416" i="1"/>
  <c r="BP433" i="1"/>
  <c r="BN433" i="1"/>
  <c r="Z433" i="1"/>
  <c r="BP445" i="1"/>
  <c r="BN445" i="1"/>
  <c r="Z445" i="1"/>
  <c r="Y461" i="1"/>
  <c r="Y460" i="1"/>
  <c r="BP459" i="1"/>
  <c r="BN459" i="1"/>
  <c r="Z459" i="1"/>
  <c r="Z460" i="1" s="1"/>
  <c r="Y469" i="1"/>
  <c r="BP465" i="1"/>
  <c r="BN465" i="1"/>
  <c r="Z465" i="1"/>
  <c r="Y95" i="1"/>
  <c r="Y144" i="1"/>
  <c r="BP287" i="1"/>
  <c r="BN287" i="1"/>
  <c r="Z287" i="1"/>
  <c r="BP302" i="1"/>
  <c r="BN302" i="1"/>
  <c r="Z302" i="1"/>
  <c r="BP316" i="1"/>
  <c r="BN316" i="1"/>
  <c r="Z316" i="1"/>
  <c r="Y332" i="1"/>
  <c r="BP328" i="1"/>
  <c r="BN328" i="1"/>
  <c r="Z328" i="1"/>
  <c r="BP350" i="1"/>
  <c r="BN350" i="1"/>
  <c r="Z350" i="1"/>
  <c r="Y362" i="1"/>
  <c r="BP360" i="1"/>
  <c r="BN360" i="1"/>
  <c r="Z360" i="1"/>
  <c r="BP387" i="1"/>
  <c r="BN387" i="1"/>
  <c r="Z387" i="1"/>
  <c r="BP393" i="1"/>
  <c r="BN393" i="1"/>
  <c r="Z393" i="1"/>
  <c r="BP401" i="1"/>
  <c r="BN401" i="1"/>
  <c r="Z401" i="1"/>
  <c r="Y425" i="1"/>
  <c r="W504" i="1"/>
  <c r="Y424" i="1"/>
  <c r="BP423" i="1"/>
  <c r="BN423" i="1"/>
  <c r="Z423" i="1"/>
  <c r="Z424" i="1" s="1"/>
  <c r="BP429" i="1"/>
  <c r="BN429" i="1"/>
  <c r="Z429" i="1"/>
  <c r="BP437" i="1"/>
  <c r="BN437" i="1"/>
  <c r="Z437" i="1"/>
  <c r="BP453" i="1"/>
  <c r="BN453" i="1"/>
  <c r="Z453" i="1"/>
  <c r="BP473" i="1"/>
  <c r="BN473" i="1"/>
  <c r="Z473" i="1"/>
  <c r="Y293" i="1"/>
  <c r="Y389" i="1"/>
  <c r="Y388" i="1"/>
  <c r="Y487" i="1"/>
  <c r="H9" i="1"/>
  <c r="A10" i="1"/>
  <c r="B504" i="1"/>
  <c r="X495" i="1"/>
  <c r="X496" i="1"/>
  <c r="Z23" i="1"/>
  <c r="Z24" i="1" s="1"/>
  <c r="BN23" i="1"/>
  <c r="BP23" i="1"/>
  <c r="Y24" i="1"/>
  <c r="X494" i="1"/>
  <c r="Z27" i="1"/>
  <c r="BN27" i="1"/>
  <c r="BP27" i="1"/>
  <c r="Z29" i="1"/>
  <c r="BN29" i="1"/>
  <c r="Y32" i="1"/>
  <c r="C504" i="1"/>
  <c r="Z41" i="1"/>
  <c r="Z43" i="1" s="1"/>
  <c r="BN41" i="1"/>
  <c r="BP41" i="1"/>
  <c r="Y44" i="1"/>
  <c r="D504" i="1"/>
  <c r="Y58" i="1"/>
  <c r="Z52" i="1"/>
  <c r="BN52" i="1"/>
  <c r="BP52" i="1"/>
  <c r="Z54" i="1"/>
  <c r="BN54" i="1"/>
  <c r="BP55" i="1"/>
  <c r="BN55" i="1"/>
  <c r="Z55" i="1"/>
  <c r="Y64" i="1"/>
  <c r="BP67" i="1"/>
  <c r="BN67" i="1"/>
  <c r="Z67" i="1"/>
  <c r="Z68" i="1" s="1"/>
  <c r="Y69" i="1"/>
  <c r="Y76" i="1"/>
  <c r="BP71" i="1"/>
  <c r="BN71" i="1"/>
  <c r="Z71" i="1"/>
  <c r="Y75" i="1"/>
  <c r="BP79" i="1"/>
  <c r="BN79" i="1"/>
  <c r="Z79" i="1"/>
  <c r="Z80" i="1" s="1"/>
  <c r="Y81" i="1"/>
  <c r="E504" i="1"/>
  <c r="Y89" i="1"/>
  <c r="BP84" i="1"/>
  <c r="BN84" i="1"/>
  <c r="Z84" i="1"/>
  <c r="Y88" i="1"/>
  <c r="BP92" i="1"/>
  <c r="BN92" i="1"/>
  <c r="Z92" i="1"/>
  <c r="BP101" i="1"/>
  <c r="BN101" i="1"/>
  <c r="Z101" i="1"/>
  <c r="BP109" i="1"/>
  <c r="BN109" i="1"/>
  <c r="Z109" i="1"/>
  <c r="Y118" i="1"/>
  <c r="BP117" i="1"/>
  <c r="BN117" i="1"/>
  <c r="Z117" i="1"/>
  <c r="Y122" i="1"/>
  <c r="BP121" i="1"/>
  <c r="BN121" i="1"/>
  <c r="Z121" i="1"/>
  <c r="Z122" i="1" s="1"/>
  <c r="Y123" i="1"/>
  <c r="G504" i="1"/>
  <c r="Y129" i="1"/>
  <c r="BP126" i="1"/>
  <c r="BN126" i="1"/>
  <c r="Z126" i="1"/>
  <c r="Z128" i="1" s="1"/>
  <c r="Y133" i="1"/>
  <c r="H504" i="1"/>
  <c r="BP143" i="1"/>
  <c r="BN143" i="1"/>
  <c r="Z143" i="1"/>
  <c r="Z144" i="1" s="1"/>
  <c r="Y145" i="1"/>
  <c r="Y154" i="1"/>
  <c r="BP147" i="1"/>
  <c r="BN147" i="1"/>
  <c r="Z147" i="1"/>
  <c r="BP151" i="1"/>
  <c r="BN151" i="1"/>
  <c r="Z151" i="1"/>
  <c r="Y180" i="1"/>
  <c r="BP169" i="1"/>
  <c r="BN169" i="1"/>
  <c r="Z169" i="1"/>
  <c r="BP173" i="1"/>
  <c r="BN173" i="1"/>
  <c r="Z173" i="1"/>
  <c r="BP177" i="1"/>
  <c r="BN177" i="1"/>
  <c r="Z177" i="1"/>
  <c r="BP185" i="1"/>
  <c r="BN185" i="1"/>
  <c r="Z185" i="1"/>
  <c r="Y190" i="1"/>
  <c r="BP189" i="1"/>
  <c r="BN189" i="1"/>
  <c r="Z189" i="1"/>
  <c r="Z190" i="1" s="1"/>
  <c r="Y191" i="1"/>
  <c r="J504" i="1"/>
  <c r="Y197" i="1"/>
  <c r="BP194" i="1"/>
  <c r="BN194" i="1"/>
  <c r="Z194" i="1"/>
  <c r="Z196" i="1" s="1"/>
  <c r="BP299" i="1"/>
  <c r="BN299" i="1"/>
  <c r="Z299" i="1"/>
  <c r="Y303" i="1"/>
  <c r="BP307" i="1"/>
  <c r="BN307" i="1"/>
  <c r="Z307" i="1"/>
  <c r="BP311" i="1"/>
  <c r="BN311" i="1"/>
  <c r="Z311" i="1"/>
  <c r="Y313" i="1"/>
  <c r="Y320" i="1"/>
  <c r="BP315" i="1"/>
  <c r="BN315" i="1"/>
  <c r="Z315" i="1"/>
  <c r="Y319" i="1"/>
  <c r="BP323" i="1"/>
  <c r="BN323" i="1"/>
  <c r="Z323" i="1"/>
  <c r="Z325" i="1" s="1"/>
  <c r="Y325" i="1"/>
  <c r="F9" i="1"/>
  <c r="J9" i="1"/>
  <c r="BP61" i="1"/>
  <c r="BN61" i="1"/>
  <c r="Z61" i="1"/>
  <c r="Z63" i="1" s="1"/>
  <c r="BP73" i="1"/>
  <c r="BN73" i="1"/>
  <c r="Z73" i="1"/>
  <c r="BP86" i="1"/>
  <c r="BN86" i="1"/>
  <c r="Z86" i="1"/>
  <c r="BP94" i="1"/>
  <c r="BN94" i="1"/>
  <c r="Z94" i="1"/>
  <c r="Y96" i="1"/>
  <c r="F504" i="1"/>
  <c r="Y104" i="1"/>
  <c r="BP99" i="1"/>
  <c r="BN99" i="1"/>
  <c r="Z99" i="1"/>
  <c r="BP103" i="1"/>
  <c r="BN103" i="1"/>
  <c r="Z103" i="1"/>
  <c r="Y105" i="1"/>
  <c r="Y112" i="1"/>
  <c r="BP107" i="1"/>
  <c r="BN107" i="1"/>
  <c r="Z107" i="1"/>
  <c r="Y111" i="1"/>
  <c r="BP115" i="1"/>
  <c r="BN115" i="1"/>
  <c r="Z115" i="1"/>
  <c r="BP132" i="1"/>
  <c r="BN132" i="1"/>
  <c r="Z132" i="1"/>
  <c r="Z133" i="1" s="1"/>
  <c r="Y134" i="1"/>
  <c r="Y139" i="1"/>
  <c r="BP136" i="1"/>
  <c r="BN136" i="1"/>
  <c r="Z136" i="1"/>
  <c r="BP149" i="1"/>
  <c r="BN149" i="1"/>
  <c r="Z149" i="1"/>
  <c r="Y153" i="1"/>
  <c r="BP167" i="1"/>
  <c r="BN167" i="1"/>
  <c r="Z167" i="1"/>
  <c r="BP171" i="1"/>
  <c r="BN171" i="1"/>
  <c r="Z171" i="1"/>
  <c r="BP175" i="1"/>
  <c r="BN175" i="1"/>
  <c r="Z175" i="1"/>
  <c r="BP179" i="1"/>
  <c r="BN179" i="1"/>
  <c r="Z179" i="1"/>
  <c r="Y181" i="1"/>
  <c r="Y186" i="1"/>
  <c r="BP183" i="1"/>
  <c r="BN183" i="1"/>
  <c r="Z183" i="1"/>
  <c r="Z186" i="1" s="1"/>
  <c r="BP205" i="1"/>
  <c r="BN205" i="1"/>
  <c r="Z205" i="1"/>
  <c r="Y213" i="1"/>
  <c r="BP209" i="1"/>
  <c r="BN209" i="1"/>
  <c r="Z209" i="1"/>
  <c r="BP217" i="1"/>
  <c r="BN217" i="1"/>
  <c r="Z217" i="1"/>
  <c r="BP221" i="1"/>
  <c r="BN221" i="1"/>
  <c r="Z221" i="1"/>
  <c r="BP234" i="1"/>
  <c r="BN234" i="1"/>
  <c r="Z234" i="1"/>
  <c r="BP238" i="1"/>
  <c r="BN238" i="1"/>
  <c r="Z238" i="1"/>
  <c r="Y242" i="1"/>
  <c r="BP254" i="1"/>
  <c r="BN254" i="1"/>
  <c r="Z254" i="1"/>
  <c r="Y258" i="1"/>
  <c r="BP263" i="1"/>
  <c r="BN263" i="1"/>
  <c r="Z263" i="1"/>
  <c r="Y267" i="1"/>
  <c r="BP272" i="1"/>
  <c r="BN272" i="1"/>
  <c r="Z272" i="1"/>
  <c r="Y276" i="1"/>
  <c r="BP281" i="1"/>
  <c r="BN281" i="1"/>
  <c r="Z281" i="1"/>
  <c r="Y283" i="1"/>
  <c r="P504" i="1"/>
  <c r="Y289" i="1"/>
  <c r="BP286" i="1"/>
  <c r="BN286" i="1"/>
  <c r="Z286" i="1"/>
  <c r="Y288" i="1"/>
  <c r="BP331" i="1"/>
  <c r="BN331" i="1"/>
  <c r="Z331" i="1"/>
  <c r="Y333" i="1"/>
  <c r="Y338" i="1"/>
  <c r="BP335" i="1"/>
  <c r="BN335" i="1"/>
  <c r="Z335" i="1"/>
  <c r="Y339" i="1"/>
  <c r="BP344" i="1"/>
  <c r="BN344" i="1"/>
  <c r="Z344" i="1"/>
  <c r="BP351" i="1"/>
  <c r="BN351" i="1"/>
  <c r="Z351" i="1"/>
  <c r="Y357" i="1"/>
  <c r="BP355" i="1"/>
  <c r="BN355" i="1"/>
  <c r="Z355" i="1"/>
  <c r="BP394" i="1"/>
  <c r="BN394" i="1"/>
  <c r="Z394" i="1"/>
  <c r="U504" i="1"/>
  <c r="BP398" i="1"/>
  <c r="BN398" i="1"/>
  <c r="Z398" i="1"/>
  <c r="Y402" i="1"/>
  <c r="BP406" i="1"/>
  <c r="BN406" i="1"/>
  <c r="Z406" i="1"/>
  <c r="Z407" i="1" s="1"/>
  <c r="Y408" i="1"/>
  <c r="V504" i="1"/>
  <c r="Y412" i="1"/>
  <c r="BP411" i="1"/>
  <c r="BN411" i="1"/>
  <c r="Z411" i="1"/>
  <c r="Z412" i="1" s="1"/>
  <c r="Y413" i="1"/>
  <c r="Y420" i="1"/>
  <c r="BP415" i="1"/>
  <c r="BN415" i="1"/>
  <c r="Z415" i="1"/>
  <c r="Y419" i="1"/>
  <c r="I504" i="1"/>
  <c r="Y164" i="1"/>
  <c r="Y202" i="1"/>
  <c r="BP199" i="1"/>
  <c r="Y212" i="1"/>
  <c r="BP207" i="1"/>
  <c r="BN207" i="1"/>
  <c r="Z207" i="1"/>
  <c r="BP211" i="1"/>
  <c r="BN211" i="1"/>
  <c r="Z211" i="1"/>
  <c r="Y224" i="1"/>
  <c r="BP215" i="1"/>
  <c r="BN215" i="1"/>
  <c r="Z215" i="1"/>
  <c r="BP219" i="1"/>
  <c r="BN219" i="1"/>
  <c r="Z219" i="1"/>
  <c r="BP223" i="1"/>
  <c r="BN223" i="1"/>
  <c r="Z223" i="1"/>
  <c r="Y225" i="1"/>
  <c r="Y230" i="1"/>
  <c r="BP227" i="1"/>
  <c r="BN227" i="1"/>
  <c r="Z227" i="1"/>
  <c r="Z229" i="1" s="1"/>
  <c r="BP236" i="1"/>
  <c r="BN236" i="1"/>
  <c r="Z236" i="1"/>
  <c r="BP240" i="1"/>
  <c r="BN240" i="1"/>
  <c r="Z240" i="1"/>
  <c r="Y259" i="1"/>
  <c r="BP256" i="1"/>
  <c r="BN256" i="1"/>
  <c r="Z256" i="1"/>
  <c r="L504" i="1"/>
  <c r="BP265" i="1"/>
  <c r="BN265" i="1"/>
  <c r="Z265" i="1"/>
  <c r="Z267" i="1" s="1"/>
  <c r="BP274" i="1"/>
  <c r="BN274" i="1"/>
  <c r="Z274" i="1"/>
  <c r="O504" i="1"/>
  <c r="Y282" i="1"/>
  <c r="BP279" i="1"/>
  <c r="BN279" i="1"/>
  <c r="Z279" i="1"/>
  <c r="Z282" i="1" s="1"/>
  <c r="BP292" i="1"/>
  <c r="BN292" i="1"/>
  <c r="Z292" i="1"/>
  <c r="Z293" i="1" s="1"/>
  <c r="Y294" i="1"/>
  <c r="Y304" i="1"/>
  <c r="BP297" i="1"/>
  <c r="BN297" i="1"/>
  <c r="Z297" i="1"/>
  <c r="BP301" i="1"/>
  <c r="BN301" i="1"/>
  <c r="Z301" i="1"/>
  <c r="Y312" i="1"/>
  <c r="BP309" i="1"/>
  <c r="BN309" i="1"/>
  <c r="Z309" i="1"/>
  <c r="BP317" i="1"/>
  <c r="BN317" i="1"/>
  <c r="Z317" i="1"/>
  <c r="Y326" i="1"/>
  <c r="BP329" i="1"/>
  <c r="BN329" i="1"/>
  <c r="Z329" i="1"/>
  <c r="Z332" i="1" s="1"/>
  <c r="BP337" i="1"/>
  <c r="BN337" i="1"/>
  <c r="Z337" i="1"/>
  <c r="R504" i="1"/>
  <c r="Y346" i="1"/>
  <c r="Y345" i="1"/>
  <c r="BP342" i="1"/>
  <c r="BN342" i="1"/>
  <c r="Z342" i="1"/>
  <c r="BP376" i="1"/>
  <c r="BN376" i="1"/>
  <c r="Z376" i="1"/>
  <c r="Z377" i="1" s="1"/>
  <c r="Y378" i="1"/>
  <c r="Y383" i="1"/>
  <c r="BP380" i="1"/>
  <c r="BN380" i="1"/>
  <c r="Z380" i="1"/>
  <c r="Y382" i="1"/>
  <c r="Q504" i="1"/>
  <c r="BP430" i="1"/>
  <c r="BN430" i="1"/>
  <c r="Z430" i="1"/>
  <c r="Y442" i="1"/>
  <c r="BP434" i="1"/>
  <c r="BN434" i="1"/>
  <c r="Z434" i="1"/>
  <c r="BP438" i="1"/>
  <c r="BN438" i="1"/>
  <c r="Z438" i="1"/>
  <c r="BP446" i="1"/>
  <c r="BN446" i="1"/>
  <c r="Z446" i="1"/>
  <c r="Y448" i="1"/>
  <c r="Y457" i="1"/>
  <c r="BP450" i="1"/>
  <c r="BN450" i="1"/>
  <c r="Z450" i="1"/>
  <c r="Y456" i="1"/>
  <c r="BP454" i="1"/>
  <c r="BN454" i="1"/>
  <c r="Z454" i="1"/>
  <c r="K504" i="1"/>
  <c r="Y243" i="1"/>
  <c r="Y268" i="1"/>
  <c r="M504" i="1"/>
  <c r="Y275" i="1"/>
  <c r="S504" i="1"/>
  <c r="BP353" i="1"/>
  <c r="BN353" i="1"/>
  <c r="Z353" i="1"/>
  <c r="BP361" i="1"/>
  <c r="BN361" i="1"/>
  <c r="Z361" i="1"/>
  <c r="Y363" i="1"/>
  <c r="Y368" i="1"/>
  <c r="BP365" i="1"/>
  <c r="BN365" i="1"/>
  <c r="Z365" i="1"/>
  <c r="Z367" i="1" s="1"/>
  <c r="BP386" i="1"/>
  <c r="BN386" i="1"/>
  <c r="Z386" i="1"/>
  <c r="Y403" i="1"/>
  <c r="BP396" i="1"/>
  <c r="BN396" i="1"/>
  <c r="Z396" i="1"/>
  <c r="BP400" i="1"/>
  <c r="BN400" i="1"/>
  <c r="Z400" i="1"/>
  <c r="Y407" i="1"/>
  <c r="BP417" i="1"/>
  <c r="BN417" i="1"/>
  <c r="Z417" i="1"/>
  <c r="BP468" i="1"/>
  <c r="BN468" i="1"/>
  <c r="Z468" i="1"/>
  <c r="Y470" i="1"/>
  <c r="Y475" i="1"/>
  <c r="BP472" i="1"/>
  <c r="BN472" i="1"/>
  <c r="Z472" i="1"/>
  <c r="Z474" i="1" s="1"/>
  <c r="Y474" i="1"/>
  <c r="Y504" i="1"/>
  <c r="Y358" i="1"/>
  <c r="T504" i="1"/>
  <c r="Y377" i="1"/>
  <c r="X504" i="1"/>
  <c r="BP432" i="1"/>
  <c r="BN432" i="1"/>
  <c r="Z432" i="1"/>
  <c r="BP436" i="1"/>
  <c r="BN436" i="1"/>
  <c r="Z436" i="1"/>
  <c r="BP440" i="1"/>
  <c r="BN440" i="1"/>
  <c r="Z440" i="1"/>
  <c r="Y447" i="1"/>
  <c r="BP444" i="1"/>
  <c r="BN444" i="1"/>
  <c r="Z444" i="1"/>
  <c r="BP452" i="1"/>
  <c r="BN452" i="1"/>
  <c r="Z452" i="1"/>
  <c r="BP466" i="1"/>
  <c r="BN466" i="1"/>
  <c r="Z466" i="1"/>
  <c r="BP486" i="1"/>
  <c r="BN486" i="1"/>
  <c r="Z486" i="1"/>
  <c r="Z487" i="1" s="1"/>
  <c r="Y488" i="1"/>
  <c r="Z504" i="1"/>
  <c r="Y492" i="1"/>
  <c r="BP491" i="1"/>
  <c r="BN491" i="1"/>
  <c r="Z491" i="1"/>
  <c r="Z492" i="1" s="1"/>
  <c r="Y493" i="1"/>
  <c r="Y441" i="1"/>
  <c r="Z388" i="1" l="1"/>
  <c r="Z382" i="1"/>
  <c r="Z288" i="1"/>
  <c r="Z138" i="1"/>
  <c r="Z118" i="1"/>
  <c r="Z312" i="1"/>
  <c r="Z57" i="1"/>
  <c r="Z31" i="1"/>
  <c r="Z441" i="1"/>
  <c r="Z242" i="1"/>
  <c r="Z180" i="1"/>
  <c r="Y495" i="1"/>
  <c r="Y497" i="1" s="1"/>
  <c r="Y496" i="1"/>
  <c r="Z447" i="1"/>
  <c r="Z402" i="1"/>
  <c r="Z362" i="1"/>
  <c r="Z345" i="1"/>
  <c r="Z357" i="1"/>
  <c r="Z275" i="1"/>
  <c r="Z258" i="1"/>
  <c r="Z212" i="1"/>
  <c r="Z111" i="1"/>
  <c r="Y494" i="1"/>
  <c r="Z224" i="1"/>
  <c r="Z419" i="1"/>
  <c r="Z338" i="1"/>
  <c r="Z319" i="1"/>
  <c r="Y498" i="1"/>
  <c r="Z469" i="1"/>
  <c r="Z456" i="1"/>
  <c r="Z303" i="1"/>
  <c r="Z104" i="1"/>
  <c r="Z153" i="1"/>
  <c r="Z95" i="1"/>
  <c r="Z88" i="1"/>
  <c r="Z75" i="1"/>
  <c r="Z499" i="1" s="1"/>
  <c r="X497" i="1"/>
</calcChain>
</file>

<file path=xl/sharedStrings.xml><?xml version="1.0" encoding="utf-8"?>
<sst xmlns="http://schemas.openxmlformats.org/spreadsheetml/2006/main" count="2364" uniqueCount="777">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</sst>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5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0" fillId="0" borderId="4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1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5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4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9" customWidth="1"/>
    <col min="19" max="19" width="6.140625" style="54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9" customWidth="1"/>
    <col min="25" max="25" width="11" style="549" customWidth="1"/>
    <col min="26" max="26" width="10" style="549" customWidth="1"/>
    <col min="27" max="27" width="11.5703125" style="549" customWidth="1"/>
    <col min="28" max="28" width="10.42578125" style="549" customWidth="1"/>
    <col min="29" max="29" width="30" style="54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9" customWidth="1"/>
    <col min="34" max="34" width="9.140625" style="549" customWidth="1"/>
    <col min="35" max="16384" width="9.140625" style="549"/>
  </cols>
  <sheetData>
    <row r="1" spans="1:32" s="545" customFormat="1" ht="45" customHeight="1" x14ac:dyDescent="0.2">
      <c r="A1" s="41"/>
      <c r="B1" s="41"/>
      <c r="C1" s="41"/>
      <c r="D1" s="634" t="s">
        <v>0</v>
      </c>
      <c r="E1" s="594"/>
      <c r="F1" s="594"/>
      <c r="G1" s="12" t="s">
        <v>1</v>
      </c>
      <c r="H1" s="634" t="s">
        <v>2</v>
      </c>
      <c r="I1" s="594"/>
      <c r="J1" s="594"/>
      <c r="K1" s="594"/>
      <c r="L1" s="594"/>
      <c r="M1" s="594"/>
      <c r="N1" s="594"/>
      <c r="O1" s="594"/>
      <c r="P1" s="594"/>
      <c r="Q1" s="594"/>
      <c r="R1" s="593" t="s">
        <v>3</v>
      </c>
      <c r="S1" s="594"/>
      <c r="T1" s="59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4"/>
      <c r="R2" s="564"/>
      <c r="S2" s="564"/>
      <c r="T2" s="564"/>
      <c r="U2" s="564"/>
      <c r="V2" s="564"/>
      <c r="W2" s="564"/>
      <c r="X2" s="16"/>
      <c r="Y2" s="16"/>
      <c r="Z2" s="16"/>
      <c r="AA2" s="16"/>
      <c r="AB2" s="51"/>
      <c r="AC2" s="51"/>
      <c r="AD2" s="51"/>
      <c r="AE2" s="51"/>
    </row>
    <row r="3" spans="1:32" s="54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4"/>
      <c r="Q3" s="564"/>
      <c r="R3" s="564"/>
      <c r="S3" s="564"/>
      <c r="T3" s="564"/>
      <c r="U3" s="564"/>
      <c r="V3" s="564"/>
      <c r="W3" s="564"/>
      <c r="X3" s="16"/>
      <c r="Y3" s="16"/>
      <c r="Z3" s="16"/>
      <c r="AA3" s="16"/>
      <c r="AB3" s="51"/>
      <c r="AC3" s="51"/>
      <c r="AD3" s="51"/>
      <c r="AE3" s="51"/>
    </row>
    <row r="4" spans="1:32" s="54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5" customFormat="1" ht="23.45" customHeight="1" x14ac:dyDescent="0.2">
      <c r="A5" s="695" t="s">
        <v>8</v>
      </c>
      <c r="B5" s="669"/>
      <c r="C5" s="670"/>
      <c r="D5" s="638"/>
      <c r="E5" s="639"/>
      <c r="F5" s="832" t="s">
        <v>9</v>
      </c>
      <c r="G5" s="670"/>
      <c r="H5" s="638" t="s">
        <v>776</v>
      </c>
      <c r="I5" s="790"/>
      <c r="J5" s="790"/>
      <c r="K5" s="790"/>
      <c r="L5" s="790"/>
      <c r="M5" s="639"/>
      <c r="N5" s="58"/>
      <c r="P5" s="24" t="s">
        <v>10</v>
      </c>
      <c r="Q5" s="849">
        <v>46044</v>
      </c>
      <c r="R5" s="688"/>
      <c r="T5" s="735" t="s">
        <v>11</v>
      </c>
      <c r="U5" s="666"/>
      <c r="V5" s="736" t="s">
        <v>12</v>
      </c>
      <c r="W5" s="688"/>
      <c r="AB5" s="51"/>
      <c r="AC5" s="51"/>
      <c r="AD5" s="51"/>
      <c r="AE5" s="51"/>
    </row>
    <row r="6" spans="1:32" s="545" customFormat="1" ht="24" customHeight="1" x14ac:dyDescent="0.2">
      <c r="A6" s="695" t="s">
        <v>13</v>
      </c>
      <c r="B6" s="669"/>
      <c r="C6" s="670"/>
      <c r="D6" s="792" t="s">
        <v>14</v>
      </c>
      <c r="E6" s="793"/>
      <c r="F6" s="793"/>
      <c r="G6" s="793"/>
      <c r="H6" s="793"/>
      <c r="I6" s="793"/>
      <c r="J6" s="793"/>
      <c r="K6" s="793"/>
      <c r="L6" s="793"/>
      <c r="M6" s="688"/>
      <c r="N6" s="59"/>
      <c r="P6" s="24" t="s">
        <v>15</v>
      </c>
      <c r="Q6" s="858" t="str">
        <f>IF(Q5=0," ",CHOOSE(WEEKDAY(Q5,2),"Понедельник","Вторник","Среда","Четверг","Пятница","Суббота","Воскресенье"))</f>
        <v>Четверг</v>
      </c>
      <c r="R6" s="559"/>
      <c r="T6" s="740" t="s">
        <v>16</v>
      </c>
      <c r="U6" s="666"/>
      <c r="V6" s="775" t="s">
        <v>17</v>
      </c>
      <c r="W6" s="604"/>
      <c r="AB6" s="51"/>
      <c r="AC6" s="51"/>
      <c r="AD6" s="51"/>
      <c r="AE6" s="51"/>
    </row>
    <row r="7" spans="1:32" s="545" customFormat="1" ht="21.75" hidden="1" customHeight="1" x14ac:dyDescent="0.2">
      <c r="A7" s="55"/>
      <c r="B7" s="55"/>
      <c r="C7" s="55"/>
      <c r="D7" s="615" t="str">
        <f>IFERROR(VLOOKUP(DeliveryAddress,Table,3,0),1)</f>
        <v>1</v>
      </c>
      <c r="E7" s="616"/>
      <c r="F7" s="616"/>
      <c r="G7" s="616"/>
      <c r="H7" s="616"/>
      <c r="I7" s="616"/>
      <c r="J7" s="616"/>
      <c r="K7" s="616"/>
      <c r="L7" s="616"/>
      <c r="M7" s="617"/>
      <c r="N7" s="60"/>
      <c r="P7" s="24"/>
      <c r="Q7" s="42"/>
      <c r="R7" s="42"/>
      <c r="T7" s="564"/>
      <c r="U7" s="666"/>
      <c r="V7" s="776"/>
      <c r="W7" s="777"/>
      <c r="AB7" s="51"/>
      <c r="AC7" s="51"/>
      <c r="AD7" s="51"/>
      <c r="AE7" s="51"/>
    </row>
    <row r="8" spans="1:32" s="545" customFormat="1" ht="25.5" customHeight="1" x14ac:dyDescent="0.2">
      <c r="A8" s="879" t="s">
        <v>18</v>
      </c>
      <c r="B8" s="569"/>
      <c r="C8" s="570"/>
      <c r="D8" s="627" t="s">
        <v>19</v>
      </c>
      <c r="E8" s="628"/>
      <c r="F8" s="628"/>
      <c r="G8" s="628"/>
      <c r="H8" s="628"/>
      <c r="I8" s="628"/>
      <c r="J8" s="628"/>
      <c r="K8" s="628"/>
      <c r="L8" s="628"/>
      <c r="M8" s="629"/>
      <c r="N8" s="61"/>
      <c r="P8" s="24" t="s">
        <v>20</v>
      </c>
      <c r="Q8" s="702">
        <v>0.41666666666666669</v>
      </c>
      <c r="R8" s="617"/>
      <c r="T8" s="564"/>
      <c r="U8" s="666"/>
      <c r="V8" s="776"/>
      <c r="W8" s="777"/>
      <c r="AB8" s="51"/>
      <c r="AC8" s="51"/>
      <c r="AD8" s="51"/>
      <c r="AE8" s="51"/>
    </row>
    <row r="9" spans="1:32" s="545" customFormat="1" ht="39.950000000000003" customHeight="1" x14ac:dyDescent="0.2">
      <c r="A9" s="70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4"/>
      <c r="C9" s="564"/>
      <c r="D9" s="706"/>
      <c r="E9" s="575"/>
      <c r="F9" s="70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4"/>
      <c r="H9" s="574" t="str">
        <f>IF(AND($A$9="Тип доверенности/получателя при получении в адресе перегруза:",$D$9="Разовая доверенность"),"Введите ФИО","")</f>
        <v/>
      </c>
      <c r="I9" s="575"/>
      <c r="J9" s="5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5"/>
      <c r="L9" s="575"/>
      <c r="M9" s="575"/>
      <c r="N9" s="543"/>
      <c r="P9" s="26" t="s">
        <v>21</v>
      </c>
      <c r="Q9" s="684"/>
      <c r="R9" s="685"/>
      <c r="T9" s="564"/>
      <c r="U9" s="666"/>
      <c r="V9" s="778"/>
      <c r="W9" s="779"/>
      <c r="X9" s="43"/>
      <c r="Y9" s="43"/>
      <c r="Z9" s="43"/>
      <c r="AA9" s="43"/>
      <c r="AB9" s="51"/>
      <c r="AC9" s="51"/>
      <c r="AD9" s="51"/>
      <c r="AE9" s="51"/>
    </row>
    <row r="10" spans="1:32" s="545" customFormat="1" ht="26.45" customHeight="1" x14ac:dyDescent="0.2">
      <c r="A10" s="70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4"/>
      <c r="C10" s="564"/>
      <c r="D10" s="706"/>
      <c r="E10" s="575"/>
      <c r="F10" s="70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4"/>
      <c r="H10" s="766" t="str">
        <f>IFERROR(VLOOKUP($D$10,Proxy,2,FALSE),"")</f>
        <v/>
      </c>
      <c r="I10" s="564"/>
      <c r="J10" s="564"/>
      <c r="K10" s="564"/>
      <c r="L10" s="564"/>
      <c r="M10" s="564"/>
      <c r="N10" s="544"/>
      <c r="P10" s="26" t="s">
        <v>22</v>
      </c>
      <c r="Q10" s="727"/>
      <c r="R10" s="728"/>
      <c r="U10" s="24" t="s">
        <v>23</v>
      </c>
      <c r="V10" s="603" t="s">
        <v>24</v>
      </c>
      <c r="W10" s="604"/>
      <c r="X10" s="44"/>
      <c r="Y10" s="44"/>
      <c r="Z10" s="44"/>
      <c r="AA10" s="44"/>
      <c r="AB10" s="51"/>
      <c r="AC10" s="51"/>
      <c r="AD10" s="51"/>
      <c r="AE10" s="51"/>
    </row>
    <row r="11" spans="1:32" s="54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7"/>
      <c r="R11" s="688"/>
      <c r="U11" s="24" t="s">
        <v>27</v>
      </c>
      <c r="V11" s="807" t="s">
        <v>28</v>
      </c>
      <c r="W11" s="685"/>
      <c r="X11" s="45"/>
      <c r="Y11" s="45"/>
      <c r="Z11" s="45"/>
      <c r="AA11" s="45"/>
      <c r="AB11" s="51"/>
      <c r="AC11" s="51"/>
      <c r="AD11" s="51"/>
      <c r="AE11" s="51"/>
    </row>
    <row r="12" spans="1:32" s="545" customFormat="1" ht="18.600000000000001" customHeight="1" x14ac:dyDescent="0.2">
      <c r="A12" s="729" t="s">
        <v>29</v>
      </c>
      <c r="B12" s="669"/>
      <c r="C12" s="669"/>
      <c r="D12" s="669"/>
      <c r="E12" s="669"/>
      <c r="F12" s="669"/>
      <c r="G12" s="669"/>
      <c r="H12" s="669"/>
      <c r="I12" s="669"/>
      <c r="J12" s="669"/>
      <c r="K12" s="669"/>
      <c r="L12" s="669"/>
      <c r="M12" s="670"/>
      <c r="N12" s="62"/>
      <c r="P12" s="24" t="s">
        <v>30</v>
      </c>
      <c r="Q12" s="702"/>
      <c r="R12" s="617"/>
      <c r="S12" s="23"/>
      <c r="U12" s="24"/>
      <c r="V12" s="594"/>
      <c r="W12" s="564"/>
      <c r="AB12" s="51"/>
      <c r="AC12" s="51"/>
      <c r="AD12" s="51"/>
      <c r="AE12" s="51"/>
    </row>
    <row r="13" spans="1:32" s="545" customFormat="1" ht="23.25" customHeight="1" x14ac:dyDescent="0.2">
      <c r="A13" s="729" t="s">
        <v>31</v>
      </c>
      <c r="B13" s="669"/>
      <c r="C13" s="669"/>
      <c r="D13" s="669"/>
      <c r="E13" s="669"/>
      <c r="F13" s="669"/>
      <c r="G13" s="669"/>
      <c r="H13" s="669"/>
      <c r="I13" s="669"/>
      <c r="J13" s="669"/>
      <c r="K13" s="669"/>
      <c r="L13" s="669"/>
      <c r="M13" s="670"/>
      <c r="N13" s="62"/>
      <c r="O13" s="26"/>
      <c r="P13" s="26" t="s">
        <v>32</v>
      </c>
      <c r="Q13" s="807"/>
      <c r="R13" s="68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5" customFormat="1" ht="18.600000000000001" customHeight="1" x14ac:dyDescent="0.2">
      <c r="A14" s="729" t="s">
        <v>33</v>
      </c>
      <c r="B14" s="669"/>
      <c r="C14" s="669"/>
      <c r="D14" s="669"/>
      <c r="E14" s="669"/>
      <c r="F14" s="669"/>
      <c r="G14" s="669"/>
      <c r="H14" s="669"/>
      <c r="I14" s="669"/>
      <c r="J14" s="669"/>
      <c r="K14" s="669"/>
      <c r="L14" s="669"/>
      <c r="M14" s="67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5" customFormat="1" ht="22.5" customHeight="1" x14ac:dyDescent="0.2">
      <c r="A15" s="743" t="s">
        <v>34</v>
      </c>
      <c r="B15" s="669"/>
      <c r="C15" s="669"/>
      <c r="D15" s="669"/>
      <c r="E15" s="669"/>
      <c r="F15" s="669"/>
      <c r="G15" s="669"/>
      <c r="H15" s="669"/>
      <c r="I15" s="669"/>
      <c r="J15" s="669"/>
      <c r="K15" s="669"/>
      <c r="L15" s="669"/>
      <c r="M15" s="670"/>
      <c r="N15" s="63"/>
      <c r="P15" s="718" t="s">
        <v>35</v>
      </c>
      <c r="Q15" s="594"/>
      <c r="R15" s="594"/>
      <c r="S15" s="594"/>
      <c r="T15" s="59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9"/>
      <c r="Q16" s="719"/>
      <c r="R16" s="719"/>
      <c r="S16" s="719"/>
      <c r="T16" s="71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712" t="s">
        <v>38</v>
      </c>
      <c r="D17" s="581" t="s">
        <v>39</v>
      </c>
      <c r="E17" s="656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55"/>
      <c r="R17" s="655"/>
      <c r="S17" s="655"/>
      <c r="T17" s="656"/>
      <c r="U17" s="871" t="s">
        <v>51</v>
      </c>
      <c r="V17" s="670"/>
      <c r="W17" s="581" t="s">
        <v>52</v>
      </c>
      <c r="X17" s="581" t="s">
        <v>53</v>
      </c>
      <c r="Y17" s="872" t="s">
        <v>54</v>
      </c>
      <c r="Z17" s="787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27"/>
      <c r="AF17" s="828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57"/>
      <c r="E18" s="65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57"/>
      <c r="Q18" s="658"/>
      <c r="R18" s="658"/>
      <c r="S18" s="658"/>
      <c r="T18" s="659"/>
      <c r="U18" s="67" t="s">
        <v>61</v>
      </c>
      <c r="V18" s="67" t="s">
        <v>62</v>
      </c>
      <c r="W18" s="582"/>
      <c r="X18" s="582"/>
      <c r="Y18" s="873"/>
      <c r="Z18" s="788"/>
      <c r="AA18" s="765"/>
      <c r="AB18" s="765"/>
      <c r="AC18" s="765"/>
      <c r="AD18" s="829"/>
      <c r="AE18" s="830"/>
      <c r="AF18" s="831"/>
      <c r="AG18" s="66"/>
      <c r="BD18" s="65"/>
    </row>
    <row r="19" spans="1:68" ht="27.75" hidden="1" customHeight="1" x14ac:dyDescent="0.2">
      <c r="A19" s="613" t="s">
        <v>63</v>
      </c>
      <c r="B19" s="614"/>
      <c r="C19" s="614"/>
      <c r="D19" s="614"/>
      <c r="E19" s="614"/>
      <c r="F19" s="614"/>
      <c r="G19" s="614"/>
      <c r="H19" s="614"/>
      <c r="I19" s="614"/>
      <c r="J19" s="614"/>
      <c r="K19" s="614"/>
      <c r="L19" s="614"/>
      <c r="M19" s="614"/>
      <c r="N19" s="614"/>
      <c r="O19" s="614"/>
      <c r="P19" s="614"/>
      <c r="Q19" s="614"/>
      <c r="R19" s="614"/>
      <c r="S19" s="614"/>
      <c r="T19" s="614"/>
      <c r="U19" s="614"/>
      <c r="V19" s="614"/>
      <c r="W19" s="614"/>
      <c r="X19" s="614"/>
      <c r="Y19" s="614"/>
      <c r="Z19" s="614"/>
      <c r="AA19" s="48"/>
      <c r="AB19" s="48"/>
      <c r="AC19" s="48"/>
    </row>
    <row r="20" spans="1:68" ht="16.5" hidden="1" customHeight="1" x14ac:dyDescent="0.25">
      <c r="A20" s="576" t="s">
        <v>63</v>
      </c>
      <c r="B20" s="564"/>
      <c r="C20" s="564"/>
      <c r="D20" s="564"/>
      <c r="E20" s="564"/>
      <c r="F20" s="564"/>
      <c r="G20" s="564"/>
      <c r="H20" s="564"/>
      <c r="I20" s="564"/>
      <c r="J20" s="564"/>
      <c r="K20" s="564"/>
      <c r="L20" s="564"/>
      <c r="M20" s="564"/>
      <c r="N20" s="564"/>
      <c r="O20" s="564"/>
      <c r="P20" s="564"/>
      <c r="Q20" s="564"/>
      <c r="R20" s="564"/>
      <c r="S20" s="564"/>
      <c r="T20" s="564"/>
      <c r="U20" s="564"/>
      <c r="V20" s="564"/>
      <c r="W20" s="564"/>
      <c r="X20" s="564"/>
      <c r="Y20" s="564"/>
      <c r="Z20" s="564"/>
      <c r="AA20" s="546"/>
      <c r="AB20" s="546"/>
      <c r="AC20" s="546"/>
    </row>
    <row r="21" spans="1:68" ht="14.25" hidden="1" customHeight="1" x14ac:dyDescent="0.25">
      <c r="A21" s="567" t="s">
        <v>64</v>
      </c>
      <c r="B21" s="564"/>
      <c r="C21" s="564"/>
      <c r="D21" s="564"/>
      <c r="E21" s="564"/>
      <c r="F21" s="564"/>
      <c r="G21" s="564"/>
      <c r="H21" s="564"/>
      <c r="I21" s="564"/>
      <c r="J21" s="564"/>
      <c r="K21" s="564"/>
      <c r="L21" s="564"/>
      <c r="M21" s="564"/>
      <c r="N21" s="564"/>
      <c r="O21" s="564"/>
      <c r="P21" s="564"/>
      <c r="Q21" s="564"/>
      <c r="R21" s="564"/>
      <c r="S21" s="564"/>
      <c r="T21" s="564"/>
      <c r="U21" s="564"/>
      <c r="V21" s="564"/>
      <c r="W21" s="564"/>
      <c r="X21" s="564"/>
      <c r="Y21" s="564"/>
      <c r="Z21" s="564"/>
      <c r="AA21" s="547"/>
      <c r="AB21" s="547"/>
      <c r="AC21" s="547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50">
        <v>0.2</v>
      </c>
      <c r="G22" s="32">
        <v>6</v>
      </c>
      <c r="H22" s="550">
        <v>1.2</v>
      </c>
      <c r="I22" s="550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4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6"/>
      <c r="R22" s="556"/>
      <c r="S22" s="556"/>
      <c r="T22" s="557"/>
      <c r="U22" s="34"/>
      <c r="V22" s="34"/>
      <c r="W22" s="35" t="s">
        <v>69</v>
      </c>
      <c r="X22" s="551">
        <v>0</v>
      </c>
      <c r="Y22" s="552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50">
        <v>0.19</v>
      </c>
      <c r="G23" s="32">
        <v>10</v>
      </c>
      <c r="H23" s="550">
        <v>1.9</v>
      </c>
      <c r="I23" s="550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2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6"/>
      <c r="R23" s="556"/>
      <c r="S23" s="556"/>
      <c r="T23" s="557"/>
      <c r="U23" s="34"/>
      <c r="V23" s="34"/>
      <c r="W23" s="35" t="s">
        <v>69</v>
      </c>
      <c r="X23" s="551">
        <v>0</v>
      </c>
      <c r="Y23" s="55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3"/>
      <c r="B24" s="564"/>
      <c r="C24" s="564"/>
      <c r="D24" s="564"/>
      <c r="E24" s="564"/>
      <c r="F24" s="564"/>
      <c r="G24" s="564"/>
      <c r="H24" s="564"/>
      <c r="I24" s="564"/>
      <c r="J24" s="564"/>
      <c r="K24" s="564"/>
      <c r="L24" s="564"/>
      <c r="M24" s="564"/>
      <c r="N24" s="564"/>
      <c r="O24" s="565"/>
      <c r="P24" s="568" t="s">
        <v>75</v>
      </c>
      <c r="Q24" s="569"/>
      <c r="R24" s="569"/>
      <c r="S24" s="569"/>
      <c r="T24" s="569"/>
      <c r="U24" s="569"/>
      <c r="V24" s="570"/>
      <c r="W24" s="37" t="s">
        <v>76</v>
      </c>
      <c r="X24" s="553">
        <f>IFERROR(X22/H22,"0")+IFERROR(X23/H23,"0")</f>
        <v>0</v>
      </c>
      <c r="Y24" s="553">
        <f>IFERROR(Y22/H22,"0")+IFERROR(Y23/H23,"0")</f>
        <v>0</v>
      </c>
      <c r="Z24" s="553">
        <f>IFERROR(IF(Z22="",0,Z22),"0")+IFERROR(IF(Z23="",0,Z23),"0")</f>
        <v>0</v>
      </c>
      <c r="AA24" s="554"/>
      <c r="AB24" s="554"/>
      <c r="AC24" s="554"/>
    </row>
    <row r="25" spans="1:68" hidden="1" x14ac:dyDescent="0.2">
      <c r="A25" s="564"/>
      <c r="B25" s="564"/>
      <c r="C25" s="564"/>
      <c r="D25" s="564"/>
      <c r="E25" s="564"/>
      <c r="F25" s="564"/>
      <c r="G25" s="564"/>
      <c r="H25" s="564"/>
      <c r="I25" s="564"/>
      <c r="J25" s="564"/>
      <c r="K25" s="564"/>
      <c r="L25" s="564"/>
      <c r="M25" s="564"/>
      <c r="N25" s="564"/>
      <c r="O25" s="565"/>
      <c r="P25" s="568" t="s">
        <v>75</v>
      </c>
      <c r="Q25" s="569"/>
      <c r="R25" s="569"/>
      <c r="S25" s="569"/>
      <c r="T25" s="569"/>
      <c r="U25" s="569"/>
      <c r="V25" s="570"/>
      <c r="W25" s="37" t="s">
        <v>69</v>
      </c>
      <c r="X25" s="553">
        <f>IFERROR(SUM(X22:X23),"0")</f>
        <v>0</v>
      </c>
      <c r="Y25" s="553">
        <f>IFERROR(SUM(Y22:Y23),"0")</f>
        <v>0</v>
      </c>
      <c r="Z25" s="37"/>
      <c r="AA25" s="554"/>
      <c r="AB25" s="554"/>
      <c r="AC25" s="554"/>
    </row>
    <row r="26" spans="1:68" ht="14.25" hidden="1" customHeight="1" x14ac:dyDescent="0.25">
      <c r="A26" s="567" t="s">
        <v>77</v>
      </c>
      <c r="B26" s="564"/>
      <c r="C26" s="564"/>
      <c r="D26" s="564"/>
      <c r="E26" s="564"/>
      <c r="F26" s="564"/>
      <c r="G26" s="564"/>
      <c r="H26" s="564"/>
      <c r="I26" s="564"/>
      <c r="J26" s="564"/>
      <c r="K26" s="564"/>
      <c r="L26" s="564"/>
      <c r="M26" s="564"/>
      <c r="N26" s="564"/>
      <c r="O26" s="564"/>
      <c r="P26" s="564"/>
      <c r="Q26" s="564"/>
      <c r="R26" s="564"/>
      <c r="S26" s="564"/>
      <c r="T26" s="564"/>
      <c r="U26" s="564"/>
      <c r="V26" s="564"/>
      <c r="W26" s="564"/>
      <c r="X26" s="564"/>
      <c r="Y26" s="564"/>
      <c r="Z26" s="564"/>
      <c r="AA26" s="547"/>
      <c r="AB26" s="547"/>
      <c r="AC26" s="547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50">
        <v>0.3</v>
      </c>
      <c r="G27" s="32">
        <v>6</v>
      </c>
      <c r="H27" s="550">
        <v>1.8</v>
      </c>
      <c r="I27" s="550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4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6"/>
      <c r="R27" s="556"/>
      <c r="S27" s="556"/>
      <c r="T27" s="557"/>
      <c r="U27" s="34"/>
      <c r="V27" s="34"/>
      <c r="W27" s="35" t="s">
        <v>69</v>
      </c>
      <c r="X27" s="551">
        <v>0</v>
      </c>
      <c r="Y27" s="55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8">
        <v>4607091388237</v>
      </c>
      <c r="E28" s="559"/>
      <c r="F28" s="550">
        <v>0.42</v>
      </c>
      <c r="G28" s="32">
        <v>6</v>
      </c>
      <c r="H28" s="550">
        <v>2.52</v>
      </c>
      <c r="I28" s="550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9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6"/>
      <c r="R28" s="556"/>
      <c r="S28" s="556"/>
      <c r="T28" s="557"/>
      <c r="U28" s="34"/>
      <c r="V28" s="34"/>
      <c r="W28" s="35" t="s">
        <v>69</v>
      </c>
      <c r="X28" s="551">
        <v>0</v>
      </c>
      <c r="Y28" s="55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8">
        <v>4680115887350</v>
      </c>
      <c r="E29" s="559"/>
      <c r="F29" s="550">
        <v>0.3</v>
      </c>
      <c r="G29" s="32">
        <v>6</v>
      </c>
      <c r="H29" s="550">
        <v>1.8</v>
      </c>
      <c r="I29" s="550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6"/>
      <c r="R29" s="556"/>
      <c r="S29" s="556"/>
      <c r="T29" s="557"/>
      <c r="U29" s="34"/>
      <c r="V29" s="34"/>
      <c r="W29" s="35" t="s">
        <v>69</v>
      </c>
      <c r="X29" s="551">
        <v>0</v>
      </c>
      <c r="Y29" s="55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8">
        <v>4680115885905</v>
      </c>
      <c r="E30" s="559"/>
      <c r="F30" s="550">
        <v>0.3</v>
      </c>
      <c r="G30" s="32">
        <v>6</v>
      </c>
      <c r="H30" s="550">
        <v>1.8</v>
      </c>
      <c r="I30" s="550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6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6"/>
      <c r="R30" s="556"/>
      <c r="S30" s="556"/>
      <c r="T30" s="557"/>
      <c r="U30" s="34"/>
      <c r="V30" s="34"/>
      <c r="W30" s="35" t="s">
        <v>69</v>
      </c>
      <c r="X30" s="551">
        <v>0</v>
      </c>
      <c r="Y30" s="55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3"/>
      <c r="B31" s="564"/>
      <c r="C31" s="564"/>
      <c r="D31" s="564"/>
      <c r="E31" s="564"/>
      <c r="F31" s="564"/>
      <c r="G31" s="564"/>
      <c r="H31" s="564"/>
      <c r="I31" s="564"/>
      <c r="J31" s="564"/>
      <c r="K31" s="564"/>
      <c r="L31" s="564"/>
      <c r="M31" s="564"/>
      <c r="N31" s="564"/>
      <c r="O31" s="565"/>
      <c r="P31" s="568" t="s">
        <v>75</v>
      </c>
      <c r="Q31" s="569"/>
      <c r="R31" s="569"/>
      <c r="S31" s="569"/>
      <c r="T31" s="569"/>
      <c r="U31" s="569"/>
      <c r="V31" s="570"/>
      <c r="W31" s="37" t="s">
        <v>76</v>
      </c>
      <c r="X31" s="553">
        <f>IFERROR(X27/H27,"0")+IFERROR(X28/H28,"0")+IFERROR(X29/H29,"0")+IFERROR(X30/H30,"0")</f>
        <v>0</v>
      </c>
      <c r="Y31" s="553">
        <f>IFERROR(Y27/H27,"0")+IFERROR(Y28/H28,"0")+IFERROR(Y29/H29,"0")+IFERROR(Y30/H30,"0")</f>
        <v>0</v>
      </c>
      <c r="Z31" s="553">
        <f>IFERROR(IF(Z27="",0,Z27),"0")+IFERROR(IF(Z28="",0,Z28),"0")+IFERROR(IF(Z29="",0,Z29),"0")+IFERROR(IF(Z30="",0,Z30),"0")</f>
        <v>0</v>
      </c>
      <c r="AA31" s="554"/>
      <c r="AB31" s="554"/>
      <c r="AC31" s="554"/>
    </row>
    <row r="32" spans="1:68" hidden="1" x14ac:dyDescent="0.2">
      <c r="A32" s="564"/>
      <c r="B32" s="564"/>
      <c r="C32" s="564"/>
      <c r="D32" s="564"/>
      <c r="E32" s="564"/>
      <c r="F32" s="564"/>
      <c r="G32" s="564"/>
      <c r="H32" s="564"/>
      <c r="I32" s="564"/>
      <c r="J32" s="564"/>
      <c r="K32" s="564"/>
      <c r="L32" s="564"/>
      <c r="M32" s="564"/>
      <c r="N32" s="564"/>
      <c r="O32" s="565"/>
      <c r="P32" s="568" t="s">
        <v>75</v>
      </c>
      <c r="Q32" s="569"/>
      <c r="R32" s="569"/>
      <c r="S32" s="569"/>
      <c r="T32" s="569"/>
      <c r="U32" s="569"/>
      <c r="V32" s="570"/>
      <c r="W32" s="37" t="s">
        <v>69</v>
      </c>
      <c r="X32" s="553">
        <f>IFERROR(SUM(X27:X30),"0")</f>
        <v>0</v>
      </c>
      <c r="Y32" s="553">
        <f>IFERROR(SUM(Y27:Y30),"0")</f>
        <v>0</v>
      </c>
      <c r="Z32" s="37"/>
      <c r="AA32" s="554"/>
      <c r="AB32" s="554"/>
      <c r="AC32" s="554"/>
    </row>
    <row r="33" spans="1:68" ht="14.25" hidden="1" customHeight="1" x14ac:dyDescent="0.25">
      <c r="A33" s="567" t="s">
        <v>93</v>
      </c>
      <c r="B33" s="564"/>
      <c r="C33" s="564"/>
      <c r="D33" s="564"/>
      <c r="E33" s="564"/>
      <c r="F33" s="564"/>
      <c r="G33" s="564"/>
      <c r="H33" s="564"/>
      <c r="I33" s="564"/>
      <c r="J33" s="564"/>
      <c r="K33" s="564"/>
      <c r="L33" s="564"/>
      <c r="M33" s="564"/>
      <c r="N33" s="564"/>
      <c r="O33" s="564"/>
      <c r="P33" s="564"/>
      <c r="Q33" s="564"/>
      <c r="R33" s="564"/>
      <c r="S33" s="564"/>
      <c r="T33" s="564"/>
      <c r="U33" s="564"/>
      <c r="V33" s="564"/>
      <c r="W33" s="564"/>
      <c r="X33" s="564"/>
      <c r="Y33" s="564"/>
      <c r="Z33" s="564"/>
      <c r="AA33" s="547"/>
      <c r="AB33" s="547"/>
      <c r="AC33" s="547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58">
        <v>4607091388503</v>
      </c>
      <c r="E34" s="559"/>
      <c r="F34" s="550">
        <v>0.05</v>
      </c>
      <c r="G34" s="32">
        <v>12</v>
      </c>
      <c r="H34" s="550">
        <v>0.6</v>
      </c>
      <c r="I34" s="550">
        <v>0.82199999999999995</v>
      </c>
      <c r="J34" s="32">
        <v>182</v>
      </c>
      <c r="K34" s="32" t="s">
        <v>67</v>
      </c>
      <c r="L34" s="32"/>
      <c r="M34" s="33" t="s">
        <v>96</v>
      </c>
      <c r="N34" s="33"/>
      <c r="O34" s="32">
        <v>120</v>
      </c>
      <c r="P34" s="74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6"/>
      <c r="R34" s="556"/>
      <c r="S34" s="556"/>
      <c r="T34" s="557"/>
      <c r="U34" s="34"/>
      <c r="V34" s="34"/>
      <c r="W34" s="35" t="s">
        <v>69</v>
      </c>
      <c r="X34" s="551">
        <v>0</v>
      </c>
      <c r="Y34" s="55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3"/>
      <c r="B35" s="564"/>
      <c r="C35" s="564"/>
      <c r="D35" s="564"/>
      <c r="E35" s="564"/>
      <c r="F35" s="564"/>
      <c r="G35" s="564"/>
      <c r="H35" s="564"/>
      <c r="I35" s="564"/>
      <c r="J35" s="564"/>
      <c r="K35" s="564"/>
      <c r="L35" s="564"/>
      <c r="M35" s="564"/>
      <c r="N35" s="564"/>
      <c r="O35" s="565"/>
      <c r="P35" s="568" t="s">
        <v>75</v>
      </c>
      <c r="Q35" s="569"/>
      <c r="R35" s="569"/>
      <c r="S35" s="569"/>
      <c r="T35" s="569"/>
      <c r="U35" s="569"/>
      <c r="V35" s="570"/>
      <c r="W35" s="37" t="s">
        <v>76</v>
      </c>
      <c r="X35" s="553">
        <f>IFERROR(X34/H34,"0")</f>
        <v>0</v>
      </c>
      <c r="Y35" s="553">
        <f>IFERROR(Y34/H34,"0")</f>
        <v>0</v>
      </c>
      <c r="Z35" s="553">
        <f>IFERROR(IF(Z34="",0,Z34),"0")</f>
        <v>0</v>
      </c>
      <c r="AA35" s="554"/>
      <c r="AB35" s="554"/>
      <c r="AC35" s="554"/>
    </row>
    <row r="36" spans="1:68" hidden="1" x14ac:dyDescent="0.2">
      <c r="A36" s="564"/>
      <c r="B36" s="564"/>
      <c r="C36" s="564"/>
      <c r="D36" s="564"/>
      <c r="E36" s="564"/>
      <c r="F36" s="564"/>
      <c r="G36" s="564"/>
      <c r="H36" s="564"/>
      <c r="I36" s="564"/>
      <c r="J36" s="564"/>
      <c r="K36" s="564"/>
      <c r="L36" s="564"/>
      <c r="M36" s="564"/>
      <c r="N36" s="564"/>
      <c r="O36" s="565"/>
      <c r="P36" s="568" t="s">
        <v>75</v>
      </c>
      <c r="Q36" s="569"/>
      <c r="R36" s="569"/>
      <c r="S36" s="569"/>
      <c r="T36" s="569"/>
      <c r="U36" s="569"/>
      <c r="V36" s="570"/>
      <c r="W36" s="37" t="s">
        <v>69</v>
      </c>
      <c r="X36" s="553">
        <f>IFERROR(SUM(X34:X34),"0")</f>
        <v>0</v>
      </c>
      <c r="Y36" s="553">
        <f>IFERROR(SUM(Y34:Y34),"0")</f>
        <v>0</v>
      </c>
      <c r="Z36" s="37"/>
      <c r="AA36" s="554"/>
      <c r="AB36" s="554"/>
      <c r="AC36" s="554"/>
    </row>
    <row r="37" spans="1:68" ht="27.75" hidden="1" customHeight="1" x14ac:dyDescent="0.2">
      <c r="A37" s="613" t="s">
        <v>99</v>
      </c>
      <c r="B37" s="614"/>
      <c r="C37" s="614"/>
      <c r="D37" s="614"/>
      <c r="E37" s="614"/>
      <c r="F37" s="614"/>
      <c r="G37" s="614"/>
      <c r="H37" s="614"/>
      <c r="I37" s="614"/>
      <c r="J37" s="614"/>
      <c r="K37" s="614"/>
      <c r="L37" s="614"/>
      <c r="M37" s="614"/>
      <c r="N37" s="614"/>
      <c r="O37" s="614"/>
      <c r="P37" s="614"/>
      <c r="Q37" s="614"/>
      <c r="R37" s="614"/>
      <c r="S37" s="614"/>
      <c r="T37" s="614"/>
      <c r="U37" s="614"/>
      <c r="V37" s="614"/>
      <c r="W37" s="614"/>
      <c r="X37" s="614"/>
      <c r="Y37" s="614"/>
      <c r="Z37" s="614"/>
      <c r="AA37" s="48"/>
      <c r="AB37" s="48"/>
      <c r="AC37" s="48"/>
    </row>
    <row r="38" spans="1:68" ht="16.5" hidden="1" customHeight="1" x14ac:dyDescent="0.25">
      <c r="A38" s="576" t="s">
        <v>100</v>
      </c>
      <c r="B38" s="564"/>
      <c r="C38" s="564"/>
      <c r="D38" s="564"/>
      <c r="E38" s="564"/>
      <c r="F38" s="564"/>
      <c r="G38" s="564"/>
      <c r="H38" s="564"/>
      <c r="I38" s="564"/>
      <c r="J38" s="564"/>
      <c r="K38" s="564"/>
      <c r="L38" s="564"/>
      <c r="M38" s="564"/>
      <c r="N38" s="564"/>
      <c r="O38" s="564"/>
      <c r="P38" s="564"/>
      <c r="Q38" s="564"/>
      <c r="R38" s="564"/>
      <c r="S38" s="564"/>
      <c r="T38" s="564"/>
      <c r="U38" s="564"/>
      <c r="V38" s="564"/>
      <c r="W38" s="564"/>
      <c r="X38" s="564"/>
      <c r="Y38" s="564"/>
      <c r="Z38" s="564"/>
      <c r="AA38" s="546"/>
      <c r="AB38" s="546"/>
      <c r="AC38" s="546"/>
    </row>
    <row r="39" spans="1:68" ht="14.25" hidden="1" customHeight="1" x14ac:dyDescent="0.25">
      <c r="A39" s="567" t="s">
        <v>101</v>
      </c>
      <c r="B39" s="564"/>
      <c r="C39" s="564"/>
      <c r="D39" s="564"/>
      <c r="E39" s="564"/>
      <c r="F39" s="564"/>
      <c r="G39" s="564"/>
      <c r="H39" s="564"/>
      <c r="I39" s="564"/>
      <c r="J39" s="564"/>
      <c r="K39" s="564"/>
      <c r="L39" s="564"/>
      <c r="M39" s="564"/>
      <c r="N39" s="564"/>
      <c r="O39" s="564"/>
      <c r="P39" s="564"/>
      <c r="Q39" s="564"/>
      <c r="R39" s="564"/>
      <c r="S39" s="564"/>
      <c r="T39" s="564"/>
      <c r="U39" s="564"/>
      <c r="V39" s="564"/>
      <c r="W39" s="564"/>
      <c r="X39" s="564"/>
      <c r="Y39" s="564"/>
      <c r="Z39" s="564"/>
      <c r="AA39" s="547"/>
      <c r="AB39" s="547"/>
      <c r="AC39" s="547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8">
        <v>4607091385670</v>
      </c>
      <c r="E40" s="559"/>
      <c r="F40" s="550">
        <v>1.35</v>
      </c>
      <c r="G40" s="32">
        <v>8</v>
      </c>
      <c r="H40" s="550">
        <v>10.8</v>
      </c>
      <c r="I40" s="55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8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6"/>
      <c r="R40" s="556"/>
      <c r="S40" s="556"/>
      <c r="T40" s="557"/>
      <c r="U40" s="34"/>
      <c r="V40" s="34"/>
      <c r="W40" s="35" t="s">
        <v>69</v>
      </c>
      <c r="X40" s="551">
        <v>30</v>
      </c>
      <c r="Y40" s="552">
        <f>IFERROR(IF(X40="",0,CEILING((X40/$H40),1)*$H40),"")</f>
        <v>32.400000000000006</v>
      </c>
      <c r="Z40" s="36">
        <f>IFERROR(IF(Y40=0,"",ROUNDUP(Y40/H40,0)*0.01898),"")</f>
        <v>5.6940000000000004E-2</v>
      </c>
      <c r="AA40" s="56"/>
      <c r="AB40" s="57"/>
      <c r="AC40" s="83" t="s">
        <v>107</v>
      </c>
      <c r="AG40" s="64"/>
      <c r="AJ40" s="68" t="s">
        <v>92</v>
      </c>
      <c r="AK40" s="68">
        <v>86.4</v>
      </c>
      <c r="BB40" s="84" t="s">
        <v>1</v>
      </c>
      <c r="BM40" s="64">
        <f>IFERROR(X40*I40/H40,"0")</f>
        <v>31.138888888888889</v>
      </c>
      <c r="BN40" s="64">
        <f>IFERROR(Y40*I40/H40,"0")</f>
        <v>33.630000000000003</v>
      </c>
      <c r="BO40" s="64">
        <f>IFERROR(1/J40*(X40/H40),"0")</f>
        <v>4.3402777777777776E-2</v>
      </c>
      <c r="BP40" s="64">
        <f>IFERROR(1/J40*(Y40/H40),"0")</f>
        <v>4.6875000000000007E-2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4301011382</v>
      </c>
      <c r="D41" s="558">
        <v>4607091385687</v>
      </c>
      <c r="E41" s="559"/>
      <c r="F41" s="550">
        <v>0.4</v>
      </c>
      <c r="G41" s="32">
        <v>10</v>
      </c>
      <c r="H41" s="550">
        <v>4</v>
      </c>
      <c r="I41" s="550">
        <v>4.1900000000000004</v>
      </c>
      <c r="J41" s="32">
        <v>132</v>
      </c>
      <c r="K41" s="32" t="s">
        <v>110</v>
      </c>
      <c r="L41" s="32" t="s">
        <v>111</v>
      </c>
      <c r="M41" s="33" t="s">
        <v>80</v>
      </c>
      <c r="N41" s="33"/>
      <c r="O41" s="32">
        <v>50</v>
      </c>
      <c r="P41" s="8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6"/>
      <c r="R41" s="556"/>
      <c r="S41" s="556"/>
      <c r="T41" s="557"/>
      <c r="U41" s="34"/>
      <c r="V41" s="34"/>
      <c r="W41" s="35" t="s">
        <v>69</v>
      </c>
      <c r="X41" s="551">
        <v>0</v>
      </c>
      <c r="Y41" s="55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92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58">
        <v>4680115882539</v>
      </c>
      <c r="E42" s="559"/>
      <c r="F42" s="550">
        <v>0.37</v>
      </c>
      <c r="G42" s="32">
        <v>10</v>
      </c>
      <c r="H42" s="550">
        <v>3.7</v>
      </c>
      <c r="I42" s="550">
        <v>3.89</v>
      </c>
      <c r="J42" s="32">
        <v>132</v>
      </c>
      <c r="K42" s="32" t="s">
        <v>110</v>
      </c>
      <c r="L42" s="32"/>
      <c r="M42" s="33" t="s">
        <v>80</v>
      </c>
      <c r="N42" s="33"/>
      <c r="O42" s="32">
        <v>50</v>
      </c>
      <c r="P42" s="6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6"/>
      <c r="R42" s="556"/>
      <c r="S42" s="556"/>
      <c r="T42" s="557"/>
      <c r="U42" s="34"/>
      <c r="V42" s="34"/>
      <c r="W42" s="35" t="s">
        <v>69</v>
      </c>
      <c r="X42" s="551">
        <v>0</v>
      </c>
      <c r="Y42" s="55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3"/>
      <c r="B43" s="564"/>
      <c r="C43" s="564"/>
      <c r="D43" s="564"/>
      <c r="E43" s="564"/>
      <c r="F43" s="564"/>
      <c r="G43" s="564"/>
      <c r="H43" s="564"/>
      <c r="I43" s="564"/>
      <c r="J43" s="564"/>
      <c r="K43" s="564"/>
      <c r="L43" s="564"/>
      <c r="M43" s="564"/>
      <c r="N43" s="564"/>
      <c r="O43" s="565"/>
      <c r="P43" s="568" t="s">
        <v>75</v>
      </c>
      <c r="Q43" s="569"/>
      <c r="R43" s="569"/>
      <c r="S43" s="569"/>
      <c r="T43" s="569"/>
      <c r="U43" s="569"/>
      <c r="V43" s="570"/>
      <c r="W43" s="37" t="s">
        <v>76</v>
      </c>
      <c r="X43" s="553">
        <f>IFERROR(X40/H40,"0")+IFERROR(X41/H41,"0")+IFERROR(X42/H42,"0")</f>
        <v>2.7777777777777777</v>
      </c>
      <c r="Y43" s="553">
        <f>IFERROR(Y40/H40,"0")+IFERROR(Y41/H41,"0")+IFERROR(Y42/H42,"0")</f>
        <v>3.0000000000000004</v>
      </c>
      <c r="Z43" s="553">
        <f>IFERROR(IF(Z40="",0,Z40),"0")+IFERROR(IF(Z41="",0,Z41),"0")+IFERROR(IF(Z42="",0,Z42),"0")</f>
        <v>5.6940000000000004E-2</v>
      </c>
      <c r="AA43" s="554"/>
      <c r="AB43" s="554"/>
      <c r="AC43" s="554"/>
    </row>
    <row r="44" spans="1:68" x14ac:dyDescent="0.2">
      <c r="A44" s="564"/>
      <c r="B44" s="564"/>
      <c r="C44" s="564"/>
      <c r="D44" s="564"/>
      <c r="E44" s="564"/>
      <c r="F44" s="564"/>
      <c r="G44" s="564"/>
      <c r="H44" s="564"/>
      <c r="I44" s="564"/>
      <c r="J44" s="564"/>
      <c r="K44" s="564"/>
      <c r="L44" s="564"/>
      <c r="M44" s="564"/>
      <c r="N44" s="564"/>
      <c r="O44" s="565"/>
      <c r="P44" s="568" t="s">
        <v>75</v>
      </c>
      <c r="Q44" s="569"/>
      <c r="R44" s="569"/>
      <c r="S44" s="569"/>
      <c r="T44" s="569"/>
      <c r="U44" s="569"/>
      <c r="V44" s="570"/>
      <c r="W44" s="37" t="s">
        <v>69</v>
      </c>
      <c r="X44" s="553">
        <f>IFERROR(SUM(X40:X42),"0")</f>
        <v>30</v>
      </c>
      <c r="Y44" s="553">
        <f>IFERROR(SUM(Y40:Y42),"0")</f>
        <v>32.400000000000006</v>
      </c>
      <c r="Z44" s="37"/>
      <c r="AA44" s="554"/>
      <c r="AB44" s="554"/>
      <c r="AC44" s="554"/>
    </row>
    <row r="45" spans="1:68" ht="14.25" hidden="1" customHeight="1" x14ac:dyDescent="0.25">
      <c r="A45" s="567" t="s">
        <v>77</v>
      </c>
      <c r="B45" s="564"/>
      <c r="C45" s="564"/>
      <c r="D45" s="564"/>
      <c r="E45" s="564"/>
      <c r="F45" s="564"/>
      <c r="G45" s="564"/>
      <c r="H45" s="564"/>
      <c r="I45" s="564"/>
      <c r="J45" s="564"/>
      <c r="K45" s="564"/>
      <c r="L45" s="564"/>
      <c r="M45" s="564"/>
      <c r="N45" s="564"/>
      <c r="O45" s="564"/>
      <c r="P45" s="564"/>
      <c r="Q45" s="564"/>
      <c r="R45" s="564"/>
      <c r="S45" s="564"/>
      <c r="T45" s="564"/>
      <c r="U45" s="564"/>
      <c r="V45" s="564"/>
      <c r="W45" s="564"/>
      <c r="X45" s="564"/>
      <c r="Y45" s="564"/>
      <c r="Z45" s="564"/>
      <c r="AA45" s="547"/>
      <c r="AB45" s="547"/>
      <c r="AC45" s="547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58">
        <v>4680115884915</v>
      </c>
      <c r="E46" s="559"/>
      <c r="F46" s="550">
        <v>0.3</v>
      </c>
      <c r="G46" s="32">
        <v>6</v>
      </c>
      <c r="H46" s="550">
        <v>1.8</v>
      </c>
      <c r="I46" s="550">
        <v>1.98</v>
      </c>
      <c r="J46" s="32">
        <v>182</v>
      </c>
      <c r="K46" s="32" t="s">
        <v>67</v>
      </c>
      <c r="L46" s="32" t="s">
        <v>90</v>
      </c>
      <c r="M46" s="33" t="s">
        <v>80</v>
      </c>
      <c r="N46" s="33"/>
      <c r="O46" s="32">
        <v>40</v>
      </c>
      <c r="P46" s="80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6"/>
      <c r="R46" s="556"/>
      <c r="S46" s="556"/>
      <c r="T46" s="557"/>
      <c r="U46" s="34"/>
      <c r="V46" s="34"/>
      <c r="W46" s="35" t="s">
        <v>69</v>
      </c>
      <c r="X46" s="551">
        <v>0</v>
      </c>
      <c r="Y46" s="55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92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3"/>
      <c r="B47" s="564"/>
      <c r="C47" s="564"/>
      <c r="D47" s="564"/>
      <c r="E47" s="564"/>
      <c r="F47" s="564"/>
      <c r="G47" s="564"/>
      <c r="H47" s="564"/>
      <c r="I47" s="564"/>
      <c r="J47" s="564"/>
      <c r="K47" s="564"/>
      <c r="L47" s="564"/>
      <c r="M47" s="564"/>
      <c r="N47" s="564"/>
      <c r="O47" s="565"/>
      <c r="P47" s="568" t="s">
        <v>75</v>
      </c>
      <c r="Q47" s="569"/>
      <c r="R47" s="569"/>
      <c r="S47" s="569"/>
      <c r="T47" s="569"/>
      <c r="U47" s="569"/>
      <c r="V47" s="570"/>
      <c r="W47" s="37" t="s">
        <v>76</v>
      </c>
      <c r="X47" s="553">
        <f>IFERROR(X46/H46,"0")</f>
        <v>0</v>
      </c>
      <c r="Y47" s="553">
        <f>IFERROR(Y46/H46,"0")</f>
        <v>0</v>
      </c>
      <c r="Z47" s="553">
        <f>IFERROR(IF(Z46="",0,Z46),"0")</f>
        <v>0</v>
      </c>
      <c r="AA47" s="554"/>
      <c r="AB47" s="554"/>
      <c r="AC47" s="554"/>
    </row>
    <row r="48" spans="1:68" hidden="1" x14ac:dyDescent="0.2">
      <c r="A48" s="564"/>
      <c r="B48" s="564"/>
      <c r="C48" s="564"/>
      <c r="D48" s="564"/>
      <c r="E48" s="564"/>
      <c r="F48" s="564"/>
      <c r="G48" s="564"/>
      <c r="H48" s="564"/>
      <c r="I48" s="564"/>
      <c r="J48" s="564"/>
      <c r="K48" s="564"/>
      <c r="L48" s="564"/>
      <c r="M48" s="564"/>
      <c r="N48" s="564"/>
      <c r="O48" s="565"/>
      <c r="P48" s="568" t="s">
        <v>75</v>
      </c>
      <c r="Q48" s="569"/>
      <c r="R48" s="569"/>
      <c r="S48" s="569"/>
      <c r="T48" s="569"/>
      <c r="U48" s="569"/>
      <c r="V48" s="570"/>
      <c r="W48" s="37" t="s">
        <v>69</v>
      </c>
      <c r="X48" s="553">
        <f>IFERROR(SUM(X46:X46),"0")</f>
        <v>0</v>
      </c>
      <c r="Y48" s="553">
        <f>IFERROR(SUM(Y46:Y46),"0")</f>
        <v>0</v>
      </c>
      <c r="Z48" s="37"/>
      <c r="AA48" s="554"/>
      <c r="AB48" s="554"/>
      <c r="AC48" s="554"/>
    </row>
    <row r="49" spans="1:68" ht="16.5" hidden="1" customHeight="1" x14ac:dyDescent="0.25">
      <c r="A49" s="576" t="s">
        <v>117</v>
      </c>
      <c r="B49" s="564"/>
      <c r="C49" s="564"/>
      <c r="D49" s="564"/>
      <c r="E49" s="564"/>
      <c r="F49" s="564"/>
      <c r="G49" s="564"/>
      <c r="H49" s="564"/>
      <c r="I49" s="564"/>
      <c r="J49" s="564"/>
      <c r="K49" s="564"/>
      <c r="L49" s="564"/>
      <c r="M49" s="564"/>
      <c r="N49" s="564"/>
      <c r="O49" s="564"/>
      <c r="P49" s="564"/>
      <c r="Q49" s="564"/>
      <c r="R49" s="564"/>
      <c r="S49" s="564"/>
      <c r="T49" s="564"/>
      <c r="U49" s="564"/>
      <c r="V49" s="564"/>
      <c r="W49" s="564"/>
      <c r="X49" s="564"/>
      <c r="Y49" s="564"/>
      <c r="Z49" s="564"/>
      <c r="AA49" s="546"/>
      <c r="AB49" s="546"/>
      <c r="AC49" s="546"/>
    </row>
    <row r="50" spans="1:68" ht="14.25" hidden="1" customHeight="1" x14ac:dyDescent="0.25">
      <c r="A50" s="567" t="s">
        <v>101</v>
      </c>
      <c r="B50" s="564"/>
      <c r="C50" s="564"/>
      <c r="D50" s="564"/>
      <c r="E50" s="564"/>
      <c r="F50" s="564"/>
      <c r="G50" s="564"/>
      <c r="H50" s="564"/>
      <c r="I50" s="564"/>
      <c r="J50" s="564"/>
      <c r="K50" s="564"/>
      <c r="L50" s="564"/>
      <c r="M50" s="564"/>
      <c r="N50" s="564"/>
      <c r="O50" s="564"/>
      <c r="P50" s="564"/>
      <c r="Q50" s="564"/>
      <c r="R50" s="564"/>
      <c r="S50" s="564"/>
      <c r="T50" s="564"/>
      <c r="U50" s="564"/>
      <c r="V50" s="564"/>
      <c r="W50" s="564"/>
      <c r="X50" s="564"/>
      <c r="Y50" s="564"/>
      <c r="Z50" s="564"/>
      <c r="AA50" s="547"/>
      <c r="AB50" s="547"/>
      <c r="AC50" s="547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58">
        <v>4680115885882</v>
      </c>
      <c r="E51" s="559"/>
      <c r="F51" s="550">
        <v>1.4</v>
      </c>
      <c r="G51" s="32">
        <v>8</v>
      </c>
      <c r="H51" s="550">
        <v>11.2</v>
      </c>
      <c r="I51" s="550">
        <v>11.61</v>
      </c>
      <c r="J51" s="32">
        <v>64</v>
      </c>
      <c r="K51" s="32" t="s">
        <v>104</v>
      </c>
      <c r="L51" s="32" t="s">
        <v>105</v>
      </c>
      <c r="M51" s="33" t="s">
        <v>80</v>
      </c>
      <c r="N51" s="33"/>
      <c r="O51" s="32">
        <v>50</v>
      </c>
      <c r="P51" s="74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6"/>
      <c r="R51" s="556"/>
      <c r="S51" s="556"/>
      <c r="T51" s="557"/>
      <c r="U51" s="34"/>
      <c r="V51" s="34"/>
      <c r="W51" s="35" t="s">
        <v>69</v>
      </c>
      <c r="X51" s="551">
        <v>0</v>
      </c>
      <c r="Y51" s="55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92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8">
        <v>4680115881426</v>
      </c>
      <c r="E52" s="559"/>
      <c r="F52" s="550">
        <v>1.35</v>
      </c>
      <c r="G52" s="32">
        <v>8</v>
      </c>
      <c r="H52" s="550">
        <v>10.8</v>
      </c>
      <c r="I52" s="55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6"/>
      <c r="R52" s="556"/>
      <c r="S52" s="556"/>
      <c r="T52" s="557"/>
      <c r="U52" s="34"/>
      <c r="V52" s="34"/>
      <c r="W52" s="35" t="s">
        <v>69</v>
      </c>
      <c r="X52" s="551">
        <v>100</v>
      </c>
      <c r="Y52" s="552">
        <f t="shared" si="0"/>
        <v>108</v>
      </c>
      <c r="Z52" s="36">
        <f>IFERROR(IF(Y52=0,"",ROUNDUP(Y52/H52,0)*0.01898),"")</f>
        <v>0.1898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103.79629629629629</v>
      </c>
      <c r="BN52" s="64">
        <f t="shared" si="2"/>
        <v>112.1</v>
      </c>
      <c r="BO52" s="64">
        <f t="shared" si="3"/>
        <v>0.14467592592592593</v>
      </c>
      <c r="BP52" s="64">
        <f t="shared" si="4"/>
        <v>0.15625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58">
        <v>4680115880283</v>
      </c>
      <c r="E53" s="559"/>
      <c r="F53" s="550">
        <v>0.6</v>
      </c>
      <c r="G53" s="32">
        <v>8</v>
      </c>
      <c r="H53" s="550">
        <v>4.8</v>
      </c>
      <c r="I53" s="55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70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6"/>
      <c r="R53" s="556"/>
      <c r="S53" s="556"/>
      <c r="T53" s="557"/>
      <c r="U53" s="34"/>
      <c r="V53" s="34"/>
      <c r="W53" s="35" t="s">
        <v>69</v>
      </c>
      <c r="X53" s="551">
        <v>0</v>
      </c>
      <c r="Y53" s="55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127</v>
      </c>
      <c r="B54" s="54" t="s">
        <v>128</v>
      </c>
      <c r="C54" s="31">
        <v>4301011806</v>
      </c>
      <c r="D54" s="558">
        <v>4680115881525</v>
      </c>
      <c r="E54" s="559"/>
      <c r="F54" s="550">
        <v>0.4</v>
      </c>
      <c r="G54" s="32">
        <v>10</v>
      </c>
      <c r="H54" s="550">
        <v>4</v>
      </c>
      <c r="I54" s="55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6"/>
      <c r="R54" s="556"/>
      <c r="S54" s="556"/>
      <c r="T54" s="557"/>
      <c r="U54" s="34"/>
      <c r="V54" s="34"/>
      <c r="W54" s="35" t="s">
        <v>69</v>
      </c>
      <c r="X54" s="551">
        <v>0</v>
      </c>
      <c r="Y54" s="55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58">
        <v>4680115885899</v>
      </c>
      <c r="E55" s="559"/>
      <c r="F55" s="550">
        <v>0.35</v>
      </c>
      <c r="G55" s="32">
        <v>6</v>
      </c>
      <c r="H55" s="550">
        <v>2.1</v>
      </c>
      <c r="I55" s="550">
        <v>2.2799999999999998</v>
      </c>
      <c r="J55" s="32">
        <v>182</v>
      </c>
      <c r="K55" s="32" t="s">
        <v>67</v>
      </c>
      <c r="L55" s="32" t="s">
        <v>90</v>
      </c>
      <c r="M55" s="33" t="s">
        <v>86</v>
      </c>
      <c r="N55" s="33"/>
      <c r="O55" s="32">
        <v>50</v>
      </c>
      <c r="P55" s="7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6"/>
      <c r="R55" s="556"/>
      <c r="S55" s="556"/>
      <c r="T55" s="557"/>
      <c r="U55" s="34"/>
      <c r="V55" s="34"/>
      <c r="W55" s="35" t="s">
        <v>69</v>
      </c>
      <c r="X55" s="551">
        <v>0</v>
      </c>
      <c r="Y55" s="55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92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133</v>
      </c>
      <c r="B56" s="54" t="s">
        <v>134</v>
      </c>
      <c r="C56" s="31">
        <v>4301011801</v>
      </c>
      <c r="D56" s="558">
        <v>4680115881419</v>
      </c>
      <c r="E56" s="559"/>
      <c r="F56" s="550">
        <v>0.45</v>
      </c>
      <c r="G56" s="32">
        <v>10</v>
      </c>
      <c r="H56" s="550">
        <v>4.5</v>
      </c>
      <c r="I56" s="55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60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6"/>
      <c r="R56" s="556"/>
      <c r="S56" s="556"/>
      <c r="T56" s="557"/>
      <c r="U56" s="34"/>
      <c r="V56" s="34"/>
      <c r="W56" s="35" t="s">
        <v>69</v>
      </c>
      <c r="X56" s="551">
        <v>21</v>
      </c>
      <c r="Y56" s="552">
        <f t="shared" si="0"/>
        <v>22.5</v>
      </c>
      <c r="Z56" s="36">
        <f>IFERROR(IF(Y56=0,"",ROUNDUP(Y56/H56,0)*0.00902),"")</f>
        <v>4.5100000000000001E-2</v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21.88666666666667</v>
      </c>
      <c r="BN56" s="64">
        <f t="shared" si="2"/>
        <v>23.450000000000003</v>
      </c>
      <c r="BO56" s="64">
        <f t="shared" si="3"/>
        <v>3.5353535353535359E-2</v>
      </c>
      <c r="BP56" s="64">
        <f t="shared" si="4"/>
        <v>3.787878787878788E-2</v>
      </c>
    </row>
    <row r="57" spans="1:68" x14ac:dyDescent="0.2">
      <c r="A57" s="563"/>
      <c r="B57" s="564"/>
      <c r="C57" s="564"/>
      <c r="D57" s="564"/>
      <c r="E57" s="564"/>
      <c r="F57" s="564"/>
      <c r="G57" s="564"/>
      <c r="H57" s="564"/>
      <c r="I57" s="564"/>
      <c r="J57" s="564"/>
      <c r="K57" s="564"/>
      <c r="L57" s="564"/>
      <c r="M57" s="564"/>
      <c r="N57" s="564"/>
      <c r="O57" s="565"/>
      <c r="P57" s="568" t="s">
        <v>75</v>
      </c>
      <c r="Q57" s="569"/>
      <c r="R57" s="569"/>
      <c r="S57" s="569"/>
      <c r="T57" s="569"/>
      <c r="U57" s="569"/>
      <c r="V57" s="570"/>
      <c r="W57" s="37" t="s">
        <v>76</v>
      </c>
      <c r="X57" s="553">
        <f>IFERROR(X51/H51,"0")+IFERROR(X52/H52,"0")+IFERROR(X53/H53,"0")+IFERROR(X54/H54,"0")+IFERROR(X55/H55,"0")+IFERROR(X56/H56,"0")</f>
        <v>13.925925925925927</v>
      </c>
      <c r="Y57" s="553">
        <f>IFERROR(Y51/H51,"0")+IFERROR(Y52/H52,"0")+IFERROR(Y53/H53,"0")+IFERROR(Y54/H54,"0")+IFERROR(Y55/H55,"0")+IFERROR(Y56/H56,"0")</f>
        <v>15</v>
      </c>
      <c r="Z57" s="553">
        <f>IFERROR(IF(Z51="",0,Z51),"0")+IFERROR(IF(Z52="",0,Z52),"0")+IFERROR(IF(Z53="",0,Z53),"0")+IFERROR(IF(Z54="",0,Z54),"0")+IFERROR(IF(Z55="",0,Z55),"0")+IFERROR(IF(Z56="",0,Z56),"0")</f>
        <v>0.2349</v>
      </c>
      <c r="AA57" s="554"/>
      <c r="AB57" s="554"/>
      <c r="AC57" s="554"/>
    </row>
    <row r="58" spans="1:68" x14ac:dyDescent="0.2">
      <c r="A58" s="564"/>
      <c r="B58" s="564"/>
      <c r="C58" s="564"/>
      <c r="D58" s="564"/>
      <c r="E58" s="564"/>
      <c r="F58" s="564"/>
      <c r="G58" s="564"/>
      <c r="H58" s="564"/>
      <c r="I58" s="564"/>
      <c r="J58" s="564"/>
      <c r="K58" s="564"/>
      <c r="L58" s="564"/>
      <c r="M58" s="564"/>
      <c r="N58" s="564"/>
      <c r="O58" s="565"/>
      <c r="P58" s="568" t="s">
        <v>75</v>
      </c>
      <c r="Q58" s="569"/>
      <c r="R58" s="569"/>
      <c r="S58" s="569"/>
      <c r="T58" s="569"/>
      <c r="U58" s="569"/>
      <c r="V58" s="570"/>
      <c r="W58" s="37" t="s">
        <v>69</v>
      </c>
      <c r="X58" s="553">
        <f>IFERROR(SUM(X51:X56),"0")</f>
        <v>121</v>
      </c>
      <c r="Y58" s="553">
        <f>IFERROR(SUM(Y51:Y56),"0")</f>
        <v>130.5</v>
      </c>
      <c r="Z58" s="37"/>
      <c r="AA58" s="554"/>
      <c r="AB58" s="554"/>
      <c r="AC58" s="554"/>
    </row>
    <row r="59" spans="1:68" ht="14.25" hidden="1" customHeight="1" x14ac:dyDescent="0.25">
      <c r="A59" s="567" t="s">
        <v>136</v>
      </c>
      <c r="B59" s="564"/>
      <c r="C59" s="564"/>
      <c r="D59" s="564"/>
      <c r="E59" s="564"/>
      <c r="F59" s="564"/>
      <c r="G59" s="564"/>
      <c r="H59" s="564"/>
      <c r="I59" s="564"/>
      <c r="J59" s="564"/>
      <c r="K59" s="564"/>
      <c r="L59" s="564"/>
      <c r="M59" s="564"/>
      <c r="N59" s="564"/>
      <c r="O59" s="564"/>
      <c r="P59" s="564"/>
      <c r="Q59" s="564"/>
      <c r="R59" s="564"/>
      <c r="S59" s="564"/>
      <c r="T59" s="564"/>
      <c r="U59" s="564"/>
      <c r="V59" s="564"/>
      <c r="W59" s="564"/>
      <c r="X59" s="564"/>
      <c r="Y59" s="564"/>
      <c r="Z59" s="564"/>
      <c r="AA59" s="547"/>
      <c r="AB59" s="547"/>
      <c r="AC59" s="547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8">
        <v>4680115881440</v>
      </c>
      <c r="E60" s="559"/>
      <c r="F60" s="550">
        <v>1.35</v>
      </c>
      <c r="G60" s="32">
        <v>8</v>
      </c>
      <c r="H60" s="550">
        <v>10.8</v>
      </c>
      <c r="I60" s="55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6"/>
      <c r="R60" s="556"/>
      <c r="S60" s="556"/>
      <c r="T60" s="557"/>
      <c r="U60" s="34"/>
      <c r="V60" s="34"/>
      <c r="W60" s="35" t="s">
        <v>69</v>
      </c>
      <c r="X60" s="551">
        <v>640</v>
      </c>
      <c r="Y60" s="552">
        <f>IFERROR(IF(X60="",0,CEILING((X60/$H60),1)*$H60),"")</f>
        <v>648</v>
      </c>
      <c r="Z60" s="36">
        <f>IFERROR(IF(Y60=0,"",ROUNDUP(Y60/H60,0)*0.01898),"")</f>
        <v>1.1388</v>
      </c>
      <c r="AA60" s="56"/>
      <c r="AB60" s="57"/>
      <c r="AC60" s="103" t="s">
        <v>139</v>
      </c>
      <c r="AG60" s="64"/>
      <c r="AJ60" s="68" t="s">
        <v>92</v>
      </c>
      <c r="AK60" s="68">
        <v>86.4</v>
      </c>
      <c r="BB60" s="104" t="s">
        <v>1</v>
      </c>
      <c r="BM60" s="64">
        <f>IFERROR(X60*I60/H60,"0")</f>
        <v>664.2962962962963</v>
      </c>
      <c r="BN60" s="64">
        <f>IFERROR(Y60*I60/H60,"0")</f>
        <v>672.6</v>
      </c>
      <c r="BO60" s="64">
        <f>IFERROR(1/J60*(X60/H60),"0")</f>
        <v>0.92592592592592582</v>
      </c>
      <c r="BP60" s="64">
        <f>IFERROR(1/J60*(Y60/H60),"0")</f>
        <v>0.93749999999999989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58">
        <v>4680115885950</v>
      </c>
      <c r="E61" s="559"/>
      <c r="F61" s="550">
        <v>0.37</v>
      </c>
      <c r="G61" s="32">
        <v>6</v>
      </c>
      <c r="H61" s="550">
        <v>2.2200000000000002</v>
      </c>
      <c r="I61" s="550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6"/>
      <c r="R61" s="556"/>
      <c r="S61" s="556"/>
      <c r="T61" s="557"/>
      <c r="U61" s="34"/>
      <c r="V61" s="34"/>
      <c r="W61" s="35" t="s">
        <v>69</v>
      </c>
      <c r="X61" s="551">
        <v>0</v>
      </c>
      <c r="Y61" s="55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8">
        <v>4680115881433</v>
      </c>
      <c r="E62" s="559"/>
      <c r="F62" s="550">
        <v>0.45</v>
      </c>
      <c r="G62" s="32">
        <v>6</v>
      </c>
      <c r="H62" s="550">
        <v>2.7</v>
      </c>
      <c r="I62" s="550">
        <v>2.88</v>
      </c>
      <c r="J62" s="32">
        <v>182</v>
      </c>
      <c r="K62" s="32" t="s">
        <v>67</v>
      </c>
      <c r="L62" s="32"/>
      <c r="M62" s="33" t="s">
        <v>106</v>
      </c>
      <c r="N62" s="33"/>
      <c r="O62" s="32">
        <v>50</v>
      </c>
      <c r="P62" s="74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6"/>
      <c r="R62" s="556"/>
      <c r="S62" s="556"/>
      <c r="T62" s="557"/>
      <c r="U62" s="34"/>
      <c r="V62" s="34"/>
      <c r="W62" s="35" t="s">
        <v>69</v>
      </c>
      <c r="X62" s="551">
        <v>2</v>
      </c>
      <c r="Y62" s="552">
        <f>IFERROR(IF(X62="",0,CEILING((X62/$H62),1)*$H62),"")</f>
        <v>2.7</v>
      </c>
      <c r="Z62" s="36">
        <f>IFERROR(IF(Y62=0,"",ROUNDUP(Y62/H62,0)*0.00651),"")</f>
        <v>6.5100000000000002E-3</v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2.1333333333333333</v>
      </c>
      <c r="BN62" s="64">
        <f>IFERROR(Y62*I62/H62,"0")</f>
        <v>2.88</v>
      </c>
      <c r="BO62" s="64">
        <f>IFERROR(1/J62*(X62/H62),"0")</f>
        <v>4.0700040700040697E-3</v>
      </c>
      <c r="BP62" s="64">
        <f>IFERROR(1/J62*(Y62/H62),"0")</f>
        <v>5.4945054945054949E-3</v>
      </c>
    </row>
    <row r="63" spans="1:68" x14ac:dyDescent="0.2">
      <c r="A63" s="563"/>
      <c r="B63" s="564"/>
      <c r="C63" s="564"/>
      <c r="D63" s="564"/>
      <c r="E63" s="564"/>
      <c r="F63" s="564"/>
      <c r="G63" s="564"/>
      <c r="H63" s="564"/>
      <c r="I63" s="564"/>
      <c r="J63" s="564"/>
      <c r="K63" s="564"/>
      <c r="L63" s="564"/>
      <c r="M63" s="564"/>
      <c r="N63" s="564"/>
      <c r="O63" s="565"/>
      <c r="P63" s="568" t="s">
        <v>75</v>
      </c>
      <c r="Q63" s="569"/>
      <c r="R63" s="569"/>
      <c r="S63" s="569"/>
      <c r="T63" s="569"/>
      <c r="U63" s="569"/>
      <c r="V63" s="570"/>
      <c r="W63" s="37" t="s">
        <v>76</v>
      </c>
      <c r="X63" s="553">
        <f>IFERROR(X60/H60,"0")+IFERROR(X61/H61,"0")+IFERROR(X62/H62,"0")</f>
        <v>59.999999999999993</v>
      </c>
      <c r="Y63" s="553">
        <f>IFERROR(Y60/H60,"0")+IFERROR(Y61/H61,"0")+IFERROR(Y62/H62,"0")</f>
        <v>60.999999999999993</v>
      </c>
      <c r="Z63" s="553">
        <f>IFERROR(IF(Z60="",0,Z60),"0")+IFERROR(IF(Z61="",0,Z61),"0")+IFERROR(IF(Z62="",0,Z62),"0")</f>
        <v>1.1453100000000001</v>
      </c>
      <c r="AA63" s="554"/>
      <c r="AB63" s="554"/>
      <c r="AC63" s="554"/>
    </row>
    <row r="64" spans="1:68" x14ac:dyDescent="0.2">
      <c r="A64" s="564"/>
      <c r="B64" s="564"/>
      <c r="C64" s="564"/>
      <c r="D64" s="564"/>
      <c r="E64" s="564"/>
      <c r="F64" s="564"/>
      <c r="G64" s="564"/>
      <c r="H64" s="564"/>
      <c r="I64" s="564"/>
      <c r="J64" s="564"/>
      <c r="K64" s="564"/>
      <c r="L64" s="564"/>
      <c r="M64" s="564"/>
      <c r="N64" s="564"/>
      <c r="O64" s="565"/>
      <c r="P64" s="568" t="s">
        <v>75</v>
      </c>
      <c r="Q64" s="569"/>
      <c r="R64" s="569"/>
      <c r="S64" s="569"/>
      <c r="T64" s="569"/>
      <c r="U64" s="569"/>
      <c r="V64" s="570"/>
      <c r="W64" s="37" t="s">
        <v>69</v>
      </c>
      <c r="X64" s="553">
        <f>IFERROR(SUM(X60:X62),"0")</f>
        <v>642</v>
      </c>
      <c r="Y64" s="553">
        <f>IFERROR(SUM(Y60:Y62),"0")</f>
        <v>650.70000000000005</v>
      </c>
      <c r="Z64" s="37"/>
      <c r="AA64" s="554"/>
      <c r="AB64" s="554"/>
      <c r="AC64" s="554"/>
    </row>
    <row r="65" spans="1:68" ht="14.25" hidden="1" customHeight="1" x14ac:dyDescent="0.25">
      <c r="A65" s="567" t="s">
        <v>64</v>
      </c>
      <c r="B65" s="564"/>
      <c r="C65" s="564"/>
      <c r="D65" s="564"/>
      <c r="E65" s="564"/>
      <c r="F65" s="564"/>
      <c r="G65" s="564"/>
      <c r="H65" s="564"/>
      <c r="I65" s="564"/>
      <c r="J65" s="564"/>
      <c r="K65" s="564"/>
      <c r="L65" s="564"/>
      <c r="M65" s="564"/>
      <c r="N65" s="564"/>
      <c r="O65" s="564"/>
      <c r="P65" s="564"/>
      <c r="Q65" s="564"/>
      <c r="R65" s="564"/>
      <c r="S65" s="564"/>
      <c r="T65" s="564"/>
      <c r="U65" s="564"/>
      <c r="V65" s="564"/>
      <c r="W65" s="564"/>
      <c r="X65" s="564"/>
      <c r="Y65" s="564"/>
      <c r="Z65" s="564"/>
      <c r="AA65" s="547"/>
      <c r="AB65" s="547"/>
      <c r="AC65" s="547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58">
        <v>4680115885073</v>
      </c>
      <c r="E66" s="559"/>
      <c r="F66" s="550">
        <v>0.3</v>
      </c>
      <c r="G66" s="32">
        <v>6</v>
      </c>
      <c r="H66" s="550">
        <v>1.8</v>
      </c>
      <c r="I66" s="550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71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6"/>
      <c r="R66" s="556"/>
      <c r="S66" s="556"/>
      <c r="T66" s="557"/>
      <c r="U66" s="34"/>
      <c r="V66" s="34"/>
      <c r="W66" s="35" t="s">
        <v>69</v>
      </c>
      <c r="X66" s="551">
        <v>0</v>
      </c>
      <c r="Y66" s="55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4301031316</v>
      </c>
      <c r="D67" s="558">
        <v>4680115885097</v>
      </c>
      <c r="E67" s="559"/>
      <c r="F67" s="550">
        <v>0.3</v>
      </c>
      <c r="G67" s="32">
        <v>6</v>
      </c>
      <c r="H67" s="550">
        <v>1.8</v>
      </c>
      <c r="I67" s="550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6"/>
      <c r="R67" s="556"/>
      <c r="S67" s="556"/>
      <c r="T67" s="557"/>
      <c r="U67" s="34"/>
      <c r="V67" s="34"/>
      <c r="W67" s="35" t="s">
        <v>69</v>
      </c>
      <c r="X67" s="551">
        <v>0</v>
      </c>
      <c r="Y67" s="55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3"/>
      <c r="B68" s="564"/>
      <c r="C68" s="564"/>
      <c r="D68" s="564"/>
      <c r="E68" s="564"/>
      <c r="F68" s="564"/>
      <c r="G68" s="564"/>
      <c r="H68" s="564"/>
      <c r="I68" s="564"/>
      <c r="J68" s="564"/>
      <c r="K68" s="564"/>
      <c r="L68" s="564"/>
      <c r="M68" s="564"/>
      <c r="N68" s="564"/>
      <c r="O68" s="565"/>
      <c r="P68" s="568" t="s">
        <v>75</v>
      </c>
      <c r="Q68" s="569"/>
      <c r="R68" s="569"/>
      <c r="S68" s="569"/>
      <c r="T68" s="569"/>
      <c r="U68" s="569"/>
      <c r="V68" s="570"/>
      <c r="W68" s="37" t="s">
        <v>76</v>
      </c>
      <c r="X68" s="553">
        <f>IFERROR(X66/H66,"0")+IFERROR(X67/H67,"0")</f>
        <v>0</v>
      </c>
      <c r="Y68" s="553">
        <f>IFERROR(Y66/H66,"0")+IFERROR(Y67/H67,"0")</f>
        <v>0</v>
      </c>
      <c r="Z68" s="553">
        <f>IFERROR(IF(Z66="",0,Z66),"0")+IFERROR(IF(Z67="",0,Z67),"0")</f>
        <v>0</v>
      </c>
      <c r="AA68" s="554"/>
      <c r="AB68" s="554"/>
      <c r="AC68" s="554"/>
    </row>
    <row r="69" spans="1:68" hidden="1" x14ac:dyDescent="0.2">
      <c r="A69" s="564"/>
      <c r="B69" s="564"/>
      <c r="C69" s="564"/>
      <c r="D69" s="564"/>
      <c r="E69" s="564"/>
      <c r="F69" s="564"/>
      <c r="G69" s="564"/>
      <c r="H69" s="564"/>
      <c r="I69" s="564"/>
      <c r="J69" s="564"/>
      <c r="K69" s="564"/>
      <c r="L69" s="564"/>
      <c r="M69" s="564"/>
      <c r="N69" s="564"/>
      <c r="O69" s="565"/>
      <c r="P69" s="568" t="s">
        <v>75</v>
      </c>
      <c r="Q69" s="569"/>
      <c r="R69" s="569"/>
      <c r="S69" s="569"/>
      <c r="T69" s="569"/>
      <c r="U69" s="569"/>
      <c r="V69" s="570"/>
      <c r="W69" s="37" t="s">
        <v>69</v>
      </c>
      <c r="X69" s="553">
        <f>IFERROR(SUM(X66:X67),"0")</f>
        <v>0</v>
      </c>
      <c r="Y69" s="553">
        <f>IFERROR(SUM(Y66:Y67),"0")</f>
        <v>0</v>
      </c>
      <c r="Z69" s="37"/>
      <c r="AA69" s="554"/>
      <c r="AB69" s="554"/>
      <c r="AC69" s="554"/>
    </row>
    <row r="70" spans="1:68" ht="14.25" hidden="1" customHeight="1" x14ac:dyDescent="0.25">
      <c r="A70" s="567" t="s">
        <v>77</v>
      </c>
      <c r="B70" s="564"/>
      <c r="C70" s="564"/>
      <c r="D70" s="564"/>
      <c r="E70" s="564"/>
      <c r="F70" s="564"/>
      <c r="G70" s="564"/>
      <c r="H70" s="564"/>
      <c r="I70" s="564"/>
      <c r="J70" s="564"/>
      <c r="K70" s="564"/>
      <c r="L70" s="564"/>
      <c r="M70" s="564"/>
      <c r="N70" s="564"/>
      <c r="O70" s="564"/>
      <c r="P70" s="564"/>
      <c r="Q70" s="564"/>
      <c r="R70" s="564"/>
      <c r="S70" s="564"/>
      <c r="T70" s="564"/>
      <c r="U70" s="564"/>
      <c r="V70" s="564"/>
      <c r="W70" s="564"/>
      <c r="X70" s="564"/>
      <c r="Y70" s="564"/>
      <c r="Z70" s="564"/>
      <c r="AA70" s="547"/>
      <c r="AB70" s="547"/>
      <c r="AC70" s="547"/>
    </row>
    <row r="71" spans="1:68" ht="27" hidden="1" customHeight="1" x14ac:dyDescent="0.25">
      <c r="A71" s="54" t="s">
        <v>150</v>
      </c>
      <c r="B71" s="54" t="s">
        <v>151</v>
      </c>
      <c r="C71" s="31">
        <v>4301051846</v>
      </c>
      <c r="D71" s="558">
        <v>4680115885769</v>
      </c>
      <c r="E71" s="559"/>
      <c r="F71" s="550">
        <v>1.4</v>
      </c>
      <c r="G71" s="32">
        <v>6</v>
      </c>
      <c r="H71" s="550">
        <v>8.4</v>
      </c>
      <c r="I71" s="550">
        <v>8.81</v>
      </c>
      <c r="J71" s="32">
        <v>64</v>
      </c>
      <c r="K71" s="32" t="s">
        <v>104</v>
      </c>
      <c r="L71" s="32"/>
      <c r="M71" s="33" t="s">
        <v>80</v>
      </c>
      <c r="N71" s="33"/>
      <c r="O71" s="32">
        <v>45</v>
      </c>
      <c r="P71" s="86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6"/>
      <c r="R71" s="556"/>
      <c r="S71" s="556"/>
      <c r="T71" s="557"/>
      <c r="U71" s="34"/>
      <c r="V71" s="34"/>
      <c r="W71" s="35" t="s">
        <v>69</v>
      </c>
      <c r="X71" s="551">
        <v>0</v>
      </c>
      <c r="Y71" s="552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152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153</v>
      </c>
      <c r="B72" s="54" t="s">
        <v>154</v>
      </c>
      <c r="C72" s="31">
        <v>4301051837</v>
      </c>
      <c r="D72" s="558">
        <v>4680115884311</v>
      </c>
      <c r="E72" s="559"/>
      <c r="F72" s="550">
        <v>0.3</v>
      </c>
      <c r="G72" s="32">
        <v>6</v>
      </c>
      <c r="H72" s="550">
        <v>1.8</v>
      </c>
      <c r="I72" s="550">
        <v>2.0459999999999998</v>
      </c>
      <c r="J72" s="32">
        <v>182</v>
      </c>
      <c r="K72" s="32" t="s">
        <v>67</v>
      </c>
      <c r="L72" s="32" t="s">
        <v>90</v>
      </c>
      <c r="M72" s="33" t="s">
        <v>80</v>
      </c>
      <c r="N72" s="33"/>
      <c r="O72" s="32">
        <v>40</v>
      </c>
      <c r="P72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6"/>
      <c r="R72" s="556"/>
      <c r="S72" s="556"/>
      <c r="T72" s="557"/>
      <c r="U72" s="34"/>
      <c r="V72" s="34"/>
      <c r="W72" s="35" t="s">
        <v>69</v>
      </c>
      <c r="X72" s="551">
        <v>0</v>
      </c>
      <c r="Y72" s="55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155</v>
      </c>
      <c r="AG72" s="64"/>
      <c r="AJ72" s="68" t="s">
        <v>92</v>
      </c>
      <c r="AK72" s="68">
        <v>25.2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156</v>
      </c>
      <c r="B73" s="54" t="s">
        <v>157</v>
      </c>
      <c r="C73" s="31">
        <v>4301051844</v>
      </c>
      <c r="D73" s="558">
        <v>4680115885929</v>
      </c>
      <c r="E73" s="559"/>
      <c r="F73" s="550">
        <v>0.42</v>
      </c>
      <c r="G73" s="32">
        <v>6</v>
      </c>
      <c r="H73" s="550">
        <v>2.52</v>
      </c>
      <c r="I73" s="550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6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6"/>
      <c r="R73" s="556"/>
      <c r="S73" s="556"/>
      <c r="T73" s="557"/>
      <c r="U73" s="34"/>
      <c r="V73" s="34"/>
      <c r="W73" s="35" t="s">
        <v>69</v>
      </c>
      <c r="X73" s="551">
        <v>0</v>
      </c>
      <c r="Y73" s="55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152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4301051929</v>
      </c>
      <c r="D74" s="558">
        <v>4680115884403</v>
      </c>
      <c r="E74" s="559"/>
      <c r="F74" s="550">
        <v>0.3</v>
      </c>
      <c r="G74" s="32">
        <v>6</v>
      </c>
      <c r="H74" s="550">
        <v>1.8</v>
      </c>
      <c r="I74" s="550">
        <v>1.98</v>
      </c>
      <c r="J74" s="32">
        <v>182</v>
      </c>
      <c r="K74" s="32" t="s">
        <v>67</v>
      </c>
      <c r="L74" s="32" t="s">
        <v>90</v>
      </c>
      <c r="M74" s="33" t="s">
        <v>80</v>
      </c>
      <c r="N74" s="33"/>
      <c r="O74" s="32">
        <v>40</v>
      </c>
      <c r="P74" s="73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6"/>
      <c r="R74" s="556"/>
      <c r="S74" s="556"/>
      <c r="T74" s="557"/>
      <c r="U74" s="34"/>
      <c r="V74" s="34"/>
      <c r="W74" s="35" t="s">
        <v>69</v>
      </c>
      <c r="X74" s="551">
        <v>0</v>
      </c>
      <c r="Y74" s="55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 t="s">
        <v>92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3"/>
      <c r="B75" s="564"/>
      <c r="C75" s="564"/>
      <c r="D75" s="564"/>
      <c r="E75" s="564"/>
      <c r="F75" s="564"/>
      <c r="G75" s="564"/>
      <c r="H75" s="564"/>
      <c r="I75" s="564"/>
      <c r="J75" s="564"/>
      <c r="K75" s="564"/>
      <c r="L75" s="564"/>
      <c r="M75" s="564"/>
      <c r="N75" s="564"/>
      <c r="O75" s="565"/>
      <c r="P75" s="568" t="s">
        <v>75</v>
      </c>
      <c r="Q75" s="569"/>
      <c r="R75" s="569"/>
      <c r="S75" s="569"/>
      <c r="T75" s="569"/>
      <c r="U75" s="569"/>
      <c r="V75" s="570"/>
      <c r="W75" s="37" t="s">
        <v>76</v>
      </c>
      <c r="X75" s="553">
        <f>IFERROR(X71/H71,"0")+IFERROR(X72/H72,"0")+IFERROR(X73/H73,"0")+IFERROR(X74/H74,"0")</f>
        <v>0</v>
      </c>
      <c r="Y75" s="553">
        <f>IFERROR(Y71/H71,"0")+IFERROR(Y72/H72,"0")+IFERROR(Y73/H73,"0")+IFERROR(Y74/H74,"0")</f>
        <v>0</v>
      </c>
      <c r="Z75" s="553">
        <f>IFERROR(IF(Z71="",0,Z71),"0")+IFERROR(IF(Z72="",0,Z72),"0")+IFERROR(IF(Z73="",0,Z73),"0")+IFERROR(IF(Z74="",0,Z74),"0")</f>
        <v>0</v>
      </c>
      <c r="AA75" s="554"/>
      <c r="AB75" s="554"/>
      <c r="AC75" s="554"/>
    </row>
    <row r="76" spans="1:68" hidden="1" x14ac:dyDescent="0.2">
      <c r="A76" s="564"/>
      <c r="B76" s="564"/>
      <c r="C76" s="564"/>
      <c r="D76" s="564"/>
      <c r="E76" s="564"/>
      <c r="F76" s="564"/>
      <c r="G76" s="564"/>
      <c r="H76" s="564"/>
      <c r="I76" s="564"/>
      <c r="J76" s="564"/>
      <c r="K76" s="564"/>
      <c r="L76" s="564"/>
      <c r="M76" s="564"/>
      <c r="N76" s="564"/>
      <c r="O76" s="565"/>
      <c r="P76" s="568" t="s">
        <v>75</v>
      </c>
      <c r="Q76" s="569"/>
      <c r="R76" s="569"/>
      <c r="S76" s="569"/>
      <c r="T76" s="569"/>
      <c r="U76" s="569"/>
      <c r="V76" s="570"/>
      <c r="W76" s="37" t="s">
        <v>69</v>
      </c>
      <c r="X76" s="553">
        <f>IFERROR(SUM(X71:X74),"0")</f>
        <v>0</v>
      </c>
      <c r="Y76" s="553">
        <f>IFERROR(SUM(Y71:Y74),"0")</f>
        <v>0</v>
      </c>
      <c r="Z76" s="37"/>
      <c r="AA76" s="554"/>
      <c r="AB76" s="554"/>
      <c r="AC76" s="554"/>
    </row>
    <row r="77" spans="1:68" ht="14.25" hidden="1" customHeight="1" x14ac:dyDescent="0.25">
      <c r="A77" s="567" t="s">
        <v>161</v>
      </c>
      <c r="B77" s="564"/>
      <c r="C77" s="564"/>
      <c r="D77" s="564"/>
      <c r="E77" s="564"/>
      <c r="F77" s="564"/>
      <c r="G77" s="564"/>
      <c r="H77" s="564"/>
      <c r="I77" s="564"/>
      <c r="J77" s="564"/>
      <c r="K77" s="564"/>
      <c r="L77" s="564"/>
      <c r="M77" s="564"/>
      <c r="N77" s="564"/>
      <c r="O77" s="564"/>
      <c r="P77" s="564"/>
      <c r="Q77" s="564"/>
      <c r="R77" s="564"/>
      <c r="S77" s="564"/>
      <c r="T77" s="564"/>
      <c r="U77" s="564"/>
      <c r="V77" s="564"/>
      <c r="W77" s="564"/>
      <c r="X77" s="564"/>
      <c r="Y77" s="564"/>
      <c r="Z77" s="564"/>
      <c r="AA77" s="547"/>
      <c r="AB77" s="547"/>
      <c r="AC77" s="547"/>
    </row>
    <row r="78" spans="1:68" ht="27" customHeight="1" x14ac:dyDescent="0.25">
      <c r="A78" s="54" t="s">
        <v>162</v>
      </c>
      <c r="B78" s="54" t="s">
        <v>163</v>
      </c>
      <c r="C78" s="31">
        <v>4301060455</v>
      </c>
      <c r="D78" s="558">
        <v>4680115881532</v>
      </c>
      <c r="E78" s="559"/>
      <c r="F78" s="550">
        <v>1.3</v>
      </c>
      <c r="G78" s="32">
        <v>6</v>
      </c>
      <c r="H78" s="550">
        <v>7.8</v>
      </c>
      <c r="I78" s="550">
        <v>8.2100000000000009</v>
      </c>
      <c r="J78" s="32">
        <v>64</v>
      </c>
      <c r="K78" s="32" t="s">
        <v>104</v>
      </c>
      <c r="L78" s="32" t="s">
        <v>105</v>
      </c>
      <c r="M78" s="33" t="s">
        <v>86</v>
      </c>
      <c r="N78" s="33"/>
      <c r="O78" s="32">
        <v>30</v>
      </c>
      <c r="P78" s="68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6"/>
      <c r="R78" s="556"/>
      <c r="S78" s="556"/>
      <c r="T78" s="557"/>
      <c r="U78" s="34"/>
      <c r="V78" s="34"/>
      <c r="W78" s="35" t="s">
        <v>69</v>
      </c>
      <c r="X78" s="551">
        <v>60</v>
      </c>
      <c r="Y78" s="552">
        <f>IFERROR(IF(X78="",0,CEILING((X78/$H78),1)*$H78),"")</f>
        <v>62.4</v>
      </c>
      <c r="Z78" s="36">
        <f>IFERROR(IF(Y78=0,"",ROUNDUP(Y78/H78,0)*0.01898),"")</f>
        <v>0.15184</v>
      </c>
      <c r="AA78" s="56"/>
      <c r="AB78" s="57"/>
      <c r="AC78" s="121" t="s">
        <v>164</v>
      </c>
      <c r="AG78" s="64"/>
      <c r="AJ78" s="68" t="s">
        <v>92</v>
      </c>
      <c r="AK78" s="68">
        <v>62.4</v>
      </c>
      <c r="BB78" s="122" t="s">
        <v>1</v>
      </c>
      <c r="BM78" s="64">
        <f>IFERROR(X78*I78/H78,"0")</f>
        <v>63.15384615384616</v>
      </c>
      <c r="BN78" s="64">
        <f>IFERROR(Y78*I78/H78,"0")</f>
        <v>65.680000000000007</v>
      </c>
      <c r="BO78" s="64">
        <f>IFERROR(1/J78*(X78/H78),"0")</f>
        <v>0.1201923076923077</v>
      </c>
      <c r="BP78" s="64">
        <f>IFERROR(1/J78*(Y78/H78),"0")</f>
        <v>0.125</v>
      </c>
    </row>
    <row r="79" spans="1:68" ht="27" hidden="1" customHeight="1" x14ac:dyDescent="0.25">
      <c r="A79" s="54" t="s">
        <v>165</v>
      </c>
      <c r="B79" s="54" t="s">
        <v>166</v>
      </c>
      <c r="C79" s="31">
        <v>4301060351</v>
      </c>
      <c r="D79" s="558">
        <v>4680115881464</v>
      </c>
      <c r="E79" s="559"/>
      <c r="F79" s="550">
        <v>0.4</v>
      </c>
      <c r="G79" s="32">
        <v>6</v>
      </c>
      <c r="H79" s="550">
        <v>2.4</v>
      </c>
      <c r="I79" s="550">
        <v>2.59</v>
      </c>
      <c r="J79" s="32">
        <v>132</v>
      </c>
      <c r="K79" s="32" t="s">
        <v>110</v>
      </c>
      <c r="L79" s="32" t="s">
        <v>111</v>
      </c>
      <c r="M79" s="33" t="s">
        <v>80</v>
      </c>
      <c r="N79" s="33"/>
      <c r="O79" s="32">
        <v>30</v>
      </c>
      <c r="P79" s="5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6"/>
      <c r="R79" s="556"/>
      <c r="S79" s="556"/>
      <c r="T79" s="557"/>
      <c r="U79" s="34"/>
      <c r="V79" s="34"/>
      <c r="W79" s="35" t="s">
        <v>69</v>
      </c>
      <c r="X79" s="551">
        <v>0</v>
      </c>
      <c r="Y79" s="552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167</v>
      </c>
      <c r="AG79" s="64"/>
      <c r="AJ79" s="68" t="s">
        <v>92</v>
      </c>
      <c r="AK79" s="68">
        <v>28.8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3"/>
      <c r="B80" s="564"/>
      <c r="C80" s="564"/>
      <c r="D80" s="564"/>
      <c r="E80" s="564"/>
      <c r="F80" s="564"/>
      <c r="G80" s="564"/>
      <c r="H80" s="564"/>
      <c r="I80" s="564"/>
      <c r="J80" s="564"/>
      <c r="K80" s="564"/>
      <c r="L80" s="564"/>
      <c r="M80" s="564"/>
      <c r="N80" s="564"/>
      <c r="O80" s="565"/>
      <c r="P80" s="568" t="s">
        <v>75</v>
      </c>
      <c r="Q80" s="569"/>
      <c r="R80" s="569"/>
      <c r="S80" s="569"/>
      <c r="T80" s="569"/>
      <c r="U80" s="569"/>
      <c r="V80" s="570"/>
      <c r="W80" s="37" t="s">
        <v>76</v>
      </c>
      <c r="X80" s="553">
        <f>IFERROR(X78/H78,"0")+IFERROR(X79/H79,"0")</f>
        <v>7.6923076923076925</v>
      </c>
      <c r="Y80" s="553">
        <f>IFERROR(Y78/H78,"0")+IFERROR(Y79/H79,"0")</f>
        <v>8</v>
      </c>
      <c r="Z80" s="553">
        <f>IFERROR(IF(Z78="",0,Z78),"0")+IFERROR(IF(Z79="",0,Z79),"0")</f>
        <v>0.15184</v>
      </c>
      <c r="AA80" s="554"/>
      <c r="AB80" s="554"/>
      <c r="AC80" s="554"/>
    </row>
    <row r="81" spans="1:68" x14ac:dyDescent="0.2">
      <c r="A81" s="564"/>
      <c r="B81" s="564"/>
      <c r="C81" s="564"/>
      <c r="D81" s="564"/>
      <c r="E81" s="564"/>
      <c r="F81" s="564"/>
      <c r="G81" s="564"/>
      <c r="H81" s="564"/>
      <c r="I81" s="564"/>
      <c r="J81" s="564"/>
      <c r="K81" s="564"/>
      <c r="L81" s="564"/>
      <c r="M81" s="564"/>
      <c r="N81" s="564"/>
      <c r="O81" s="565"/>
      <c r="P81" s="568" t="s">
        <v>75</v>
      </c>
      <c r="Q81" s="569"/>
      <c r="R81" s="569"/>
      <c r="S81" s="569"/>
      <c r="T81" s="569"/>
      <c r="U81" s="569"/>
      <c r="V81" s="570"/>
      <c r="W81" s="37" t="s">
        <v>69</v>
      </c>
      <c r="X81" s="553">
        <f>IFERROR(SUM(X78:X79),"0")</f>
        <v>60</v>
      </c>
      <c r="Y81" s="553">
        <f>IFERROR(SUM(Y78:Y79),"0")</f>
        <v>62.4</v>
      </c>
      <c r="Z81" s="37"/>
      <c r="AA81" s="554"/>
      <c r="AB81" s="554"/>
      <c r="AC81" s="554"/>
    </row>
    <row r="82" spans="1:68" ht="16.5" hidden="1" customHeight="1" x14ac:dyDescent="0.25">
      <c r="A82" s="576" t="s">
        <v>168</v>
      </c>
      <c r="B82" s="564"/>
      <c r="C82" s="564"/>
      <c r="D82" s="564"/>
      <c r="E82" s="564"/>
      <c r="F82" s="564"/>
      <c r="G82" s="564"/>
      <c r="H82" s="564"/>
      <c r="I82" s="564"/>
      <c r="J82" s="564"/>
      <c r="K82" s="564"/>
      <c r="L82" s="564"/>
      <c r="M82" s="564"/>
      <c r="N82" s="564"/>
      <c r="O82" s="564"/>
      <c r="P82" s="564"/>
      <c r="Q82" s="564"/>
      <c r="R82" s="564"/>
      <c r="S82" s="564"/>
      <c r="T82" s="564"/>
      <c r="U82" s="564"/>
      <c r="V82" s="564"/>
      <c r="W82" s="564"/>
      <c r="X82" s="564"/>
      <c r="Y82" s="564"/>
      <c r="Z82" s="564"/>
      <c r="AA82" s="546"/>
      <c r="AB82" s="546"/>
      <c r="AC82" s="546"/>
    </row>
    <row r="83" spans="1:68" ht="14.25" hidden="1" customHeight="1" x14ac:dyDescent="0.25">
      <c r="A83" s="567" t="s">
        <v>101</v>
      </c>
      <c r="B83" s="564"/>
      <c r="C83" s="564"/>
      <c r="D83" s="564"/>
      <c r="E83" s="564"/>
      <c r="F83" s="564"/>
      <c r="G83" s="564"/>
      <c r="H83" s="564"/>
      <c r="I83" s="564"/>
      <c r="J83" s="564"/>
      <c r="K83" s="564"/>
      <c r="L83" s="564"/>
      <c r="M83" s="564"/>
      <c r="N83" s="564"/>
      <c r="O83" s="564"/>
      <c r="P83" s="564"/>
      <c r="Q83" s="564"/>
      <c r="R83" s="564"/>
      <c r="S83" s="564"/>
      <c r="T83" s="564"/>
      <c r="U83" s="564"/>
      <c r="V83" s="564"/>
      <c r="W83" s="564"/>
      <c r="X83" s="564"/>
      <c r="Y83" s="564"/>
      <c r="Z83" s="564"/>
      <c r="AA83" s="547"/>
      <c r="AB83" s="547"/>
      <c r="AC83" s="547"/>
    </row>
    <row r="84" spans="1:68" ht="27" hidden="1" customHeight="1" x14ac:dyDescent="0.25">
      <c r="A84" s="54" t="s">
        <v>169</v>
      </c>
      <c r="B84" s="54" t="s">
        <v>170</v>
      </c>
      <c r="C84" s="31">
        <v>4301011468</v>
      </c>
      <c r="D84" s="558">
        <v>4680115881327</v>
      </c>
      <c r="E84" s="559"/>
      <c r="F84" s="550">
        <v>1.35</v>
      </c>
      <c r="G84" s="32">
        <v>8</v>
      </c>
      <c r="H84" s="550">
        <v>10.8</v>
      </c>
      <c r="I84" s="550">
        <v>11.21</v>
      </c>
      <c r="J84" s="32">
        <v>64</v>
      </c>
      <c r="K84" s="32" t="s">
        <v>104</v>
      </c>
      <c r="L84" s="32" t="s">
        <v>105</v>
      </c>
      <c r="M84" s="33" t="s">
        <v>86</v>
      </c>
      <c r="N84" s="33"/>
      <c r="O84" s="32">
        <v>50</v>
      </c>
      <c r="P84" s="78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6"/>
      <c r="R84" s="556"/>
      <c r="S84" s="556"/>
      <c r="T84" s="557"/>
      <c r="U84" s="34"/>
      <c r="V84" s="34"/>
      <c r="W84" s="35" t="s">
        <v>69</v>
      </c>
      <c r="X84" s="551">
        <v>0</v>
      </c>
      <c r="Y84" s="552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171</v>
      </c>
      <c r="AG84" s="64"/>
      <c r="AJ84" s="68" t="s">
        <v>92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172</v>
      </c>
      <c r="B85" s="54" t="s">
        <v>173</v>
      </c>
      <c r="C85" s="31">
        <v>4301011261</v>
      </c>
      <c r="D85" s="558">
        <v>4680115887732</v>
      </c>
      <c r="E85" s="559"/>
      <c r="F85" s="550">
        <v>0.17</v>
      </c>
      <c r="G85" s="32">
        <v>10</v>
      </c>
      <c r="H85" s="550">
        <v>1.7</v>
      </c>
      <c r="I85" s="550">
        <v>1.8</v>
      </c>
      <c r="J85" s="32">
        <v>192</v>
      </c>
      <c r="K85" s="32" t="s">
        <v>174</v>
      </c>
      <c r="L85" s="32"/>
      <c r="M85" s="33" t="s">
        <v>68</v>
      </c>
      <c r="N85" s="33"/>
      <c r="O85" s="32">
        <v>30</v>
      </c>
      <c r="P85" s="86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6"/>
      <c r="R85" s="556"/>
      <c r="S85" s="556"/>
      <c r="T85" s="557"/>
      <c r="U85" s="34"/>
      <c r="V85" s="34"/>
      <c r="W85" s="35" t="s">
        <v>69</v>
      </c>
      <c r="X85" s="551">
        <v>0</v>
      </c>
      <c r="Y85" s="552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175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4301011476</v>
      </c>
      <c r="D86" s="558">
        <v>4680115881518</v>
      </c>
      <c r="E86" s="559"/>
      <c r="F86" s="550">
        <v>0.4</v>
      </c>
      <c r="G86" s="32">
        <v>10</v>
      </c>
      <c r="H86" s="550">
        <v>4</v>
      </c>
      <c r="I86" s="550">
        <v>4.1900000000000004</v>
      </c>
      <c r="J86" s="32">
        <v>132</v>
      </c>
      <c r="K86" s="32" t="s">
        <v>110</v>
      </c>
      <c r="L86" s="32"/>
      <c r="M86" s="33" t="s">
        <v>80</v>
      </c>
      <c r="N86" s="33"/>
      <c r="O86" s="32">
        <v>50</v>
      </c>
      <c r="P86" s="58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6"/>
      <c r="R86" s="556"/>
      <c r="S86" s="556"/>
      <c r="T86" s="557"/>
      <c r="U86" s="34"/>
      <c r="V86" s="34"/>
      <c r="W86" s="35" t="s">
        <v>69</v>
      </c>
      <c r="X86" s="551">
        <v>0</v>
      </c>
      <c r="Y86" s="55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4301011443</v>
      </c>
      <c r="D87" s="558">
        <v>4680115881303</v>
      </c>
      <c r="E87" s="559"/>
      <c r="F87" s="550">
        <v>0.45</v>
      </c>
      <c r="G87" s="32">
        <v>10</v>
      </c>
      <c r="H87" s="550">
        <v>4.5</v>
      </c>
      <c r="I87" s="550">
        <v>4.6900000000000004</v>
      </c>
      <c r="J87" s="32">
        <v>132</v>
      </c>
      <c r="K87" s="32" t="s">
        <v>110</v>
      </c>
      <c r="L87" s="32" t="s">
        <v>111</v>
      </c>
      <c r="M87" s="33" t="s">
        <v>86</v>
      </c>
      <c r="N87" s="33"/>
      <c r="O87" s="32">
        <v>50</v>
      </c>
      <c r="P87" s="5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6"/>
      <c r="R87" s="556"/>
      <c r="S87" s="556"/>
      <c r="T87" s="557"/>
      <c r="U87" s="34"/>
      <c r="V87" s="34"/>
      <c r="W87" s="35" t="s">
        <v>69</v>
      </c>
      <c r="X87" s="551">
        <v>0</v>
      </c>
      <c r="Y87" s="55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 t="s">
        <v>92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63"/>
      <c r="B88" s="564"/>
      <c r="C88" s="564"/>
      <c r="D88" s="564"/>
      <c r="E88" s="564"/>
      <c r="F88" s="564"/>
      <c r="G88" s="564"/>
      <c r="H88" s="564"/>
      <c r="I88" s="564"/>
      <c r="J88" s="564"/>
      <c r="K88" s="564"/>
      <c r="L88" s="564"/>
      <c r="M88" s="564"/>
      <c r="N88" s="564"/>
      <c r="O88" s="565"/>
      <c r="P88" s="568" t="s">
        <v>75</v>
      </c>
      <c r="Q88" s="569"/>
      <c r="R88" s="569"/>
      <c r="S88" s="569"/>
      <c r="T88" s="569"/>
      <c r="U88" s="569"/>
      <c r="V88" s="570"/>
      <c r="W88" s="37" t="s">
        <v>76</v>
      </c>
      <c r="X88" s="553">
        <f>IFERROR(X84/H84,"0")+IFERROR(X85/H85,"0")+IFERROR(X86/H86,"0")+IFERROR(X87/H87,"0")</f>
        <v>0</v>
      </c>
      <c r="Y88" s="553">
        <f>IFERROR(Y84/H84,"0")+IFERROR(Y85/H85,"0")+IFERROR(Y86/H86,"0")+IFERROR(Y87/H87,"0")</f>
        <v>0</v>
      </c>
      <c r="Z88" s="553">
        <f>IFERROR(IF(Z84="",0,Z84),"0")+IFERROR(IF(Z85="",0,Z85),"0")+IFERROR(IF(Z86="",0,Z86),"0")+IFERROR(IF(Z87="",0,Z87),"0")</f>
        <v>0</v>
      </c>
      <c r="AA88" s="554"/>
      <c r="AB88" s="554"/>
      <c r="AC88" s="554"/>
    </row>
    <row r="89" spans="1:68" hidden="1" x14ac:dyDescent="0.2">
      <c r="A89" s="564"/>
      <c r="B89" s="564"/>
      <c r="C89" s="564"/>
      <c r="D89" s="564"/>
      <c r="E89" s="564"/>
      <c r="F89" s="564"/>
      <c r="G89" s="564"/>
      <c r="H89" s="564"/>
      <c r="I89" s="564"/>
      <c r="J89" s="564"/>
      <c r="K89" s="564"/>
      <c r="L89" s="564"/>
      <c r="M89" s="564"/>
      <c r="N89" s="564"/>
      <c r="O89" s="565"/>
      <c r="P89" s="568" t="s">
        <v>75</v>
      </c>
      <c r="Q89" s="569"/>
      <c r="R89" s="569"/>
      <c r="S89" s="569"/>
      <c r="T89" s="569"/>
      <c r="U89" s="569"/>
      <c r="V89" s="570"/>
      <c r="W89" s="37" t="s">
        <v>69</v>
      </c>
      <c r="X89" s="553">
        <f>IFERROR(SUM(X84:X87),"0")</f>
        <v>0</v>
      </c>
      <c r="Y89" s="553">
        <f>IFERROR(SUM(Y84:Y87),"0")</f>
        <v>0</v>
      </c>
      <c r="Z89" s="37"/>
      <c r="AA89" s="554"/>
      <c r="AB89" s="554"/>
      <c r="AC89" s="554"/>
    </row>
    <row r="90" spans="1:68" ht="14.25" hidden="1" customHeight="1" x14ac:dyDescent="0.25">
      <c r="A90" s="567" t="s">
        <v>77</v>
      </c>
      <c r="B90" s="564"/>
      <c r="C90" s="564"/>
      <c r="D90" s="564"/>
      <c r="E90" s="564"/>
      <c r="F90" s="564"/>
      <c r="G90" s="564"/>
      <c r="H90" s="564"/>
      <c r="I90" s="564"/>
      <c r="J90" s="564"/>
      <c r="K90" s="564"/>
      <c r="L90" s="564"/>
      <c r="M90" s="564"/>
      <c r="N90" s="564"/>
      <c r="O90" s="564"/>
      <c r="P90" s="564"/>
      <c r="Q90" s="564"/>
      <c r="R90" s="564"/>
      <c r="S90" s="564"/>
      <c r="T90" s="564"/>
      <c r="U90" s="564"/>
      <c r="V90" s="564"/>
      <c r="W90" s="564"/>
      <c r="X90" s="564"/>
      <c r="Y90" s="564"/>
      <c r="Z90" s="564"/>
      <c r="AA90" s="547"/>
      <c r="AB90" s="547"/>
      <c r="AC90" s="547"/>
    </row>
    <row r="91" spans="1:68" ht="27" customHeight="1" x14ac:dyDescent="0.25">
      <c r="A91" s="54" t="s">
        <v>180</v>
      </c>
      <c r="B91" s="54" t="s">
        <v>181</v>
      </c>
      <c r="C91" s="31">
        <v>4301051712</v>
      </c>
      <c r="D91" s="558">
        <v>4607091386967</v>
      </c>
      <c r="E91" s="559"/>
      <c r="F91" s="550">
        <v>1.35</v>
      </c>
      <c r="G91" s="32">
        <v>6</v>
      </c>
      <c r="H91" s="550">
        <v>8.1</v>
      </c>
      <c r="I91" s="550">
        <v>8.5939999999999994</v>
      </c>
      <c r="J91" s="32">
        <v>64</v>
      </c>
      <c r="K91" s="32" t="s">
        <v>104</v>
      </c>
      <c r="L91" s="32" t="s">
        <v>105</v>
      </c>
      <c r="M91" s="33" t="s">
        <v>86</v>
      </c>
      <c r="N91" s="33"/>
      <c r="O91" s="32">
        <v>45</v>
      </c>
      <c r="P91" s="87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6"/>
      <c r="R91" s="556"/>
      <c r="S91" s="556"/>
      <c r="T91" s="557"/>
      <c r="U91" s="34"/>
      <c r="V91" s="34"/>
      <c r="W91" s="35" t="s">
        <v>69</v>
      </c>
      <c r="X91" s="551">
        <v>30</v>
      </c>
      <c r="Y91" s="552">
        <f>IFERROR(IF(X91="",0,CEILING((X91/$H91),1)*$H91),"")</f>
        <v>32.4</v>
      </c>
      <c r="Z91" s="36">
        <f>IFERROR(IF(Y91=0,"",ROUNDUP(Y91/H91,0)*0.01898),"")</f>
        <v>7.5920000000000001E-2</v>
      </c>
      <c r="AA91" s="56"/>
      <c r="AB91" s="57"/>
      <c r="AC91" s="133" t="s">
        <v>182</v>
      </c>
      <c r="AG91" s="64"/>
      <c r="AJ91" s="68" t="s">
        <v>92</v>
      </c>
      <c r="AK91" s="68">
        <v>64.8</v>
      </c>
      <c r="BB91" s="134" t="s">
        <v>1</v>
      </c>
      <c r="BM91" s="64">
        <f>IFERROR(X91*I91/H91,"0")</f>
        <v>31.829629629629629</v>
      </c>
      <c r="BN91" s="64">
        <f>IFERROR(Y91*I91/H91,"0")</f>
        <v>34.375999999999998</v>
      </c>
      <c r="BO91" s="64">
        <f>IFERROR(1/J91*(X91/H91),"0")</f>
        <v>5.7870370370370371E-2</v>
      </c>
      <c r="BP91" s="64">
        <f>IFERROR(1/J91*(Y91/H91),"0")</f>
        <v>6.25E-2</v>
      </c>
    </row>
    <row r="92" spans="1:68" ht="27" hidden="1" customHeight="1" x14ac:dyDescent="0.25">
      <c r="A92" s="54" t="s">
        <v>183</v>
      </c>
      <c r="B92" s="54" t="s">
        <v>184</v>
      </c>
      <c r="C92" s="31">
        <v>4301051788</v>
      </c>
      <c r="D92" s="558">
        <v>4680115884953</v>
      </c>
      <c r="E92" s="559"/>
      <c r="F92" s="550">
        <v>0.37</v>
      </c>
      <c r="G92" s="32">
        <v>6</v>
      </c>
      <c r="H92" s="550">
        <v>2.2200000000000002</v>
      </c>
      <c r="I92" s="550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6"/>
      <c r="R92" s="556"/>
      <c r="S92" s="556"/>
      <c r="T92" s="557"/>
      <c r="U92" s="34"/>
      <c r="V92" s="34"/>
      <c r="W92" s="35" t="s">
        <v>69</v>
      </c>
      <c r="X92" s="551">
        <v>0</v>
      </c>
      <c r="Y92" s="55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58">
        <v>4607091385731</v>
      </c>
      <c r="E93" s="559"/>
      <c r="F93" s="550">
        <v>0.45</v>
      </c>
      <c r="G93" s="32">
        <v>6</v>
      </c>
      <c r="H93" s="550">
        <v>2.7</v>
      </c>
      <c r="I93" s="550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6"/>
      <c r="R93" s="556"/>
      <c r="S93" s="556"/>
      <c r="T93" s="557"/>
      <c r="U93" s="34"/>
      <c r="V93" s="34"/>
      <c r="W93" s="35" t="s">
        <v>69</v>
      </c>
      <c r="X93" s="551">
        <v>0</v>
      </c>
      <c r="Y93" s="55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8">
        <v>4680115880894</v>
      </c>
      <c r="E94" s="559"/>
      <c r="F94" s="550">
        <v>0.33</v>
      </c>
      <c r="G94" s="32">
        <v>6</v>
      </c>
      <c r="H94" s="550">
        <v>1.98</v>
      </c>
      <c r="I94" s="550">
        <v>2.238</v>
      </c>
      <c r="J94" s="32">
        <v>182</v>
      </c>
      <c r="K94" s="32" t="s">
        <v>67</v>
      </c>
      <c r="L94" s="32" t="s">
        <v>90</v>
      </c>
      <c r="M94" s="33" t="s">
        <v>80</v>
      </c>
      <c r="N94" s="33"/>
      <c r="O94" s="32">
        <v>45</v>
      </c>
      <c r="P94" s="62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6"/>
      <c r="R94" s="556"/>
      <c r="S94" s="556"/>
      <c r="T94" s="557"/>
      <c r="U94" s="34"/>
      <c r="V94" s="34"/>
      <c r="W94" s="35" t="s">
        <v>69</v>
      </c>
      <c r="X94" s="551">
        <v>0</v>
      </c>
      <c r="Y94" s="55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92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3"/>
      <c r="B95" s="564"/>
      <c r="C95" s="564"/>
      <c r="D95" s="564"/>
      <c r="E95" s="564"/>
      <c r="F95" s="564"/>
      <c r="G95" s="564"/>
      <c r="H95" s="564"/>
      <c r="I95" s="564"/>
      <c r="J95" s="564"/>
      <c r="K95" s="564"/>
      <c r="L95" s="564"/>
      <c r="M95" s="564"/>
      <c r="N95" s="564"/>
      <c r="O95" s="565"/>
      <c r="P95" s="568" t="s">
        <v>75</v>
      </c>
      <c r="Q95" s="569"/>
      <c r="R95" s="569"/>
      <c r="S95" s="569"/>
      <c r="T95" s="569"/>
      <c r="U95" s="569"/>
      <c r="V95" s="570"/>
      <c r="W95" s="37" t="s">
        <v>76</v>
      </c>
      <c r="X95" s="553">
        <f>IFERROR(X91/H91,"0")+IFERROR(X92/H92,"0")+IFERROR(X93/H93,"0")+IFERROR(X94/H94,"0")</f>
        <v>3.7037037037037037</v>
      </c>
      <c r="Y95" s="553">
        <f>IFERROR(Y91/H91,"0")+IFERROR(Y92/H92,"0")+IFERROR(Y93/H93,"0")+IFERROR(Y94/H94,"0")</f>
        <v>4</v>
      </c>
      <c r="Z95" s="553">
        <f>IFERROR(IF(Z91="",0,Z91),"0")+IFERROR(IF(Z92="",0,Z92),"0")+IFERROR(IF(Z93="",0,Z93),"0")+IFERROR(IF(Z94="",0,Z94),"0")</f>
        <v>7.5920000000000001E-2</v>
      </c>
      <c r="AA95" s="554"/>
      <c r="AB95" s="554"/>
      <c r="AC95" s="554"/>
    </row>
    <row r="96" spans="1:68" x14ac:dyDescent="0.2">
      <c r="A96" s="564"/>
      <c r="B96" s="564"/>
      <c r="C96" s="564"/>
      <c r="D96" s="564"/>
      <c r="E96" s="564"/>
      <c r="F96" s="564"/>
      <c r="G96" s="564"/>
      <c r="H96" s="564"/>
      <c r="I96" s="564"/>
      <c r="J96" s="564"/>
      <c r="K96" s="564"/>
      <c r="L96" s="564"/>
      <c r="M96" s="564"/>
      <c r="N96" s="564"/>
      <c r="O96" s="565"/>
      <c r="P96" s="568" t="s">
        <v>75</v>
      </c>
      <c r="Q96" s="569"/>
      <c r="R96" s="569"/>
      <c r="S96" s="569"/>
      <c r="T96" s="569"/>
      <c r="U96" s="569"/>
      <c r="V96" s="570"/>
      <c r="W96" s="37" t="s">
        <v>69</v>
      </c>
      <c r="X96" s="553">
        <f>IFERROR(SUM(X91:X94),"0")</f>
        <v>30</v>
      </c>
      <c r="Y96" s="553">
        <f>IFERROR(SUM(Y91:Y94),"0")</f>
        <v>32.4</v>
      </c>
      <c r="Z96" s="37"/>
      <c r="AA96" s="554"/>
      <c r="AB96" s="554"/>
      <c r="AC96" s="554"/>
    </row>
    <row r="97" spans="1:68" ht="16.5" hidden="1" customHeight="1" x14ac:dyDescent="0.25">
      <c r="A97" s="576" t="s">
        <v>190</v>
      </c>
      <c r="B97" s="564"/>
      <c r="C97" s="564"/>
      <c r="D97" s="564"/>
      <c r="E97" s="564"/>
      <c r="F97" s="564"/>
      <c r="G97" s="564"/>
      <c r="H97" s="564"/>
      <c r="I97" s="564"/>
      <c r="J97" s="564"/>
      <c r="K97" s="564"/>
      <c r="L97" s="564"/>
      <c r="M97" s="564"/>
      <c r="N97" s="564"/>
      <c r="O97" s="564"/>
      <c r="P97" s="564"/>
      <c r="Q97" s="564"/>
      <c r="R97" s="564"/>
      <c r="S97" s="564"/>
      <c r="T97" s="564"/>
      <c r="U97" s="564"/>
      <c r="V97" s="564"/>
      <c r="W97" s="564"/>
      <c r="X97" s="564"/>
      <c r="Y97" s="564"/>
      <c r="Z97" s="564"/>
      <c r="AA97" s="546"/>
      <c r="AB97" s="546"/>
      <c r="AC97" s="546"/>
    </row>
    <row r="98" spans="1:68" ht="14.25" hidden="1" customHeight="1" x14ac:dyDescent="0.25">
      <c r="A98" s="567" t="s">
        <v>101</v>
      </c>
      <c r="B98" s="564"/>
      <c r="C98" s="564"/>
      <c r="D98" s="564"/>
      <c r="E98" s="564"/>
      <c r="F98" s="564"/>
      <c r="G98" s="564"/>
      <c r="H98" s="564"/>
      <c r="I98" s="564"/>
      <c r="J98" s="564"/>
      <c r="K98" s="564"/>
      <c r="L98" s="564"/>
      <c r="M98" s="564"/>
      <c r="N98" s="564"/>
      <c r="O98" s="564"/>
      <c r="P98" s="564"/>
      <c r="Q98" s="564"/>
      <c r="R98" s="564"/>
      <c r="S98" s="564"/>
      <c r="T98" s="564"/>
      <c r="U98" s="564"/>
      <c r="V98" s="564"/>
      <c r="W98" s="564"/>
      <c r="X98" s="564"/>
      <c r="Y98" s="564"/>
      <c r="Z98" s="564"/>
      <c r="AA98" s="547"/>
      <c r="AB98" s="547"/>
      <c r="AC98" s="547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58">
        <v>4680115882133</v>
      </c>
      <c r="E99" s="559"/>
      <c r="F99" s="550">
        <v>1.35</v>
      </c>
      <c r="G99" s="32">
        <v>8</v>
      </c>
      <c r="H99" s="550">
        <v>10.8</v>
      </c>
      <c r="I99" s="55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7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6"/>
      <c r="R99" s="556"/>
      <c r="S99" s="556"/>
      <c r="T99" s="557"/>
      <c r="U99" s="34"/>
      <c r="V99" s="34"/>
      <c r="W99" s="35" t="s">
        <v>69</v>
      </c>
      <c r="X99" s="551">
        <v>0</v>
      </c>
      <c r="Y99" s="55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92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194</v>
      </c>
      <c r="B100" s="54" t="s">
        <v>195</v>
      </c>
      <c r="C100" s="31">
        <v>4301012051</v>
      </c>
      <c r="D100" s="558">
        <v>4680115887718</v>
      </c>
      <c r="E100" s="559"/>
      <c r="F100" s="550">
        <v>0.11</v>
      </c>
      <c r="G100" s="32">
        <v>10</v>
      </c>
      <c r="H100" s="550">
        <v>1.1000000000000001</v>
      </c>
      <c r="I100" s="550">
        <v>1.31</v>
      </c>
      <c r="J100" s="32">
        <v>192</v>
      </c>
      <c r="K100" s="32" t="s">
        <v>174</v>
      </c>
      <c r="L100" s="32"/>
      <c r="M100" s="33" t="s">
        <v>68</v>
      </c>
      <c r="N100" s="33"/>
      <c r="O100" s="32">
        <v>30</v>
      </c>
      <c r="P100" s="62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6"/>
      <c r="R100" s="556"/>
      <c r="S100" s="556"/>
      <c r="T100" s="557"/>
      <c r="U100" s="34"/>
      <c r="V100" s="34"/>
      <c r="W100" s="35" t="s">
        <v>69</v>
      </c>
      <c r="X100" s="551">
        <v>0</v>
      </c>
      <c r="Y100" s="552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197</v>
      </c>
      <c r="B101" s="54" t="s">
        <v>198</v>
      </c>
      <c r="C101" s="31">
        <v>4301011417</v>
      </c>
      <c r="D101" s="558">
        <v>4680115880269</v>
      </c>
      <c r="E101" s="559"/>
      <c r="F101" s="550">
        <v>0.375</v>
      </c>
      <c r="G101" s="32">
        <v>10</v>
      </c>
      <c r="H101" s="550">
        <v>3.75</v>
      </c>
      <c r="I101" s="550">
        <v>3.94</v>
      </c>
      <c r="J101" s="32">
        <v>132</v>
      </c>
      <c r="K101" s="32" t="s">
        <v>110</v>
      </c>
      <c r="L101" s="32" t="s">
        <v>111</v>
      </c>
      <c r="M101" s="33" t="s">
        <v>80</v>
      </c>
      <c r="N101" s="33"/>
      <c r="O101" s="32">
        <v>50</v>
      </c>
      <c r="P101" s="87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6"/>
      <c r="R101" s="556"/>
      <c r="S101" s="556"/>
      <c r="T101" s="557"/>
      <c r="U101" s="34"/>
      <c r="V101" s="34"/>
      <c r="W101" s="35" t="s">
        <v>69</v>
      </c>
      <c r="X101" s="551">
        <v>0</v>
      </c>
      <c r="Y101" s="55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92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4301011415</v>
      </c>
      <c r="D102" s="558">
        <v>4680115880429</v>
      </c>
      <c r="E102" s="559"/>
      <c r="F102" s="550">
        <v>0.45</v>
      </c>
      <c r="G102" s="32">
        <v>10</v>
      </c>
      <c r="H102" s="550">
        <v>4.5</v>
      </c>
      <c r="I102" s="550">
        <v>4.6900000000000004</v>
      </c>
      <c r="J102" s="32">
        <v>132</v>
      </c>
      <c r="K102" s="32" t="s">
        <v>110</v>
      </c>
      <c r="L102" s="32" t="s">
        <v>111</v>
      </c>
      <c r="M102" s="33" t="s">
        <v>80</v>
      </c>
      <c r="N102" s="33"/>
      <c r="O102" s="32">
        <v>50</v>
      </c>
      <c r="P102" s="81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6"/>
      <c r="R102" s="556"/>
      <c r="S102" s="556"/>
      <c r="T102" s="557"/>
      <c r="U102" s="34"/>
      <c r="V102" s="34"/>
      <c r="W102" s="35" t="s">
        <v>69</v>
      </c>
      <c r="X102" s="551">
        <v>0</v>
      </c>
      <c r="Y102" s="55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92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58">
        <v>4680115881457</v>
      </c>
      <c r="E103" s="559"/>
      <c r="F103" s="550">
        <v>0.75</v>
      </c>
      <c r="G103" s="32">
        <v>6</v>
      </c>
      <c r="H103" s="550">
        <v>4.5</v>
      </c>
      <c r="I103" s="550">
        <v>4.6900000000000004</v>
      </c>
      <c r="J103" s="32">
        <v>132</v>
      </c>
      <c r="K103" s="32" t="s">
        <v>110</v>
      </c>
      <c r="L103" s="32"/>
      <c r="M103" s="33" t="s">
        <v>80</v>
      </c>
      <c r="N103" s="33"/>
      <c r="O103" s="32">
        <v>50</v>
      </c>
      <c r="P103" s="6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6"/>
      <c r="R103" s="556"/>
      <c r="S103" s="556"/>
      <c r="T103" s="557"/>
      <c r="U103" s="34"/>
      <c r="V103" s="34"/>
      <c r="W103" s="35" t="s">
        <v>69</v>
      </c>
      <c r="X103" s="551">
        <v>0</v>
      </c>
      <c r="Y103" s="552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63"/>
      <c r="B104" s="564"/>
      <c r="C104" s="564"/>
      <c r="D104" s="564"/>
      <c r="E104" s="564"/>
      <c r="F104" s="564"/>
      <c r="G104" s="564"/>
      <c r="H104" s="564"/>
      <c r="I104" s="564"/>
      <c r="J104" s="564"/>
      <c r="K104" s="564"/>
      <c r="L104" s="564"/>
      <c r="M104" s="564"/>
      <c r="N104" s="564"/>
      <c r="O104" s="565"/>
      <c r="P104" s="568" t="s">
        <v>75</v>
      </c>
      <c r="Q104" s="569"/>
      <c r="R104" s="569"/>
      <c r="S104" s="569"/>
      <c r="T104" s="569"/>
      <c r="U104" s="569"/>
      <c r="V104" s="570"/>
      <c r="W104" s="37" t="s">
        <v>76</v>
      </c>
      <c r="X104" s="553">
        <f>IFERROR(X99/H99,"0")+IFERROR(X100/H100,"0")+IFERROR(X101/H101,"0")+IFERROR(X102/H102,"0")+IFERROR(X103/H103,"0")</f>
        <v>0</v>
      </c>
      <c r="Y104" s="553">
        <f>IFERROR(Y99/H99,"0")+IFERROR(Y100/H100,"0")+IFERROR(Y101/H101,"0")+IFERROR(Y102/H102,"0")+IFERROR(Y103/H103,"0")</f>
        <v>0</v>
      </c>
      <c r="Z104" s="553">
        <f>IFERROR(IF(Z99="",0,Z99),"0")+IFERROR(IF(Z100="",0,Z100),"0")+IFERROR(IF(Z101="",0,Z101),"0")+IFERROR(IF(Z102="",0,Z102),"0")+IFERROR(IF(Z103="",0,Z103),"0")</f>
        <v>0</v>
      </c>
      <c r="AA104" s="554"/>
      <c r="AB104" s="554"/>
      <c r="AC104" s="554"/>
    </row>
    <row r="105" spans="1:68" hidden="1" x14ac:dyDescent="0.2">
      <c r="A105" s="564"/>
      <c r="B105" s="564"/>
      <c r="C105" s="564"/>
      <c r="D105" s="564"/>
      <c r="E105" s="564"/>
      <c r="F105" s="564"/>
      <c r="G105" s="564"/>
      <c r="H105" s="564"/>
      <c r="I105" s="564"/>
      <c r="J105" s="564"/>
      <c r="K105" s="564"/>
      <c r="L105" s="564"/>
      <c r="M105" s="564"/>
      <c r="N105" s="564"/>
      <c r="O105" s="565"/>
      <c r="P105" s="568" t="s">
        <v>75</v>
      </c>
      <c r="Q105" s="569"/>
      <c r="R105" s="569"/>
      <c r="S105" s="569"/>
      <c r="T105" s="569"/>
      <c r="U105" s="569"/>
      <c r="V105" s="570"/>
      <c r="W105" s="37" t="s">
        <v>69</v>
      </c>
      <c r="X105" s="553">
        <f>IFERROR(SUM(X99:X103),"0")</f>
        <v>0</v>
      </c>
      <c r="Y105" s="553">
        <f>IFERROR(SUM(Y99:Y103),"0")</f>
        <v>0</v>
      </c>
      <c r="Z105" s="37"/>
      <c r="AA105" s="554"/>
      <c r="AB105" s="554"/>
      <c r="AC105" s="554"/>
    </row>
    <row r="106" spans="1:68" ht="14.25" hidden="1" customHeight="1" x14ac:dyDescent="0.25">
      <c r="A106" s="567" t="s">
        <v>136</v>
      </c>
      <c r="B106" s="564"/>
      <c r="C106" s="564"/>
      <c r="D106" s="564"/>
      <c r="E106" s="564"/>
      <c r="F106" s="564"/>
      <c r="G106" s="564"/>
      <c r="H106" s="564"/>
      <c r="I106" s="564"/>
      <c r="J106" s="564"/>
      <c r="K106" s="564"/>
      <c r="L106" s="564"/>
      <c r="M106" s="564"/>
      <c r="N106" s="564"/>
      <c r="O106" s="564"/>
      <c r="P106" s="564"/>
      <c r="Q106" s="564"/>
      <c r="R106" s="564"/>
      <c r="S106" s="564"/>
      <c r="T106" s="564"/>
      <c r="U106" s="564"/>
      <c r="V106" s="564"/>
      <c r="W106" s="564"/>
      <c r="X106" s="564"/>
      <c r="Y106" s="564"/>
      <c r="Z106" s="564"/>
      <c r="AA106" s="547"/>
      <c r="AB106" s="547"/>
      <c r="AC106" s="547"/>
    </row>
    <row r="107" spans="1:68" ht="16.5" hidden="1" customHeight="1" x14ac:dyDescent="0.25">
      <c r="A107" s="54" t="s">
        <v>203</v>
      </c>
      <c r="B107" s="54" t="s">
        <v>204</v>
      </c>
      <c r="C107" s="31">
        <v>4301020345</v>
      </c>
      <c r="D107" s="558">
        <v>4680115881488</v>
      </c>
      <c r="E107" s="559"/>
      <c r="F107" s="550">
        <v>1.35</v>
      </c>
      <c r="G107" s="32">
        <v>8</v>
      </c>
      <c r="H107" s="550">
        <v>10.8</v>
      </c>
      <c r="I107" s="550">
        <v>11.21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0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6"/>
      <c r="R107" s="556"/>
      <c r="S107" s="556"/>
      <c r="T107" s="557"/>
      <c r="U107" s="34"/>
      <c r="V107" s="34"/>
      <c r="W107" s="35" t="s">
        <v>69</v>
      </c>
      <c r="X107" s="551">
        <v>0</v>
      </c>
      <c r="Y107" s="552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206</v>
      </c>
      <c r="B108" s="54" t="s">
        <v>207</v>
      </c>
      <c r="C108" s="31">
        <v>4301020186</v>
      </c>
      <c r="D108" s="558">
        <v>4680115887664</v>
      </c>
      <c r="E108" s="559"/>
      <c r="F108" s="550">
        <v>0.1</v>
      </c>
      <c r="G108" s="32">
        <v>10</v>
      </c>
      <c r="H108" s="550">
        <v>1</v>
      </c>
      <c r="I108" s="550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7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6"/>
      <c r="R108" s="556"/>
      <c r="S108" s="556"/>
      <c r="T108" s="557"/>
      <c r="U108" s="34"/>
      <c r="V108" s="34"/>
      <c r="W108" s="35" t="s">
        <v>69</v>
      </c>
      <c r="X108" s="551">
        <v>0</v>
      </c>
      <c r="Y108" s="552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210</v>
      </c>
      <c r="B109" s="54" t="s">
        <v>211</v>
      </c>
      <c r="C109" s="31">
        <v>4301020346</v>
      </c>
      <c r="D109" s="558">
        <v>4680115882775</v>
      </c>
      <c r="E109" s="559"/>
      <c r="F109" s="550">
        <v>0.3</v>
      </c>
      <c r="G109" s="32">
        <v>8</v>
      </c>
      <c r="H109" s="550">
        <v>2.4</v>
      </c>
      <c r="I109" s="550">
        <v>2.5</v>
      </c>
      <c r="J109" s="32">
        <v>234</v>
      </c>
      <c r="K109" s="32" t="s">
        <v>73</v>
      </c>
      <c r="L109" s="32"/>
      <c r="M109" s="33" t="s">
        <v>106</v>
      </c>
      <c r="N109" s="33"/>
      <c r="O109" s="32">
        <v>55</v>
      </c>
      <c r="P109" s="78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6"/>
      <c r="R109" s="556"/>
      <c r="S109" s="556"/>
      <c r="T109" s="557"/>
      <c r="U109" s="34"/>
      <c r="V109" s="34"/>
      <c r="W109" s="35" t="s">
        <v>69</v>
      </c>
      <c r="X109" s="551">
        <v>0</v>
      </c>
      <c r="Y109" s="552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4301020344</v>
      </c>
      <c r="D110" s="558">
        <v>4680115880658</v>
      </c>
      <c r="E110" s="559"/>
      <c r="F110" s="550">
        <v>0.4</v>
      </c>
      <c r="G110" s="32">
        <v>6</v>
      </c>
      <c r="H110" s="550">
        <v>2.4</v>
      </c>
      <c r="I110" s="550">
        <v>2.58</v>
      </c>
      <c r="J110" s="32">
        <v>182</v>
      </c>
      <c r="K110" s="32" t="s">
        <v>67</v>
      </c>
      <c r="L110" s="32"/>
      <c r="M110" s="33" t="s">
        <v>106</v>
      </c>
      <c r="N110" s="33"/>
      <c r="O110" s="32">
        <v>55</v>
      </c>
      <c r="P110" s="83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6"/>
      <c r="R110" s="556"/>
      <c r="S110" s="556"/>
      <c r="T110" s="557"/>
      <c r="U110" s="34"/>
      <c r="V110" s="34"/>
      <c r="W110" s="35" t="s">
        <v>69</v>
      </c>
      <c r="X110" s="551">
        <v>0</v>
      </c>
      <c r="Y110" s="552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63"/>
      <c r="B111" s="564"/>
      <c r="C111" s="564"/>
      <c r="D111" s="564"/>
      <c r="E111" s="564"/>
      <c r="F111" s="564"/>
      <c r="G111" s="564"/>
      <c r="H111" s="564"/>
      <c r="I111" s="564"/>
      <c r="J111" s="564"/>
      <c r="K111" s="564"/>
      <c r="L111" s="564"/>
      <c r="M111" s="564"/>
      <c r="N111" s="564"/>
      <c r="O111" s="565"/>
      <c r="P111" s="568" t="s">
        <v>75</v>
      </c>
      <c r="Q111" s="569"/>
      <c r="R111" s="569"/>
      <c r="S111" s="569"/>
      <c r="T111" s="569"/>
      <c r="U111" s="569"/>
      <c r="V111" s="570"/>
      <c r="W111" s="37" t="s">
        <v>76</v>
      </c>
      <c r="X111" s="553">
        <f>IFERROR(X107/H107,"0")+IFERROR(X108/H108,"0")+IFERROR(X109/H109,"0")+IFERROR(X110/H110,"0")</f>
        <v>0</v>
      </c>
      <c r="Y111" s="553">
        <f>IFERROR(Y107/H107,"0")+IFERROR(Y108/H108,"0")+IFERROR(Y109/H109,"0")+IFERROR(Y110/H110,"0")</f>
        <v>0</v>
      </c>
      <c r="Z111" s="553">
        <f>IFERROR(IF(Z107="",0,Z107),"0")+IFERROR(IF(Z108="",0,Z108),"0")+IFERROR(IF(Z109="",0,Z109),"0")+IFERROR(IF(Z110="",0,Z110),"0")</f>
        <v>0</v>
      </c>
      <c r="AA111" s="554"/>
      <c r="AB111" s="554"/>
      <c r="AC111" s="554"/>
    </row>
    <row r="112" spans="1:68" hidden="1" x14ac:dyDescent="0.2">
      <c r="A112" s="564"/>
      <c r="B112" s="564"/>
      <c r="C112" s="564"/>
      <c r="D112" s="564"/>
      <c r="E112" s="564"/>
      <c r="F112" s="564"/>
      <c r="G112" s="564"/>
      <c r="H112" s="564"/>
      <c r="I112" s="564"/>
      <c r="J112" s="564"/>
      <c r="K112" s="564"/>
      <c r="L112" s="564"/>
      <c r="M112" s="564"/>
      <c r="N112" s="564"/>
      <c r="O112" s="565"/>
      <c r="P112" s="568" t="s">
        <v>75</v>
      </c>
      <c r="Q112" s="569"/>
      <c r="R112" s="569"/>
      <c r="S112" s="569"/>
      <c r="T112" s="569"/>
      <c r="U112" s="569"/>
      <c r="V112" s="570"/>
      <c r="W112" s="37" t="s">
        <v>69</v>
      </c>
      <c r="X112" s="553">
        <f>IFERROR(SUM(X107:X110),"0")</f>
        <v>0</v>
      </c>
      <c r="Y112" s="553">
        <f>IFERROR(SUM(Y107:Y110),"0")</f>
        <v>0</v>
      </c>
      <c r="Z112" s="37"/>
      <c r="AA112" s="554"/>
      <c r="AB112" s="554"/>
      <c r="AC112" s="554"/>
    </row>
    <row r="113" spans="1:68" ht="14.25" hidden="1" customHeight="1" x14ac:dyDescent="0.25">
      <c r="A113" s="567" t="s">
        <v>77</v>
      </c>
      <c r="B113" s="564"/>
      <c r="C113" s="564"/>
      <c r="D113" s="564"/>
      <c r="E113" s="564"/>
      <c r="F113" s="564"/>
      <c r="G113" s="564"/>
      <c r="H113" s="564"/>
      <c r="I113" s="564"/>
      <c r="J113" s="564"/>
      <c r="K113" s="564"/>
      <c r="L113" s="564"/>
      <c r="M113" s="564"/>
      <c r="N113" s="564"/>
      <c r="O113" s="564"/>
      <c r="P113" s="564"/>
      <c r="Q113" s="564"/>
      <c r="R113" s="564"/>
      <c r="S113" s="564"/>
      <c r="T113" s="564"/>
      <c r="U113" s="564"/>
      <c r="V113" s="564"/>
      <c r="W113" s="564"/>
      <c r="X113" s="564"/>
      <c r="Y113" s="564"/>
      <c r="Z113" s="564"/>
      <c r="AA113" s="547"/>
      <c r="AB113" s="547"/>
      <c r="AC113" s="547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8">
        <v>4607091385168</v>
      </c>
      <c r="E114" s="559"/>
      <c r="F114" s="550">
        <v>1.35</v>
      </c>
      <c r="G114" s="32">
        <v>6</v>
      </c>
      <c r="H114" s="550">
        <v>8.1</v>
      </c>
      <c r="I114" s="550">
        <v>8.5879999999999992</v>
      </c>
      <c r="J114" s="32">
        <v>64</v>
      </c>
      <c r="K114" s="32" t="s">
        <v>104</v>
      </c>
      <c r="L114" s="32" t="s">
        <v>105</v>
      </c>
      <c r="M114" s="33" t="s">
        <v>86</v>
      </c>
      <c r="N114" s="33"/>
      <c r="O114" s="32">
        <v>45</v>
      </c>
      <c r="P114" s="80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6"/>
      <c r="R114" s="556"/>
      <c r="S114" s="556"/>
      <c r="T114" s="557"/>
      <c r="U114" s="34"/>
      <c r="V114" s="34"/>
      <c r="W114" s="35" t="s">
        <v>69</v>
      </c>
      <c r="X114" s="551">
        <v>180</v>
      </c>
      <c r="Y114" s="552">
        <f>IFERROR(IF(X114="",0,CEILING((X114/$H114),1)*$H114),"")</f>
        <v>186.29999999999998</v>
      </c>
      <c r="Z114" s="36">
        <f>IFERROR(IF(Y114=0,"",ROUNDUP(Y114/H114,0)*0.01898),"")</f>
        <v>0.43653999999999998</v>
      </c>
      <c r="AA114" s="56"/>
      <c r="AB114" s="57"/>
      <c r="AC114" s="159" t="s">
        <v>216</v>
      </c>
      <c r="AG114" s="64"/>
      <c r="AJ114" s="68" t="s">
        <v>92</v>
      </c>
      <c r="AK114" s="68">
        <v>64.8</v>
      </c>
      <c r="BB114" s="160" t="s">
        <v>1</v>
      </c>
      <c r="BM114" s="64">
        <f>IFERROR(X114*I114/H114,"0")</f>
        <v>190.84444444444443</v>
      </c>
      <c r="BN114" s="64">
        <f>IFERROR(Y114*I114/H114,"0")</f>
        <v>197.52399999999997</v>
      </c>
      <c r="BO114" s="64">
        <f>IFERROR(1/J114*(X114/H114),"0")</f>
        <v>0.34722222222222221</v>
      </c>
      <c r="BP114" s="64">
        <f>IFERROR(1/J114*(Y114/H114),"0")</f>
        <v>0.359375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8">
        <v>4607091383256</v>
      </c>
      <c r="E115" s="559"/>
      <c r="F115" s="550">
        <v>0.33</v>
      </c>
      <c r="G115" s="32">
        <v>6</v>
      </c>
      <c r="H115" s="550">
        <v>1.98</v>
      </c>
      <c r="I115" s="550">
        <v>2.226</v>
      </c>
      <c r="J115" s="32">
        <v>182</v>
      </c>
      <c r="K115" s="32" t="s">
        <v>67</v>
      </c>
      <c r="L115" s="32" t="s">
        <v>90</v>
      </c>
      <c r="M115" s="33" t="s">
        <v>86</v>
      </c>
      <c r="N115" s="33"/>
      <c r="O115" s="32">
        <v>45</v>
      </c>
      <c r="P115" s="74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6"/>
      <c r="R115" s="556"/>
      <c r="S115" s="556"/>
      <c r="T115" s="557"/>
      <c r="U115" s="34"/>
      <c r="V115" s="34"/>
      <c r="W115" s="35" t="s">
        <v>69</v>
      </c>
      <c r="X115" s="551">
        <v>0</v>
      </c>
      <c r="Y115" s="55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92</v>
      </c>
      <c r="AK115" s="68">
        <v>27.72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4301051721</v>
      </c>
      <c r="D116" s="558">
        <v>4607091385748</v>
      </c>
      <c r="E116" s="559"/>
      <c r="F116" s="550">
        <v>0.45</v>
      </c>
      <c r="G116" s="32">
        <v>6</v>
      </c>
      <c r="H116" s="550">
        <v>2.7</v>
      </c>
      <c r="I116" s="550">
        <v>2.952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6"/>
      <c r="R116" s="556"/>
      <c r="S116" s="556"/>
      <c r="T116" s="557"/>
      <c r="U116" s="34"/>
      <c r="V116" s="34"/>
      <c r="W116" s="35" t="s">
        <v>69</v>
      </c>
      <c r="X116" s="551">
        <v>0</v>
      </c>
      <c r="Y116" s="552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 t="s">
        <v>92</v>
      </c>
      <c r="AK116" s="68">
        <v>37.799999999999997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8">
        <v>4680115884533</v>
      </c>
      <c r="E117" s="559"/>
      <c r="F117" s="550">
        <v>0.3</v>
      </c>
      <c r="G117" s="32">
        <v>6</v>
      </c>
      <c r="H117" s="550">
        <v>1.8</v>
      </c>
      <c r="I117" s="550">
        <v>1.98</v>
      </c>
      <c r="J117" s="32">
        <v>182</v>
      </c>
      <c r="K117" s="32" t="s">
        <v>67</v>
      </c>
      <c r="L117" s="32" t="s">
        <v>90</v>
      </c>
      <c r="M117" s="33" t="s">
        <v>80</v>
      </c>
      <c r="N117" s="33"/>
      <c r="O117" s="32">
        <v>45</v>
      </c>
      <c r="P117" s="69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6"/>
      <c r="R117" s="556"/>
      <c r="S117" s="556"/>
      <c r="T117" s="557"/>
      <c r="U117" s="34"/>
      <c r="V117" s="34"/>
      <c r="W117" s="35" t="s">
        <v>69</v>
      </c>
      <c r="X117" s="551">
        <v>0</v>
      </c>
      <c r="Y117" s="552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 t="s">
        <v>92</v>
      </c>
      <c r="AK117" s="68">
        <v>25.2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3"/>
      <c r="B118" s="564"/>
      <c r="C118" s="564"/>
      <c r="D118" s="564"/>
      <c r="E118" s="564"/>
      <c r="F118" s="564"/>
      <c r="G118" s="564"/>
      <c r="H118" s="564"/>
      <c r="I118" s="564"/>
      <c r="J118" s="564"/>
      <c r="K118" s="564"/>
      <c r="L118" s="564"/>
      <c r="M118" s="564"/>
      <c r="N118" s="564"/>
      <c r="O118" s="565"/>
      <c r="P118" s="568" t="s">
        <v>75</v>
      </c>
      <c r="Q118" s="569"/>
      <c r="R118" s="569"/>
      <c r="S118" s="569"/>
      <c r="T118" s="569"/>
      <c r="U118" s="569"/>
      <c r="V118" s="570"/>
      <c r="W118" s="37" t="s">
        <v>76</v>
      </c>
      <c r="X118" s="553">
        <f>IFERROR(X114/H114,"0")+IFERROR(X115/H115,"0")+IFERROR(X116/H116,"0")+IFERROR(X117/H117,"0")</f>
        <v>22.222222222222221</v>
      </c>
      <c r="Y118" s="553">
        <f>IFERROR(Y114/H114,"0")+IFERROR(Y115/H115,"0")+IFERROR(Y116/H116,"0")+IFERROR(Y117/H117,"0")</f>
        <v>23</v>
      </c>
      <c r="Z118" s="553">
        <f>IFERROR(IF(Z114="",0,Z114),"0")+IFERROR(IF(Z115="",0,Z115),"0")+IFERROR(IF(Z116="",0,Z116),"0")+IFERROR(IF(Z117="",0,Z117),"0")</f>
        <v>0.43653999999999998</v>
      </c>
      <c r="AA118" s="554"/>
      <c r="AB118" s="554"/>
      <c r="AC118" s="554"/>
    </row>
    <row r="119" spans="1:68" x14ac:dyDescent="0.2">
      <c r="A119" s="564"/>
      <c r="B119" s="564"/>
      <c r="C119" s="564"/>
      <c r="D119" s="564"/>
      <c r="E119" s="564"/>
      <c r="F119" s="564"/>
      <c r="G119" s="564"/>
      <c r="H119" s="564"/>
      <c r="I119" s="564"/>
      <c r="J119" s="564"/>
      <c r="K119" s="564"/>
      <c r="L119" s="564"/>
      <c r="M119" s="564"/>
      <c r="N119" s="564"/>
      <c r="O119" s="565"/>
      <c r="P119" s="568" t="s">
        <v>75</v>
      </c>
      <c r="Q119" s="569"/>
      <c r="R119" s="569"/>
      <c r="S119" s="569"/>
      <c r="T119" s="569"/>
      <c r="U119" s="569"/>
      <c r="V119" s="570"/>
      <c r="W119" s="37" t="s">
        <v>69</v>
      </c>
      <c r="X119" s="553">
        <f>IFERROR(SUM(X114:X117),"0")</f>
        <v>180</v>
      </c>
      <c r="Y119" s="553">
        <f>IFERROR(SUM(Y114:Y117),"0")</f>
        <v>186.29999999999998</v>
      </c>
      <c r="Z119" s="37"/>
      <c r="AA119" s="554"/>
      <c r="AB119" s="554"/>
      <c r="AC119" s="554"/>
    </row>
    <row r="120" spans="1:68" ht="14.25" hidden="1" customHeight="1" x14ac:dyDescent="0.25">
      <c r="A120" s="567" t="s">
        <v>161</v>
      </c>
      <c r="B120" s="564"/>
      <c r="C120" s="564"/>
      <c r="D120" s="564"/>
      <c r="E120" s="564"/>
      <c r="F120" s="564"/>
      <c r="G120" s="564"/>
      <c r="H120" s="564"/>
      <c r="I120" s="564"/>
      <c r="J120" s="564"/>
      <c r="K120" s="564"/>
      <c r="L120" s="564"/>
      <c r="M120" s="564"/>
      <c r="N120" s="564"/>
      <c r="O120" s="564"/>
      <c r="P120" s="564"/>
      <c r="Q120" s="564"/>
      <c r="R120" s="564"/>
      <c r="S120" s="564"/>
      <c r="T120" s="564"/>
      <c r="U120" s="564"/>
      <c r="V120" s="564"/>
      <c r="W120" s="564"/>
      <c r="X120" s="564"/>
      <c r="Y120" s="564"/>
      <c r="Z120" s="564"/>
      <c r="AA120" s="547"/>
      <c r="AB120" s="547"/>
      <c r="AC120" s="547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8">
        <v>4680115880238</v>
      </c>
      <c r="E121" s="559"/>
      <c r="F121" s="550">
        <v>0.33</v>
      </c>
      <c r="G121" s="32">
        <v>6</v>
      </c>
      <c r="H121" s="550">
        <v>1.98</v>
      </c>
      <c r="I121" s="550">
        <v>2.238</v>
      </c>
      <c r="J121" s="32">
        <v>182</v>
      </c>
      <c r="K121" s="32" t="s">
        <v>67</v>
      </c>
      <c r="L121" s="32" t="s">
        <v>90</v>
      </c>
      <c r="M121" s="33" t="s">
        <v>80</v>
      </c>
      <c r="N121" s="33"/>
      <c r="O121" s="32">
        <v>40</v>
      </c>
      <c r="P121" s="81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6"/>
      <c r="R121" s="556"/>
      <c r="S121" s="556"/>
      <c r="T121" s="557"/>
      <c r="U121" s="34"/>
      <c r="V121" s="34"/>
      <c r="W121" s="35" t="s">
        <v>69</v>
      </c>
      <c r="X121" s="551">
        <v>0</v>
      </c>
      <c r="Y121" s="552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 t="s">
        <v>92</v>
      </c>
      <c r="AK121" s="68">
        <v>27.72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3"/>
      <c r="B122" s="564"/>
      <c r="C122" s="564"/>
      <c r="D122" s="564"/>
      <c r="E122" s="564"/>
      <c r="F122" s="564"/>
      <c r="G122" s="564"/>
      <c r="H122" s="564"/>
      <c r="I122" s="564"/>
      <c r="J122" s="564"/>
      <c r="K122" s="564"/>
      <c r="L122" s="564"/>
      <c r="M122" s="564"/>
      <c r="N122" s="564"/>
      <c r="O122" s="565"/>
      <c r="P122" s="568" t="s">
        <v>75</v>
      </c>
      <c r="Q122" s="569"/>
      <c r="R122" s="569"/>
      <c r="S122" s="569"/>
      <c r="T122" s="569"/>
      <c r="U122" s="569"/>
      <c r="V122" s="570"/>
      <c r="W122" s="37" t="s">
        <v>76</v>
      </c>
      <c r="X122" s="553">
        <f>IFERROR(X121/H121,"0")</f>
        <v>0</v>
      </c>
      <c r="Y122" s="553">
        <f>IFERROR(Y121/H121,"0")</f>
        <v>0</v>
      </c>
      <c r="Z122" s="553">
        <f>IFERROR(IF(Z121="",0,Z121),"0")</f>
        <v>0</v>
      </c>
      <c r="AA122" s="554"/>
      <c r="AB122" s="554"/>
      <c r="AC122" s="554"/>
    </row>
    <row r="123" spans="1:68" hidden="1" x14ac:dyDescent="0.2">
      <c r="A123" s="564"/>
      <c r="B123" s="564"/>
      <c r="C123" s="564"/>
      <c r="D123" s="564"/>
      <c r="E123" s="564"/>
      <c r="F123" s="564"/>
      <c r="G123" s="564"/>
      <c r="H123" s="564"/>
      <c r="I123" s="564"/>
      <c r="J123" s="564"/>
      <c r="K123" s="564"/>
      <c r="L123" s="564"/>
      <c r="M123" s="564"/>
      <c r="N123" s="564"/>
      <c r="O123" s="565"/>
      <c r="P123" s="568" t="s">
        <v>75</v>
      </c>
      <c r="Q123" s="569"/>
      <c r="R123" s="569"/>
      <c r="S123" s="569"/>
      <c r="T123" s="569"/>
      <c r="U123" s="569"/>
      <c r="V123" s="570"/>
      <c r="W123" s="37" t="s">
        <v>69</v>
      </c>
      <c r="X123" s="553">
        <f>IFERROR(SUM(X121:X121),"0")</f>
        <v>0</v>
      </c>
      <c r="Y123" s="553">
        <f>IFERROR(SUM(Y121:Y121),"0")</f>
        <v>0</v>
      </c>
      <c r="Z123" s="37"/>
      <c r="AA123" s="554"/>
      <c r="AB123" s="554"/>
      <c r="AC123" s="554"/>
    </row>
    <row r="124" spans="1:68" ht="16.5" hidden="1" customHeight="1" x14ac:dyDescent="0.25">
      <c r="A124" s="576" t="s">
        <v>227</v>
      </c>
      <c r="B124" s="564"/>
      <c r="C124" s="564"/>
      <c r="D124" s="564"/>
      <c r="E124" s="564"/>
      <c r="F124" s="564"/>
      <c r="G124" s="564"/>
      <c r="H124" s="564"/>
      <c r="I124" s="564"/>
      <c r="J124" s="564"/>
      <c r="K124" s="564"/>
      <c r="L124" s="564"/>
      <c r="M124" s="564"/>
      <c r="N124" s="564"/>
      <c r="O124" s="564"/>
      <c r="P124" s="564"/>
      <c r="Q124" s="564"/>
      <c r="R124" s="564"/>
      <c r="S124" s="564"/>
      <c r="T124" s="564"/>
      <c r="U124" s="564"/>
      <c r="V124" s="564"/>
      <c r="W124" s="564"/>
      <c r="X124" s="564"/>
      <c r="Y124" s="564"/>
      <c r="Z124" s="564"/>
      <c r="AA124" s="546"/>
      <c r="AB124" s="546"/>
      <c r="AC124" s="546"/>
    </row>
    <row r="125" spans="1:68" ht="14.25" hidden="1" customHeight="1" x14ac:dyDescent="0.25">
      <c r="A125" s="567" t="s">
        <v>101</v>
      </c>
      <c r="B125" s="564"/>
      <c r="C125" s="564"/>
      <c r="D125" s="564"/>
      <c r="E125" s="564"/>
      <c r="F125" s="564"/>
      <c r="G125" s="564"/>
      <c r="H125" s="564"/>
      <c r="I125" s="564"/>
      <c r="J125" s="564"/>
      <c r="K125" s="564"/>
      <c r="L125" s="564"/>
      <c r="M125" s="564"/>
      <c r="N125" s="564"/>
      <c r="O125" s="564"/>
      <c r="P125" s="564"/>
      <c r="Q125" s="564"/>
      <c r="R125" s="564"/>
      <c r="S125" s="564"/>
      <c r="T125" s="564"/>
      <c r="U125" s="564"/>
      <c r="V125" s="564"/>
      <c r="W125" s="564"/>
      <c r="X125" s="564"/>
      <c r="Y125" s="564"/>
      <c r="Z125" s="564"/>
      <c r="AA125" s="547"/>
      <c r="AB125" s="547"/>
      <c r="AC125" s="547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8">
        <v>4680115882577</v>
      </c>
      <c r="E126" s="559"/>
      <c r="F126" s="550">
        <v>0.4</v>
      </c>
      <c r="G126" s="32">
        <v>8</v>
      </c>
      <c r="H126" s="550">
        <v>3.2</v>
      </c>
      <c r="I126" s="550">
        <v>3.38</v>
      </c>
      <c r="J126" s="32">
        <v>182</v>
      </c>
      <c r="K126" s="32" t="s">
        <v>67</v>
      </c>
      <c r="L126" s="32" t="s">
        <v>90</v>
      </c>
      <c r="M126" s="33" t="s">
        <v>96</v>
      </c>
      <c r="N126" s="33"/>
      <c r="O126" s="32">
        <v>90</v>
      </c>
      <c r="P126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6"/>
      <c r="R126" s="556"/>
      <c r="S126" s="556"/>
      <c r="T126" s="557"/>
      <c r="U126" s="34"/>
      <c r="V126" s="34"/>
      <c r="W126" s="35" t="s">
        <v>69</v>
      </c>
      <c r="X126" s="551">
        <v>64</v>
      </c>
      <c r="Y126" s="552">
        <f>IFERROR(IF(X126="",0,CEILING((X126/$H126),1)*$H126),"")</f>
        <v>64</v>
      </c>
      <c r="Z126" s="36">
        <f>IFERROR(IF(Y126=0,"",ROUNDUP(Y126/H126,0)*0.00651),"")</f>
        <v>0.13020000000000001</v>
      </c>
      <c r="AA126" s="56"/>
      <c r="AB126" s="57"/>
      <c r="AC126" s="169" t="s">
        <v>230</v>
      </c>
      <c r="AG126" s="64"/>
      <c r="AJ126" s="68" t="s">
        <v>92</v>
      </c>
      <c r="AK126" s="68">
        <v>44.8</v>
      </c>
      <c r="BB126" s="170" t="s">
        <v>1</v>
      </c>
      <c r="BM126" s="64">
        <f>IFERROR(X126*I126/H126,"0")</f>
        <v>67.599999999999994</v>
      </c>
      <c r="BN126" s="64">
        <f>IFERROR(Y126*I126/H126,"0")</f>
        <v>67.599999999999994</v>
      </c>
      <c r="BO126" s="64">
        <f>IFERROR(1/J126*(X126/H126),"0")</f>
        <v>0.1098901098901099</v>
      </c>
      <c r="BP126" s="64">
        <f>IFERROR(1/J126*(Y126/H126),"0")</f>
        <v>0.1098901098901099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4301011562</v>
      </c>
      <c r="D127" s="558">
        <v>4680115882577</v>
      </c>
      <c r="E127" s="559"/>
      <c r="F127" s="550">
        <v>0.4</v>
      </c>
      <c r="G127" s="32">
        <v>8</v>
      </c>
      <c r="H127" s="550">
        <v>3.2</v>
      </c>
      <c r="I127" s="550">
        <v>3.38</v>
      </c>
      <c r="J127" s="32">
        <v>182</v>
      </c>
      <c r="K127" s="32" t="s">
        <v>67</v>
      </c>
      <c r="L127" s="32" t="s">
        <v>90</v>
      </c>
      <c r="M127" s="33" t="s">
        <v>96</v>
      </c>
      <c r="N127" s="33"/>
      <c r="O127" s="32">
        <v>90</v>
      </c>
      <c r="P12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6"/>
      <c r="R127" s="556"/>
      <c r="S127" s="556"/>
      <c r="T127" s="557"/>
      <c r="U127" s="34"/>
      <c r="V127" s="34"/>
      <c r="W127" s="35" t="s">
        <v>69</v>
      </c>
      <c r="X127" s="551">
        <v>0</v>
      </c>
      <c r="Y127" s="552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3"/>
      <c r="B128" s="564"/>
      <c r="C128" s="564"/>
      <c r="D128" s="564"/>
      <c r="E128" s="564"/>
      <c r="F128" s="564"/>
      <c r="G128" s="564"/>
      <c r="H128" s="564"/>
      <c r="I128" s="564"/>
      <c r="J128" s="564"/>
      <c r="K128" s="564"/>
      <c r="L128" s="564"/>
      <c r="M128" s="564"/>
      <c r="N128" s="564"/>
      <c r="O128" s="565"/>
      <c r="P128" s="568" t="s">
        <v>75</v>
      </c>
      <c r="Q128" s="569"/>
      <c r="R128" s="569"/>
      <c r="S128" s="569"/>
      <c r="T128" s="569"/>
      <c r="U128" s="569"/>
      <c r="V128" s="570"/>
      <c r="W128" s="37" t="s">
        <v>76</v>
      </c>
      <c r="X128" s="553">
        <f>IFERROR(X126/H126,"0")+IFERROR(X127/H127,"0")</f>
        <v>20</v>
      </c>
      <c r="Y128" s="553">
        <f>IFERROR(Y126/H126,"0")+IFERROR(Y127/H127,"0")</f>
        <v>20</v>
      </c>
      <c r="Z128" s="553">
        <f>IFERROR(IF(Z126="",0,Z126),"0")+IFERROR(IF(Z127="",0,Z127),"0")</f>
        <v>0.13020000000000001</v>
      </c>
      <c r="AA128" s="554"/>
      <c r="AB128" s="554"/>
      <c r="AC128" s="554"/>
    </row>
    <row r="129" spans="1:68" x14ac:dyDescent="0.2">
      <c r="A129" s="564"/>
      <c r="B129" s="564"/>
      <c r="C129" s="564"/>
      <c r="D129" s="564"/>
      <c r="E129" s="564"/>
      <c r="F129" s="564"/>
      <c r="G129" s="564"/>
      <c r="H129" s="564"/>
      <c r="I129" s="564"/>
      <c r="J129" s="564"/>
      <c r="K129" s="564"/>
      <c r="L129" s="564"/>
      <c r="M129" s="564"/>
      <c r="N129" s="564"/>
      <c r="O129" s="565"/>
      <c r="P129" s="568" t="s">
        <v>75</v>
      </c>
      <c r="Q129" s="569"/>
      <c r="R129" s="569"/>
      <c r="S129" s="569"/>
      <c r="T129" s="569"/>
      <c r="U129" s="569"/>
      <c r="V129" s="570"/>
      <c r="W129" s="37" t="s">
        <v>69</v>
      </c>
      <c r="X129" s="553">
        <f>IFERROR(SUM(X126:X127),"0")</f>
        <v>64</v>
      </c>
      <c r="Y129" s="553">
        <f>IFERROR(SUM(Y126:Y127),"0")</f>
        <v>64</v>
      </c>
      <c r="Z129" s="37"/>
      <c r="AA129" s="554"/>
      <c r="AB129" s="554"/>
      <c r="AC129" s="554"/>
    </row>
    <row r="130" spans="1:68" ht="14.25" hidden="1" customHeight="1" x14ac:dyDescent="0.25">
      <c r="A130" s="567" t="s">
        <v>64</v>
      </c>
      <c r="B130" s="564"/>
      <c r="C130" s="564"/>
      <c r="D130" s="564"/>
      <c r="E130" s="564"/>
      <c r="F130" s="564"/>
      <c r="G130" s="564"/>
      <c r="H130" s="564"/>
      <c r="I130" s="564"/>
      <c r="J130" s="564"/>
      <c r="K130" s="564"/>
      <c r="L130" s="564"/>
      <c r="M130" s="564"/>
      <c r="N130" s="564"/>
      <c r="O130" s="564"/>
      <c r="P130" s="564"/>
      <c r="Q130" s="564"/>
      <c r="R130" s="564"/>
      <c r="S130" s="564"/>
      <c r="T130" s="564"/>
      <c r="U130" s="564"/>
      <c r="V130" s="564"/>
      <c r="W130" s="564"/>
      <c r="X130" s="564"/>
      <c r="Y130" s="564"/>
      <c r="Z130" s="564"/>
      <c r="AA130" s="547"/>
      <c r="AB130" s="547"/>
      <c r="AC130" s="547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8">
        <v>4680115883444</v>
      </c>
      <c r="E131" s="559"/>
      <c r="F131" s="550">
        <v>0.35</v>
      </c>
      <c r="G131" s="32">
        <v>8</v>
      </c>
      <c r="H131" s="550">
        <v>2.8</v>
      </c>
      <c r="I131" s="550">
        <v>3.0680000000000001</v>
      </c>
      <c r="J131" s="32">
        <v>182</v>
      </c>
      <c r="K131" s="32" t="s">
        <v>67</v>
      </c>
      <c r="L131" s="32" t="s">
        <v>90</v>
      </c>
      <c r="M131" s="33" t="s">
        <v>96</v>
      </c>
      <c r="N131" s="33"/>
      <c r="O131" s="32">
        <v>90</v>
      </c>
      <c r="P131" s="66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6"/>
      <c r="R131" s="556"/>
      <c r="S131" s="556"/>
      <c r="T131" s="557"/>
      <c r="U131" s="34"/>
      <c r="V131" s="34"/>
      <c r="W131" s="35" t="s">
        <v>69</v>
      </c>
      <c r="X131" s="551">
        <v>56</v>
      </c>
      <c r="Y131" s="552">
        <f>IFERROR(IF(X131="",0,CEILING((X131/$H131),1)*$H131),"")</f>
        <v>56</v>
      </c>
      <c r="Z131" s="36">
        <f>IFERROR(IF(Y131=0,"",ROUNDUP(Y131/H131,0)*0.00651),"")</f>
        <v>0.13020000000000001</v>
      </c>
      <c r="AA131" s="56"/>
      <c r="AB131" s="57"/>
      <c r="AC131" s="173" t="s">
        <v>234</v>
      </c>
      <c r="AG131" s="64"/>
      <c r="AJ131" s="68" t="s">
        <v>92</v>
      </c>
      <c r="AK131" s="68">
        <v>39.200000000000003</v>
      </c>
      <c r="BB131" s="174" t="s">
        <v>1</v>
      </c>
      <c r="BM131" s="64">
        <f>IFERROR(X131*I131/H131,"0")</f>
        <v>61.36</v>
      </c>
      <c r="BN131" s="64">
        <f>IFERROR(Y131*I131/H131,"0")</f>
        <v>61.36</v>
      </c>
      <c r="BO131" s="64">
        <f>IFERROR(1/J131*(X131/H131),"0")</f>
        <v>0.1098901098901099</v>
      </c>
      <c r="BP131" s="64">
        <f>IFERROR(1/J131*(Y131/H131),"0")</f>
        <v>0.1098901098901099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58">
        <v>4680115883444</v>
      </c>
      <c r="E132" s="559"/>
      <c r="F132" s="550">
        <v>0.35</v>
      </c>
      <c r="G132" s="32">
        <v>8</v>
      </c>
      <c r="H132" s="550">
        <v>2.8</v>
      </c>
      <c r="I132" s="550">
        <v>3.0680000000000001</v>
      </c>
      <c r="J132" s="32">
        <v>182</v>
      </c>
      <c r="K132" s="32" t="s">
        <v>67</v>
      </c>
      <c r="L132" s="32" t="s">
        <v>90</v>
      </c>
      <c r="M132" s="33" t="s">
        <v>96</v>
      </c>
      <c r="N132" s="33"/>
      <c r="O132" s="32">
        <v>90</v>
      </c>
      <c r="P132" s="71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6"/>
      <c r="R132" s="556"/>
      <c r="S132" s="556"/>
      <c r="T132" s="557"/>
      <c r="U132" s="34"/>
      <c r="V132" s="34"/>
      <c r="W132" s="35" t="s">
        <v>69</v>
      </c>
      <c r="X132" s="551">
        <v>0</v>
      </c>
      <c r="Y132" s="552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63"/>
      <c r="B133" s="564"/>
      <c r="C133" s="564"/>
      <c r="D133" s="564"/>
      <c r="E133" s="564"/>
      <c r="F133" s="564"/>
      <c r="G133" s="564"/>
      <c r="H133" s="564"/>
      <c r="I133" s="564"/>
      <c r="J133" s="564"/>
      <c r="K133" s="564"/>
      <c r="L133" s="564"/>
      <c r="M133" s="564"/>
      <c r="N133" s="564"/>
      <c r="O133" s="565"/>
      <c r="P133" s="568" t="s">
        <v>75</v>
      </c>
      <c r="Q133" s="569"/>
      <c r="R133" s="569"/>
      <c r="S133" s="569"/>
      <c r="T133" s="569"/>
      <c r="U133" s="569"/>
      <c r="V133" s="570"/>
      <c r="W133" s="37" t="s">
        <v>76</v>
      </c>
      <c r="X133" s="553">
        <f>IFERROR(X131/H131,"0")+IFERROR(X132/H132,"0")</f>
        <v>20</v>
      </c>
      <c r="Y133" s="553">
        <f>IFERROR(Y131/H131,"0")+IFERROR(Y132/H132,"0")</f>
        <v>20</v>
      </c>
      <c r="Z133" s="553">
        <f>IFERROR(IF(Z131="",0,Z131),"0")+IFERROR(IF(Z132="",0,Z132),"0")</f>
        <v>0.13020000000000001</v>
      </c>
      <c r="AA133" s="554"/>
      <c r="AB133" s="554"/>
      <c r="AC133" s="554"/>
    </row>
    <row r="134" spans="1:68" x14ac:dyDescent="0.2">
      <c r="A134" s="564"/>
      <c r="B134" s="564"/>
      <c r="C134" s="564"/>
      <c r="D134" s="564"/>
      <c r="E134" s="564"/>
      <c r="F134" s="564"/>
      <c r="G134" s="564"/>
      <c r="H134" s="564"/>
      <c r="I134" s="564"/>
      <c r="J134" s="564"/>
      <c r="K134" s="564"/>
      <c r="L134" s="564"/>
      <c r="M134" s="564"/>
      <c r="N134" s="564"/>
      <c r="O134" s="565"/>
      <c r="P134" s="568" t="s">
        <v>75</v>
      </c>
      <c r="Q134" s="569"/>
      <c r="R134" s="569"/>
      <c r="S134" s="569"/>
      <c r="T134" s="569"/>
      <c r="U134" s="569"/>
      <c r="V134" s="570"/>
      <c r="W134" s="37" t="s">
        <v>69</v>
      </c>
      <c r="X134" s="553">
        <f>IFERROR(SUM(X131:X132),"0")</f>
        <v>56</v>
      </c>
      <c r="Y134" s="553">
        <f>IFERROR(SUM(Y131:Y132),"0")</f>
        <v>56</v>
      </c>
      <c r="Z134" s="37"/>
      <c r="AA134" s="554"/>
      <c r="AB134" s="554"/>
      <c r="AC134" s="554"/>
    </row>
    <row r="135" spans="1:68" ht="14.25" hidden="1" customHeight="1" x14ac:dyDescent="0.25">
      <c r="A135" s="567" t="s">
        <v>77</v>
      </c>
      <c r="B135" s="564"/>
      <c r="C135" s="564"/>
      <c r="D135" s="564"/>
      <c r="E135" s="564"/>
      <c r="F135" s="564"/>
      <c r="G135" s="564"/>
      <c r="H135" s="564"/>
      <c r="I135" s="564"/>
      <c r="J135" s="564"/>
      <c r="K135" s="564"/>
      <c r="L135" s="564"/>
      <c r="M135" s="564"/>
      <c r="N135" s="564"/>
      <c r="O135" s="564"/>
      <c r="P135" s="564"/>
      <c r="Q135" s="564"/>
      <c r="R135" s="564"/>
      <c r="S135" s="564"/>
      <c r="T135" s="564"/>
      <c r="U135" s="564"/>
      <c r="V135" s="564"/>
      <c r="W135" s="564"/>
      <c r="X135" s="564"/>
      <c r="Y135" s="564"/>
      <c r="Z135" s="564"/>
      <c r="AA135" s="547"/>
      <c r="AB135" s="547"/>
      <c r="AC135" s="547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8">
        <v>4680115882584</v>
      </c>
      <c r="E136" s="559"/>
      <c r="F136" s="550">
        <v>0.33</v>
      </c>
      <c r="G136" s="32">
        <v>8</v>
      </c>
      <c r="H136" s="550">
        <v>2.64</v>
      </c>
      <c r="I136" s="550">
        <v>2.9079999999999999</v>
      </c>
      <c r="J136" s="32">
        <v>182</v>
      </c>
      <c r="K136" s="32" t="s">
        <v>67</v>
      </c>
      <c r="L136" s="32"/>
      <c r="M136" s="33" t="s">
        <v>96</v>
      </c>
      <c r="N136" s="33"/>
      <c r="O136" s="32">
        <v>60</v>
      </c>
      <c r="P136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6"/>
      <c r="R136" s="556"/>
      <c r="S136" s="556"/>
      <c r="T136" s="557"/>
      <c r="U136" s="34"/>
      <c r="V136" s="34"/>
      <c r="W136" s="35" t="s">
        <v>69</v>
      </c>
      <c r="X136" s="551">
        <v>7</v>
      </c>
      <c r="Y136" s="552">
        <f>IFERROR(IF(X136="",0,CEILING((X136/$H136),1)*$H136),"")</f>
        <v>7.92</v>
      </c>
      <c r="Z136" s="36">
        <f>IFERROR(IF(Y136=0,"",ROUNDUP(Y136/H136,0)*0.00651),"")</f>
        <v>1.9529999999999999E-2</v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7.7106060606060591</v>
      </c>
      <c r="BN136" s="64">
        <f>IFERROR(Y136*I136/H136,"0")</f>
        <v>8.7240000000000002</v>
      </c>
      <c r="BO136" s="64">
        <f>IFERROR(1/J136*(X136/H136),"0")</f>
        <v>1.456876456876457E-2</v>
      </c>
      <c r="BP136" s="64">
        <f>IFERROR(1/J136*(Y136/H136),"0")</f>
        <v>1.6483516483516484E-2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8">
        <v>4680115882584</v>
      </c>
      <c r="E137" s="559"/>
      <c r="F137" s="550">
        <v>0.33</v>
      </c>
      <c r="G137" s="32">
        <v>8</v>
      </c>
      <c r="H137" s="550">
        <v>2.64</v>
      </c>
      <c r="I137" s="550">
        <v>2.9079999999999999</v>
      </c>
      <c r="J137" s="32">
        <v>182</v>
      </c>
      <c r="K137" s="32" t="s">
        <v>67</v>
      </c>
      <c r="L137" s="32" t="s">
        <v>90</v>
      </c>
      <c r="M137" s="33" t="s">
        <v>96</v>
      </c>
      <c r="N137" s="33"/>
      <c r="O137" s="32">
        <v>60</v>
      </c>
      <c r="P137" s="70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6"/>
      <c r="R137" s="556"/>
      <c r="S137" s="556"/>
      <c r="T137" s="557"/>
      <c r="U137" s="34"/>
      <c r="V137" s="34"/>
      <c r="W137" s="35" t="s">
        <v>69</v>
      </c>
      <c r="X137" s="551">
        <v>0</v>
      </c>
      <c r="Y137" s="552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 t="s">
        <v>92</v>
      </c>
      <c r="AK137" s="68">
        <v>36.96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63"/>
      <c r="B138" s="564"/>
      <c r="C138" s="564"/>
      <c r="D138" s="564"/>
      <c r="E138" s="564"/>
      <c r="F138" s="564"/>
      <c r="G138" s="564"/>
      <c r="H138" s="564"/>
      <c r="I138" s="564"/>
      <c r="J138" s="564"/>
      <c r="K138" s="564"/>
      <c r="L138" s="564"/>
      <c r="M138" s="564"/>
      <c r="N138" s="564"/>
      <c r="O138" s="565"/>
      <c r="P138" s="568" t="s">
        <v>75</v>
      </c>
      <c r="Q138" s="569"/>
      <c r="R138" s="569"/>
      <c r="S138" s="569"/>
      <c r="T138" s="569"/>
      <c r="U138" s="569"/>
      <c r="V138" s="570"/>
      <c r="W138" s="37" t="s">
        <v>76</v>
      </c>
      <c r="X138" s="553">
        <f>IFERROR(X136/H136,"0")+IFERROR(X137/H137,"0")</f>
        <v>2.6515151515151514</v>
      </c>
      <c r="Y138" s="553">
        <f>IFERROR(Y136/H136,"0")+IFERROR(Y137/H137,"0")</f>
        <v>3</v>
      </c>
      <c r="Z138" s="553">
        <f>IFERROR(IF(Z136="",0,Z136),"0")+IFERROR(IF(Z137="",0,Z137),"0")</f>
        <v>1.9529999999999999E-2</v>
      </c>
      <c r="AA138" s="554"/>
      <c r="AB138" s="554"/>
      <c r="AC138" s="554"/>
    </row>
    <row r="139" spans="1:68" x14ac:dyDescent="0.2">
      <c r="A139" s="564"/>
      <c r="B139" s="564"/>
      <c r="C139" s="564"/>
      <c r="D139" s="564"/>
      <c r="E139" s="564"/>
      <c r="F139" s="564"/>
      <c r="G139" s="564"/>
      <c r="H139" s="564"/>
      <c r="I139" s="564"/>
      <c r="J139" s="564"/>
      <c r="K139" s="564"/>
      <c r="L139" s="564"/>
      <c r="M139" s="564"/>
      <c r="N139" s="564"/>
      <c r="O139" s="565"/>
      <c r="P139" s="568" t="s">
        <v>75</v>
      </c>
      <c r="Q139" s="569"/>
      <c r="R139" s="569"/>
      <c r="S139" s="569"/>
      <c r="T139" s="569"/>
      <c r="U139" s="569"/>
      <c r="V139" s="570"/>
      <c r="W139" s="37" t="s">
        <v>69</v>
      </c>
      <c r="X139" s="553">
        <f>IFERROR(SUM(X136:X137),"0")</f>
        <v>7</v>
      </c>
      <c r="Y139" s="553">
        <f>IFERROR(SUM(Y136:Y137),"0")</f>
        <v>7.92</v>
      </c>
      <c r="Z139" s="37"/>
      <c r="AA139" s="554"/>
      <c r="AB139" s="554"/>
      <c r="AC139" s="554"/>
    </row>
    <row r="140" spans="1:68" ht="16.5" hidden="1" customHeight="1" x14ac:dyDescent="0.25">
      <c r="A140" s="576" t="s">
        <v>99</v>
      </c>
      <c r="B140" s="564"/>
      <c r="C140" s="564"/>
      <c r="D140" s="564"/>
      <c r="E140" s="564"/>
      <c r="F140" s="564"/>
      <c r="G140" s="564"/>
      <c r="H140" s="564"/>
      <c r="I140" s="564"/>
      <c r="J140" s="564"/>
      <c r="K140" s="564"/>
      <c r="L140" s="564"/>
      <c r="M140" s="564"/>
      <c r="N140" s="564"/>
      <c r="O140" s="564"/>
      <c r="P140" s="564"/>
      <c r="Q140" s="564"/>
      <c r="R140" s="564"/>
      <c r="S140" s="564"/>
      <c r="T140" s="564"/>
      <c r="U140" s="564"/>
      <c r="V140" s="564"/>
      <c r="W140" s="564"/>
      <c r="X140" s="564"/>
      <c r="Y140" s="564"/>
      <c r="Z140" s="564"/>
      <c r="AA140" s="546"/>
      <c r="AB140" s="546"/>
      <c r="AC140" s="546"/>
    </row>
    <row r="141" spans="1:68" ht="14.25" hidden="1" customHeight="1" x14ac:dyDescent="0.25">
      <c r="A141" s="567" t="s">
        <v>101</v>
      </c>
      <c r="B141" s="564"/>
      <c r="C141" s="564"/>
      <c r="D141" s="564"/>
      <c r="E141" s="564"/>
      <c r="F141" s="564"/>
      <c r="G141" s="564"/>
      <c r="H141" s="564"/>
      <c r="I141" s="564"/>
      <c r="J141" s="564"/>
      <c r="K141" s="564"/>
      <c r="L141" s="564"/>
      <c r="M141" s="564"/>
      <c r="N141" s="564"/>
      <c r="O141" s="564"/>
      <c r="P141" s="564"/>
      <c r="Q141" s="564"/>
      <c r="R141" s="564"/>
      <c r="S141" s="564"/>
      <c r="T141" s="564"/>
      <c r="U141" s="564"/>
      <c r="V141" s="564"/>
      <c r="W141" s="564"/>
      <c r="X141" s="564"/>
      <c r="Y141" s="564"/>
      <c r="Z141" s="564"/>
      <c r="AA141" s="547"/>
      <c r="AB141" s="547"/>
      <c r="AC141" s="547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8">
        <v>4680115887374</v>
      </c>
      <c r="E142" s="559"/>
      <c r="F142" s="550">
        <v>1.6</v>
      </c>
      <c r="G142" s="32">
        <v>8</v>
      </c>
      <c r="H142" s="550">
        <v>12.8</v>
      </c>
      <c r="I142" s="550">
        <v>13.21</v>
      </c>
      <c r="J142" s="32">
        <v>64</v>
      </c>
      <c r="K142" s="32" t="s">
        <v>104</v>
      </c>
      <c r="L142" s="32"/>
      <c r="M142" s="33" t="s">
        <v>106</v>
      </c>
      <c r="N142" s="33"/>
      <c r="O142" s="32">
        <v>55</v>
      </c>
      <c r="P142" s="69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6"/>
      <c r="R142" s="556"/>
      <c r="S142" s="556"/>
      <c r="T142" s="557"/>
      <c r="U142" s="34"/>
      <c r="V142" s="34"/>
      <c r="W142" s="35" t="s">
        <v>69</v>
      </c>
      <c r="X142" s="551">
        <v>0</v>
      </c>
      <c r="Y142" s="552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8">
        <v>4607091384604</v>
      </c>
      <c r="E143" s="559"/>
      <c r="F143" s="550">
        <v>0.4</v>
      </c>
      <c r="G143" s="32">
        <v>10</v>
      </c>
      <c r="H143" s="550">
        <v>4</v>
      </c>
      <c r="I143" s="550">
        <v>4.1900000000000004</v>
      </c>
      <c r="J143" s="32">
        <v>132</v>
      </c>
      <c r="K143" s="32" t="s">
        <v>110</v>
      </c>
      <c r="L143" s="32" t="s">
        <v>111</v>
      </c>
      <c r="M143" s="33" t="s">
        <v>106</v>
      </c>
      <c r="N143" s="33"/>
      <c r="O143" s="32">
        <v>50</v>
      </c>
      <c r="P143" s="75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6"/>
      <c r="R143" s="556"/>
      <c r="S143" s="556"/>
      <c r="T143" s="557"/>
      <c r="U143" s="34"/>
      <c r="V143" s="34"/>
      <c r="W143" s="35" t="s">
        <v>69</v>
      </c>
      <c r="X143" s="551">
        <v>0</v>
      </c>
      <c r="Y143" s="552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 t="s">
        <v>92</v>
      </c>
      <c r="AK143" s="68">
        <v>48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3"/>
      <c r="B144" s="564"/>
      <c r="C144" s="564"/>
      <c r="D144" s="564"/>
      <c r="E144" s="564"/>
      <c r="F144" s="564"/>
      <c r="G144" s="564"/>
      <c r="H144" s="564"/>
      <c r="I144" s="564"/>
      <c r="J144" s="564"/>
      <c r="K144" s="564"/>
      <c r="L144" s="564"/>
      <c r="M144" s="564"/>
      <c r="N144" s="564"/>
      <c r="O144" s="565"/>
      <c r="P144" s="568" t="s">
        <v>75</v>
      </c>
      <c r="Q144" s="569"/>
      <c r="R144" s="569"/>
      <c r="S144" s="569"/>
      <c r="T144" s="569"/>
      <c r="U144" s="569"/>
      <c r="V144" s="570"/>
      <c r="W144" s="37" t="s">
        <v>76</v>
      </c>
      <c r="X144" s="553">
        <f>IFERROR(X142/H142,"0")+IFERROR(X143/H143,"0")</f>
        <v>0</v>
      </c>
      <c r="Y144" s="553">
        <f>IFERROR(Y142/H142,"0")+IFERROR(Y143/H143,"0")</f>
        <v>0</v>
      </c>
      <c r="Z144" s="553">
        <f>IFERROR(IF(Z142="",0,Z142),"0")+IFERROR(IF(Z143="",0,Z143),"0")</f>
        <v>0</v>
      </c>
      <c r="AA144" s="554"/>
      <c r="AB144" s="554"/>
      <c r="AC144" s="554"/>
    </row>
    <row r="145" spans="1:68" hidden="1" x14ac:dyDescent="0.2">
      <c r="A145" s="564"/>
      <c r="B145" s="564"/>
      <c r="C145" s="564"/>
      <c r="D145" s="564"/>
      <c r="E145" s="564"/>
      <c r="F145" s="564"/>
      <c r="G145" s="564"/>
      <c r="H145" s="564"/>
      <c r="I145" s="564"/>
      <c r="J145" s="564"/>
      <c r="K145" s="564"/>
      <c r="L145" s="564"/>
      <c r="M145" s="564"/>
      <c r="N145" s="564"/>
      <c r="O145" s="565"/>
      <c r="P145" s="568" t="s">
        <v>75</v>
      </c>
      <c r="Q145" s="569"/>
      <c r="R145" s="569"/>
      <c r="S145" s="569"/>
      <c r="T145" s="569"/>
      <c r="U145" s="569"/>
      <c r="V145" s="570"/>
      <c r="W145" s="37" t="s">
        <v>69</v>
      </c>
      <c r="X145" s="553">
        <f>IFERROR(SUM(X142:X143),"0")</f>
        <v>0</v>
      </c>
      <c r="Y145" s="553">
        <f>IFERROR(SUM(Y142:Y143),"0")</f>
        <v>0</v>
      </c>
      <c r="Z145" s="37"/>
      <c r="AA145" s="554"/>
      <c r="AB145" s="554"/>
      <c r="AC145" s="554"/>
    </row>
    <row r="146" spans="1:68" ht="14.25" hidden="1" customHeight="1" x14ac:dyDescent="0.25">
      <c r="A146" s="567" t="s">
        <v>64</v>
      </c>
      <c r="B146" s="564"/>
      <c r="C146" s="564"/>
      <c r="D146" s="564"/>
      <c r="E146" s="564"/>
      <c r="F146" s="564"/>
      <c r="G146" s="564"/>
      <c r="H146" s="564"/>
      <c r="I146" s="564"/>
      <c r="J146" s="564"/>
      <c r="K146" s="564"/>
      <c r="L146" s="564"/>
      <c r="M146" s="564"/>
      <c r="N146" s="564"/>
      <c r="O146" s="564"/>
      <c r="P146" s="564"/>
      <c r="Q146" s="564"/>
      <c r="R146" s="564"/>
      <c r="S146" s="564"/>
      <c r="T146" s="564"/>
      <c r="U146" s="564"/>
      <c r="V146" s="564"/>
      <c r="W146" s="564"/>
      <c r="X146" s="564"/>
      <c r="Y146" s="564"/>
      <c r="Z146" s="564"/>
      <c r="AA146" s="547"/>
      <c r="AB146" s="547"/>
      <c r="AC146" s="547"/>
    </row>
    <row r="147" spans="1:68" ht="16.5" hidden="1" customHeight="1" x14ac:dyDescent="0.25">
      <c r="A147" s="54" t="s">
        <v>245</v>
      </c>
      <c r="B147" s="54" t="s">
        <v>246</v>
      </c>
      <c r="C147" s="31">
        <v>4301030895</v>
      </c>
      <c r="D147" s="558">
        <v>4607091387667</v>
      </c>
      <c r="E147" s="559"/>
      <c r="F147" s="550">
        <v>0.9</v>
      </c>
      <c r="G147" s="32">
        <v>10</v>
      </c>
      <c r="H147" s="550">
        <v>9</v>
      </c>
      <c r="I147" s="550">
        <v>9.56</v>
      </c>
      <c r="J147" s="32">
        <v>64</v>
      </c>
      <c r="K147" s="32" t="s">
        <v>104</v>
      </c>
      <c r="L147" s="32" t="s">
        <v>105</v>
      </c>
      <c r="M147" s="33" t="s">
        <v>106</v>
      </c>
      <c r="N147" s="33"/>
      <c r="O147" s="32">
        <v>40</v>
      </c>
      <c r="P147" s="60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6"/>
      <c r="R147" s="556"/>
      <c r="S147" s="556"/>
      <c r="T147" s="557"/>
      <c r="U147" s="34"/>
      <c r="V147" s="34"/>
      <c r="W147" s="35" t="s">
        <v>69</v>
      </c>
      <c r="X147" s="551">
        <v>0</v>
      </c>
      <c r="Y147" s="552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 t="s">
        <v>92</v>
      </c>
      <c r="AK147" s="68">
        <v>72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58">
        <v>4680115887428</v>
      </c>
      <c r="E148" s="559"/>
      <c r="F148" s="550">
        <v>0.7</v>
      </c>
      <c r="G148" s="32">
        <v>6</v>
      </c>
      <c r="H148" s="550">
        <v>4.2</v>
      </c>
      <c r="I148" s="550">
        <v>4.3899999999999997</v>
      </c>
      <c r="J148" s="32">
        <v>132</v>
      </c>
      <c r="K148" s="32" t="s">
        <v>110</v>
      </c>
      <c r="L148" s="32"/>
      <c r="M148" s="33" t="s">
        <v>68</v>
      </c>
      <c r="N148" s="33"/>
      <c r="O148" s="32">
        <v>40</v>
      </c>
      <c r="P148" s="641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6"/>
      <c r="R148" s="556"/>
      <c r="S148" s="556"/>
      <c r="T148" s="557"/>
      <c r="U148" s="34"/>
      <c r="V148" s="34"/>
      <c r="W148" s="35" t="s">
        <v>69</v>
      </c>
      <c r="X148" s="551">
        <v>0</v>
      </c>
      <c r="Y148" s="552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hidden="1" customHeight="1" x14ac:dyDescent="0.25">
      <c r="A149" s="54" t="s">
        <v>251</v>
      </c>
      <c r="B149" s="54" t="s">
        <v>252</v>
      </c>
      <c r="C149" s="31">
        <v>4301030961</v>
      </c>
      <c r="D149" s="558">
        <v>4607091387636</v>
      </c>
      <c r="E149" s="559"/>
      <c r="F149" s="550">
        <v>0.7</v>
      </c>
      <c r="G149" s="32">
        <v>6</v>
      </c>
      <c r="H149" s="550">
        <v>4.2</v>
      </c>
      <c r="I149" s="550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6"/>
      <c r="R149" s="556"/>
      <c r="S149" s="556"/>
      <c r="T149" s="557"/>
      <c r="U149" s="34"/>
      <c r="V149" s="34"/>
      <c r="W149" s="35" t="s">
        <v>69</v>
      </c>
      <c r="X149" s="551">
        <v>0</v>
      </c>
      <c r="Y149" s="552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4301031453</v>
      </c>
      <c r="D150" s="558">
        <v>4680115887336</v>
      </c>
      <c r="E150" s="559"/>
      <c r="F150" s="550">
        <v>0.7</v>
      </c>
      <c r="G150" s="32">
        <v>6</v>
      </c>
      <c r="H150" s="550">
        <v>4.2</v>
      </c>
      <c r="I150" s="550">
        <v>4.3899999999999997</v>
      </c>
      <c r="J150" s="32">
        <v>132</v>
      </c>
      <c r="K150" s="32" t="s">
        <v>110</v>
      </c>
      <c r="L150" s="32"/>
      <c r="M150" s="33" t="s">
        <v>68</v>
      </c>
      <c r="N150" s="33"/>
      <c r="O150" s="32">
        <v>40</v>
      </c>
      <c r="P150" s="595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6"/>
      <c r="R150" s="556"/>
      <c r="S150" s="556"/>
      <c r="T150" s="557"/>
      <c r="U150" s="34"/>
      <c r="V150" s="34"/>
      <c r="W150" s="35" t="s">
        <v>69</v>
      </c>
      <c r="X150" s="551">
        <v>0</v>
      </c>
      <c r="Y150" s="552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4301030963</v>
      </c>
      <c r="D151" s="558">
        <v>4607091382426</v>
      </c>
      <c r="E151" s="559"/>
      <c r="F151" s="550">
        <v>0.9</v>
      </c>
      <c r="G151" s="32">
        <v>10</v>
      </c>
      <c r="H151" s="550">
        <v>9</v>
      </c>
      <c r="I151" s="550">
        <v>9.56</v>
      </c>
      <c r="J151" s="32">
        <v>64</v>
      </c>
      <c r="K151" s="32" t="s">
        <v>104</v>
      </c>
      <c r="L151" s="32" t="s">
        <v>105</v>
      </c>
      <c r="M151" s="33" t="s">
        <v>68</v>
      </c>
      <c r="N151" s="33"/>
      <c r="O151" s="32">
        <v>40</v>
      </c>
      <c r="P151" s="88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6"/>
      <c r="R151" s="556"/>
      <c r="S151" s="556"/>
      <c r="T151" s="557"/>
      <c r="U151" s="34"/>
      <c r="V151" s="34"/>
      <c r="W151" s="35" t="s">
        <v>69</v>
      </c>
      <c r="X151" s="551">
        <v>0</v>
      </c>
      <c r="Y151" s="552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 t="s">
        <v>92</v>
      </c>
      <c r="AK151" s="68">
        <v>72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260</v>
      </c>
      <c r="B152" s="54" t="s">
        <v>261</v>
      </c>
      <c r="C152" s="31">
        <v>4301031456</v>
      </c>
      <c r="D152" s="558">
        <v>4680115887398</v>
      </c>
      <c r="E152" s="559"/>
      <c r="F152" s="550">
        <v>0.7</v>
      </c>
      <c r="G152" s="32">
        <v>6</v>
      </c>
      <c r="H152" s="550">
        <v>4.2</v>
      </c>
      <c r="I152" s="550">
        <v>4.3899999999999997</v>
      </c>
      <c r="J152" s="32">
        <v>132</v>
      </c>
      <c r="K152" s="32" t="s">
        <v>110</v>
      </c>
      <c r="L152" s="32"/>
      <c r="M152" s="33" t="s">
        <v>68</v>
      </c>
      <c r="N152" s="33"/>
      <c r="O152" s="32">
        <v>40</v>
      </c>
      <c r="P152" s="600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6"/>
      <c r="R152" s="556"/>
      <c r="S152" s="556"/>
      <c r="T152" s="557"/>
      <c r="U152" s="34"/>
      <c r="V152" s="34"/>
      <c r="W152" s="35" t="s">
        <v>69</v>
      </c>
      <c r="X152" s="551">
        <v>0</v>
      </c>
      <c r="Y152" s="552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idden="1" x14ac:dyDescent="0.2">
      <c r="A153" s="563"/>
      <c r="B153" s="564"/>
      <c r="C153" s="564"/>
      <c r="D153" s="564"/>
      <c r="E153" s="564"/>
      <c r="F153" s="564"/>
      <c r="G153" s="564"/>
      <c r="H153" s="564"/>
      <c r="I153" s="564"/>
      <c r="J153" s="564"/>
      <c r="K153" s="564"/>
      <c r="L153" s="564"/>
      <c r="M153" s="564"/>
      <c r="N153" s="564"/>
      <c r="O153" s="565"/>
      <c r="P153" s="568" t="s">
        <v>75</v>
      </c>
      <c r="Q153" s="569"/>
      <c r="R153" s="569"/>
      <c r="S153" s="569"/>
      <c r="T153" s="569"/>
      <c r="U153" s="569"/>
      <c r="V153" s="570"/>
      <c r="W153" s="37" t="s">
        <v>76</v>
      </c>
      <c r="X153" s="553">
        <f>IFERROR(X147/H147,"0")+IFERROR(X148/H148,"0")+IFERROR(X149/H149,"0")+IFERROR(X150/H150,"0")+IFERROR(X151/H151,"0")+IFERROR(X152/H152,"0")</f>
        <v>0</v>
      </c>
      <c r="Y153" s="553">
        <f>IFERROR(Y147/H147,"0")+IFERROR(Y148/H148,"0")+IFERROR(Y149/H149,"0")+IFERROR(Y150/H150,"0")+IFERROR(Y151/H151,"0")+IFERROR(Y152/H152,"0")</f>
        <v>0</v>
      </c>
      <c r="Z153" s="553">
        <f>IFERROR(IF(Z147="",0,Z147),"0")+IFERROR(IF(Z148="",0,Z148),"0")+IFERROR(IF(Z149="",0,Z149),"0")+IFERROR(IF(Z150="",0,Z150),"0")+IFERROR(IF(Z151="",0,Z151),"0")+IFERROR(IF(Z152="",0,Z152),"0")</f>
        <v>0</v>
      </c>
      <c r="AA153" s="554"/>
      <c r="AB153" s="554"/>
      <c r="AC153" s="554"/>
    </row>
    <row r="154" spans="1:68" hidden="1" x14ac:dyDescent="0.2">
      <c r="A154" s="564"/>
      <c r="B154" s="564"/>
      <c r="C154" s="564"/>
      <c r="D154" s="564"/>
      <c r="E154" s="564"/>
      <c r="F154" s="564"/>
      <c r="G154" s="564"/>
      <c r="H154" s="564"/>
      <c r="I154" s="564"/>
      <c r="J154" s="564"/>
      <c r="K154" s="564"/>
      <c r="L154" s="564"/>
      <c r="M154" s="564"/>
      <c r="N154" s="564"/>
      <c r="O154" s="565"/>
      <c r="P154" s="568" t="s">
        <v>75</v>
      </c>
      <c r="Q154" s="569"/>
      <c r="R154" s="569"/>
      <c r="S154" s="569"/>
      <c r="T154" s="569"/>
      <c r="U154" s="569"/>
      <c r="V154" s="570"/>
      <c r="W154" s="37" t="s">
        <v>69</v>
      </c>
      <c r="X154" s="553">
        <f>IFERROR(SUM(X147:X152),"0")</f>
        <v>0</v>
      </c>
      <c r="Y154" s="553">
        <f>IFERROR(SUM(Y147:Y152),"0")</f>
        <v>0</v>
      </c>
      <c r="Z154" s="37"/>
      <c r="AA154" s="554"/>
      <c r="AB154" s="554"/>
      <c r="AC154" s="554"/>
    </row>
    <row r="155" spans="1:68" ht="14.25" hidden="1" customHeight="1" x14ac:dyDescent="0.25">
      <c r="A155" s="567" t="s">
        <v>77</v>
      </c>
      <c r="B155" s="564"/>
      <c r="C155" s="564"/>
      <c r="D155" s="564"/>
      <c r="E155" s="564"/>
      <c r="F155" s="564"/>
      <c r="G155" s="564"/>
      <c r="H155" s="564"/>
      <c r="I155" s="564"/>
      <c r="J155" s="564"/>
      <c r="K155" s="564"/>
      <c r="L155" s="564"/>
      <c r="M155" s="564"/>
      <c r="N155" s="564"/>
      <c r="O155" s="564"/>
      <c r="P155" s="564"/>
      <c r="Q155" s="564"/>
      <c r="R155" s="564"/>
      <c r="S155" s="564"/>
      <c r="T155" s="564"/>
      <c r="U155" s="564"/>
      <c r="V155" s="564"/>
      <c r="W155" s="564"/>
      <c r="X155" s="564"/>
      <c r="Y155" s="564"/>
      <c r="Z155" s="564"/>
      <c r="AA155" s="547"/>
      <c r="AB155" s="547"/>
      <c r="AC155" s="547"/>
    </row>
    <row r="156" spans="1:68" ht="27" hidden="1" customHeight="1" x14ac:dyDescent="0.25">
      <c r="A156" s="54" t="s">
        <v>263</v>
      </c>
      <c r="B156" s="54" t="s">
        <v>264</v>
      </c>
      <c r="C156" s="31">
        <v>4301052064</v>
      </c>
      <c r="D156" s="558">
        <v>4680115887459</v>
      </c>
      <c r="E156" s="559"/>
      <c r="F156" s="550">
        <v>0.3</v>
      </c>
      <c r="G156" s="32">
        <v>6</v>
      </c>
      <c r="H156" s="550">
        <v>1.8</v>
      </c>
      <c r="I156" s="550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83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6"/>
      <c r="R156" s="556"/>
      <c r="S156" s="556"/>
      <c r="T156" s="557"/>
      <c r="U156" s="34"/>
      <c r="V156" s="34"/>
      <c r="W156" s="35" t="s">
        <v>69</v>
      </c>
      <c r="X156" s="551">
        <v>0</v>
      </c>
      <c r="Y156" s="552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563"/>
      <c r="B157" s="564"/>
      <c r="C157" s="564"/>
      <c r="D157" s="564"/>
      <c r="E157" s="564"/>
      <c r="F157" s="564"/>
      <c r="G157" s="564"/>
      <c r="H157" s="564"/>
      <c r="I157" s="564"/>
      <c r="J157" s="564"/>
      <c r="K157" s="564"/>
      <c r="L157" s="564"/>
      <c r="M157" s="564"/>
      <c r="N157" s="564"/>
      <c r="O157" s="565"/>
      <c r="P157" s="568" t="s">
        <v>75</v>
      </c>
      <c r="Q157" s="569"/>
      <c r="R157" s="569"/>
      <c r="S157" s="569"/>
      <c r="T157" s="569"/>
      <c r="U157" s="569"/>
      <c r="V157" s="570"/>
      <c r="W157" s="37" t="s">
        <v>76</v>
      </c>
      <c r="X157" s="553">
        <f>IFERROR(X156/H156,"0")</f>
        <v>0</v>
      </c>
      <c r="Y157" s="553">
        <f>IFERROR(Y156/H156,"0")</f>
        <v>0</v>
      </c>
      <c r="Z157" s="553">
        <f>IFERROR(IF(Z156="",0,Z156),"0")</f>
        <v>0</v>
      </c>
      <c r="AA157" s="554"/>
      <c r="AB157" s="554"/>
      <c r="AC157" s="554"/>
    </row>
    <row r="158" spans="1:68" hidden="1" x14ac:dyDescent="0.2">
      <c r="A158" s="564"/>
      <c r="B158" s="564"/>
      <c r="C158" s="564"/>
      <c r="D158" s="564"/>
      <c r="E158" s="564"/>
      <c r="F158" s="564"/>
      <c r="G158" s="564"/>
      <c r="H158" s="564"/>
      <c r="I158" s="564"/>
      <c r="J158" s="564"/>
      <c r="K158" s="564"/>
      <c r="L158" s="564"/>
      <c r="M158" s="564"/>
      <c r="N158" s="564"/>
      <c r="O158" s="565"/>
      <c r="P158" s="568" t="s">
        <v>75</v>
      </c>
      <c r="Q158" s="569"/>
      <c r="R158" s="569"/>
      <c r="S158" s="569"/>
      <c r="T158" s="569"/>
      <c r="U158" s="569"/>
      <c r="V158" s="570"/>
      <c r="W158" s="37" t="s">
        <v>69</v>
      </c>
      <c r="X158" s="553">
        <f>IFERROR(SUM(X156:X156),"0")</f>
        <v>0</v>
      </c>
      <c r="Y158" s="553">
        <f>IFERROR(SUM(Y156:Y156),"0")</f>
        <v>0</v>
      </c>
      <c r="Z158" s="37"/>
      <c r="AA158" s="554"/>
      <c r="AB158" s="554"/>
      <c r="AC158" s="554"/>
    </row>
    <row r="159" spans="1:68" ht="27.75" hidden="1" customHeight="1" x14ac:dyDescent="0.2">
      <c r="A159" s="613" t="s">
        <v>266</v>
      </c>
      <c r="B159" s="614"/>
      <c r="C159" s="614"/>
      <c r="D159" s="614"/>
      <c r="E159" s="614"/>
      <c r="F159" s="614"/>
      <c r="G159" s="614"/>
      <c r="H159" s="614"/>
      <c r="I159" s="614"/>
      <c r="J159" s="614"/>
      <c r="K159" s="614"/>
      <c r="L159" s="614"/>
      <c r="M159" s="614"/>
      <c r="N159" s="614"/>
      <c r="O159" s="614"/>
      <c r="P159" s="614"/>
      <c r="Q159" s="614"/>
      <c r="R159" s="614"/>
      <c r="S159" s="614"/>
      <c r="T159" s="614"/>
      <c r="U159" s="614"/>
      <c r="V159" s="614"/>
      <c r="W159" s="614"/>
      <c r="X159" s="614"/>
      <c r="Y159" s="614"/>
      <c r="Z159" s="614"/>
      <c r="AA159" s="48"/>
      <c r="AB159" s="48"/>
      <c r="AC159" s="48"/>
    </row>
    <row r="160" spans="1:68" ht="16.5" hidden="1" customHeight="1" x14ac:dyDescent="0.25">
      <c r="A160" s="576" t="s">
        <v>267</v>
      </c>
      <c r="B160" s="564"/>
      <c r="C160" s="564"/>
      <c r="D160" s="564"/>
      <c r="E160" s="564"/>
      <c r="F160" s="564"/>
      <c r="G160" s="564"/>
      <c r="H160" s="564"/>
      <c r="I160" s="564"/>
      <c r="J160" s="564"/>
      <c r="K160" s="564"/>
      <c r="L160" s="564"/>
      <c r="M160" s="564"/>
      <c r="N160" s="564"/>
      <c r="O160" s="564"/>
      <c r="P160" s="564"/>
      <c r="Q160" s="564"/>
      <c r="R160" s="564"/>
      <c r="S160" s="564"/>
      <c r="T160" s="564"/>
      <c r="U160" s="564"/>
      <c r="V160" s="564"/>
      <c r="W160" s="564"/>
      <c r="X160" s="564"/>
      <c r="Y160" s="564"/>
      <c r="Z160" s="564"/>
      <c r="AA160" s="546"/>
      <c r="AB160" s="546"/>
      <c r="AC160" s="546"/>
    </row>
    <row r="161" spans="1:68" ht="14.25" hidden="1" customHeight="1" x14ac:dyDescent="0.25">
      <c r="A161" s="567" t="s">
        <v>136</v>
      </c>
      <c r="B161" s="564"/>
      <c r="C161" s="564"/>
      <c r="D161" s="564"/>
      <c r="E161" s="564"/>
      <c r="F161" s="564"/>
      <c r="G161" s="564"/>
      <c r="H161" s="564"/>
      <c r="I161" s="564"/>
      <c r="J161" s="564"/>
      <c r="K161" s="564"/>
      <c r="L161" s="564"/>
      <c r="M161" s="564"/>
      <c r="N161" s="564"/>
      <c r="O161" s="564"/>
      <c r="P161" s="564"/>
      <c r="Q161" s="564"/>
      <c r="R161" s="564"/>
      <c r="S161" s="564"/>
      <c r="T161" s="564"/>
      <c r="U161" s="564"/>
      <c r="V161" s="564"/>
      <c r="W161" s="564"/>
      <c r="X161" s="564"/>
      <c r="Y161" s="564"/>
      <c r="Z161" s="564"/>
      <c r="AA161" s="547"/>
      <c r="AB161" s="547"/>
      <c r="AC161" s="547"/>
    </row>
    <row r="162" spans="1:68" ht="27" hidden="1" customHeight="1" x14ac:dyDescent="0.25">
      <c r="A162" s="54" t="s">
        <v>268</v>
      </c>
      <c r="B162" s="54" t="s">
        <v>269</v>
      </c>
      <c r="C162" s="31">
        <v>4301020323</v>
      </c>
      <c r="D162" s="558">
        <v>4680115886223</v>
      </c>
      <c r="E162" s="559"/>
      <c r="F162" s="550">
        <v>0.33</v>
      </c>
      <c r="G162" s="32">
        <v>6</v>
      </c>
      <c r="H162" s="550">
        <v>1.98</v>
      </c>
      <c r="I162" s="550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9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6"/>
      <c r="R162" s="556"/>
      <c r="S162" s="556"/>
      <c r="T162" s="557"/>
      <c r="U162" s="34"/>
      <c r="V162" s="34"/>
      <c r="W162" s="35" t="s">
        <v>69</v>
      </c>
      <c r="X162" s="551">
        <v>0</v>
      </c>
      <c r="Y162" s="552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563"/>
      <c r="B163" s="564"/>
      <c r="C163" s="564"/>
      <c r="D163" s="564"/>
      <c r="E163" s="564"/>
      <c r="F163" s="564"/>
      <c r="G163" s="564"/>
      <c r="H163" s="564"/>
      <c r="I163" s="564"/>
      <c r="J163" s="564"/>
      <c r="K163" s="564"/>
      <c r="L163" s="564"/>
      <c r="M163" s="564"/>
      <c r="N163" s="564"/>
      <c r="O163" s="565"/>
      <c r="P163" s="568" t="s">
        <v>75</v>
      </c>
      <c r="Q163" s="569"/>
      <c r="R163" s="569"/>
      <c r="S163" s="569"/>
      <c r="T163" s="569"/>
      <c r="U163" s="569"/>
      <c r="V163" s="570"/>
      <c r="W163" s="37" t="s">
        <v>76</v>
      </c>
      <c r="X163" s="553">
        <f>IFERROR(X162/H162,"0")</f>
        <v>0</v>
      </c>
      <c r="Y163" s="553">
        <f>IFERROR(Y162/H162,"0")</f>
        <v>0</v>
      </c>
      <c r="Z163" s="553">
        <f>IFERROR(IF(Z162="",0,Z162),"0")</f>
        <v>0</v>
      </c>
      <c r="AA163" s="554"/>
      <c r="AB163" s="554"/>
      <c r="AC163" s="554"/>
    </row>
    <row r="164" spans="1:68" hidden="1" x14ac:dyDescent="0.2">
      <c r="A164" s="564"/>
      <c r="B164" s="564"/>
      <c r="C164" s="564"/>
      <c r="D164" s="564"/>
      <c r="E164" s="564"/>
      <c r="F164" s="564"/>
      <c r="G164" s="564"/>
      <c r="H164" s="564"/>
      <c r="I164" s="564"/>
      <c r="J164" s="564"/>
      <c r="K164" s="564"/>
      <c r="L164" s="564"/>
      <c r="M164" s="564"/>
      <c r="N164" s="564"/>
      <c r="O164" s="565"/>
      <c r="P164" s="568" t="s">
        <v>75</v>
      </c>
      <c r="Q164" s="569"/>
      <c r="R164" s="569"/>
      <c r="S164" s="569"/>
      <c r="T164" s="569"/>
      <c r="U164" s="569"/>
      <c r="V164" s="570"/>
      <c r="W164" s="37" t="s">
        <v>69</v>
      </c>
      <c r="X164" s="553">
        <f>IFERROR(SUM(X162:X162),"0")</f>
        <v>0</v>
      </c>
      <c r="Y164" s="553">
        <f>IFERROR(SUM(Y162:Y162),"0")</f>
        <v>0</v>
      </c>
      <c r="Z164" s="37"/>
      <c r="AA164" s="554"/>
      <c r="AB164" s="554"/>
      <c r="AC164" s="554"/>
    </row>
    <row r="165" spans="1:68" ht="14.25" hidden="1" customHeight="1" x14ac:dyDescent="0.25">
      <c r="A165" s="567" t="s">
        <v>64</v>
      </c>
      <c r="B165" s="564"/>
      <c r="C165" s="564"/>
      <c r="D165" s="564"/>
      <c r="E165" s="564"/>
      <c r="F165" s="564"/>
      <c r="G165" s="564"/>
      <c r="H165" s="564"/>
      <c r="I165" s="564"/>
      <c r="J165" s="564"/>
      <c r="K165" s="564"/>
      <c r="L165" s="564"/>
      <c r="M165" s="564"/>
      <c r="N165" s="564"/>
      <c r="O165" s="564"/>
      <c r="P165" s="564"/>
      <c r="Q165" s="564"/>
      <c r="R165" s="564"/>
      <c r="S165" s="564"/>
      <c r="T165" s="564"/>
      <c r="U165" s="564"/>
      <c r="V165" s="564"/>
      <c r="W165" s="564"/>
      <c r="X165" s="564"/>
      <c r="Y165" s="564"/>
      <c r="Z165" s="564"/>
      <c r="AA165" s="547"/>
      <c r="AB165" s="547"/>
      <c r="AC165" s="547"/>
    </row>
    <row r="166" spans="1:68" ht="27" hidden="1" customHeight="1" x14ac:dyDescent="0.25">
      <c r="A166" s="54" t="s">
        <v>271</v>
      </c>
      <c r="B166" s="54" t="s">
        <v>272</v>
      </c>
      <c r="C166" s="31">
        <v>4301031191</v>
      </c>
      <c r="D166" s="558">
        <v>4680115880993</v>
      </c>
      <c r="E166" s="559"/>
      <c r="F166" s="550">
        <v>0.7</v>
      </c>
      <c r="G166" s="32">
        <v>6</v>
      </c>
      <c r="H166" s="550">
        <v>4.2</v>
      </c>
      <c r="I166" s="550">
        <v>4.45</v>
      </c>
      <c r="J166" s="32">
        <v>132</v>
      </c>
      <c r="K166" s="32" t="s">
        <v>110</v>
      </c>
      <c r="L166" s="32" t="s">
        <v>111</v>
      </c>
      <c r="M166" s="33" t="s">
        <v>68</v>
      </c>
      <c r="N166" s="33"/>
      <c r="O166" s="32">
        <v>40</v>
      </c>
      <c r="P166" s="65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6"/>
      <c r="R166" s="556"/>
      <c r="S166" s="556"/>
      <c r="T166" s="557"/>
      <c r="U166" s="34"/>
      <c r="V166" s="34"/>
      <c r="W166" s="35" t="s">
        <v>69</v>
      </c>
      <c r="X166" s="551">
        <v>0</v>
      </c>
      <c r="Y166" s="552">
        <f t="shared" ref="Y166:Y179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 t="s">
        <v>92</v>
      </c>
      <c r="AK166" s="68">
        <v>50.4</v>
      </c>
      <c r="BB166" s="202" t="s">
        <v>1</v>
      </c>
      <c r="BM166" s="64">
        <f t="shared" ref="BM166:BM179" si="11">IFERROR(X166*I166/H166,"0")</f>
        <v>0</v>
      </c>
      <c r="BN166" s="64">
        <f t="shared" ref="BN166:BN179" si="12">IFERROR(Y166*I166/H166,"0")</f>
        <v>0</v>
      </c>
      <c r="BO166" s="64">
        <f t="shared" ref="BO166:BO179" si="13">IFERROR(1/J166*(X166/H166),"0")</f>
        <v>0</v>
      </c>
      <c r="BP166" s="64">
        <f t="shared" ref="BP166:BP179" si="14">IFERROR(1/J166*(Y166/H166),"0")</f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4301031204</v>
      </c>
      <c r="D167" s="558">
        <v>4680115881761</v>
      </c>
      <c r="E167" s="559"/>
      <c r="F167" s="550">
        <v>0.7</v>
      </c>
      <c r="G167" s="32">
        <v>6</v>
      </c>
      <c r="H167" s="550">
        <v>4.2</v>
      </c>
      <c r="I167" s="550">
        <v>4.45</v>
      </c>
      <c r="J167" s="32">
        <v>132</v>
      </c>
      <c r="K167" s="32" t="s">
        <v>110</v>
      </c>
      <c r="L167" s="32"/>
      <c r="M167" s="33" t="s">
        <v>68</v>
      </c>
      <c r="N167" s="33"/>
      <c r="O167" s="32">
        <v>40</v>
      </c>
      <c r="P167" s="6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6"/>
      <c r="R167" s="556"/>
      <c r="S167" s="556"/>
      <c r="T167" s="557"/>
      <c r="U167" s="34"/>
      <c r="V167" s="34"/>
      <c r="W167" s="35" t="s">
        <v>69</v>
      </c>
      <c r="X167" s="551">
        <v>0</v>
      </c>
      <c r="Y167" s="552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8">
        <v>4680115881563</v>
      </c>
      <c r="E168" s="559"/>
      <c r="F168" s="550">
        <v>0.7</v>
      </c>
      <c r="G168" s="32">
        <v>6</v>
      </c>
      <c r="H168" s="550">
        <v>4.2</v>
      </c>
      <c r="I168" s="550">
        <v>4.3899999999999997</v>
      </c>
      <c r="J168" s="32">
        <v>132</v>
      </c>
      <c r="K168" s="32" t="s">
        <v>110</v>
      </c>
      <c r="L168" s="32" t="s">
        <v>111</v>
      </c>
      <c r="M168" s="33" t="s">
        <v>68</v>
      </c>
      <c r="N168" s="33"/>
      <c r="O168" s="32">
        <v>40</v>
      </c>
      <c r="P168" s="65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6"/>
      <c r="R168" s="556"/>
      <c r="S168" s="556"/>
      <c r="T168" s="557"/>
      <c r="U168" s="34"/>
      <c r="V168" s="34"/>
      <c r="W168" s="35" t="s">
        <v>69</v>
      </c>
      <c r="X168" s="551">
        <v>90</v>
      </c>
      <c r="Y168" s="552">
        <f t="shared" si="10"/>
        <v>92.4</v>
      </c>
      <c r="Z168" s="36">
        <f>IFERROR(IF(Y168=0,"",ROUNDUP(Y168/H168,0)*0.00902),"")</f>
        <v>0.19844000000000001</v>
      </c>
      <c r="AA168" s="56"/>
      <c r="AB168" s="57"/>
      <c r="AC168" s="205" t="s">
        <v>279</v>
      </c>
      <c r="AG168" s="64"/>
      <c r="AJ168" s="68" t="s">
        <v>92</v>
      </c>
      <c r="AK168" s="68">
        <v>50.4</v>
      </c>
      <c r="BB168" s="206" t="s">
        <v>1</v>
      </c>
      <c r="BM168" s="64">
        <f t="shared" si="11"/>
        <v>94.071428571428555</v>
      </c>
      <c r="BN168" s="64">
        <f t="shared" si="12"/>
        <v>96.579999999999984</v>
      </c>
      <c r="BO168" s="64">
        <f t="shared" si="13"/>
        <v>0.16233766233766234</v>
      </c>
      <c r="BP168" s="64">
        <f t="shared" si="14"/>
        <v>0.16666666666666669</v>
      </c>
    </row>
    <row r="169" spans="1:68" ht="37.5" hidden="1" customHeight="1" x14ac:dyDescent="0.25">
      <c r="A169" s="54" t="s">
        <v>280</v>
      </c>
      <c r="B169" s="54" t="s">
        <v>281</v>
      </c>
      <c r="C169" s="31">
        <v>4301031447</v>
      </c>
      <c r="D169" s="558">
        <v>4680115887565</v>
      </c>
      <c r="E169" s="559"/>
      <c r="F169" s="550">
        <v>0.08</v>
      </c>
      <c r="G169" s="32">
        <v>10</v>
      </c>
      <c r="H169" s="550">
        <v>0.8</v>
      </c>
      <c r="I169" s="550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70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6"/>
      <c r="R169" s="556"/>
      <c r="S169" s="556"/>
      <c r="T169" s="557"/>
      <c r="U169" s="34"/>
      <c r="V169" s="34"/>
      <c r="W169" s="35" t="s">
        <v>69</v>
      </c>
      <c r="X169" s="551">
        <v>0</v>
      </c>
      <c r="Y169" s="552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4301031199</v>
      </c>
      <c r="D170" s="558">
        <v>4680115880986</v>
      </c>
      <c r="E170" s="559"/>
      <c r="F170" s="550">
        <v>0.35</v>
      </c>
      <c r="G170" s="32">
        <v>6</v>
      </c>
      <c r="H170" s="550">
        <v>2.1</v>
      </c>
      <c r="I170" s="550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59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6"/>
      <c r="R170" s="556"/>
      <c r="S170" s="556"/>
      <c r="T170" s="557"/>
      <c r="U170" s="34"/>
      <c r="V170" s="34"/>
      <c r="W170" s="35" t="s">
        <v>69</v>
      </c>
      <c r="X170" s="551">
        <v>0</v>
      </c>
      <c r="Y170" s="552">
        <f t="shared" si="10"/>
        <v>0</v>
      </c>
      <c r="Z170" s="36" t="str">
        <f>IFERROR(IF(Y170=0,"",ROUNDUP(Y170/H170,0)*0.00502),"")</f>
        <v/>
      </c>
      <c r="AA170" s="56"/>
      <c r="AB170" s="57"/>
      <c r="AC170" s="209" t="s">
        <v>273</v>
      </c>
      <c r="AG170" s="64"/>
      <c r="AJ170" s="68" t="s">
        <v>92</v>
      </c>
      <c r="AK170" s="68">
        <v>37.799999999999997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4301031443</v>
      </c>
      <c r="D171" s="558">
        <v>4680115887213</v>
      </c>
      <c r="E171" s="559"/>
      <c r="F171" s="550">
        <v>0.3</v>
      </c>
      <c r="G171" s="32">
        <v>6</v>
      </c>
      <c r="H171" s="550">
        <v>1.8</v>
      </c>
      <c r="I171" s="550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6"/>
      <c r="R171" s="556"/>
      <c r="S171" s="556"/>
      <c r="T171" s="557"/>
      <c r="U171" s="34"/>
      <c r="V171" s="34"/>
      <c r="W171" s="35" t="s">
        <v>69</v>
      </c>
      <c r="X171" s="551">
        <v>0</v>
      </c>
      <c r="Y171" s="552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4301031205</v>
      </c>
      <c r="D172" s="558">
        <v>4680115881785</v>
      </c>
      <c r="E172" s="559"/>
      <c r="F172" s="550">
        <v>0.35</v>
      </c>
      <c r="G172" s="32">
        <v>6</v>
      </c>
      <c r="H172" s="550">
        <v>2.1</v>
      </c>
      <c r="I172" s="550">
        <v>2.23</v>
      </c>
      <c r="J172" s="32">
        <v>234</v>
      </c>
      <c r="K172" s="32" t="s">
        <v>73</v>
      </c>
      <c r="L172" s="32" t="s">
        <v>285</v>
      </c>
      <c r="M172" s="33" t="s">
        <v>68</v>
      </c>
      <c r="N172" s="33"/>
      <c r="O172" s="32">
        <v>40</v>
      </c>
      <c r="P172" s="58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6"/>
      <c r="R172" s="556"/>
      <c r="S172" s="556"/>
      <c r="T172" s="557"/>
      <c r="U172" s="34"/>
      <c r="V172" s="34"/>
      <c r="W172" s="35" t="s">
        <v>69</v>
      </c>
      <c r="X172" s="551">
        <v>0</v>
      </c>
      <c r="Y172" s="552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 t="s">
        <v>92</v>
      </c>
      <c r="AK172" s="68">
        <v>37.799999999999997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291</v>
      </c>
      <c r="B173" s="54" t="s">
        <v>292</v>
      </c>
      <c r="C173" s="31">
        <v>4301031463</v>
      </c>
      <c r="D173" s="558">
        <v>4680115887824</v>
      </c>
      <c r="E173" s="559"/>
      <c r="F173" s="550">
        <v>0.15</v>
      </c>
      <c r="G173" s="32">
        <v>16</v>
      </c>
      <c r="H173" s="550">
        <v>2.4</v>
      </c>
      <c r="I173" s="550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21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6"/>
      <c r="R173" s="556"/>
      <c r="S173" s="556"/>
      <c r="T173" s="557"/>
      <c r="U173" s="34"/>
      <c r="V173" s="34"/>
      <c r="W173" s="35" t="s">
        <v>69</v>
      </c>
      <c r="X173" s="551">
        <v>0</v>
      </c>
      <c r="Y173" s="552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4301031464</v>
      </c>
      <c r="D174" s="558">
        <v>4680115887701</v>
      </c>
      <c r="E174" s="559"/>
      <c r="F174" s="550">
        <v>0.3</v>
      </c>
      <c r="G174" s="32">
        <v>8</v>
      </c>
      <c r="H174" s="550">
        <v>2.4</v>
      </c>
      <c r="I174" s="550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4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6"/>
      <c r="R174" s="556"/>
      <c r="S174" s="556"/>
      <c r="T174" s="557"/>
      <c r="U174" s="34"/>
      <c r="V174" s="34"/>
      <c r="W174" s="35" t="s">
        <v>69</v>
      </c>
      <c r="X174" s="551">
        <v>0</v>
      </c>
      <c r="Y174" s="552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4301031399</v>
      </c>
      <c r="D175" s="558">
        <v>4680115886537</v>
      </c>
      <c r="E175" s="559"/>
      <c r="F175" s="550">
        <v>0.3</v>
      </c>
      <c r="G175" s="32">
        <v>6</v>
      </c>
      <c r="H175" s="550">
        <v>1.8</v>
      </c>
      <c r="I175" s="550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79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6"/>
      <c r="R175" s="556"/>
      <c r="S175" s="556"/>
      <c r="T175" s="557"/>
      <c r="U175" s="34"/>
      <c r="V175" s="34"/>
      <c r="W175" s="35" t="s">
        <v>69</v>
      </c>
      <c r="X175" s="551">
        <v>0</v>
      </c>
      <c r="Y175" s="552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4301031279</v>
      </c>
      <c r="D176" s="558">
        <v>4680115887596</v>
      </c>
      <c r="E176" s="559"/>
      <c r="F176" s="550">
        <v>0.08</v>
      </c>
      <c r="G176" s="32">
        <v>10</v>
      </c>
      <c r="H176" s="550">
        <v>0.8</v>
      </c>
      <c r="I176" s="550">
        <v>1.01</v>
      </c>
      <c r="J176" s="32">
        <v>336</v>
      </c>
      <c r="K176" s="32" t="s">
        <v>174</v>
      </c>
      <c r="L176" s="32"/>
      <c r="M176" s="33" t="s">
        <v>68</v>
      </c>
      <c r="N176" s="33"/>
      <c r="O176" s="32">
        <v>45</v>
      </c>
      <c r="P176" s="80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6"/>
      <c r="R176" s="556"/>
      <c r="S176" s="556"/>
      <c r="T176" s="557"/>
      <c r="U176" s="34"/>
      <c r="V176" s="34"/>
      <c r="W176" s="35" t="s">
        <v>69</v>
      </c>
      <c r="X176" s="551">
        <v>0</v>
      </c>
      <c r="Y176" s="552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hidden="1" customHeight="1" x14ac:dyDescent="0.25">
      <c r="A177" s="54" t="s">
        <v>303</v>
      </c>
      <c r="B177" s="54" t="s">
        <v>304</v>
      </c>
      <c r="C177" s="31">
        <v>4301031202</v>
      </c>
      <c r="D177" s="558">
        <v>4680115881679</v>
      </c>
      <c r="E177" s="559"/>
      <c r="F177" s="550">
        <v>0.35</v>
      </c>
      <c r="G177" s="32">
        <v>6</v>
      </c>
      <c r="H177" s="550">
        <v>2.1</v>
      </c>
      <c r="I177" s="550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79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6"/>
      <c r="R177" s="556"/>
      <c r="S177" s="556"/>
      <c r="T177" s="557"/>
      <c r="U177" s="34"/>
      <c r="V177" s="34"/>
      <c r="W177" s="35" t="s">
        <v>69</v>
      </c>
      <c r="X177" s="551">
        <v>0</v>
      </c>
      <c r="Y177" s="552">
        <f t="shared" si="10"/>
        <v>0</v>
      </c>
      <c r="Z177" s="36" t="str">
        <f>IFERROR(IF(Y177=0,"",ROUNDUP(Y177/H177,0)*0.00502),"")</f>
        <v/>
      </c>
      <c r="AA177" s="56"/>
      <c r="AB177" s="57"/>
      <c r="AC177" s="223" t="s">
        <v>279</v>
      </c>
      <c r="AG177" s="64"/>
      <c r="AJ177" s="68" t="s">
        <v>92</v>
      </c>
      <c r="AK177" s="68">
        <v>37.799999999999997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hidden="1" customHeight="1" x14ac:dyDescent="0.25">
      <c r="A178" s="54" t="s">
        <v>305</v>
      </c>
      <c r="B178" s="54" t="s">
        <v>306</v>
      </c>
      <c r="C178" s="31">
        <v>4301031158</v>
      </c>
      <c r="D178" s="558">
        <v>4680115880191</v>
      </c>
      <c r="E178" s="559"/>
      <c r="F178" s="550">
        <v>0.4</v>
      </c>
      <c r="G178" s="32">
        <v>6</v>
      </c>
      <c r="H178" s="550">
        <v>2.4</v>
      </c>
      <c r="I178" s="550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0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6"/>
      <c r="R178" s="556"/>
      <c r="S178" s="556"/>
      <c r="T178" s="557"/>
      <c r="U178" s="34"/>
      <c r="V178" s="34"/>
      <c r="W178" s="35" t="s">
        <v>69</v>
      </c>
      <c r="X178" s="551">
        <v>0</v>
      </c>
      <c r="Y178" s="552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307</v>
      </c>
      <c r="B179" s="54" t="s">
        <v>308</v>
      </c>
      <c r="C179" s="31">
        <v>4301031245</v>
      </c>
      <c r="D179" s="558">
        <v>4680115883963</v>
      </c>
      <c r="E179" s="559"/>
      <c r="F179" s="550">
        <v>0.28000000000000003</v>
      </c>
      <c r="G179" s="32">
        <v>6</v>
      </c>
      <c r="H179" s="550">
        <v>1.68</v>
      </c>
      <c r="I179" s="550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6"/>
      <c r="R179" s="556"/>
      <c r="S179" s="556"/>
      <c r="T179" s="557"/>
      <c r="U179" s="34"/>
      <c r="V179" s="34"/>
      <c r="W179" s="35" t="s">
        <v>69</v>
      </c>
      <c r="X179" s="551">
        <v>0</v>
      </c>
      <c r="Y179" s="552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3"/>
      <c r="B180" s="564"/>
      <c r="C180" s="564"/>
      <c r="D180" s="564"/>
      <c r="E180" s="564"/>
      <c r="F180" s="564"/>
      <c r="G180" s="564"/>
      <c r="H180" s="564"/>
      <c r="I180" s="564"/>
      <c r="J180" s="564"/>
      <c r="K180" s="564"/>
      <c r="L180" s="564"/>
      <c r="M180" s="564"/>
      <c r="N180" s="564"/>
      <c r="O180" s="565"/>
      <c r="P180" s="568" t="s">
        <v>75</v>
      </c>
      <c r="Q180" s="569"/>
      <c r="R180" s="569"/>
      <c r="S180" s="569"/>
      <c r="T180" s="569"/>
      <c r="U180" s="569"/>
      <c r="V180" s="570"/>
      <c r="W180" s="37" t="s">
        <v>76</v>
      </c>
      <c r="X180" s="55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21.428571428571427</v>
      </c>
      <c r="Y180" s="55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22</v>
      </c>
      <c r="Z180" s="55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0.19844000000000001</v>
      </c>
      <c r="AA180" s="554"/>
      <c r="AB180" s="554"/>
      <c r="AC180" s="554"/>
    </row>
    <row r="181" spans="1:68" x14ac:dyDescent="0.2">
      <c r="A181" s="564"/>
      <c r="B181" s="564"/>
      <c r="C181" s="564"/>
      <c r="D181" s="564"/>
      <c r="E181" s="564"/>
      <c r="F181" s="564"/>
      <c r="G181" s="564"/>
      <c r="H181" s="564"/>
      <c r="I181" s="564"/>
      <c r="J181" s="564"/>
      <c r="K181" s="564"/>
      <c r="L181" s="564"/>
      <c r="M181" s="564"/>
      <c r="N181" s="564"/>
      <c r="O181" s="565"/>
      <c r="P181" s="568" t="s">
        <v>75</v>
      </c>
      <c r="Q181" s="569"/>
      <c r="R181" s="569"/>
      <c r="S181" s="569"/>
      <c r="T181" s="569"/>
      <c r="U181" s="569"/>
      <c r="V181" s="570"/>
      <c r="W181" s="37" t="s">
        <v>69</v>
      </c>
      <c r="X181" s="553">
        <f>IFERROR(SUM(X166:X179),"0")</f>
        <v>90</v>
      </c>
      <c r="Y181" s="553">
        <f>IFERROR(SUM(Y166:Y179),"0")</f>
        <v>92.4</v>
      </c>
      <c r="Z181" s="37"/>
      <c r="AA181" s="554"/>
      <c r="AB181" s="554"/>
      <c r="AC181" s="554"/>
    </row>
    <row r="182" spans="1:68" ht="14.25" hidden="1" customHeight="1" x14ac:dyDescent="0.25">
      <c r="A182" s="567" t="s">
        <v>93</v>
      </c>
      <c r="B182" s="564"/>
      <c r="C182" s="564"/>
      <c r="D182" s="564"/>
      <c r="E182" s="564"/>
      <c r="F182" s="564"/>
      <c r="G182" s="564"/>
      <c r="H182" s="564"/>
      <c r="I182" s="564"/>
      <c r="J182" s="564"/>
      <c r="K182" s="564"/>
      <c r="L182" s="564"/>
      <c r="M182" s="564"/>
      <c r="N182" s="564"/>
      <c r="O182" s="564"/>
      <c r="P182" s="564"/>
      <c r="Q182" s="564"/>
      <c r="R182" s="564"/>
      <c r="S182" s="564"/>
      <c r="T182" s="564"/>
      <c r="U182" s="564"/>
      <c r="V182" s="564"/>
      <c r="W182" s="564"/>
      <c r="X182" s="564"/>
      <c r="Y182" s="564"/>
      <c r="Z182" s="564"/>
      <c r="AA182" s="547"/>
      <c r="AB182" s="547"/>
      <c r="AC182" s="547"/>
    </row>
    <row r="183" spans="1:68" ht="27" hidden="1" customHeight="1" x14ac:dyDescent="0.25">
      <c r="A183" s="54" t="s">
        <v>310</v>
      </c>
      <c r="B183" s="54" t="s">
        <v>311</v>
      </c>
      <c r="C183" s="31">
        <v>4301032053</v>
      </c>
      <c r="D183" s="558">
        <v>4680115886780</v>
      </c>
      <c r="E183" s="559"/>
      <c r="F183" s="550">
        <v>7.0000000000000007E-2</v>
      </c>
      <c r="G183" s="32">
        <v>18</v>
      </c>
      <c r="H183" s="550">
        <v>1.26</v>
      </c>
      <c r="I183" s="550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6"/>
      <c r="R183" s="556"/>
      <c r="S183" s="556"/>
      <c r="T183" s="557"/>
      <c r="U183" s="34"/>
      <c r="V183" s="34"/>
      <c r="W183" s="35" t="s">
        <v>69</v>
      </c>
      <c r="X183" s="551">
        <v>0</v>
      </c>
      <c r="Y183" s="552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4301032051</v>
      </c>
      <c r="D184" s="558">
        <v>4680115886742</v>
      </c>
      <c r="E184" s="559"/>
      <c r="F184" s="550">
        <v>7.0000000000000007E-2</v>
      </c>
      <c r="G184" s="32">
        <v>18</v>
      </c>
      <c r="H184" s="550">
        <v>1.26</v>
      </c>
      <c r="I184" s="550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3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6"/>
      <c r="R184" s="556"/>
      <c r="S184" s="556"/>
      <c r="T184" s="557"/>
      <c r="U184" s="34"/>
      <c r="V184" s="34"/>
      <c r="W184" s="35" t="s">
        <v>69</v>
      </c>
      <c r="X184" s="551">
        <v>0</v>
      </c>
      <c r="Y184" s="552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317</v>
      </c>
      <c r="B185" s="54" t="s">
        <v>318</v>
      </c>
      <c r="C185" s="31">
        <v>4301032052</v>
      </c>
      <c r="D185" s="558">
        <v>4680115886766</v>
      </c>
      <c r="E185" s="559"/>
      <c r="F185" s="550">
        <v>7.0000000000000007E-2</v>
      </c>
      <c r="G185" s="32">
        <v>18</v>
      </c>
      <c r="H185" s="550">
        <v>1.26</v>
      </c>
      <c r="I185" s="550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2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6"/>
      <c r="R185" s="556"/>
      <c r="S185" s="556"/>
      <c r="T185" s="557"/>
      <c r="U185" s="34"/>
      <c r="V185" s="34"/>
      <c r="W185" s="35" t="s">
        <v>69</v>
      </c>
      <c r="X185" s="551">
        <v>0</v>
      </c>
      <c r="Y185" s="552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563"/>
      <c r="B186" s="564"/>
      <c r="C186" s="564"/>
      <c r="D186" s="564"/>
      <c r="E186" s="564"/>
      <c r="F186" s="564"/>
      <c r="G186" s="564"/>
      <c r="H186" s="564"/>
      <c r="I186" s="564"/>
      <c r="J186" s="564"/>
      <c r="K186" s="564"/>
      <c r="L186" s="564"/>
      <c r="M186" s="564"/>
      <c r="N186" s="564"/>
      <c r="O186" s="565"/>
      <c r="P186" s="568" t="s">
        <v>75</v>
      </c>
      <c r="Q186" s="569"/>
      <c r="R186" s="569"/>
      <c r="S186" s="569"/>
      <c r="T186" s="569"/>
      <c r="U186" s="569"/>
      <c r="V186" s="570"/>
      <c r="W186" s="37" t="s">
        <v>76</v>
      </c>
      <c r="X186" s="553">
        <f>IFERROR(X183/H183,"0")+IFERROR(X184/H184,"0")+IFERROR(X185/H185,"0")</f>
        <v>0</v>
      </c>
      <c r="Y186" s="553">
        <f>IFERROR(Y183/H183,"0")+IFERROR(Y184/H184,"0")+IFERROR(Y185/H185,"0")</f>
        <v>0</v>
      </c>
      <c r="Z186" s="553">
        <f>IFERROR(IF(Z183="",0,Z183),"0")+IFERROR(IF(Z184="",0,Z184),"0")+IFERROR(IF(Z185="",0,Z185),"0")</f>
        <v>0</v>
      </c>
      <c r="AA186" s="554"/>
      <c r="AB186" s="554"/>
      <c r="AC186" s="554"/>
    </row>
    <row r="187" spans="1:68" hidden="1" x14ac:dyDescent="0.2">
      <c r="A187" s="564"/>
      <c r="B187" s="564"/>
      <c r="C187" s="564"/>
      <c r="D187" s="564"/>
      <c r="E187" s="564"/>
      <c r="F187" s="564"/>
      <c r="G187" s="564"/>
      <c r="H187" s="564"/>
      <c r="I187" s="564"/>
      <c r="J187" s="564"/>
      <c r="K187" s="564"/>
      <c r="L187" s="564"/>
      <c r="M187" s="564"/>
      <c r="N187" s="564"/>
      <c r="O187" s="565"/>
      <c r="P187" s="568" t="s">
        <v>75</v>
      </c>
      <c r="Q187" s="569"/>
      <c r="R187" s="569"/>
      <c r="S187" s="569"/>
      <c r="T187" s="569"/>
      <c r="U187" s="569"/>
      <c r="V187" s="570"/>
      <c r="W187" s="37" t="s">
        <v>69</v>
      </c>
      <c r="X187" s="553">
        <f>IFERROR(SUM(X183:X185),"0")</f>
        <v>0</v>
      </c>
      <c r="Y187" s="553">
        <f>IFERROR(SUM(Y183:Y185),"0")</f>
        <v>0</v>
      </c>
      <c r="Z187" s="37"/>
      <c r="AA187" s="554"/>
      <c r="AB187" s="554"/>
      <c r="AC187" s="554"/>
    </row>
    <row r="188" spans="1:68" ht="14.25" hidden="1" customHeight="1" x14ac:dyDescent="0.25">
      <c r="A188" s="567" t="s">
        <v>319</v>
      </c>
      <c r="B188" s="564"/>
      <c r="C188" s="564"/>
      <c r="D188" s="564"/>
      <c r="E188" s="564"/>
      <c r="F188" s="564"/>
      <c r="G188" s="564"/>
      <c r="H188" s="564"/>
      <c r="I188" s="564"/>
      <c r="J188" s="564"/>
      <c r="K188" s="564"/>
      <c r="L188" s="564"/>
      <c r="M188" s="564"/>
      <c r="N188" s="564"/>
      <c r="O188" s="564"/>
      <c r="P188" s="564"/>
      <c r="Q188" s="564"/>
      <c r="R188" s="564"/>
      <c r="S188" s="564"/>
      <c r="T188" s="564"/>
      <c r="U188" s="564"/>
      <c r="V188" s="564"/>
      <c r="W188" s="564"/>
      <c r="X188" s="564"/>
      <c r="Y188" s="564"/>
      <c r="Z188" s="564"/>
      <c r="AA188" s="547"/>
      <c r="AB188" s="547"/>
      <c r="AC188" s="547"/>
    </row>
    <row r="189" spans="1:68" ht="27" hidden="1" customHeight="1" x14ac:dyDescent="0.25">
      <c r="A189" s="54" t="s">
        <v>320</v>
      </c>
      <c r="B189" s="54" t="s">
        <v>321</v>
      </c>
      <c r="C189" s="31">
        <v>4301170013</v>
      </c>
      <c r="D189" s="558">
        <v>4680115886797</v>
      </c>
      <c r="E189" s="559"/>
      <c r="F189" s="550">
        <v>7.0000000000000007E-2</v>
      </c>
      <c r="G189" s="32">
        <v>18</v>
      </c>
      <c r="H189" s="550">
        <v>1.26</v>
      </c>
      <c r="I189" s="550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7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6"/>
      <c r="R189" s="556"/>
      <c r="S189" s="556"/>
      <c r="T189" s="557"/>
      <c r="U189" s="34"/>
      <c r="V189" s="34"/>
      <c r="W189" s="35" t="s">
        <v>69</v>
      </c>
      <c r="X189" s="551">
        <v>0</v>
      </c>
      <c r="Y189" s="552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563"/>
      <c r="B190" s="564"/>
      <c r="C190" s="564"/>
      <c r="D190" s="564"/>
      <c r="E190" s="564"/>
      <c r="F190" s="564"/>
      <c r="G190" s="564"/>
      <c r="H190" s="564"/>
      <c r="I190" s="564"/>
      <c r="J190" s="564"/>
      <c r="K190" s="564"/>
      <c r="L190" s="564"/>
      <c r="M190" s="564"/>
      <c r="N190" s="564"/>
      <c r="O190" s="565"/>
      <c r="P190" s="568" t="s">
        <v>75</v>
      </c>
      <c r="Q190" s="569"/>
      <c r="R190" s="569"/>
      <c r="S190" s="569"/>
      <c r="T190" s="569"/>
      <c r="U190" s="569"/>
      <c r="V190" s="570"/>
      <c r="W190" s="37" t="s">
        <v>76</v>
      </c>
      <c r="X190" s="553">
        <f>IFERROR(X189/H189,"0")</f>
        <v>0</v>
      </c>
      <c r="Y190" s="553">
        <f>IFERROR(Y189/H189,"0")</f>
        <v>0</v>
      </c>
      <c r="Z190" s="553">
        <f>IFERROR(IF(Z189="",0,Z189),"0")</f>
        <v>0</v>
      </c>
      <c r="AA190" s="554"/>
      <c r="AB190" s="554"/>
      <c r="AC190" s="554"/>
    </row>
    <row r="191" spans="1:68" hidden="1" x14ac:dyDescent="0.2">
      <c r="A191" s="564"/>
      <c r="B191" s="564"/>
      <c r="C191" s="564"/>
      <c r="D191" s="564"/>
      <c r="E191" s="564"/>
      <c r="F191" s="564"/>
      <c r="G191" s="564"/>
      <c r="H191" s="564"/>
      <c r="I191" s="564"/>
      <c r="J191" s="564"/>
      <c r="K191" s="564"/>
      <c r="L191" s="564"/>
      <c r="M191" s="564"/>
      <c r="N191" s="564"/>
      <c r="O191" s="565"/>
      <c r="P191" s="568" t="s">
        <v>75</v>
      </c>
      <c r="Q191" s="569"/>
      <c r="R191" s="569"/>
      <c r="S191" s="569"/>
      <c r="T191" s="569"/>
      <c r="U191" s="569"/>
      <c r="V191" s="570"/>
      <c r="W191" s="37" t="s">
        <v>69</v>
      </c>
      <c r="X191" s="553">
        <f>IFERROR(SUM(X189:X189),"0")</f>
        <v>0</v>
      </c>
      <c r="Y191" s="553">
        <f>IFERROR(SUM(Y189:Y189),"0")</f>
        <v>0</v>
      </c>
      <c r="Z191" s="37"/>
      <c r="AA191" s="554"/>
      <c r="AB191" s="554"/>
      <c r="AC191" s="554"/>
    </row>
    <row r="192" spans="1:68" ht="16.5" hidden="1" customHeight="1" x14ac:dyDescent="0.25">
      <c r="A192" s="576" t="s">
        <v>322</v>
      </c>
      <c r="B192" s="564"/>
      <c r="C192" s="564"/>
      <c r="D192" s="564"/>
      <c r="E192" s="564"/>
      <c r="F192" s="564"/>
      <c r="G192" s="564"/>
      <c r="H192" s="564"/>
      <c r="I192" s="564"/>
      <c r="J192" s="564"/>
      <c r="K192" s="564"/>
      <c r="L192" s="564"/>
      <c r="M192" s="564"/>
      <c r="N192" s="564"/>
      <c r="O192" s="564"/>
      <c r="P192" s="564"/>
      <c r="Q192" s="564"/>
      <c r="R192" s="564"/>
      <c r="S192" s="564"/>
      <c r="T192" s="564"/>
      <c r="U192" s="564"/>
      <c r="V192" s="564"/>
      <c r="W192" s="564"/>
      <c r="X192" s="564"/>
      <c r="Y192" s="564"/>
      <c r="Z192" s="564"/>
      <c r="AA192" s="546"/>
      <c r="AB192" s="546"/>
      <c r="AC192" s="546"/>
    </row>
    <row r="193" spans="1:68" ht="14.25" hidden="1" customHeight="1" x14ac:dyDescent="0.25">
      <c r="A193" s="567" t="s">
        <v>101</v>
      </c>
      <c r="B193" s="564"/>
      <c r="C193" s="564"/>
      <c r="D193" s="564"/>
      <c r="E193" s="564"/>
      <c r="F193" s="564"/>
      <c r="G193" s="564"/>
      <c r="H193" s="564"/>
      <c r="I193" s="564"/>
      <c r="J193" s="564"/>
      <c r="K193" s="564"/>
      <c r="L193" s="564"/>
      <c r="M193" s="564"/>
      <c r="N193" s="564"/>
      <c r="O193" s="564"/>
      <c r="P193" s="564"/>
      <c r="Q193" s="564"/>
      <c r="R193" s="564"/>
      <c r="S193" s="564"/>
      <c r="T193" s="564"/>
      <c r="U193" s="564"/>
      <c r="V193" s="564"/>
      <c r="W193" s="564"/>
      <c r="X193" s="564"/>
      <c r="Y193" s="564"/>
      <c r="Z193" s="564"/>
      <c r="AA193" s="547"/>
      <c r="AB193" s="547"/>
      <c r="AC193" s="547"/>
    </row>
    <row r="194" spans="1:68" ht="27" hidden="1" customHeight="1" x14ac:dyDescent="0.25">
      <c r="A194" s="54" t="s">
        <v>323</v>
      </c>
      <c r="B194" s="54" t="s">
        <v>324</v>
      </c>
      <c r="C194" s="31">
        <v>4301011450</v>
      </c>
      <c r="D194" s="558">
        <v>4680115881402</v>
      </c>
      <c r="E194" s="559"/>
      <c r="F194" s="550">
        <v>1.35</v>
      </c>
      <c r="G194" s="32">
        <v>8</v>
      </c>
      <c r="H194" s="550">
        <v>10.8</v>
      </c>
      <c r="I194" s="550">
        <v>11.21</v>
      </c>
      <c r="J194" s="32">
        <v>64</v>
      </c>
      <c r="K194" s="32" t="s">
        <v>104</v>
      </c>
      <c r="L194" s="32"/>
      <c r="M194" s="33" t="s">
        <v>106</v>
      </c>
      <c r="N194" s="33"/>
      <c r="O194" s="32">
        <v>55</v>
      </c>
      <c r="P194" s="64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6"/>
      <c r="R194" s="556"/>
      <c r="S194" s="556"/>
      <c r="T194" s="557"/>
      <c r="U194" s="34"/>
      <c r="V194" s="34"/>
      <c r="W194" s="35" t="s">
        <v>69</v>
      </c>
      <c r="X194" s="551">
        <v>0</v>
      </c>
      <c r="Y194" s="552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326</v>
      </c>
      <c r="B195" s="54" t="s">
        <v>327</v>
      </c>
      <c r="C195" s="31">
        <v>4301011768</v>
      </c>
      <c r="D195" s="558">
        <v>4680115881396</v>
      </c>
      <c r="E195" s="559"/>
      <c r="F195" s="550">
        <v>0.45</v>
      </c>
      <c r="G195" s="32">
        <v>6</v>
      </c>
      <c r="H195" s="550">
        <v>2.7</v>
      </c>
      <c r="I195" s="550">
        <v>2.88</v>
      </c>
      <c r="J195" s="32">
        <v>182</v>
      </c>
      <c r="K195" s="32" t="s">
        <v>67</v>
      </c>
      <c r="L195" s="32" t="s">
        <v>90</v>
      </c>
      <c r="M195" s="33" t="s">
        <v>106</v>
      </c>
      <c r="N195" s="33"/>
      <c r="O195" s="32">
        <v>55</v>
      </c>
      <c r="P195" s="7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6"/>
      <c r="R195" s="556"/>
      <c r="S195" s="556"/>
      <c r="T195" s="557"/>
      <c r="U195" s="34"/>
      <c r="V195" s="34"/>
      <c r="W195" s="35" t="s">
        <v>69</v>
      </c>
      <c r="X195" s="551">
        <v>0</v>
      </c>
      <c r="Y195" s="552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 t="s">
        <v>92</v>
      </c>
      <c r="AK195" s="68">
        <v>37.799999999999997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563"/>
      <c r="B196" s="564"/>
      <c r="C196" s="564"/>
      <c r="D196" s="564"/>
      <c r="E196" s="564"/>
      <c r="F196" s="564"/>
      <c r="G196" s="564"/>
      <c r="H196" s="564"/>
      <c r="I196" s="564"/>
      <c r="J196" s="564"/>
      <c r="K196" s="564"/>
      <c r="L196" s="564"/>
      <c r="M196" s="564"/>
      <c r="N196" s="564"/>
      <c r="O196" s="565"/>
      <c r="P196" s="568" t="s">
        <v>75</v>
      </c>
      <c r="Q196" s="569"/>
      <c r="R196" s="569"/>
      <c r="S196" s="569"/>
      <c r="T196" s="569"/>
      <c r="U196" s="569"/>
      <c r="V196" s="570"/>
      <c r="W196" s="37" t="s">
        <v>76</v>
      </c>
      <c r="X196" s="553">
        <f>IFERROR(X194/H194,"0")+IFERROR(X195/H195,"0")</f>
        <v>0</v>
      </c>
      <c r="Y196" s="553">
        <f>IFERROR(Y194/H194,"0")+IFERROR(Y195/H195,"0")</f>
        <v>0</v>
      </c>
      <c r="Z196" s="553">
        <f>IFERROR(IF(Z194="",0,Z194),"0")+IFERROR(IF(Z195="",0,Z195),"0")</f>
        <v>0</v>
      </c>
      <c r="AA196" s="554"/>
      <c r="AB196" s="554"/>
      <c r="AC196" s="554"/>
    </row>
    <row r="197" spans="1:68" hidden="1" x14ac:dyDescent="0.2">
      <c r="A197" s="564"/>
      <c r="B197" s="564"/>
      <c r="C197" s="564"/>
      <c r="D197" s="564"/>
      <c r="E197" s="564"/>
      <c r="F197" s="564"/>
      <c r="G197" s="564"/>
      <c r="H197" s="564"/>
      <c r="I197" s="564"/>
      <c r="J197" s="564"/>
      <c r="K197" s="564"/>
      <c r="L197" s="564"/>
      <c r="M197" s="564"/>
      <c r="N197" s="564"/>
      <c r="O197" s="565"/>
      <c r="P197" s="568" t="s">
        <v>75</v>
      </c>
      <c r="Q197" s="569"/>
      <c r="R197" s="569"/>
      <c r="S197" s="569"/>
      <c r="T197" s="569"/>
      <c r="U197" s="569"/>
      <c r="V197" s="570"/>
      <c r="W197" s="37" t="s">
        <v>69</v>
      </c>
      <c r="X197" s="553">
        <f>IFERROR(SUM(X194:X195),"0")</f>
        <v>0</v>
      </c>
      <c r="Y197" s="553">
        <f>IFERROR(SUM(Y194:Y195),"0")</f>
        <v>0</v>
      </c>
      <c r="Z197" s="37"/>
      <c r="AA197" s="554"/>
      <c r="AB197" s="554"/>
      <c r="AC197" s="554"/>
    </row>
    <row r="198" spans="1:68" ht="14.25" hidden="1" customHeight="1" x14ac:dyDescent="0.25">
      <c r="A198" s="567" t="s">
        <v>136</v>
      </c>
      <c r="B198" s="564"/>
      <c r="C198" s="564"/>
      <c r="D198" s="564"/>
      <c r="E198" s="564"/>
      <c r="F198" s="564"/>
      <c r="G198" s="564"/>
      <c r="H198" s="564"/>
      <c r="I198" s="564"/>
      <c r="J198" s="564"/>
      <c r="K198" s="564"/>
      <c r="L198" s="564"/>
      <c r="M198" s="564"/>
      <c r="N198" s="564"/>
      <c r="O198" s="564"/>
      <c r="P198" s="564"/>
      <c r="Q198" s="564"/>
      <c r="R198" s="564"/>
      <c r="S198" s="564"/>
      <c r="T198" s="564"/>
      <c r="U198" s="564"/>
      <c r="V198" s="564"/>
      <c r="W198" s="564"/>
      <c r="X198" s="564"/>
      <c r="Y198" s="564"/>
      <c r="Z198" s="564"/>
      <c r="AA198" s="547"/>
      <c r="AB198" s="547"/>
      <c r="AC198" s="547"/>
    </row>
    <row r="199" spans="1:68" ht="16.5" hidden="1" customHeight="1" x14ac:dyDescent="0.25">
      <c r="A199" s="54" t="s">
        <v>328</v>
      </c>
      <c r="B199" s="54" t="s">
        <v>329</v>
      </c>
      <c r="C199" s="31">
        <v>4301020261</v>
      </c>
      <c r="D199" s="558">
        <v>4680115882935</v>
      </c>
      <c r="E199" s="559"/>
      <c r="F199" s="550">
        <v>1.35</v>
      </c>
      <c r="G199" s="32">
        <v>8</v>
      </c>
      <c r="H199" s="550">
        <v>10.8</v>
      </c>
      <c r="I199" s="550">
        <v>11.21</v>
      </c>
      <c r="J199" s="32">
        <v>64</v>
      </c>
      <c r="K199" s="32" t="s">
        <v>104</v>
      </c>
      <c r="L199" s="32"/>
      <c r="M199" s="33" t="s">
        <v>106</v>
      </c>
      <c r="N199" s="33"/>
      <c r="O199" s="32">
        <v>50</v>
      </c>
      <c r="P199" s="86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6"/>
      <c r="R199" s="556"/>
      <c r="S199" s="556"/>
      <c r="T199" s="557"/>
      <c r="U199" s="34"/>
      <c r="V199" s="34"/>
      <c r="W199" s="35" t="s">
        <v>69</v>
      </c>
      <c r="X199" s="551">
        <v>0</v>
      </c>
      <c r="Y199" s="552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331</v>
      </c>
      <c r="B200" s="54" t="s">
        <v>332</v>
      </c>
      <c r="C200" s="31">
        <v>4301020220</v>
      </c>
      <c r="D200" s="558">
        <v>4680115880764</v>
      </c>
      <c r="E200" s="559"/>
      <c r="F200" s="550">
        <v>0.35</v>
      </c>
      <c r="G200" s="32">
        <v>6</v>
      </c>
      <c r="H200" s="550">
        <v>2.1</v>
      </c>
      <c r="I200" s="550">
        <v>2.2799999999999998</v>
      </c>
      <c r="J200" s="32">
        <v>182</v>
      </c>
      <c r="K200" s="32" t="s">
        <v>67</v>
      </c>
      <c r="L200" s="32"/>
      <c r="M200" s="33" t="s">
        <v>106</v>
      </c>
      <c r="N200" s="33"/>
      <c r="O200" s="32">
        <v>50</v>
      </c>
      <c r="P200" s="85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6"/>
      <c r="R200" s="556"/>
      <c r="S200" s="556"/>
      <c r="T200" s="557"/>
      <c r="U200" s="34"/>
      <c r="V200" s="34"/>
      <c r="W200" s="35" t="s">
        <v>69</v>
      </c>
      <c r="X200" s="551">
        <v>0</v>
      </c>
      <c r="Y200" s="552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563"/>
      <c r="B201" s="564"/>
      <c r="C201" s="564"/>
      <c r="D201" s="564"/>
      <c r="E201" s="564"/>
      <c r="F201" s="564"/>
      <c r="G201" s="564"/>
      <c r="H201" s="564"/>
      <c r="I201" s="564"/>
      <c r="J201" s="564"/>
      <c r="K201" s="564"/>
      <c r="L201" s="564"/>
      <c r="M201" s="564"/>
      <c r="N201" s="564"/>
      <c r="O201" s="565"/>
      <c r="P201" s="568" t="s">
        <v>75</v>
      </c>
      <c r="Q201" s="569"/>
      <c r="R201" s="569"/>
      <c r="S201" s="569"/>
      <c r="T201" s="569"/>
      <c r="U201" s="569"/>
      <c r="V201" s="570"/>
      <c r="W201" s="37" t="s">
        <v>76</v>
      </c>
      <c r="X201" s="553">
        <f>IFERROR(X199/H199,"0")+IFERROR(X200/H200,"0")</f>
        <v>0</v>
      </c>
      <c r="Y201" s="553">
        <f>IFERROR(Y199/H199,"0")+IFERROR(Y200/H200,"0")</f>
        <v>0</v>
      </c>
      <c r="Z201" s="553">
        <f>IFERROR(IF(Z199="",0,Z199),"0")+IFERROR(IF(Z200="",0,Z200),"0")</f>
        <v>0</v>
      </c>
      <c r="AA201" s="554"/>
      <c r="AB201" s="554"/>
      <c r="AC201" s="554"/>
    </row>
    <row r="202" spans="1:68" hidden="1" x14ac:dyDescent="0.2">
      <c r="A202" s="564"/>
      <c r="B202" s="564"/>
      <c r="C202" s="564"/>
      <c r="D202" s="564"/>
      <c r="E202" s="564"/>
      <c r="F202" s="564"/>
      <c r="G202" s="564"/>
      <c r="H202" s="564"/>
      <c r="I202" s="564"/>
      <c r="J202" s="564"/>
      <c r="K202" s="564"/>
      <c r="L202" s="564"/>
      <c r="M202" s="564"/>
      <c r="N202" s="564"/>
      <c r="O202" s="565"/>
      <c r="P202" s="568" t="s">
        <v>75</v>
      </c>
      <c r="Q202" s="569"/>
      <c r="R202" s="569"/>
      <c r="S202" s="569"/>
      <c r="T202" s="569"/>
      <c r="U202" s="569"/>
      <c r="V202" s="570"/>
      <c r="W202" s="37" t="s">
        <v>69</v>
      </c>
      <c r="X202" s="553">
        <f>IFERROR(SUM(X199:X200),"0")</f>
        <v>0</v>
      </c>
      <c r="Y202" s="553">
        <f>IFERROR(SUM(Y199:Y200),"0")</f>
        <v>0</v>
      </c>
      <c r="Z202" s="37"/>
      <c r="AA202" s="554"/>
      <c r="AB202" s="554"/>
      <c r="AC202" s="554"/>
    </row>
    <row r="203" spans="1:68" ht="14.25" hidden="1" customHeight="1" x14ac:dyDescent="0.25">
      <c r="A203" s="567" t="s">
        <v>64</v>
      </c>
      <c r="B203" s="564"/>
      <c r="C203" s="564"/>
      <c r="D203" s="564"/>
      <c r="E203" s="564"/>
      <c r="F203" s="564"/>
      <c r="G203" s="564"/>
      <c r="H203" s="564"/>
      <c r="I203" s="564"/>
      <c r="J203" s="564"/>
      <c r="K203" s="564"/>
      <c r="L203" s="564"/>
      <c r="M203" s="564"/>
      <c r="N203" s="564"/>
      <c r="O203" s="564"/>
      <c r="P203" s="564"/>
      <c r="Q203" s="564"/>
      <c r="R203" s="564"/>
      <c r="S203" s="564"/>
      <c r="T203" s="564"/>
      <c r="U203" s="564"/>
      <c r="V203" s="564"/>
      <c r="W203" s="564"/>
      <c r="X203" s="564"/>
      <c r="Y203" s="564"/>
      <c r="Z203" s="564"/>
      <c r="AA203" s="547"/>
      <c r="AB203" s="547"/>
      <c r="AC203" s="547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8">
        <v>4680115882683</v>
      </c>
      <c r="E204" s="559"/>
      <c r="F204" s="550">
        <v>0.9</v>
      </c>
      <c r="G204" s="32">
        <v>6</v>
      </c>
      <c r="H204" s="550">
        <v>5.4</v>
      </c>
      <c r="I204" s="550">
        <v>5.59</v>
      </c>
      <c r="J204" s="32">
        <v>132</v>
      </c>
      <c r="K204" s="32" t="s">
        <v>110</v>
      </c>
      <c r="L204" s="32" t="s">
        <v>111</v>
      </c>
      <c r="M204" s="33" t="s">
        <v>68</v>
      </c>
      <c r="N204" s="33"/>
      <c r="O204" s="32">
        <v>40</v>
      </c>
      <c r="P204" s="76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6"/>
      <c r="R204" s="556"/>
      <c r="S204" s="556"/>
      <c r="T204" s="557"/>
      <c r="U204" s="34"/>
      <c r="V204" s="34"/>
      <c r="W204" s="35" t="s">
        <v>69</v>
      </c>
      <c r="X204" s="551">
        <v>300</v>
      </c>
      <c r="Y204" s="552">
        <f t="shared" ref="Y204:Y211" si="15">IFERROR(IF(X204="",0,CEILING((X204/$H204),1)*$H204),"")</f>
        <v>302.40000000000003</v>
      </c>
      <c r="Z204" s="36">
        <f>IFERROR(IF(Y204=0,"",ROUNDUP(Y204/H204,0)*0.00902),"")</f>
        <v>0.50512000000000001</v>
      </c>
      <c r="AA204" s="56"/>
      <c r="AB204" s="57"/>
      <c r="AC204" s="245" t="s">
        <v>335</v>
      </c>
      <c r="AG204" s="64"/>
      <c r="AJ204" s="68" t="s">
        <v>92</v>
      </c>
      <c r="AK204" s="68">
        <v>64.8</v>
      </c>
      <c r="BB204" s="246" t="s">
        <v>1</v>
      </c>
      <c r="BM204" s="64">
        <f t="shared" ref="BM204:BM211" si="16">IFERROR(X204*I204/H204,"0")</f>
        <v>310.55555555555554</v>
      </c>
      <c r="BN204" s="64">
        <f t="shared" ref="BN204:BN211" si="17">IFERROR(Y204*I204/H204,"0")</f>
        <v>313.04000000000002</v>
      </c>
      <c r="BO204" s="64">
        <f t="shared" ref="BO204:BO211" si="18">IFERROR(1/J204*(X204/H204),"0")</f>
        <v>0.42087542087542085</v>
      </c>
      <c r="BP204" s="64">
        <f t="shared" ref="BP204:BP211" si="19">IFERROR(1/J204*(Y204/H204),"0")</f>
        <v>0.42424242424242425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8">
        <v>4680115882690</v>
      </c>
      <c r="E205" s="559"/>
      <c r="F205" s="550">
        <v>0.9</v>
      </c>
      <c r="G205" s="32">
        <v>6</v>
      </c>
      <c r="H205" s="550">
        <v>5.4</v>
      </c>
      <c r="I205" s="550">
        <v>5.59</v>
      </c>
      <c r="J205" s="32">
        <v>132</v>
      </c>
      <c r="K205" s="32" t="s">
        <v>110</v>
      </c>
      <c r="L205" s="32" t="s">
        <v>111</v>
      </c>
      <c r="M205" s="33" t="s">
        <v>68</v>
      </c>
      <c r="N205" s="33"/>
      <c r="O205" s="32">
        <v>40</v>
      </c>
      <c r="P205" s="69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6"/>
      <c r="R205" s="556"/>
      <c r="S205" s="556"/>
      <c r="T205" s="557"/>
      <c r="U205" s="34"/>
      <c r="V205" s="34"/>
      <c r="W205" s="35" t="s">
        <v>69</v>
      </c>
      <c r="X205" s="551">
        <v>260</v>
      </c>
      <c r="Y205" s="552">
        <f t="shared" si="15"/>
        <v>264.60000000000002</v>
      </c>
      <c r="Z205" s="36">
        <f>IFERROR(IF(Y205=0,"",ROUNDUP(Y205/H205,0)*0.00902),"")</f>
        <v>0.44198000000000004</v>
      </c>
      <c r="AA205" s="56"/>
      <c r="AB205" s="57"/>
      <c r="AC205" s="247" t="s">
        <v>338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6"/>
        <v>269.1481481481481</v>
      </c>
      <c r="BN205" s="64">
        <f t="shared" si="17"/>
        <v>273.90999999999997</v>
      </c>
      <c r="BO205" s="64">
        <f t="shared" si="18"/>
        <v>0.36475869809203143</v>
      </c>
      <c r="BP205" s="64">
        <f t="shared" si="19"/>
        <v>0.37121212121212122</v>
      </c>
    </row>
    <row r="206" spans="1:68" ht="27" customHeight="1" x14ac:dyDescent="0.25">
      <c r="A206" s="54" t="s">
        <v>339</v>
      </c>
      <c r="B206" s="54" t="s">
        <v>340</v>
      </c>
      <c r="C206" s="31">
        <v>4301031220</v>
      </c>
      <c r="D206" s="558">
        <v>4680115882669</v>
      </c>
      <c r="E206" s="559"/>
      <c r="F206" s="550">
        <v>0.9</v>
      </c>
      <c r="G206" s="32">
        <v>6</v>
      </c>
      <c r="H206" s="550">
        <v>5.4</v>
      </c>
      <c r="I206" s="550">
        <v>5.59</v>
      </c>
      <c r="J206" s="32">
        <v>132</v>
      </c>
      <c r="K206" s="32" t="s">
        <v>110</v>
      </c>
      <c r="L206" s="32" t="s">
        <v>111</v>
      </c>
      <c r="M206" s="33" t="s">
        <v>68</v>
      </c>
      <c r="N206" s="33"/>
      <c r="O206" s="32">
        <v>40</v>
      </c>
      <c r="P206" s="75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6"/>
      <c r="R206" s="556"/>
      <c r="S206" s="556"/>
      <c r="T206" s="557"/>
      <c r="U206" s="34"/>
      <c r="V206" s="34"/>
      <c r="W206" s="35" t="s">
        <v>69</v>
      </c>
      <c r="X206" s="551">
        <v>280</v>
      </c>
      <c r="Y206" s="552">
        <f t="shared" si="15"/>
        <v>280.8</v>
      </c>
      <c r="Z206" s="36">
        <f>IFERROR(IF(Y206=0,"",ROUNDUP(Y206/H206,0)*0.00902),"")</f>
        <v>0.46904000000000001</v>
      </c>
      <c r="AA206" s="56"/>
      <c r="AB206" s="57"/>
      <c r="AC206" s="249" t="s">
        <v>341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289.85185185185185</v>
      </c>
      <c r="BN206" s="64">
        <f t="shared" si="17"/>
        <v>290.68</v>
      </c>
      <c r="BO206" s="64">
        <f t="shared" si="18"/>
        <v>0.39281705948372614</v>
      </c>
      <c r="BP206" s="64">
        <f t="shared" si="19"/>
        <v>0.39393939393939392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8">
        <v>4680115882676</v>
      </c>
      <c r="E207" s="559"/>
      <c r="F207" s="550">
        <v>0.9</v>
      </c>
      <c r="G207" s="32">
        <v>6</v>
      </c>
      <c r="H207" s="550">
        <v>5.4</v>
      </c>
      <c r="I207" s="550">
        <v>5.59</v>
      </c>
      <c r="J207" s="32">
        <v>132</v>
      </c>
      <c r="K207" s="32" t="s">
        <v>110</v>
      </c>
      <c r="L207" s="32" t="s">
        <v>111</v>
      </c>
      <c r="M207" s="33" t="s">
        <v>68</v>
      </c>
      <c r="N207" s="33"/>
      <c r="O207" s="32">
        <v>40</v>
      </c>
      <c r="P207" s="75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6"/>
      <c r="R207" s="556"/>
      <c r="S207" s="556"/>
      <c r="T207" s="557"/>
      <c r="U207" s="34"/>
      <c r="V207" s="34"/>
      <c r="W207" s="35" t="s">
        <v>69</v>
      </c>
      <c r="X207" s="551">
        <v>650</v>
      </c>
      <c r="Y207" s="552">
        <f t="shared" si="15"/>
        <v>653.40000000000009</v>
      </c>
      <c r="Z207" s="36">
        <f>IFERROR(IF(Y207=0,"",ROUNDUP(Y207/H207,0)*0.00902),"")</f>
        <v>1.0914200000000001</v>
      </c>
      <c r="AA207" s="56"/>
      <c r="AB207" s="57"/>
      <c r="AC207" s="251" t="s">
        <v>344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672.87037037037032</v>
      </c>
      <c r="BN207" s="64">
        <f t="shared" si="17"/>
        <v>676.39</v>
      </c>
      <c r="BO207" s="64">
        <f t="shared" si="18"/>
        <v>0.91189674523007858</v>
      </c>
      <c r="BP207" s="64">
        <f t="shared" si="19"/>
        <v>0.91666666666666685</v>
      </c>
    </row>
    <row r="208" spans="1:68" ht="27" hidden="1" customHeight="1" x14ac:dyDescent="0.25">
      <c r="A208" s="54" t="s">
        <v>345</v>
      </c>
      <c r="B208" s="54" t="s">
        <v>346</v>
      </c>
      <c r="C208" s="31">
        <v>4301031223</v>
      </c>
      <c r="D208" s="558">
        <v>4680115884014</v>
      </c>
      <c r="E208" s="559"/>
      <c r="F208" s="550">
        <v>0.3</v>
      </c>
      <c r="G208" s="32">
        <v>6</v>
      </c>
      <c r="H208" s="550">
        <v>1.8</v>
      </c>
      <c r="I208" s="550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1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6"/>
      <c r="R208" s="556"/>
      <c r="S208" s="556"/>
      <c r="T208" s="557"/>
      <c r="U208" s="34"/>
      <c r="V208" s="34"/>
      <c r="W208" s="35" t="s">
        <v>69</v>
      </c>
      <c r="X208" s="551">
        <v>0</v>
      </c>
      <c r="Y208" s="552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347</v>
      </c>
      <c r="B209" s="54" t="s">
        <v>348</v>
      </c>
      <c r="C209" s="31">
        <v>4301031222</v>
      </c>
      <c r="D209" s="558">
        <v>4680115884007</v>
      </c>
      <c r="E209" s="559"/>
      <c r="F209" s="550">
        <v>0.3</v>
      </c>
      <c r="G209" s="32">
        <v>6</v>
      </c>
      <c r="H209" s="550">
        <v>1.8</v>
      </c>
      <c r="I209" s="550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0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6"/>
      <c r="R209" s="556"/>
      <c r="S209" s="556"/>
      <c r="T209" s="557"/>
      <c r="U209" s="34"/>
      <c r="V209" s="34"/>
      <c r="W209" s="35" t="s">
        <v>69</v>
      </c>
      <c r="X209" s="551">
        <v>0</v>
      </c>
      <c r="Y209" s="552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349</v>
      </c>
      <c r="B210" s="54" t="s">
        <v>350</v>
      </c>
      <c r="C210" s="31">
        <v>4301031229</v>
      </c>
      <c r="D210" s="558">
        <v>4680115884038</v>
      </c>
      <c r="E210" s="559"/>
      <c r="F210" s="550">
        <v>0.3</v>
      </c>
      <c r="G210" s="32">
        <v>6</v>
      </c>
      <c r="H210" s="550">
        <v>1.8</v>
      </c>
      <c r="I210" s="550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2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6"/>
      <c r="R210" s="556"/>
      <c r="S210" s="556"/>
      <c r="T210" s="557"/>
      <c r="U210" s="34"/>
      <c r="V210" s="34"/>
      <c r="W210" s="35" t="s">
        <v>69</v>
      </c>
      <c r="X210" s="551">
        <v>0</v>
      </c>
      <c r="Y210" s="552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351</v>
      </c>
      <c r="B211" s="54" t="s">
        <v>352</v>
      </c>
      <c r="C211" s="31">
        <v>4301031225</v>
      </c>
      <c r="D211" s="558">
        <v>4680115884021</v>
      </c>
      <c r="E211" s="559"/>
      <c r="F211" s="550">
        <v>0.3</v>
      </c>
      <c r="G211" s="32">
        <v>6</v>
      </c>
      <c r="H211" s="550">
        <v>1.8</v>
      </c>
      <c r="I211" s="550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67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6"/>
      <c r="R211" s="556"/>
      <c r="S211" s="556"/>
      <c r="T211" s="557"/>
      <c r="U211" s="34"/>
      <c r="V211" s="34"/>
      <c r="W211" s="35" t="s">
        <v>69</v>
      </c>
      <c r="X211" s="551">
        <v>0</v>
      </c>
      <c r="Y211" s="552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344</v>
      </c>
      <c r="AG211" s="64"/>
      <c r="AJ211" s="68" t="s">
        <v>92</v>
      </c>
      <c r="AK211" s="68">
        <v>32.4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x14ac:dyDescent="0.2">
      <c r="A212" s="563"/>
      <c r="B212" s="564"/>
      <c r="C212" s="564"/>
      <c r="D212" s="564"/>
      <c r="E212" s="564"/>
      <c r="F212" s="564"/>
      <c r="G212" s="564"/>
      <c r="H212" s="564"/>
      <c r="I212" s="564"/>
      <c r="J212" s="564"/>
      <c r="K212" s="564"/>
      <c r="L212" s="564"/>
      <c r="M212" s="564"/>
      <c r="N212" s="564"/>
      <c r="O212" s="565"/>
      <c r="P212" s="568" t="s">
        <v>75</v>
      </c>
      <c r="Q212" s="569"/>
      <c r="R212" s="569"/>
      <c r="S212" s="569"/>
      <c r="T212" s="569"/>
      <c r="U212" s="569"/>
      <c r="V212" s="570"/>
      <c r="W212" s="37" t="s">
        <v>76</v>
      </c>
      <c r="X212" s="553">
        <f>IFERROR(X204/H204,"0")+IFERROR(X205/H205,"0")+IFERROR(X206/H206,"0")+IFERROR(X207/H207,"0")+IFERROR(X208/H208,"0")+IFERROR(X209/H209,"0")+IFERROR(X210/H210,"0")+IFERROR(X211/H211,"0")</f>
        <v>275.92592592592592</v>
      </c>
      <c r="Y212" s="553">
        <f>IFERROR(Y204/H204,"0")+IFERROR(Y205/H205,"0")+IFERROR(Y206/H206,"0")+IFERROR(Y207/H207,"0")+IFERROR(Y208/H208,"0")+IFERROR(Y209/H209,"0")+IFERROR(Y210/H210,"0")+IFERROR(Y211/H211,"0")</f>
        <v>278</v>
      </c>
      <c r="Z212" s="553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2.5075599999999998</v>
      </c>
      <c r="AA212" s="554"/>
      <c r="AB212" s="554"/>
      <c r="AC212" s="554"/>
    </row>
    <row r="213" spans="1:68" x14ac:dyDescent="0.2">
      <c r="A213" s="564"/>
      <c r="B213" s="564"/>
      <c r="C213" s="564"/>
      <c r="D213" s="564"/>
      <c r="E213" s="564"/>
      <c r="F213" s="564"/>
      <c r="G213" s="564"/>
      <c r="H213" s="564"/>
      <c r="I213" s="564"/>
      <c r="J213" s="564"/>
      <c r="K213" s="564"/>
      <c r="L213" s="564"/>
      <c r="M213" s="564"/>
      <c r="N213" s="564"/>
      <c r="O213" s="565"/>
      <c r="P213" s="568" t="s">
        <v>75</v>
      </c>
      <c r="Q213" s="569"/>
      <c r="R213" s="569"/>
      <c r="S213" s="569"/>
      <c r="T213" s="569"/>
      <c r="U213" s="569"/>
      <c r="V213" s="570"/>
      <c r="W213" s="37" t="s">
        <v>69</v>
      </c>
      <c r="X213" s="553">
        <f>IFERROR(SUM(X204:X211),"0")</f>
        <v>1490</v>
      </c>
      <c r="Y213" s="553">
        <f>IFERROR(SUM(Y204:Y211),"0")</f>
        <v>1501.2</v>
      </c>
      <c r="Z213" s="37"/>
      <c r="AA213" s="554"/>
      <c r="AB213" s="554"/>
      <c r="AC213" s="554"/>
    </row>
    <row r="214" spans="1:68" ht="14.25" hidden="1" customHeight="1" x14ac:dyDescent="0.25">
      <c r="A214" s="567" t="s">
        <v>77</v>
      </c>
      <c r="B214" s="564"/>
      <c r="C214" s="564"/>
      <c r="D214" s="564"/>
      <c r="E214" s="564"/>
      <c r="F214" s="564"/>
      <c r="G214" s="564"/>
      <c r="H214" s="564"/>
      <c r="I214" s="564"/>
      <c r="J214" s="564"/>
      <c r="K214" s="564"/>
      <c r="L214" s="564"/>
      <c r="M214" s="564"/>
      <c r="N214" s="564"/>
      <c r="O214" s="564"/>
      <c r="P214" s="564"/>
      <c r="Q214" s="564"/>
      <c r="R214" s="564"/>
      <c r="S214" s="564"/>
      <c r="T214" s="564"/>
      <c r="U214" s="564"/>
      <c r="V214" s="564"/>
      <c r="W214" s="564"/>
      <c r="X214" s="564"/>
      <c r="Y214" s="564"/>
      <c r="Z214" s="564"/>
      <c r="AA214" s="547"/>
      <c r="AB214" s="547"/>
      <c r="AC214" s="547"/>
    </row>
    <row r="215" spans="1:68" ht="27" customHeight="1" x14ac:dyDescent="0.25">
      <c r="A215" s="54" t="s">
        <v>353</v>
      </c>
      <c r="B215" s="54" t="s">
        <v>354</v>
      </c>
      <c r="C215" s="31">
        <v>4301051408</v>
      </c>
      <c r="D215" s="558">
        <v>4680115881594</v>
      </c>
      <c r="E215" s="559"/>
      <c r="F215" s="550">
        <v>1.35</v>
      </c>
      <c r="G215" s="32">
        <v>6</v>
      </c>
      <c r="H215" s="550">
        <v>8.1</v>
      </c>
      <c r="I215" s="550">
        <v>8.5939999999999994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6"/>
      <c r="R215" s="556"/>
      <c r="S215" s="556"/>
      <c r="T215" s="557"/>
      <c r="U215" s="34"/>
      <c r="V215" s="34"/>
      <c r="W215" s="35" t="s">
        <v>69</v>
      </c>
      <c r="X215" s="551">
        <v>20</v>
      </c>
      <c r="Y215" s="552">
        <f t="shared" ref="Y215:Y223" si="20">IFERROR(IF(X215="",0,CEILING((X215/$H215),1)*$H215),"")</f>
        <v>24.299999999999997</v>
      </c>
      <c r="Z215" s="36">
        <f>IFERROR(IF(Y215=0,"",ROUNDUP(Y215/H215,0)*0.01898),"")</f>
        <v>5.6940000000000004E-2</v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ref="BM215:BM223" si="21">IFERROR(X215*I215/H215,"0")</f>
        <v>21.219753086419754</v>
      </c>
      <c r="BN215" s="64">
        <f t="shared" ref="BN215:BN223" si="22">IFERROR(Y215*I215/H215,"0")</f>
        <v>25.781999999999996</v>
      </c>
      <c r="BO215" s="64">
        <f t="shared" ref="BO215:BO223" si="23">IFERROR(1/J215*(X215/H215),"0")</f>
        <v>3.8580246913580252E-2</v>
      </c>
      <c r="BP215" s="64">
        <f t="shared" ref="BP215:BP223" si="24">IFERROR(1/J215*(Y215/H215),"0")</f>
        <v>4.6875E-2</v>
      </c>
    </row>
    <row r="216" spans="1:68" ht="27" customHeight="1" x14ac:dyDescent="0.25">
      <c r="A216" s="54" t="s">
        <v>356</v>
      </c>
      <c r="B216" s="54" t="s">
        <v>357</v>
      </c>
      <c r="C216" s="31">
        <v>4301051411</v>
      </c>
      <c r="D216" s="558">
        <v>4680115881617</v>
      </c>
      <c r="E216" s="559"/>
      <c r="F216" s="550">
        <v>1.35</v>
      </c>
      <c r="G216" s="32">
        <v>6</v>
      </c>
      <c r="H216" s="550">
        <v>8.1</v>
      </c>
      <c r="I216" s="550">
        <v>8.5760000000000005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2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6"/>
      <c r="R216" s="556"/>
      <c r="S216" s="556"/>
      <c r="T216" s="557"/>
      <c r="U216" s="34"/>
      <c r="V216" s="34"/>
      <c r="W216" s="35" t="s">
        <v>69</v>
      </c>
      <c r="X216" s="551">
        <v>15</v>
      </c>
      <c r="Y216" s="552">
        <f t="shared" si="20"/>
        <v>16.2</v>
      </c>
      <c r="Z216" s="36">
        <f>IFERROR(IF(Y216=0,"",ROUNDUP(Y216/H216,0)*0.01898),"")</f>
        <v>3.7960000000000001E-2</v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21"/>
        <v>15.881481481481485</v>
      </c>
      <c r="BN216" s="64">
        <f t="shared" si="22"/>
        <v>17.152000000000001</v>
      </c>
      <c r="BO216" s="64">
        <f t="shared" si="23"/>
        <v>2.8935185185185185E-2</v>
      </c>
      <c r="BP216" s="64">
        <f t="shared" si="24"/>
        <v>3.125E-2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8">
        <v>4680115880573</v>
      </c>
      <c r="E217" s="559"/>
      <c r="F217" s="550">
        <v>1.45</v>
      </c>
      <c r="G217" s="32">
        <v>6</v>
      </c>
      <c r="H217" s="550">
        <v>8.6999999999999993</v>
      </c>
      <c r="I217" s="550">
        <v>9.1940000000000008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45</v>
      </c>
      <c r="P217" s="74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6"/>
      <c r="R217" s="556"/>
      <c r="S217" s="556"/>
      <c r="T217" s="557"/>
      <c r="U217" s="34"/>
      <c r="V217" s="34"/>
      <c r="W217" s="35" t="s">
        <v>69</v>
      </c>
      <c r="X217" s="551">
        <v>60</v>
      </c>
      <c r="Y217" s="552">
        <f t="shared" si="20"/>
        <v>60.899999999999991</v>
      </c>
      <c r="Z217" s="36">
        <f>IFERROR(IF(Y217=0,"",ROUNDUP(Y217/H217,0)*0.01898),"")</f>
        <v>0.13286000000000001</v>
      </c>
      <c r="AA217" s="56"/>
      <c r="AB217" s="57"/>
      <c r="AC217" s="265" t="s">
        <v>361</v>
      </c>
      <c r="AG217" s="64"/>
      <c r="AJ217" s="68" t="s">
        <v>92</v>
      </c>
      <c r="AK217" s="68">
        <v>69.599999999999994</v>
      </c>
      <c r="BB217" s="266" t="s">
        <v>1</v>
      </c>
      <c r="BM217" s="64">
        <f t="shared" si="21"/>
        <v>63.406896551724152</v>
      </c>
      <c r="BN217" s="64">
        <f t="shared" si="22"/>
        <v>64.358000000000004</v>
      </c>
      <c r="BO217" s="64">
        <f t="shared" si="23"/>
        <v>0.10775862068965518</v>
      </c>
      <c r="BP217" s="64">
        <f t="shared" si="24"/>
        <v>0.109375</v>
      </c>
    </row>
    <row r="218" spans="1:68" ht="37.5" hidden="1" customHeight="1" x14ac:dyDescent="0.25">
      <c r="A218" s="54" t="s">
        <v>362</v>
      </c>
      <c r="B218" s="54" t="s">
        <v>363</v>
      </c>
      <c r="C218" s="31">
        <v>4301051407</v>
      </c>
      <c r="D218" s="558">
        <v>4680115882195</v>
      </c>
      <c r="E218" s="559"/>
      <c r="F218" s="550">
        <v>0.4</v>
      </c>
      <c r="G218" s="32">
        <v>6</v>
      </c>
      <c r="H218" s="550">
        <v>2.4</v>
      </c>
      <c r="I218" s="550">
        <v>2.67</v>
      </c>
      <c r="J218" s="32">
        <v>182</v>
      </c>
      <c r="K218" s="32" t="s">
        <v>67</v>
      </c>
      <c r="L218" s="32" t="s">
        <v>90</v>
      </c>
      <c r="M218" s="33" t="s">
        <v>80</v>
      </c>
      <c r="N218" s="33"/>
      <c r="O218" s="32">
        <v>40</v>
      </c>
      <c r="P218" s="8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6"/>
      <c r="R218" s="556"/>
      <c r="S218" s="556"/>
      <c r="T218" s="557"/>
      <c r="U218" s="34"/>
      <c r="V218" s="34"/>
      <c r="W218" s="35" t="s">
        <v>69</v>
      </c>
      <c r="X218" s="551">
        <v>0</v>
      </c>
      <c r="Y218" s="552">
        <f t="shared" si="20"/>
        <v>0</v>
      </c>
      <c r="Z218" s="36" t="str">
        <f t="shared" ref="Z218:Z223" si="25">IFERROR(IF(Y218=0,"",ROUNDUP(Y218/H218,0)*0.00651),"")</f>
        <v/>
      </c>
      <c r="AA218" s="56"/>
      <c r="AB218" s="57"/>
      <c r="AC218" s="267" t="s">
        <v>364</v>
      </c>
      <c r="AG218" s="64"/>
      <c r="AJ218" s="68" t="s">
        <v>92</v>
      </c>
      <c r="AK218" s="68">
        <v>33.6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hidden="1" customHeight="1" x14ac:dyDescent="0.25">
      <c r="A219" s="54" t="s">
        <v>365</v>
      </c>
      <c r="B219" s="54" t="s">
        <v>366</v>
      </c>
      <c r="C219" s="31">
        <v>4301051752</v>
      </c>
      <c r="D219" s="558">
        <v>4680115882607</v>
      </c>
      <c r="E219" s="559"/>
      <c r="F219" s="550">
        <v>0.3</v>
      </c>
      <c r="G219" s="32">
        <v>6</v>
      </c>
      <c r="H219" s="550">
        <v>1.8</v>
      </c>
      <c r="I219" s="550">
        <v>2.052</v>
      </c>
      <c r="J219" s="32">
        <v>182</v>
      </c>
      <c r="K219" s="32" t="s">
        <v>67</v>
      </c>
      <c r="L219" s="32" t="s">
        <v>90</v>
      </c>
      <c r="M219" s="33" t="s">
        <v>86</v>
      </c>
      <c r="N219" s="33"/>
      <c r="O219" s="32">
        <v>45</v>
      </c>
      <c r="P219" s="7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6"/>
      <c r="R219" s="556"/>
      <c r="S219" s="556"/>
      <c r="T219" s="557"/>
      <c r="U219" s="34"/>
      <c r="V219" s="34"/>
      <c r="W219" s="35" t="s">
        <v>69</v>
      </c>
      <c r="X219" s="551">
        <v>0</v>
      </c>
      <c r="Y219" s="552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 t="s">
        <v>92</v>
      </c>
      <c r="AK219" s="68">
        <v>25.2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8">
        <v>4680115880092</v>
      </c>
      <c r="E220" s="559"/>
      <c r="F220" s="550">
        <v>0.4</v>
      </c>
      <c r="G220" s="32">
        <v>6</v>
      </c>
      <c r="H220" s="550">
        <v>2.4</v>
      </c>
      <c r="I220" s="550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7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6"/>
      <c r="R220" s="556"/>
      <c r="S220" s="556"/>
      <c r="T220" s="557"/>
      <c r="U220" s="34"/>
      <c r="V220" s="34"/>
      <c r="W220" s="35" t="s">
        <v>69</v>
      </c>
      <c r="X220" s="551">
        <v>72</v>
      </c>
      <c r="Y220" s="552">
        <f t="shared" si="20"/>
        <v>72</v>
      </c>
      <c r="Z220" s="36">
        <f t="shared" si="25"/>
        <v>0.1953</v>
      </c>
      <c r="AA220" s="56"/>
      <c r="AB220" s="57"/>
      <c r="AC220" s="271" t="s">
        <v>361</v>
      </c>
      <c r="AG220" s="64"/>
      <c r="AJ220" s="68" t="s">
        <v>92</v>
      </c>
      <c r="AK220" s="68">
        <v>33.6</v>
      </c>
      <c r="BB220" s="272" t="s">
        <v>1</v>
      </c>
      <c r="BM220" s="64">
        <f t="shared" si="21"/>
        <v>79.560000000000016</v>
      </c>
      <c r="BN220" s="64">
        <f t="shared" si="22"/>
        <v>79.560000000000016</v>
      </c>
      <c r="BO220" s="64">
        <f t="shared" si="23"/>
        <v>0.16483516483516486</v>
      </c>
      <c r="BP220" s="64">
        <f t="shared" si="24"/>
        <v>0.16483516483516486</v>
      </c>
    </row>
    <row r="221" spans="1:68" ht="27" hidden="1" customHeight="1" x14ac:dyDescent="0.25">
      <c r="A221" s="54" t="s">
        <v>369</v>
      </c>
      <c r="B221" s="54" t="s">
        <v>370</v>
      </c>
      <c r="C221" s="31">
        <v>4301051668</v>
      </c>
      <c r="D221" s="558">
        <v>4680115880221</v>
      </c>
      <c r="E221" s="559"/>
      <c r="F221" s="550">
        <v>0.4</v>
      </c>
      <c r="G221" s="32">
        <v>6</v>
      </c>
      <c r="H221" s="550">
        <v>2.4</v>
      </c>
      <c r="I221" s="550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6"/>
      <c r="R221" s="556"/>
      <c r="S221" s="556"/>
      <c r="T221" s="557"/>
      <c r="U221" s="34"/>
      <c r="V221" s="34"/>
      <c r="W221" s="35" t="s">
        <v>69</v>
      </c>
      <c r="X221" s="551">
        <v>0</v>
      </c>
      <c r="Y221" s="552">
        <f t="shared" si="20"/>
        <v>0</v>
      </c>
      <c r="Z221" s="36" t="str">
        <f t="shared" si="25"/>
        <v/>
      </c>
      <c r="AA221" s="56"/>
      <c r="AB221" s="57"/>
      <c r="AC221" s="273" t="s">
        <v>361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8">
        <v>4680115880504</v>
      </c>
      <c r="E222" s="559"/>
      <c r="F222" s="550">
        <v>0.4</v>
      </c>
      <c r="G222" s="32">
        <v>6</v>
      </c>
      <c r="H222" s="550">
        <v>2.4</v>
      </c>
      <c r="I222" s="550">
        <v>2.6520000000000001</v>
      </c>
      <c r="J222" s="32">
        <v>182</v>
      </c>
      <c r="K222" s="32" t="s">
        <v>67</v>
      </c>
      <c r="L222" s="32" t="s">
        <v>90</v>
      </c>
      <c r="M222" s="33" t="s">
        <v>86</v>
      </c>
      <c r="N222" s="33"/>
      <c r="O222" s="32">
        <v>40</v>
      </c>
      <c r="P222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6"/>
      <c r="R222" s="556"/>
      <c r="S222" s="556"/>
      <c r="T222" s="557"/>
      <c r="U222" s="34"/>
      <c r="V222" s="34"/>
      <c r="W222" s="35" t="s">
        <v>69</v>
      </c>
      <c r="X222" s="551">
        <v>72</v>
      </c>
      <c r="Y222" s="552">
        <f t="shared" si="20"/>
        <v>72</v>
      </c>
      <c r="Z222" s="36">
        <f t="shared" si="25"/>
        <v>0.1953</v>
      </c>
      <c r="AA222" s="56"/>
      <c r="AB222" s="57"/>
      <c r="AC222" s="275" t="s">
        <v>373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79.560000000000016</v>
      </c>
      <c r="BN222" s="64">
        <f t="shared" si="22"/>
        <v>79.560000000000016</v>
      </c>
      <c r="BO222" s="64">
        <f t="shared" si="23"/>
        <v>0.16483516483516486</v>
      </c>
      <c r="BP222" s="64">
        <f t="shared" si="24"/>
        <v>0.16483516483516486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8">
        <v>4680115882164</v>
      </c>
      <c r="E223" s="559"/>
      <c r="F223" s="550">
        <v>0.4</v>
      </c>
      <c r="G223" s="32">
        <v>6</v>
      </c>
      <c r="H223" s="550">
        <v>2.4</v>
      </c>
      <c r="I223" s="550">
        <v>2.6579999999999999</v>
      </c>
      <c r="J223" s="32">
        <v>182</v>
      </c>
      <c r="K223" s="32" t="s">
        <v>67</v>
      </c>
      <c r="L223" s="32" t="s">
        <v>90</v>
      </c>
      <c r="M223" s="33" t="s">
        <v>80</v>
      </c>
      <c r="N223" s="33"/>
      <c r="O223" s="32">
        <v>40</v>
      </c>
      <c r="P223" s="66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6"/>
      <c r="R223" s="556"/>
      <c r="S223" s="556"/>
      <c r="T223" s="557"/>
      <c r="U223" s="34"/>
      <c r="V223" s="34"/>
      <c r="W223" s="35" t="s">
        <v>69</v>
      </c>
      <c r="X223" s="551">
        <v>72</v>
      </c>
      <c r="Y223" s="552">
        <f t="shared" si="20"/>
        <v>72</v>
      </c>
      <c r="Z223" s="36">
        <f t="shared" si="25"/>
        <v>0.1953</v>
      </c>
      <c r="AA223" s="56"/>
      <c r="AB223" s="57"/>
      <c r="AC223" s="277" t="s">
        <v>358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79.740000000000009</v>
      </c>
      <c r="BN223" s="64">
        <f t="shared" si="22"/>
        <v>79.740000000000009</v>
      </c>
      <c r="BO223" s="64">
        <f t="shared" si="23"/>
        <v>0.16483516483516486</v>
      </c>
      <c r="BP223" s="64">
        <f t="shared" si="24"/>
        <v>0.16483516483516486</v>
      </c>
    </row>
    <row r="224" spans="1:68" x14ac:dyDescent="0.2">
      <c r="A224" s="563"/>
      <c r="B224" s="564"/>
      <c r="C224" s="564"/>
      <c r="D224" s="564"/>
      <c r="E224" s="564"/>
      <c r="F224" s="564"/>
      <c r="G224" s="564"/>
      <c r="H224" s="564"/>
      <c r="I224" s="564"/>
      <c r="J224" s="564"/>
      <c r="K224" s="564"/>
      <c r="L224" s="564"/>
      <c r="M224" s="564"/>
      <c r="N224" s="564"/>
      <c r="O224" s="565"/>
      <c r="P224" s="568" t="s">
        <v>75</v>
      </c>
      <c r="Q224" s="569"/>
      <c r="R224" s="569"/>
      <c r="S224" s="569"/>
      <c r="T224" s="569"/>
      <c r="U224" s="569"/>
      <c r="V224" s="570"/>
      <c r="W224" s="37" t="s">
        <v>76</v>
      </c>
      <c r="X224" s="553">
        <f>IFERROR(X215/H215,"0")+IFERROR(X216/H216,"0")+IFERROR(X217/H217,"0")+IFERROR(X218/H218,"0")+IFERROR(X219/H219,"0")+IFERROR(X220/H220,"0")+IFERROR(X221/H221,"0")+IFERROR(X222/H222,"0")+IFERROR(X223/H223,"0")</f>
        <v>101.21753937845892</v>
      </c>
      <c r="Y224" s="553">
        <f>IFERROR(Y215/H215,"0")+IFERROR(Y216/H216,"0")+IFERROR(Y217/H217,"0")+IFERROR(Y218/H218,"0")+IFERROR(Y219/H219,"0")+IFERROR(Y220/H220,"0")+IFERROR(Y221/H221,"0")+IFERROR(Y222/H222,"0")+IFERROR(Y223/H223,"0")</f>
        <v>102</v>
      </c>
      <c r="Z224" s="55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0.81366000000000005</v>
      </c>
      <c r="AA224" s="554"/>
      <c r="AB224" s="554"/>
      <c r="AC224" s="554"/>
    </row>
    <row r="225" spans="1:68" x14ac:dyDescent="0.2">
      <c r="A225" s="564"/>
      <c r="B225" s="564"/>
      <c r="C225" s="564"/>
      <c r="D225" s="564"/>
      <c r="E225" s="564"/>
      <c r="F225" s="564"/>
      <c r="G225" s="564"/>
      <c r="H225" s="564"/>
      <c r="I225" s="564"/>
      <c r="J225" s="564"/>
      <c r="K225" s="564"/>
      <c r="L225" s="564"/>
      <c r="M225" s="564"/>
      <c r="N225" s="564"/>
      <c r="O225" s="565"/>
      <c r="P225" s="568" t="s">
        <v>75</v>
      </c>
      <c r="Q225" s="569"/>
      <c r="R225" s="569"/>
      <c r="S225" s="569"/>
      <c r="T225" s="569"/>
      <c r="U225" s="569"/>
      <c r="V225" s="570"/>
      <c r="W225" s="37" t="s">
        <v>69</v>
      </c>
      <c r="X225" s="553">
        <f>IFERROR(SUM(X215:X223),"0")</f>
        <v>311</v>
      </c>
      <c r="Y225" s="553">
        <f>IFERROR(SUM(Y215:Y223),"0")</f>
        <v>317.39999999999998</v>
      </c>
      <c r="Z225" s="37"/>
      <c r="AA225" s="554"/>
      <c r="AB225" s="554"/>
      <c r="AC225" s="554"/>
    </row>
    <row r="226" spans="1:68" ht="14.25" hidden="1" customHeight="1" x14ac:dyDescent="0.25">
      <c r="A226" s="567" t="s">
        <v>161</v>
      </c>
      <c r="B226" s="564"/>
      <c r="C226" s="564"/>
      <c r="D226" s="564"/>
      <c r="E226" s="564"/>
      <c r="F226" s="564"/>
      <c r="G226" s="564"/>
      <c r="H226" s="564"/>
      <c r="I226" s="564"/>
      <c r="J226" s="564"/>
      <c r="K226" s="564"/>
      <c r="L226" s="564"/>
      <c r="M226" s="564"/>
      <c r="N226" s="564"/>
      <c r="O226" s="564"/>
      <c r="P226" s="564"/>
      <c r="Q226" s="564"/>
      <c r="R226" s="564"/>
      <c r="S226" s="564"/>
      <c r="T226" s="564"/>
      <c r="U226" s="564"/>
      <c r="V226" s="564"/>
      <c r="W226" s="564"/>
      <c r="X226" s="564"/>
      <c r="Y226" s="564"/>
      <c r="Z226" s="564"/>
      <c r="AA226" s="547"/>
      <c r="AB226" s="547"/>
      <c r="AC226" s="547"/>
    </row>
    <row r="227" spans="1:68" ht="27" customHeight="1" x14ac:dyDescent="0.25">
      <c r="A227" s="54" t="s">
        <v>376</v>
      </c>
      <c r="B227" s="54" t="s">
        <v>377</v>
      </c>
      <c r="C227" s="31">
        <v>4301060463</v>
      </c>
      <c r="D227" s="558">
        <v>4680115880818</v>
      </c>
      <c r="E227" s="559"/>
      <c r="F227" s="550">
        <v>0.4</v>
      </c>
      <c r="G227" s="32">
        <v>6</v>
      </c>
      <c r="H227" s="550">
        <v>2.4</v>
      </c>
      <c r="I227" s="550">
        <v>2.6520000000000001</v>
      </c>
      <c r="J227" s="32">
        <v>182</v>
      </c>
      <c r="K227" s="32" t="s">
        <v>67</v>
      </c>
      <c r="L227" s="32" t="s">
        <v>90</v>
      </c>
      <c r="M227" s="33" t="s">
        <v>86</v>
      </c>
      <c r="N227" s="33"/>
      <c r="O227" s="32">
        <v>40</v>
      </c>
      <c r="P227" s="7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6"/>
      <c r="R227" s="556"/>
      <c r="S227" s="556"/>
      <c r="T227" s="557"/>
      <c r="U227" s="34"/>
      <c r="V227" s="34"/>
      <c r="W227" s="35" t="s">
        <v>69</v>
      </c>
      <c r="X227" s="551">
        <v>14</v>
      </c>
      <c r="Y227" s="552">
        <f>IFERROR(IF(X227="",0,CEILING((X227/$H227),1)*$H227),"")</f>
        <v>14.399999999999999</v>
      </c>
      <c r="Z227" s="36">
        <f>IFERROR(IF(Y227=0,"",ROUNDUP(Y227/H227,0)*0.00651),"")</f>
        <v>3.9059999999999997E-2</v>
      </c>
      <c r="AA227" s="56"/>
      <c r="AB227" s="57"/>
      <c r="AC227" s="279" t="s">
        <v>378</v>
      </c>
      <c r="AG227" s="64"/>
      <c r="AJ227" s="68" t="s">
        <v>92</v>
      </c>
      <c r="AK227" s="68">
        <v>33.6</v>
      </c>
      <c r="BB227" s="280" t="s">
        <v>1</v>
      </c>
      <c r="BM227" s="64">
        <f>IFERROR(X227*I227/H227,"0")</f>
        <v>15.47</v>
      </c>
      <c r="BN227" s="64">
        <f>IFERROR(Y227*I227/H227,"0")</f>
        <v>15.912000000000001</v>
      </c>
      <c r="BO227" s="64">
        <f>IFERROR(1/J227*(X227/H227),"0")</f>
        <v>3.2051282051282055E-2</v>
      </c>
      <c r="BP227" s="64">
        <f>IFERROR(1/J227*(Y227/H227),"0")</f>
        <v>3.2967032967032968E-2</v>
      </c>
    </row>
    <row r="228" spans="1:68" ht="37.5" customHeight="1" x14ac:dyDescent="0.25">
      <c r="A228" s="54" t="s">
        <v>379</v>
      </c>
      <c r="B228" s="54" t="s">
        <v>380</v>
      </c>
      <c r="C228" s="31">
        <v>4301060389</v>
      </c>
      <c r="D228" s="558">
        <v>4680115880801</v>
      </c>
      <c r="E228" s="559"/>
      <c r="F228" s="550">
        <v>0.4</v>
      </c>
      <c r="G228" s="32">
        <v>6</v>
      </c>
      <c r="H228" s="550">
        <v>2.4</v>
      </c>
      <c r="I228" s="550">
        <v>2.6520000000000001</v>
      </c>
      <c r="J228" s="32">
        <v>182</v>
      </c>
      <c r="K228" s="32" t="s">
        <v>67</v>
      </c>
      <c r="L228" s="32"/>
      <c r="M228" s="33" t="s">
        <v>80</v>
      </c>
      <c r="N228" s="33"/>
      <c r="O228" s="32">
        <v>40</v>
      </c>
      <c r="P228" s="85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6"/>
      <c r="R228" s="556"/>
      <c r="S228" s="556"/>
      <c r="T228" s="557"/>
      <c r="U228" s="34"/>
      <c r="V228" s="34"/>
      <c r="W228" s="35" t="s">
        <v>69</v>
      </c>
      <c r="X228" s="551">
        <v>62</v>
      </c>
      <c r="Y228" s="552">
        <f>IFERROR(IF(X228="",0,CEILING((X228/$H228),1)*$H228),"")</f>
        <v>62.4</v>
      </c>
      <c r="Z228" s="36">
        <f>IFERROR(IF(Y228=0,"",ROUNDUP(Y228/H228,0)*0.00651),"")</f>
        <v>0.16925999999999999</v>
      </c>
      <c r="AA228" s="56"/>
      <c r="AB228" s="57"/>
      <c r="AC228" s="281" t="s">
        <v>381</v>
      </c>
      <c r="AG228" s="64"/>
      <c r="AJ228" s="68"/>
      <c r="AK228" s="68">
        <v>0</v>
      </c>
      <c r="BB228" s="282" t="s">
        <v>1</v>
      </c>
      <c r="BM228" s="64">
        <f>IFERROR(X228*I228/H228,"0")</f>
        <v>68.510000000000005</v>
      </c>
      <c r="BN228" s="64">
        <f>IFERROR(Y228*I228/H228,"0")</f>
        <v>68.952000000000012</v>
      </c>
      <c r="BO228" s="64">
        <f>IFERROR(1/J228*(X228/H228),"0")</f>
        <v>0.14194139194139196</v>
      </c>
      <c r="BP228" s="64">
        <f>IFERROR(1/J228*(Y228/H228),"0")</f>
        <v>0.14285714285714288</v>
      </c>
    </row>
    <row r="229" spans="1:68" x14ac:dyDescent="0.2">
      <c r="A229" s="563"/>
      <c r="B229" s="564"/>
      <c r="C229" s="564"/>
      <c r="D229" s="564"/>
      <c r="E229" s="564"/>
      <c r="F229" s="564"/>
      <c r="G229" s="564"/>
      <c r="H229" s="564"/>
      <c r="I229" s="564"/>
      <c r="J229" s="564"/>
      <c r="K229" s="564"/>
      <c r="L229" s="564"/>
      <c r="M229" s="564"/>
      <c r="N229" s="564"/>
      <c r="O229" s="565"/>
      <c r="P229" s="568" t="s">
        <v>75</v>
      </c>
      <c r="Q229" s="569"/>
      <c r="R229" s="569"/>
      <c r="S229" s="569"/>
      <c r="T229" s="569"/>
      <c r="U229" s="569"/>
      <c r="V229" s="570"/>
      <c r="W229" s="37" t="s">
        <v>76</v>
      </c>
      <c r="X229" s="553">
        <f>IFERROR(X227/H227,"0")+IFERROR(X228/H228,"0")</f>
        <v>31.666666666666671</v>
      </c>
      <c r="Y229" s="553">
        <f>IFERROR(Y227/H227,"0")+IFERROR(Y228/H228,"0")</f>
        <v>32</v>
      </c>
      <c r="Z229" s="553">
        <f>IFERROR(IF(Z227="",0,Z227),"0")+IFERROR(IF(Z228="",0,Z228),"0")</f>
        <v>0.20832000000000001</v>
      </c>
      <c r="AA229" s="554"/>
      <c r="AB229" s="554"/>
      <c r="AC229" s="554"/>
    </row>
    <row r="230" spans="1:68" x14ac:dyDescent="0.2">
      <c r="A230" s="564"/>
      <c r="B230" s="564"/>
      <c r="C230" s="564"/>
      <c r="D230" s="564"/>
      <c r="E230" s="564"/>
      <c r="F230" s="564"/>
      <c r="G230" s="564"/>
      <c r="H230" s="564"/>
      <c r="I230" s="564"/>
      <c r="J230" s="564"/>
      <c r="K230" s="564"/>
      <c r="L230" s="564"/>
      <c r="M230" s="564"/>
      <c r="N230" s="564"/>
      <c r="O230" s="565"/>
      <c r="P230" s="568" t="s">
        <v>75</v>
      </c>
      <c r="Q230" s="569"/>
      <c r="R230" s="569"/>
      <c r="S230" s="569"/>
      <c r="T230" s="569"/>
      <c r="U230" s="569"/>
      <c r="V230" s="570"/>
      <c r="W230" s="37" t="s">
        <v>69</v>
      </c>
      <c r="X230" s="553">
        <f>IFERROR(SUM(X227:X228),"0")</f>
        <v>76</v>
      </c>
      <c r="Y230" s="553">
        <f>IFERROR(SUM(Y227:Y228),"0")</f>
        <v>76.8</v>
      </c>
      <c r="Z230" s="37"/>
      <c r="AA230" s="554"/>
      <c r="AB230" s="554"/>
      <c r="AC230" s="554"/>
    </row>
    <row r="231" spans="1:68" ht="16.5" hidden="1" customHeight="1" x14ac:dyDescent="0.25">
      <c r="A231" s="576" t="s">
        <v>382</v>
      </c>
      <c r="B231" s="564"/>
      <c r="C231" s="564"/>
      <c r="D231" s="564"/>
      <c r="E231" s="564"/>
      <c r="F231" s="564"/>
      <c r="G231" s="564"/>
      <c r="H231" s="564"/>
      <c r="I231" s="564"/>
      <c r="J231" s="564"/>
      <c r="K231" s="564"/>
      <c r="L231" s="564"/>
      <c r="M231" s="564"/>
      <c r="N231" s="564"/>
      <c r="O231" s="564"/>
      <c r="P231" s="564"/>
      <c r="Q231" s="564"/>
      <c r="R231" s="564"/>
      <c r="S231" s="564"/>
      <c r="T231" s="564"/>
      <c r="U231" s="564"/>
      <c r="V231" s="564"/>
      <c r="W231" s="564"/>
      <c r="X231" s="564"/>
      <c r="Y231" s="564"/>
      <c r="Z231" s="564"/>
      <c r="AA231" s="546"/>
      <c r="AB231" s="546"/>
      <c r="AC231" s="546"/>
    </row>
    <row r="232" spans="1:68" ht="14.25" hidden="1" customHeight="1" x14ac:dyDescent="0.25">
      <c r="A232" s="567" t="s">
        <v>101</v>
      </c>
      <c r="B232" s="564"/>
      <c r="C232" s="564"/>
      <c r="D232" s="564"/>
      <c r="E232" s="564"/>
      <c r="F232" s="564"/>
      <c r="G232" s="564"/>
      <c r="H232" s="564"/>
      <c r="I232" s="564"/>
      <c r="J232" s="564"/>
      <c r="K232" s="564"/>
      <c r="L232" s="564"/>
      <c r="M232" s="564"/>
      <c r="N232" s="564"/>
      <c r="O232" s="564"/>
      <c r="P232" s="564"/>
      <c r="Q232" s="564"/>
      <c r="R232" s="564"/>
      <c r="S232" s="564"/>
      <c r="T232" s="564"/>
      <c r="U232" s="564"/>
      <c r="V232" s="564"/>
      <c r="W232" s="564"/>
      <c r="X232" s="564"/>
      <c r="Y232" s="564"/>
      <c r="Z232" s="564"/>
      <c r="AA232" s="547"/>
      <c r="AB232" s="547"/>
      <c r="AC232" s="547"/>
    </row>
    <row r="233" spans="1:68" ht="27" hidden="1" customHeight="1" x14ac:dyDescent="0.25">
      <c r="A233" s="54" t="s">
        <v>383</v>
      </c>
      <c r="B233" s="54" t="s">
        <v>384</v>
      </c>
      <c r="C233" s="31">
        <v>4301011826</v>
      </c>
      <c r="D233" s="558">
        <v>4680115884137</v>
      </c>
      <c r="E233" s="559"/>
      <c r="F233" s="550">
        <v>1.45</v>
      </c>
      <c r="G233" s="32">
        <v>8</v>
      </c>
      <c r="H233" s="550">
        <v>11.6</v>
      </c>
      <c r="I233" s="550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5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6"/>
      <c r="R233" s="556"/>
      <c r="S233" s="556"/>
      <c r="T233" s="557"/>
      <c r="U233" s="34"/>
      <c r="V233" s="34"/>
      <c r="W233" s="35" t="s">
        <v>69</v>
      </c>
      <c r="X233" s="551">
        <v>0</v>
      </c>
      <c r="Y233" s="552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4301011724</v>
      </c>
      <c r="D234" s="558">
        <v>4680115884236</v>
      </c>
      <c r="E234" s="559"/>
      <c r="F234" s="550">
        <v>1.45</v>
      </c>
      <c r="G234" s="32">
        <v>8</v>
      </c>
      <c r="H234" s="550">
        <v>11.6</v>
      </c>
      <c r="I234" s="550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1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6"/>
      <c r="R234" s="556"/>
      <c r="S234" s="556"/>
      <c r="T234" s="557"/>
      <c r="U234" s="34"/>
      <c r="V234" s="34"/>
      <c r="W234" s="35" t="s">
        <v>69</v>
      </c>
      <c r="X234" s="551">
        <v>0</v>
      </c>
      <c r="Y234" s="552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4301011721</v>
      </c>
      <c r="D235" s="558">
        <v>4680115884175</v>
      </c>
      <c r="E235" s="559"/>
      <c r="F235" s="550">
        <v>1.45</v>
      </c>
      <c r="G235" s="32">
        <v>8</v>
      </c>
      <c r="H235" s="550">
        <v>11.6</v>
      </c>
      <c r="I235" s="550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5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6"/>
      <c r="R235" s="556"/>
      <c r="S235" s="556"/>
      <c r="T235" s="557"/>
      <c r="U235" s="34"/>
      <c r="V235" s="34"/>
      <c r="W235" s="35" t="s">
        <v>69</v>
      </c>
      <c r="X235" s="551">
        <v>0</v>
      </c>
      <c r="Y235" s="552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392</v>
      </c>
      <c r="B236" s="54" t="s">
        <v>393</v>
      </c>
      <c r="C236" s="31">
        <v>4301011824</v>
      </c>
      <c r="D236" s="558">
        <v>4680115884144</v>
      </c>
      <c r="E236" s="559"/>
      <c r="F236" s="550">
        <v>0.4</v>
      </c>
      <c r="G236" s="32">
        <v>10</v>
      </c>
      <c r="H236" s="550">
        <v>4</v>
      </c>
      <c r="I236" s="550">
        <v>4.1900000000000004</v>
      </c>
      <c r="J236" s="32">
        <v>132</v>
      </c>
      <c r="K236" s="32" t="s">
        <v>110</v>
      </c>
      <c r="L236" s="32" t="s">
        <v>111</v>
      </c>
      <c r="M236" s="33" t="s">
        <v>106</v>
      </c>
      <c r="N236" s="33"/>
      <c r="O236" s="32">
        <v>55</v>
      </c>
      <c r="P236" s="61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6"/>
      <c r="R236" s="556"/>
      <c r="S236" s="556"/>
      <c r="T236" s="557"/>
      <c r="U236" s="34"/>
      <c r="V236" s="34"/>
      <c r="W236" s="35" t="s">
        <v>69</v>
      </c>
      <c r="X236" s="551">
        <v>0</v>
      </c>
      <c r="Y236" s="552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 t="s">
        <v>92</v>
      </c>
      <c r="AK236" s="68">
        <v>48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392</v>
      </c>
      <c r="B237" s="54" t="s">
        <v>394</v>
      </c>
      <c r="C237" s="31">
        <v>4301012196</v>
      </c>
      <c r="D237" s="558">
        <v>4680115884144</v>
      </c>
      <c r="E237" s="559"/>
      <c r="F237" s="550">
        <v>0.4</v>
      </c>
      <c r="G237" s="32">
        <v>10</v>
      </c>
      <c r="H237" s="550">
        <v>4</v>
      </c>
      <c r="I237" s="550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63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6"/>
      <c r="R237" s="556"/>
      <c r="S237" s="556"/>
      <c r="T237" s="557"/>
      <c r="U237" s="34"/>
      <c r="V237" s="34"/>
      <c r="W237" s="35" t="s">
        <v>69</v>
      </c>
      <c r="X237" s="551">
        <v>0</v>
      </c>
      <c r="Y237" s="552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4301012149</v>
      </c>
      <c r="D238" s="558">
        <v>4680115886551</v>
      </c>
      <c r="E238" s="559"/>
      <c r="F238" s="550">
        <v>0.4</v>
      </c>
      <c r="G238" s="32">
        <v>10</v>
      </c>
      <c r="H238" s="550">
        <v>4</v>
      </c>
      <c r="I238" s="550">
        <v>4.1900000000000004</v>
      </c>
      <c r="J238" s="32">
        <v>132</v>
      </c>
      <c r="K238" s="32" t="s">
        <v>110</v>
      </c>
      <c r="L238" s="32"/>
      <c r="M238" s="33" t="s">
        <v>106</v>
      </c>
      <c r="N238" s="33"/>
      <c r="O238" s="32">
        <v>55</v>
      </c>
      <c r="P238" s="74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6"/>
      <c r="R238" s="556"/>
      <c r="S238" s="556"/>
      <c r="T238" s="557"/>
      <c r="U238" s="34"/>
      <c r="V238" s="34"/>
      <c r="W238" s="35" t="s">
        <v>69</v>
      </c>
      <c r="X238" s="551">
        <v>0</v>
      </c>
      <c r="Y238" s="552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4301012228</v>
      </c>
      <c r="D239" s="558">
        <v>4680115887282</v>
      </c>
      <c r="E239" s="559"/>
      <c r="F239" s="550">
        <v>0.4</v>
      </c>
      <c r="G239" s="32">
        <v>6</v>
      </c>
      <c r="H239" s="550">
        <v>2.4</v>
      </c>
      <c r="I239" s="550">
        <v>2.58</v>
      </c>
      <c r="J239" s="32">
        <v>182</v>
      </c>
      <c r="K239" s="32" t="s">
        <v>67</v>
      </c>
      <c r="L239" s="32"/>
      <c r="M239" s="33" t="s">
        <v>106</v>
      </c>
      <c r="N239" s="33"/>
      <c r="O239" s="32">
        <v>55</v>
      </c>
      <c r="P239" s="6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6"/>
      <c r="R239" s="556"/>
      <c r="S239" s="556"/>
      <c r="T239" s="557"/>
      <c r="U239" s="34"/>
      <c r="V239" s="34"/>
      <c r="W239" s="35" t="s">
        <v>69</v>
      </c>
      <c r="X239" s="551">
        <v>0</v>
      </c>
      <c r="Y239" s="552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402</v>
      </c>
      <c r="C240" s="31">
        <v>4301011722</v>
      </c>
      <c r="D240" s="558">
        <v>4680115884205</v>
      </c>
      <c r="E240" s="559"/>
      <c r="F240" s="550">
        <v>0.4</v>
      </c>
      <c r="G240" s="32">
        <v>10</v>
      </c>
      <c r="H240" s="550">
        <v>4</v>
      </c>
      <c r="I240" s="550">
        <v>4.1900000000000004</v>
      </c>
      <c r="J240" s="32">
        <v>132</v>
      </c>
      <c r="K240" s="32" t="s">
        <v>110</v>
      </c>
      <c r="L240" s="32" t="s">
        <v>111</v>
      </c>
      <c r="M240" s="33" t="s">
        <v>106</v>
      </c>
      <c r="N240" s="33"/>
      <c r="O240" s="32">
        <v>55</v>
      </c>
      <c r="P240" s="64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6"/>
      <c r="R240" s="556"/>
      <c r="S240" s="556"/>
      <c r="T240" s="557"/>
      <c r="U240" s="34"/>
      <c r="V240" s="34"/>
      <c r="W240" s="35" t="s">
        <v>69</v>
      </c>
      <c r="X240" s="551">
        <v>0</v>
      </c>
      <c r="Y240" s="552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 t="s">
        <v>92</v>
      </c>
      <c r="AK240" s="68">
        <v>48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401</v>
      </c>
      <c r="B241" s="54" t="s">
        <v>403</v>
      </c>
      <c r="C241" s="31">
        <v>4301012195</v>
      </c>
      <c r="D241" s="558">
        <v>4680115884205</v>
      </c>
      <c r="E241" s="559"/>
      <c r="F241" s="550">
        <v>0.4</v>
      </c>
      <c r="G241" s="32">
        <v>10</v>
      </c>
      <c r="H241" s="550">
        <v>4</v>
      </c>
      <c r="I241" s="550">
        <v>4.1900000000000004</v>
      </c>
      <c r="J241" s="32">
        <v>132</v>
      </c>
      <c r="K241" s="32" t="s">
        <v>110</v>
      </c>
      <c r="L241" s="32"/>
      <c r="M241" s="33" t="s">
        <v>106</v>
      </c>
      <c r="N241" s="33"/>
      <c r="O241" s="32">
        <v>55</v>
      </c>
      <c r="P241" s="81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6"/>
      <c r="R241" s="556"/>
      <c r="S241" s="556"/>
      <c r="T241" s="557"/>
      <c r="U241" s="34"/>
      <c r="V241" s="34"/>
      <c r="W241" s="35" t="s">
        <v>69</v>
      </c>
      <c r="X241" s="551">
        <v>0</v>
      </c>
      <c r="Y241" s="552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idden="1" x14ac:dyDescent="0.2">
      <c r="A242" s="563"/>
      <c r="B242" s="564"/>
      <c r="C242" s="564"/>
      <c r="D242" s="564"/>
      <c r="E242" s="564"/>
      <c r="F242" s="564"/>
      <c r="G242" s="564"/>
      <c r="H242" s="564"/>
      <c r="I242" s="564"/>
      <c r="J242" s="564"/>
      <c r="K242" s="564"/>
      <c r="L242" s="564"/>
      <c r="M242" s="564"/>
      <c r="N242" s="564"/>
      <c r="O242" s="565"/>
      <c r="P242" s="568" t="s">
        <v>75</v>
      </c>
      <c r="Q242" s="569"/>
      <c r="R242" s="569"/>
      <c r="S242" s="569"/>
      <c r="T242" s="569"/>
      <c r="U242" s="569"/>
      <c r="V242" s="570"/>
      <c r="W242" s="37" t="s">
        <v>76</v>
      </c>
      <c r="X242" s="553">
        <f>IFERROR(X233/H233,"0")+IFERROR(X234/H234,"0")+IFERROR(X235/H235,"0")+IFERROR(X236/H236,"0")+IFERROR(X237/H237,"0")+IFERROR(X238/H238,"0")+IFERROR(X239/H239,"0")+IFERROR(X240/H240,"0")+IFERROR(X241/H241,"0")</f>
        <v>0</v>
      </c>
      <c r="Y242" s="553">
        <f>IFERROR(Y233/H233,"0")+IFERROR(Y234/H234,"0")+IFERROR(Y235/H235,"0")+IFERROR(Y236/H236,"0")+IFERROR(Y237/H237,"0")+IFERROR(Y238/H238,"0")+IFERROR(Y239/H239,"0")+IFERROR(Y240/H240,"0")+IFERROR(Y241/H241,"0")</f>
        <v>0</v>
      </c>
      <c r="Z242" s="55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554"/>
      <c r="AB242" s="554"/>
      <c r="AC242" s="554"/>
    </row>
    <row r="243" spans="1:68" hidden="1" x14ac:dyDescent="0.2">
      <c r="A243" s="564"/>
      <c r="B243" s="564"/>
      <c r="C243" s="564"/>
      <c r="D243" s="564"/>
      <c r="E243" s="564"/>
      <c r="F243" s="564"/>
      <c r="G243" s="564"/>
      <c r="H243" s="564"/>
      <c r="I243" s="564"/>
      <c r="J243" s="564"/>
      <c r="K243" s="564"/>
      <c r="L243" s="564"/>
      <c r="M243" s="564"/>
      <c r="N243" s="564"/>
      <c r="O243" s="565"/>
      <c r="P243" s="568" t="s">
        <v>75</v>
      </c>
      <c r="Q243" s="569"/>
      <c r="R243" s="569"/>
      <c r="S243" s="569"/>
      <c r="T243" s="569"/>
      <c r="U243" s="569"/>
      <c r="V243" s="570"/>
      <c r="W243" s="37" t="s">
        <v>69</v>
      </c>
      <c r="X243" s="553">
        <f>IFERROR(SUM(X233:X241),"0")</f>
        <v>0</v>
      </c>
      <c r="Y243" s="553">
        <f>IFERROR(SUM(Y233:Y241),"0")</f>
        <v>0</v>
      </c>
      <c r="Z243" s="37"/>
      <c r="AA243" s="554"/>
      <c r="AB243" s="554"/>
      <c r="AC243" s="554"/>
    </row>
    <row r="244" spans="1:68" ht="14.25" hidden="1" customHeight="1" x14ac:dyDescent="0.25">
      <c r="A244" s="567" t="s">
        <v>136</v>
      </c>
      <c r="B244" s="564"/>
      <c r="C244" s="564"/>
      <c r="D244" s="564"/>
      <c r="E244" s="564"/>
      <c r="F244" s="564"/>
      <c r="G244" s="564"/>
      <c r="H244" s="564"/>
      <c r="I244" s="564"/>
      <c r="J244" s="564"/>
      <c r="K244" s="564"/>
      <c r="L244" s="564"/>
      <c r="M244" s="564"/>
      <c r="N244" s="564"/>
      <c r="O244" s="564"/>
      <c r="P244" s="564"/>
      <c r="Q244" s="564"/>
      <c r="R244" s="564"/>
      <c r="S244" s="564"/>
      <c r="T244" s="564"/>
      <c r="U244" s="564"/>
      <c r="V244" s="564"/>
      <c r="W244" s="564"/>
      <c r="X244" s="564"/>
      <c r="Y244" s="564"/>
      <c r="Z244" s="564"/>
      <c r="AA244" s="547"/>
      <c r="AB244" s="547"/>
      <c r="AC244" s="547"/>
    </row>
    <row r="245" spans="1:68" ht="27" hidden="1" customHeight="1" x14ac:dyDescent="0.25">
      <c r="A245" s="54" t="s">
        <v>404</v>
      </c>
      <c r="B245" s="54" t="s">
        <v>405</v>
      </c>
      <c r="C245" s="31">
        <v>4301020377</v>
      </c>
      <c r="D245" s="558">
        <v>4680115885981</v>
      </c>
      <c r="E245" s="559"/>
      <c r="F245" s="550">
        <v>0.33</v>
      </c>
      <c r="G245" s="32">
        <v>6</v>
      </c>
      <c r="H245" s="550">
        <v>1.98</v>
      </c>
      <c r="I245" s="550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67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6"/>
      <c r="R245" s="556"/>
      <c r="S245" s="556"/>
      <c r="T245" s="557"/>
      <c r="U245" s="34"/>
      <c r="V245" s="34"/>
      <c r="W245" s="35" t="s">
        <v>69</v>
      </c>
      <c r="X245" s="551">
        <v>0</v>
      </c>
      <c r="Y245" s="552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563"/>
      <c r="B246" s="564"/>
      <c r="C246" s="564"/>
      <c r="D246" s="564"/>
      <c r="E246" s="564"/>
      <c r="F246" s="564"/>
      <c r="G246" s="564"/>
      <c r="H246" s="564"/>
      <c r="I246" s="564"/>
      <c r="J246" s="564"/>
      <c r="K246" s="564"/>
      <c r="L246" s="564"/>
      <c r="M246" s="564"/>
      <c r="N246" s="564"/>
      <c r="O246" s="565"/>
      <c r="P246" s="568" t="s">
        <v>75</v>
      </c>
      <c r="Q246" s="569"/>
      <c r="R246" s="569"/>
      <c r="S246" s="569"/>
      <c r="T246" s="569"/>
      <c r="U246" s="569"/>
      <c r="V246" s="570"/>
      <c r="W246" s="37" t="s">
        <v>76</v>
      </c>
      <c r="X246" s="553">
        <f>IFERROR(X245/H245,"0")</f>
        <v>0</v>
      </c>
      <c r="Y246" s="553">
        <f>IFERROR(Y245/H245,"0")</f>
        <v>0</v>
      </c>
      <c r="Z246" s="553">
        <f>IFERROR(IF(Z245="",0,Z245),"0")</f>
        <v>0</v>
      </c>
      <c r="AA246" s="554"/>
      <c r="AB246" s="554"/>
      <c r="AC246" s="554"/>
    </row>
    <row r="247" spans="1:68" hidden="1" x14ac:dyDescent="0.2">
      <c r="A247" s="564"/>
      <c r="B247" s="564"/>
      <c r="C247" s="564"/>
      <c r="D247" s="564"/>
      <c r="E247" s="564"/>
      <c r="F247" s="564"/>
      <c r="G247" s="564"/>
      <c r="H247" s="564"/>
      <c r="I247" s="564"/>
      <c r="J247" s="564"/>
      <c r="K247" s="564"/>
      <c r="L247" s="564"/>
      <c r="M247" s="564"/>
      <c r="N247" s="564"/>
      <c r="O247" s="565"/>
      <c r="P247" s="568" t="s">
        <v>75</v>
      </c>
      <c r="Q247" s="569"/>
      <c r="R247" s="569"/>
      <c r="S247" s="569"/>
      <c r="T247" s="569"/>
      <c r="U247" s="569"/>
      <c r="V247" s="570"/>
      <c r="W247" s="37" t="s">
        <v>69</v>
      </c>
      <c r="X247" s="553">
        <f>IFERROR(SUM(X245:X245),"0")</f>
        <v>0</v>
      </c>
      <c r="Y247" s="553">
        <f>IFERROR(SUM(Y245:Y245),"0")</f>
        <v>0</v>
      </c>
      <c r="Z247" s="37"/>
      <c r="AA247" s="554"/>
      <c r="AB247" s="554"/>
      <c r="AC247" s="554"/>
    </row>
    <row r="248" spans="1:68" ht="14.25" hidden="1" customHeight="1" x14ac:dyDescent="0.25">
      <c r="A248" s="567" t="s">
        <v>407</v>
      </c>
      <c r="B248" s="564"/>
      <c r="C248" s="564"/>
      <c r="D248" s="564"/>
      <c r="E248" s="564"/>
      <c r="F248" s="564"/>
      <c r="G248" s="564"/>
      <c r="H248" s="564"/>
      <c r="I248" s="564"/>
      <c r="J248" s="564"/>
      <c r="K248" s="564"/>
      <c r="L248" s="564"/>
      <c r="M248" s="564"/>
      <c r="N248" s="564"/>
      <c r="O248" s="564"/>
      <c r="P248" s="564"/>
      <c r="Q248" s="564"/>
      <c r="R248" s="564"/>
      <c r="S248" s="564"/>
      <c r="T248" s="564"/>
      <c r="U248" s="564"/>
      <c r="V248" s="564"/>
      <c r="W248" s="564"/>
      <c r="X248" s="564"/>
      <c r="Y248" s="564"/>
      <c r="Z248" s="564"/>
      <c r="AA248" s="547"/>
      <c r="AB248" s="547"/>
      <c r="AC248" s="547"/>
    </row>
    <row r="249" spans="1:68" ht="27" hidden="1" customHeight="1" x14ac:dyDescent="0.25">
      <c r="A249" s="54" t="s">
        <v>408</v>
      </c>
      <c r="B249" s="54" t="s">
        <v>409</v>
      </c>
      <c r="C249" s="31">
        <v>4301040362</v>
      </c>
      <c r="D249" s="558">
        <v>4680115886803</v>
      </c>
      <c r="E249" s="559"/>
      <c r="F249" s="550">
        <v>0.12</v>
      </c>
      <c r="G249" s="32">
        <v>15</v>
      </c>
      <c r="H249" s="550">
        <v>1.8</v>
      </c>
      <c r="I249" s="550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5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6"/>
      <c r="R249" s="556"/>
      <c r="S249" s="556"/>
      <c r="T249" s="557"/>
      <c r="U249" s="34"/>
      <c r="V249" s="34"/>
      <c r="W249" s="35" t="s">
        <v>69</v>
      </c>
      <c r="X249" s="551">
        <v>0</v>
      </c>
      <c r="Y249" s="55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63"/>
      <c r="B250" s="564"/>
      <c r="C250" s="564"/>
      <c r="D250" s="564"/>
      <c r="E250" s="564"/>
      <c r="F250" s="564"/>
      <c r="G250" s="564"/>
      <c r="H250" s="564"/>
      <c r="I250" s="564"/>
      <c r="J250" s="564"/>
      <c r="K250" s="564"/>
      <c r="L250" s="564"/>
      <c r="M250" s="564"/>
      <c r="N250" s="564"/>
      <c r="O250" s="565"/>
      <c r="P250" s="568" t="s">
        <v>75</v>
      </c>
      <c r="Q250" s="569"/>
      <c r="R250" s="569"/>
      <c r="S250" s="569"/>
      <c r="T250" s="569"/>
      <c r="U250" s="569"/>
      <c r="V250" s="570"/>
      <c r="W250" s="37" t="s">
        <v>76</v>
      </c>
      <c r="X250" s="553">
        <f>IFERROR(X249/H249,"0")</f>
        <v>0</v>
      </c>
      <c r="Y250" s="553">
        <f>IFERROR(Y249/H249,"0")</f>
        <v>0</v>
      </c>
      <c r="Z250" s="553">
        <f>IFERROR(IF(Z249="",0,Z249),"0")</f>
        <v>0</v>
      </c>
      <c r="AA250" s="554"/>
      <c r="AB250" s="554"/>
      <c r="AC250" s="554"/>
    </row>
    <row r="251" spans="1:68" hidden="1" x14ac:dyDescent="0.2">
      <c r="A251" s="564"/>
      <c r="B251" s="564"/>
      <c r="C251" s="564"/>
      <c r="D251" s="564"/>
      <c r="E251" s="564"/>
      <c r="F251" s="564"/>
      <c r="G251" s="564"/>
      <c r="H251" s="564"/>
      <c r="I251" s="564"/>
      <c r="J251" s="564"/>
      <c r="K251" s="564"/>
      <c r="L251" s="564"/>
      <c r="M251" s="564"/>
      <c r="N251" s="564"/>
      <c r="O251" s="565"/>
      <c r="P251" s="568" t="s">
        <v>75</v>
      </c>
      <c r="Q251" s="569"/>
      <c r="R251" s="569"/>
      <c r="S251" s="569"/>
      <c r="T251" s="569"/>
      <c r="U251" s="569"/>
      <c r="V251" s="570"/>
      <c r="W251" s="37" t="s">
        <v>69</v>
      </c>
      <c r="X251" s="553">
        <f>IFERROR(SUM(X249:X249),"0")</f>
        <v>0</v>
      </c>
      <c r="Y251" s="553">
        <f>IFERROR(SUM(Y249:Y249),"0")</f>
        <v>0</v>
      </c>
      <c r="Z251" s="37"/>
      <c r="AA251" s="554"/>
      <c r="AB251" s="554"/>
      <c r="AC251" s="554"/>
    </row>
    <row r="252" spans="1:68" ht="14.25" hidden="1" customHeight="1" x14ac:dyDescent="0.25">
      <c r="A252" s="567" t="s">
        <v>411</v>
      </c>
      <c r="B252" s="564"/>
      <c r="C252" s="564"/>
      <c r="D252" s="564"/>
      <c r="E252" s="564"/>
      <c r="F252" s="564"/>
      <c r="G252" s="564"/>
      <c r="H252" s="564"/>
      <c r="I252" s="564"/>
      <c r="J252" s="564"/>
      <c r="K252" s="564"/>
      <c r="L252" s="564"/>
      <c r="M252" s="564"/>
      <c r="N252" s="564"/>
      <c r="O252" s="564"/>
      <c r="P252" s="564"/>
      <c r="Q252" s="564"/>
      <c r="R252" s="564"/>
      <c r="S252" s="564"/>
      <c r="T252" s="564"/>
      <c r="U252" s="564"/>
      <c r="V252" s="564"/>
      <c r="W252" s="564"/>
      <c r="X252" s="564"/>
      <c r="Y252" s="564"/>
      <c r="Z252" s="564"/>
      <c r="AA252" s="547"/>
      <c r="AB252" s="547"/>
      <c r="AC252" s="547"/>
    </row>
    <row r="253" spans="1:68" ht="27" hidden="1" customHeight="1" x14ac:dyDescent="0.25">
      <c r="A253" s="54" t="s">
        <v>412</v>
      </c>
      <c r="B253" s="54" t="s">
        <v>413</v>
      </c>
      <c r="C253" s="31">
        <v>4301041004</v>
      </c>
      <c r="D253" s="558">
        <v>4680115886704</v>
      </c>
      <c r="E253" s="559"/>
      <c r="F253" s="550">
        <v>5.5E-2</v>
      </c>
      <c r="G253" s="32">
        <v>18</v>
      </c>
      <c r="H253" s="550">
        <v>0.99</v>
      </c>
      <c r="I253" s="550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3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6"/>
      <c r="R253" s="556"/>
      <c r="S253" s="556"/>
      <c r="T253" s="557"/>
      <c r="U253" s="34"/>
      <c r="V253" s="34"/>
      <c r="W253" s="35" t="s">
        <v>69</v>
      </c>
      <c r="X253" s="551">
        <v>0</v>
      </c>
      <c r="Y253" s="552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415</v>
      </c>
      <c r="B254" s="54" t="s">
        <v>416</v>
      </c>
      <c r="C254" s="31">
        <v>4301041008</v>
      </c>
      <c r="D254" s="558">
        <v>4680115886681</v>
      </c>
      <c r="E254" s="559"/>
      <c r="F254" s="550">
        <v>0.12</v>
      </c>
      <c r="G254" s="32">
        <v>15</v>
      </c>
      <c r="H254" s="550">
        <v>1.8</v>
      </c>
      <c r="I254" s="550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7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6"/>
      <c r="R254" s="556"/>
      <c r="S254" s="556"/>
      <c r="T254" s="557"/>
      <c r="U254" s="34"/>
      <c r="V254" s="34"/>
      <c r="W254" s="35" t="s">
        <v>69</v>
      </c>
      <c r="X254" s="551">
        <v>0</v>
      </c>
      <c r="Y254" s="552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417</v>
      </c>
      <c r="B255" s="54" t="s">
        <v>418</v>
      </c>
      <c r="C255" s="31">
        <v>4301041007</v>
      </c>
      <c r="D255" s="558">
        <v>4680115886735</v>
      </c>
      <c r="E255" s="559"/>
      <c r="F255" s="550">
        <v>0.05</v>
      </c>
      <c r="G255" s="32">
        <v>18</v>
      </c>
      <c r="H255" s="550">
        <v>0.9</v>
      </c>
      <c r="I255" s="550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5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6"/>
      <c r="R255" s="556"/>
      <c r="S255" s="556"/>
      <c r="T255" s="557"/>
      <c r="U255" s="34"/>
      <c r="V255" s="34"/>
      <c r="W255" s="35" t="s">
        <v>69</v>
      </c>
      <c r="X255" s="551">
        <v>0</v>
      </c>
      <c r="Y255" s="55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4301041006</v>
      </c>
      <c r="D256" s="558">
        <v>4680115886728</v>
      </c>
      <c r="E256" s="559"/>
      <c r="F256" s="550">
        <v>5.5E-2</v>
      </c>
      <c r="G256" s="32">
        <v>18</v>
      </c>
      <c r="H256" s="550">
        <v>0.99</v>
      </c>
      <c r="I256" s="550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7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6"/>
      <c r="R256" s="556"/>
      <c r="S256" s="556"/>
      <c r="T256" s="557"/>
      <c r="U256" s="34"/>
      <c r="V256" s="34"/>
      <c r="W256" s="35" t="s">
        <v>69</v>
      </c>
      <c r="X256" s="551">
        <v>0</v>
      </c>
      <c r="Y256" s="552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421</v>
      </c>
      <c r="B257" s="54" t="s">
        <v>422</v>
      </c>
      <c r="C257" s="31">
        <v>4301041005</v>
      </c>
      <c r="D257" s="558">
        <v>4680115886711</v>
      </c>
      <c r="E257" s="559"/>
      <c r="F257" s="550">
        <v>5.5E-2</v>
      </c>
      <c r="G257" s="32">
        <v>18</v>
      </c>
      <c r="H257" s="550">
        <v>0.99</v>
      </c>
      <c r="I257" s="550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78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6"/>
      <c r="R257" s="556"/>
      <c r="S257" s="556"/>
      <c r="T257" s="557"/>
      <c r="U257" s="34"/>
      <c r="V257" s="34"/>
      <c r="W257" s="35" t="s">
        <v>69</v>
      </c>
      <c r="X257" s="551">
        <v>0</v>
      </c>
      <c r="Y257" s="552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563"/>
      <c r="B258" s="564"/>
      <c r="C258" s="564"/>
      <c r="D258" s="564"/>
      <c r="E258" s="564"/>
      <c r="F258" s="564"/>
      <c r="G258" s="564"/>
      <c r="H258" s="564"/>
      <c r="I258" s="564"/>
      <c r="J258" s="564"/>
      <c r="K258" s="564"/>
      <c r="L258" s="564"/>
      <c r="M258" s="564"/>
      <c r="N258" s="564"/>
      <c r="O258" s="565"/>
      <c r="P258" s="568" t="s">
        <v>75</v>
      </c>
      <c r="Q258" s="569"/>
      <c r="R258" s="569"/>
      <c r="S258" s="569"/>
      <c r="T258" s="569"/>
      <c r="U258" s="569"/>
      <c r="V258" s="570"/>
      <c r="W258" s="37" t="s">
        <v>76</v>
      </c>
      <c r="X258" s="553">
        <f>IFERROR(X253/H253,"0")+IFERROR(X254/H254,"0")+IFERROR(X255/H255,"0")+IFERROR(X256/H256,"0")+IFERROR(X257/H257,"0")</f>
        <v>0</v>
      </c>
      <c r="Y258" s="553">
        <f>IFERROR(Y253/H253,"0")+IFERROR(Y254/H254,"0")+IFERROR(Y255/H255,"0")+IFERROR(Y256/H256,"0")+IFERROR(Y257/H257,"0")</f>
        <v>0</v>
      </c>
      <c r="Z258" s="553">
        <f>IFERROR(IF(Z253="",0,Z253),"0")+IFERROR(IF(Z254="",0,Z254),"0")+IFERROR(IF(Z255="",0,Z255),"0")+IFERROR(IF(Z256="",0,Z256),"0")+IFERROR(IF(Z257="",0,Z257),"0")</f>
        <v>0</v>
      </c>
      <c r="AA258" s="554"/>
      <c r="AB258" s="554"/>
      <c r="AC258" s="554"/>
    </row>
    <row r="259" spans="1:68" hidden="1" x14ac:dyDescent="0.2">
      <c r="A259" s="564"/>
      <c r="B259" s="564"/>
      <c r="C259" s="564"/>
      <c r="D259" s="564"/>
      <c r="E259" s="564"/>
      <c r="F259" s="564"/>
      <c r="G259" s="564"/>
      <c r="H259" s="564"/>
      <c r="I259" s="564"/>
      <c r="J259" s="564"/>
      <c r="K259" s="564"/>
      <c r="L259" s="564"/>
      <c r="M259" s="564"/>
      <c r="N259" s="564"/>
      <c r="O259" s="565"/>
      <c r="P259" s="568" t="s">
        <v>75</v>
      </c>
      <c r="Q259" s="569"/>
      <c r="R259" s="569"/>
      <c r="S259" s="569"/>
      <c r="T259" s="569"/>
      <c r="U259" s="569"/>
      <c r="V259" s="570"/>
      <c r="W259" s="37" t="s">
        <v>69</v>
      </c>
      <c r="X259" s="553">
        <f>IFERROR(SUM(X253:X257),"0")</f>
        <v>0</v>
      </c>
      <c r="Y259" s="553">
        <f>IFERROR(SUM(Y253:Y257),"0")</f>
        <v>0</v>
      </c>
      <c r="Z259" s="37"/>
      <c r="AA259" s="554"/>
      <c r="AB259" s="554"/>
      <c r="AC259" s="554"/>
    </row>
    <row r="260" spans="1:68" ht="16.5" hidden="1" customHeight="1" x14ac:dyDescent="0.25">
      <c r="A260" s="576" t="s">
        <v>423</v>
      </c>
      <c r="B260" s="564"/>
      <c r="C260" s="564"/>
      <c r="D260" s="564"/>
      <c r="E260" s="564"/>
      <c r="F260" s="564"/>
      <c r="G260" s="564"/>
      <c r="H260" s="564"/>
      <c r="I260" s="564"/>
      <c r="J260" s="564"/>
      <c r="K260" s="564"/>
      <c r="L260" s="564"/>
      <c r="M260" s="564"/>
      <c r="N260" s="564"/>
      <c r="O260" s="564"/>
      <c r="P260" s="564"/>
      <c r="Q260" s="564"/>
      <c r="R260" s="564"/>
      <c r="S260" s="564"/>
      <c r="T260" s="564"/>
      <c r="U260" s="564"/>
      <c r="V260" s="564"/>
      <c r="W260" s="564"/>
      <c r="X260" s="564"/>
      <c r="Y260" s="564"/>
      <c r="Z260" s="564"/>
      <c r="AA260" s="546"/>
      <c r="AB260" s="546"/>
      <c r="AC260" s="546"/>
    </row>
    <row r="261" spans="1:68" ht="14.25" hidden="1" customHeight="1" x14ac:dyDescent="0.25">
      <c r="A261" s="567" t="s">
        <v>101</v>
      </c>
      <c r="B261" s="564"/>
      <c r="C261" s="564"/>
      <c r="D261" s="564"/>
      <c r="E261" s="564"/>
      <c r="F261" s="564"/>
      <c r="G261" s="564"/>
      <c r="H261" s="564"/>
      <c r="I261" s="564"/>
      <c r="J261" s="564"/>
      <c r="K261" s="564"/>
      <c r="L261" s="564"/>
      <c r="M261" s="564"/>
      <c r="N261" s="564"/>
      <c r="O261" s="564"/>
      <c r="P261" s="564"/>
      <c r="Q261" s="564"/>
      <c r="R261" s="564"/>
      <c r="S261" s="564"/>
      <c r="T261" s="564"/>
      <c r="U261" s="564"/>
      <c r="V261" s="564"/>
      <c r="W261" s="564"/>
      <c r="X261" s="564"/>
      <c r="Y261" s="564"/>
      <c r="Z261" s="564"/>
      <c r="AA261" s="547"/>
      <c r="AB261" s="547"/>
      <c r="AC261" s="547"/>
    </row>
    <row r="262" spans="1:68" ht="27" hidden="1" customHeight="1" x14ac:dyDescent="0.25">
      <c r="A262" s="54" t="s">
        <v>424</v>
      </c>
      <c r="B262" s="54" t="s">
        <v>425</v>
      </c>
      <c r="C262" s="31">
        <v>4301011855</v>
      </c>
      <c r="D262" s="558">
        <v>4680115885837</v>
      </c>
      <c r="E262" s="559"/>
      <c r="F262" s="550">
        <v>1.35</v>
      </c>
      <c r="G262" s="32">
        <v>8</v>
      </c>
      <c r="H262" s="550">
        <v>10.8</v>
      </c>
      <c r="I262" s="550">
        <v>11.21</v>
      </c>
      <c r="J262" s="32">
        <v>64</v>
      </c>
      <c r="K262" s="32" t="s">
        <v>104</v>
      </c>
      <c r="L262" s="32" t="s">
        <v>105</v>
      </c>
      <c r="M262" s="33" t="s">
        <v>106</v>
      </c>
      <c r="N262" s="33"/>
      <c r="O262" s="32">
        <v>55</v>
      </c>
      <c r="P262" s="84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6"/>
      <c r="R262" s="556"/>
      <c r="S262" s="556"/>
      <c r="T262" s="557"/>
      <c r="U262" s="34"/>
      <c r="V262" s="34"/>
      <c r="W262" s="35" t="s">
        <v>69</v>
      </c>
      <c r="X262" s="551">
        <v>0</v>
      </c>
      <c r="Y262" s="552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 t="s">
        <v>92</v>
      </c>
      <c r="AK262" s="68">
        <v>86.4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427</v>
      </c>
      <c r="B263" s="54" t="s">
        <v>428</v>
      </c>
      <c r="C263" s="31">
        <v>4301011853</v>
      </c>
      <c r="D263" s="558">
        <v>4680115885851</v>
      </c>
      <c r="E263" s="559"/>
      <c r="F263" s="550">
        <v>1.35</v>
      </c>
      <c r="G263" s="32">
        <v>8</v>
      </c>
      <c r="H263" s="550">
        <v>10.8</v>
      </c>
      <c r="I263" s="550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5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6"/>
      <c r="R263" s="556"/>
      <c r="S263" s="556"/>
      <c r="T263" s="557"/>
      <c r="U263" s="34"/>
      <c r="V263" s="34"/>
      <c r="W263" s="35" t="s">
        <v>69</v>
      </c>
      <c r="X263" s="551">
        <v>20</v>
      </c>
      <c r="Y263" s="552">
        <f>IFERROR(IF(X263="",0,CEILING((X263/$H263),1)*$H263),"")</f>
        <v>21.6</v>
      </c>
      <c r="Z263" s="36">
        <f>IFERROR(IF(Y263=0,"",ROUNDUP(Y263/H263,0)*0.01898),"")</f>
        <v>3.7960000000000001E-2</v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20.75925925925926</v>
      </c>
      <c r="BN263" s="64">
        <f>IFERROR(Y263*I263/H263,"0")</f>
        <v>22.42</v>
      </c>
      <c r="BO263" s="64">
        <f>IFERROR(1/J263*(X263/H263),"0")</f>
        <v>2.8935185185185182E-2</v>
      </c>
      <c r="BP263" s="64">
        <f>IFERROR(1/J263*(Y263/H263),"0")</f>
        <v>3.125E-2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4301011850</v>
      </c>
      <c r="D264" s="558">
        <v>4680115885806</v>
      </c>
      <c r="E264" s="559"/>
      <c r="F264" s="550">
        <v>1.35</v>
      </c>
      <c r="G264" s="32">
        <v>8</v>
      </c>
      <c r="H264" s="550">
        <v>10.8</v>
      </c>
      <c r="I264" s="550">
        <v>11.21</v>
      </c>
      <c r="J264" s="32">
        <v>64</v>
      </c>
      <c r="K264" s="32" t="s">
        <v>104</v>
      </c>
      <c r="L264" s="32" t="s">
        <v>105</v>
      </c>
      <c r="M264" s="33" t="s">
        <v>106</v>
      </c>
      <c r="N264" s="33"/>
      <c r="O264" s="32">
        <v>55</v>
      </c>
      <c r="P264" s="69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6"/>
      <c r="R264" s="556"/>
      <c r="S264" s="556"/>
      <c r="T264" s="557"/>
      <c r="U264" s="34"/>
      <c r="V264" s="34"/>
      <c r="W264" s="35" t="s">
        <v>69</v>
      </c>
      <c r="X264" s="551">
        <v>0</v>
      </c>
      <c r="Y264" s="55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 t="s">
        <v>92</v>
      </c>
      <c r="AK264" s="68">
        <v>86.4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433</v>
      </c>
      <c r="B265" s="54" t="s">
        <v>434</v>
      </c>
      <c r="C265" s="31">
        <v>4301011852</v>
      </c>
      <c r="D265" s="558">
        <v>4680115885844</v>
      </c>
      <c r="E265" s="559"/>
      <c r="F265" s="550">
        <v>0.4</v>
      </c>
      <c r="G265" s="32">
        <v>10</v>
      </c>
      <c r="H265" s="550">
        <v>4</v>
      </c>
      <c r="I265" s="550">
        <v>4.1900000000000004</v>
      </c>
      <c r="J265" s="32">
        <v>132</v>
      </c>
      <c r="K265" s="32" t="s">
        <v>110</v>
      </c>
      <c r="L265" s="32"/>
      <c r="M265" s="33" t="s">
        <v>106</v>
      </c>
      <c r="N265" s="33"/>
      <c r="O265" s="32">
        <v>55</v>
      </c>
      <c r="P265" s="6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6"/>
      <c r="R265" s="556"/>
      <c r="S265" s="556"/>
      <c r="T265" s="557"/>
      <c r="U265" s="34"/>
      <c r="V265" s="34"/>
      <c r="W265" s="35" t="s">
        <v>69</v>
      </c>
      <c r="X265" s="551">
        <v>0</v>
      </c>
      <c r="Y265" s="552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436</v>
      </c>
      <c r="B266" s="54" t="s">
        <v>437</v>
      </c>
      <c r="C266" s="31">
        <v>4301011851</v>
      </c>
      <c r="D266" s="558">
        <v>4680115885820</v>
      </c>
      <c r="E266" s="559"/>
      <c r="F266" s="550">
        <v>0.4</v>
      </c>
      <c r="G266" s="32">
        <v>10</v>
      </c>
      <c r="H266" s="550">
        <v>4</v>
      </c>
      <c r="I266" s="550">
        <v>4.1900000000000004</v>
      </c>
      <c r="J266" s="32">
        <v>132</v>
      </c>
      <c r="K266" s="32" t="s">
        <v>110</v>
      </c>
      <c r="L266" s="32" t="s">
        <v>111</v>
      </c>
      <c r="M266" s="33" t="s">
        <v>106</v>
      </c>
      <c r="N266" s="33"/>
      <c r="O266" s="32">
        <v>55</v>
      </c>
      <c r="P266" s="63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6"/>
      <c r="R266" s="556"/>
      <c r="S266" s="556"/>
      <c r="T266" s="557"/>
      <c r="U266" s="34"/>
      <c r="V266" s="34"/>
      <c r="W266" s="35" t="s">
        <v>69</v>
      </c>
      <c r="X266" s="551">
        <v>0</v>
      </c>
      <c r="Y266" s="552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 t="s">
        <v>92</v>
      </c>
      <c r="AK266" s="68">
        <v>48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3"/>
      <c r="B267" s="564"/>
      <c r="C267" s="564"/>
      <c r="D267" s="564"/>
      <c r="E267" s="564"/>
      <c r="F267" s="564"/>
      <c r="G267" s="564"/>
      <c r="H267" s="564"/>
      <c r="I267" s="564"/>
      <c r="J267" s="564"/>
      <c r="K267" s="564"/>
      <c r="L267" s="564"/>
      <c r="M267" s="564"/>
      <c r="N267" s="564"/>
      <c r="O267" s="565"/>
      <c r="P267" s="568" t="s">
        <v>75</v>
      </c>
      <c r="Q267" s="569"/>
      <c r="R267" s="569"/>
      <c r="S267" s="569"/>
      <c r="T267" s="569"/>
      <c r="U267" s="569"/>
      <c r="V267" s="570"/>
      <c r="W267" s="37" t="s">
        <v>76</v>
      </c>
      <c r="X267" s="553">
        <f>IFERROR(X262/H262,"0")+IFERROR(X263/H263,"0")+IFERROR(X264/H264,"0")+IFERROR(X265/H265,"0")+IFERROR(X266/H266,"0")</f>
        <v>1.8518518518518516</v>
      </c>
      <c r="Y267" s="553">
        <f>IFERROR(Y262/H262,"0")+IFERROR(Y263/H263,"0")+IFERROR(Y264/H264,"0")+IFERROR(Y265/H265,"0")+IFERROR(Y266/H266,"0")</f>
        <v>2</v>
      </c>
      <c r="Z267" s="553">
        <f>IFERROR(IF(Z262="",0,Z262),"0")+IFERROR(IF(Z263="",0,Z263),"0")+IFERROR(IF(Z264="",0,Z264),"0")+IFERROR(IF(Z265="",0,Z265),"0")+IFERROR(IF(Z266="",0,Z266),"0")</f>
        <v>3.7960000000000001E-2</v>
      </c>
      <c r="AA267" s="554"/>
      <c r="AB267" s="554"/>
      <c r="AC267" s="554"/>
    </row>
    <row r="268" spans="1:68" x14ac:dyDescent="0.2">
      <c r="A268" s="564"/>
      <c r="B268" s="564"/>
      <c r="C268" s="564"/>
      <c r="D268" s="564"/>
      <c r="E268" s="564"/>
      <c r="F268" s="564"/>
      <c r="G268" s="564"/>
      <c r="H268" s="564"/>
      <c r="I268" s="564"/>
      <c r="J268" s="564"/>
      <c r="K268" s="564"/>
      <c r="L268" s="564"/>
      <c r="M268" s="564"/>
      <c r="N268" s="564"/>
      <c r="O268" s="565"/>
      <c r="P268" s="568" t="s">
        <v>75</v>
      </c>
      <c r="Q268" s="569"/>
      <c r="R268" s="569"/>
      <c r="S268" s="569"/>
      <c r="T268" s="569"/>
      <c r="U268" s="569"/>
      <c r="V268" s="570"/>
      <c r="W268" s="37" t="s">
        <v>69</v>
      </c>
      <c r="X268" s="553">
        <f>IFERROR(SUM(X262:X266),"0")</f>
        <v>20</v>
      </c>
      <c r="Y268" s="553">
        <f>IFERROR(SUM(Y262:Y266),"0")</f>
        <v>21.6</v>
      </c>
      <c r="Z268" s="37"/>
      <c r="AA268" s="554"/>
      <c r="AB268" s="554"/>
      <c r="AC268" s="554"/>
    </row>
    <row r="269" spans="1:68" ht="16.5" hidden="1" customHeight="1" x14ac:dyDescent="0.25">
      <c r="A269" s="576" t="s">
        <v>439</v>
      </c>
      <c r="B269" s="564"/>
      <c r="C269" s="564"/>
      <c r="D269" s="564"/>
      <c r="E269" s="564"/>
      <c r="F269" s="564"/>
      <c r="G269" s="564"/>
      <c r="H269" s="564"/>
      <c r="I269" s="564"/>
      <c r="J269" s="564"/>
      <c r="K269" s="564"/>
      <c r="L269" s="564"/>
      <c r="M269" s="564"/>
      <c r="N269" s="564"/>
      <c r="O269" s="564"/>
      <c r="P269" s="564"/>
      <c r="Q269" s="564"/>
      <c r="R269" s="564"/>
      <c r="S269" s="564"/>
      <c r="T269" s="564"/>
      <c r="U269" s="564"/>
      <c r="V269" s="564"/>
      <c r="W269" s="564"/>
      <c r="X269" s="564"/>
      <c r="Y269" s="564"/>
      <c r="Z269" s="564"/>
      <c r="AA269" s="546"/>
      <c r="AB269" s="546"/>
      <c r="AC269" s="546"/>
    </row>
    <row r="270" spans="1:68" ht="14.25" hidden="1" customHeight="1" x14ac:dyDescent="0.25">
      <c r="A270" s="567" t="s">
        <v>101</v>
      </c>
      <c r="B270" s="564"/>
      <c r="C270" s="564"/>
      <c r="D270" s="564"/>
      <c r="E270" s="564"/>
      <c r="F270" s="564"/>
      <c r="G270" s="564"/>
      <c r="H270" s="564"/>
      <c r="I270" s="564"/>
      <c r="J270" s="564"/>
      <c r="K270" s="564"/>
      <c r="L270" s="564"/>
      <c r="M270" s="564"/>
      <c r="N270" s="564"/>
      <c r="O270" s="564"/>
      <c r="P270" s="564"/>
      <c r="Q270" s="564"/>
      <c r="R270" s="564"/>
      <c r="S270" s="564"/>
      <c r="T270" s="564"/>
      <c r="U270" s="564"/>
      <c r="V270" s="564"/>
      <c r="W270" s="564"/>
      <c r="X270" s="564"/>
      <c r="Y270" s="564"/>
      <c r="Z270" s="564"/>
      <c r="AA270" s="547"/>
      <c r="AB270" s="547"/>
      <c r="AC270" s="547"/>
    </row>
    <row r="271" spans="1:68" ht="27" hidden="1" customHeight="1" x14ac:dyDescent="0.25">
      <c r="A271" s="54" t="s">
        <v>440</v>
      </c>
      <c r="B271" s="54" t="s">
        <v>441</v>
      </c>
      <c r="C271" s="31">
        <v>4301011223</v>
      </c>
      <c r="D271" s="558">
        <v>4607091383423</v>
      </c>
      <c r="E271" s="559"/>
      <c r="F271" s="550">
        <v>1.35</v>
      </c>
      <c r="G271" s="32">
        <v>8</v>
      </c>
      <c r="H271" s="550">
        <v>10.8</v>
      </c>
      <c r="I271" s="550">
        <v>11.305999999999999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35</v>
      </c>
      <c r="P271" s="62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6"/>
      <c r="R271" s="556"/>
      <c r="S271" s="556"/>
      <c r="T271" s="557"/>
      <c r="U271" s="34"/>
      <c r="V271" s="34"/>
      <c r="W271" s="35" t="s">
        <v>69</v>
      </c>
      <c r="X271" s="551">
        <v>0</v>
      </c>
      <c r="Y271" s="55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107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hidden="1" customHeight="1" x14ac:dyDescent="0.25">
      <c r="A272" s="54" t="s">
        <v>442</v>
      </c>
      <c r="B272" s="54" t="s">
        <v>443</v>
      </c>
      <c r="C272" s="31">
        <v>4301012199</v>
      </c>
      <c r="D272" s="558">
        <v>4680115886957</v>
      </c>
      <c r="E272" s="559"/>
      <c r="F272" s="550">
        <v>1.35</v>
      </c>
      <c r="G272" s="32">
        <v>8</v>
      </c>
      <c r="H272" s="550">
        <v>10.8</v>
      </c>
      <c r="I272" s="550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30</v>
      </c>
      <c r="P272" s="72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6"/>
      <c r="R272" s="556"/>
      <c r="S272" s="556"/>
      <c r="T272" s="557"/>
      <c r="U272" s="34"/>
      <c r="V272" s="34"/>
      <c r="W272" s="35" t="s">
        <v>69</v>
      </c>
      <c r="X272" s="551">
        <v>0</v>
      </c>
      <c r="Y272" s="552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445</v>
      </c>
      <c r="B273" s="54" t="s">
        <v>446</v>
      </c>
      <c r="C273" s="31">
        <v>4301012098</v>
      </c>
      <c r="D273" s="558">
        <v>4680115885660</v>
      </c>
      <c r="E273" s="559"/>
      <c r="F273" s="550">
        <v>1.35</v>
      </c>
      <c r="G273" s="32">
        <v>8</v>
      </c>
      <c r="H273" s="550">
        <v>10.8</v>
      </c>
      <c r="I273" s="550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35</v>
      </c>
      <c r="P273" s="64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6"/>
      <c r="R273" s="556"/>
      <c r="S273" s="556"/>
      <c r="T273" s="557"/>
      <c r="U273" s="34"/>
      <c r="V273" s="34"/>
      <c r="W273" s="35" t="s">
        <v>69</v>
      </c>
      <c r="X273" s="551">
        <v>0</v>
      </c>
      <c r="Y273" s="552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hidden="1" customHeight="1" x14ac:dyDescent="0.25">
      <c r="A274" s="54" t="s">
        <v>447</v>
      </c>
      <c r="B274" s="54" t="s">
        <v>448</v>
      </c>
      <c r="C274" s="31">
        <v>4301012176</v>
      </c>
      <c r="D274" s="558">
        <v>4680115886773</v>
      </c>
      <c r="E274" s="559"/>
      <c r="F274" s="550">
        <v>0.9</v>
      </c>
      <c r="G274" s="32">
        <v>10</v>
      </c>
      <c r="H274" s="550">
        <v>9</v>
      </c>
      <c r="I274" s="550">
        <v>9.41</v>
      </c>
      <c r="J274" s="32">
        <v>64</v>
      </c>
      <c r="K274" s="32" t="s">
        <v>104</v>
      </c>
      <c r="L274" s="32"/>
      <c r="M274" s="33" t="s">
        <v>106</v>
      </c>
      <c r="N274" s="33"/>
      <c r="O274" s="32">
        <v>31</v>
      </c>
      <c r="P274" s="78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6"/>
      <c r="R274" s="556"/>
      <c r="S274" s="556"/>
      <c r="T274" s="557"/>
      <c r="U274" s="34"/>
      <c r="V274" s="34"/>
      <c r="W274" s="35" t="s">
        <v>69</v>
      </c>
      <c r="X274" s="551">
        <v>0</v>
      </c>
      <c r="Y274" s="552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63"/>
      <c r="B275" s="564"/>
      <c r="C275" s="564"/>
      <c r="D275" s="564"/>
      <c r="E275" s="564"/>
      <c r="F275" s="564"/>
      <c r="G275" s="564"/>
      <c r="H275" s="564"/>
      <c r="I275" s="564"/>
      <c r="J275" s="564"/>
      <c r="K275" s="564"/>
      <c r="L275" s="564"/>
      <c r="M275" s="564"/>
      <c r="N275" s="564"/>
      <c r="O275" s="565"/>
      <c r="P275" s="568" t="s">
        <v>75</v>
      </c>
      <c r="Q275" s="569"/>
      <c r="R275" s="569"/>
      <c r="S275" s="569"/>
      <c r="T275" s="569"/>
      <c r="U275" s="569"/>
      <c r="V275" s="570"/>
      <c r="W275" s="37" t="s">
        <v>76</v>
      </c>
      <c r="X275" s="553">
        <f>IFERROR(X271/H271,"0")+IFERROR(X272/H272,"0")+IFERROR(X273/H273,"0")+IFERROR(X274/H274,"0")</f>
        <v>0</v>
      </c>
      <c r="Y275" s="553">
        <f>IFERROR(Y271/H271,"0")+IFERROR(Y272/H272,"0")+IFERROR(Y273/H273,"0")+IFERROR(Y274/H274,"0")</f>
        <v>0</v>
      </c>
      <c r="Z275" s="553">
        <f>IFERROR(IF(Z271="",0,Z271),"0")+IFERROR(IF(Z272="",0,Z272),"0")+IFERROR(IF(Z273="",0,Z273),"0")+IFERROR(IF(Z274="",0,Z274),"0")</f>
        <v>0</v>
      </c>
      <c r="AA275" s="554"/>
      <c r="AB275" s="554"/>
      <c r="AC275" s="554"/>
    </row>
    <row r="276" spans="1:68" hidden="1" x14ac:dyDescent="0.2">
      <c r="A276" s="564"/>
      <c r="B276" s="564"/>
      <c r="C276" s="564"/>
      <c r="D276" s="564"/>
      <c r="E276" s="564"/>
      <c r="F276" s="564"/>
      <c r="G276" s="564"/>
      <c r="H276" s="564"/>
      <c r="I276" s="564"/>
      <c r="J276" s="564"/>
      <c r="K276" s="564"/>
      <c r="L276" s="564"/>
      <c r="M276" s="564"/>
      <c r="N276" s="564"/>
      <c r="O276" s="565"/>
      <c r="P276" s="568" t="s">
        <v>75</v>
      </c>
      <c r="Q276" s="569"/>
      <c r="R276" s="569"/>
      <c r="S276" s="569"/>
      <c r="T276" s="569"/>
      <c r="U276" s="569"/>
      <c r="V276" s="570"/>
      <c r="W276" s="37" t="s">
        <v>69</v>
      </c>
      <c r="X276" s="553">
        <f>IFERROR(SUM(X271:X274),"0")</f>
        <v>0</v>
      </c>
      <c r="Y276" s="553">
        <f>IFERROR(SUM(Y271:Y274),"0")</f>
        <v>0</v>
      </c>
      <c r="Z276" s="37"/>
      <c r="AA276" s="554"/>
      <c r="AB276" s="554"/>
      <c r="AC276" s="554"/>
    </row>
    <row r="277" spans="1:68" ht="16.5" hidden="1" customHeight="1" x14ac:dyDescent="0.25">
      <c r="A277" s="576" t="s">
        <v>450</v>
      </c>
      <c r="B277" s="564"/>
      <c r="C277" s="564"/>
      <c r="D277" s="564"/>
      <c r="E277" s="564"/>
      <c r="F277" s="564"/>
      <c r="G277" s="564"/>
      <c r="H277" s="564"/>
      <c r="I277" s="564"/>
      <c r="J277" s="564"/>
      <c r="K277" s="564"/>
      <c r="L277" s="564"/>
      <c r="M277" s="564"/>
      <c r="N277" s="564"/>
      <c r="O277" s="564"/>
      <c r="P277" s="564"/>
      <c r="Q277" s="564"/>
      <c r="R277" s="564"/>
      <c r="S277" s="564"/>
      <c r="T277" s="564"/>
      <c r="U277" s="564"/>
      <c r="V277" s="564"/>
      <c r="W277" s="564"/>
      <c r="X277" s="564"/>
      <c r="Y277" s="564"/>
      <c r="Z277" s="564"/>
      <c r="AA277" s="546"/>
      <c r="AB277" s="546"/>
      <c r="AC277" s="546"/>
    </row>
    <row r="278" spans="1:68" ht="14.25" hidden="1" customHeight="1" x14ac:dyDescent="0.25">
      <c r="A278" s="567" t="s">
        <v>77</v>
      </c>
      <c r="B278" s="564"/>
      <c r="C278" s="564"/>
      <c r="D278" s="564"/>
      <c r="E278" s="564"/>
      <c r="F278" s="564"/>
      <c r="G278" s="564"/>
      <c r="H278" s="564"/>
      <c r="I278" s="564"/>
      <c r="J278" s="564"/>
      <c r="K278" s="564"/>
      <c r="L278" s="564"/>
      <c r="M278" s="564"/>
      <c r="N278" s="564"/>
      <c r="O278" s="564"/>
      <c r="P278" s="564"/>
      <c r="Q278" s="564"/>
      <c r="R278" s="564"/>
      <c r="S278" s="564"/>
      <c r="T278" s="564"/>
      <c r="U278" s="564"/>
      <c r="V278" s="564"/>
      <c r="W278" s="564"/>
      <c r="X278" s="564"/>
      <c r="Y278" s="564"/>
      <c r="Z278" s="564"/>
      <c r="AA278" s="547"/>
      <c r="AB278" s="547"/>
      <c r="AC278" s="547"/>
    </row>
    <row r="279" spans="1:68" ht="27" hidden="1" customHeight="1" x14ac:dyDescent="0.25">
      <c r="A279" s="54" t="s">
        <v>451</v>
      </c>
      <c r="B279" s="54" t="s">
        <v>452</v>
      </c>
      <c r="C279" s="31">
        <v>4301051893</v>
      </c>
      <c r="D279" s="558">
        <v>4680115886186</v>
      </c>
      <c r="E279" s="559"/>
      <c r="F279" s="550">
        <v>0.3</v>
      </c>
      <c r="G279" s="32">
        <v>6</v>
      </c>
      <c r="H279" s="550">
        <v>1.8</v>
      </c>
      <c r="I279" s="550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6"/>
      <c r="R279" s="556"/>
      <c r="S279" s="556"/>
      <c r="T279" s="557"/>
      <c r="U279" s="34"/>
      <c r="V279" s="34"/>
      <c r="W279" s="35" t="s">
        <v>69</v>
      </c>
      <c r="X279" s="551">
        <v>0</v>
      </c>
      <c r="Y279" s="55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454</v>
      </c>
      <c r="B280" s="54" t="s">
        <v>455</v>
      </c>
      <c r="C280" s="31">
        <v>4301051795</v>
      </c>
      <c r="D280" s="558">
        <v>4680115881228</v>
      </c>
      <c r="E280" s="559"/>
      <c r="F280" s="550">
        <v>0.4</v>
      </c>
      <c r="G280" s="32">
        <v>6</v>
      </c>
      <c r="H280" s="550">
        <v>2.4</v>
      </c>
      <c r="I280" s="550">
        <v>2.6520000000000001</v>
      </c>
      <c r="J280" s="32">
        <v>182</v>
      </c>
      <c r="K280" s="32" t="s">
        <v>67</v>
      </c>
      <c r="L280" s="32"/>
      <c r="M280" s="33" t="s">
        <v>86</v>
      </c>
      <c r="N280" s="33"/>
      <c r="O280" s="32">
        <v>40</v>
      </c>
      <c r="P280" s="70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6"/>
      <c r="R280" s="556"/>
      <c r="S280" s="556"/>
      <c r="T280" s="557"/>
      <c r="U280" s="34"/>
      <c r="V280" s="34"/>
      <c r="W280" s="35" t="s">
        <v>69</v>
      </c>
      <c r="X280" s="551">
        <v>0</v>
      </c>
      <c r="Y280" s="55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456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457</v>
      </c>
      <c r="B281" s="54" t="s">
        <v>458</v>
      </c>
      <c r="C281" s="31">
        <v>4301051388</v>
      </c>
      <c r="D281" s="558">
        <v>4680115881211</v>
      </c>
      <c r="E281" s="559"/>
      <c r="F281" s="550">
        <v>0.4</v>
      </c>
      <c r="G281" s="32">
        <v>6</v>
      </c>
      <c r="H281" s="550">
        <v>2.4</v>
      </c>
      <c r="I281" s="550">
        <v>2.58</v>
      </c>
      <c r="J281" s="32">
        <v>182</v>
      </c>
      <c r="K281" s="32" t="s">
        <v>67</v>
      </c>
      <c r="L281" s="32" t="s">
        <v>90</v>
      </c>
      <c r="M281" s="33" t="s">
        <v>80</v>
      </c>
      <c r="N281" s="33"/>
      <c r="O281" s="32">
        <v>45</v>
      </c>
      <c r="P281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6"/>
      <c r="R281" s="556"/>
      <c r="S281" s="556"/>
      <c r="T281" s="557"/>
      <c r="U281" s="34"/>
      <c r="V281" s="34"/>
      <c r="W281" s="35" t="s">
        <v>69</v>
      </c>
      <c r="X281" s="551">
        <v>0</v>
      </c>
      <c r="Y281" s="552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453</v>
      </c>
      <c r="AG281" s="64"/>
      <c r="AJ281" s="68" t="s">
        <v>92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563"/>
      <c r="B282" s="564"/>
      <c r="C282" s="564"/>
      <c r="D282" s="564"/>
      <c r="E282" s="564"/>
      <c r="F282" s="564"/>
      <c r="G282" s="564"/>
      <c r="H282" s="564"/>
      <c r="I282" s="564"/>
      <c r="J282" s="564"/>
      <c r="K282" s="564"/>
      <c r="L282" s="564"/>
      <c r="M282" s="564"/>
      <c r="N282" s="564"/>
      <c r="O282" s="565"/>
      <c r="P282" s="568" t="s">
        <v>75</v>
      </c>
      <c r="Q282" s="569"/>
      <c r="R282" s="569"/>
      <c r="S282" s="569"/>
      <c r="T282" s="569"/>
      <c r="U282" s="569"/>
      <c r="V282" s="570"/>
      <c r="W282" s="37" t="s">
        <v>76</v>
      </c>
      <c r="X282" s="553">
        <f>IFERROR(X279/H279,"0")+IFERROR(X280/H280,"0")+IFERROR(X281/H281,"0")</f>
        <v>0</v>
      </c>
      <c r="Y282" s="553">
        <f>IFERROR(Y279/H279,"0")+IFERROR(Y280/H280,"0")+IFERROR(Y281/H281,"0")</f>
        <v>0</v>
      </c>
      <c r="Z282" s="553">
        <f>IFERROR(IF(Z279="",0,Z279),"0")+IFERROR(IF(Z280="",0,Z280),"0")+IFERROR(IF(Z281="",0,Z281),"0")</f>
        <v>0</v>
      </c>
      <c r="AA282" s="554"/>
      <c r="AB282" s="554"/>
      <c r="AC282" s="554"/>
    </row>
    <row r="283" spans="1:68" hidden="1" x14ac:dyDescent="0.2">
      <c r="A283" s="564"/>
      <c r="B283" s="564"/>
      <c r="C283" s="564"/>
      <c r="D283" s="564"/>
      <c r="E283" s="564"/>
      <c r="F283" s="564"/>
      <c r="G283" s="564"/>
      <c r="H283" s="564"/>
      <c r="I283" s="564"/>
      <c r="J283" s="564"/>
      <c r="K283" s="564"/>
      <c r="L283" s="564"/>
      <c r="M283" s="564"/>
      <c r="N283" s="564"/>
      <c r="O283" s="565"/>
      <c r="P283" s="568" t="s">
        <v>75</v>
      </c>
      <c r="Q283" s="569"/>
      <c r="R283" s="569"/>
      <c r="S283" s="569"/>
      <c r="T283" s="569"/>
      <c r="U283" s="569"/>
      <c r="V283" s="570"/>
      <c r="W283" s="37" t="s">
        <v>69</v>
      </c>
      <c r="X283" s="553">
        <f>IFERROR(SUM(X279:X281),"0")</f>
        <v>0</v>
      </c>
      <c r="Y283" s="553">
        <f>IFERROR(SUM(Y279:Y281),"0")</f>
        <v>0</v>
      </c>
      <c r="Z283" s="37"/>
      <c r="AA283" s="554"/>
      <c r="AB283" s="554"/>
      <c r="AC283" s="554"/>
    </row>
    <row r="284" spans="1:68" ht="16.5" hidden="1" customHeight="1" x14ac:dyDescent="0.25">
      <c r="A284" s="576" t="s">
        <v>459</v>
      </c>
      <c r="B284" s="564"/>
      <c r="C284" s="564"/>
      <c r="D284" s="564"/>
      <c r="E284" s="564"/>
      <c r="F284" s="564"/>
      <c r="G284" s="564"/>
      <c r="H284" s="564"/>
      <c r="I284" s="564"/>
      <c r="J284" s="564"/>
      <c r="K284" s="564"/>
      <c r="L284" s="564"/>
      <c r="M284" s="564"/>
      <c r="N284" s="564"/>
      <c r="O284" s="564"/>
      <c r="P284" s="564"/>
      <c r="Q284" s="564"/>
      <c r="R284" s="564"/>
      <c r="S284" s="564"/>
      <c r="T284" s="564"/>
      <c r="U284" s="564"/>
      <c r="V284" s="564"/>
      <c r="W284" s="564"/>
      <c r="X284" s="564"/>
      <c r="Y284" s="564"/>
      <c r="Z284" s="564"/>
      <c r="AA284" s="546"/>
      <c r="AB284" s="546"/>
      <c r="AC284" s="546"/>
    </row>
    <row r="285" spans="1:68" ht="14.25" hidden="1" customHeight="1" x14ac:dyDescent="0.25">
      <c r="A285" s="567" t="s">
        <v>64</v>
      </c>
      <c r="B285" s="564"/>
      <c r="C285" s="564"/>
      <c r="D285" s="564"/>
      <c r="E285" s="564"/>
      <c r="F285" s="564"/>
      <c r="G285" s="564"/>
      <c r="H285" s="564"/>
      <c r="I285" s="564"/>
      <c r="J285" s="564"/>
      <c r="K285" s="564"/>
      <c r="L285" s="564"/>
      <c r="M285" s="564"/>
      <c r="N285" s="564"/>
      <c r="O285" s="564"/>
      <c r="P285" s="564"/>
      <c r="Q285" s="564"/>
      <c r="R285" s="564"/>
      <c r="S285" s="564"/>
      <c r="T285" s="564"/>
      <c r="U285" s="564"/>
      <c r="V285" s="564"/>
      <c r="W285" s="564"/>
      <c r="X285" s="564"/>
      <c r="Y285" s="564"/>
      <c r="Z285" s="564"/>
      <c r="AA285" s="547"/>
      <c r="AB285" s="547"/>
      <c r="AC285" s="547"/>
    </row>
    <row r="286" spans="1:68" ht="27" hidden="1" customHeight="1" x14ac:dyDescent="0.25">
      <c r="A286" s="54" t="s">
        <v>460</v>
      </c>
      <c r="B286" s="54" t="s">
        <v>461</v>
      </c>
      <c r="C286" s="31">
        <v>4301031307</v>
      </c>
      <c r="D286" s="558">
        <v>4680115880344</v>
      </c>
      <c r="E286" s="559"/>
      <c r="F286" s="550">
        <v>0.28000000000000003</v>
      </c>
      <c r="G286" s="32">
        <v>6</v>
      </c>
      <c r="H286" s="550">
        <v>1.68</v>
      </c>
      <c r="I286" s="550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6"/>
      <c r="R286" s="556"/>
      <c r="S286" s="556"/>
      <c r="T286" s="557"/>
      <c r="U286" s="34"/>
      <c r="V286" s="34"/>
      <c r="W286" s="35" t="s">
        <v>69</v>
      </c>
      <c r="X286" s="551">
        <v>0</v>
      </c>
      <c r="Y286" s="552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463</v>
      </c>
      <c r="B287" s="54" t="s">
        <v>464</v>
      </c>
      <c r="C287" s="31">
        <v>4301031429</v>
      </c>
      <c r="D287" s="558">
        <v>4680115886919</v>
      </c>
      <c r="E287" s="559"/>
      <c r="F287" s="550">
        <v>0.4</v>
      </c>
      <c r="G287" s="32">
        <v>6</v>
      </c>
      <c r="H287" s="550">
        <v>2.4</v>
      </c>
      <c r="I287" s="550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8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6"/>
      <c r="R287" s="556"/>
      <c r="S287" s="556"/>
      <c r="T287" s="557"/>
      <c r="U287" s="34"/>
      <c r="V287" s="34"/>
      <c r="W287" s="35" t="s">
        <v>69</v>
      </c>
      <c r="X287" s="551">
        <v>0</v>
      </c>
      <c r="Y287" s="552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idden="1" x14ac:dyDescent="0.2">
      <c r="A288" s="563"/>
      <c r="B288" s="564"/>
      <c r="C288" s="564"/>
      <c r="D288" s="564"/>
      <c r="E288" s="564"/>
      <c r="F288" s="564"/>
      <c r="G288" s="564"/>
      <c r="H288" s="564"/>
      <c r="I288" s="564"/>
      <c r="J288" s="564"/>
      <c r="K288" s="564"/>
      <c r="L288" s="564"/>
      <c r="M288" s="564"/>
      <c r="N288" s="564"/>
      <c r="O288" s="565"/>
      <c r="P288" s="568" t="s">
        <v>75</v>
      </c>
      <c r="Q288" s="569"/>
      <c r="R288" s="569"/>
      <c r="S288" s="569"/>
      <c r="T288" s="569"/>
      <c r="U288" s="569"/>
      <c r="V288" s="570"/>
      <c r="W288" s="37" t="s">
        <v>76</v>
      </c>
      <c r="X288" s="553">
        <f>IFERROR(X286/H286,"0")+IFERROR(X287/H287,"0")</f>
        <v>0</v>
      </c>
      <c r="Y288" s="553">
        <f>IFERROR(Y286/H286,"0")+IFERROR(Y287/H287,"0")</f>
        <v>0</v>
      </c>
      <c r="Z288" s="553">
        <f>IFERROR(IF(Z286="",0,Z286),"0")+IFERROR(IF(Z287="",0,Z287),"0")</f>
        <v>0</v>
      </c>
      <c r="AA288" s="554"/>
      <c r="AB288" s="554"/>
      <c r="AC288" s="554"/>
    </row>
    <row r="289" spans="1:68" hidden="1" x14ac:dyDescent="0.2">
      <c r="A289" s="564"/>
      <c r="B289" s="564"/>
      <c r="C289" s="564"/>
      <c r="D289" s="564"/>
      <c r="E289" s="564"/>
      <c r="F289" s="564"/>
      <c r="G289" s="564"/>
      <c r="H289" s="564"/>
      <c r="I289" s="564"/>
      <c r="J289" s="564"/>
      <c r="K289" s="564"/>
      <c r="L289" s="564"/>
      <c r="M289" s="564"/>
      <c r="N289" s="564"/>
      <c r="O289" s="565"/>
      <c r="P289" s="568" t="s">
        <v>75</v>
      </c>
      <c r="Q289" s="569"/>
      <c r="R289" s="569"/>
      <c r="S289" s="569"/>
      <c r="T289" s="569"/>
      <c r="U289" s="569"/>
      <c r="V289" s="570"/>
      <c r="W289" s="37" t="s">
        <v>69</v>
      </c>
      <c r="X289" s="553">
        <f>IFERROR(SUM(X286:X287),"0")</f>
        <v>0</v>
      </c>
      <c r="Y289" s="553">
        <f>IFERROR(SUM(Y286:Y287),"0")</f>
        <v>0</v>
      </c>
      <c r="Z289" s="37"/>
      <c r="AA289" s="554"/>
      <c r="AB289" s="554"/>
      <c r="AC289" s="554"/>
    </row>
    <row r="290" spans="1:68" ht="14.25" hidden="1" customHeight="1" x14ac:dyDescent="0.25">
      <c r="A290" s="567" t="s">
        <v>77</v>
      </c>
      <c r="B290" s="564"/>
      <c r="C290" s="564"/>
      <c r="D290" s="564"/>
      <c r="E290" s="564"/>
      <c r="F290" s="564"/>
      <c r="G290" s="564"/>
      <c r="H290" s="564"/>
      <c r="I290" s="564"/>
      <c r="J290" s="564"/>
      <c r="K290" s="564"/>
      <c r="L290" s="564"/>
      <c r="M290" s="564"/>
      <c r="N290" s="564"/>
      <c r="O290" s="564"/>
      <c r="P290" s="564"/>
      <c r="Q290" s="564"/>
      <c r="R290" s="564"/>
      <c r="S290" s="564"/>
      <c r="T290" s="564"/>
      <c r="U290" s="564"/>
      <c r="V290" s="564"/>
      <c r="W290" s="564"/>
      <c r="X290" s="564"/>
      <c r="Y290" s="564"/>
      <c r="Z290" s="564"/>
      <c r="AA290" s="547"/>
      <c r="AB290" s="547"/>
      <c r="AC290" s="547"/>
    </row>
    <row r="291" spans="1:68" ht="37.5" hidden="1" customHeight="1" x14ac:dyDescent="0.25">
      <c r="A291" s="54" t="s">
        <v>466</v>
      </c>
      <c r="B291" s="54" t="s">
        <v>467</v>
      </c>
      <c r="C291" s="31">
        <v>4301051782</v>
      </c>
      <c r="D291" s="558">
        <v>4680115884618</v>
      </c>
      <c r="E291" s="559"/>
      <c r="F291" s="550">
        <v>0.6</v>
      </c>
      <c r="G291" s="32">
        <v>6</v>
      </c>
      <c r="H291" s="550">
        <v>3.6</v>
      </c>
      <c r="I291" s="550">
        <v>3.79</v>
      </c>
      <c r="J291" s="32">
        <v>132</v>
      </c>
      <c r="K291" s="32" t="s">
        <v>110</v>
      </c>
      <c r="L291" s="32" t="s">
        <v>111</v>
      </c>
      <c r="M291" s="33" t="s">
        <v>80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6"/>
      <c r="R291" s="556"/>
      <c r="S291" s="556"/>
      <c r="T291" s="557"/>
      <c r="U291" s="34"/>
      <c r="V291" s="34"/>
      <c r="W291" s="35" t="s">
        <v>69</v>
      </c>
      <c r="X291" s="551">
        <v>0</v>
      </c>
      <c r="Y291" s="552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 t="s">
        <v>92</v>
      </c>
      <c r="AK291" s="68">
        <v>43.2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469</v>
      </c>
      <c r="B292" s="54" t="s">
        <v>470</v>
      </c>
      <c r="C292" s="31">
        <v>4301052057</v>
      </c>
      <c r="D292" s="558">
        <v>4680115887114</v>
      </c>
      <c r="E292" s="559"/>
      <c r="F292" s="550">
        <v>0.55000000000000004</v>
      </c>
      <c r="G292" s="32">
        <v>6</v>
      </c>
      <c r="H292" s="550">
        <v>3.3</v>
      </c>
      <c r="I292" s="550">
        <v>3.49</v>
      </c>
      <c r="J292" s="32">
        <v>132</v>
      </c>
      <c r="K292" s="32" t="s">
        <v>110</v>
      </c>
      <c r="L292" s="32"/>
      <c r="M292" s="33" t="s">
        <v>80</v>
      </c>
      <c r="N292" s="33"/>
      <c r="O292" s="32">
        <v>45</v>
      </c>
      <c r="P292" s="8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6"/>
      <c r="R292" s="556"/>
      <c r="S292" s="556"/>
      <c r="T292" s="557"/>
      <c r="U292" s="34"/>
      <c r="V292" s="34"/>
      <c r="W292" s="35" t="s">
        <v>69</v>
      </c>
      <c r="X292" s="551">
        <v>0</v>
      </c>
      <c r="Y292" s="55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63"/>
      <c r="B293" s="564"/>
      <c r="C293" s="564"/>
      <c r="D293" s="564"/>
      <c r="E293" s="564"/>
      <c r="F293" s="564"/>
      <c r="G293" s="564"/>
      <c r="H293" s="564"/>
      <c r="I293" s="564"/>
      <c r="J293" s="564"/>
      <c r="K293" s="564"/>
      <c r="L293" s="564"/>
      <c r="M293" s="564"/>
      <c r="N293" s="564"/>
      <c r="O293" s="565"/>
      <c r="P293" s="568" t="s">
        <v>75</v>
      </c>
      <c r="Q293" s="569"/>
      <c r="R293" s="569"/>
      <c r="S293" s="569"/>
      <c r="T293" s="569"/>
      <c r="U293" s="569"/>
      <c r="V293" s="570"/>
      <c r="W293" s="37" t="s">
        <v>76</v>
      </c>
      <c r="X293" s="553">
        <f>IFERROR(X291/H291,"0")+IFERROR(X292/H292,"0")</f>
        <v>0</v>
      </c>
      <c r="Y293" s="553">
        <f>IFERROR(Y291/H291,"0")+IFERROR(Y292/H292,"0")</f>
        <v>0</v>
      </c>
      <c r="Z293" s="553">
        <f>IFERROR(IF(Z291="",0,Z291),"0")+IFERROR(IF(Z292="",0,Z292),"0")</f>
        <v>0</v>
      </c>
      <c r="AA293" s="554"/>
      <c r="AB293" s="554"/>
      <c r="AC293" s="554"/>
    </row>
    <row r="294" spans="1:68" hidden="1" x14ac:dyDescent="0.2">
      <c r="A294" s="564"/>
      <c r="B294" s="564"/>
      <c r="C294" s="564"/>
      <c r="D294" s="564"/>
      <c r="E294" s="564"/>
      <c r="F294" s="564"/>
      <c r="G294" s="564"/>
      <c r="H294" s="564"/>
      <c r="I294" s="564"/>
      <c r="J294" s="564"/>
      <c r="K294" s="564"/>
      <c r="L294" s="564"/>
      <c r="M294" s="564"/>
      <c r="N294" s="564"/>
      <c r="O294" s="565"/>
      <c r="P294" s="568" t="s">
        <v>75</v>
      </c>
      <c r="Q294" s="569"/>
      <c r="R294" s="569"/>
      <c r="S294" s="569"/>
      <c r="T294" s="569"/>
      <c r="U294" s="569"/>
      <c r="V294" s="570"/>
      <c r="W294" s="37" t="s">
        <v>69</v>
      </c>
      <c r="X294" s="553">
        <f>IFERROR(SUM(X291:X292),"0")</f>
        <v>0</v>
      </c>
      <c r="Y294" s="553">
        <f>IFERROR(SUM(Y291:Y292),"0")</f>
        <v>0</v>
      </c>
      <c r="Z294" s="37"/>
      <c r="AA294" s="554"/>
      <c r="AB294" s="554"/>
      <c r="AC294" s="554"/>
    </row>
    <row r="295" spans="1:68" ht="16.5" hidden="1" customHeight="1" x14ac:dyDescent="0.25">
      <c r="A295" s="576" t="s">
        <v>472</v>
      </c>
      <c r="B295" s="564"/>
      <c r="C295" s="564"/>
      <c r="D295" s="564"/>
      <c r="E295" s="564"/>
      <c r="F295" s="564"/>
      <c r="G295" s="564"/>
      <c r="H295" s="564"/>
      <c r="I295" s="564"/>
      <c r="J295" s="564"/>
      <c r="K295" s="564"/>
      <c r="L295" s="564"/>
      <c r="M295" s="564"/>
      <c r="N295" s="564"/>
      <c r="O295" s="564"/>
      <c r="P295" s="564"/>
      <c r="Q295" s="564"/>
      <c r="R295" s="564"/>
      <c r="S295" s="564"/>
      <c r="T295" s="564"/>
      <c r="U295" s="564"/>
      <c r="V295" s="564"/>
      <c r="W295" s="564"/>
      <c r="X295" s="564"/>
      <c r="Y295" s="564"/>
      <c r="Z295" s="564"/>
      <c r="AA295" s="546"/>
      <c r="AB295" s="546"/>
      <c r="AC295" s="546"/>
    </row>
    <row r="296" spans="1:68" ht="14.25" hidden="1" customHeight="1" x14ac:dyDescent="0.25">
      <c r="A296" s="567" t="s">
        <v>101</v>
      </c>
      <c r="B296" s="564"/>
      <c r="C296" s="564"/>
      <c r="D296" s="564"/>
      <c r="E296" s="564"/>
      <c r="F296" s="564"/>
      <c r="G296" s="564"/>
      <c r="H296" s="564"/>
      <c r="I296" s="564"/>
      <c r="J296" s="564"/>
      <c r="K296" s="564"/>
      <c r="L296" s="564"/>
      <c r="M296" s="564"/>
      <c r="N296" s="564"/>
      <c r="O296" s="564"/>
      <c r="P296" s="564"/>
      <c r="Q296" s="564"/>
      <c r="R296" s="564"/>
      <c r="S296" s="564"/>
      <c r="T296" s="564"/>
      <c r="U296" s="564"/>
      <c r="V296" s="564"/>
      <c r="W296" s="564"/>
      <c r="X296" s="564"/>
      <c r="Y296" s="564"/>
      <c r="Z296" s="564"/>
      <c r="AA296" s="547"/>
      <c r="AB296" s="547"/>
      <c r="AC296" s="547"/>
    </row>
    <row r="297" spans="1:68" ht="27" customHeight="1" x14ac:dyDescent="0.25">
      <c r="A297" s="54" t="s">
        <v>473</v>
      </c>
      <c r="B297" s="54" t="s">
        <v>474</v>
      </c>
      <c r="C297" s="31">
        <v>4301012126</v>
      </c>
      <c r="D297" s="558">
        <v>4607091386004</v>
      </c>
      <c r="E297" s="559"/>
      <c r="F297" s="550">
        <v>1.35</v>
      </c>
      <c r="G297" s="32">
        <v>8</v>
      </c>
      <c r="H297" s="550">
        <v>10.8</v>
      </c>
      <c r="I297" s="550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5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7" s="556"/>
      <c r="R297" s="556"/>
      <c r="S297" s="556"/>
      <c r="T297" s="557"/>
      <c r="U297" s="34"/>
      <c r="V297" s="34"/>
      <c r="W297" s="35" t="s">
        <v>69</v>
      </c>
      <c r="X297" s="551">
        <v>150</v>
      </c>
      <c r="Y297" s="552">
        <f t="shared" ref="Y297:Y302" si="31">IFERROR(IF(X297="",0,CEILING((X297/$H297),1)*$H297),"")</f>
        <v>151.20000000000002</v>
      </c>
      <c r="Z297" s="36">
        <f>IFERROR(IF(Y297=0,"",ROUNDUP(Y297/H297,0)*0.01898),"")</f>
        <v>0.26572000000000001</v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 t="shared" ref="BM297:BM302" si="32">IFERROR(X297*I297/H297,"0")</f>
        <v>155.69444444444446</v>
      </c>
      <c r="BN297" s="64">
        <f t="shared" ref="BN297:BN302" si="33">IFERROR(Y297*I297/H297,"0")</f>
        <v>156.94</v>
      </c>
      <c r="BO297" s="64">
        <f t="shared" ref="BO297:BO302" si="34">IFERROR(1/J297*(X297/H297),"0")</f>
        <v>0.21701388888888887</v>
      </c>
      <c r="BP297" s="64">
        <f t="shared" ref="BP297:BP302" si="35">IFERROR(1/J297*(Y297/H297),"0")</f>
        <v>0.21875</v>
      </c>
    </row>
    <row r="298" spans="1:68" ht="27" customHeight="1" x14ac:dyDescent="0.25">
      <c r="A298" s="54" t="s">
        <v>476</v>
      </c>
      <c r="B298" s="54" t="s">
        <v>477</v>
      </c>
      <c r="C298" s="31">
        <v>4301012024</v>
      </c>
      <c r="D298" s="558">
        <v>4680115885615</v>
      </c>
      <c r="E298" s="559"/>
      <c r="F298" s="550">
        <v>1.35</v>
      </c>
      <c r="G298" s="32">
        <v>8</v>
      </c>
      <c r="H298" s="550">
        <v>10.8</v>
      </c>
      <c r="I298" s="550">
        <v>11.21</v>
      </c>
      <c r="J298" s="32">
        <v>64</v>
      </c>
      <c r="K298" s="32" t="s">
        <v>104</v>
      </c>
      <c r="L298" s="32" t="s">
        <v>105</v>
      </c>
      <c r="M298" s="33" t="s">
        <v>80</v>
      </c>
      <c r="N298" s="33"/>
      <c r="O298" s="32">
        <v>55</v>
      </c>
      <c r="P298" s="82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6"/>
      <c r="R298" s="556"/>
      <c r="S298" s="556"/>
      <c r="T298" s="557"/>
      <c r="U298" s="34"/>
      <c r="V298" s="34"/>
      <c r="W298" s="35" t="s">
        <v>69</v>
      </c>
      <c r="X298" s="551">
        <v>20</v>
      </c>
      <c r="Y298" s="552">
        <f t="shared" si="31"/>
        <v>21.6</v>
      </c>
      <c r="Z298" s="36">
        <f>IFERROR(IF(Y298=0,"",ROUNDUP(Y298/H298,0)*0.01898),"")</f>
        <v>3.7960000000000001E-2</v>
      </c>
      <c r="AA298" s="56"/>
      <c r="AB298" s="57"/>
      <c r="AC298" s="349" t="s">
        <v>478</v>
      </c>
      <c r="AG298" s="64"/>
      <c r="AJ298" s="68" t="s">
        <v>92</v>
      </c>
      <c r="AK298" s="68">
        <v>86.4</v>
      </c>
      <c r="BB298" s="350" t="s">
        <v>1</v>
      </c>
      <c r="BM298" s="64">
        <f t="shared" si="32"/>
        <v>20.75925925925926</v>
      </c>
      <c r="BN298" s="64">
        <f t="shared" si="33"/>
        <v>22.42</v>
      </c>
      <c r="BO298" s="64">
        <f t="shared" si="34"/>
        <v>2.8935185185185182E-2</v>
      </c>
      <c r="BP298" s="64">
        <f t="shared" si="35"/>
        <v>3.125E-2</v>
      </c>
    </row>
    <row r="299" spans="1:68" ht="37.5" customHeight="1" x14ac:dyDescent="0.25">
      <c r="A299" s="54" t="s">
        <v>479</v>
      </c>
      <c r="B299" s="54" t="s">
        <v>480</v>
      </c>
      <c r="C299" s="31">
        <v>4301011858</v>
      </c>
      <c r="D299" s="558">
        <v>4680115885646</v>
      </c>
      <c r="E299" s="559"/>
      <c r="F299" s="550">
        <v>1.35</v>
      </c>
      <c r="G299" s="32">
        <v>8</v>
      </c>
      <c r="H299" s="550">
        <v>10.8</v>
      </c>
      <c r="I299" s="550">
        <v>11.21</v>
      </c>
      <c r="J299" s="32">
        <v>64</v>
      </c>
      <c r="K299" s="32" t="s">
        <v>104</v>
      </c>
      <c r="L299" s="32" t="s">
        <v>105</v>
      </c>
      <c r="M299" s="33" t="s">
        <v>106</v>
      </c>
      <c r="N299" s="33"/>
      <c r="O299" s="32">
        <v>55</v>
      </c>
      <c r="P299" s="76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6"/>
      <c r="R299" s="556"/>
      <c r="S299" s="556"/>
      <c r="T299" s="557"/>
      <c r="U299" s="34"/>
      <c r="V299" s="34"/>
      <c r="W299" s="35" t="s">
        <v>69</v>
      </c>
      <c r="X299" s="551">
        <v>30</v>
      </c>
      <c r="Y299" s="552">
        <f t="shared" si="31"/>
        <v>32.400000000000006</v>
      </c>
      <c r="Z299" s="36">
        <f>IFERROR(IF(Y299=0,"",ROUNDUP(Y299/H299,0)*0.01898),"")</f>
        <v>5.6940000000000004E-2</v>
      </c>
      <c r="AA299" s="56"/>
      <c r="AB299" s="57"/>
      <c r="AC299" s="351" t="s">
        <v>481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31.138888888888889</v>
      </c>
      <c r="BN299" s="64">
        <f t="shared" si="33"/>
        <v>33.630000000000003</v>
      </c>
      <c r="BO299" s="64">
        <f t="shared" si="34"/>
        <v>4.3402777777777776E-2</v>
      </c>
      <c r="BP299" s="64">
        <f t="shared" si="35"/>
        <v>4.6875000000000007E-2</v>
      </c>
    </row>
    <row r="300" spans="1:68" ht="27" hidden="1" customHeight="1" x14ac:dyDescent="0.25">
      <c r="A300" s="54" t="s">
        <v>482</v>
      </c>
      <c r="B300" s="54" t="s">
        <v>483</v>
      </c>
      <c r="C300" s="31">
        <v>4301012016</v>
      </c>
      <c r="D300" s="558">
        <v>4680115885554</v>
      </c>
      <c r="E300" s="559"/>
      <c r="F300" s="550">
        <v>1.35</v>
      </c>
      <c r="G300" s="32">
        <v>8</v>
      </c>
      <c r="H300" s="550">
        <v>10.8</v>
      </c>
      <c r="I300" s="550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6"/>
      <c r="R300" s="556"/>
      <c r="S300" s="556"/>
      <c r="T300" s="557"/>
      <c r="U300" s="34"/>
      <c r="V300" s="34"/>
      <c r="W300" s="35" t="s">
        <v>69</v>
      </c>
      <c r="X300" s="551">
        <v>0</v>
      </c>
      <c r="Y300" s="552">
        <f t="shared" si="31"/>
        <v>0</v>
      </c>
      <c r="Z300" s="36" t="str">
        <f>IFERROR(IF(Y300=0,"",ROUNDUP(Y300/H300,0)*0.01898),"")</f>
        <v/>
      </c>
      <c r="AA300" s="56"/>
      <c r="AB300" s="57"/>
      <c r="AC300" s="353" t="s">
        <v>484</v>
      </c>
      <c r="AG300" s="64"/>
      <c r="AJ300" s="68"/>
      <c r="AK300" s="68">
        <v>0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485</v>
      </c>
      <c r="B301" s="54" t="s">
        <v>486</v>
      </c>
      <c r="C301" s="31">
        <v>4301011857</v>
      </c>
      <c r="D301" s="558">
        <v>4680115885622</v>
      </c>
      <c r="E301" s="559"/>
      <c r="F301" s="550">
        <v>0.4</v>
      </c>
      <c r="G301" s="32">
        <v>10</v>
      </c>
      <c r="H301" s="550">
        <v>4</v>
      </c>
      <c r="I301" s="550">
        <v>4.1900000000000004</v>
      </c>
      <c r="J301" s="32">
        <v>132</v>
      </c>
      <c r="K301" s="32" t="s">
        <v>110</v>
      </c>
      <c r="L301" s="32" t="s">
        <v>111</v>
      </c>
      <c r="M301" s="33" t="s">
        <v>106</v>
      </c>
      <c r="N301" s="33"/>
      <c r="O301" s="32">
        <v>55</v>
      </c>
      <c r="P301" s="80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6"/>
      <c r="R301" s="556"/>
      <c r="S301" s="556"/>
      <c r="T301" s="557"/>
      <c r="U301" s="34"/>
      <c r="V301" s="34"/>
      <c r="W301" s="35" t="s">
        <v>69</v>
      </c>
      <c r="X301" s="551">
        <v>0</v>
      </c>
      <c r="Y301" s="552">
        <f t="shared" si="31"/>
        <v>0</v>
      </c>
      <c r="Z301" s="36" t="str">
        <f>IFERROR(IF(Y301=0,"",ROUNDUP(Y301/H301,0)*0.00902),"")</f>
        <v/>
      </c>
      <c r="AA301" s="56"/>
      <c r="AB301" s="57"/>
      <c r="AC301" s="355" t="s">
        <v>478</v>
      </c>
      <c r="AG301" s="64"/>
      <c r="AJ301" s="68" t="s">
        <v>92</v>
      </c>
      <c r="AK301" s="68">
        <v>48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487</v>
      </c>
      <c r="B302" s="54" t="s">
        <v>488</v>
      </c>
      <c r="C302" s="31">
        <v>4301011859</v>
      </c>
      <c r="D302" s="558">
        <v>4680115885608</v>
      </c>
      <c r="E302" s="559"/>
      <c r="F302" s="550">
        <v>0.4</v>
      </c>
      <c r="G302" s="32">
        <v>10</v>
      </c>
      <c r="H302" s="550">
        <v>4</v>
      </c>
      <c r="I302" s="550">
        <v>4.1900000000000004</v>
      </c>
      <c r="J302" s="32">
        <v>132</v>
      </c>
      <c r="K302" s="32" t="s">
        <v>110</v>
      </c>
      <c r="L302" s="32" t="s">
        <v>111</v>
      </c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6"/>
      <c r="R302" s="556"/>
      <c r="S302" s="556"/>
      <c r="T302" s="557"/>
      <c r="U302" s="34"/>
      <c r="V302" s="34"/>
      <c r="W302" s="35" t="s">
        <v>69</v>
      </c>
      <c r="X302" s="551">
        <v>0</v>
      </c>
      <c r="Y302" s="552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489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x14ac:dyDescent="0.2">
      <c r="A303" s="563"/>
      <c r="B303" s="564"/>
      <c r="C303" s="564"/>
      <c r="D303" s="564"/>
      <c r="E303" s="564"/>
      <c r="F303" s="564"/>
      <c r="G303" s="564"/>
      <c r="H303" s="564"/>
      <c r="I303" s="564"/>
      <c r="J303" s="564"/>
      <c r="K303" s="564"/>
      <c r="L303" s="564"/>
      <c r="M303" s="564"/>
      <c r="N303" s="564"/>
      <c r="O303" s="565"/>
      <c r="P303" s="568" t="s">
        <v>75</v>
      </c>
      <c r="Q303" s="569"/>
      <c r="R303" s="569"/>
      <c r="S303" s="569"/>
      <c r="T303" s="569"/>
      <c r="U303" s="569"/>
      <c r="V303" s="570"/>
      <c r="W303" s="37" t="s">
        <v>76</v>
      </c>
      <c r="X303" s="553">
        <f>IFERROR(X297/H297,"0")+IFERROR(X298/H298,"0")+IFERROR(X299/H299,"0")+IFERROR(X300/H300,"0")+IFERROR(X301/H301,"0")+IFERROR(X302/H302,"0")</f>
        <v>18.518518518518515</v>
      </c>
      <c r="Y303" s="553">
        <f>IFERROR(Y297/H297,"0")+IFERROR(Y298/H298,"0")+IFERROR(Y299/H299,"0")+IFERROR(Y300/H300,"0")+IFERROR(Y301/H301,"0")+IFERROR(Y302/H302,"0")</f>
        <v>19</v>
      </c>
      <c r="Z303" s="553">
        <f>IFERROR(IF(Z297="",0,Z297),"0")+IFERROR(IF(Z298="",0,Z298),"0")+IFERROR(IF(Z299="",0,Z299),"0")+IFERROR(IF(Z300="",0,Z300),"0")+IFERROR(IF(Z301="",0,Z301),"0")+IFERROR(IF(Z302="",0,Z302),"0")</f>
        <v>0.36062</v>
      </c>
      <c r="AA303" s="554"/>
      <c r="AB303" s="554"/>
      <c r="AC303" s="554"/>
    </row>
    <row r="304" spans="1:68" x14ac:dyDescent="0.2">
      <c r="A304" s="564"/>
      <c r="B304" s="564"/>
      <c r="C304" s="564"/>
      <c r="D304" s="564"/>
      <c r="E304" s="564"/>
      <c r="F304" s="564"/>
      <c r="G304" s="564"/>
      <c r="H304" s="564"/>
      <c r="I304" s="564"/>
      <c r="J304" s="564"/>
      <c r="K304" s="564"/>
      <c r="L304" s="564"/>
      <c r="M304" s="564"/>
      <c r="N304" s="564"/>
      <c r="O304" s="565"/>
      <c r="P304" s="568" t="s">
        <v>75</v>
      </c>
      <c r="Q304" s="569"/>
      <c r="R304" s="569"/>
      <c r="S304" s="569"/>
      <c r="T304" s="569"/>
      <c r="U304" s="569"/>
      <c r="V304" s="570"/>
      <c r="W304" s="37" t="s">
        <v>69</v>
      </c>
      <c r="X304" s="553">
        <f>IFERROR(SUM(X297:X302),"0")</f>
        <v>200</v>
      </c>
      <c r="Y304" s="553">
        <f>IFERROR(SUM(Y297:Y302),"0")</f>
        <v>205.20000000000002</v>
      </c>
      <c r="Z304" s="37"/>
      <c r="AA304" s="554"/>
      <c r="AB304" s="554"/>
      <c r="AC304" s="554"/>
    </row>
    <row r="305" spans="1:68" ht="14.25" hidden="1" customHeight="1" x14ac:dyDescent="0.25">
      <c r="A305" s="567" t="s">
        <v>64</v>
      </c>
      <c r="B305" s="564"/>
      <c r="C305" s="564"/>
      <c r="D305" s="564"/>
      <c r="E305" s="564"/>
      <c r="F305" s="564"/>
      <c r="G305" s="564"/>
      <c r="H305" s="564"/>
      <c r="I305" s="564"/>
      <c r="J305" s="564"/>
      <c r="K305" s="564"/>
      <c r="L305" s="564"/>
      <c r="M305" s="564"/>
      <c r="N305" s="564"/>
      <c r="O305" s="564"/>
      <c r="P305" s="564"/>
      <c r="Q305" s="564"/>
      <c r="R305" s="564"/>
      <c r="S305" s="564"/>
      <c r="T305" s="564"/>
      <c r="U305" s="564"/>
      <c r="V305" s="564"/>
      <c r="W305" s="564"/>
      <c r="X305" s="564"/>
      <c r="Y305" s="564"/>
      <c r="Z305" s="564"/>
      <c r="AA305" s="547"/>
      <c r="AB305" s="547"/>
      <c r="AC305" s="547"/>
    </row>
    <row r="306" spans="1:68" ht="27" customHeight="1" x14ac:dyDescent="0.25">
      <c r="A306" s="54" t="s">
        <v>490</v>
      </c>
      <c r="B306" s="54" t="s">
        <v>491</v>
      </c>
      <c r="C306" s="31">
        <v>4301030878</v>
      </c>
      <c r="D306" s="558">
        <v>4607091387193</v>
      </c>
      <c r="E306" s="559"/>
      <c r="F306" s="550">
        <v>0.7</v>
      </c>
      <c r="G306" s="32">
        <v>6</v>
      </c>
      <c r="H306" s="550">
        <v>4.2</v>
      </c>
      <c r="I306" s="550">
        <v>4.45</v>
      </c>
      <c r="J306" s="32">
        <v>132</v>
      </c>
      <c r="K306" s="32" t="s">
        <v>110</v>
      </c>
      <c r="L306" s="32" t="s">
        <v>111</v>
      </c>
      <c r="M306" s="33" t="s">
        <v>68</v>
      </c>
      <c r="N306" s="33"/>
      <c r="O306" s="32">
        <v>35</v>
      </c>
      <c r="P306" s="75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6"/>
      <c r="R306" s="556"/>
      <c r="S306" s="556"/>
      <c r="T306" s="557"/>
      <c r="U306" s="34"/>
      <c r="V306" s="34"/>
      <c r="W306" s="35" t="s">
        <v>69</v>
      </c>
      <c r="X306" s="551">
        <v>16</v>
      </c>
      <c r="Y306" s="552">
        <f t="shared" ref="Y306:Y311" si="36">IFERROR(IF(X306="",0,CEILING((X306/$H306),1)*$H306),"")</f>
        <v>16.8</v>
      </c>
      <c r="Z306" s="36">
        <f>IFERROR(IF(Y306=0,"",ROUNDUP(Y306/H306,0)*0.00902),"")</f>
        <v>3.6080000000000001E-2</v>
      </c>
      <c r="AA306" s="56"/>
      <c r="AB306" s="57"/>
      <c r="AC306" s="359" t="s">
        <v>492</v>
      </c>
      <c r="AG306" s="64"/>
      <c r="AJ306" s="68" t="s">
        <v>92</v>
      </c>
      <c r="AK306" s="68">
        <v>50.4</v>
      </c>
      <c r="BB306" s="360" t="s">
        <v>1</v>
      </c>
      <c r="BM306" s="64">
        <f t="shared" ref="BM306:BM311" si="37">IFERROR(X306*I306/H306,"0")</f>
        <v>16.952380952380953</v>
      </c>
      <c r="BN306" s="64">
        <f t="shared" ref="BN306:BN311" si="38">IFERROR(Y306*I306/H306,"0")</f>
        <v>17.8</v>
      </c>
      <c r="BO306" s="64">
        <f t="shared" ref="BO306:BO311" si="39">IFERROR(1/J306*(X306/H306),"0")</f>
        <v>2.886002886002886E-2</v>
      </c>
      <c r="BP306" s="64">
        <f t="shared" ref="BP306:BP311" si="40">IFERROR(1/J306*(Y306/H306),"0")</f>
        <v>3.0303030303030304E-2</v>
      </c>
    </row>
    <row r="307" spans="1:68" ht="27" customHeight="1" x14ac:dyDescent="0.25">
      <c r="A307" s="54" t="s">
        <v>493</v>
      </c>
      <c r="B307" s="54" t="s">
        <v>494</v>
      </c>
      <c r="C307" s="31">
        <v>4301031153</v>
      </c>
      <c r="D307" s="558">
        <v>4607091387230</v>
      </c>
      <c r="E307" s="559"/>
      <c r="F307" s="550">
        <v>0.7</v>
      </c>
      <c r="G307" s="32">
        <v>6</v>
      </c>
      <c r="H307" s="550">
        <v>4.2</v>
      </c>
      <c r="I307" s="550">
        <v>4.45</v>
      </c>
      <c r="J307" s="32">
        <v>132</v>
      </c>
      <c r="K307" s="32" t="s">
        <v>110</v>
      </c>
      <c r="L307" s="32" t="s">
        <v>111</v>
      </c>
      <c r="M307" s="33" t="s">
        <v>68</v>
      </c>
      <c r="N307" s="33"/>
      <c r="O307" s="32">
        <v>40</v>
      </c>
      <c r="P307" s="87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6"/>
      <c r="R307" s="556"/>
      <c r="S307" s="556"/>
      <c r="T307" s="557"/>
      <c r="U307" s="34"/>
      <c r="V307" s="34"/>
      <c r="W307" s="35" t="s">
        <v>69</v>
      </c>
      <c r="X307" s="551">
        <v>56</v>
      </c>
      <c r="Y307" s="552">
        <f t="shared" si="36"/>
        <v>58.800000000000004</v>
      </c>
      <c r="Z307" s="36">
        <f>IFERROR(IF(Y307=0,"",ROUNDUP(Y307/H307,0)*0.00902),"")</f>
        <v>0.12628</v>
      </c>
      <c r="AA307" s="56"/>
      <c r="AB307" s="57"/>
      <c r="AC307" s="361" t="s">
        <v>495</v>
      </c>
      <c r="AG307" s="64"/>
      <c r="AJ307" s="68" t="s">
        <v>92</v>
      </c>
      <c r="AK307" s="68">
        <v>50.4</v>
      </c>
      <c r="BB307" s="362" t="s">
        <v>1</v>
      </c>
      <c r="BM307" s="64">
        <f t="shared" si="37"/>
        <v>59.333333333333336</v>
      </c>
      <c r="BN307" s="64">
        <f t="shared" si="38"/>
        <v>62.300000000000004</v>
      </c>
      <c r="BO307" s="64">
        <f t="shared" si="39"/>
        <v>0.10101010101010101</v>
      </c>
      <c r="BP307" s="64">
        <f t="shared" si="40"/>
        <v>0.10606060606060606</v>
      </c>
    </row>
    <row r="308" spans="1:68" ht="27" hidden="1" customHeight="1" x14ac:dyDescent="0.25">
      <c r="A308" s="54" t="s">
        <v>496</v>
      </c>
      <c r="B308" s="54" t="s">
        <v>497</v>
      </c>
      <c r="C308" s="31">
        <v>4301031154</v>
      </c>
      <c r="D308" s="558">
        <v>4607091387292</v>
      </c>
      <c r="E308" s="559"/>
      <c r="F308" s="550">
        <v>0.73</v>
      </c>
      <c r="G308" s="32">
        <v>6</v>
      </c>
      <c r="H308" s="550">
        <v>4.38</v>
      </c>
      <c r="I308" s="550">
        <v>4.63</v>
      </c>
      <c r="J308" s="32">
        <v>132</v>
      </c>
      <c r="K308" s="32" t="s">
        <v>110</v>
      </c>
      <c r="L308" s="32"/>
      <c r="M308" s="33" t="s">
        <v>68</v>
      </c>
      <c r="N308" s="33"/>
      <c r="O308" s="32">
        <v>45</v>
      </c>
      <c r="P308" s="72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6"/>
      <c r="R308" s="556"/>
      <c r="S308" s="556"/>
      <c r="T308" s="557"/>
      <c r="U308" s="34"/>
      <c r="V308" s="34"/>
      <c r="W308" s="35" t="s">
        <v>69</v>
      </c>
      <c r="X308" s="551">
        <v>0</v>
      </c>
      <c r="Y308" s="552">
        <f t="shared" si="36"/>
        <v>0</v>
      </c>
      <c r="Z308" s="36" t="str">
        <f>IFERROR(IF(Y308=0,"",ROUNDUP(Y308/H308,0)*0.00902),"")</f>
        <v/>
      </c>
      <c r="AA308" s="56"/>
      <c r="AB308" s="57"/>
      <c r="AC308" s="363" t="s">
        <v>498</v>
      </c>
      <c r="AG308" s="64"/>
      <c r="AJ308" s="68"/>
      <c r="AK308" s="68">
        <v>0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hidden="1" customHeight="1" x14ac:dyDescent="0.25">
      <c r="A309" s="54" t="s">
        <v>499</v>
      </c>
      <c r="B309" s="54" t="s">
        <v>500</v>
      </c>
      <c r="C309" s="31">
        <v>4301031152</v>
      </c>
      <c r="D309" s="558">
        <v>4607091387285</v>
      </c>
      <c r="E309" s="559"/>
      <c r="F309" s="550">
        <v>0.35</v>
      </c>
      <c r="G309" s="32">
        <v>6</v>
      </c>
      <c r="H309" s="550">
        <v>2.1</v>
      </c>
      <c r="I309" s="550">
        <v>2.23</v>
      </c>
      <c r="J309" s="32">
        <v>234</v>
      </c>
      <c r="K309" s="32" t="s">
        <v>73</v>
      </c>
      <c r="L309" s="32" t="s">
        <v>285</v>
      </c>
      <c r="M309" s="33" t="s">
        <v>68</v>
      </c>
      <c r="N309" s="33"/>
      <c r="O309" s="32">
        <v>40</v>
      </c>
      <c r="P309" s="57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6"/>
      <c r="R309" s="556"/>
      <c r="S309" s="556"/>
      <c r="T309" s="557"/>
      <c r="U309" s="34"/>
      <c r="V309" s="34"/>
      <c r="W309" s="35" t="s">
        <v>69</v>
      </c>
      <c r="X309" s="551">
        <v>0</v>
      </c>
      <c r="Y309" s="552">
        <f t="shared" si="36"/>
        <v>0</v>
      </c>
      <c r="Z309" s="36" t="str">
        <f>IFERROR(IF(Y309=0,"",ROUNDUP(Y309/H309,0)*0.00502),"")</f>
        <v/>
      </c>
      <c r="AA309" s="56"/>
      <c r="AB309" s="57"/>
      <c r="AC309" s="365" t="s">
        <v>495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hidden="1" customHeight="1" x14ac:dyDescent="0.25">
      <c r="A310" s="54" t="s">
        <v>501</v>
      </c>
      <c r="B310" s="54" t="s">
        <v>502</v>
      </c>
      <c r="C310" s="31">
        <v>4301031305</v>
      </c>
      <c r="D310" s="558">
        <v>4607091389845</v>
      </c>
      <c r="E310" s="559"/>
      <c r="F310" s="550">
        <v>0.35</v>
      </c>
      <c r="G310" s="32">
        <v>6</v>
      </c>
      <c r="H310" s="550">
        <v>2.1</v>
      </c>
      <c r="I310" s="550">
        <v>2.2000000000000002</v>
      </c>
      <c r="J310" s="32">
        <v>234</v>
      </c>
      <c r="K310" s="32" t="s">
        <v>73</v>
      </c>
      <c r="L310" s="32" t="s">
        <v>285</v>
      </c>
      <c r="M310" s="33" t="s">
        <v>68</v>
      </c>
      <c r="N310" s="33"/>
      <c r="O310" s="32">
        <v>40</v>
      </c>
      <c r="P310" s="7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6"/>
      <c r="R310" s="556"/>
      <c r="S310" s="556"/>
      <c r="T310" s="557"/>
      <c r="U310" s="34"/>
      <c r="V310" s="34"/>
      <c r="W310" s="35" t="s">
        <v>69</v>
      </c>
      <c r="X310" s="551">
        <v>0</v>
      </c>
      <c r="Y310" s="552">
        <f t="shared" si="36"/>
        <v>0</v>
      </c>
      <c r="Z310" s="36" t="str">
        <f>IFERROR(IF(Y310=0,"",ROUNDUP(Y310/H310,0)*0.00502),"")</f>
        <v/>
      </c>
      <c r="AA310" s="56"/>
      <c r="AB310" s="57"/>
      <c r="AC310" s="367" t="s">
        <v>503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ht="27" hidden="1" customHeight="1" x14ac:dyDescent="0.25">
      <c r="A311" s="54" t="s">
        <v>504</v>
      </c>
      <c r="B311" s="54" t="s">
        <v>505</v>
      </c>
      <c r="C311" s="31">
        <v>4301031066</v>
      </c>
      <c r="D311" s="558">
        <v>4607091383836</v>
      </c>
      <c r="E311" s="559"/>
      <c r="F311" s="550">
        <v>0.3</v>
      </c>
      <c r="G311" s="32">
        <v>6</v>
      </c>
      <c r="H311" s="550">
        <v>1.8</v>
      </c>
      <c r="I311" s="550">
        <v>2.028</v>
      </c>
      <c r="J311" s="32">
        <v>182</v>
      </c>
      <c r="K311" s="32" t="s">
        <v>67</v>
      </c>
      <c r="L311" s="32" t="s">
        <v>90</v>
      </c>
      <c r="M311" s="33" t="s">
        <v>68</v>
      </c>
      <c r="N311" s="33"/>
      <c r="O311" s="32">
        <v>40</v>
      </c>
      <c r="P311" s="73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6"/>
      <c r="R311" s="556"/>
      <c r="S311" s="556"/>
      <c r="T311" s="557"/>
      <c r="U311" s="34"/>
      <c r="V311" s="34"/>
      <c r="W311" s="35" t="s">
        <v>69</v>
      </c>
      <c r="X311" s="551">
        <v>0</v>
      </c>
      <c r="Y311" s="552">
        <f t="shared" si="36"/>
        <v>0</v>
      </c>
      <c r="Z311" s="36" t="str">
        <f>IFERROR(IF(Y311=0,"",ROUNDUP(Y311/H311,0)*0.00651),"")</f>
        <v/>
      </c>
      <c r="AA311" s="56"/>
      <c r="AB311" s="57"/>
      <c r="AC311" s="369" t="s">
        <v>506</v>
      </c>
      <c r="AG311" s="64"/>
      <c r="AJ311" s="68" t="s">
        <v>92</v>
      </c>
      <c r="AK311" s="68">
        <v>25.2</v>
      </c>
      <c r="BB311" s="370" t="s">
        <v>1</v>
      </c>
      <c r="BM311" s="64">
        <f t="shared" si="37"/>
        <v>0</v>
      </c>
      <c r="BN311" s="64">
        <f t="shared" si="38"/>
        <v>0</v>
      </c>
      <c r="BO311" s="64">
        <f t="shared" si="39"/>
        <v>0</v>
      </c>
      <c r="BP311" s="64">
        <f t="shared" si="40"/>
        <v>0</v>
      </c>
    </row>
    <row r="312" spans="1:68" x14ac:dyDescent="0.2">
      <c r="A312" s="563"/>
      <c r="B312" s="564"/>
      <c r="C312" s="564"/>
      <c r="D312" s="564"/>
      <c r="E312" s="564"/>
      <c r="F312" s="564"/>
      <c r="G312" s="564"/>
      <c r="H312" s="564"/>
      <c r="I312" s="564"/>
      <c r="J312" s="564"/>
      <c r="K312" s="564"/>
      <c r="L312" s="564"/>
      <c r="M312" s="564"/>
      <c r="N312" s="564"/>
      <c r="O312" s="565"/>
      <c r="P312" s="568" t="s">
        <v>75</v>
      </c>
      <c r="Q312" s="569"/>
      <c r="R312" s="569"/>
      <c r="S312" s="569"/>
      <c r="T312" s="569"/>
      <c r="U312" s="569"/>
      <c r="V312" s="570"/>
      <c r="W312" s="37" t="s">
        <v>76</v>
      </c>
      <c r="X312" s="553">
        <f>IFERROR(X306/H306,"0")+IFERROR(X307/H307,"0")+IFERROR(X308/H308,"0")+IFERROR(X309/H309,"0")+IFERROR(X310/H310,"0")+IFERROR(X311/H311,"0")</f>
        <v>17.142857142857142</v>
      </c>
      <c r="Y312" s="553">
        <f>IFERROR(Y306/H306,"0")+IFERROR(Y307/H307,"0")+IFERROR(Y308/H308,"0")+IFERROR(Y309/H309,"0")+IFERROR(Y310/H310,"0")+IFERROR(Y311/H311,"0")</f>
        <v>18</v>
      </c>
      <c r="Z312" s="553">
        <f>IFERROR(IF(Z306="",0,Z306),"0")+IFERROR(IF(Z307="",0,Z307),"0")+IFERROR(IF(Z308="",0,Z308),"0")+IFERROR(IF(Z309="",0,Z309),"0")+IFERROR(IF(Z310="",0,Z310),"0")+IFERROR(IF(Z311="",0,Z311),"0")</f>
        <v>0.16236</v>
      </c>
      <c r="AA312" s="554"/>
      <c r="AB312" s="554"/>
      <c r="AC312" s="554"/>
    </row>
    <row r="313" spans="1:68" x14ac:dyDescent="0.2">
      <c r="A313" s="564"/>
      <c r="B313" s="564"/>
      <c r="C313" s="564"/>
      <c r="D313" s="564"/>
      <c r="E313" s="564"/>
      <c r="F313" s="564"/>
      <c r="G313" s="564"/>
      <c r="H313" s="564"/>
      <c r="I313" s="564"/>
      <c r="J313" s="564"/>
      <c r="K313" s="564"/>
      <c r="L313" s="564"/>
      <c r="M313" s="564"/>
      <c r="N313" s="564"/>
      <c r="O313" s="565"/>
      <c r="P313" s="568" t="s">
        <v>75</v>
      </c>
      <c r="Q313" s="569"/>
      <c r="R313" s="569"/>
      <c r="S313" s="569"/>
      <c r="T313" s="569"/>
      <c r="U313" s="569"/>
      <c r="V313" s="570"/>
      <c r="W313" s="37" t="s">
        <v>69</v>
      </c>
      <c r="X313" s="553">
        <f>IFERROR(SUM(X306:X311),"0")</f>
        <v>72</v>
      </c>
      <c r="Y313" s="553">
        <f>IFERROR(SUM(Y306:Y311),"0")</f>
        <v>75.600000000000009</v>
      </c>
      <c r="Z313" s="37"/>
      <c r="AA313" s="554"/>
      <c r="AB313" s="554"/>
      <c r="AC313" s="554"/>
    </row>
    <row r="314" spans="1:68" ht="14.25" hidden="1" customHeight="1" x14ac:dyDescent="0.25">
      <c r="A314" s="567" t="s">
        <v>77</v>
      </c>
      <c r="B314" s="564"/>
      <c r="C314" s="564"/>
      <c r="D314" s="564"/>
      <c r="E314" s="564"/>
      <c r="F314" s="564"/>
      <c r="G314" s="564"/>
      <c r="H314" s="564"/>
      <c r="I314" s="564"/>
      <c r="J314" s="564"/>
      <c r="K314" s="564"/>
      <c r="L314" s="564"/>
      <c r="M314" s="564"/>
      <c r="N314" s="564"/>
      <c r="O314" s="564"/>
      <c r="P314" s="564"/>
      <c r="Q314" s="564"/>
      <c r="R314" s="564"/>
      <c r="S314" s="564"/>
      <c r="T314" s="564"/>
      <c r="U314" s="564"/>
      <c r="V314" s="564"/>
      <c r="W314" s="564"/>
      <c r="X314" s="564"/>
      <c r="Y314" s="564"/>
      <c r="Z314" s="564"/>
      <c r="AA314" s="547"/>
      <c r="AB314" s="547"/>
      <c r="AC314" s="547"/>
    </row>
    <row r="315" spans="1:68" ht="27" customHeight="1" x14ac:dyDescent="0.25">
      <c r="A315" s="54" t="s">
        <v>507</v>
      </c>
      <c r="B315" s="54" t="s">
        <v>508</v>
      </c>
      <c r="C315" s="31">
        <v>4301051100</v>
      </c>
      <c r="D315" s="558">
        <v>4607091387766</v>
      </c>
      <c r="E315" s="559"/>
      <c r="F315" s="550">
        <v>1.3</v>
      </c>
      <c r="G315" s="32">
        <v>6</v>
      </c>
      <c r="H315" s="550">
        <v>7.8</v>
      </c>
      <c r="I315" s="550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6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6"/>
      <c r="R315" s="556"/>
      <c r="S315" s="556"/>
      <c r="T315" s="557"/>
      <c r="U315" s="34"/>
      <c r="V315" s="34"/>
      <c r="W315" s="35" t="s">
        <v>69</v>
      </c>
      <c r="X315" s="551">
        <v>2900</v>
      </c>
      <c r="Y315" s="552">
        <f>IFERROR(IF(X315="",0,CEILING((X315/$H315),1)*$H315),"")</f>
        <v>2901.6</v>
      </c>
      <c r="Z315" s="36">
        <f>IFERROR(IF(Y315=0,"",ROUNDUP(Y315/H315,0)*0.01898),"")</f>
        <v>7.0605599999999997</v>
      </c>
      <c r="AA315" s="56"/>
      <c r="AB315" s="57"/>
      <c r="AC315" s="371" t="s">
        <v>509</v>
      </c>
      <c r="AG315" s="64"/>
      <c r="AJ315" s="68" t="s">
        <v>92</v>
      </c>
      <c r="AK315" s="68">
        <v>62.4</v>
      </c>
      <c r="BB315" s="372" t="s">
        <v>1</v>
      </c>
      <c r="BM315" s="64">
        <f>IFERROR(X315*I315/H315,"0")</f>
        <v>3081.4358974358975</v>
      </c>
      <c r="BN315" s="64">
        <f>IFERROR(Y315*I315/H315,"0")</f>
        <v>3083.136</v>
      </c>
      <c r="BO315" s="64">
        <f>IFERROR(1/J315*(X315/H315),"0")</f>
        <v>5.8092948717948723</v>
      </c>
      <c r="BP315" s="64">
        <f>IFERROR(1/J315*(Y315/H315),"0")</f>
        <v>5.8125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4301051818</v>
      </c>
      <c r="D316" s="558">
        <v>4607091387957</v>
      </c>
      <c r="E316" s="559"/>
      <c r="F316" s="550">
        <v>1.3</v>
      </c>
      <c r="G316" s="32">
        <v>6</v>
      </c>
      <c r="H316" s="550">
        <v>7.8</v>
      </c>
      <c r="I316" s="550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58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6"/>
      <c r="R316" s="556"/>
      <c r="S316" s="556"/>
      <c r="T316" s="557"/>
      <c r="U316" s="34"/>
      <c r="V316" s="34"/>
      <c r="W316" s="35" t="s">
        <v>69</v>
      </c>
      <c r="X316" s="551">
        <v>0</v>
      </c>
      <c r="Y316" s="55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513</v>
      </c>
      <c r="B317" s="54" t="s">
        <v>514</v>
      </c>
      <c r="C317" s="31">
        <v>4301051819</v>
      </c>
      <c r="D317" s="558">
        <v>4607091387964</v>
      </c>
      <c r="E317" s="559"/>
      <c r="F317" s="550">
        <v>1.35</v>
      </c>
      <c r="G317" s="32">
        <v>6</v>
      </c>
      <c r="H317" s="550">
        <v>8.1</v>
      </c>
      <c r="I317" s="550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6"/>
      <c r="R317" s="556"/>
      <c r="S317" s="556"/>
      <c r="T317" s="557"/>
      <c r="U317" s="34"/>
      <c r="V317" s="34"/>
      <c r="W317" s="35" t="s">
        <v>69</v>
      </c>
      <c r="X317" s="551">
        <v>0</v>
      </c>
      <c r="Y317" s="55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516</v>
      </c>
      <c r="B318" s="54" t="s">
        <v>517</v>
      </c>
      <c r="C318" s="31">
        <v>4301051734</v>
      </c>
      <c r="D318" s="558">
        <v>4680115884588</v>
      </c>
      <c r="E318" s="559"/>
      <c r="F318" s="550">
        <v>0.5</v>
      </c>
      <c r="G318" s="32">
        <v>6</v>
      </c>
      <c r="H318" s="550">
        <v>3</v>
      </c>
      <c r="I318" s="550">
        <v>3.246</v>
      </c>
      <c r="J318" s="32">
        <v>182</v>
      </c>
      <c r="K318" s="32" t="s">
        <v>67</v>
      </c>
      <c r="L318" s="32" t="s">
        <v>90</v>
      </c>
      <c r="M318" s="33" t="s">
        <v>80</v>
      </c>
      <c r="N318" s="33"/>
      <c r="O318" s="32">
        <v>40</v>
      </c>
      <c r="P318" s="77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6"/>
      <c r="R318" s="556"/>
      <c r="S318" s="556"/>
      <c r="T318" s="557"/>
      <c r="U318" s="34"/>
      <c r="V318" s="34"/>
      <c r="W318" s="35" t="s">
        <v>69</v>
      </c>
      <c r="X318" s="551">
        <v>0</v>
      </c>
      <c r="Y318" s="552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518</v>
      </c>
      <c r="AG318" s="64"/>
      <c r="AJ318" s="68" t="s">
        <v>92</v>
      </c>
      <c r="AK318" s="68">
        <v>42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63"/>
      <c r="B319" s="564"/>
      <c r="C319" s="564"/>
      <c r="D319" s="564"/>
      <c r="E319" s="564"/>
      <c r="F319" s="564"/>
      <c r="G319" s="564"/>
      <c r="H319" s="564"/>
      <c r="I319" s="564"/>
      <c r="J319" s="564"/>
      <c r="K319" s="564"/>
      <c r="L319" s="564"/>
      <c r="M319" s="564"/>
      <c r="N319" s="564"/>
      <c r="O319" s="565"/>
      <c r="P319" s="568" t="s">
        <v>75</v>
      </c>
      <c r="Q319" s="569"/>
      <c r="R319" s="569"/>
      <c r="S319" s="569"/>
      <c r="T319" s="569"/>
      <c r="U319" s="569"/>
      <c r="V319" s="570"/>
      <c r="W319" s="37" t="s">
        <v>76</v>
      </c>
      <c r="X319" s="553">
        <f>IFERROR(X315/H315,"0")+IFERROR(X316/H316,"0")+IFERROR(X317/H317,"0")+IFERROR(X318/H318,"0")</f>
        <v>371.79487179487182</v>
      </c>
      <c r="Y319" s="553">
        <f>IFERROR(Y315/H315,"0")+IFERROR(Y316/H316,"0")+IFERROR(Y317/H317,"0")+IFERROR(Y318/H318,"0")</f>
        <v>372</v>
      </c>
      <c r="Z319" s="553">
        <f>IFERROR(IF(Z315="",0,Z315),"0")+IFERROR(IF(Z316="",0,Z316),"0")+IFERROR(IF(Z317="",0,Z317),"0")+IFERROR(IF(Z318="",0,Z318),"0")</f>
        <v>7.0605599999999997</v>
      </c>
      <c r="AA319" s="554"/>
      <c r="AB319" s="554"/>
      <c r="AC319" s="554"/>
    </row>
    <row r="320" spans="1:68" x14ac:dyDescent="0.2">
      <c r="A320" s="564"/>
      <c r="B320" s="564"/>
      <c r="C320" s="564"/>
      <c r="D320" s="564"/>
      <c r="E320" s="564"/>
      <c r="F320" s="564"/>
      <c r="G320" s="564"/>
      <c r="H320" s="564"/>
      <c r="I320" s="564"/>
      <c r="J320" s="564"/>
      <c r="K320" s="564"/>
      <c r="L320" s="564"/>
      <c r="M320" s="564"/>
      <c r="N320" s="564"/>
      <c r="O320" s="565"/>
      <c r="P320" s="568" t="s">
        <v>75</v>
      </c>
      <c r="Q320" s="569"/>
      <c r="R320" s="569"/>
      <c r="S320" s="569"/>
      <c r="T320" s="569"/>
      <c r="U320" s="569"/>
      <c r="V320" s="570"/>
      <c r="W320" s="37" t="s">
        <v>69</v>
      </c>
      <c r="X320" s="553">
        <f>IFERROR(SUM(X315:X318),"0")</f>
        <v>2900</v>
      </c>
      <c r="Y320" s="553">
        <f>IFERROR(SUM(Y315:Y318),"0")</f>
        <v>2901.6</v>
      </c>
      <c r="Z320" s="37"/>
      <c r="AA320" s="554"/>
      <c r="AB320" s="554"/>
      <c r="AC320" s="554"/>
    </row>
    <row r="321" spans="1:68" ht="14.25" hidden="1" customHeight="1" x14ac:dyDescent="0.25">
      <c r="A321" s="567" t="s">
        <v>161</v>
      </c>
      <c r="B321" s="564"/>
      <c r="C321" s="564"/>
      <c r="D321" s="564"/>
      <c r="E321" s="564"/>
      <c r="F321" s="564"/>
      <c r="G321" s="564"/>
      <c r="H321" s="564"/>
      <c r="I321" s="564"/>
      <c r="J321" s="564"/>
      <c r="K321" s="564"/>
      <c r="L321" s="564"/>
      <c r="M321" s="564"/>
      <c r="N321" s="564"/>
      <c r="O321" s="564"/>
      <c r="P321" s="564"/>
      <c r="Q321" s="564"/>
      <c r="R321" s="564"/>
      <c r="S321" s="564"/>
      <c r="T321" s="564"/>
      <c r="U321" s="564"/>
      <c r="V321" s="564"/>
      <c r="W321" s="564"/>
      <c r="X321" s="564"/>
      <c r="Y321" s="564"/>
      <c r="Z321" s="564"/>
      <c r="AA321" s="547"/>
      <c r="AB321" s="547"/>
      <c r="AC321" s="547"/>
    </row>
    <row r="322" spans="1:68" ht="27" customHeight="1" x14ac:dyDescent="0.25">
      <c r="A322" s="54" t="s">
        <v>519</v>
      </c>
      <c r="B322" s="54" t="s">
        <v>520</v>
      </c>
      <c r="C322" s="31">
        <v>4301060387</v>
      </c>
      <c r="D322" s="558">
        <v>4607091380880</v>
      </c>
      <c r="E322" s="559"/>
      <c r="F322" s="550">
        <v>1.4</v>
      </c>
      <c r="G322" s="32">
        <v>6</v>
      </c>
      <c r="H322" s="550">
        <v>8.4</v>
      </c>
      <c r="I322" s="550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6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6"/>
      <c r="R322" s="556"/>
      <c r="S322" s="556"/>
      <c r="T322" s="557"/>
      <c r="U322" s="34"/>
      <c r="V322" s="34"/>
      <c r="W322" s="35" t="s">
        <v>69</v>
      </c>
      <c r="X322" s="551">
        <v>80</v>
      </c>
      <c r="Y322" s="552">
        <f>IFERROR(IF(X322="",0,CEILING((X322/$H322),1)*$H322),"")</f>
        <v>84</v>
      </c>
      <c r="Z322" s="36">
        <f>IFERROR(IF(Y322=0,"",ROUNDUP(Y322/H322,0)*0.01898),"")</f>
        <v>0.1898</v>
      </c>
      <c r="AA322" s="56"/>
      <c r="AB322" s="57"/>
      <c r="AC322" s="379" t="s">
        <v>521</v>
      </c>
      <c r="AG322" s="64"/>
      <c r="AJ322" s="68" t="s">
        <v>92</v>
      </c>
      <c r="AK322" s="68">
        <v>67.2</v>
      </c>
      <c r="BB322" s="380" t="s">
        <v>1</v>
      </c>
      <c r="BM322" s="64">
        <f>IFERROR(X322*I322/H322,"0")</f>
        <v>84.704761904761895</v>
      </c>
      <c r="BN322" s="64">
        <f>IFERROR(Y322*I322/H322,"0")</f>
        <v>88.94</v>
      </c>
      <c r="BO322" s="64">
        <f>IFERROR(1/J322*(X322/H322),"0")</f>
        <v>0.14880952380952381</v>
      </c>
      <c r="BP322" s="64">
        <f>IFERROR(1/J322*(Y322/H322),"0")</f>
        <v>0.15625</v>
      </c>
    </row>
    <row r="323" spans="1:68" ht="27" customHeight="1" x14ac:dyDescent="0.25">
      <c r="A323" s="54" t="s">
        <v>522</v>
      </c>
      <c r="B323" s="54" t="s">
        <v>523</v>
      </c>
      <c r="C323" s="31">
        <v>4301060406</v>
      </c>
      <c r="D323" s="558">
        <v>4607091384482</v>
      </c>
      <c r="E323" s="559"/>
      <c r="F323" s="550">
        <v>1.3</v>
      </c>
      <c r="G323" s="32">
        <v>6</v>
      </c>
      <c r="H323" s="550">
        <v>7.8</v>
      </c>
      <c r="I323" s="550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0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6"/>
      <c r="R323" s="556"/>
      <c r="S323" s="556"/>
      <c r="T323" s="557"/>
      <c r="U323" s="34"/>
      <c r="V323" s="34"/>
      <c r="W323" s="35" t="s">
        <v>69</v>
      </c>
      <c r="X323" s="551">
        <v>180</v>
      </c>
      <c r="Y323" s="552">
        <f>IFERROR(IF(X323="",0,CEILING((X323/$H323),1)*$H323),"")</f>
        <v>187.2</v>
      </c>
      <c r="Z323" s="36">
        <f>IFERROR(IF(Y323=0,"",ROUNDUP(Y323/H323,0)*0.01898),"")</f>
        <v>0.45552000000000004</v>
      </c>
      <c r="AA323" s="56"/>
      <c r="AB323" s="57"/>
      <c r="AC323" s="381" t="s">
        <v>524</v>
      </c>
      <c r="AG323" s="64"/>
      <c r="AJ323" s="68" t="s">
        <v>92</v>
      </c>
      <c r="AK323" s="68">
        <v>62.4</v>
      </c>
      <c r="BB323" s="382" t="s">
        <v>1</v>
      </c>
      <c r="BM323" s="64">
        <f>IFERROR(X323*I323/H323,"0")</f>
        <v>191.4</v>
      </c>
      <c r="BN323" s="64">
        <f>IFERROR(Y323*I323/H323,"0")</f>
        <v>199.05600000000001</v>
      </c>
      <c r="BO323" s="64">
        <f>IFERROR(1/J323*(X323/H323),"0")</f>
        <v>0.36057692307692307</v>
      </c>
      <c r="BP323" s="64">
        <f>IFERROR(1/J323*(Y323/H323),"0")</f>
        <v>0.375</v>
      </c>
    </row>
    <row r="324" spans="1:68" ht="16.5" customHeight="1" x14ac:dyDescent="0.25">
      <c r="A324" s="54" t="s">
        <v>525</v>
      </c>
      <c r="B324" s="54" t="s">
        <v>526</v>
      </c>
      <c r="C324" s="31">
        <v>4301060484</v>
      </c>
      <c r="D324" s="558">
        <v>4607091380897</v>
      </c>
      <c r="E324" s="559"/>
      <c r="F324" s="550">
        <v>1.4</v>
      </c>
      <c r="G324" s="32">
        <v>6</v>
      </c>
      <c r="H324" s="550">
        <v>8.4</v>
      </c>
      <c r="I324" s="550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5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6"/>
      <c r="R324" s="556"/>
      <c r="S324" s="556"/>
      <c r="T324" s="557"/>
      <c r="U324" s="34"/>
      <c r="V324" s="34"/>
      <c r="W324" s="35" t="s">
        <v>69</v>
      </c>
      <c r="X324" s="551">
        <v>70</v>
      </c>
      <c r="Y324" s="552">
        <f>IFERROR(IF(X324="",0,CEILING((X324/$H324),1)*$H324),"")</f>
        <v>75.600000000000009</v>
      </c>
      <c r="Z324" s="36">
        <f>IFERROR(IF(Y324=0,"",ROUNDUP(Y324/H324,0)*0.01898),"")</f>
        <v>0.17082</v>
      </c>
      <c r="AA324" s="56"/>
      <c r="AB324" s="57"/>
      <c r="AC324" s="383" t="s">
        <v>527</v>
      </c>
      <c r="AG324" s="64"/>
      <c r="AJ324" s="68" t="s">
        <v>92</v>
      </c>
      <c r="AK324" s="68">
        <v>67.2</v>
      </c>
      <c r="BB324" s="384" t="s">
        <v>1</v>
      </c>
      <c r="BM324" s="64">
        <f>IFERROR(X324*I324/H324,"0")</f>
        <v>74.116666666666674</v>
      </c>
      <c r="BN324" s="64">
        <f>IFERROR(Y324*I324/H324,"0")</f>
        <v>80.046000000000006</v>
      </c>
      <c r="BO324" s="64">
        <f>IFERROR(1/J324*(X324/H324),"0")</f>
        <v>0.13020833333333331</v>
      </c>
      <c r="BP324" s="64">
        <f>IFERROR(1/J324*(Y324/H324),"0")</f>
        <v>0.140625</v>
      </c>
    </row>
    <row r="325" spans="1:68" x14ac:dyDescent="0.2">
      <c r="A325" s="563"/>
      <c r="B325" s="564"/>
      <c r="C325" s="564"/>
      <c r="D325" s="564"/>
      <c r="E325" s="564"/>
      <c r="F325" s="564"/>
      <c r="G325" s="564"/>
      <c r="H325" s="564"/>
      <c r="I325" s="564"/>
      <c r="J325" s="564"/>
      <c r="K325" s="564"/>
      <c r="L325" s="564"/>
      <c r="M325" s="564"/>
      <c r="N325" s="564"/>
      <c r="O325" s="565"/>
      <c r="P325" s="568" t="s">
        <v>75</v>
      </c>
      <c r="Q325" s="569"/>
      <c r="R325" s="569"/>
      <c r="S325" s="569"/>
      <c r="T325" s="569"/>
      <c r="U325" s="569"/>
      <c r="V325" s="570"/>
      <c r="W325" s="37" t="s">
        <v>76</v>
      </c>
      <c r="X325" s="553">
        <f>IFERROR(X322/H322,"0")+IFERROR(X323/H323,"0")+IFERROR(X324/H324,"0")</f>
        <v>40.934065934065927</v>
      </c>
      <c r="Y325" s="553">
        <f>IFERROR(Y322/H322,"0")+IFERROR(Y323/H323,"0")+IFERROR(Y324/H324,"0")</f>
        <v>43</v>
      </c>
      <c r="Z325" s="553">
        <f>IFERROR(IF(Z322="",0,Z322),"0")+IFERROR(IF(Z323="",0,Z323),"0")+IFERROR(IF(Z324="",0,Z324),"0")</f>
        <v>0.81613999999999998</v>
      </c>
      <c r="AA325" s="554"/>
      <c r="AB325" s="554"/>
      <c r="AC325" s="554"/>
    </row>
    <row r="326" spans="1:68" x14ac:dyDescent="0.2">
      <c r="A326" s="564"/>
      <c r="B326" s="564"/>
      <c r="C326" s="564"/>
      <c r="D326" s="564"/>
      <c r="E326" s="564"/>
      <c r="F326" s="564"/>
      <c r="G326" s="564"/>
      <c r="H326" s="564"/>
      <c r="I326" s="564"/>
      <c r="J326" s="564"/>
      <c r="K326" s="564"/>
      <c r="L326" s="564"/>
      <c r="M326" s="564"/>
      <c r="N326" s="564"/>
      <c r="O326" s="565"/>
      <c r="P326" s="568" t="s">
        <v>75</v>
      </c>
      <c r="Q326" s="569"/>
      <c r="R326" s="569"/>
      <c r="S326" s="569"/>
      <c r="T326" s="569"/>
      <c r="U326" s="569"/>
      <c r="V326" s="570"/>
      <c r="W326" s="37" t="s">
        <v>69</v>
      </c>
      <c r="X326" s="553">
        <f>IFERROR(SUM(X322:X324),"0")</f>
        <v>330</v>
      </c>
      <c r="Y326" s="553">
        <f>IFERROR(SUM(Y322:Y324),"0")</f>
        <v>346.8</v>
      </c>
      <c r="Z326" s="37"/>
      <c r="AA326" s="554"/>
      <c r="AB326" s="554"/>
      <c r="AC326" s="554"/>
    </row>
    <row r="327" spans="1:68" ht="14.25" hidden="1" customHeight="1" x14ac:dyDescent="0.25">
      <c r="A327" s="567" t="s">
        <v>93</v>
      </c>
      <c r="B327" s="564"/>
      <c r="C327" s="564"/>
      <c r="D327" s="564"/>
      <c r="E327" s="564"/>
      <c r="F327" s="564"/>
      <c r="G327" s="564"/>
      <c r="H327" s="564"/>
      <c r="I327" s="564"/>
      <c r="J327" s="564"/>
      <c r="K327" s="564"/>
      <c r="L327" s="564"/>
      <c r="M327" s="564"/>
      <c r="N327" s="564"/>
      <c r="O327" s="564"/>
      <c r="P327" s="564"/>
      <c r="Q327" s="564"/>
      <c r="R327" s="564"/>
      <c r="S327" s="564"/>
      <c r="T327" s="564"/>
      <c r="U327" s="564"/>
      <c r="V327" s="564"/>
      <c r="W327" s="564"/>
      <c r="X327" s="564"/>
      <c r="Y327" s="564"/>
      <c r="Z327" s="564"/>
      <c r="AA327" s="547"/>
      <c r="AB327" s="547"/>
      <c r="AC327" s="547"/>
    </row>
    <row r="328" spans="1:68" ht="27" hidden="1" customHeight="1" x14ac:dyDescent="0.25">
      <c r="A328" s="54" t="s">
        <v>528</v>
      </c>
      <c r="B328" s="54" t="s">
        <v>529</v>
      </c>
      <c r="C328" s="31">
        <v>4301030235</v>
      </c>
      <c r="D328" s="558">
        <v>4607091388381</v>
      </c>
      <c r="E328" s="559"/>
      <c r="F328" s="550">
        <v>0.38</v>
      </c>
      <c r="G328" s="32">
        <v>8</v>
      </c>
      <c r="H328" s="550">
        <v>3.04</v>
      </c>
      <c r="I328" s="550">
        <v>3.31</v>
      </c>
      <c r="J328" s="32">
        <v>132</v>
      </c>
      <c r="K328" s="32" t="s">
        <v>110</v>
      </c>
      <c r="L328" s="32"/>
      <c r="M328" s="33" t="s">
        <v>96</v>
      </c>
      <c r="N328" s="33"/>
      <c r="O328" s="32">
        <v>180</v>
      </c>
      <c r="P328" s="58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6"/>
      <c r="R328" s="556"/>
      <c r="S328" s="556"/>
      <c r="T328" s="557"/>
      <c r="U328" s="34"/>
      <c r="V328" s="34"/>
      <c r="W328" s="35" t="s">
        <v>69</v>
      </c>
      <c r="X328" s="551">
        <v>0</v>
      </c>
      <c r="Y328" s="552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530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531</v>
      </c>
      <c r="B329" s="54" t="s">
        <v>532</v>
      </c>
      <c r="C329" s="31">
        <v>4301030232</v>
      </c>
      <c r="D329" s="558">
        <v>4607091388374</v>
      </c>
      <c r="E329" s="559"/>
      <c r="F329" s="550">
        <v>0.38</v>
      </c>
      <c r="G329" s="32">
        <v>8</v>
      </c>
      <c r="H329" s="550">
        <v>3.04</v>
      </c>
      <c r="I329" s="550">
        <v>3.27</v>
      </c>
      <c r="J329" s="32">
        <v>132</v>
      </c>
      <c r="K329" s="32" t="s">
        <v>110</v>
      </c>
      <c r="L329" s="32"/>
      <c r="M329" s="33" t="s">
        <v>96</v>
      </c>
      <c r="N329" s="33"/>
      <c r="O329" s="32">
        <v>180</v>
      </c>
      <c r="P329" s="63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6"/>
      <c r="R329" s="556"/>
      <c r="S329" s="556"/>
      <c r="T329" s="557"/>
      <c r="U329" s="34"/>
      <c r="V329" s="34"/>
      <c r="W329" s="35" t="s">
        <v>69</v>
      </c>
      <c r="X329" s="551">
        <v>0</v>
      </c>
      <c r="Y329" s="552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530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533</v>
      </c>
      <c r="B330" s="54" t="s">
        <v>534</v>
      </c>
      <c r="C330" s="31">
        <v>4301032015</v>
      </c>
      <c r="D330" s="558">
        <v>4607091383102</v>
      </c>
      <c r="E330" s="559"/>
      <c r="F330" s="550">
        <v>0.17</v>
      </c>
      <c r="G330" s="32">
        <v>15</v>
      </c>
      <c r="H330" s="550">
        <v>2.5499999999999998</v>
      </c>
      <c r="I330" s="550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84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6"/>
      <c r="R330" s="556"/>
      <c r="S330" s="556"/>
      <c r="T330" s="557"/>
      <c r="U330" s="34"/>
      <c r="V330" s="34"/>
      <c r="W330" s="35" t="s">
        <v>69</v>
      </c>
      <c r="X330" s="551">
        <v>0</v>
      </c>
      <c r="Y330" s="552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530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535</v>
      </c>
      <c r="B331" s="54" t="s">
        <v>536</v>
      </c>
      <c r="C331" s="31">
        <v>4301030233</v>
      </c>
      <c r="D331" s="558">
        <v>4607091388404</v>
      </c>
      <c r="E331" s="559"/>
      <c r="F331" s="550">
        <v>0.17</v>
      </c>
      <c r="G331" s="32">
        <v>15</v>
      </c>
      <c r="H331" s="550">
        <v>2.5499999999999998</v>
      </c>
      <c r="I331" s="550">
        <v>2.88</v>
      </c>
      <c r="J331" s="32">
        <v>182</v>
      </c>
      <c r="K331" s="32" t="s">
        <v>67</v>
      </c>
      <c r="L331" s="32" t="s">
        <v>90</v>
      </c>
      <c r="M331" s="33" t="s">
        <v>96</v>
      </c>
      <c r="N331" s="33"/>
      <c r="O331" s="32">
        <v>180</v>
      </c>
      <c r="P331" s="6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6"/>
      <c r="R331" s="556"/>
      <c r="S331" s="556"/>
      <c r="T331" s="557"/>
      <c r="U331" s="34"/>
      <c r="V331" s="34"/>
      <c r="W331" s="35" t="s">
        <v>69</v>
      </c>
      <c r="X331" s="551">
        <v>0</v>
      </c>
      <c r="Y331" s="552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530</v>
      </c>
      <c r="AG331" s="64"/>
      <c r="AJ331" s="68" t="s">
        <v>92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63"/>
      <c r="B332" s="564"/>
      <c r="C332" s="564"/>
      <c r="D332" s="564"/>
      <c r="E332" s="564"/>
      <c r="F332" s="564"/>
      <c r="G332" s="564"/>
      <c r="H332" s="564"/>
      <c r="I332" s="564"/>
      <c r="J332" s="564"/>
      <c r="K332" s="564"/>
      <c r="L332" s="564"/>
      <c r="M332" s="564"/>
      <c r="N332" s="564"/>
      <c r="O332" s="565"/>
      <c r="P332" s="568" t="s">
        <v>75</v>
      </c>
      <c r="Q332" s="569"/>
      <c r="R332" s="569"/>
      <c r="S332" s="569"/>
      <c r="T332" s="569"/>
      <c r="U332" s="569"/>
      <c r="V332" s="570"/>
      <c r="W332" s="37" t="s">
        <v>76</v>
      </c>
      <c r="X332" s="553">
        <f>IFERROR(X328/H328,"0")+IFERROR(X329/H329,"0")+IFERROR(X330/H330,"0")+IFERROR(X331/H331,"0")</f>
        <v>0</v>
      </c>
      <c r="Y332" s="553">
        <f>IFERROR(Y328/H328,"0")+IFERROR(Y329/H329,"0")+IFERROR(Y330/H330,"0")+IFERROR(Y331/H331,"0")</f>
        <v>0</v>
      </c>
      <c r="Z332" s="553">
        <f>IFERROR(IF(Z328="",0,Z328),"0")+IFERROR(IF(Z329="",0,Z329),"0")+IFERROR(IF(Z330="",0,Z330),"0")+IFERROR(IF(Z331="",0,Z331),"0")</f>
        <v>0</v>
      </c>
      <c r="AA332" s="554"/>
      <c r="AB332" s="554"/>
      <c r="AC332" s="554"/>
    </row>
    <row r="333" spans="1:68" hidden="1" x14ac:dyDescent="0.2">
      <c r="A333" s="564"/>
      <c r="B333" s="564"/>
      <c r="C333" s="564"/>
      <c r="D333" s="564"/>
      <c r="E333" s="564"/>
      <c r="F333" s="564"/>
      <c r="G333" s="564"/>
      <c r="H333" s="564"/>
      <c r="I333" s="564"/>
      <c r="J333" s="564"/>
      <c r="K333" s="564"/>
      <c r="L333" s="564"/>
      <c r="M333" s="564"/>
      <c r="N333" s="564"/>
      <c r="O333" s="565"/>
      <c r="P333" s="568" t="s">
        <v>75</v>
      </c>
      <c r="Q333" s="569"/>
      <c r="R333" s="569"/>
      <c r="S333" s="569"/>
      <c r="T333" s="569"/>
      <c r="U333" s="569"/>
      <c r="V333" s="570"/>
      <c r="W333" s="37" t="s">
        <v>69</v>
      </c>
      <c r="X333" s="553">
        <f>IFERROR(SUM(X328:X331),"0")</f>
        <v>0</v>
      </c>
      <c r="Y333" s="553">
        <f>IFERROR(SUM(Y328:Y331),"0")</f>
        <v>0</v>
      </c>
      <c r="Z333" s="37"/>
      <c r="AA333" s="554"/>
      <c r="AB333" s="554"/>
      <c r="AC333" s="554"/>
    </row>
    <row r="334" spans="1:68" ht="14.25" hidden="1" customHeight="1" x14ac:dyDescent="0.25">
      <c r="A334" s="567" t="s">
        <v>537</v>
      </c>
      <c r="B334" s="564"/>
      <c r="C334" s="564"/>
      <c r="D334" s="564"/>
      <c r="E334" s="564"/>
      <c r="F334" s="564"/>
      <c r="G334" s="564"/>
      <c r="H334" s="564"/>
      <c r="I334" s="564"/>
      <c r="J334" s="564"/>
      <c r="K334" s="564"/>
      <c r="L334" s="564"/>
      <c r="M334" s="564"/>
      <c r="N334" s="564"/>
      <c r="O334" s="564"/>
      <c r="P334" s="564"/>
      <c r="Q334" s="564"/>
      <c r="R334" s="564"/>
      <c r="S334" s="564"/>
      <c r="T334" s="564"/>
      <c r="U334" s="564"/>
      <c r="V334" s="564"/>
      <c r="W334" s="564"/>
      <c r="X334" s="564"/>
      <c r="Y334" s="564"/>
      <c r="Z334" s="564"/>
      <c r="AA334" s="547"/>
      <c r="AB334" s="547"/>
      <c r="AC334" s="547"/>
    </row>
    <row r="335" spans="1:68" ht="16.5" hidden="1" customHeight="1" x14ac:dyDescent="0.25">
      <c r="A335" s="54" t="s">
        <v>538</v>
      </c>
      <c r="B335" s="54" t="s">
        <v>539</v>
      </c>
      <c r="C335" s="31">
        <v>4301180007</v>
      </c>
      <c r="D335" s="558">
        <v>4680115881808</v>
      </c>
      <c r="E335" s="559"/>
      <c r="F335" s="550">
        <v>0.1</v>
      </c>
      <c r="G335" s="32">
        <v>20</v>
      </c>
      <c r="H335" s="550">
        <v>2</v>
      </c>
      <c r="I335" s="550">
        <v>2.2400000000000002</v>
      </c>
      <c r="J335" s="32">
        <v>238</v>
      </c>
      <c r="K335" s="32" t="s">
        <v>67</v>
      </c>
      <c r="L335" s="32"/>
      <c r="M335" s="33" t="s">
        <v>540</v>
      </c>
      <c r="N335" s="33"/>
      <c r="O335" s="32">
        <v>730</v>
      </c>
      <c r="P335" s="80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6"/>
      <c r="R335" s="556"/>
      <c r="S335" s="556"/>
      <c r="T335" s="557"/>
      <c r="U335" s="34"/>
      <c r="V335" s="34"/>
      <c r="W335" s="35" t="s">
        <v>69</v>
      </c>
      <c r="X335" s="551">
        <v>0</v>
      </c>
      <c r="Y335" s="552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541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542</v>
      </c>
      <c r="B336" s="54" t="s">
        <v>543</v>
      </c>
      <c r="C336" s="31">
        <v>4301180006</v>
      </c>
      <c r="D336" s="558">
        <v>4680115881822</v>
      </c>
      <c r="E336" s="559"/>
      <c r="F336" s="550">
        <v>0.1</v>
      </c>
      <c r="G336" s="32">
        <v>20</v>
      </c>
      <c r="H336" s="550">
        <v>2</v>
      </c>
      <c r="I336" s="550">
        <v>2.2400000000000002</v>
      </c>
      <c r="J336" s="32">
        <v>238</v>
      </c>
      <c r="K336" s="32" t="s">
        <v>67</v>
      </c>
      <c r="L336" s="32"/>
      <c r="M336" s="33" t="s">
        <v>540</v>
      </c>
      <c r="N336" s="33"/>
      <c r="O336" s="32">
        <v>730</v>
      </c>
      <c r="P336" s="82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6"/>
      <c r="R336" s="556"/>
      <c r="S336" s="556"/>
      <c r="T336" s="557"/>
      <c r="U336" s="34"/>
      <c r="V336" s="34"/>
      <c r="W336" s="35" t="s">
        <v>69</v>
      </c>
      <c r="X336" s="551">
        <v>0</v>
      </c>
      <c r="Y336" s="552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541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544</v>
      </c>
      <c r="B337" s="54" t="s">
        <v>545</v>
      </c>
      <c r="C337" s="31">
        <v>4301180001</v>
      </c>
      <c r="D337" s="558">
        <v>4680115880016</v>
      </c>
      <c r="E337" s="559"/>
      <c r="F337" s="550">
        <v>0.1</v>
      </c>
      <c r="G337" s="32">
        <v>20</v>
      </c>
      <c r="H337" s="550">
        <v>2</v>
      </c>
      <c r="I337" s="550">
        <v>2.2400000000000002</v>
      </c>
      <c r="J337" s="32">
        <v>238</v>
      </c>
      <c r="K337" s="32" t="s">
        <v>67</v>
      </c>
      <c r="L337" s="32"/>
      <c r="M337" s="33" t="s">
        <v>540</v>
      </c>
      <c r="N337" s="33"/>
      <c r="O337" s="32">
        <v>730</v>
      </c>
      <c r="P337" s="64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6"/>
      <c r="R337" s="556"/>
      <c r="S337" s="556"/>
      <c r="T337" s="557"/>
      <c r="U337" s="34"/>
      <c r="V337" s="34"/>
      <c r="W337" s="35" t="s">
        <v>69</v>
      </c>
      <c r="X337" s="551">
        <v>0</v>
      </c>
      <c r="Y337" s="552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541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3"/>
      <c r="B338" s="564"/>
      <c r="C338" s="564"/>
      <c r="D338" s="564"/>
      <c r="E338" s="564"/>
      <c r="F338" s="564"/>
      <c r="G338" s="564"/>
      <c r="H338" s="564"/>
      <c r="I338" s="564"/>
      <c r="J338" s="564"/>
      <c r="K338" s="564"/>
      <c r="L338" s="564"/>
      <c r="M338" s="564"/>
      <c r="N338" s="564"/>
      <c r="O338" s="565"/>
      <c r="P338" s="568" t="s">
        <v>75</v>
      </c>
      <c r="Q338" s="569"/>
      <c r="R338" s="569"/>
      <c r="S338" s="569"/>
      <c r="T338" s="569"/>
      <c r="U338" s="569"/>
      <c r="V338" s="570"/>
      <c r="W338" s="37" t="s">
        <v>76</v>
      </c>
      <c r="X338" s="553">
        <f>IFERROR(X335/H335,"0")+IFERROR(X336/H336,"0")+IFERROR(X337/H337,"0")</f>
        <v>0</v>
      </c>
      <c r="Y338" s="553">
        <f>IFERROR(Y335/H335,"0")+IFERROR(Y336/H336,"0")+IFERROR(Y337/H337,"0")</f>
        <v>0</v>
      </c>
      <c r="Z338" s="553">
        <f>IFERROR(IF(Z335="",0,Z335),"0")+IFERROR(IF(Z336="",0,Z336),"0")+IFERROR(IF(Z337="",0,Z337),"0")</f>
        <v>0</v>
      </c>
      <c r="AA338" s="554"/>
      <c r="AB338" s="554"/>
      <c r="AC338" s="554"/>
    </row>
    <row r="339" spans="1:68" hidden="1" x14ac:dyDescent="0.2">
      <c r="A339" s="564"/>
      <c r="B339" s="564"/>
      <c r="C339" s="564"/>
      <c r="D339" s="564"/>
      <c r="E339" s="564"/>
      <c r="F339" s="564"/>
      <c r="G339" s="564"/>
      <c r="H339" s="564"/>
      <c r="I339" s="564"/>
      <c r="J339" s="564"/>
      <c r="K339" s="564"/>
      <c r="L339" s="564"/>
      <c r="M339" s="564"/>
      <c r="N339" s="564"/>
      <c r="O339" s="565"/>
      <c r="P339" s="568" t="s">
        <v>75</v>
      </c>
      <c r="Q339" s="569"/>
      <c r="R339" s="569"/>
      <c r="S339" s="569"/>
      <c r="T339" s="569"/>
      <c r="U339" s="569"/>
      <c r="V339" s="570"/>
      <c r="W339" s="37" t="s">
        <v>69</v>
      </c>
      <c r="X339" s="553">
        <f>IFERROR(SUM(X335:X337),"0")</f>
        <v>0</v>
      </c>
      <c r="Y339" s="553">
        <f>IFERROR(SUM(Y335:Y337),"0")</f>
        <v>0</v>
      </c>
      <c r="Z339" s="37"/>
      <c r="AA339" s="554"/>
      <c r="AB339" s="554"/>
      <c r="AC339" s="554"/>
    </row>
    <row r="340" spans="1:68" ht="16.5" hidden="1" customHeight="1" x14ac:dyDescent="0.25">
      <c r="A340" s="576" t="s">
        <v>546</v>
      </c>
      <c r="B340" s="564"/>
      <c r="C340" s="564"/>
      <c r="D340" s="564"/>
      <c r="E340" s="564"/>
      <c r="F340" s="564"/>
      <c r="G340" s="564"/>
      <c r="H340" s="564"/>
      <c r="I340" s="564"/>
      <c r="J340" s="564"/>
      <c r="K340" s="564"/>
      <c r="L340" s="564"/>
      <c r="M340" s="564"/>
      <c r="N340" s="564"/>
      <c r="O340" s="564"/>
      <c r="P340" s="564"/>
      <c r="Q340" s="564"/>
      <c r="R340" s="564"/>
      <c r="S340" s="564"/>
      <c r="T340" s="564"/>
      <c r="U340" s="564"/>
      <c r="V340" s="564"/>
      <c r="W340" s="564"/>
      <c r="X340" s="564"/>
      <c r="Y340" s="564"/>
      <c r="Z340" s="564"/>
      <c r="AA340" s="546"/>
      <c r="AB340" s="546"/>
      <c r="AC340" s="546"/>
    </row>
    <row r="341" spans="1:68" ht="14.25" hidden="1" customHeight="1" x14ac:dyDescent="0.25">
      <c r="A341" s="567" t="s">
        <v>77</v>
      </c>
      <c r="B341" s="564"/>
      <c r="C341" s="564"/>
      <c r="D341" s="564"/>
      <c r="E341" s="564"/>
      <c r="F341" s="564"/>
      <c r="G341" s="564"/>
      <c r="H341" s="564"/>
      <c r="I341" s="564"/>
      <c r="J341" s="564"/>
      <c r="K341" s="564"/>
      <c r="L341" s="564"/>
      <c r="M341" s="564"/>
      <c r="N341" s="564"/>
      <c r="O341" s="564"/>
      <c r="P341" s="564"/>
      <c r="Q341" s="564"/>
      <c r="R341" s="564"/>
      <c r="S341" s="564"/>
      <c r="T341" s="564"/>
      <c r="U341" s="564"/>
      <c r="V341" s="564"/>
      <c r="W341" s="564"/>
      <c r="X341" s="564"/>
      <c r="Y341" s="564"/>
      <c r="Z341" s="564"/>
      <c r="AA341" s="547"/>
      <c r="AB341" s="547"/>
      <c r="AC341" s="547"/>
    </row>
    <row r="342" spans="1:68" ht="27" customHeight="1" x14ac:dyDescent="0.25">
      <c r="A342" s="54" t="s">
        <v>547</v>
      </c>
      <c r="B342" s="54" t="s">
        <v>548</v>
      </c>
      <c r="C342" s="31">
        <v>4301051489</v>
      </c>
      <c r="D342" s="558">
        <v>4607091387919</v>
      </c>
      <c r="E342" s="559"/>
      <c r="F342" s="550">
        <v>1.35</v>
      </c>
      <c r="G342" s="32">
        <v>6</v>
      </c>
      <c r="H342" s="550">
        <v>8.1</v>
      </c>
      <c r="I342" s="550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3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6"/>
      <c r="R342" s="556"/>
      <c r="S342" s="556"/>
      <c r="T342" s="557"/>
      <c r="U342" s="34"/>
      <c r="V342" s="34"/>
      <c r="W342" s="35" t="s">
        <v>69</v>
      </c>
      <c r="X342" s="551">
        <v>90</v>
      </c>
      <c r="Y342" s="552">
        <f>IFERROR(IF(X342="",0,CEILING((X342/$H342),1)*$H342),"")</f>
        <v>97.199999999999989</v>
      </c>
      <c r="Z342" s="36">
        <f>IFERROR(IF(Y342=0,"",ROUNDUP(Y342/H342,0)*0.01898),"")</f>
        <v>0.22776000000000002</v>
      </c>
      <c r="AA342" s="56"/>
      <c r="AB342" s="57"/>
      <c r="AC342" s="399" t="s">
        <v>549</v>
      </c>
      <c r="AG342" s="64"/>
      <c r="AJ342" s="68" t="s">
        <v>92</v>
      </c>
      <c r="AK342" s="68">
        <v>64.8</v>
      </c>
      <c r="BB342" s="400" t="s">
        <v>1</v>
      </c>
      <c r="BM342" s="64">
        <f>IFERROR(X342*I342/H342,"0")</f>
        <v>95.48888888888888</v>
      </c>
      <c r="BN342" s="64">
        <f>IFERROR(Y342*I342/H342,"0")</f>
        <v>103.12799999999999</v>
      </c>
      <c r="BO342" s="64">
        <f>IFERROR(1/J342*(X342/H342),"0")</f>
        <v>0.1736111111111111</v>
      </c>
      <c r="BP342" s="64">
        <f>IFERROR(1/J342*(Y342/H342),"0")</f>
        <v>0.1875</v>
      </c>
    </row>
    <row r="343" spans="1:68" ht="27" hidden="1" customHeight="1" x14ac:dyDescent="0.25">
      <c r="A343" s="54" t="s">
        <v>550</v>
      </c>
      <c r="B343" s="54" t="s">
        <v>551</v>
      </c>
      <c r="C343" s="31">
        <v>4301051461</v>
      </c>
      <c r="D343" s="558">
        <v>4680115883604</v>
      </c>
      <c r="E343" s="559"/>
      <c r="F343" s="550">
        <v>0.35</v>
      </c>
      <c r="G343" s="32">
        <v>6</v>
      </c>
      <c r="H343" s="550">
        <v>2.1</v>
      </c>
      <c r="I343" s="550">
        <v>2.3519999999999999</v>
      </c>
      <c r="J343" s="32">
        <v>182</v>
      </c>
      <c r="K343" s="32" t="s">
        <v>67</v>
      </c>
      <c r="L343" s="32" t="s">
        <v>90</v>
      </c>
      <c r="M343" s="33" t="s">
        <v>80</v>
      </c>
      <c r="N343" s="33"/>
      <c r="O343" s="32">
        <v>45</v>
      </c>
      <c r="P343" s="77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6"/>
      <c r="R343" s="556"/>
      <c r="S343" s="556"/>
      <c r="T343" s="557"/>
      <c r="U343" s="34"/>
      <c r="V343" s="34"/>
      <c r="W343" s="35" t="s">
        <v>69</v>
      </c>
      <c r="X343" s="551">
        <v>0</v>
      </c>
      <c r="Y343" s="552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553</v>
      </c>
      <c r="B344" s="54" t="s">
        <v>554</v>
      </c>
      <c r="C344" s="31">
        <v>4301051864</v>
      </c>
      <c r="D344" s="558">
        <v>4680115883567</v>
      </c>
      <c r="E344" s="559"/>
      <c r="F344" s="550">
        <v>0.35</v>
      </c>
      <c r="G344" s="32">
        <v>6</v>
      </c>
      <c r="H344" s="550">
        <v>2.1</v>
      </c>
      <c r="I344" s="550">
        <v>2.34</v>
      </c>
      <c r="J344" s="32">
        <v>182</v>
      </c>
      <c r="K344" s="32" t="s">
        <v>67</v>
      </c>
      <c r="L344" s="32" t="s">
        <v>90</v>
      </c>
      <c r="M344" s="33" t="s">
        <v>86</v>
      </c>
      <c r="N344" s="33"/>
      <c r="O344" s="32">
        <v>40</v>
      </c>
      <c r="P344" s="86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6"/>
      <c r="R344" s="556"/>
      <c r="S344" s="556"/>
      <c r="T344" s="557"/>
      <c r="U344" s="34"/>
      <c r="V344" s="34"/>
      <c r="W344" s="35" t="s">
        <v>69</v>
      </c>
      <c r="X344" s="551">
        <v>0</v>
      </c>
      <c r="Y344" s="552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555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63"/>
      <c r="B345" s="564"/>
      <c r="C345" s="564"/>
      <c r="D345" s="564"/>
      <c r="E345" s="564"/>
      <c r="F345" s="564"/>
      <c r="G345" s="564"/>
      <c r="H345" s="564"/>
      <c r="I345" s="564"/>
      <c r="J345" s="564"/>
      <c r="K345" s="564"/>
      <c r="L345" s="564"/>
      <c r="M345" s="564"/>
      <c r="N345" s="564"/>
      <c r="O345" s="565"/>
      <c r="P345" s="568" t="s">
        <v>75</v>
      </c>
      <c r="Q345" s="569"/>
      <c r="R345" s="569"/>
      <c r="S345" s="569"/>
      <c r="T345" s="569"/>
      <c r="U345" s="569"/>
      <c r="V345" s="570"/>
      <c r="W345" s="37" t="s">
        <v>76</v>
      </c>
      <c r="X345" s="553">
        <f>IFERROR(X342/H342,"0")+IFERROR(X343/H343,"0")+IFERROR(X344/H344,"0")</f>
        <v>11.111111111111111</v>
      </c>
      <c r="Y345" s="553">
        <f>IFERROR(Y342/H342,"0")+IFERROR(Y343/H343,"0")+IFERROR(Y344/H344,"0")</f>
        <v>12</v>
      </c>
      <c r="Z345" s="553">
        <f>IFERROR(IF(Z342="",0,Z342),"0")+IFERROR(IF(Z343="",0,Z343),"0")+IFERROR(IF(Z344="",0,Z344),"0")</f>
        <v>0.22776000000000002</v>
      </c>
      <c r="AA345" s="554"/>
      <c r="AB345" s="554"/>
      <c r="AC345" s="554"/>
    </row>
    <row r="346" spans="1:68" x14ac:dyDescent="0.2">
      <c r="A346" s="564"/>
      <c r="B346" s="564"/>
      <c r="C346" s="564"/>
      <c r="D346" s="564"/>
      <c r="E346" s="564"/>
      <c r="F346" s="564"/>
      <c r="G346" s="564"/>
      <c r="H346" s="564"/>
      <c r="I346" s="564"/>
      <c r="J346" s="564"/>
      <c r="K346" s="564"/>
      <c r="L346" s="564"/>
      <c r="M346" s="564"/>
      <c r="N346" s="564"/>
      <c r="O346" s="565"/>
      <c r="P346" s="568" t="s">
        <v>75</v>
      </c>
      <c r="Q346" s="569"/>
      <c r="R346" s="569"/>
      <c r="S346" s="569"/>
      <c r="T346" s="569"/>
      <c r="U346" s="569"/>
      <c r="V346" s="570"/>
      <c r="W346" s="37" t="s">
        <v>69</v>
      </c>
      <c r="X346" s="553">
        <f>IFERROR(SUM(X342:X344),"0")</f>
        <v>90</v>
      </c>
      <c r="Y346" s="553">
        <f>IFERROR(SUM(Y342:Y344),"0")</f>
        <v>97.199999999999989</v>
      </c>
      <c r="Z346" s="37"/>
      <c r="AA346" s="554"/>
      <c r="AB346" s="554"/>
      <c r="AC346" s="554"/>
    </row>
    <row r="347" spans="1:68" ht="27.75" hidden="1" customHeight="1" x14ac:dyDescent="0.2">
      <c r="A347" s="613" t="s">
        <v>556</v>
      </c>
      <c r="B347" s="614"/>
      <c r="C347" s="614"/>
      <c r="D347" s="614"/>
      <c r="E347" s="614"/>
      <c r="F347" s="614"/>
      <c r="G347" s="614"/>
      <c r="H347" s="614"/>
      <c r="I347" s="614"/>
      <c r="J347" s="614"/>
      <c r="K347" s="614"/>
      <c r="L347" s="614"/>
      <c r="M347" s="614"/>
      <c r="N347" s="614"/>
      <c r="O347" s="614"/>
      <c r="P347" s="614"/>
      <c r="Q347" s="614"/>
      <c r="R347" s="614"/>
      <c r="S347" s="614"/>
      <c r="T347" s="614"/>
      <c r="U347" s="614"/>
      <c r="V347" s="614"/>
      <c r="W347" s="614"/>
      <c r="X347" s="614"/>
      <c r="Y347" s="614"/>
      <c r="Z347" s="614"/>
      <c r="AA347" s="48"/>
      <c r="AB347" s="48"/>
      <c r="AC347" s="48"/>
    </row>
    <row r="348" spans="1:68" ht="16.5" hidden="1" customHeight="1" x14ac:dyDescent="0.25">
      <c r="A348" s="576" t="s">
        <v>557</v>
      </c>
      <c r="B348" s="564"/>
      <c r="C348" s="564"/>
      <c r="D348" s="564"/>
      <c r="E348" s="564"/>
      <c r="F348" s="564"/>
      <c r="G348" s="564"/>
      <c r="H348" s="564"/>
      <c r="I348" s="564"/>
      <c r="J348" s="564"/>
      <c r="K348" s="564"/>
      <c r="L348" s="564"/>
      <c r="M348" s="564"/>
      <c r="N348" s="564"/>
      <c r="O348" s="564"/>
      <c r="P348" s="564"/>
      <c r="Q348" s="564"/>
      <c r="R348" s="564"/>
      <c r="S348" s="564"/>
      <c r="T348" s="564"/>
      <c r="U348" s="564"/>
      <c r="V348" s="564"/>
      <c r="W348" s="564"/>
      <c r="X348" s="564"/>
      <c r="Y348" s="564"/>
      <c r="Z348" s="564"/>
      <c r="AA348" s="546"/>
      <c r="AB348" s="546"/>
      <c r="AC348" s="546"/>
    </row>
    <row r="349" spans="1:68" ht="14.25" hidden="1" customHeight="1" x14ac:dyDescent="0.25">
      <c r="A349" s="567" t="s">
        <v>101</v>
      </c>
      <c r="B349" s="564"/>
      <c r="C349" s="564"/>
      <c r="D349" s="564"/>
      <c r="E349" s="564"/>
      <c r="F349" s="564"/>
      <c r="G349" s="564"/>
      <c r="H349" s="564"/>
      <c r="I349" s="564"/>
      <c r="J349" s="564"/>
      <c r="K349" s="564"/>
      <c r="L349" s="564"/>
      <c r="M349" s="564"/>
      <c r="N349" s="564"/>
      <c r="O349" s="564"/>
      <c r="P349" s="564"/>
      <c r="Q349" s="564"/>
      <c r="R349" s="564"/>
      <c r="S349" s="564"/>
      <c r="T349" s="564"/>
      <c r="U349" s="564"/>
      <c r="V349" s="564"/>
      <c r="W349" s="564"/>
      <c r="X349" s="564"/>
      <c r="Y349" s="564"/>
      <c r="Z349" s="564"/>
      <c r="AA349" s="547"/>
      <c r="AB349" s="547"/>
      <c r="AC349" s="547"/>
    </row>
    <row r="350" spans="1:68" ht="37.5" customHeight="1" x14ac:dyDescent="0.25">
      <c r="A350" s="54" t="s">
        <v>558</v>
      </c>
      <c r="B350" s="54" t="s">
        <v>559</v>
      </c>
      <c r="C350" s="31">
        <v>4301011869</v>
      </c>
      <c r="D350" s="558">
        <v>4680115884847</v>
      </c>
      <c r="E350" s="559"/>
      <c r="F350" s="550">
        <v>2.5</v>
      </c>
      <c r="G350" s="32">
        <v>6</v>
      </c>
      <c r="H350" s="550">
        <v>15</v>
      </c>
      <c r="I350" s="550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7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6"/>
      <c r="R350" s="556"/>
      <c r="S350" s="556"/>
      <c r="T350" s="557"/>
      <c r="U350" s="34"/>
      <c r="V350" s="34"/>
      <c r="W350" s="35" t="s">
        <v>69</v>
      </c>
      <c r="X350" s="551">
        <v>2250</v>
      </c>
      <c r="Y350" s="552">
        <f t="shared" ref="Y350:Y356" si="41">IFERROR(IF(X350="",0,CEILING((X350/$H350),1)*$H350),"")</f>
        <v>2250</v>
      </c>
      <c r="Z350" s="36">
        <f>IFERROR(IF(Y350=0,"",ROUNDUP(Y350/H350,0)*0.02175),"")</f>
        <v>3.2624999999999997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ref="BM350:BM356" si="42">IFERROR(X350*I350/H350,"0")</f>
        <v>2320.5</v>
      </c>
      <c r="BN350" s="64">
        <f t="shared" ref="BN350:BN356" si="43">IFERROR(Y350*I350/H350,"0")</f>
        <v>2320.5</v>
      </c>
      <c r="BO350" s="64">
        <f t="shared" ref="BO350:BO356" si="44">IFERROR(1/J350*(X350/H350),"0")</f>
        <v>3.125</v>
      </c>
      <c r="BP350" s="64">
        <f t="shared" ref="BP350:BP356" si="45">IFERROR(1/J350*(Y350/H350),"0")</f>
        <v>3.125</v>
      </c>
    </row>
    <row r="351" spans="1:68" ht="27" customHeight="1" x14ac:dyDescent="0.25">
      <c r="A351" s="54" t="s">
        <v>561</v>
      </c>
      <c r="B351" s="54" t="s">
        <v>562</v>
      </c>
      <c r="C351" s="31">
        <v>4301011870</v>
      </c>
      <c r="D351" s="558">
        <v>4680115884854</v>
      </c>
      <c r="E351" s="559"/>
      <c r="F351" s="550">
        <v>2.5</v>
      </c>
      <c r="G351" s="32">
        <v>6</v>
      </c>
      <c r="H351" s="550">
        <v>15</v>
      </c>
      <c r="I351" s="550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6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6"/>
      <c r="R351" s="556"/>
      <c r="S351" s="556"/>
      <c r="T351" s="557"/>
      <c r="U351" s="34"/>
      <c r="V351" s="34"/>
      <c r="W351" s="35" t="s">
        <v>69</v>
      </c>
      <c r="X351" s="551">
        <v>2250</v>
      </c>
      <c r="Y351" s="552">
        <f t="shared" si="41"/>
        <v>2250</v>
      </c>
      <c r="Z351" s="36">
        <f>IFERROR(IF(Y351=0,"",ROUNDUP(Y351/H351,0)*0.02175),"")</f>
        <v>3.2624999999999997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42"/>
        <v>2320.5</v>
      </c>
      <c r="BN351" s="64">
        <f t="shared" si="43"/>
        <v>2320.5</v>
      </c>
      <c r="BO351" s="64">
        <f t="shared" si="44"/>
        <v>3.125</v>
      </c>
      <c r="BP351" s="64">
        <f t="shared" si="45"/>
        <v>3.125</v>
      </c>
    </row>
    <row r="352" spans="1:68" ht="37.5" hidden="1" customHeight="1" x14ac:dyDescent="0.25">
      <c r="A352" s="54" t="s">
        <v>564</v>
      </c>
      <c r="B352" s="54" t="s">
        <v>565</v>
      </c>
      <c r="C352" s="31">
        <v>4301011867</v>
      </c>
      <c r="D352" s="558">
        <v>4680115884830</v>
      </c>
      <c r="E352" s="559"/>
      <c r="F352" s="550">
        <v>2.5</v>
      </c>
      <c r="G352" s="32">
        <v>6</v>
      </c>
      <c r="H352" s="550">
        <v>15</v>
      </c>
      <c r="I352" s="550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68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6"/>
      <c r="R352" s="556"/>
      <c r="S352" s="556"/>
      <c r="T352" s="557"/>
      <c r="U352" s="34"/>
      <c r="V352" s="34"/>
      <c r="W352" s="35" t="s">
        <v>69</v>
      </c>
      <c r="X352" s="551">
        <v>0</v>
      </c>
      <c r="Y352" s="552">
        <f t="shared" si="41"/>
        <v>0</v>
      </c>
      <c r="Z352" s="36" t="str">
        <f>IFERROR(IF(Y352=0,"",ROUNDUP(Y352/H352,0)*0.02175),"")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42"/>
        <v>0</v>
      </c>
      <c r="BN352" s="64">
        <f t="shared" si="43"/>
        <v>0</v>
      </c>
      <c r="BO352" s="64">
        <f t="shared" si="44"/>
        <v>0</v>
      </c>
      <c r="BP352" s="64">
        <f t="shared" si="45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4301012215</v>
      </c>
      <c r="D353" s="558">
        <v>4680115887046</v>
      </c>
      <c r="E353" s="559"/>
      <c r="F353" s="550">
        <v>2.5</v>
      </c>
      <c r="G353" s="32">
        <v>6</v>
      </c>
      <c r="H353" s="550">
        <v>15</v>
      </c>
      <c r="I353" s="550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68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6"/>
      <c r="R353" s="556"/>
      <c r="S353" s="556"/>
      <c r="T353" s="557"/>
      <c r="U353" s="34"/>
      <c r="V353" s="34"/>
      <c r="W353" s="35" t="s">
        <v>69</v>
      </c>
      <c r="X353" s="551">
        <v>2250</v>
      </c>
      <c r="Y353" s="552">
        <f t="shared" si="41"/>
        <v>2250</v>
      </c>
      <c r="Z353" s="36">
        <f>IFERROR(IF(Y353=0,"",ROUNDUP(Y353/H353,0)*0.02175),"")</f>
        <v>3.2624999999999997</v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42"/>
        <v>2320.5</v>
      </c>
      <c r="BN353" s="64">
        <f t="shared" si="43"/>
        <v>2320.5</v>
      </c>
      <c r="BO353" s="64">
        <f t="shared" si="44"/>
        <v>3.125</v>
      </c>
      <c r="BP353" s="64">
        <f t="shared" si="45"/>
        <v>3.125</v>
      </c>
    </row>
    <row r="354" spans="1:68" ht="27" hidden="1" customHeight="1" x14ac:dyDescent="0.25">
      <c r="A354" s="54" t="s">
        <v>570</v>
      </c>
      <c r="B354" s="54" t="s">
        <v>571</v>
      </c>
      <c r="C354" s="31">
        <v>4301011433</v>
      </c>
      <c r="D354" s="558">
        <v>4680115882638</v>
      </c>
      <c r="E354" s="559"/>
      <c r="F354" s="550">
        <v>0.4</v>
      </c>
      <c r="G354" s="32">
        <v>10</v>
      </c>
      <c r="H354" s="550">
        <v>4</v>
      </c>
      <c r="I354" s="55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90</v>
      </c>
      <c r="P354" s="81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6"/>
      <c r="R354" s="556"/>
      <c r="S354" s="556"/>
      <c r="T354" s="557"/>
      <c r="U354" s="34"/>
      <c r="V354" s="34"/>
      <c r="W354" s="35" t="s">
        <v>69</v>
      </c>
      <c r="X354" s="551">
        <v>0</v>
      </c>
      <c r="Y354" s="552">
        <f t="shared" si="41"/>
        <v>0</v>
      </c>
      <c r="Z354" s="36" t="str">
        <f>IFERROR(IF(Y354=0,"",ROUNDUP(Y354/H354,0)*0.00902),"")</f>
        <v/>
      </c>
      <c r="AA354" s="56"/>
      <c r="AB354" s="57"/>
      <c r="AC354" s="413" t="s">
        <v>572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27" hidden="1" customHeight="1" x14ac:dyDescent="0.25">
      <c r="A355" s="54" t="s">
        <v>573</v>
      </c>
      <c r="B355" s="54" t="s">
        <v>574</v>
      </c>
      <c r="C355" s="31">
        <v>4301011952</v>
      </c>
      <c r="D355" s="558">
        <v>4680115884922</v>
      </c>
      <c r="E355" s="559"/>
      <c r="F355" s="550">
        <v>0.5</v>
      </c>
      <c r="G355" s="32">
        <v>10</v>
      </c>
      <c r="H355" s="550">
        <v>5</v>
      </c>
      <c r="I355" s="550">
        <v>5.19</v>
      </c>
      <c r="J355" s="32">
        <v>132</v>
      </c>
      <c r="K355" s="32" t="s">
        <v>110</v>
      </c>
      <c r="L355" s="32"/>
      <c r="M355" s="33" t="s">
        <v>68</v>
      </c>
      <c r="N355" s="33"/>
      <c r="O355" s="32">
        <v>60</v>
      </c>
      <c r="P355" s="85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6"/>
      <c r="R355" s="556"/>
      <c r="S355" s="556"/>
      <c r="T355" s="557"/>
      <c r="U355" s="34"/>
      <c r="V355" s="34"/>
      <c r="W355" s="35" t="s">
        <v>69</v>
      </c>
      <c r="X355" s="551">
        <v>0</v>
      </c>
      <c r="Y355" s="552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37.5" hidden="1" customHeight="1" x14ac:dyDescent="0.25">
      <c r="A356" s="54" t="s">
        <v>575</v>
      </c>
      <c r="B356" s="54" t="s">
        <v>576</v>
      </c>
      <c r="C356" s="31">
        <v>4301011868</v>
      </c>
      <c r="D356" s="558">
        <v>4680115884861</v>
      </c>
      <c r="E356" s="559"/>
      <c r="F356" s="550">
        <v>0.5</v>
      </c>
      <c r="G356" s="32">
        <v>10</v>
      </c>
      <c r="H356" s="550">
        <v>5</v>
      </c>
      <c r="I356" s="550">
        <v>5.19</v>
      </c>
      <c r="J356" s="32">
        <v>132</v>
      </c>
      <c r="K356" s="32" t="s">
        <v>110</v>
      </c>
      <c r="L356" s="32" t="s">
        <v>111</v>
      </c>
      <c r="M356" s="33" t="s">
        <v>68</v>
      </c>
      <c r="N356" s="33"/>
      <c r="O356" s="32">
        <v>60</v>
      </c>
      <c r="P356" s="73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6"/>
      <c r="R356" s="556"/>
      <c r="S356" s="556"/>
      <c r="T356" s="557"/>
      <c r="U356" s="34"/>
      <c r="V356" s="34"/>
      <c r="W356" s="35" t="s">
        <v>69</v>
      </c>
      <c r="X356" s="551">
        <v>0</v>
      </c>
      <c r="Y356" s="552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566</v>
      </c>
      <c r="AG356" s="64"/>
      <c r="AJ356" s="68" t="s">
        <v>92</v>
      </c>
      <c r="AK356" s="68">
        <v>60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x14ac:dyDescent="0.2">
      <c r="A357" s="563"/>
      <c r="B357" s="564"/>
      <c r="C357" s="564"/>
      <c r="D357" s="564"/>
      <c r="E357" s="564"/>
      <c r="F357" s="564"/>
      <c r="G357" s="564"/>
      <c r="H357" s="564"/>
      <c r="I357" s="564"/>
      <c r="J357" s="564"/>
      <c r="K357" s="564"/>
      <c r="L357" s="564"/>
      <c r="M357" s="564"/>
      <c r="N357" s="564"/>
      <c r="O357" s="565"/>
      <c r="P357" s="568" t="s">
        <v>75</v>
      </c>
      <c r="Q357" s="569"/>
      <c r="R357" s="569"/>
      <c r="S357" s="569"/>
      <c r="T357" s="569"/>
      <c r="U357" s="569"/>
      <c r="V357" s="570"/>
      <c r="W357" s="37" t="s">
        <v>76</v>
      </c>
      <c r="X357" s="553">
        <f>IFERROR(X350/H350,"0")+IFERROR(X351/H351,"0")+IFERROR(X352/H352,"0")+IFERROR(X353/H353,"0")+IFERROR(X354/H354,"0")+IFERROR(X355/H355,"0")+IFERROR(X356/H356,"0")</f>
        <v>450</v>
      </c>
      <c r="Y357" s="553">
        <f>IFERROR(Y350/H350,"0")+IFERROR(Y351/H351,"0")+IFERROR(Y352/H352,"0")+IFERROR(Y353/H353,"0")+IFERROR(Y354/H354,"0")+IFERROR(Y355/H355,"0")+IFERROR(Y356/H356,"0")</f>
        <v>450</v>
      </c>
      <c r="Z357" s="553">
        <f>IFERROR(IF(Z350="",0,Z350),"0")+IFERROR(IF(Z351="",0,Z351),"0")+IFERROR(IF(Z352="",0,Z352),"0")+IFERROR(IF(Z353="",0,Z353),"0")+IFERROR(IF(Z354="",0,Z354),"0")+IFERROR(IF(Z355="",0,Z355),"0")+IFERROR(IF(Z356="",0,Z356),"0")</f>
        <v>9.7874999999999996</v>
      </c>
      <c r="AA357" s="554"/>
      <c r="AB357" s="554"/>
      <c r="AC357" s="554"/>
    </row>
    <row r="358" spans="1:68" x14ac:dyDescent="0.2">
      <c r="A358" s="564"/>
      <c r="B358" s="564"/>
      <c r="C358" s="564"/>
      <c r="D358" s="564"/>
      <c r="E358" s="564"/>
      <c r="F358" s="564"/>
      <c r="G358" s="564"/>
      <c r="H358" s="564"/>
      <c r="I358" s="564"/>
      <c r="J358" s="564"/>
      <c r="K358" s="564"/>
      <c r="L358" s="564"/>
      <c r="M358" s="564"/>
      <c r="N358" s="564"/>
      <c r="O358" s="565"/>
      <c r="P358" s="568" t="s">
        <v>75</v>
      </c>
      <c r="Q358" s="569"/>
      <c r="R358" s="569"/>
      <c r="S358" s="569"/>
      <c r="T358" s="569"/>
      <c r="U358" s="569"/>
      <c r="V358" s="570"/>
      <c r="W358" s="37" t="s">
        <v>69</v>
      </c>
      <c r="X358" s="553">
        <f>IFERROR(SUM(X350:X356),"0")</f>
        <v>6750</v>
      </c>
      <c r="Y358" s="553">
        <f>IFERROR(SUM(Y350:Y356),"0")</f>
        <v>6750</v>
      </c>
      <c r="Z358" s="37"/>
      <c r="AA358" s="554"/>
      <c r="AB358" s="554"/>
      <c r="AC358" s="554"/>
    </row>
    <row r="359" spans="1:68" ht="14.25" hidden="1" customHeight="1" x14ac:dyDescent="0.25">
      <c r="A359" s="567" t="s">
        <v>136</v>
      </c>
      <c r="B359" s="564"/>
      <c r="C359" s="564"/>
      <c r="D359" s="564"/>
      <c r="E359" s="564"/>
      <c r="F359" s="564"/>
      <c r="G359" s="564"/>
      <c r="H359" s="564"/>
      <c r="I359" s="564"/>
      <c r="J359" s="564"/>
      <c r="K359" s="564"/>
      <c r="L359" s="564"/>
      <c r="M359" s="564"/>
      <c r="N359" s="564"/>
      <c r="O359" s="564"/>
      <c r="P359" s="564"/>
      <c r="Q359" s="564"/>
      <c r="R359" s="564"/>
      <c r="S359" s="564"/>
      <c r="T359" s="564"/>
      <c r="U359" s="564"/>
      <c r="V359" s="564"/>
      <c r="W359" s="564"/>
      <c r="X359" s="564"/>
      <c r="Y359" s="564"/>
      <c r="Z359" s="564"/>
      <c r="AA359" s="547"/>
      <c r="AB359" s="547"/>
      <c r="AC359" s="547"/>
    </row>
    <row r="360" spans="1:68" ht="27" customHeight="1" x14ac:dyDescent="0.25">
      <c r="A360" s="54" t="s">
        <v>577</v>
      </c>
      <c r="B360" s="54" t="s">
        <v>578</v>
      </c>
      <c r="C360" s="31">
        <v>4301020178</v>
      </c>
      <c r="D360" s="558">
        <v>4607091383980</v>
      </c>
      <c r="E360" s="559"/>
      <c r="F360" s="550">
        <v>2.5</v>
      </c>
      <c r="G360" s="32">
        <v>6</v>
      </c>
      <c r="H360" s="550">
        <v>15</v>
      </c>
      <c r="I360" s="550">
        <v>15.47</v>
      </c>
      <c r="J360" s="32">
        <v>48</v>
      </c>
      <c r="K360" s="32" t="s">
        <v>104</v>
      </c>
      <c r="L360" s="32"/>
      <c r="M360" s="33" t="s">
        <v>106</v>
      </c>
      <c r="N360" s="33"/>
      <c r="O360" s="32">
        <v>50</v>
      </c>
      <c r="P360" s="88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6"/>
      <c r="R360" s="556"/>
      <c r="S360" s="556"/>
      <c r="T360" s="557"/>
      <c r="U360" s="34"/>
      <c r="V360" s="34"/>
      <c r="W360" s="35" t="s">
        <v>69</v>
      </c>
      <c r="X360" s="551">
        <v>2250</v>
      </c>
      <c r="Y360" s="552">
        <f>IFERROR(IF(X360="",0,CEILING((X360/$H360),1)*$H360),"")</f>
        <v>2250</v>
      </c>
      <c r="Z360" s="36">
        <f>IFERROR(IF(Y360=0,"",ROUNDUP(Y360/H360,0)*0.02175),"")</f>
        <v>3.2624999999999997</v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2320.5</v>
      </c>
      <c r="BN360" s="64">
        <f>IFERROR(Y360*I360/H360,"0")</f>
        <v>2320.5</v>
      </c>
      <c r="BO360" s="64">
        <f>IFERROR(1/J360*(X360/H360),"0")</f>
        <v>3.125</v>
      </c>
      <c r="BP360" s="64">
        <f>IFERROR(1/J360*(Y360/H360),"0")</f>
        <v>3.125</v>
      </c>
    </row>
    <row r="361" spans="1:68" ht="27" hidden="1" customHeight="1" x14ac:dyDescent="0.25">
      <c r="A361" s="54" t="s">
        <v>580</v>
      </c>
      <c r="B361" s="54" t="s">
        <v>581</v>
      </c>
      <c r="C361" s="31">
        <v>4301020179</v>
      </c>
      <c r="D361" s="558">
        <v>4607091384178</v>
      </c>
      <c r="E361" s="559"/>
      <c r="F361" s="550">
        <v>0.4</v>
      </c>
      <c r="G361" s="32">
        <v>10</v>
      </c>
      <c r="H361" s="550">
        <v>4</v>
      </c>
      <c r="I361" s="550">
        <v>4.1900000000000004</v>
      </c>
      <c r="J361" s="32">
        <v>132</v>
      </c>
      <c r="K361" s="32" t="s">
        <v>110</v>
      </c>
      <c r="L361" s="32"/>
      <c r="M361" s="33" t="s">
        <v>106</v>
      </c>
      <c r="N361" s="33"/>
      <c r="O361" s="32">
        <v>50</v>
      </c>
      <c r="P361" s="73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6"/>
      <c r="R361" s="556"/>
      <c r="S361" s="556"/>
      <c r="T361" s="557"/>
      <c r="U361" s="34"/>
      <c r="V361" s="34"/>
      <c r="W361" s="35" t="s">
        <v>69</v>
      </c>
      <c r="X361" s="551">
        <v>0</v>
      </c>
      <c r="Y361" s="552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582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3"/>
      <c r="B362" s="564"/>
      <c r="C362" s="564"/>
      <c r="D362" s="564"/>
      <c r="E362" s="564"/>
      <c r="F362" s="564"/>
      <c r="G362" s="564"/>
      <c r="H362" s="564"/>
      <c r="I362" s="564"/>
      <c r="J362" s="564"/>
      <c r="K362" s="564"/>
      <c r="L362" s="564"/>
      <c r="M362" s="564"/>
      <c r="N362" s="564"/>
      <c r="O362" s="565"/>
      <c r="P362" s="568" t="s">
        <v>75</v>
      </c>
      <c r="Q362" s="569"/>
      <c r="R362" s="569"/>
      <c r="S362" s="569"/>
      <c r="T362" s="569"/>
      <c r="U362" s="569"/>
      <c r="V362" s="570"/>
      <c r="W362" s="37" t="s">
        <v>76</v>
      </c>
      <c r="X362" s="553">
        <f>IFERROR(X360/H360,"0")+IFERROR(X361/H361,"0")</f>
        <v>150</v>
      </c>
      <c r="Y362" s="553">
        <f>IFERROR(Y360/H360,"0")+IFERROR(Y361/H361,"0")</f>
        <v>150</v>
      </c>
      <c r="Z362" s="553">
        <f>IFERROR(IF(Z360="",0,Z360),"0")+IFERROR(IF(Z361="",0,Z361),"0")</f>
        <v>3.2624999999999997</v>
      </c>
      <c r="AA362" s="554"/>
      <c r="AB362" s="554"/>
      <c r="AC362" s="554"/>
    </row>
    <row r="363" spans="1:68" x14ac:dyDescent="0.2">
      <c r="A363" s="564"/>
      <c r="B363" s="564"/>
      <c r="C363" s="564"/>
      <c r="D363" s="564"/>
      <c r="E363" s="564"/>
      <c r="F363" s="564"/>
      <c r="G363" s="564"/>
      <c r="H363" s="564"/>
      <c r="I363" s="564"/>
      <c r="J363" s="564"/>
      <c r="K363" s="564"/>
      <c r="L363" s="564"/>
      <c r="M363" s="564"/>
      <c r="N363" s="564"/>
      <c r="O363" s="565"/>
      <c r="P363" s="568" t="s">
        <v>75</v>
      </c>
      <c r="Q363" s="569"/>
      <c r="R363" s="569"/>
      <c r="S363" s="569"/>
      <c r="T363" s="569"/>
      <c r="U363" s="569"/>
      <c r="V363" s="570"/>
      <c r="W363" s="37" t="s">
        <v>69</v>
      </c>
      <c r="X363" s="553">
        <f>IFERROR(SUM(X360:X361),"0")</f>
        <v>2250</v>
      </c>
      <c r="Y363" s="553">
        <f>IFERROR(SUM(Y360:Y361),"0")</f>
        <v>2250</v>
      </c>
      <c r="Z363" s="37"/>
      <c r="AA363" s="554"/>
      <c r="AB363" s="554"/>
      <c r="AC363" s="554"/>
    </row>
    <row r="364" spans="1:68" ht="14.25" hidden="1" customHeight="1" x14ac:dyDescent="0.25">
      <c r="A364" s="567" t="s">
        <v>77</v>
      </c>
      <c r="B364" s="564"/>
      <c r="C364" s="564"/>
      <c r="D364" s="564"/>
      <c r="E364" s="564"/>
      <c r="F364" s="564"/>
      <c r="G364" s="564"/>
      <c r="H364" s="564"/>
      <c r="I364" s="564"/>
      <c r="J364" s="564"/>
      <c r="K364" s="564"/>
      <c r="L364" s="564"/>
      <c r="M364" s="564"/>
      <c r="N364" s="564"/>
      <c r="O364" s="564"/>
      <c r="P364" s="564"/>
      <c r="Q364" s="564"/>
      <c r="R364" s="564"/>
      <c r="S364" s="564"/>
      <c r="T364" s="564"/>
      <c r="U364" s="564"/>
      <c r="V364" s="564"/>
      <c r="W364" s="564"/>
      <c r="X364" s="564"/>
      <c r="Y364" s="564"/>
      <c r="Z364" s="564"/>
      <c r="AA364" s="547"/>
      <c r="AB364" s="547"/>
      <c r="AC364" s="547"/>
    </row>
    <row r="365" spans="1:68" ht="27" customHeight="1" x14ac:dyDescent="0.25">
      <c r="A365" s="54" t="s">
        <v>583</v>
      </c>
      <c r="B365" s="54" t="s">
        <v>584</v>
      </c>
      <c r="C365" s="31">
        <v>4301051903</v>
      </c>
      <c r="D365" s="558">
        <v>4607091383928</v>
      </c>
      <c r="E365" s="559"/>
      <c r="F365" s="550">
        <v>1.5</v>
      </c>
      <c r="G365" s="32">
        <v>6</v>
      </c>
      <c r="H365" s="550">
        <v>9</v>
      </c>
      <c r="I365" s="550">
        <v>9.5</v>
      </c>
      <c r="J365" s="32">
        <v>64</v>
      </c>
      <c r="K365" s="32" t="s">
        <v>104</v>
      </c>
      <c r="L365" s="32" t="s">
        <v>105</v>
      </c>
      <c r="M365" s="33" t="s">
        <v>80</v>
      </c>
      <c r="N365" s="33"/>
      <c r="O365" s="32">
        <v>40</v>
      </c>
      <c r="P365" s="81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6"/>
      <c r="R365" s="556"/>
      <c r="S365" s="556"/>
      <c r="T365" s="557"/>
      <c r="U365" s="34"/>
      <c r="V365" s="34"/>
      <c r="W365" s="35" t="s">
        <v>69</v>
      </c>
      <c r="X365" s="551">
        <v>550</v>
      </c>
      <c r="Y365" s="552">
        <f>IFERROR(IF(X365="",0,CEILING((X365/$H365),1)*$H365),"")</f>
        <v>558</v>
      </c>
      <c r="Z365" s="36">
        <f>IFERROR(IF(Y365=0,"",ROUNDUP(Y365/H365,0)*0.01898),"")</f>
        <v>1.17676</v>
      </c>
      <c r="AA365" s="56"/>
      <c r="AB365" s="57"/>
      <c r="AC365" s="423" t="s">
        <v>585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580.55555555555554</v>
      </c>
      <c r="BN365" s="64">
        <f>IFERROR(Y365*I365/H365,"0")</f>
        <v>589</v>
      </c>
      <c r="BO365" s="64">
        <f>IFERROR(1/J365*(X365/H365),"0")</f>
        <v>0.95486111111111116</v>
      </c>
      <c r="BP365" s="64">
        <f>IFERROR(1/J365*(Y365/H365),"0")</f>
        <v>0.96875</v>
      </c>
    </row>
    <row r="366" spans="1:68" ht="27" customHeight="1" x14ac:dyDescent="0.25">
      <c r="A366" s="54" t="s">
        <v>586</v>
      </c>
      <c r="B366" s="54" t="s">
        <v>587</v>
      </c>
      <c r="C366" s="31">
        <v>4301051897</v>
      </c>
      <c r="D366" s="558">
        <v>4607091384260</v>
      </c>
      <c r="E366" s="559"/>
      <c r="F366" s="550">
        <v>1.5</v>
      </c>
      <c r="G366" s="32">
        <v>6</v>
      </c>
      <c r="H366" s="550">
        <v>9</v>
      </c>
      <c r="I366" s="550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59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6"/>
      <c r="R366" s="556"/>
      <c r="S366" s="556"/>
      <c r="T366" s="557"/>
      <c r="U366" s="34"/>
      <c r="V366" s="34"/>
      <c r="W366" s="35" t="s">
        <v>69</v>
      </c>
      <c r="X366" s="551">
        <v>150</v>
      </c>
      <c r="Y366" s="552">
        <f>IFERROR(IF(X366="",0,CEILING((X366/$H366),1)*$H366),"")</f>
        <v>153</v>
      </c>
      <c r="Z366" s="36">
        <f>IFERROR(IF(Y366=0,"",ROUNDUP(Y366/H366,0)*0.01898),"")</f>
        <v>0.32266</v>
      </c>
      <c r="AA366" s="56"/>
      <c r="AB366" s="57"/>
      <c r="AC366" s="425" t="s">
        <v>588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158.23333333333332</v>
      </c>
      <c r="BN366" s="64">
        <f>IFERROR(Y366*I366/H366,"0")</f>
        <v>161.398</v>
      </c>
      <c r="BO366" s="64">
        <f>IFERROR(1/J366*(X366/H366),"0")</f>
        <v>0.26041666666666669</v>
      </c>
      <c r="BP366" s="64">
        <f>IFERROR(1/J366*(Y366/H366),"0")</f>
        <v>0.265625</v>
      </c>
    </row>
    <row r="367" spans="1:68" x14ac:dyDescent="0.2">
      <c r="A367" s="563"/>
      <c r="B367" s="564"/>
      <c r="C367" s="564"/>
      <c r="D367" s="564"/>
      <c r="E367" s="564"/>
      <c r="F367" s="564"/>
      <c r="G367" s="564"/>
      <c r="H367" s="564"/>
      <c r="I367" s="564"/>
      <c r="J367" s="564"/>
      <c r="K367" s="564"/>
      <c r="L367" s="564"/>
      <c r="M367" s="564"/>
      <c r="N367" s="564"/>
      <c r="O367" s="565"/>
      <c r="P367" s="568" t="s">
        <v>75</v>
      </c>
      <c r="Q367" s="569"/>
      <c r="R367" s="569"/>
      <c r="S367" s="569"/>
      <c r="T367" s="569"/>
      <c r="U367" s="569"/>
      <c r="V367" s="570"/>
      <c r="W367" s="37" t="s">
        <v>76</v>
      </c>
      <c r="X367" s="553">
        <f>IFERROR(X365/H365,"0")+IFERROR(X366/H366,"0")</f>
        <v>77.777777777777786</v>
      </c>
      <c r="Y367" s="553">
        <f>IFERROR(Y365/H365,"0")+IFERROR(Y366/H366,"0")</f>
        <v>79</v>
      </c>
      <c r="Z367" s="553">
        <f>IFERROR(IF(Z365="",0,Z365),"0")+IFERROR(IF(Z366="",0,Z366),"0")</f>
        <v>1.49942</v>
      </c>
      <c r="AA367" s="554"/>
      <c r="AB367" s="554"/>
      <c r="AC367" s="554"/>
    </row>
    <row r="368" spans="1:68" x14ac:dyDescent="0.2">
      <c r="A368" s="564"/>
      <c r="B368" s="564"/>
      <c r="C368" s="564"/>
      <c r="D368" s="564"/>
      <c r="E368" s="564"/>
      <c r="F368" s="564"/>
      <c r="G368" s="564"/>
      <c r="H368" s="564"/>
      <c r="I368" s="564"/>
      <c r="J368" s="564"/>
      <c r="K368" s="564"/>
      <c r="L368" s="564"/>
      <c r="M368" s="564"/>
      <c r="N368" s="564"/>
      <c r="O368" s="565"/>
      <c r="P368" s="568" t="s">
        <v>75</v>
      </c>
      <c r="Q368" s="569"/>
      <c r="R368" s="569"/>
      <c r="S368" s="569"/>
      <c r="T368" s="569"/>
      <c r="U368" s="569"/>
      <c r="V368" s="570"/>
      <c r="W368" s="37" t="s">
        <v>69</v>
      </c>
      <c r="X368" s="553">
        <f>IFERROR(SUM(X365:X366),"0")</f>
        <v>700</v>
      </c>
      <c r="Y368" s="553">
        <f>IFERROR(SUM(Y365:Y366),"0")</f>
        <v>711</v>
      </c>
      <c r="Z368" s="37"/>
      <c r="AA368" s="554"/>
      <c r="AB368" s="554"/>
      <c r="AC368" s="554"/>
    </row>
    <row r="369" spans="1:68" ht="14.25" hidden="1" customHeight="1" x14ac:dyDescent="0.25">
      <c r="A369" s="567" t="s">
        <v>161</v>
      </c>
      <c r="B369" s="564"/>
      <c r="C369" s="564"/>
      <c r="D369" s="564"/>
      <c r="E369" s="564"/>
      <c r="F369" s="564"/>
      <c r="G369" s="564"/>
      <c r="H369" s="564"/>
      <c r="I369" s="564"/>
      <c r="J369" s="564"/>
      <c r="K369" s="564"/>
      <c r="L369" s="564"/>
      <c r="M369" s="564"/>
      <c r="N369" s="564"/>
      <c r="O369" s="564"/>
      <c r="P369" s="564"/>
      <c r="Q369" s="564"/>
      <c r="R369" s="564"/>
      <c r="S369" s="564"/>
      <c r="T369" s="564"/>
      <c r="U369" s="564"/>
      <c r="V369" s="564"/>
      <c r="W369" s="564"/>
      <c r="X369" s="564"/>
      <c r="Y369" s="564"/>
      <c r="Z369" s="564"/>
      <c r="AA369" s="547"/>
      <c r="AB369" s="547"/>
      <c r="AC369" s="547"/>
    </row>
    <row r="370" spans="1:68" ht="16.5" customHeight="1" x14ac:dyDescent="0.25">
      <c r="A370" s="54" t="s">
        <v>589</v>
      </c>
      <c r="B370" s="54" t="s">
        <v>590</v>
      </c>
      <c r="C370" s="31">
        <v>4301060524</v>
      </c>
      <c r="D370" s="558">
        <v>4607091384673</v>
      </c>
      <c r="E370" s="559"/>
      <c r="F370" s="550">
        <v>1.5</v>
      </c>
      <c r="G370" s="32">
        <v>6</v>
      </c>
      <c r="H370" s="550">
        <v>9</v>
      </c>
      <c r="I370" s="550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6"/>
      <c r="R370" s="556"/>
      <c r="S370" s="556"/>
      <c r="T370" s="557"/>
      <c r="U370" s="34"/>
      <c r="V370" s="34"/>
      <c r="W370" s="35" t="s">
        <v>69</v>
      </c>
      <c r="X370" s="551">
        <v>140</v>
      </c>
      <c r="Y370" s="552">
        <f>IFERROR(IF(X370="",0,CEILING((X370/$H370),1)*$H370),"")</f>
        <v>144</v>
      </c>
      <c r="Z370" s="36">
        <f>IFERROR(IF(Y370=0,"",ROUNDUP(Y370/H370,0)*0.01898),"")</f>
        <v>0.30368000000000001</v>
      </c>
      <c r="AA370" s="56"/>
      <c r="AB370" s="57"/>
      <c r="AC370" s="427" t="s">
        <v>591</v>
      </c>
      <c r="AG370" s="64"/>
      <c r="AJ370" s="68"/>
      <c r="AK370" s="68">
        <v>0</v>
      </c>
      <c r="BB370" s="428" t="s">
        <v>1</v>
      </c>
      <c r="BM370" s="64">
        <f>IFERROR(X370*I370/H370,"0")</f>
        <v>147.68444444444444</v>
      </c>
      <c r="BN370" s="64">
        <f>IFERROR(Y370*I370/H370,"0")</f>
        <v>151.904</v>
      </c>
      <c r="BO370" s="64">
        <f>IFERROR(1/J370*(X370/H370),"0")</f>
        <v>0.24305555555555555</v>
      </c>
      <c r="BP370" s="64">
        <f>IFERROR(1/J370*(Y370/H370),"0")</f>
        <v>0.25</v>
      </c>
    </row>
    <row r="371" spans="1:68" x14ac:dyDescent="0.2">
      <c r="A371" s="563"/>
      <c r="B371" s="564"/>
      <c r="C371" s="564"/>
      <c r="D371" s="564"/>
      <c r="E371" s="564"/>
      <c r="F371" s="564"/>
      <c r="G371" s="564"/>
      <c r="H371" s="564"/>
      <c r="I371" s="564"/>
      <c r="J371" s="564"/>
      <c r="K371" s="564"/>
      <c r="L371" s="564"/>
      <c r="M371" s="564"/>
      <c r="N371" s="564"/>
      <c r="O371" s="565"/>
      <c r="P371" s="568" t="s">
        <v>75</v>
      </c>
      <c r="Q371" s="569"/>
      <c r="R371" s="569"/>
      <c r="S371" s="569"/>
      <c r="T371" s="569"/>
      <c r="U371" s="569"/>
      <c r="V371" s="570"/>
      <c r="W371" s="37" t="s">
        <v>76</v>
      </c>
      <c r="X371" s="553">
        <f>IFERROR(X370/H370,"0")</f>
        <v>15.555555555555555</v>
      </c>
      <c r="Y371" s="553">
        <f>IFERROR(Y370/H370,"0")</f>
        <v>16</v>
      </c>
      <c r="Z371" s="553">
        <f>IFERROR(IF(Z370="",0,Z370),"0")</f>
        <v>0.30368000000000001</v>
      </c>
      <c r="AA371" s="554"/>
      <c r="AB371" s="554"/>
      <c r="AC371" s="554"/>
    </row>
    <row r="372" spans="1:68" x14ac:dyDescent="0.2">
      <c r="A372" s="564"/>
      <c r="B372" s="564"/>
      <c r="C372" s="564"/>
      <c r="D372" s="564"/>
      <c r="E372" s="564"/>
      <c r="F372" s="564"/>
      <c r="G372" s="564"/>
      <c r="H372" s="564"/>
      <c r="I372" s="564"/>
      <c r="J372" s="564"/>
      <c r="K372" s="564"/>
      <c r="L372" s="564"/>
      <c r="M372" s="564"/>
      <c r="N372" s="564"/>
      <c r="O372" s="565"/>
      <c r="P372" s="568" t="s">
        <v>75</v>
      </c>
      <c r="Q372" s="569"/>
      <c r="R372" s="569"/>
      <c r="S372" s="569"/>
      <c r="T372" s="569"/>
      <c r="U372" s="569"/>
      <c r="V372" s="570"/>
      <c r="W372" s="37" t="s">
        <v>69</v>
      </c>
      <c r="X372" s="553">
        <f>IFERROR(SUM(X370:X370),"0")</f>
        <v>140</v>
      </c>
      <c r="Y372" s="553">
        <f>IFERROR(SUM(Y370:Y370),"0")</f>
        <v>144</v>
      </c>
      <c r="Z372" s="37"/>
      <c r="AA372" s="554"/>
      <c r="AB372" s="554"/>
      <c r="AC372" s="554"/>
    </row>
    <row r="373" spans="1:68" ht="16.5" hidden="1" customHeight="1" x14ac:dyDescent="0.25">
      <c r="A373" s="576" t="s">
        <v>592</v>
      </c>
      <c r="B373" s="564"/>
      <c r="C373" s="564"/>
      <c r="D373" s="564"/>
      <c r="E373" s="564"/>
      <c r="F373" s="564"/>
      <c r="G373" s="564"/>
      <c r="H373" s="564"/>
      <c r="I373" s="564"/>
      <c r="J373" s="564"/>
      <c r="K373" s="564"/>
      <c r="L373" s="564"/>
      <c r="M373" s="564"/>
      <c r="N373" s="564"/>
      <c r="O373" s="564"/>
      <c r="P373" s="564"/>
      <c r="Q373" s="564"/>
      <c r="R373" s="564"/>
      <c r="S373" s="564"/>
      <c r="T373" s="564"/>
      <c r="U373" s="564"/>
      <c r="V373" s="564"/>
      <c r="W373" s="564"/>
      <c r="X373" s="564"/>
      <c r="Y373" s="564"/>
      <c r="Z373" s="564"/>
      <c r="AA373" s="546"/>
      <c r="AB373" s="546"/>
      <c r="AC373" s="546"/>
    </row>
    <row r="374" spans="1:68" ht="14.25" hidden="1" customHeight="1" x14ac:dyDescent="0.25">
      <c r="A374" s="567" t="s">
        <v>101</v>
      </c>
      <c r="B374" s="564"/>
      <c r="C374" s="564"/>
      <c r="D374" s="564"/>
      <c r="E374" s="564"/>
      <c r="F374" s="564"/>
      <c r="G374" s="564"/>
      <c r="H374" s="564"/>
      <c r="I374" s="564"/>
      <c r="J374" s="564"/>
      <c r="K374" s="564"/>
      <c r="L374" s="564"/>
      <c r="M374" s="564"/>
      <c r="N374" s="564"/>
      <c r="O374" s="564"/>
      <c r="P374" s="564"/>
      <c r="Q374" s="564"/>
      <c r="R374" s="564"/>
      <c r="S374" s="564"/>
      <c r="T374" s="564"/>
      <c r="U374" s="564"/>
      <c r="V374" s="564"/>
      <c r="W374" s="564"/>
      <c r="X374" s="564"/>
      <c r="Y374" s="564"/>
      <c r="Z374" s="564"/>
      <c r="AA374" s="547"/>
      <c r="AB374" s="547"/>
      <c r="AC374" s="547"/>
    </row>
    <row r="375" spans="1:68" ht="37.5" customHeight="1" x14ac:dyDescent="0.25">
      <c r="A375" s="54" t="s">
        <v>593</v>
      </c>
      <c r="B375" s="54" t="s">
        <v>594</v>
      </c>
      <c r="C375" s="31">
        <v>4301011875</v>
      </c>
      <c r="D375" s="558">
        <v>4680115884885</v>
      </c>
      <c r="E375" s="559"/>
      <c r="F375" s="550">
        <v>0.8</v>
      </c>
      <c r="G375" s="32">
        <v>15</v>
      </c>
      <c r="H375" s="550">
        <v>12</v>
      </c>
      <c r="I375" s="550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6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6"/>
      <c r="R375" s="556"/>
      <c r="S375" s="556"/>
      <c r="T375" s="557"/>
      <c r="U375" s="34"/>
      <c r="V375" s="34"/>
      <c r="W375" s="35" t="s">
        <v>69</v>
      </c>
      <c r="X375" s="551">
        <v>40</v>
      </c>
      <c r="Y375" s="552">
        <f>IFERROR(IF(X375="",0,CEILING((X375/$H375),1)*$H375),"")</f>
        <v>48</v>
      </c>
      <c r="Z375" s="36">
        <f>IFERROR(IF(Y375=0,"",ROUNDUP(Y375/H375,0)*0.01898),"")</f>
        <v>7.5920000000000001E-2</v>
      </c>
      <c r="AA375" s="56"/>
      <c r="AB375" s="57"/>
      <c r="AC375" s="429" t="s">
        <v>595</v>
      </c>
      <c r="AG375" s="64"/>
      <c r="AJ375" s="68" t="s">
        <v>92</v>
      </c>
      <c r="AK375" s="68">
        <v>96</v>
      </c>
      <c r="BB375" s="430" t="s">
        <v>1</v>
      </c>
      <c r="BM375" s="64">
        <f>IFERROR(X375*I375/H375,"0")</f>
        <v>41.366666666666667</v>
      </c>
      <c r="BN375" s="64">
        <f>IFERROR(Y375*I375/H375,"0")</f>
        <v>49.640000000000008</v>
      </c>
      <c r="BO375" s="64">
        <f>IFERROR(1/J375*(X375/H375),"0")</f>
        <v>5.2083333333333336E-2</v>
      </c>
      <c r="BP375" s="64">
        <f>IFERROR(1/J375*(Y375/H375),"0")</f>
        <v>6.25E-2</v>
      </c>
    </row>
    <row r="376" spans="1:68" ht="37.5" hidden="1" customHeight="1" x14ac:dyDescent="0.25">
      <c r="A376" s="54" t="s">
        <v>596</v>
      </c>
      <c r="B376" s="54" t="s">
        <v>597</v>
      </c>
      <c r="C376" s="31">
        <v>4301011871</v>
      </c>
      <c r="D376" s="558">
        <v>4680115884908</v>
      </c>
      <c r="E376" s="559"/>
      <c r="F376" s="550">
        <v>0.4</v>
      </c>
      <c r="G376" s="32">
        <v>10</v>
      </c>
      <c r="H376" s="550">
        <v>4</v>
      </c>
      <c r="I376" s="550">
        <v>4.1900000000000004</v>
      </c>
      <c r="J376" s="32">
        <v>132</v>
      </c>
      <c r="K376" s="32" t="s">
        <v>110</v>
      </c>
      <c r="L376" s="32" t="s">
        <v>111</v>
      </c>
      <c r="M376" s="33" t="s">
        <v>68</v>
      </c>
      <c r="N376" s="33"/>
      <c r="O376" s="32">
        <v>60</v>
      </c>
      <c r="P376" s="68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6"/>
      <c r="R376" s="556"/>
      <c r="S376" s="556"/>
      <c r="T376" s="557"/>
      <c r="U376" s="34"/>
      <c r="V376" s="34"/>
      <c r="W376" s="35" t="s">
        <v>69</v>
      </c>
      <c r="X376" s="551">
        <v>0</v>
      </c>
      <c r="Y376" s="552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595</v>
      </c>
      <c r="AG376" s="64"/>
      <c r="AJ376" s="68" t="s">
        <v>92</v>
      </c>
      <c r="AK376" s="68">
        <v>48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63"/>
      <c r="B377" s="564"/>
      <c r="C377" s="564"/>
      <c r="D377" s="564"/>
      <c r="E377" s="564"/>
      <c r="F377" s="564"/>
      <c r="G377" s="564"/>
      <c r="H377" s="564"/>
      <c r="I377" s="564"/>
      <c r="J377" s="564"/>
      <c r="K377" s="564"/>
      <c r="L377" s="564"/>
      <c r="M377" s="564"/>
      <c r="N377" s="564"/>
      <c r="O377" s="565"/>
      <c r="P377" s="568" t="s">
        <v>75</v>
      </c>
      <c r="Q377" s="569"/>
      <c r="R377" s="569"/>
      <c r="S377" s="569"/>
      <c r="T377" s="569"/>
      <c r="U377" s="569"/>
      <c r="V377" s="570"/>
      <c r="W377" s="37" t="s">
        <v>76</v>
      </c>
      <c r="X377" s="553">
        <f>IFERROR(X375/H375,"0")+IFERROR(X376/H376,"0")</f>
        <v>3.3333333333333335</v>
      </c>
      <c r="Y377" s="553">
        <f>IFERROR(Y375/H375,"0")+IFERROR(Y376/H376,"0")</f>
        <v>4</v>
      </c>
      <c r="Z377" s="553">
        <f>IFERROR(IF(Z375="",0,Z375),"0")+IFERROR(IF(Z376="",0,Z376),"0")</f>
        <v>7.5920000000000001E-2</v>
      </c>
      <c r="AA377" s="554"/>
      <c r="AB377" s="554"/>
      <c r="AC377" s="554"/>
    </row>
    <row r="378" spans="1:68" x14ac:dyDescent="0.2">
      <c r="A378" s="564"/>
      <c r="B378" s="564"/>
      <c r="C378" s="564"/>
      <c r="D378" s="564"/>
      <c r="E378" s="564"/>
      <c r="F378" s="564"/>
      <c r="G378" s="564"/>
      <c r="H378" s="564"/>
      <c r="I378" s="564"/>
      <c r="J378" s="564"/>
      <c r="K378" s="564"/>
      <c r="L378" s="564"/>
      <c r="M378" s="564"/>
      <c r="N378" s="564"/>
      <c r="O378" s="565"/>
      <c r="P378" s="568" t="s">
        <v>75</v>
      </c>
      <c r="Q378" s="569"/>
      <c r="R378" s="569"/>
      <c r="S378" s="569"/>
      <c r="T378" s="569"/>
      <c r="U378" s="569"/>
      <c r="V378" s="570"/>
      <c r="W378" s="37" t="s">
        <v>69</v>
      </c>
      <c r="X378" s="553">
        <f>IFERROR(SUM(X375:X376),"0")</f>
        <v>40</v>
      </c>
      <c r="Y378" s="553">
        <f>IFERROR(SUM(Y375:Y376),"0")</f>
        <v>48</v>
      </c>
      <c r="Z378" s="37"/>
      <c r="AA378" s="554"/>
      <c r="AB378" s="554"/>
      <c r="AC378" s="554"/>
    </row>
    <row r="379" spans="1:68" ht="14.25" hidden="1" customHeight="1" x14ac:dyDescent="0.25">
      <c r="A379" s="567" t="s">
        <v>64</v>
      </c>
      <c r="B379" s="564"/>
      <c r="C379" s="564"/>
      <c r="D379" s="564"/>
      <c r="E379" s="564"/>
      <c r="F379" s="564"/>
      <c r="G379" s="564"/>
      <c r="H379" s="564"/>
      <c r="I379" s="564"/>
      <c r="J379" s="564"/>
      <c r="K379" s="564"/>
      <c r="L379" s="564"/>
      <c r="M379" s="564"/>
      <c r="N379" s="564"/>
      <c r="O379" s="564"/>
      <c r="P379" s="564"/>
      <c r="Q379" s="564"/>
      <c r="R379" s="564"/>
      <c r="S379" s="564"/>
      <c r="T379" s="564"/>
      <c r="U379" s="564"/>
      <c r="V379" s="564"/>
      <c r="W379" s="564"/>
      <c r="X379" s="564"/>
      <c r="Y379" s="564"/>
      <c r="Z379" s="564"/>
      <c r="AA379" s="547"/>
      <c r="AB379" s="547"/>
      <c r="AC379" s="547"/>
    </row>
    <row r="380" spans="1:68" ht="27" hidden="1" customHeight="1" x14ac:dyDescent="0.25">
      <c r="A380" s="54" t="s">
        <v>598</v>
      </c>
      <c r="B380" s="54" t="s">
        <v>599</v>
      </c>
      <c r="C380" s="31">
        <v>4301031303</v>
      </c>
      <c r="D380" s="558">
        <v>4607091384802</v>
      </c>
      <c r="E380" s="559"/>
      <c r="F380" s="550">
        <v>0.73</v>
      </c>
      <c r="G380" s="32">
        <v>6</v>
      </c>
      <c r="H380" s="550">
        <v>4.38</v>
      </c>
      <c r="I380" s="550">
        <v>4.63</v>
      </c>
      <c r="J380" s="32">
        <v>132</v>
      </c>
      <c r="K380" s="32" t="s">
        <v>110</v>
      </c>
      <c r="L380" s="32" t="s">
        <v>111</v>
      </c>
      <c r="M380" s="33" t="s">
        <v>68</v>
      </c>
      <c r="N380" s="33"/>
      <c r="O380" s="32">
        <v>35</v>
      </c>
      <c r="P380" s="73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6"/>
      <c r="R380" s="556"/>
      <c r="S380" s="556"/>
      <c r="T380" s="557"/>
      <c r="U380" s="34"/>
      <c r="V380" s="34"/>
      <c r="W380" s="35" t="s">
        <v>69</v>
      </c>
      <c r="X380" s="551">
        <v>0</v>
      </c>
      <c r="Y380" s="552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600</v>
      </c>
      <c r="AG380" s="64"/>
      <c r="AJ380" s="68" t="s">
        <v>92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598</v>
      </c>
      <c r="B381" s="54" t="s">
        <v>601</v>
      </c>
      <c r="C381" s="31">
        <v>4301031457</v>
      </c>
      <c r="D381" s="558">
        <v>4607091384802</v>
      </c>
      <c r="E381" s="559"/>
      <c r="F381" s="550">
        <v>0.7</v>
      </c>
      <c r="G381" s="32">
        <v>6</v>
      </c>
      <c r="H381" s="550">
        <v>4.2</v>
      </c>
      <c r="I381" s="550">
        <v>4.45</v>
      </c>
      <c r="J381" s="32">
        <v>132</v>
      </c>
      <c r="K381" s="32" t="s">
        <v>110</v>
      </c>
      <c r="L381" s="32"/>
      <c r="M381" s="33" t="s">
        <v>68</v>
      </c>
      <c r="N381" s="33"/>
      <c r="O381" s="32">
        <v>50</v>
      </c>
      <c r="P381" s="6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6"/>
      <c r="R381" s="556"/>
      <c r="S381" s="556"/>
      <c r="T381" s="557"/>
      <c r="U381" s="34"/>
      <c r="V381" s="34"/>
      <c r="W381" s="35" t="s">
        <v>69</v>
      </c>
      <c r="X381" s="551">
        <v>0</v>
      </c>
      <c r="Y381" s="552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602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3"/>
      <c r="B382" s="564"/>
      <c r="C382" s="564"/>
      <c r="D382" s="564"/>
      <c r="E382" s="564"/>
      <c r="F382" s="564"/>
      <c r="G382" s="564"/>
      <c r="H382" s="564"/>
      <c r="I382" s="564"/>
      <c r="J382" s="564"/>
      <c r="K382" s="564"/>
      <c r="L382" s="564"/>
      <c r="M382" s="564"/>
      <c r="N382" s="564"/>
      <c r="O382" s="565"/>
      <c r="P382" s="568" t="s">
        <v>75</v>
      </c>
      <c r="Q382" s="569"/>
      <c r="R382" s="569"/>
      <c r="S382" s="569"/>
      <c r="T382" s="569"/>
      <c r="U382" s="569"/>
      <c r="V382" s="570"/>
      <c r="W382" s="37" t="s">
        <v>76</v>
      </c>
      <c r="X382" s="553">
        <f>IFERROR(X380/H380,"0")+IFERROR(X381/H381,"0")</f>
        <v>0</v>
      </c>
      <c r="Y382" s="553">
        <f>IFERROR(Y380/H380,"0")+IFERROR(Y381/H381,"0")</f>
        <v>0</v>
      </c>
      <c r="Z382" s="553">
        <f>IFERROR(IF(Z380="",0,Z380),"0")+IFERROR(IF(Z381="",0,Z381),"0")</f>
        <v>0</v>
      </c>
      <c r="AA382" s="554"/>
      <c r="AB382" s="554"/>
      <c r="AC382" s="554"/>
    </row>
    <row r="383" spans="1:68" hidden="1" x14ac:dyDescent="0.2">
      <c r="A383" s="564"/>
      <c r="B383" s="564"/>
      <c r="C383" s="564"/>
      <c r="D383" s="564"/>
      <c r="E383" s="564"/>
      <c r="F383" s="564"/>
      <c r="G383" s="564"/>
      <c r="H383" s="564"/>
      <c r="I383" s="564"/>
      <c r="J383" s="564"/>
      <c r="K383" s="564"/>
      <c r="L383" s="564"/>
      <c r="M383" s="564"/>
      <c r="N383" s="564"/>
      <c r="O383" s="565"/>
      <c r="P383" s="568" t="s">
        <v>75</v>
      </c>
      <c r="Q383" s="569"/>
      <c r="R383" s="569"/>
      <c r="S383" s="569"/>
      <c r="T383" s="569"/>
      <c r="U383" s="569"/>
      <c r="V383" s="570"/>
      <c r="W383" s="37" t="s">
        <v>69</v>
      </c>
      <c r="X383" s="553">
        <f>IFERROR(SUM(X380:X381),"0")</f>
        <v>0</v>
      </c>
      <c r="Y383" s="553">
        <f>IFERROR(SUM(Y380:Y381),"0")</f>
        <v>0</v>
      </c>
      <c r="Z383" s="37"/>
      <c r="AA383" s="554"/>
      <c r="AB383" s="554"/>
      <c r="AC383" s="554"/>
    </row>
    <row r="384" spans="1:68" ht="14.25" hidden="1" customHeight="1" x14ac:dyDescent="0.25">
      <c r="A384" s="567" t="s">
        <v>77</v>
      </c>
      <c r="B384" s="564"/>
      <c r="C384" s="564"/>
      <c r="D384" s="564"/>
      <c r="E384" s="564"/>
      <c r="F384" s="564"/>
      <c r="G384" s="564"/>
      <c r="H384" s="564"/>
      <c r="I384" s="564"/>
      <c r="J384" s="564"/>
      <c r="K384" s="564"/>
      <c r="L384" s="564"/>
      <c r="M384" s="564"/>
      <c r="N384" s="564"/>
      <c r="O384" s="564"/>
      <c r="P384" s="564"/>
      <c r="Q384" s="564"/>
      <c r="R384" s="564"/>
      <c r="S384" s="564"/>
      <c r="T384" s="564"/>
      <c r="U384" s="564"/>
      <c r="V384" s="564"/>
      <c r="W384" s="564"/>
      <c r="X384" s="564"/>
      <c r="Y384" s="564"/>
      <c r="Z384" s="564"/>
      <c r="AA384" s="547"/>
      <c r="AB384" s="547"/>
      <c r="AC384" s="547"/>
    </row>
    <row r="385" spans="1:68" ht="27" customHeight="1" x14ac:dyDescent="0.25">
      <c r="A385" s="54" t="s">
        <v>603</v>
      </c>
      <c r="B385" s="54" t="s">
        <v>604</v>
      </c>
      <c r="C385" s="31">
        <v>4301051899</v>
      </c>
      <c r="D385" s="558">
        <v>4607091384246</v>
      </c>
      <c r="E385" s="559"/>
      <c r="F385" s="550">
        <v>1.5</v>
      </c>
      <c r="G385" s="32">
        <v>6</v>
      </c>
      <c r="H385" s="550">
        <v>9</v>
      </c>
      <c r="I385" s="550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6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6"/>
      <c r="R385" s="556"/>
      <c r="S385" s="556"/>
      <c r="T385" s="557"/>
      <c r="U385" s="34"/>
      <c r="V385" s="34"/>
      <c r="W385" s="35" t="s">
        <v>69</v>
      </c>
      <c r="X385" s="551">
        <v>180</v>
      </c>
      <c r="Y385" s="552">
        <f>IFERROR(IF(X385="",0,CEILING((X385/$H385),1)*$H385),"")</f>
        <v>180</v>
      </c>
      <c r="Z385" s="36">
        <f>IFERROR(IF(Y385=0,"",ROUNDUP(Y385/H385,0)*0.01898),"")</f>
        <v>0.37959999999999999</v>
      </c>
      <c r="AA385" s="56"/>
      <c r="AB385" s="57"/>
      <c r="AC385" s="437" t="s">
        <v>605</v>
      </c>
      <c r="AG385" s="64"/>
      <c r="AJ385" s="68" t="s">
        <v>92</v>
      </c>
      <c r="AK385" s="68">
        <v>72</v>
      </c>
      <c r="BB385" s="438" t="s">
        <v>1</v>
      </c>
      <c r="BM385" s="64">
        <f>IFERROR(X385*I385/H385,"0")</f>
        <v>189.88</v>
      </c>
      <c r="BN385" s="64">
        <f>IFERROR(Y385*I385/H385,"0")</f>
        <v>189.88</v>
      </c>
      <c r="BO385" s="64">
        <f>IFERROR(1/J385*(X385/H385),"0")</f>
        <v>0.3125</v>
      </c>
      <c r="BP385" s="64">
        <f>IFERROR(1/J385*(Y385/H385),"0")</f>
        <v>0.3125</v>
      </c>
    </row>
    <row r="386" spans="1:68" ht="27" hidden="1" customHeight="1" x14ac:dyDescent="0.25">
      <c r="A386" s="54" t="s">
        <v>606</v>
      </c>
      <c r="B386" s="54" t="s">
        <v>607</v>
      </c>
      <c r="C386" s="31">
        <v>4301051660</v>
      </c>
      <c r="D386" s="558">
        <v>4607091384253</v>
      </c>
      <c r="E386" s="559"/>
      <c r="F386" s="550">
        <v>0.4</v>
      </c>
      <c r="G386" s="32">
        <v>6</v>
      </c>
      <c r="H386" s="550">
        <v>2.4</v>
      </c>
      <c r="I386" s="550">
        <v>2.6640000000000001</v>
      </c>
      <c r="J386" s="32">
        <v>182</v>
      </c>
      <c r="K386" s="32" t="s">
        <v>67</v>
      </c>
      <c r="L386" s="32" t="s">
        <v>90</v>
      </c>
      <c r="M386" s="33" t="s">
        <v>80</v>
      </c>
      <c r="N386" s="33"/>
      <c r="O386" s="32">
        <v>40</v>
      </c>
      <c r="P386" s="5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6"/>
      <c r="R386" s="556"/>
      <c r="S386" s="556"/>
      <c r="T386" s="557"/>
      <c r="U386" s="34"/>
      <c r="V386" s="34"/>
      <c r="W386" s="35" t="s">
        <v>69</v>
      </c>
      <c r="X386" s="551">
        <v>0</v>
      </c>
      <c r="Y386" s="552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605</v>
      </c>
      <c r="AG386" s="64"/>
      <c r="AJ386" s="68" t="s">
        <v>92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606</v>
      </c>
      <c r="B387" s="54" t="s">
        <v>608</v>
      </c>
      <c r="C387" s="31">
        <v>4301052069</v>
      </c>
      <c r="D387" s="558">
        <v>4607091384253</v>
      </c>
      <c r="E387" s="559"/>
      <c r="F387" s="550">
        <v>0.4</v>
      </c>
      <c r="G387" s="32">
        <v>6</v>
      </c>
      <c r="H387" s="550">
        <v>2.4</v>
      </c>
      <c r="I387" s="550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5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6"/>
      <c r="R387" s="556"/>
      <c r="S387" s="556"/>
      <c r="T387" s="557"/>
      <c r="U387" s="34"/>
      <c r="V387" s="34"/>
      <c r="W387" s="35" t="s">
        <v>69</v>
      </c>
      <c r="X387" s="551">
        <v>0</v>
      </c>
      <c r="Y387" s="552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609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3"/>
      <c r="B388" s="564"/>
      <c r="C388" s="564"/>
      <c r="D388" s="564"/>
      <c r="E388" s="564"/>
      <c r="F388" s="564"/>
      <c r="G388" s="564"/>
      <c r="H388" s="564"/>
      <c r="I388" s="564"/>
      <c r="J388" s="564"/>
      <c r="K388" s="564"/>
      <c r="L388" s="564"/>
      <c r="M388" s="564"/>
      <c r="N388" s="564"/>
      <c r="O388" s="565"/>
      <c r="P388" s="568" t="s">
        <v>75</v>
      </c>
      <c r="Q388" s="569"/>
      <c r="R388" s="569"/>
      <c r="S388" s="569"/>
      <c r="T388" s="569"/>
      <c r="U388" s="569"/>
      <c r="V388" s="570"/>
      <c r="W388" s="37" t="s">
        <v>76</v>
      </c>
      <c r="X388" s="553">
        <f>IFERROR(X385/H385,"0")+IFERROR(X386/H386,"0")+IFERROR(X387/H387,"0")</f>
        <v>20</v>
      </c>
      <c r="Y388" s="553">
        <f>IFERROR(Y385/H385,"0")+IFERROR(Y386/H386,"0")+IFERROR(Y387/H387,"0")</f>
        <v>20</v>
      </c>
      <c r="Z388" s="553">
        <f>IFERROR(IF(Z385="",0,Z385),"0")+IFERROR(IF(Z386="",0,Z386),"0")+IFERROR(IF(Z387="",0,Z387),"0")</f>
        <v>0.37959999999999999</v>
      </c>
      <c r="AA388" s="554"/>
      <c r="AB388" s="554"/>
      <c r="AC388" s="554"/>
    </row>
    <row r="389" spans="1:68" x14ac:dyDescent="0.2">
      <c r="A389" s="564"/>
      <c r="B389" s="564"/>
      <c r="C389" s="564"/>
      <c r="D389" s="564"/>
      <c r="E389" s="564"/>
      <c r="F389" s="564"/>
      <c r="G389" s="564"/>
      <c r="H389" s="564"/>
      <c r="I389" s="564"/>
      <c r="J389" s="564"/>
      <c r="K389" s="564"/>
      <c r="L389" s="564"/>
      <c r="M389" s="564"/>
      <c r="N389" s="564"/>
      <c r="O389" s="565"/>
      <c r="P389" s="568" t="s">
        <v>75</v>
      </c>
      <c r="Q389" s="569"/>
      <c r="R389" s="569"/>
      <c r="S389" s="569"/>
      <c r="T389" s="569"/>
      <c r="U389" s="569"/>
      <c r="V389" s="570"/>
      <c r="W389" s="37" t="s">
        <v>69</v>
      </c>
      <c r="X389" s="553">
        <f>IFERROR(SUM(X385:X387),"0")</f>
        <v>180</v>
      </c>
      <c r="Y389" s="553">
        <f>IFERROR(SUM(Y385:Y387),"0")</f>
        <v>180</v>
      </c>
      <c r="Z389" s="37"/>
      <c r="AA389" s="554"/>
      <c r="AB389" s="554"/>
      <c r="AC389" s="554"/>
    </row>
    <row r="390" spans="1:68" ht="27.75" hidden="1" customHeight="1" x14ac:dyDescent="0.2">
      <c r="A390" s="613" t="s">
        <v>610</v>
      </c>
      <c r="B390" s="614"/>
      <c r="C390" s="614"/>
      <c r="D390" s="614"/>
      <c r="E390" s="614"/>
      <c r="F390" s="614"/>
      <c r="G390" s="614"/>
      <c r="H390" s="614"/>
      <c r="I390" s="614"/>
      <c r="J390" s="614"/>
      <c r="K390" s="614"/>
      <c r="L390" s="614"/>
      <c r="M390" s="614"/>
      <c r="N390" s="614"/>
      <c r="O390" s="614"/>
      <c r="P390" s="614"/>
      <c r="Q390" s="614"/>
      <c r="R390" s="614"/>
      <c r="S390" s="614"/>
      <c r="T390" s="614"/>
      <c r="U390" s="614"/>
      <c r="V390" s="614"/>
      <c r="W390" s="614"/>
      <c r="X390" s="614"/>
      <c r="Y390" s="614"/>
      <c r="Z390" s="614"/>
      <c r="AA390" s="48"/>
      <c r="AB390" s="48"/>
      <c r="AC390" s="48"/>
    </row>
    <row r="391" spans="1:68" ht="16.5" hidden="1" customHeight="1" x14ac:dyDescent="0.25">
      <c r="A391" s="576" t="s">
        <v>611</v>
      </c>
      <c r="B391" s="564"/>
      <c r="C391" s="564"/>
      <c r="D391" s="564"/>
      <c r="E391" s="564"/>
      <c r="F391" s="564"/>
      <c r="G391" s="564"/>
      <c r="H391" s="564"/>
      <c r="I391" s="564"/>
      <c r="J391" s="564"/>
      <c r="K391" s="564"/>
      <c r="L391" s="564"/>
      <c r="M391" s="564"/>
      <c r="N391" s="564"/>
      <c r="O391" s="564"/>
      <c r="P391" s="564"/>
      <c r="Q391" s="564"/>
      <c r="R391" s="564"/>
      <c r="S391" s="564"/>
      <c r="T391" s="564"/>
      <c r="U391" s="564"/>
      <c r="V391" s="564"/>
      <c r="W391" s="564"/>
      <c r="X391" s="564"/>
      <c r="Y391" s="564"/>
      <c r="Z391" s="564"/>
      <c r="AA391" s="546"/>
      <c r="AB391" s="546"/>
      <c r="AC391" s="546"/>
    </row>
    <row r="392" spans="1:68" ht="14.25" hidden="1" customHeight="1" x14ac:dyDescent="0.25">
      <c r="A392" s="567" t="s">
        <v>64</v>
      </c>
      <c r="B392" s="564"/>
      <c r="C392" s="564"/>
      <c r="D392" s="564"/>
      <c r="E392" s="564"/>
      <c r="F392" s="564"/>
      <c r="G392" s="564"/>
      <c r="H392" s="564"/>
      <c r="I392" s="564"/>
      <c r="J392" s="564"/>
      <c r="K392" s="564"/>
      <c r="L392" s="564"/>
      <c r="M392" s="564"/>
      <c r="N392" s="564"/>
      <c r="O392" s="564"/>
      <c r="P392" s="564"/>
      <c r="Q392" s="564"/>
      <c r="R392" s="564"/>
      <c r="S392" s="564"/>
      <c r="T392" s="564"/>
      <c r="U392" s="564"/>
      <c r="V392" s="564"/>
      <c r="W392" s="564"/>
      <c r="X392" s="564"/>
      <c r="Y392" s="564"/>
      <c r="Z392" s="564"/>
      <c r="AA392" s="547"/>
      <c r="AB392" s="547"/>
      <c r="AC392" s="547"/>
    </row>
    <row r="393" spans="1:68" ht="27" hidden="1" customHeight="1" x14ac:dyDescent="0.25">
      <c r="A393" s="54" t="s">
        <v>612</v>
      </c>
      <c r="B393" s="54" t="s">
        <v>613</v>
      </c>
      <c r="C393" s="31">
        <v>4301031405</v>
      </c>
      <c r="D393" s="558">
        <v>4680115886100</v>
      </c>
      <c r="E393" s="559"/>
      <c r="F393" s="550">
        <v>0.9</v>
      </c>
      <c r="G393" s="32">
        <v>6</v>
      </c>
      <c r="H393" s="550">
        <v>5.4</v>
      </c>
      <c r="I393" s="550">
        <v>5.59</v>
      </c>
      <c r="J393" s="32">
        <v>132</v>
      </c>
      <c r="K393" s="32" t="s">
        <v>110</v>
      </c>
      <c r="L393" s="32" t="s">
        <v>111</v>
      </c>
      <c r="M393" s="33" t="s">
        <v>68</v>
      </c>
      <c r="N393" s="33"/>
      <c r="O393" s="32">
        <v>50</v>
      </c>
      <c r="P393" s="84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6"/>
      <c r="R393" s="556"/>
      <c r="S393" s="556"/>
      <c r="T393" s="557"/>
      <c r="U393" s="34"/>
      <c r="V393" s="34"/>
      <c r="W393" s="35" t="s">
        <v>69</v>
      </c>
      <c r="X393" s="551">
        <v>0</v>
      </c>
      <c r="Y393" s="552">
        <f t="shared" ref="Y393:Y401" si="46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 t="s">
        <v>92</v>
      </c>
      <c r="AK393" s="68">
        <v>64.8</v>
      </c>
      <c r="BB393" s="444" t="s">
        <v>1</v>
      </c>
      <c r="BM393" s="64">
        <f t="shared" ref="BM393:BM401" si="47">IFERROR(X393*I393/H393,"0")</f>
        <v>0</v>
      </c>
      <c r="BN393" s="64">
        <f t="shared" ref="BN393:BN401" si="48">IFERROR(Y393*I393/H393,"0")</f>
        <v>0</v>
      </c>
      <c r="BO393" s="64">
        <f t="shared" ref="BO393:BO401" si="49">IFERROR(1/J393*(X393/H393),"0")</f>
        <v>0</v>
      </c>
      <c r="BP393" s="64">
        <f t="shared" ref="BP393:BP401" si="50">IFERROR(1/J393*(Y393/H393),"0")</f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4301031406</v>
      </c>
      <c r="D394" s="558">
        <v>4680115886117</v>
      </c>
      <c r="E394" s="559"/>
      <c r="F394" s="550">
        <v>0.9</v>
      </c>
      <c r="G394" s="32">
        <v>6</v>
      </c>
      <c r="H394" s="550">
        <v>5.4</v>
      </c>
      <c r="I394" s="550">
        <v>5.59</v>
      </c>
      <c r="J394" s="32">
        <v>132</v>
      </c>
      <c r="K394" s="32" t="s">
        <v>110</v>
      </c>
      <c r="L394" s="32"/>
      <c r="M394" s="33" t="s">
        <v>68</v>
      </c>
      <c r="N394" s="33"/>
      <c r="O394" s="32">
        <v>50</v>
      </c>
      <c r="P394" s="62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6"/>
      <c r="R394" s="556"/>
      <c r="S394" s="556"/>
      <c r="T394" s="557"/>
      <c r="U394" s="34"/>
      <c r="V394" s="34"/>
      <c r="W394" s="35" t="s">
        <v>69</v>
      </c>
      <c r="X394" s="551">
        <v>0</v>
      </c>
      <c r="Y394" s="552">
        <f t="shared" si="46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/>
      <c r="AK394" s="68">
        <v>0</v>
      </c>
      <c r="BB394" s="446" t="s">
        <v>1</v>
      </c>
      <c r="BM394" s="64">
        <f t="shared" si="47"/>
        <v>0</v>
      </c>
      <c r="BN394" s="64">
        <f t="shared" si="48"/>
        <v>0</v>
      </c>
      <c r="BO394" s="64">
        <f t="shared" si="49"/>
        <v>0</v>
      </c>
      <c r="BP394" s="64">
        <f t="shared" si="50"/>
        <v>0</v>
      </c>
    </row>
    <row r="395" spans="1:68" ht="27" customHeight="1" x14ac:dyDescent="0.25">
      <c r="A395" s="54" t="s">
        <v>618</v>
      </c>
      <c r="B395" s="54" t="s">
        <v>619</v>
      </c>
      <c r="C395" s="31">
        <v>4301031402</v>
      </c>
      <c r="D395" s="558">
        <v>4680115886124</v>
      </c>
      <c r="E395" s="559"/>
      <c r="F395" s="550">
        <v>0.9</v>
      </c>
      <c r="G395" s="32">
        <v>6</v>
      </c>
      <c r="H395" s="550">
        <v>5.4</v>
      </c>
      <c r="I395" s="550">
        <v>5.59</v>
      </c>
      <c r="J395" s="32">
        <v>132</v>
      </c>
      <c r="K395" s="32" t="s">
        <v>110</v>
      </c>
      <c r="L395" s="32" t="s">
        <v>111</v>
      </c>
      <c r="M395" s="33" t="s">
        <v>68</v>
      </c>
      <c r="N395" s="33"/>
      <c r="O395" s="32">
        <v>50</v>
      </c>
      <c r="P395" s="74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6"/>
      <c r="R395" s="556"/>
      <c r="S395" s="556"/>
      <c r="T395" s="557"/>
      <c r="U395" s="34"/>
      <c r="V395" s="34"/>
      <c r="W395" s="35" t="s">
        <v>69</v>
      </c>
      <c r="X395" s="551">
        <v>50</v>
      </c>
      <c r="Y395" s="552">
        <f t="shared" si="46"/>
        <v>54</v>
      </c>
      <c r="Z395" s="36">
        <f>IFERROR(IF(Y395=0,"",ROUNDUP(Y395/H395,0)*0.00902),"")</f>
        <v>9.0200000000000002E-2</v>
      </c>
      <c r="AA395" s="56"/>
      <c r="AB395" s="57"/>
      <c r="AC395" s="447" t="s">
        <v>620</v>
      </c>
      <c r="AG395" s="64"/>
      <c r="AJ395" s="68" t="s">
        <v>92</v>
      </c>
      <c r="AK395" s="68">
        <v>64.8</v>
      </c>
      <c r="BB395" s="448" t="s">
        <v>1</v>
      </c>
      <c r="BM395" s="64">
        <f t="shared" si="47"/>
        <v>51.759259259259252</v>
      </c>
      <c r="BN395" s="64">
        <f t="shared" si="48"/>
        <v>55.9</v>
      </c>
      <c r="BO395" s="64">
        <f t="shared" si="49"/>
        <v>7.0145903479236812E-2</v>
      </c>
      <c r="BP395" s="64">
        <f t="shared" si="50"/>
        <v>7.575757575757576E-2</v>
      </c>
    </row>
    <row r="396" spans="1:68" ht="27" hidden="1" customHeight="1" x14ac:dyDescent="0.25">
      <c r="A396" s="54" t="s">
        <v>621</v>
      </c>
      <c r="B396" s="54" t="s">
        <v>622</v>
      </c>
      <c r="C396" s="31">
        <v>4301031366</v>
      </c>
      <c r="D396" s="558">
        <v>4680115883147</v>
      </c>
      <c r="E396" s="559"/>
      <c r="F396" s="550">
        <v>0.28000000000000003</v>
      </c>
      <c r="G396" s="32">
        <v>6</v>
      </c>
      <c r="H396" s="550">
        <v>1.68</v>
      </c>
      <c r="I396" s="550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9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6"/>
      <c r="R396" s="556"/>
      <c r="S396" s="556"/>
      <c r="T396" s="557"/>
      <c r="U396" s="34"/>
      <c r="V396" s="34"/>
      <c r="W396" s="35" t="s">
        <v>69</v>
      </c>
      <c r="X396" s="551">
        <v>0</v>
      </c>
      <c r="Y396" s="552">
        <f t="shared" si="46"/>
        <v>0</v>
      </c>
      <c r="Z396" s="36" t="str">
        <f t="shared" ref="Z396:Z401" si="51">IFERROR(IF(Y396=0,"",ROUNDUP(Y396/H396,0)*0.00502),"")</f>
        <v/>
      </c>
      <c r="AA396" s="56"/>
      <c r="AB396" s="57"/>
      <c r="AC396" s="449" t="s">
        <v>614</v>
      </c>
      <c r="AG396" s="64"/>
      <c r="AJ396" s="68"/>
      <c r="AK396" s="68">
        <v>0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hidden="1" customHeight="1" x14ac:dyDescent="0.25">
      <c r="A397" s="54" t="s">
        <v>623</v>
      </c>
      <c r="B397" s="54" t="s">
        <v>624</v>
      </c>
      <c r="C397" s="31">
        <v>4301031362</v>
      </c>
      <c r="D397" s="558">
        <v>4607091384338</v>
      </c>
      <c r="E397" s="559"/>
      <c r="F397" s="550">
        <v>0.35</v>
      </c>
      <c r="G397" s="32">
        <v>6</v>
      </c>
      <c r="H397" s="550">
        <v>2.1</v>
      </c>
      <c r="I397" s="550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6"/>
      <c r="R397" s="556"/>
      <c r="S397" s="556"/>
      <c r="T397" s="557"/>
      <c r="U397" s="34"/>
      <c r="V397" s="34"/>
      <c r="W397" s="35" t="s">
        <v>69</v>
      </c>
      <c r="X397" s="551">
        <v>0</v>
      </c>
      <c r="Y397" s="552">
        <f t="shared" si="46"/>
        <v>0</v>
      </c>
      <c r="Z397" s="36" t="str">
        <f t="shared" si="51"/>
        <v/>
      </c>
      <c r="AA397" s="56"/>
      <c r="AB397" s="57"/>
      <c r="AC397" s="451" t="s">
        <v>614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37.5" hidden="1" customHeight="1" x14ac:dyDescent="0.25">
      <c r="A398" s="54" t="s">
        <v>625</v>
      </c>
      <c r="B398" s="54" t="s">
        <v>626</v>
      </c>
      <c r="C398" s="31">
        <v>4301031361</v>
      </c>
      <c r="D398" s="558">
        <v>4607091389524</v>
      </c>
      <c r="E398" s="559"/>
      <c r="F398" s="550">
        <v>0.35</v>
      </c>
      <c r="G398" s="32">
        <v>6</v>
      </c>
      <c r="H398" s="550">
        <v>2.1</v>
      </c>
      <c r="I398" s="550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6"/>
      <c r="R398" s="556"/>
      <c r="S398" s="556"/>
      <c r="T398" s="557"/>
      <c r="U398" s="34"/>
      <c r="V398" s="34"/>
      <c r="W398" s="35" t="s">
        <v>69</v>
      </c>
      <c r="X398" s="551">
        <v>0</v>
      </c>
      <c r="Y398" s="552">
        <f t="shared" si="46"/>
        <v>0</v>
      </c>
      <c r="Z398" s="36" t="str">
        <f t="shared" si="5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27" hidden="1" customHeight="1" x14ac:dyDescent="0.25">
      <c r="A399" s="54" t="s">
        <v>628</v>
      </c>
      <c r="B399" s="54" t="s">
        <v>629</v>
      </c>
      <c r="C399" s="31">
        <v>4301031364</v>
      </c>
      <c r="D399" s="558">
        <v>4680115883161</v>
      </c>
      <c r="E399" s="559"/>
      <c r="F399" s="550">
        <v>0.28000000000000003</v>
      </c>
      <c r="G399" s="32">
        <v>6</v>
      </c>
      <c r="H399" s="550">
        <v>1.68</v>
      </c>
      <c r="I399" s="550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6"/>
      <c r="R399" s="556"/>
      <c r="S399" s="556"/>
      <c r="T399" s="557"/>
      <c r="U399" s="34"/>
      <c r="V399" s="34"/>
      <c r="W399" s="35" t="s">
        <v>69</v>
      </c>
      <c r="X399" s="551">
        <v>0</v>
      </c>
      <c r="Y399" s="552">
        <f t="shared" si="46"/>
        <v>0</v>
      </c>
      <c r="Z399" s="36" t="str">
        <f t="shared" si="51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hidden="1" customHeight="1" x14ac:dyDescent="0.25">
      <c r="A400" s="54" t="s">
        <v>631</v>
      </c>
      <c r="B400" s="54" t="s">
        <v>632</v>
      </c>
      <c r="C400" s="31">
        <v>4301031358</v>
      </c>
      <c r="D400" s="558">
        <v>4607091389531</v>
      </c>
      <c r="E400" s="559"/>
      <c r="F400" s="550">
        <v>0.35</v>
      </c>
      <c r="G400" s="32">
        <v>6</v>
      </c>
      <c r="H400" s="550">
        <v>2.1</v>
      </c>
      <c r="I400" s="550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6"/>
      <c r="R400" s="556"/>
      <c r="S400" s="556"/>
      <c r="T400" s="557"/>
      <c r="U400" s="34"/>
      <c r="V400" s="34"/>
      <c r="W400" s="35" t="s">
        <v>69</v>
      </c>
      <c r="X400" s="551">
        <v>0</v>
      </c>
      <c r="Y400" s="552">
        <f t="shared" si="46"/>
        <v>0</v>
      </c>
      <c r="Z400" s="36" t="str">
        <f t="shared" si="51"/>
        <v/>
      </c>
      <c r="AA400" s="56"/>
      <c r="AB400" s="57"/>
      <c r="AC400" s="457" t="s">
        <v>633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37.5" hidden="1" customHeight="1" x14ac:dyDescent="0.25">
      <c r="A401" s="54" t="s">
        <v>634</v>
      </c>
      <c r="B401" s="54" t="s">
        <v>635</v>
      </c>
      <c r="C401" s="31">
        <v>4301031360</v>
      </c>
      <c r="D401" s="558">
        <v>4607091384345</v>
      </c>
      <c r="E401" s="559"/>
      <c r="F401" s="550">
        <v>0.35</v>
      </c>
      <c r="G401" s="32">
        <v>6</v>
      </c>
      <c r="H401" s="550">
        <v>2.1</v>
      </c>
      <c r="I401" s="550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6"/>
      <c r="R401" s="556"/>
      <c r="S401" s="556"/>
      <c r="T401" s="557"/>
      <c r="U401" s="34"/>
      <c r="V401" s="34"/>
      <c r="W401" s="35" t="s">
        <v>69</v>
      </c>
      <c r="X401" s="551">
        <v>0</v>
      </c>
      <c r="Y401" s="552">
        <f t="shared" si="46"/>
        <v>0</v>
      </c>
      <c r="Z401" s="36" t="str">
        <f t="shared" si="51"/>
        <v/>
      </c>
      <c r="AA401" s="56"/>
      <c r="AB401" s="57"/>
      <c r="AC401" s="459" t="s">
        <v>630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x14ac:dyDescent="0.2">
      <c r="A402" s="563"/>
      <c r="B402" s="564"/>
      <c r="C402" s="564"/>
      <c r="D402" s="564"/>
      <c r="E402" s="564"/>
      <c r="F402" s="564"/>
      <c r="G402" s="564"/>
      <c r="H402" s="564"/>
      <c r="I402" s="564"/>
      <c r="J402" s="564"/>
      <c r="K402" s="564"/>
      <c r="L402" s="564"/>
      <c r="M402" s="564"/>
      <c r="N402" s="564"/>
      <c r="O402" s="565"/>
      <c r="P402" s="568" t="s">
        <v>75</v>
      </c>
      <c r="Q402" s="569"/>
      <c r="R402" s="569"/>
      <c r="S402" s="569"/>
      <c r="T402" s="569"/>
      <c r="U402" s="569"/>
      <c r="V402" s="570"/>
      <c r="W402" s="37" t="s">
        <v>76</v>
      </c>
      <c r="X402" s="553">
        <f>IFERROR(X393/H393,"0")+IFERROR(X394/H394,"0")+IFERROR(X395/H395,"0")+IFERROR(X396/H396,"0")+IFERROR(X397/H397,"0")+IFERROR(X398/H398,"0")+IFERROR(X399/H399,"0")+IFERROR(X400/H400,"0")+IFERROR(X401/H401,"0")</f>
        <v>9.2592592592592595</v>
      </c>
      <c r="Y402" s="553">
        <f>IFERROR(Y393/H393,"0")+IFERROR(Y394/H394,"0")+IFERROR(Y395/H395,"0")+IFERROR(Y396/H396,"0")+IFERROR(Y397/H397,"0")+IFERROR(Y398/H398,"0")+IFERROR(Y399/H399,"0")+IFERROR(Y400/H400,"0")+IFERROR(Y401/H401,"0")</f>
        <v>10</v>
      </c>
      <c r="Z402" s="553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9.0200000000000002E-2</v>
      </c>
      <c r="AA402" s="554"/>
      <c r="AB402" s="554"/>
      <c r="AC402" s="554"/>
    </row>
    <row r="403" spans="1:68" x14ac:dyDescent="0.2">
      <c r="A403" s="564"/>
      <c r="B403" s="564"/>
      <c r="C403" s="564"/>
      <c r="D403" s="564"/>
      <c r="E403" s="564"/>
      <c r="F403" s="564"/>
      <c r="G403" s="564"/>
      <c r="H403" s="564"/>
      <c r="I403" s="564"/>
      <c r="J403" s="564"/>
      <c r="K403" s="564"/>
      <c r="L403" s="564"/>
      <c r="M403" s="564"/>
      <c r="N403" s="564"/>
      <c r="O403" s="565"/>
      <c r="P403" s="568" t="s">
        <v>75</v>
      </c>
      <c r="Q403" s="569"/>
      <c r="R403" s="569"/>
      <c r="S403" s="569"/>
      <c r="T403" s="569"/>
      <c r="U403" s="569"/>
      <c r="V403" s="570"/>
      <c r="W403" s="37" t="s">
        <v>69</v>
      </c>
      <c r="X403" s="553">
        <f>IFERROR(SUM(X393:X401),"0")</f>
        <v>50</v>
      </c>
      <c r="Y403" s="553">
        <f>IFERROR(SUM(Y393:Y401),"0")</f>
        <v>54</v>
      </c>
      <c r="Z403" s="37"/>
      <c r="AA403" s="554"/>
      <c r="AB403" s="554"/>
      <c r="AC403" s="554"/>
    </row>
    <row r="404" spans="1:68" ht="14.25" hidden="1" customHeight="1" x14ac:dyDescent="0.25">
      <c r="A404" s="567" t="s">
        <v>77</v>
      </c>
      <c r="B404" s="564"/>
      <c r="C404" s="564"/>
      <c r="D404" s="564"/>
      <c r="E404" s="564"/>
      <c r="F404" s="564"/>
      <c r="G404" s="564"/>
      <c r="H404" s="564"/>
      <c r="I404" s="564"/>
      <c r="J404" s="564"/>
      <c r="K404" s="564"/>
      <c r="L404" s="564"/>
      <c r="M404" s="564"/>
      <c r="N404" s="564"/>
      <c r="O404" s="564"/>
      <c r="P404" s="564"/>
      <c r="Q404" s="564"/>
      <c r="R404" s="564"/>
      <c r="S404" s="564"/>
      <c r="T404" s="564"/>
      <c r="U404" s="564"/>
      <c r="V404" s="564"/>
      <c r="W404" s="564"/>
      <c r="X404" s="564"/>
      <c r="Y404" s="564"/>
      <c r="Z404" s="564"/>
      <c r="AA404" s="547"/>
      <c r="AB404" s="547"/>
      <c r="AC404" s="547"/>
    </row>
    <row r="405" spans="1:68" ht="27" hidden="1" customHeight="1" x14ac:dyDescent="0.25">
      <c r="A405" s="54" t="s">
        <v>636</v>
      </c>
      <c r="B405" s="54" t="s">
        <v>637</v>
      </c>
      <c r="C405" s="31">
        <v>4301051284</v>
      </c>
      <c r="D405" s="558">
        <v>4607091384352</v>
      </c>
      <c r="E405" s="559"/>
      <c r="F405" s="550">
        <v>0.6</v>
      </c>
      <c r="G405" s="32">
        <v>4</v>
      </c>
      <c r="H405" s="550">
        <v>2.4</v>
      </c>
      <c r="I405" s="550">
        <v>2.6259999999999999</v>
      </c>
      <c r="J405" s="32">
        <v>132</v>
      </c>
      <c r="K405" s="32" t="s">
        <v>110</v>
      </c>
      <c r="L405" s="32" t="s">
        <v>111</v>
      </c>
      <c r="M405" s="33" t="s">
        <v>80</v>
      </c>
      <c r="N405" s="33"/>
      <c r="O405" s="32">
        <v>45</v>
      </c>
      <c r="P405" s="63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6"/>
      <c r="R405" s="556"/>
      <c r="S405" s="556"/>
      <c r="T405" s="557"/>
      <c r="U405" s="34"/>
      <c r="V405" s="34"/>
      <c r="W405" s="35" t="s">
        <v>69</v>
      </c>
      <c r="X405" s="551">
        <v>0</v>
      </c>
      <c r="Y405" s="552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638</v>
      </c>
      <c r="AG405" s="64"/>
      <c r="AJ405" s="68" t="s">
        <v>92</v>
      </c>
      <c r="AK405" s="68">
        <v>28.8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639</v>
      </c>
      <c r="B406" s="54" t="s">
        <v>640</v>
      </c>
      <c r="C406" s="31">
        <v>4301051431</v>
      </c>
      <c r="D406" s="558">
        <v>4607091389654</v>
      </c>
      <c r="E406" s="559"/>
      <c r="F406" s="550">
        <v>0.33</v>
      </c>
      <c r="G406" s="32">
        <v>6</v>
      </c>
      <c r="H406" s="550">
        <v>1.98</v>
      </c>
      <c r="I406" s="550">
        <v>2.238</v>
      </c>
      <c r="J406" s="32">
        <v>182</v>
      </c>
      <c r="K406" s="32" t="s">
        <v>67</v>
      </c>
      <c r="L406" s="32" t="s">
        <v>90</v>
      </c>
      <c r="M406" s="33" t="s">
        <v>80</v>
      </c>
      <c r="N406" s="33"/>
      <c r="O406" s="32">
        <v>45</v>
      </c>
      <c r="P406" s="70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6"/>
      <c r="R406" s="556"/>
      <c r="S406" s="556"/>
      <c r="T406" s="557"/>
      <c r="U406" s="34"/>
      <c r="V406" s="34"/>
      <c r="W406" s="35" t="s">
        <v>69</v>
      </c>
      <c r="X406" s="551">
        <v>0</v>
      </c>
      <c r="Y406" s="552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641</v>
      </c>
      <c r="AG406" s="64"/>
      <c r="AJ406" s="68" t="s">
        <v>92</v>
      </c>
      <c r="AK406" s="68">
        <v>27.72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3"/>
      <c r="B407" s="564"/>
      <c r="C407" s="564"/>
      <c r="D407" s="564"/>
      <c r="E407" s="564"/>
      <c r="F407" s="564"/>
      <c r="G407" s="564"/>
      <c r="H407" s="564"/>
      <c r="I407" s="564"/>
      <c r="J407" s="564"/>
      <c r="K407" s="564"/>
      <c r="L407" s="564"/>
      <c r="M407" s="564"/>
      <c r="N407" s="564"/>
      <c r="O407" s="565"/>
      <c r="P407" s="568" t="s">
        <v>75</v>
      </c>
      <c r="Q407" s="569"/>
      <c r="R407" s="569"/>
      <c r="S407" s="569"/>
      <c r="T407" s="569"/>
      <c r="U407" s="569"/>
      <c r="V407" s="570"/>
      <c r="W407" s="37" t="s">
        <v>76</v>
      </c>
      <c r="X407" s="553">
        <f>IFERROR(X405/H405,"0")+IFERROR(X406/H406,"0")</f>
        <v>0</v>
      </c>
      <c r="Y407" s="553">
        <f>IFERROR(Y405/H405,"0")+IFERROR(Y406/H406,"0")</f>
        <v>0</v>
      </c>
      <c r="Z407" s="553">
        <f>IFERROR(IF(Z405="",0,Z405),"0")+IFERROR(IF(Z406="",0,Z406),"0")</f>
        <v>0</v>
      </c>
      <c r="AA407" s="554"/>
      <c r="AB407" s="554"/>
      <c r="AC407" s="554"/>
    </row>
    <row r="408" spans="1:68" hidden="1" x14ac:dyDescent="0.2">
      <c r="A408" s="564"/>
      <c r="B408" s="564"/>
      <c r="C408" s="564"/>
      <c r="D408" s="564"/>
      <c r="E408" s="564"/>
      <c r="F408" s="564"/>
      <c r="G408" s="564"/>
      <c r="H408" s="564"/>
      <c r="I408" s="564"/>
      <c r="J408" s="564"/>
      <c r="K408" s="564"/>
      <c r="L408" s="564"/>
      <c r="M408" s="564"/>
      <c r="N408" s="564"/>
      <c r="O408" s="565"/>
      <c r="P408" s="568" t="s">
        <v>75</v>
      </c>
      <c r="Q408" s="569"/>
      <c r="R408" s="569"/>
      <c r="S408" s="569"/>
      <c r="T408" s="569"/>
      <c r="U408" s="569"/>
      <c r="V408" s="570"/>
      <c r="W408" s="37" t="s">
        <v>69</v>
      </c>
      <c r="X408" s="553">
        <f>IFERROR(SUM(X405:X406),"0")</f>
        <v>0</v>
      </c>
      <c r="Y408" s="553">
        <f>IFERROR(SUM(Y405:Y406),"0")</f>
        <v>0</v>
      </c>
      <c r="Z408" s="37"/>
      <c r="AA408" s="554"/>
      <c r="AB408" s="554"/>
      <c r="AC408" s="554"/>
    </row>
    <row r="409" spans="1:68" ht="16.5" hidden="1" customHeight="1" x14ac:dyDescent="0.25">
      <c r="A409" s="576" t="s">
        <v>642</v>
      </c>
      <c r="B409" s="564"/>
      <c r="C409" s="564"/>
      <c r="D409" s="564"/>
      <c r="E409" s="564"/>
      <c r="F409" s="564"/>
      <c r="G409" s="564"/>
      <c r="H409" s="564"/>
      <c r="I409" s="564"/>
      <c r="J409" s="564"/>
      <c r="K409" s="564"/>
      <c r="L409" s="564"/>
      <c r="M409" s="564"/>
      <c r="N409" s="564"/>
      <c r="O409" s="564"/>
      <c r="P409" s="564"/>
      <c r="Q409" s="564"/>
      <c r="R409" s="564"/>
      <c r="S409" s="564"/>
      <c r="T409" s="564"/>
      <c r="U409" s="564"/>
      <c r="V409" s="564"/>
      <c r="W409" s="564"/>
      <c r="X409" s="564"/>
      <c r="Y409" s="564"/>
      <c r="Z409" s="564"/>
      <c r="AA409" s="546"/>
      <c r="AB409" s="546"/>
      <c r="AC409" s="546"/>
    </row>
    <row r="410" spans="1:68" ht="14.25" hidden="1" customHeight="1" x14ac:dyDescent="0.25">
      <c r="A410" s="567" t="s">
        <v>136</v>
      </c>
      <c r="B410" s="564"/>
      <c r="C410" s="564"/>
      <c r="D410" s="564"/>
      <c r="E410" s="564"/>
      <c r="F410" s="564"/>
      <c r="G410" s="564"/>
      <c r="H410" s="564"/>
      <c r="I410" s="564"/>
      <c r="J410" s="564"/>
      <c r="K410" s="564"/>
      <c r="L410" s="564"/>
      <c r="M410" s="564"/>
      <c r="N410" s="564"/>
      <c r="O410" s="564"/>
      <c r="P410" s="564"/>
      <c r="Q410" s="564"/>
      <c r="R410" s="564"/>
      <c r="S410" s="564"/>
      <c r="T410" s="564"/>
      <c r="U410" s="564"/>
      <c r="V410" s="564"/>
      <c r="W410" s="564"/>
      <c r="X410" s="564"/>
      <c r="Y410" s="564"/>
      <c r="Z410" s="564"/>
      <c r="AA410" s="547"/>
      <c r="AB410" s="547"/>
      <c r="AC410" s="547"/>
    </row>
    <row r="411" spans="1:68" ht="27" hidden="1" customHeight="1" x14ac:dyDescent="0.25">
      <c r="A411" s="54" t="s">
        <v>643</v>
      </c>
      <c r="B411" s="54" t="s">
        <v>644</v>
      </c>
      <c r="C411" s="31">
        <v>4301020319</v>
      </c>
      <c r="D411" s="558">
        <v>4680115885240</v>
      </c>
      <c r="E411" s="559"/>
      <c r="F411" s="550">
        <v>0.35</v>
      </c>
      <c r="G411" s="32">
        <v>6</v>
      </c>
      <c r="H411" s="550">
        <v>2.1</v>
      </c>
      <c r="I411" s="550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6"/>
      <c r="R411" s="556"/>
      <c r="S411" s="556"/>
      <c r="T411" s="557"/>
      <c r="U411" s="34"/>
      <c r="V411" s="34"/>
      <c r="W411" s="35" t="s">
        <v>69</v>
      </c>
      <c r="X411" s="551">
        <v>0</v>
      </c>
      <c r="Y411" s="552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645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3"/>
      <c r="B412" s="564"/>
      <c r="C412" s="564"/>
      <c r="D412" s="564"/>
      <c r="E412" s="564"/>
      <c r="F412" s="564"/>
      <c r="G412" s="564"/>
      <c r="H412" s="564"/>
      <c r="I412" s="564"/>
      <c r="J412" s="564"/>
      <c r="K412" s="564"/>
      <c r="L412" s="564"/>
      <c r="M412" s="564"/>
      <c r="N412" s="564"/>
      <c r="O412" s="565"/>
      <c r="P412" s="568" t="s">
        <v>75</v>
      </c>
      <c r="Q412" s="569"/>
      <c r="R412" s="569"/>
      <c r="S412" s="569"/>
      <c r="T412" s="569"/>
      <c r="U412" s="569"/>
      <c r="V412" s="570"/>
      <c r="W412" s="37" t="s">
        <v>76</v>
      </c>
      <c r="X412" s="553">
        <f>IFERROR(X411/H411,"0")</f>
        <v>0</v>
      </c>
      <c r="Y412" s="553">
        <f>IFERROR(Y411/H411,"0")</f>
        <v>0</v>
      </c>
      <c r="Z412" s="553">
        <f>IFERROR(IF(Z411="",0,Z411),"0")</f>
        <v>0</v>
      </c>
      <c r="AA412" s="554"/>
      <c r="AB412" s="554"/>
      <c r="AC412" s="554"/>
    </row>
    <row r="413" spans="1:68" hidden="1" x14ac:dyDescent="0.2">
      <c r="A413" s="564"/>
      <c r="B413" s="564"/>
      <c r="C413" s="564"/>
      <c r="D413" s="564"/>
      <c r="E413" s="564"/>
      <c r="F413" s="564"/>
      <c r="G413" s="564"/>
      <c r="H413" s="564"/>
      <c r="I413" s="564"/>
      <c r="J413" s="564"/>
      <c r="K413" s="564"/>
      <c r="L413" s="564"/>
      <c r="M413" s="564"/>
      <c r="N413" s="564"/>
      <c r="O413" s="565"/>
      <c r="P413" s="568" t="s">
        <v>75</v>
      </c>
      <c r="Q413" s="569"/>
      <c r="R413" s="569"/>
      <c r="S413" s="569"/>
      <c r="T413" s="569"/>
      <c r="U413" s="569"/>
      <c r="V413" s="570"/>
      <c r="W413" s="37" t="s">
        <v>69</v>
      </c>
      <c r="X413" s="553">
        <f>IFERROR(SUM(X411:X411),"0")</f>
        <v>0</v>
      </c>
      <c r="Y413" s="553">
        <f>IFERROR(SUM(Y411:Y411),"0")</f>
        <v>0</v>
      </c>
      <c r="Z413" s="37"/>
      <c r="AA413" s="554"/>
      <c r="AB413" s="554"/>
      <c r="AC413" s="554"/>
    </row>
    <row r="414" spans="1:68" ht="14.25" hidden="1" customHeight="1" x14ac:dyDescent="0.25">
      <c r="A414" s="567" t="s">
        <v>64</v>
      </c>
      <c r="B414" s="564"/>
      <c r="C414" s="564"/>
      <c r="D414" s="564"/>
      <c r="E414" s="564"/>
      <c r="F414" s="564"/>
      <c r="G414" s="564"/>
      <c r="H414" s="564"/>
      <c r="I414" s="564"/>
      <c r="J414" s="564"/>
      <c r="K414" s="564"/>
      <c r="L414" s="564"/>
      <c r="M414" s="564"/>
      <c r="N414" s="564"/>
      <c r="O414" s="564"/>
      <c r="P414" s="564"/>
      <c r="Q414" s="564"/>
      <c r="R414" s="564"/>
      <c r="S414" s="564"/>
      <c r="T414" s="564"/>
      <c r="U414" s="564"/>
      <c r="V414" s="564"/>
      <c r="W414" s="564"/>
      <c r="X414" s="564"/>
      <c r="Y414" s="564"/>
      <c r="Z414" s="564"/>
      <c r="AA414" s="547"/>
      <c r="AB414" s="547"/>
      <c r="AC414" s="547"/>
    </row>
    <row r="415" spans="1:68" ht="27" customHeight="1" x14ac:dyDescent="0.25">
      <c r="A415" s="54" t="s">
        <v>646</v>
      </c>
      <c r="B415" s="54" t="s">
        <v>647</v>
      </c>
      <c r="C415" s="31">
        <v>4301031403</v>
      </c>
      <c r="D415" s="558">
        <v>4680115886094</v>
      </c>
      <c r="E415" s="559"/>
      <c r="F415" s="550">
        <v>0.9</v>
      </c>
      <c r="G415" s="32">
        <v>6</v>
      </c>
      <c r="H415" s="550">
        <v>5.4</v>
      </c>
      <c r="I415" s="550">
        <v>5.59</v>
      </c>
      <c r="J415" s="32">
        <v>132</v>
      </c>
      <c r="K415" s="32" t="s">
        <v>110</v>
      </c>
      <c r="L415" s="32" t="s">
        <v>111</v>
      </c>
      <c r="M415" s="33" t="s">
        <v>106</v>
      </c>
      <c r="N415" s="33"/>
      <c r="O415" s="32">
        <v>50</v>
      </c>
      <c r="P415" s="82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6"/>
      <c r="R415" s="556"/>
      <c r="S415" s="556"/>
      <c r="T415" s="557"/>
      <c r="U415" s="34"/>
      <c r="V415" s="34"/>
      <c r="W415" s="35" t="s">
        <v>69</v>
      </c>
      <c r="X415" s="551">
        <v>100</v>
      </c>
      <c r="Y415" s="552">
        <f>IFERROR(IF(X415="",0,CEILING((X415/$H415),1)*$H415),"")</f>
        <v>102.60000000000001</v>
      </c>
      <c r="Z415" s="36">
        <f>IFERROR(IF(Y415=0,"",ROUNDUP(Y415/H415,0)*0.00902),"")</f>
        <v>0.17138</v>
      </c>
      <c r="AA415" s="56"/>
      <c r="AB415" s="57"/>
      <c r="AC415" s="467" t="s">
        <v>648</v>
      </c>
      <c r="AG415" s="64"/>
      <c r="AJ415" s="68" t="s">
        <v>92</v>
      </c>
      <c r="AK415" s="68">
        <v>64.8</v>
      </c>
      <c r="BB415" s="468" t="s">
        <v>1</v>
      </c>
      <c r="BM415" s="64">
        <f>IFERROR(X415*I415/H415,"0")</f>
        <v>103.5185185185185</v>
      </c>
      <c r="BN415" s="64">
        <f>IFERROR(Y415*I415/H415,"0")</f>
        <v>106.21</v>
      </c>
      <c r="BO415" s="64">
        <f>IFERROR(1/J415*(X415/H415),"0")</f>
        <v>0.14029180695847362</v>
      </c>
      <c r="BP415" s="64">
        <f>IFERROR(1/J415*(Y415/H415),"0")</f>
        <v>0.14393939393939395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4301031363</v>
      </c>
      <c r="D416" s="558">
        <v>4607091389425</v>
      </c>
      <c r="E416" s="559"/>
      <c r="F416" s="550">
        <v>0.35</v>
      </c>
      <c r="G416" s="32">
        <v>6</v>
      </c>
      <c r="H416" s="550">
        <v>2.1</v>
      </c>
      <c r="I416" s="550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9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6"/>
      <c r="R416" s="556"/>
      <c r="S416" s="556"/>
      <c r="T416" s="557"/>
      <c r="U416" s="34"/>
      <c r="V416" s="34"/>
      <c r="W416" s="35" t="s">
        <v>69</v>
      </c>
      <c r="X416" s="551">
        <v>0</v>
      </c>
      <c r="Y416" s="552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652</v>
      </c>
      <c r="B417" s="54" t="s">
        <v>653</v>
      </c>
      <c r="C417" s="31">
        <v>4301031373</v>
      </c>
      <c r="D417" s="558">
        <v>4680115880771</v>
      </c>
      <c r="E417" s="559"/>
      <c r="F417" s="550">
        <v>0.28000000000000003</v>
      </c>
      <c r="G417" s="32">
        <v>6</v>
      </c>
      <c r="H417" s="550">
        <v>1.68</v>
      </c>
      <c r="I417" s="550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6"/>
      <c r="R417" s="556"/>
      <c r="S417" s="556"/>
      <c r="T417" s="557"/>
      <c r="U417" s="34"/>
      <c r="V417" s="34"/>
      <c r="W417" s="35" t="s">
        <v>69</v>
      </c>
      <c r="X417" s="551">
        <v>0</v>
      </c>
      <c r="Y417" s="552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654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655</v>
      </c>
      <c r="B418" s="54" t="s">
        <v>656</v>
      </c>
      <c r="C418" s="31">
        <v>4301031359</v>
      </c>
      <c r="D418" s="558">
        <v>4607091389500</v>
      </c>
      <c r="E418" s="559"/>
      <c r="F418" s="550">
        <v>0.35</v>
      </c>
      <c r="G418" s="32">
        <v>6</v>
      </c>
      <c r="H418" s="550">
        <v>2.1</v>
      </c>
      <c r="I418" s="550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6"/>
      <c r="R418" s="556"/>
      <c r="S418" s="556"/>
      <c r="T418" s="557"/>
      <c r="U418" s="34"/>
      <c r="V418" s="34"/>
      <c r="W418" s="35" t="s">
        <v>69</v>
      </c>
      <c r="X418" s="551">
        <v>0</v>
      </c>
      <c r="Y418" s="552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654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63"/>
      <c r="B419" s="564"/>
      <c r="C419" s="564"/>
      <c r="D419" s="564"/>
      <c r="E419" s="564"/>
      <c r="F419" s="564"/>
      <c r="G419" s="564"/>
      <c r="H419" s="564"/>
      <c r="I419" s="564"/>
      <c r="J419" s="564"/>
      <c r="K419" s="564"/>
      <c r="L419" s="564"/>
      <c r="M419" s="564"/>
      <c r="N419" s="564"/>
      <c r="O419" s="565"/>
      <c r="P419" s="568" t="s">
        <v>75</v>
      </c>
      <c r="Q419" s="569"/>
      <c r="R419" s="569"/>
      <c r="S419" s="569"/>
      <c r="T419" s="569"/>
      <c r="U419" s="569"/>
      <c r="V419" s="570"/>
      <c r="W419" s="37" t="s">
        <v>76</v>
      </c>
      <c r="X419" s="553">
        <f>IFERROR(X415/H415,"0")+IFERROR(X416/H416,"0")+IFERROR(X417/H417,"0")+IFERROR(X418/H418,"0")</f>
        <v>18.518518518518519</v>
      </c>
      <c r="Y419" s="553">
        <f>IFERROR(Y415/H415,"0")+IFERROR(Y416/H416,"0")+IFERROR(Y417/H417,"0")+IFERROR(Y418/H418,"0")</f>
        <v>19</v>
      </c>
      <c r="Z419" s="553">
        <f>IFERROR(IF(Z415="",0,Z415),"0")+IFERROR(IF(Z416="",0,Z416),"0")+IFERROR(IF(Z417="",0,Z417),"0")+IFERROR(IF(Z418="",0,Z418),"0")</f>
        <v>0.17138</v>
      </c>
      <c r="AA419" s="554"/>
      <c r="AB419" s="554"/>
      <c r="AC419" s="554"/>
    </row>
    <row r="420" spans="1:68" x14ac:dyDescent="0.2">
      <c r="A420" s="564"/>
      <c r="B420" s="564"/>
      <c r="C420" s="564"/>
      <c r="D420" s="564"/>
      <c r="E420" s="564"/>
      <c r="F420" s="564"/>
      <c r="G420" s="564"/>
      <c r="H420" s="564"/>
      <c r="I420" s="564"/>
      <c r="J420" s="564"/>
      <c r="K420" s="564"/>
      <c r="L420" s="564"/>
      <c r="M420" s="564"/>
      <c r="N420" s="564"/>
      <c r="O420" s="565"/>
      <c r="P420" s="568" t="s">
        <v>75</v>
      </c>
      <c r="Q420" s="569"/>
      <c r="R420" s="569"/>
      <c r="S420" s="569"/>
      <c r="T420" s="569"/>
      <c r="U420" s="569"/>
      <c r="V420" s="570"/>
      <c r="W420" s="37" t="s">
        <v>69</v>
      </c>
      <c r="X420" s="553">
        <f>IFERROR(SUM(X415:X418),"0")</f>
        <v>100</v>
      </c>
      <c r="Y420" s="553">
        <f>IFERROR(SUM(Y415:Y418),"0")</f>
        <v>102.60000000000001</v>
      </c>
      <c r="Z420" s="37"/>
      <c r="AA420" s="554"/>
      <c r="AB420" s="554"/>
      <c r="AC420" s="554"/>
    </row>
    <row r="421" spans="1:68" ht="16.5" hidden="1" customHeight="1" x14ac:dyDescent="0.25">
      <c r="A421" s="576" t="s">
        <v>657</v>
      </c>
      <c r="B421" s="564"/>
      <c r="C421" s="564"/>
      <c r="D421" s="564"/>
      <c r="E421" s="564"/>
      <c r="F421" s="564"/>
      <c r="G421" s="564"/>
      <c r="H421" s="564"/>
      <c r="I421" s="564"/>
      <c r="J421" s="564"/>
      <c r="K421" s="564"/>
      <c r="L421" s="564"/>
      <c r="M421" s="564"/>
      <c r="N421" s="564"/>
      <c r="O421" s="564"/>
      <c r="P421" s="564"/>
      <c r="Q421" s="564"/>
      <c r="R421" s="564"/>
      <c r="S421" s="564"/>
      <c r="T421" s="564"/>
      <c r="U421" s="564"/>
      <c r="V421" s="564"/>
      <c r="W421" s="564"/>
      <c r="X421" s="564"/>
      <c r="Y421" s="564"/>
      <c r="Z421" s="564"/>
      <c r="AA421" s="546"/>
      <c r="AB421" s="546"/>
      <c r="AC421" s="546"/>
    </row>
    <row r="422" spans="1:68" ht="14.25" hidden="1" customHeight="1" x14ac:dyDescent="0.25">
      <c r="A422" s="567" t="s">
        <v>64</v>
      </c>
      <c r="B422" s="564"/>
      <c r="C422" s="564"/>
      <c r="D422" s="564"/>
      <c r="E422" s="564"/>
      <c r="F422" s="564"/>
      <c r="G422" s="564"/>
      <c r="H422" s="564"/>
      <c r="I422" s="564"/>
      <c r="J422" s="564"/>
      <c r="K422" s="564"/>
      <c r="L422" s="564"/>
      <c r="M422" s="564"/>
      <c r="N422" s="564"/>
      <c r="O422" s="564"/>
      <c r="P422" s="564"/>
      <c r="Q422" s="564"/>
      <c r="R422" s="564"/>
      <c r="S422" s="564"/>
      <c r="T422" s="564"/>
      <c r="U422" s="564"/>
      <c r="V422" s="564"/>
      <c r="W422" s="564"/>
      <c r="X422" s="564"/>
      <c r="Y422" s="564"/>
      <c r="Z422" s="564"/>
      <c r="AA422" s="547"/>
      <c r="AB422" s="547"/>
      <c r="AC422" s="547"/>
    </row>
    <row r="423" spans="1:68" ht="27" hidden="1" customHeight="1" x14ac:dyDescent="0.25">
      <c r="A423" s="54" t="s">
        <v>658</v>
      </c>
      <c r="B423" s="54" t="s">
        <v>659</v>
      </c>
      <c r="C423" s="31">
        <v>4301031347</v>
      </c>
      <c r="D423" s="558">
        <v>4680115885110</v>
      </c>
      <c r="E423" s="559"/>
      <c r="F423" s="550">
        <v>0.2</v>
      </c>
      <c r="G423" s="32">
        <v>6</v>
      </c>
      <c r="H423" s="550">
        <v>1.2</v>
      </c>
      <c r="I423" s="550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6"/>
      <c r="R423" s="556"/>
      <c r="S423" s="556"/>
      <c r="T423" s="557"/>
      <c r="U423" s="34"/>
      <c r="V423" s="34"/>
      <c r="W423" s="35" t="s">
        <v>69</v>
      </c>
      <c r="X423" s="551">
        <v>0</v>
      </c>
      <c r="Y423" s="552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660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3"/>
      <c r="B424" s="564"/>
      <c r="C424" s="564"/>
      <c r="D424" s="564"/>
      <c r="E424" s="564"/>
      <c r="F424" s="564"/>
      <c r="G424" s="564"/>
      <c r="H424" s="564"/>
      <c r="I424" s="564"/>
      <c r="J424" s="564"/>
      <c r="K424" s="564"/>
      <c r="L424" s="564"/>
      <c r="M424" s="564"/>
      <c r="N424" s="564"/>
      <c r="O424" s="565"/>
      <c r="P424" s="568" t="s">
        <v>75</v>
      </c>
      <c r="Q424" s="569"/>
      <c r="R424" s="569"/>
      <c r="S424" s="569"/>
      <c r="T424" s="569"/>
      <c r="U424" s="569"/>
      <c r="V424" s="570"/>
      <c r="W424" s="37" t="s">
        <v>76</v>
      </c>
      <c r="X424" s="553">
        <f>IFERROR(X423/H423,"0")</f>
        <v>0</v>
      </c>
      <c r="Y424" s="553">
        <f>IFERROR(Y423/H423,"0")</f>
        <v>0</v>
      </c>
      <c r="Z424" s="553">
        <f>IFERROR(IF(Z423="",0,Z423),"0")</f>
        <v>0</v>
      </c>
      <c r="AA424" s="554"/>
      <c r="AB424" s="554"/>
      <c r="AC424" s="554"/>
    </row>
    <row r="425" spans="1:68" hidden="1" x14ac:dyDescent="0.2">
      <c r="A425" s="564"/>
      <c r="B425" s="564"/>
      <c r="C425" s="564"/>
      <c r="D425" s="564"/>
      <c r="E425" s="564"/>
      <c r="F425" s="564"/>
      <c r="G425" s="564"/>
      <c r="H425" s="564"/>
      <c r="I425" s="564"/>
      <c r="J425" s="564"/>
      <c r="K425" s="564"/>
      <c r="L425" s="564"/>
      <c r="M425" s="564"/>
      <c r="N425" s="564"/>
      <c r="O425" s="565"/>
      <c r="P425" s="568" t="s">
        <v>75</v>
      </c>
      <c r="Q425" s="569"/>
      <c r="R425" s="569"/>
      <c r="S425" s="569"/>
      <c r="T425" s="569"/>
      <c r="U425" s="569"/>
      <c r="V425" s="570"/>
      <c r="W425" s="37" t="s">
        <v>69</v>
      </c>
      <c r="X425" s="553">
        <f>IFERROR(SUM(X423:X423),"0")</f>
        <v>0</v>
      </c>
      <c r="Y425" s="553">
        <f>IFERROR(SUM(Y423:Y423),"0")</f>
        <v>0</v>
      </c>
      <c r="Z425" s="37"/>
      <c r="AA425" s="554"/>
      <c r="AB425" s="554"/>
      <c r="AC425" s="554"/>
    </row>
    <row r="426" spans="1:68" ht="27.75" hidden="1" customHeight="1" x14ac:dyDescent="0.2">
      <c r="A426" s="613" t="s">
        <v>661</v>
      </c>
      <c r="B426" s="614"/>
      <c r="C426" s="614"/>
      <c r="D426" s="614"/>
      <c r="E426" s="614"/>
      <c r="F426" s="614"/>
      <c r="G426" s="614"/>
      <c r="H426" s="614"/>
      <c r="I426" s="614"/>
      <c r="J426" s="614"/>
      <c r="K426" s="614"/>
      <c r="L426" s="614"/>
      <c r="M426" s="614"/>
      <c r="N426" s="614"/>
      <c r="O426" s="614"/>
      <c r="P426" s="614"/>
      <c r="Q426" s="614"/>
      <c r="R426" s="614"/>
      <c r="S426" s="614"/>
      <c r="T426" s="614"/>
      <c r="U426" s="614"/>
      <c r="V426" s="614"/>
      <c r="W426" s="614"/>
      <c r="X426" s="614"/>
      <c r="Y426" s="614"/>
      <c r="Z426" s="614"/>
      <c r="AA426" s="48"/>
      <c r="AB426" s="48"/>
      <c r="AC426" s="48"/>
    </row>
    <row r="427" spans="1:68" ht="16.5" hidden="1" customHeight="1" x14ac:dyDescent="0.25">
      <c r="A427" s="576" t="s">
        <v>661</v>
      </c>
      <c r="B427" s="564"/>
      <c r="C427" s="564"/>
      <c r="D427" s="564"/>
      <c r="E427" s="564"/>
      <c r="F427" s="564"/>
      <c r="G427" s="564"/>
      <c r="H427" s="564"/>
      <c r="I427" s="564"/>
      <c r="J427" s="564"/>
      <c r="K427" s="564"/>
      <c r="L427" s="564"/>
      <c r="M427" s="564"/>
      <c r="N427" s="564"/>
      <c r="O427" s="564"/>
      <c r="P427" s="564"/>
      <c r="Q427" s="564"/>
      <c r="R427" s="564"/>
      <c r="S427" s="564"/>
      <c r="T427" s="564"/>
      <c r="U427" s="564"/>
      <c r="V427" s="564"/>
      <c r="W427" s="564"/>
      <c r="X427" s="564"/>
      <c r="Y427" s="564"/>
      <c r="Z427" s="564"/>
      <c r="AA427" s="546"/>
      <c r="AB427" s="546"/>
      <c r="AC427" s="546"/>
    </row>
    <row r="428" spans="1:68" ht="14.25" hidden="1" customHeight="1" x14ac:dyDescent="0.25">
      <c r="A428" s="567" t="s">
        <v>101</v>
      </c>
      <c r="B428" s="564"/>
      <c r="C428" s="564"/>
      <c r="D428" s="564"/>
      <c r="E428" s="564"/>
      <c r="F428" s="564"/>
      <c r="G428" s="564"/>
      <c r="H428" s="564"/>
      <c r="I428" s="564"/>
      <c r="J428" s="564"/>
      <c r="K428" s="564"/>
      <c r="L428" s="564"/>
      <c r="M428" s="564"/>
      <c r="N428" s="564"/>
      <c r="O428" s="564"/>
      <c r="P428" s="564"/>
      <c r="Q428" s="564"/>
      <c r="R428" s="564"/>
      <c r="S428" s="564"/>
      <c r="T428" s="564"/>
      <c r="U428" s="564"/>
      <c r="V428" s="564"/>
      <c r="W428" s="564"/>
      <c r="X428" s="564"/>
      <c r="Y428" s="564"/>
      <c r="Z428" s="564"/>
      <c r="AA428" s="547"/>
      <c r="AB428" s="547"/>
      <c r="AC428" s="547"/>
    </row>
    <row r="429" spans="1:68" ht="27" hidden="1" customHeight="1" x14ac:dyDescent="0.25">
      <c r="A429" s="54" t="s">
        <v>662</v>
      </c>
      <c r="B429" s="54" t="s">
        <v>663</v>
      </c>
      <c r="C429" s="31">
        <v>4301011795</v>
      </c>
      <c r="D429" s="558">
        <v>4607091389067</v>
      </c>
      <c r="E429" s="559"/>
      <c r="F429" s="550">
        <v>0.88</v>
      </c>
      <c r="G429" s="32">
        <v>6</v>
      </c>
      <c r="H429" s="550">
        <v>5.28</v>
      </c>
      <c r="I429" s="550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6"/>
      <c r="R429" s="556"/>
      <c r="S429" s="556"/>
      <c r="T429" s="557"/>
      <c r="U429" s="34"/>
      <c r="V429" s="34"/>
      <c r="W429" s="35" t="s">
        <v>69</v>
      </c>
      <c r="X429" s="551">
        <v>0</v>
      </c>
      <c r="Y429" s="552">
        <f t="shared" ref="Y429:Y440" si="52">IFERROR(IF(X429="",0,CEILING((X429/$H429),1)*$H429),"")</f>
        <v>0</v>
      </c>
      <c r="Z429" s="36" t="str">
        <f t="shared" ref="Z429:Z435" si="53">IFERROR(IF(Y429=0,"",ROUNDUP(Y429/H429,0)*0.01196),"")</f>
        <v/>
      </c>
      <c r="AA429" s="56"/>
      <c r="AB429" s="57"/>
      <c r="AC429" s="477" t="s">
        <v>107</v>
      </c>
      <c r="AG429" s="64"/>
      <c r="AJ429" s="68" t="s">
        <v>92</v>
      </c>
      <c r="AK429" s="68">
        <v>42.24</v>
      </c>
      <c r="BB429" s="478" t="s">
        <v>1</v>
      </c>
      <c r="BM429" s="64">
        <f t="shared" ref="BM429:BM440" si="54">IFERROR(X429*I429/H429,"0")</f>
        <v>0</v>
      </c>
      <c r="BN429" s="64">
        <f t="shared" ref="BN429:BN440" si="55">IFERROR(Y429*I429/H429,"0")</f>
        <v>0</v>
      </c>
      <c r="BO429" s="64">
        <f t="shared" ref="BO429:BO440" si="56">IFERROR(1/J429*(X429/H429),"0")</f>
        <v>0</v>
      </c>
      <c r="BP429" s="64">
        <f t="shared" ref="BP429:BP440" si="57">IFERROR(1/J429*(Y429/H429),"0")</f>
        <v>0</v>
      </c>
    </row>
    <row r="430" spans="1:68" ht="27" hidden="1" customHeight="1" x14ac:dyDescent="0.25">
      <c r="A430" s="54" t="s">
        <v>664</v>
      </c>
      <c r="B430" s="54" t="s">
        <v>665</v>
      </c>
      <c r="C430" s="31">
        <v>4301012210</v>
      </c>
      <c r="D430" s="558">
        <v>4607091383522</v>
      </c>
      <c r="E430" s="559"/>
      <c r="F430" s="550">
        <v>0.88</v>
      </c>
      <c r="G430" s="32">
        <v>6</v>
      </c>
      <c r="H430" s="550">
        <v>5.28</v>
      </c>
      <c r="I430" s="550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1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6"/>
      <c r="R430" s="556"/>
      <c r="S430" s="556"/>
      <c r="T430" s="557"/>
      <c r="U430" s="34"/>
      <c r="V430" s="34"/>
      <c r="W430" s="35" t="s">
        <v>69</v>
      </c>
      <c r="X430" s="551">
        <v>0</v>
      </c>
      <c r="Y430" s="552">
        <f t="shared" si="52"/>
        <v>0</v>
      </c>
      <c r="Z430" s="36" t="str">
        <f t="shared" si="53"/>
        <v/>
      </c>
      <c r="AA430" s="56"/>
      <c r="AB430" s="57"/>
      <c r="AC430" s="479" t="s">
        <v>666</v>
      </c>
      <c r="AG430" s="64"/>
      <c r="AJ430" s="68"/>
      <c r="AK430" s="68">
        <v>0</v>
      </c>
      <c r="BB430" s="480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customHeight="1" x14ac:dyDescent="0.25">
      <c r="A431" s="54" t="s">
        <v>664</v>
      </c>
      <c r="B431" s="54" t="s">
        <v>667</v>
      </c>
      <c r="C431" s="31">
        <v>4301012145</v>
      </c>
      <c r="D431" s="558">
        <v>4607091383522</v>
      </c>
      <c r="E431" s="559"/>
      <c r="F431" s="550">
        <v>0.88</v>
      </c>
      <c r="G431" s="32">
        <v>6</v>
      </c>
      <c r="H431" s="550">
        <v>5.28</v>
      </c>
      <c r="I431" s="550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1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6"/>
      <c r="R431" s="556"/>
      <c r="S431" s="556"/>
      <c r="T431" s="557"/>
      <c r="U431" s="34"/>
      <c r="V431" s="34"/>
      <c r="W431" s="35" t="s">
        <v>69</v>
      </c>
      <c r="X431" s="551">
        <v>200</v>
      </c>
      <c r="Y431" s="552">
        <f t="shared" si="52"/>
        <v>200.64000000000001</v>
      </c>
      <c r="Z431" s="36">
        <f t="shared" si="53"/>
        <v>0.45448</v>
      </c>
      <c r="AA431" s="56"/>
      <c r="AB431" s="57"/>
      <c r="AC431" s="481" t="s">
        <v>666</v>
      </c>
      <c r="AG431" s="64"/>
      <c r="AJ431" s="68"/>
      <c r="AK431" s="68">
        <v>0</v>
      </c>
      <c r="BB431" s="482" t="s">
        <v>1</v>
      </c>
      <c r="BM431" s="64">
        <f t="shared" si="54"/>
        <v>213.25757575757575</v>
      </c>
      <c r="BN431" s="64">
        <f t="shared" si="55"/>
        <v>213.94</v>
      </c>
      <c r="BO431" s="64">
        <f t="shared" si="56"/>
        <v>0.36421911421911418</v>
      </c>
      <c r="BP431" s="64">
        <f t="shared" si="57"/>
        <v>0.36538461538461542</v>
      </c>
    </row>
    <row r="432" spans="1:68" ht="27" hidden="1" customHeight="1" x14ac:dyDescent="0.25">
      <c r="A432" s="54" t="s">
        <v>668</v>
      </c>
      <c r="B432" s="54" t="s">
        <v>669</v>
      </c>
      <c r="C432" s="31">
        <v>4301011961</v>
      </c>
      <c r="D432" s="558">
        <v>4680115885271</v>
      </c>
      <c r="E432" s="559"/>
      <c r="F432" s="550">
        <v>0.88</v>
      </c>
      <c r="G432" s="32">
        <v>6</v>
      </c>
      <c r="H432" s="550">
        <v>5.28</v>
      </c>
      <c r="I432" s="550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6"/>
      <c r="R432" s="556"/>
      <c r="S432" s="556"/>
      <c r="T432" s="557"/>
      <c r="U432" s="34"/>
      <c r="V432" s="34"/>
      <c r="W432" s="35" t="s">
        <v>69</v>
      </c>
      <c r="X432" s="551">
        <v>0</v>
      </c>
      <c r="Y432" s="552">
        <f t="shared" si="52"/>
        <v>0</v>
      </c>
      <c r="Z432" s="36" t="str">
        <f t="shared" si="53"/>
        <v/>
      </c>
      <c r="AA432" s="56"/>
      <c r="AB432" s="57"/>
      <c r="AC432" s="483" t="s">
        <v>670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hidden="1" customHeight="1" x14ac:dyDescent="0.25">
      <c r="A433" s="54" t="s">
        <v>671</v>
      </c>
      <c r="B433" s="54" t="s">
        <v>672</v>
      </c>
      <c r="C433" s="31">
        <v>4301011376</v>
      </c>
      <c r="D433" s="558">
        <v>4680115885226</v>
      </c>
      <c r="E433" s="559"/>
      <c r="F433" s="550">
        <v>0.88</v>
      </c>
      <c r="G433" s="32">
        <v>6</v>
      </c>
      <c r="H433" s="550">
        <v>5.28</v>
      </c>
      <c r="I433" s="550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4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6"/>
      <c r="R433" s="556"/>
      <c r="S433" s="556"/>
      <c r="T433" s="557"/>
      <c r="U433" s="34"/>
      <c r="V433" s="34"/>
      <c r="W433" s="35" t="s">
        <v>69</v>
      </c>
      <c r="X433" s="551">
        <v>0</v>
      </c>
      <c r="Y433" s="552">
        <f t="shared" si="52"/>
        <v>0</v>
      </c>
      <c r="Z433" s="36" t="str">
        <f t="shared" si="53"/>
        <v/>
      </c>
      <c r="AA433" s="56"/>
      <c r="AB433" s="57"/>
      <c r="AC433" s="485" t="s">
        <v>673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16.5" hidden="1" customHeight="1" x14ac:dyDescent="0.25">
      <c r="A434" s="54" t="s">
        <v>674</v>
      </c>
      <c r="B434" s="54" t="s">
        <v>675</v>
      </c>
      <c r="C434" s="31">
        <v>4301011774</v>
      </c>
      <c r="D434" s="558">
        <v>4680115884502</v>
      </c>
      <c r="E434" s="559"/>
      <c r="F434" s="550">
        <v>0.88</v>
      </c>
      <c r="G434" s="32">
        <v>6</v>
      </c>
      <c r="H434" s="550">
        <v>5.28</v>
      </c>
      <c r="I434" s="550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5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6"/>
      <c r="R434" s="556"/>
      <c r="S434" s="556"/>
      <c r="T434" s="557"/>
      <c r="U434" s="34"/>
      <c r="V434" s="34"/>
      <c r="W434" s="35" t="s">
        <v>69</v>
      </c>
      <c r="X434" s="551">
        <v>0</v>
      </c>
      <c r="Y434" s="552">
        <f t="shared" si="52"/>
        <v>0</v>
      </c>
      <c r="Z434" s="36" t="str">
        <f t="shared" si="53"/>
        <v/>
      </c>
      <c r="AA434" s="56"/>
      <c r="AB434" s="57"/>
      <c r="AC434" s="487" t="s">
        <v>676</v>
      </c>
      <c r="AG434" s="64"/>
      <c r="AJ434" s="68"/>
      <c r="AK434" s="68">
        <v>0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27" customHeight="1" x14ac:dyDescent="0.25">
      <c r="A435" s="54" t="s">
        <v>677</v>
      </c>
      <c r="B435" s="54" t="s">
        <v>678</v>
      </c>
      <c r="C435" s="31">
        <v>4301011771</v>
      </c>
      <c r="D435" s="558">
        <v>4607091389104</v>
      </c>
      <c r="E435" s="559"/>
      <c r="F435" s="550">
        <v>0.88</v>
      </c>
      <c r="G435" s="32">
        <v>6</v>
      </c>
      <c r="H435" s="550">
        <v>5.28</v>
      </c>
      <c r="I435" s="550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5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6"/>
      <c r="R435" s="556"/>
      <c r="S435" s="556"/>
      <c r="T435" s="557"/>
      <c r="U435" s="34"/>
      <c r="V435" s="34"/>
      <c r="W435" s="35" t="s">
        <v>69</v>
      </c>
      <c r="X435" s="551">
        <v>170</v>
      </c>
      <c r="Y435" s="552">
        <f t="shared" si="52"/>
        <v>174.24</v>
      </c>
      <c r="Z435" s="36">
        <f t="shared" si="53"/>
        <v>0.39468000000000003</v>
      </c>
      <c r="AA435" s="56"/>
      <c r="AB435" s="57"/>
      <c r="AC435" s="489" t="s">
        <v>679</v>
      </c>
      <c r="AG435" s="64"/>
      <c r="AJ435" s="68" t="s">
        <v>92</v>
      </c>
      <c r="AK435" s="68">
        <v>42.24</v>
      </c>
      <c r="BB435" s="490" t="s">
        <v>1</v>
      </c>
      <c r="BM435" s="64">
        <f t="shared" si="54"/>
        <v>181.26893939393938</v>
      </c>
      <c r="BN435" s="64">
        <f t="shared" si="55"/>
        <v>185.79</v>
      </c>
      <c r="BO435" s="64">
        <f t="shared" si="56"/>
        <v>0.3095862470862471</v>
      </c>
      <c r="BP435" s="64">
        <f t="shared" si="57"/>
        <v>0.31730769230769235</v>
      </c>
    </row>
    <row r="436" spans="1:68" ht="27" hidden="1" customHeight="1" x14ac:dyDescent="0.25">
      <c r="A436" s="54" t="s">
        <v>680</v>
      </c>
      <c r="B436" s="54" t="s">
        <v>681</v>
      </c>
      <c r="C436" s="31">
        <v>4301012125</v>
      </c>
      <c r="D436" s="558">
        <v>4680115886391</v>
      </c>
      <c r="E436" s="559"/>
      <c r="F436" s="550">
        <v>0.4</v>
      </c>
      <c r="G436" s="32">
        <v>6</v>
      </c>
      <c r="H436" s="550">
        <v>2.4</v>
      </c>
      <c r="I436" s="550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6"/>
      <c r="R436" s="556"/>
      <c r="S436" s="556"/>
      <c r="T436" s="557"/>
      <c r="U436" s="34"/>
      <c r="V436" s="34"/>
      <c r="W436" s="35" t="s">
        <v>69</v>
      </c>
      <c r="X436" s="551">
        <v>0</v>
      </c>
      <c r="Y436" s="552">
        <f t="shared" si="52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hidden="1" customHeight="1" x14ac:dyDescent="0.25">
      <c r="A437" s="54" t="s">
        <v>682</v>
      </c>
      <c r="B437" s="54" t="s">
        <v>683</v>
      </c>
      <c r="C437" s="31">
        <v>4301012035</v>
      </c>
      <c r="D437" s="558">
        <v>4680115880603</v>
      </c>
      <c r="E437" s="559"/>
      <c r="F437" s="550">
        <v>0.6</v>
      </c>
      <c r="G437" s="32">
        <v>8</v>
      </c>
      <c r="H437" s="550">
        <v>4.8</v>
      </c>
      <c r="I437" s="55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60</v>
      </c>
      <c r="P437" s="56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6"/>
      <c r="R437" s="556"/>
      <c r="S437" s="556"/>
      <c r="T437" s="557"/>
      <c r="U437" s="34"/>
      <c r="V437" s="34"/>
      <c r="W437" s="35" t="s">
        <v>69</v>
      </c>
      <c r="X437" s="551">
        <v>0</v>
      </c>
      <c r="Y437" s="552">
        <f t="shared" si="52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hidden="1" customHeight="1" x14ac:dyDescent="0.25">
      <c r="A438" s="54" t="s">
        <v>684</v>
      </c>
      <c r="B438" s="54" t="s">
        <v>685</v>
      </c>
      <c r="C438" s="31">
        <v>4301012036</v>
      </c>
      <c r="D438" s="558">
        <v>4680115882782</v>
      </c>
      <c r="E438" s="559"/>
      <c r="F438" s="550">
        <v>0.6</v>
      </c>
      <c r="G438" s="32">
        <v>8</v>
      </c>
      <c r="H438" s="550">
        <v>4.8</v>
      </c>
      <c r="I438" s="550">
        <v>6.96</v>
      </c>
      <c r="J438" s="32">
        <v>120</v>
      </c>
      <c r="K438" s="32" t="s">
        <v>110</v>
      </c>
      <c r="L438" s="32"/>
      <c r="M438" s="33" t="s">
        <v>106</v>
      </c>
      <c r="N438" s="33"/>
      <c r="O438" s="32">
        <v>60</v>
      </c>
      <c r="P438" s="73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6"/>
      <c r="R438" s="556"/>
      <c r="S438" s="556"/>
      <c r="T438" s="557"/>
      <c r="U438" s="34"/>
      <c r="V438" s="34"/>
      <c r="W438" s="35" t="s">
        <v>69</v>
      </c>
      <c r="X438" s="551">
        <v>0</v>
      </c>
      <c r="Y438" s="552">
        <f t="shared" si="52"/>
        <v>0</v>
      </c>
      <c r="Z438" s="36" t="str">
        <f>IFERROR(IF(Y438=0,"",ROUNDUP(Y438/H438,0)*0.00937),"")</f>
        <v/>
      </c>
      <c r="AA438" s="56"/>
      <c r="AB438" s="57"/>
      <c r="AC438" s="495" t="s">
        <v>670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hidden="1" customHeight="1" x14ac:dyDescent="0.25">
      <c r="A439" s="54" t="s">
        <v>686</v>
      </c>
      <c r="B439" s="54" t="s">
        <v>687</v>
      </c>
      <c r="C439" s="31">
        <v>4301012050</v>
      </c>
      <c r="D439" s="558">
        <v>4680115885479</v>
      </c>
      <c r="E439" s="559"/>
      <c r="F439" s="550">
        <v>0.4</v>
      </c>
      <c r="G439" s="32">
        <v>6</v>
      </c>
      <c r="H439" s="550">
        <v>2.4</v>
      </c>
      <c r="I439" s="550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4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6"/>
      <c r="R439" s="556"/>
      <c r="S439" s="556"/>
      <c r="T439" s="557"/>
      <c r="U439" s="34"/>
      <c r="V439" s="34"/>
      <c r="W439" s="35" t="s">
        <v>69</v>
      </c>
      <c r="X439" s="551">
        <v>0</v>
      </c>
      <c r="Y439" s="552">
        <f t="shared" si="52"/>
        <v>0</v>
      </c>
      <c r="Z439" s="36" t="str">
        <f>IFERROR(IF(Y439=0,"",ROUNDUP(Y439/H439,0)*0.00651),"")</f>
        <v/>
      </c>
      <c r="AA439" s="56"/>
      <c r="AB439" s="57"/>
      <c r="AC439" s="497" t="s">
        <v>688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hidden="1" customHeight="1" x14ac:dyDescent="0.25">
      <c r="A440" s="54" t="s">
        <v>689</v>
      </c>
      <c r="B440" s="54" t="s">
        <v>690</v>
      </c>
      <c r="C440" s="31">
        <v>4301012034</v>
      </c>
      <c r="D440" s="558">
        <v>4607091389982</v>
      </c>
      <c r="E440" s="559"/>
      <c r="F440" s="550">
        <v>0.6</v>
      </c>
      <c r="G440" s="32">
        <v>8</v>
      </c>
      <c r="H440" s="550">
        <v>4.8</v>
      </c>
      <c r="I440" s="550">
        <v>6.91</v>
      </c>
      <c r="J440" s="32">
        <v>132</v>
      </c>
      <c r="K440" s="32" t="s">
        <v>110</v>
      </c>
      <c r="L440" s="32"/>
      <c r="M440" s="33" t="s">
        <v>106</v>
      </c>
      <c r="N440" s="33"/>
      <c r="O440" s="32">
        <v>60</v>
      </c>
      <c r="P440" s="84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6"/>
      <c r="R440" s="556"/>
      <c r="S440" s="556"/>
      <c r="T440" s="557"/>
      <c r="U440" s="34"/>
      <c r="V440" s="34"/>
      <c r="W440" s="35" t="s">
        <v>69</v>
      </c>
      <c r="X440" s="551">
        <v>0</v>
      </c>
      <c r="Y440" s="552">
        <f t="shared" si="52"/>
        <v>0</v>
      </c>
      <c r="Z440" s="36" t="str">
        <f>IFERROR(IF(Y440=0,"",ROUNDUP(Y440/H440,0)*0.00902),"")</f>
        <v/>
      </c>
      <c r="AA440" s="56"/>
      <c r="AB440" s="57"/>
      <c r="AC440" s="499" t="s">
        <v>679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x14ac:dyDescent="0.2">
      <c r="A441" s="563"/>
      <c r="B441" s="564"/>
      <c r="C441" s="564"/>
      <c r="D441" s="564"/>
      <c r="E441" s="564"/>
      <c r="F441" s="564"/>
      <c r="G441" s="564"/>
      <c r="H441" s="564"/>
      <c r="I441" s="564"/>
      <c r="J441" s="564"/>
      <c r="K441" s="564"/>
      <c r="L441" s="564"/>
      <c r="M441" s="564"/>
      <c r="N441" s="564"/>
      <c r="O441" s="565"/>
      <c r="P441" s="568" t="s">
        <v>75</v>
      </c>
      <c r="Q441" s="569"/>
      <c r="R441" s="569"/>
      <c r="S441" s="569"/>
      <c r="T441" s="569"/>
      <c r="U441" s="569"/>
      <c r="V441" s="570"/>
      <c r="W441" s="37" t="s">
        <v>76</v>
      </c>
      <c r="X441" s="553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70.075757575757564</v>
      </c>
      <c r="Y441" s="553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71</v>
      </c>
      <c r="Z441" s="553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0.84916000000000003</v>
      </c>
      <c r="AA441" s="554"/>
      <c r="AB441" s="554"/>
      <c r="AC441" s="554"/>
    </row>
    <row r="442" spans="1:68" x14ac:dyDescent="0.2">
      <c r="A442" s="564"/>
      <c r="B442" s="564"/>
      <c r="C442" s="564"/>
      <c r="D442" s="564"/>
      <c r="E442" s="564"/>
      <c r="F442" s="564"/>
      <c r="G442" s="564"/>
      <c r="H442" s="564"/>
      <c r="I442" s="564"/>
      <c r="J442" s="564"/>
      <c r="K442" s="564"/>
      <c r="L442" s="564"/>
      <c r="M442" s="564"/>
      <c r="N442" s="564"/>
      <c r="O442" s="565"/>
      <c r="P442" s="568" t="s">
        <v>75</v>
      </c>
      <c r="Q442" s="569"/>
      <c r="R442" s="569"/>
      <c r="S442" s="569"/>
      <c r="T442" s="569"/>
      <c r="U442" s="569"/>
      <c r="V442" s="570"/>
      <c r="W442" s="37" t="s">
        <v>69</v>
      </c>
      <c r="X442" s="553">
        <f>IFERROR(SUM(X429:X440),"0")</f>
        <v>370</v>
      </c>
      <c r="Y442" s="553">
        <f>IFERROR(SUM(Y429:Y440),"0")</f>
        <v>374.88</v>
      </c>
      <c r="Z442" s="37"/>
      <c r="AA442" s="554"/>
      <c r="AB442" s="554"/>
      <c r="AC442" s="554"/>
    </row>
    <row r="443" spans="1:68" ht="14.25" hidden="1" customHeight="1" x14ac:dyDescent="0.25">
      <c r="A443" s="567" t="s">
        <v>136</v>
      </c>
      <c r="B443" s="564"/>
      <c r="C443" s="564"/>
      <c r="D443" s="564"/>
      <c r="E443" s="564"/>
      <c r="F443" s="564"/>
      <c r="G443" s="564"/>
      <c r="H443" s="564"/>
      <c r="I443" s="564"/>
      <c r="J443" s="564"/>
      <c r="K443" s="564"/>
      <c r="L443" s="564"/>
      <c r="M443" s="564"/>
      <c r="N443" s="564"/>
      <c r="O443" s="564"/>
      <c r="P443" s="564"/>
      <c r="Q443" s="564"/>
      <c r="R443" s="564"/>
      <c r="S443" s="564"/>
      <c r="T443" s="564"/>
      <c r="U443" s="564"/>
      <c r="V443" s="564"/>
      <c r="W443" s="564"/>
      <c r="X443" s="564"/>
      <c r="Y443" s="564"/>
      <c r="Z443" s="564"/>
      <c r="AA443" s="547"/>
      <c r="AB443" s="547"/>
      <c r="AC443" s="547"/>
    </row>
    <row r="444" spans="1:68" ht="16.5" customHeight="1" x14ac:dyDescent="0.25">
      <c r="A444" s="54" t="s">
        <v>691</v>
      </c>
      <c r="B444" s="54" t="s">
        <v>692</v>
      </c>
      <c r="C444" s="31">
        <v>4301020334</v>
      </c>
      <c r="D444" s="558">
        <v>4607091388930</v>
      </c>
      <c r="E444" s="559"/>
      <c r="F444" s="550">
        <v>0.88</v>
      </c>
      <c r="G444" s="32">
        <v>6</v>
      </c>
      <c r="H444" s="550">
        <v>5.28</v>
      </c>
      <c r="I444" s="550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7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6"/>
      <c r="R444" s="556"/>
      <c r="S444" s="556"/>
      <c r="T444" s="557"/>
      <c r="U444" s="34"/>
      <c r="V444" s="34"/>
      <c r="W444" s="35" t="s">
        <v>69</v>
      </c>
      <c r="X444" s="551">
        <v>140</v>
      </c>
      <c r="Y444" s="552">
        <f>IFERROR(IF(X444="",0,CEILING((X444/$H444),1)*$H444),"")</f>
        <v>142.56</v>
      </c>
      <c r="Z444" s="36">
        <f>IFERROR(IF(Y444=0,"",ROUNDUP(Y444/H444,0)*0.01196),"")</f>
        <v>0.32291999999999998</v>
      </c>
      <c r="AA444" s="56"/>
      <c r="AB444" s="57"/>
      <c r="AC444" s="501" t="s">
        <v>693</v>
      </c>
      <c r="AG444" s="64"/>
      <c r="AJ444" s="68" t="s">
        <v>92</v>
      </c>
      <c r="AK444" s="68">
        <v>42.24</v>
      </c>
      <c r="BB444" s="502" t="s">
        <v>1</v>
      </c>
      <c r="BM444" s="64">
        <f>IFERROR(X444*I444/H444,"0")</f>
        <v>149.280303030303</v>
      </c>
      <c r="BN444" s="64">
        <f>IFERROR(Y444*I444/H444,"0")</f>
        <v>152.01</v>
      </c>
      <c r="BO444" s="64">
        <f>IFERROR(1/J444*(X444/H444),"0")</f>
        <v>0.25495337995337997</v>
      </c>
      <c r="BP444" s="64">
        <f>IFERROR(1/J444*(Y444/H444),"0")</f>
        <v>0.25961538461538464</v>
      </c>
    </row>
    <row r="445" spans="1:68" ht="16.5" hidden="1" customHeight="1" x14ac:dyDescent="0.25">
      <c r="A445" s="54" t="s">
        <v>694</v>
      </c>
      <c r="B445" s="54" t="s">
        <v>695</v>
      </c>
      <c r="C445" s="31">
        <v>4301020384</v>
      </c>
      <c r="D445" s="558">
        <v>4680115886407</v>
      </c>
      <c r="E445" s="559"/>
      <c r="F445" s="550">
        <v>0.4</v>
      </c>
      <c r="G445" s="32">
        <v>6</v>
      </c>
      <c r="H445" s="550">
        <v>2.4</v>
      </c>
      <c r="I445" s="550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6"/>
      <c r="R445" s="556"/>
      <c r="S445" s="556"/>
      <c r="T445" s="557"/>
      <c r="U445" s="34"/>
      <c r="V445" s="34"/>
      <c r="W445" s="35" t="s">
        <v>69</v>
      </c>
      <c r="X445" s="551">
        <v>0</v>
      </c>
      <c r="Y445" s="552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693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696</v>
      </c>
      <c r="B446" s="54" t="s">
        <v>697</v>
      </c>
      <c r="C446" s="31">
        <v>4301020385</v>
      </c>
      <c r="D446" s="558">
        <v>4680115880054</v>
      </c>
      <c r="E446" s="559"/>
      <c r="F446" s="550">
        <v>0.6</v>
      </c>
      <c r="G446" s="32">
        <v>8</v>
      </c>
      <c r="H446" s="550">
        <v>4.8</v>
      </c>
      <c r="I446" s="550">
        <v>6.91</v>
      </c>
      <c r="J446" s="32">
        <v>132</v>
      </c>
      <c r="K446" s="32" t="s">
        <v>110</v>
      </c>
      <c r="L446" s="32"/>
      <c r="M446" s="33" t="s">
        <v>106</v>
      </c>
      <c r="N446" s="33"/>
      <c r="O446" s="32">
        <v>70</v>
      </c>
      <c r="P446" s="76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6"/>
      <c r="R446" s="556"/>
      <c r="S446" s="556"/>
      <c r="T446" s="557"/>
      <c r="U446" s="34"/>
      <c r="V446" s="34"/>
      <c r="W446" s="35" t="s">
        <v>69</v>
      </c>
      <c r="X446" s="551">
        <v>0</v>
      </c>
      <c r="Y446" s="552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693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3"/>
      <c r="B447" s="564"/>
      <c r="C447" s="564"/>
      <c r="D447" s="564"/>
      <c r="E447" s="564"/>
      <c r="F447" s="564"/>
      <c r="G447" s="564"/>
      <c r="H447" s="564"/>
      <c r="I447" s="564"/>
      <c r="J447" s="564"/>
      <c r="K447" s="564"/>
      <c r="L447" s="564"/>
      <c r="M447" s="564"/>
      <c r="N447" s="564"/>
      <c r="O447" s="565"/>
      <c r="P447" s="568" t="s">
        <v>75</v>
      </c>
      <c r="Q447" s="569"/>
      <c r="R447" s="569"/>
      <c r="S447" s="569"/>
      <c r="T447" s="569"/>
      <c r="U447" s="569"/>
      <c r="V447" s="570"/>
      <c r="W447" s="37" t="s">
        <v>76</v>
      </c>
      <c r="X447" s="553">
        <f>IFERROR(X444/H444,"0")+IFERROR(X445/H445,"0")+IFERROR(X446/H446,"0")</f>
        <v>26.515151515151516</v>
      </c>
      <c r="Y447" s="553">
        <f>IFERROR(Y444/H444,"0")+IFERROR(Y445/H445,"0")+IFERROR(Y446/H446,"0")</f>
        <v>27</v>
      </c>
      <c r="Z447" s="553">
        <f>IFERROR(IF(Z444="",0,Z444),"0")+IFERROR(IF(Z445="",0,Z445),"0")+IFERROR(IF(Z446="",0,Z446),"0")</f>
        <v>0.32291999999999998</v>
      </c>
      <c r="AA447" s="554"/>
      <c r="AB447" s="554"/>
      <c r="AC447" s="554"/>
    </row>
    <row r="448" spans="1:68" x14ac:dyDescent="0.2">
      <c r="A448" s="564"/>
      <c r="B448" s="564"/>
      <c r="C448" s="564"/>
      <c r="D448" s="564"/>
      <c r="E448" s="564"/>
      <c r="F448" s="564"/>
      <c r="G448" s="564"/>
      <c r="H448" s="564"/>
      <c r="I448" s="564"/>
      <c r="J448" s="564"/>
      <c r="K448" s="564"/>
      <c r="L448" s="564"/>
      <c r="M448" s="564"/>
      <c r="N448" s="564"/>
      <c r="O448" s="565"/>
      <c r="P448" s="568" t="s">
        <v>75</v>
      </c>
      <c r="Q448" s="569"/>
      <c r="R448" s="569"/>
      <c r="S448" s="569"/>
      <c r="T448" s="569"/>
      <c r="U448" s="569"/>
      <c r="V448" s="570"/>
      <c r="W448" s="37" t="s">
        <v>69</v>
      </c>
      <c r="X448" s="553">
        <f>IFERROR(SUM(X444:X446),"0")</f>
        <v>140</v>
      </c>
      <c r="Y448" s="553">
        <f>IFERROR(SUM(Y444:Y446),"0")</f>
        <v>142.56</v>
      </c>
      <c r="Z448" s="37"/>
      <c r="AA448" s="554"/>
      <c r="AB448" s="554"/>
      <c r="AC448" s="554"/>
    </row>
    <row r="449" spans="1:68" ht="14.25" hidden="1" customHeight="1" x14ac:dyDescent="0.25">
      <c r="A449" s="567" t="s">
        <v>64</v>
      </c>
      <c r="B449" s="564"/>
      <c r="C449" s="564"/>
      <c r="D449" s="564"/>
      <c r="E449" s="564"/>
      <c r="F449" s="564"/>
      <c r="G449" s="564"/>
      <c r="H449" s="564"/>
      <c r="I449" s="564"/>
      <c r="J449" s="564"/>
      <c r="K449" s="564"/>
      <c r="L449" s="564"/>
      <c r="M449" s="564"/>
      <c r="N449" s="564"/>
      <c r="O449" s="564"/>
      <c r="P449" s="564"/>
      <c r="Q449" s="564"/>
      <c r="R449" s="564"/>
      <c r="S449" s="564"/>
      <c r="T449" s="564"/>
      <c r="U449" s="564"/>
      <c r="V449" s="564"/>
      <c r="W449" s="564"/>
      <c r="X449" s="564"/>
      <c r="Y449" s="564"/>
      <c r="Z449" s="564"/>
      <c r="AA449" s="547"/>
      <c r="AB449" s="547"/>
      <c r="AC449" s="547"/>
    </row>
    <row r="450" spans="1:68" ht="27" customHeight="1" x14ac:dyDescent="0.25">
      <c r="A450" s="54" t="s">
        <v>698</v>
      </c>
      <c r="B450" s="54" t="s">
        <v>699</v>
      </c>
      <c r="C450" s="31">
        <v>4301031349</v>
      </c>
      <c r="D450" s="558">
        <v>4680115883116</v>
      </c>
      <c r="E450" s="559"/>
      <c r="F450" s="550">
        <v>0.88</v>
      </c>
      <c r="G450" s="32">
        <v>6</v>
      </c>
      <c r="H450" s="550">
        <v>5.28</v>
      </c>
      <c r="I450" s="550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6"/>
      <c r="R450" s="556"/>
      <c r="S450" s="556"/>
      <c r="T450" s="557"/>
      <c r="U450" s="34"/>
      <c r="V450" s="34"/>
      <c r="W450" s="35" t="s">
        <v>69</v>
      </c>
      <c r="X450" s="551">
        <v>90</v>
      </c>
      <c r="Y450" s="552">
        <f t="shared" ref="Y450:Y455" si="58">IFERROR(IF(X450="",0,CEILING((X450/$H450),1)*$H450),"")</f>
        <v>95.04</v>
      </c>
      <c r="Z450" s="36">
        <f>IFERROR(IF(Y450=0,"",ROUNDUP(Y450/H450,0)*0.01196),"")</f>
        <v>0.21528</v>
      </c>
      <c r="AA450" s="56"/>
      <c r="AB450" s="57"/>
      <c r="AC450" s="507" t="s">
        <v>700</v>
      </c>
      <c r="AG450" s="64"/>
      <c r="AJ450" s="68" t="s">
        <v>92</v>
      </c>
      <c r="AK450" s="68">
        <v>42.24</v>
      </c>
      <c r="BB450" s="508" t="s">
        <v>1</v>
      </c>
      <c r="BM450" s="64">
        <f t="shared" ref="BM450:BM455" si="59">IFERROR(X450*I450/H450,"0")</f>
        <v>95.965909090909079</v>
      </c>
      <c r="BN450" s="64">
        <f t="shared" ref="BN450:BN455" si="60">IFERROR(Y450*I450/H450,"0")</f>
        <v>101.33999999999999</v>
      </c>
      <c r="BO450" s="64">
        <f t="shared" ref="BO450:BO455" si="61">IFERROR(1/J450*(X450/H450),"0")</f>
        <v>0.16389860139860138</v>
      </c>
      <c r="BP450" s="64">
        <f t="shared" ref="BP450:BP455" si="62">IFERROR(1/J450*(Y450/H450),"0")</f>
        <v>0.17307692307692307</v>
      </c>
    </row>
    <row r="451" spans="1:68" ht="27" customHeight="1" x14ac:dyDescent="0.25">
      <c r="A451" s="54" t="s">
        <v>701</v>
      </c>
      <c r="B451" s="54" t="s">
        <v>702</v>
      </c>
      <c r="C451" s="31">
        <v>4301031350</v>
      </c>
      <c r="D451" s="558">
        <v>4680115883093</v>
      </c>
      <c r="E451" s="559"/>
      <c r="F451" s="550">
        <v>0.88</v>
      </c>
      <c r="G451" s="32">
        <v>6</v>
      </c>
      <c r="H451" s="550">
        <v>5.28</v>
      </c>
      <c r="I451" s="550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6"/>
      <c r="R451" s="556"/>
      <c r="S451" s="556"/>
      <c r="T451" s="557"/>
      <c r="U451" s="34"/>
      <c r="V451" s="34"/>
      <c r="W451" s="35" t="s">
        <v>69</v>
      </c>
      <c r="X451" s="551">
        <v>90</v>
      </c>
      <c r="Y451" s="552">
        <f t="shared" si="58"/>
        <v>95.04</v>
      </c>
      <c r="Z451" s="36">
        <f>IFERROR(IF(Y451=0,"",ROUNDUP(Y451/H451,0)*0.01196),"")</f>
        <v>0.21528</v>
      </c>
      <c r="AA451" s="56"/>
      <c r="AB451" s="57"/>
      <c r="AC451" s="509" t="s">
        <v>703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9"/>
        <v>95.965909090909079</v>
      </c>
      <c r="BN451" s="64">
        <f t="shared" si="60"/>
        <v>101.33999999999999</v>
      </c>
      <c r="BO451" s="64">
        <f t="shared" si="61"/>
        <v>0.16389860139860138</v>
      </c>
      <c r="BP451" s="64">
        <f t="shared" si="62"/>
        <v>0.17307692307692307</v>
      </c>
    </row>
    <row r="452" spans="1:68" ht="27" customHeight="1" x14ac:dyDescent="0.25">
      <c r="A452" s="54" t="s">
        <v>704</v>
      </c>
      <c r="B452" s="54" t="s">
        <v>705</v>
      </c>
      <c r="C452" s="31">
        <v>4301031353</v>
      </c>
      <c r="D452" s="558">
        <v>4680115883109</v>
      </c>
      <c r="E452" s="559"/>
      <c r="F452" s="550">
        <v>0.88</v>
      </c>
      <c r="G452" s="32">
        <v>6</v>
      </c>
      <c r="H452" s="550">
        <v>5.28</v>
      </c>
      <c r="I452" s="550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8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6"/>
      <c r="R452" s="556"/>
      <c r="S452" s="556"/>
      <c r="T452" s="557"/>
      <c r="U452" s="34"/>
      <c r="V452" s="34"/>
      <c r="W452" s="35" t="s">
        <v>69</v>
      </c>
      <c r="X452" s="551">
        <v>75</v>
      </c>
      <c r="Y452" s="552">
        <f t="shared" si="58"/>
        <v>79.2</v>
      </c>
      <c r="Z452" s="36">
        <f>IFERROR(IF(Y452=0,"",ROUNDUP(Y452/H452,0)*0.01196),"")</f>
        <v>0.1794</v>
      </c>
      <c r="AA452" s="56"/>
      <c r="AB452" s="57"/>
      <c r="AC452" s="511" t="s">
        <v>706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79.971590909090907</v>
      </c>
      <c r="BN452" s="64">
        <f t="shared" si="60"/>
        <v>84.45</v>
      </c>
      <c r="BO452" s="64">
        <f t="shared" si="61"/>
        <v>0.13658216783216784</v>
      </c>
      <c r="BP452" s="64">
        <f t="shared" si="62"/>
        <v>0.14423076923076925</v>
      </c>
    </row>
    <row r="453" spans="1:68" ht="27" hidden="1" customHeight="1" x14ac:dyDescent="0.25">
      <c r="A453" s="54" t="s">
        <v>707</v>
      </c>
      <c r="B453" s="54" t="s">
        <v>708</v>
      </c>
      <c r="C453" s="31">
        <v>4301031419</v>
      </c>
      <c r="D453" s="558">
        <v>4680115882072</v>
      </c>
      <c r="E453" s="559"/>
      <c r="F453" s="550">
        <v>0.6</v>
      </c>
      <c r="G453" s="32">
        <v>8</v>
      </c>
      <c r="H453" s="550">
        <v>4.8</v>
      </c>
      <c r="I453" s="550">
        <v>6.91</v>
      </c>
      <c r="J453" s="32">
        <v>132</v>
      </c>
      <c r="K453" s="32" t="s">
        <v>110</v>
      </c>
      <c r="L453" s="32"/>
      <c r="M453" s="33" t="s">
        <v>106</v>
      </c>
      <c r="N453" s="33"/>
      <c r="O453" s="32">
        <v>70</v>
      </c>
      <c r="P453" s="5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6"/>
      <c r="R453" s="556"/>
      <c r="S453" s="556"/>
      <c r="T453" s="557"/>
      <c r="U453" s="34"/>
      <c r="V453" s="34"/>
      <c r="W453" s="35" t="s">
        <v>69</v>
      </c>
      <c r="X453" s="551">
        <v>0</v>
      </c>
      <c r="Y453" s="552">
        <f t="shared" si="5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hidden="1" customHeight="1" x14ac:dyDescent="0.25">
      <c r="A454" s="54" t="s">
        <v>709</v>
      </c>
      <c r="B454" s="54" t="s">
        <v>710</v>
      </c>
      <c r="C454" s="31">
        <v>4301031418</v>
      </c>
      <c r="D454" s="558">
        <v>4680115882102</v>
      </c>
      <c r="E454" s="559"/>
      <c r="F454" s="550">
        <v>0.6</v>
      </c>
      <c r="G454" s="32">
        <v>8</v>
      </c>
      <c r="H454" s="550">
        <v>4.8</v>
      </c>
      <c r="I454" s="550">
        <v>6.67</v>
      </c>
      <c r="J454" s="32">
        <v>132</v>
      </c>
      <c r="K454" s="32" t="s">
        <v>110</v>
      </c>
      <c r="L454" s="32"/>
      <c r="M454" s="33" t="s">
        <v>68</v>
      </c>
      <c r="N454" s="33"/>
      <c r="O454" s="32">
        <v>70</v>
      </c>
      <c r="P454" s="57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6"/>
      <c r="R454" s="556"/>
      <c r="S454" s="556"/>
      <c r="T454" s="557"/>
      <c r="U454" s="34"/>
      <c r="V454" s="34"/>
      <c r="W454" s="35" t="s">
        <v>69</v>
      </c>
      <c r="X454" s="551">
        <v>0</v>
      </c>
      <c r="Y454" s="552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hidden="1" customHeight="1" x14ac:dyDescent="0.25">
      <c r="A455" s="54" t="s">
        <v>711</v>
      </c>
      <c r="B455" s="54" t="s">
        <v>712</v>
      </c>
      <c r="C455" s="31">
        <v>4301031417</v>
      </c>
      <c r="D455" s="558">
        <v>4680115882096</v>
      </c>
      <c r="E455" s="559"/>
      <c r="F455" s="550">
        <v>0.6</v>
      </c>
      <c r="G455" s="32">
        <v>8</v>
      </c>
      <c r="H455" s="550">
        <v>4.8</v>
      </c>
      <c r="I455" s="550">
        <v>6.67</v>
      </c>
      <c r="J455" s="32">
        <v>132</v>
      </c>
      <c r="K455" s="32" t="s">
        <v>110</v>
      </c>
      <c r="L455" s="32"/>
      <c r="M455" s="33" t="s">
        <v>68</v>
      </c>
      <c r="N455" s="33"/>
      <c r="O455" s="32">
        <v>70</v>
      </c>
      <c r="P455" s="5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6"/>
      <c r="R455" s="556"/>
      <c r="S455" s="556"/>
      <c r="T455" s="557"/>
      <c r="U455" s="34"/>
      <c r="V455" s="34"/>
      <c r="W455" s="35" t="s">
        <v>69</v>
      </c>
      <c r="X455" s="551">
        <v>0</v>
      </c>
      <c r="Y455" s="552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706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x14ac:dyDescent="0.2">
      <c r="A456" s="563"/>
      <c r="B456" s="564"/>
      <c r="C456" s="564"/>
      <c r="D456" s="564"/>
      <c r="E456" s="564"/>
      <c r="F456" s="564"/>
      <c r="G456" s="564"/>
      <c r="H456" s="564"/>
      <c r="I456" s="564"/>
      <c r="J456" s="564"/>
      <c r="K456" s="564"/>
      <c r="L456" s="564"/>
      <c r="M456" s="564"/>
      <c r="N456" s="564"/>
      <c r="O456" s="565"/>
      <c r="P456" s="568" t="s">
        <v>75</v>
      </c>
      <c r="Q456" s="569"/>
      <c r="R456" s="569"/>
      <c r="S456" s="569"/>
      <c r="T456" s="569"/>
      <c r="U456" s="569"/>
      <c r="V456" s="570"/>
      <c r="W456" s="37" t="s">
        <v>76</v>
      </c>
      <c r="X456" s="553">
        <f>IFERROR(X450/H450,"0")+IFERROR(X451/H451,"0")+IFERROR(X452/H452,"0")+IFERROR(X453/H453,"0")+IFERROR(X454/H454,"0")+IFERROR(X455/H455,"0")</f>
        <v>48.29545454545454</v>
      </c>
      <c r="Y456" s="553">
        <f>IFERROR(Y450/H450,"0")+IFERROR(Y451/H451,"0")+IFERROR(Y452/H452,"0")+IFERROR(Y453/H453,"0")+IFERROR(Y454/H454,"0")+IFERROR(Y455/H455,"0")</f>
        <v>51</v>
      </c>
      <c r="Z456" s="553">
        <f>IFERROR(IF(Z450="",0,Z450),"0")+IFERROR(IF(Z451="",0,Z451),"0")+IFERROR(IF(Z452="",0,Z452),"0")+IFERROR(IF(Z453="",0,Z453),"0")+IFERROR(IF(Z454="",0,Z454),"0")+IFERROR(IF(Z455="",0,Z455),"0")</f>
        <v>0.60996000000000006</v>
      </c>
      <c r="AA456" s="554"/>
      <c r="AB456" s="554"/>
      <c r="AC456" s="554"/>
    </row>
    <row r="457" spans="1:68" x14ac:dyDescent="0.2">
      <c r="A457" s="564"/>
      <c r="B457" s="564"/>
      <c r="C457" s="564"/>
      <c r="D457" s="564"/>
      <c r="E457" s="564"/>
      <c r="F457" s="564"/>
      <c r="G457" s="564"/>
      <c r="H457" s="564"/>
      <c r="I457" s="564"/>
      <c r="J457" s="564"/>
      <c r="K457" s="564"/>
      <c r="L457" s="564"/>
      <c r="M457" s="564"/>
      <c r="N457" s="564"/>
      <c r="O457" s="565"/>
      <c r="P457" s="568" t="s">
        <v>75</v>
      </c>
      <c r="Q457" s="569"/>
      <c r="R457" s="569"/>
      <c r="S457" s="569"/>
      <c r="T457" s="569"/>
      <c r="U457" s="569"/>
      <c r="V457" s="570"/>
      <c r="W457" s="37" t="s">
        <v>69</v>
      </c>
      <c r="X457" s="553">
        <f>IFERROR(SUM(X450:X455),"0")</f>
        <v>255</v>
      </c>
      <c r="Y457" s="553">
        <f>IFERROR(SUM(Y450:Y455),"0")</f>
        <v>269.28000000000003</v>
      </c>
      <c r="Z457" s="37"/>
      <c r="AA457" s="554"/>
      <c r="AB457" s="554"/>
      <c r="AC457" s="554"/>
    </row>
    <row r="458" spans="1:68" ht="14.25" hidden="1" customHeight="1" x14ac:dyDescent="0.25">
      <c r="A458" s="567" t="s">
        <v>77</v>
      </c>
      <c r="B458" s="564"/>
      <c r="C458" s="564"/>
      <c r="D458" s="564"/>
      <c r="E458" s="564"/>
      <c r="F458" s="564"/>
      <c r="G458" s="564"/>
      <c r="H458" s="564"/>
      <c r="I458" s="564"/>
      <c r="J458" s="564"/>
      <c r="K458" s="564"/>
      <c r="L458" s="564"/>
      <c r="M458" s="564"/>
      <c r="N458" s="564"/>
      <c r="O458" s="564"/>
      <c r="P458" s="564"/>
      <c r="Q458" s="564"/>
      <c r="R458" s="564"/>
      <c r="S458" s="564"/>
      <c r="T458" s="564"/>
      <c r="U458" s="564"/>
      <c r="V458" s="564"/>
      <c r="W458" s="564"/>
      <c r="X458" s="564"/>
      <c r="Y458" s="564"/>
      <c r="Z458" s="564"/>
      <c r="AA458" s="547"/>
      <c r="AB458" s="547"/>
      <c r="AC458" s="547"/>
    </row>
    <row r="459" spans="1:68" ht="27" hidden="1" customHeight="1" x14ac:dyDescent="0.25">
      <c r="A459" s="54" t="s">
        <v>713</v>
      </c>
      <c r="B459" s="54" t="s">
        <v>714</v>
      </c>
      <c r="C459" s="31">
        <v>4301051064</v>
      </c>
      <c r="D459" s="558">
        <v>4680115883536</v>
      </c>
      <c r="E459" s="559"/>
      <c r="F459" s="550">
        <v>0.3</v>
      </c>
      <c r="G459" s="32">
        <v>6</v>
      </c>
      <c r="H459" s="550">
        <v>1.8</v>
      </c>
      <c r="I459" s="550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5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6"/>
      <c r="R459" s="556"/>
      <c r="S459" s="556"/>
      <c r="T459" s="557"/>
      <c r="U459" s="34"/>
      <c r="V459" s="34"/>
      <c r="W459" s="35" t="s">
        <v>69</v>
      </c>
      <c r="X459" s="551">
        <v>0</v>
      </c>
      <c r="Y459" s="552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715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3"/>
      <c r="B460" s="564"/>
      <c r="C460" s="564"/>
      <c r="D460" s="564"/>
      <c r="E460" s="564"/>
      <c r="F460" s="564"/>
      <c r="G460" s="564"/>
      <c r="H460" s="564"/>
      <c r="I460" s="564"/>
      <c r="J460" s="564"/>
      <c r="K460" s="564"/>
      <c r="L460" s="564"/>
      <c r="M460" s="564"/>
      <c r="N460" s="564"/>
      <c r="O460" s="565"/>
      <c r="P460" s="568" t="s">
        <v>75</v>
      </c>
      <c r="Q460" s="569"/>
      <c r="R460" s="569"/>
      <c r="S460" s="569"/>
      <c r="T460" s="569"/>
      <c r="U460" s="569"/>
      <c r="V460" s="570"/>
      <c r="W460" s="37" t="s">
        <v>76</v>
      </c>
      <c r="X460" s="553">
        <f>IFERROR(X459/H459,"0")</f>
        <v>0</v>
      </c>
      <c r="Y460" s="553">
        <f>IFERROR(Y459/H459,"0")</f>
        <v>0</v>
      </c>
      <c r="Z460" s="553">
        <f>IFERROR(IF(Z459="",0,Z459),"0")</f>
        <v>0</v>
      </c>
      <c r="AA460" s="554"/>
      <c r="AB460" s="554"/>
      <c r="AC460" s="554"/>
    </row>
    <row r="461" spans="1:68" hidden="1" x14ac:dyDescent="0.2">
      <c r="A461" s="564"/>
      <c r="B461" s="564"/>
      <c r="C461" s="564"/>
      <c r="D461" s="564"/>
      <c r="E461" s="564"/>
      <c r="F461" s="564"/>
      <c r="G461" s="564"/>
      <c r="H461" s="564"/>
      <c r="I461" s="564"/>
      <c r="J461" s="564"/>
      <c r="K461" s="564"/>
      <c r="L461" s="564"/>
      <c r="M461" s="564"/>
      <c r="N461" s="564"/>
      <c r="O461" s="565"/>
      <c r="P461" s="568" t="s">
        <v>75</v>
      </c>
      <c r="Q461" s="569"/>
      <c r="R461" s="569"/>
      <c r="S461" s="569"/>
      <c r="T461" s="569"/>
      <c r="U461" s="569"/>
      <c r="V461" s="570"/>
      <c r="W461" s="37" t="s">
        <v>69</v>
      </c>
      <c r="X461" s="553">
        <f>IFERROR(SUM(X459:X459),"0")</f>
        <v>0</v>
      </c>
      <c r="Y461" s="553">
        <f>IFERROR(SUM(Y459:Y459),"0")</f>
        <v>0</v>
      </c>
      <c r="Z461" s="37"/>
      <c r="AA461" s="554"/>
      <c r="AB461" s="554"/>
      <c r="AC461" s="554"/>
    </row>
    <row r="462" spans="1:68" ht="27.75" hidden="1" customHeight="1" x14ac:dyDescent="0.2">
      <c r="A462" s="613" t="s">
        <v>716</v>
      </c>
      <c r="B462" s="614"/>
      <c r="C462" s="614"/>
      <c r="D462" s="614"/>
      <c r="E462" s="614"/>
      <c r="F462" s="614"/>
      <c r="G462" s="614"/>
      <c r="H462" s="614"/>
      <c r="I462" s="614"/>
      <c r="J462" s="614"/>
      <c r="K462" s="614"/>
      <c r="L462" s="614"/>
      <c r="M462" s="614"/>
      <c r="N462" s="614"/>
      <c r="O462" s="614"/>
      <c r="P462" s="614"/>
      <c r="Q462" s="614"/>
      <c r="R462" s="614"/>
      <c r="S462" s="614"/>
      <c r="T462" s="614"/>
      <c r="U462" s="614"/>
      <c r="V462" s="614"/>
      <c r="W462" s="614"/>
      <c r="X462" s="614"/>
      <c r="Y462" s="614"/>
      <c r="Z462" s="614"/>
      <c r="AA462" s="48"/>
      <c r="AB462" s="48"/>
      <c r="AC462" s="48"/>
    </row>
    <row r="463" spans="1:68" ht="16.5" hidden="1" customHeight="1" x14ac:dyDescent="0.25">
      <c r="A463" s="576" t="s">
        <v>716</v>
      </c>
      <c r="B463" s="564"/>
      <c r="C463" s="564"/>
      <c r="D463" s="564"/>
      <c r="E463" s="564"/>
      <c r="F463" s="564"/>
      <c r="G463" s="564"/>
      <c r="H463" s="564"/>
      <c r="I463" s="564"/>
      <c r="J463" s="564"/>
      <c r="K463" s="564"/>
      <c r="L463" s="564"/>
      <c r="M463" s="564"/>
      <c r="N463" s="564"/>
      <c r="O463" s="564"/>
      <c r="P463" s="564"/>
      <c r="Q463" s="564"/>
      <c r="R463" s="564"/>
      <c r="S463" s="564"/>
      <c r="T463" s="564"/>
      <c r="U463" s="564"/>
      <c r="V463" s="564"/>
      <c r="W463" s="564"/>
      <c r="X463" s="564"/>
      <c r="Y463" s="564"/>
      <c r="Z463" s="564"/>
      <c r="AA463" s="546"/>
      <c r="AB463" s="546"/>
      <c r="AC463" s="546"/>
    </row>
    <row r="464" spans="1:68" ht="14.25" hidden="1" customHeight="1" x14ac:dyDescent="0.25">
      <c r="A464" s="567" t="s">
        <v>101</v>
      </c>
      <c r="B464" s="564"/>
      <c r="C464" s="564"/>
      <c r="D464" s="564"/>
      <c r="E464" s="564"/>
      <c r="F464" s="564"/>
      <c r="G464" s="564"/>
      <c r="H464" s="564"/>
      <c r="I464" s="564"/>
      <c r="J464" s="564"/>
      <c r="K464" s="564"/>
      <c r="L464" s="564"/>
      <c r="M464" s="564"/>
      <c r="N464" s="564"/>
      <c r="O464" s="564"/>
      <c r="P464" s="564"/>
      <c r="Q464" s="564"/>
      <c r="R464" s="564"/>
      <c r="S464" s="564"/>
      <c r="T464" s="564"/>
      <c r="U464" s="564"/>
      <c r="V464" s="564"/>
      <c r="W464" s="564"/>
      <c r="X464" s="564"/>
      <c r="Y464" s="564"/>
      <c r="Z464" s="564"/>
      <c r="AA464" s="547"/>
      <c r="AB464" s="547"/>
      <c r="AC464" s="547"/>
    </row>
    <row r="465" spans="1:68" ht="27" hidden="1" customHeight="1" x14ac:dyDescent="0.25">
      <c r="A465" s="54" t="s">
        <v>717</v>
      </c>
      <c r="B465" s="54" t="s">
        <v>718</v>
      </c>
      <c r="C465" s="31">
        <v>4301011763</v>
      </c>
      <c r="D465" s="558">
        <v>4640242181011</v>
      </c>
      <c r="E465" s="559"/>
      <c r="F465" s="550">
        <v>1.35</v>
      </c>
      <c r="G465" s="32">
        <v>8</v>
      </c>
      <c r="H465" s="550">
        <v>10.8</v>
      </c>
      <c r="I465" s="550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1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6"/>
      <c r="R465" s="556"/>
      <c r="S465" s="556"/>
      <c r="T465" s="557"/>
      <c r="U465" s="34"/>
      <c r="V465" s="34"/>
      <c r="W465" s="35" t="s">
        <v>69</v>
      </c>
      <c r="X465" s="551">
        <v>0</v>
      </c>
      <c r="Y465" s="55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720</v>
      </c>
      <c r="B466" s="54" t="s">
        <v>721</v>
      </c>
      <c r="C466" s="31">
        <v>4301011585</v>
      </c>
      <c r="D466" s="558">
        <v>4640242180441</v>
      </c>
      <c r="E466" s="559"/>
      <c r="F466" s="550">
        <v>1.5</v>
      </c>
      <c r="G466" s="32">
        <v>8</v>
      </c>
      <c r="H466" s="550">
        <v>12</v>
      </c>
      <c r="I466" s="550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6"/>
      <c r="R466" s="556"/>
      <c r="S466" s="556"/>
      <c r="T466" s="557"/>
      <c r="U466" s="34"/>
      <c r="V466" s="34"/>
      <c r="W466" s="35" t="s">
        <v>69</v>
      </c>
      <c r="X466" s="551">
        <v>0</v>
      </c>
      <c r="Y466" s="55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723</v>
      </c>
      <c r="B467" s="54" t="s">
        <v>724</v>
      </c>
      <c r="C467" s="31">
        <v>4301011584</v>
      </c>
      <c r="D467" s="558">
        <v>4640242180564</v>
      </c>
      <c r="E467" s="559"/>
      <c r="F467" s="550">
        <v>1.5</v>
      </c>
      <c r="G467" s="32">
        <v>8</v>
      </c>
      <c r="H467" s="550">
        <v>12</v>
      </c>
      <c r="I467" s="550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69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6"/>
      <c r="R467" s="556"/>
      <c r="S467" s="556"/>
      <c r="T467" s="557"/>
      <c r="U467" s="34"/>
      <c r="V467" s="34"/>
      <c r="W467" s="35" t="s">
        <v>69</v>
      </c>
      <c r="X467" s="551">
        <v>120</v>
      </c>
      <c r="Y467" s="552">
        <f>IFERROR(IF(X467="",0,CEILING((X467/$H467),1)*$H467),"")</f>
        <v>120</v>
      </c>
      <c r="Z467" s="36">
        <f>IFERROR(IF(Y467=0,"",ROUNDUP(Y467/H467,0)*0.01898),"")</f>
        <v>0.1898</v>
      </c>
      <c r="AA467" s="56"/>
      <c r="AB467" s="57"/>
      <c r="AC467" s="525" t="s">
        <v>725</v>
      </c>
      <c r="AG467" s="64"/>
      <c r="AJ467" s="68" t="s">
        <v>92</v>
      </c>
      <c r="AK467" s="68">
        <v>96</v>
      </c>
      <c r="BB467" s="526" t="s">
        <v>1</v>
      </c>
      <c r="BM467" s="64">
        <f>IFERROR(X467*I467/H467,"0")</f>
        <v>124.10000000000001</v>
      </c>
      <c r="BN467" s="64">
        <f>IFERROR(Y467*I467/H467,"0")</f>
        <v>124.10000000000001</v>
      </c>
      <c r="BO467" s="64">
        <f>IFERROR(1/J467*(X467/H467),"0")</f>
        <v>0.15625</v>
      </c>
      <c r="BP467" s="64">
        <f>IFERROR(1/J467*(Y467/H467),"0")</f>
        <v>0.15625</v>
      </c>
    </row>
    <row r="468" spans="1:68" ht="27" hidden="1" customHeight="1" x14ac:dyDescent="0.25">
      <c r="A468" s="54" t="s">
        <v>726</v>
      </c>
      <c r="B468" s="54" t="s">
        <v>727</v>
      </c>
      <c r="C468" s="31">
        <v>4301011764</v>
      </c>
      <c r="D468" s="558">
        <v>4640242181189</v>
      </c>
      <c r="E468" s="559"/>
      <c r="F468" s="550">
        <v>0.4</v>
      </c>
      <c r="G468" s="32">
        <v>10</v>
      </c>
      <c r="H468" s="550">
        <v>4</v>
      </c>
      <c r="I468" s="550">
        <v>4.1900000000000004</v>
      </c>
      <c r="J468" s="32">
        <v>132</v>
      </c>
      <c r="K468" s="32" t="s">
        <v>110</v>
      </c>
      <c r="L468" s="32"/>
      <c r="M468" s="33" t="s">
        <v>80</v>
      </c>
      <c r="N468" s="33"/>
      <c r="O468" s="32">
        <v>55</v>
      </c>
      <c r="P468" s="5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6"/>
      <c r="R468" s="556"/>
      <c r="S468" s="556"/>
      <c r="T468" s="557"/>
      <c r="U468" s="34"/>
      <c r="V468" s="34"/>
      <c r="W468" s="35" t="s">
        <v>69</v>
      </c>
      <c r="X468" s="551">
        <v>0</v>
      </c>
      <c r="Y468" s="552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719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3"/>
      <c r="B469" s="564"/>
      <c r="C469" s="564"/>
      <c r="D469" s="564"/>
      <c r="E469" s="564"/>
      <c r="F469" s="564"/>
      <c r="G469" s="564"/>
      <c r="H469" s="564"/>
      <c r="I469" s="564"/>
      <c r="J469" s="564"/>
      <c r="K469" s="564"/>
      <c r="L469" s="564"/>
      <c r="M469" s="564"/>
      <c r="N469" s="564"/>
      <c r="O469" s="565"/>
      <c r="P469" s="568" t="s">
        <v>75</v>
      </c>
      <c r="Q469" s="569"/>
      <c r="R469" s="569"/>
      <c r="S469" s="569"/>
      <c r="T469" s="569"/>
      <c r="U469" s="569"/>
      <c r="V469" s="570"/>
      <c r="W469" s="37" t="s">
        <v>76</v>
      </c>
      <c r="X469" s="553">
        <f>IFERROR(X465/H465,"0")+IFERROR(X466/H466,"0")+IFERROR(X467/H467,"0")+IFERROR(X468/H468,"0")</f>
        <v>10</v>
      </c>
      <c r="Y469" s="553">
        <f>IFERROR(Y465/H465,"0")+IFERROR(Y466/H466,"0")+IFERROR(Y467/H467,"0")+IFERROR(Y468/H468,"0")</f>
        <v>10</v>
      </c>
      <c r="Z469" s="553">
        <f>IFERROR(IF(Z465="",0,Z465),"0")+IFERROR(IF(Z466="",0,Z466),"0")+IFERROR(IF(Z467="",0,Z467),"0")+IFERROR(IF(Z468="",0,Z468),"0")</f>
        <v>0.1898</v>
      </c>
      <c r="AA469" s="554"/>
      <c r="AB469" s="554"/>
      <c r="AC469" s="554"/>
    </row>
    <row r="470" spans="1:68" x14ac:dyDescent="0.2">
      <c r="A470" s="564"/>
      <c r="B470" s="564"/>
      <c r="C470" s="564"/>
      <c r="D470" s="564"/>
      <c r="E470" s="564"/>
      <c r="F470" s="564"/>
      <c r="G470" s="564"/>
      <c r="H470" s="564"/>
      <c r="I470" s="564"/>
      <c r="J470" s="564"/>
      <c r="K470" s="564"/>
      <c r="L470" s="564"/>
      <c r="M470" s="564"/>
      <c r="N470" s="564"/>
      <c r="O470" s="565"/>
      <c r="P470" s="568" t="s">
        <v>75</v>
      </c>
      <c r="Q470" s="569"/>
      <c r="R470" s="569"/>
      <c r="S470" s="569"/>
      <c r="T470" s="569"/>
      <c r="U470" s="569"/>
      <c r="V470" s="570"/>
      <c r="W470" s="37" t="s">
        <v>69</v>
      </c>
      <c r="X470" s="553">
        <f>IFERROR(SUM(X465:X468),"0")</f>
        <v>120</v>
      </c>
      <c r="Y470" s="553">
        <f>IFERROR(SUM(Y465:Y468),"0")</f>
        <v>120</v>
      </c>
      <c r="Z470" s="37"/>
      <c r="AA470" s="554"/>
      <c r="AB470" s="554"/>
      <c r="AC470" s="554"/>
    </row>
    <row r="471" spans="1:68" ht="14.25" hidden="1" customHeight="1" x14ac:dyDescent="0.25">
      <c r="A471" s="567" t="s">
        <v>136</v>
      </c>
      <c r="B471" s="564"/>
      <c r="C471" s="564"/>
      <c r="D471" s="564"/>
      <c r="E471" s="564"/>
      <c r="F471" s="564"/>
      <c r="G471" s="564"/>
      <c r="H471" s="564"/>
      <c r="I471" s="564"/>
      <c r="J471" s="564"/>
      <c r="K471" s="564"/>
      <c r="L471" s="564"/>
      <c r="M471" s="564"/>
      <c r="N471" s="564"/>
      <c r="O471" s="564"/>
      <c r="P471" s="564"/>
      <c r="Q471" s="564"/>
      <c r="R471" s="564"/>
      <c r="S471" s="564"/>
      <c r="T471" s="564"/>
      <c r="U471" s="564"/>
      <c r="V471" s="564"/>
      <c r="W471" s="564"/>
      <c r="X471" s="564"/>
      <c r="Y471" s="564"/>
      <c r="Z471" s="564"/>
      <c r="AA471" s="547"/>
      <c r="AB471" s="547"/>
      <c r="AC471" s="547"/>
    </row>
    <row r="472" spans="1:68" ht="27" hidden="1" customHeight="1" x14ac:dyDescent="0.25">
      <c r="A472" s="54" t="s">
        <v>728</v>
      </c>
      <c r="B472" s="54" t="s">
        <v>729</v>
      </c>
      <c r="C472" s="31">
        <v>4301020400</v>
      </c>
      <c r="D472" s="558">
        <v>4640242180519</v>
      </c>
      <c r="E472" s="559"/>
      <c r="F472" s="550">
        <v>1.5</v>
      </c>
      <c r="G472" s="32">
        <v>8</v>
      </c>
      <c r="H472" s="550">
        <v>12</v>
      </c>
      <c r="I472" s="550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6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6"/>
      <c r="R472" s="556"/>
      <c r="S472" s="556"/>
      <c r="T472" s="557"/>
      <c r="U472" s="34"/>
      <c r="V472" s="34"/>
      <c r="W472" s="35" t="s">
        <v>69</v>
      </c>
      <c r="X472" s="551">
        <v>0</v>
      </c>
      <c r="Y472" s="552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731</v>
      </c>
      <c r="B473" s="54" t="s">
        <v>732</v>
      </c>
      <c r="C473" s="31">
        <v>4301020260</v>
      </c>
      <c r="D473" s="558">
        <v>4640242180526</v>
      </c>
      <c r="E473" s="559"/>
      <c r="F473" s="550">
        <v>1.8</v>
      </c>
      <c r="G473" s="32">
        <v>6</v>
      </c>
      <c r="H473" s="550">
        <v>10.8</v>
      </c>
      <c r="I473" s="550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1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6"/>
      <c r="R473" s="556"/>
      <c r="S473" s="556"/>
      <c r="T473" s="557"/>
      <c r="U473" s="34"/>
      <c r="V473" s="34"/>
      <c r="W473" s="35" t="s">
        <v>69</v>
      </c>
      <c r="X473" s="551">
        <v>0</v>
      </c>
      <c r="Y473" s="552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733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3"/>
      <c r="B474" s="564"/>
      <c r="C474" s="564"/>
      <c r="D474" s="564"/>
      <c r="E474" s="564"/>
      <c r="F474" s="564"/>
      <c r="G474" s="564"/>
      <c r="H474" s="564"/>
      <c r="I474" s="564"/>
      <c r="J474" s="564"/>
      <c r="K474" s="564"/>
      <c r="L474" s="564"/>
      <c r="M474" s="564"/>
      <c r="N474" s="564"/>
      <c r="O474" s="565"/>
      <c r="P474" s="568" t="s">
        <v>75</v>
      </c>
      <c r="Q474" s="569"/>
      <c r="R474" s="569"/>
      <c r="S474" s="569"/>
      <c r="T474" s="569"/>
      <c r="U474" s="569"/>
      <c r="V474" s="570"/>
      <c r="W474" s="37" t="s">
        <v>76</v>
      </c>
      <c r="X474" s="553">
        <f>IFERROR(X472/H472,"0")+IFERROR(X473/H473,"0")</f>
        <v>0</v>
      </c>
      <c r="Y474" s="553">
        <f>IFERROR(Y472/H472,"0")+IFERROR(Y473/H473,"0")</f>
        <v>0</v>
      </c>
      <c r="Z474" s="553">
        <f>IFERROR(IF(Z472="",0,Z472),"0")+IFERROR(IF(Z473="",0,Z473),"0")</f>
        <v>0</v>
      </c>
      <c r="AA474" s="554"/>
      <c r="AB474" s="554"/>
      <c r="AC474" s="554"/>
    </row>
    <row r="475" spans="1:68" hidden="1" x14ac:dyDescent="0.2">
      <c r="A475" s="564"/>
      <c r="B475" s="564"/>
      <c r="C475" s="564"/>
      <c r="D475" s="564"/>
      <c r="E475" s="564"/>
      <c r="F475" s="564"/>
      <c r="G475" s="564"/>
      <c r="H475" s="564"/>
      <c r="I475" s="564"/>
      <c r="J475" s="564"/>
      <c r="K475" s="564"/>
      <c r="L475" s="564"/>
      <c r="M475" s="564"/>
      <c r="N475" s="564"/>
      <c r="O475" s="565"/>
      <c r="P475" s="568" t="s">
        <v>75</v>
      </c>
      <c r="Q475" s="569"/>
      <c r="R475" s="569"/>
      <c r="S475" s="569"/>
      <c r="T475" s="569"/>
      <c r="U475" s="569"/>
      <c r="V475" s="570"/>
      <c r="W475" s="37" t="s">
        <v>69</v>
      </c>
      <c r="X475" s="553">
        <f>IFERROR(SUM(X472:X473),"0")</f>
        <v>0</v>
      </c>
      <c r="Y475" s="553">
        <f>IFERROR(SUM(Y472:Y473),"0")</f>
        <v>0</v>
      </c>
      <c r="Z475" s="37"/>
      <c r="AA475" s="554"/>
      <c r="AB475" s="554"/>
      <c r="AC475" s="554"/>
    </row>
    <row r="476" spans="1:68" ht="14.25" hidden="1" customHeight="1" x14ac:dyDescent="0.25">
      <c r="A476" s="567" t="s">
        <v>64</v>
      </c>
      <c r="B476" s="564"/>
      <c r="C476" s="564"/>
      <c r="D476" s="564"/>
      <c r="E476" s="564"/>
      <c r="F476" s="564"/>
      <c r="G476" s="564"/>
      <c r="H476" s="564"/>
      <c r="I476" s="564"/>
      <c r="J476" s="564"/>
      <c r="K476" s="564"/>
      <c r="L476" s="564"/>
      <c r="M476" s="564"/>
      <c r="N476" s="564"/>
      <c r="O476" s="564"/>
      <c r="P476" s="564"/>
      <c r="Q476" s="564"/>
      <c r="R476" s="564"/>
      <c r="S476" s="564"/>
      <c r="T476" s="564"/>
      <c r="U476" s="564"/>
      <c r="V476" s="564"/>
      <c r="W476" s="564"/>
      <c r="X476" s="564"/>
      <c r="Y476" s="564"/>
      <c r="Z476" s="564"/>
      <c r="AA476" s="547"/>
      <c r="AB476" s="547"/>
      <c r="AC476" s="547"/>
    </row>
    <row r="477" spans="1:68" ht="27" customHeight="1" x14ac:dyDescent="0.25">
      <c r="A477" s="54" t="s">
        <v>734</v>
      </c>
      <c r="B477" s="54" t="s">
        <v>735</v>
      </c>
      <c r="C477" s="31">
        <v>4301031467</v>
      </c>
      <c r="D477" s="558">
        <v>4640242180595</v>
      </c>
      <c r="E477" s="559"/>
      <c r="F477" s="550">
        <v>0.8</v>
      </c>
      <c r="G477" s="32">
        <v>6</v>
      </c>
      <c r="H477" s="550">
        <v>4.8</v>
      </c>
      <c r="I477" s="550">
        <v>5.05</v>
      </c>
      <c r="J477" s="32">
        <v>132</v>
      </c>
      <c r="K477" s="32" t="s">
        <v>110</v>
      </c>
      <c r="L477" s="32"/>
      <c r="M477" s="33" t="s">
        <v>68</v>
      </c>
      <c r="N477" s="33"/>
      <c r="O477" s="32">
        <v>40</v>
      </c>
      <c r="P477" s="75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7" s="556"/>
      <c r="R477" s="556"/>
      <c r="S477" s="556"/>
      <c r="T477" s="557"/>
      <c r="U477" s="34"/>
      <c r="V477" s="34"/>
      <c r="W477" s="35" t="s">
        <v>69</v>
      </c>
      <c r="X477" s="551">
        <v>60</v>
      </c>
      <c r="Y477" s="552">
        <f>IFERROR(IF(X477="",0,CEILING((X477/$H477),1)*$H477),"")</f>
        <v>62.4</v>
      </c>
      <c r="Z477" s="36">
        <f>IFERROR(IF(Y477=0,"",ROUNDUP(Y477/H477,0)*0.00902),"")</f>
        <v>0.11726</v>
      </c>
      <c r="AA477" s="56"/>
      <c r="AB477" s="57"/>
      <c r="AC477" s="533" t="s">
        <v>736</v>
      </c>
      <c r="AG477" s="64"/>
      <c r="AJ477" s="68"/>
      <c r="AK477" s="68">
        <v>0</v>
      </c>
      <c r="BB477" s="534" t="s">
        <v>1</v>
      </c>
      <c r="BM477" s="64">
        <f>IFERROR(X477*I477/H477,"0")</f>
        <v>63.125</v>
      </c>
      <c r="BN477" s="64">
        <f>IFERROR(Y477*I477/H477,"0")</f>
        <v>65.650000000000006</v>
      </c>
      <c r="BO477" s="64">
        <f>IFERROR(1/J477*(X477/H477),"0")</f>
        <v>9.4696969696969696E-2</v>
      </c>
      <c r="BP477" s="64">
        <f>IFERROR(1/J477*(Y477/H477),"0")</f>
        <v>9.8484848484848481E-2</v>
      </c>
    </row>
    <row r="478" spans="1:68" x14ac:dyDescent="0.2">
      <c r="A478" s="563"/>
      <c r="B478" s="564"/>
      <c r="C478" s="564"/>
      <c r="D478" s="564"/>
      <c r="E478" s="564"/>
      <c r="F478" s="564"/>
      <c r="G478" s="564"/>
      <c r="H478" s="564"/>
      <c r="I478" s="564"/>
      <c r="J478" s="564"/>
      <c r="K478" s="564"/>
      <c r="L478" s="564"/>
      <c r="M478" s="564"/>
      <c r="N478" s="564"/>
      <c r="O478" s="565"/>
      <c r="P478" s="568" t="s">
        <v>75</v>
      </c>
      <c r="Q478" s="569"/>
      <c r="R478" s="569"/>
      <c r="S478" s="569"/>
      <c r="T478" s="569"/>
      <c r="U478" s="569"/>
      <c r="V478" s="570"/>
      <c r="W478" s="37" t="s">
        <v>76</v>
      </c>
      <c r="X478" s="553">
        <f>IFERROR(X477/H477,"0")</f>
        <v>12.5</v>
      </c>
      <c r="Y478" s="553">
        <f>IFERROR(Y477/H477,"0")</f>
        <v>13</v>
      </c>
      <c r="Z478" s="553">
        <f>IFERROR(IF(Z477="",0,Z477),"0")</f>
        <v>0.11726</v>
      </c>
      <c r="AA478" s="554"/>
      <c r="AB478" s="554"/>
      <c r="AC478" s="554"/>
    </row>
    <row r="479" spans="1:68" x14ac:dyDescent="0.2">
      <c r="A479" s="564"/>
      <c r="B479" s="564"/>
      <c r="C479" s="564"/>
      <c r="D479" s="564"/>
      <c r="E479" s="564"/>
      <c r="F479" s="564"/>
      <c r="G479" s="564"/>
      <c r="H479" s="564"/>
      <c r="I479" s="564"/>
      <c r="J479" s="564"/>
      <c r="K479" s="564"/>
      <c r="L479" s="564"/>
      <c r="M479" s="564"/>
      <c r="N479" s="564"/>
      <c r="O479" s="565"/>
      <c r="P479" s="568" t="s">
        <v>75</v>
      </c>
      <c r="Q479" s="569"/>
      <c r="R479" s="569"/>
      <c r="S479" s="569"/>
      <c r="T479" s="569"/>
      <c r="U479" s="569"/>
      <c r="V479" s="570"/>
      <c r="W479" s="37" t="s">
        <v>69</v>
      </c>
      <c r="X479" s="553">
        <f>IFERROR(SUM(X477:X477),"0")</f>
        <v>60</v>
      </c>
      <c r="Y479" s="553">
        <f>IFERROR(SUM(Y477:Y477),"0")</f>
        <v>62.4</v>
      </c>
      <c r="Z479" s="37"/>
      <c r="AA479" s="554"/>
      <c r="AB479" s="554"/>
      <c r="AC479" s="554"/>
    </row>
    <row r="480" spans="1:68" ht="14.25" hidden="1" customHeight="1" x14ac:dyDescent="0.25">
      <c r="A480" s="567" t="s">
        <v>77</v>
      </c>
      <c r="B480" s="564"/>
      <c r="C480" s="564"/>
      <c r="D480" s="564"/>
      <c r="E480" s="564"/>
      <c r="F480" s="564"/>
      <c r="G480" s="564"/>
      <c r="H480" s="564"/>
      <c r="I480" s="564"/>
      <c r="J480" s="564"/>
      <c r="K480" s="564"/>
      <c r="L480" s="564"/>
      <c r="M480" s="564"/>
      <c r="N480" s="564"/>
      <c r="O480" s="564"/>
      <c r="P480" s="564"/>
      <c r="Q480" s="564"/>
      <c r="R480" s="564"/>
      <c r="S480" s="564"/>
      <c r="T480" s="564"/>
      <c r="U480" s="564"/>
      <c r="V480" s="564"/>
      <c r="W480" s="564"/>
      <c r="X480" s="564"/>
      <c r="Y480" s="564"/>
      <c r="Z480" s="564"/>
      <c r="AA480" s="547"/>
      <c r="AB480" s="547"/>
      <c r="AC480" s="547"/>
    </row>
    <row r="481" spans="1:68" ht="27" hidden="1" customHeight="1" x14ac:dyDescent="0.25">
      <c r="A481" s="54" t="s">
        <v>737</v>
      </c>
      <c r="B481" s="54" t="s">
        <v>738</v>
      </c>
      <c r="C481" s="31">
        <v>4301052046</v>
      </c>
      <c r="D481" s="558">
        <v>4640242180533</v>
      </c>
      <c r="E481" s="559"/>
      <c r="F481" s="550">
        <v>1.5</v>
      </c>
      <c r="G481" s="32">
        <v>6</v>
      </c>
      <c r="H481" s="550">
        <v>9</v>
      </c>
      <c r="I481" s="550">
        <v>9.4939999999999998</v>
      </c>
      <c r="J481" s="32">
        <v>64</v>
      </c>
      <c r="K481" s="32" t="s">
        <v>104</v>
      </c>
      <c r="L481" s="32" t="s">
        <v>105</v>
      </c>
      <c r="M481" s="33" t="s">
        <v>86</v>
      </c>
      <c r="N481" s="33"/>
      <c r="O481" s="32">
        <v>45</v>
      </c>
      <c r="P481" s="67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1" s="556"/>
      <c r="R481" s="556"/>
      <c r="S481" s="556"/>
      <c r="T481" s="557"/>
      <c r="U481" s="34"/>
      <c r="V481" s="34"/>
      <c r="W481" s="35" t="s">
        <v>69</v>
      </c>
      <c r="X481" s="551">
        <v>0</v>
      </c>
      <c r="Y481" s="55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35" t="s">
        <v>739</v>
      </c>
      <c r="AG481" s="64"/>
      <c r="AJ481" s="68" t="s">
        <v>92</v>
      </c>
      <c r="AK481" s="68">
        <v>72</v>
      </c>
      <c r="BB481" s="536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63"/>
      <c r="B482" s="564"/>
      <c r="C482" s="564"/>
      <c r="D482" s="564"/>
      <c r="E482" s="564"/>
      <c r="F482" s="564"/>
      <c r="G482" s="564"/>
      <c r="H482" s="564"/>
      <c r="I482" s="564"/>
      <c r="J482" s="564"/>
      <c r="K482" s="564"/>
      <c r="L482" s="564"/>
      <c r="M482" s="564"/>
      <c r="N482" s="564"/>
      <c r="O482" s="565"/>
      <c r="P482" s="568" t="s">
        <v>75</v>
      </c>
      <c r="Q482" s="569"/>
      <c r="R482" s="569"/>
      <c r="S482" s="569"/>
      <c r="T482" s="569"/>
      <c r="U482" s="569"/>
      <c r="V482" s="570"/>
      <c r="W482" s="37" t="s">
        <v>76</v>
      </c>
      <c r="X482" s="553">
        <f>IFERROR(X481/H481,"0")</f>
        <v>0</v>
      </c>
      <c r="Y482" s="553">
        <f>IFERROR(Y481/H481,"0")</f>
        <v>0</v>
      </c>
      <c r="Z482" s="553">
        <f>IFERROR(IF(Z481="",0,Z481),"0")</f>
        <v>0</v>
      </c>
      <c r="AA482" s="554"/>
      <c r="AB482" s="554"/>
      <c r="AC482" s="554"/>
    </row>
    <row r="483" spans="1:68" hidden="1" x14ac:dyDescent="0.2">
      <c r="A483" s="564"/>
      <c r="B483" s="564"/>
      <c r="C483" s="564"/>
      <c r="D483" s="564"/>
      <c r="E483" s="564"/>
      <c r="F483" s="564"/>
      <c r="G483" s="564"/>
      <c r="H483" s="564"/>
      <c r="I483" s="564"/>
      <c r="J483" s="564"/>
      <c r="K483" s="564"/>
      <c r="L483" s="564"/>
      <c r="M483" s="564"/>
      <c r="N483" s="564"/>
      <c r="O483" s="565"/>
      <c r="P483" s="568" t="s">
        <v>75</v>
      </c>
      <c r="Q483" s="569"/>
      <c r="R483" s="569"/>
      <c r="S483" s="569"/>
      <c r="T483" s="569"/>
      <c r="U483" s="569"/>
      <c r="V483" s="570"/>
      <c r="W483" s="37" t="s">
        <v>69</v>
      </c>
      <c r="X483" s="553">
        <f>IFERROR(SUM(X481:X481),"0")</f>
        <v>0</v>
      </c>
      <c r="Y483" s="553">
        <f>IFERROR(SUM(Y481:Y481),"0")</f>
        <v>0</v>
      </c>
      <c r="Z483" s="37"/>
      <c r="AA483" s="554"/>
      <c r="AB483" s="554"/>
      <c r="AC483" s="554"/>
    </row>
    <row r="484" spans="1:68" ht="14.25" hidden="1" customHeight="1" x14ac:dyDescent="0.25">
      <c r="A484" s="567" t="s">
        <v>161</v>
      </c>
      <c r="B484" s="564"/>
      <c r="C484" s="564"/>
      <c r="D484" s="564"/>
      <c r="E484" s="564"/>
      <c r="F484" s="564"/>
      <c r="G484" s="564"/>
      <c r="H484" s="564"/>
      <c r="I484" s="564"/>
      <c r="J484" s="564"/>
      <c r="K484" s="564"/>
      <c r="L484" s="564"/>
      <c r="M484" s="564"/>
      <c r="N484" s="564"/>
      <c r="O484" s="564"/>
      <c r="P484" s="564"/>
      <c r="Q484" s="564"/>
      <c r="R484" s="564"/>
      <c r="S484" s="564"/>
      <c r="T484" s="564"/>
      <c r="U484" s="564"/>
      <c r="V484" s="564"/>
      <c r="W484" s="564"/>
      <c r="X484" s="564"/>
      <c r="Y484" s="564"/>
      <c r="Z484" s="564"/>
      <c r="AA484" s="547"/>
      <c r="AB484" s="547"/>
      <c r="AC484" s="547"/>
    </row>
    <row r="485" spans="1:68" ht="27" hidden="1" customHeight="1" x14ac:dyDescent="0.25">
      <c r="A485" s="54" t="s">
        <v>740</v>
      </c>
      <c r="B485" s="54" t="s">
        <v>741</v>
      </c>
      <c r="C485" s="31">
        <v>4301060491</v>
      </c>
      <c r="D485" s="558">
        <v>4640242180120</v>
      </c>
      <c r="E485" s="559"/>
      <c r="F485" s="550">
        <v>1.5</v>
      </c>
      <c r="G485" s="32">
        <v>6</v>
      </c>
      <c r="H485" s="550">
        <v>9</v>
      </c>
      <c r="I485" s="550">
        <v>9.41</v>
      </c>
      <c r="J485" s="32">
        <v>64</v>
      </c>
      <c r="K485" s="32" t="s">
        <v>104</v>
      </c>
      <c r="L485" s="32"/>
      <c r="M485" s="33" t="s">
        <v>80</v>
      </c>
      <c r="N485" s="33"/>
      <c r="O485" s="32">
        <v>40</v>
      </c>
      <c r="P485" s="7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5" s="556"/>
      <c r="R485" s="556"/>
      <c r="S485" s="556"/>
      <c r="T485" s="557"/>
      <c r="U485" s="34"/>
      <c r="V485" s="34"/>
      <c r="W485" s="35" t="s">
        <v>69</v>
      </c>
      <c r="X485" s="551">
        <v>0</v>
      </c>
      <c r="Y485" s="552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743</v>
      </c>
      <c r="B486" s="54" t="s">
        <v>744</v>
      </c>
      <c r="C486" s="31">
        <v>4301060493</v>
      </c>
      <c r="D486" s="558">
        <v>4640242180137</v>
      </c>
      <c r="E486" s="559"/>
      <c r="F486" s="550">
        <v>1.5</v>
      </c>
      <c r="G486" s="32">
        <v>6</v>
      </c>
      <c r="H486" s="550">
        <v>9</v>
      </c>
      <c r="I486" s="550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3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6" s="556"/>
      <c r="R486" s="556"/>
      <c r="S486" s="556"/>
      <c r="T486" s="557"/>
      <c r="U486" s="34"/>
      <c r="V486" s="34"/>
      <c r="W486" s="35" t="s">
        <v>69</v>
      </c>
      <c r="X486" s="551">
        <v>0</v>
      </c>
      <c r="Y486" s="55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745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63"/>
      <c r="B487" s="564"/>
      <c r="C487" s="564"/>
      <c r="D487" s="564"/>
      <c r="E487" s="564"/>
      <c r="F487" s="564"/>
      <c r="G487" s="564"/>
      <c r="H487" s="564"/>
      <c r="I487" s="564"/>
      <c r="J487" s="564"/>
      <c r="K487" s="564"/>
      <c r="L487" s="564"/>
      <c r="M487" s="564"/>
      <c r="N487" s="564"/>
      <c r="O487" s="565"/>
      <c r="P487" s="568" t="s">
        <v>75</v>
      </c>
      <c r="Q487" s="569"/>
      <c r="R487" s="569"/>
      <c r="S487" s="569"/>
      <c r="T487" s="569"/>
      <c r="U487" s="569"/>
      <c r="V487" s="570"/>
      <c r="W487" s="37" t="s">
        <v>76</v>
      </c>
      <c r="X487" s="553">
        <f>IFERROR(X485/H485,"0")+IFERROR(X486/H486,"0")</f>
        <v>0</v>
      </c>
      <c r="Y487" s="553">
        <f>IFERROR(Y485/H485,"0")+IFERROR(Y486/H486,"0")</f>
        <v>0</v>
      </c>
      <c r="Z487" s="553">
        <f>IFERROR(IF(Z485="",0,Z485),"0")+IFERROR(IF(Z486="",0,Z486),"0")</f>
        <v>0</v>
      </c>
      <c r="AA487" s="554"/>
      <c r="AB487" s="554"/>
      <c r="AC487" s="554"/>
    </row>
    <row r="488" spans="1:68" hidden="1" x14ac:dyDescent="0.2">
      <c r="A488" s="564"/>
      <c r="B488" s="564"/>
      <c r="C488" s="564"/>
      <c r="D488" s="564"/>
      <c r="E488" s="564"/>
      <c r="F488" s="564"/>
      <c r="G488" s="564"/>
      <c r="H488" s="564"/>
      <c r="I488" s="564"/>
      <c r="J488" s="564"/>
      <c r="K488" s="564"/>
      <c r="L488" s="564"/>
      <c r="M488" s="564"/>
      <c r="N488" s="564"/>
      <c r="O488" s="565"/>
      <c r="P488" s="568" t="s">
        <v>75</v>
      </c>
      <c r="Q488" s="569"/>
      <c r="R488" s="569"/>
      <c r="S488" s="569"/>
      <c r="T488" s="569"/>
      <c r="U488" s="569"/>
      <c r="V488" s="570"/>
      <c r="W488" s="37" t="s">
        <v>69</v>
      </c>
      <c r="X488" s="553">
        <f>IFERROR(SUM(X485:X486),"0")</f>
        <v>0</v>
      </c>
      <c r="Y488" s="553">
        <f>IFERROR(SUM(Y485:Y486),"0")</f>
        <v>0</v>
      </c>
      <c r="Z488" s="37"/>
      <c r="AA488" s="554"/>
      <c r="AB488" s="554"/>
      <c r="AC488" s="554"/>
    </row>
    <row r="489" spans="1:68" ht="16.5" hidden="1" customHeight="1" x14ac:dyDescent="0.25">
      <c r="A489" s="576" t="s">
        <v>746</v>
      </c>
      <c r="B489" s="564"/>
      <c r="C489" s="564"/>
      <c r="D489" s="564"/>
      <c r="E489" s="564"/>
      <c r="F489" s="564"/>
      <c r="G489" s="564"/>
      <c r="H489" s="564"/>
      <c r="I489" s="564"/>
      <c r="J489" s="564"/>
      <c r="K489" s="564"/>
      <c r="L489" s="564"/>
      <c r="M489" s="564"/>
      <c r="N489" s="564"/>
      <c r="O489" s="564"/>
      <c r="P489" s="564"/>
      <c r="Q489" s="564"/>
      <c r="R489" s="564"/>
      <c r="S489" s="564"/>
      <c r="T489" s="564"/>
      <c r="U489" s="564"/>
      <c r="V489" s="564"/>
      <c r="W489" s="564"/>
      <c r="X489" s="564"/>
      <c r="Y489" s="564"/>
      <c r="Z489" s="564"/>
      <c r="AA489" s="546"/>
      <c r="AB489" s="546"/>
      <c r="AC489" s="546"/>
    </row>
    <row r="490" spans="1:68" ht="14.25" hidden="1" customHeight="1" x14ac:dyDescent="0.25">
      <c r="A490" s="567" t="s">
        <v>136</v>
      </c>
      <c r="B490" s="564"/>
      <c r="C490" s="564"/>
      <c r="D490" s="564"/>
      <c r="E490" s="564"/>
      <c r="F490" s="564"/>
      <c r="G490" s="564"/>
      <c r="H490" s="564"/>
      <c r="I490" s="564"/>
      <c r="J490" s="564"/>
      <c r="K490" s="564"/>
      <c r="L490" s="564"/>
      <c r="M490" s="564"/>
      <c r="N490" s="564"/>
      <c r="O490" s="564"/>
      <c r="P490" s="564"/>
      <c r="Q490" s="564"/>
      <c r="R490" s="564"/>
      <c r="S490" s="564"/>
      <c r="T490" s="564"/>
      <c r="U490" s="564"/>
      <c r="V490" s="564"/>
      <c r="W490" s="564"/>
      <c r="X490" s="564"/>
      <c r="Y490" s="564"/>
      <c r="Z490" s="564"/>
      <c r="AA490" s="547"/>
      <c r="AB490" s="547"/>
      <c r="AC490" s="547"/>
    </row>
    <row r="491" spans="1:68" ht="27" hidden="1" customHeight="1" x14ac:dyDescent="0.25">
      <c r="A491" s="54" t="s">
        <v>747</v>
      </c>
      <c r="B491" s="54" t="s">
        <v>748</v>
      </c>
      <c r="C491" s="31">
        <v>4301020314</v>
      </c>
      <c r="D491" s="558">
        <v>4640242180090</v>
      </c>
      <c r="E491" s="559"/>
      <c r="F491" s="550">
        <v>1.5</v>
      </c>
      <c r="G491" s="32">
        <v>8</v>
      </c>
      <c r="H491" s="550">
        <v>12</v>
      </c>
      <c r="I491" s="550">
        <v>12.41</v>
      </c>
      <c r="J491" s="32">
        <v>64</v>
      </c>
      <c r="K491" s="32" t="s">
        <v>104</v>
      </c>
      <c r="L491" s="32"/>
      <c r="M491" s="33" t="s">
        <v>106</v>
      </c>
      <c r="N491" s="33"/>
      <c r="O491" s="32">
        <v>50</v>
      </c>
      <c r="P491" s="67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1" s="556"/>
      <c r="R491" s="556"/>
      <c r="S491" s="556"/>
      <c r="T491" s="557"/>
      <c r="U491" s="34"/>
      <c r="V491" s="34"/>
      <c r="W491" s="35" t="s">
        <v>69</v>
      </c>
      <c r="X491" s="551">
        <v>0</v>
      </c>
      <c r="Y491" s="552">
        <f>IFERROR(IF(X491="",0,CEILING((X491/$H491),1)*$H491),"")</f>
        <v>0</v>
      </c>
      <c r="Z491" s="36" t="str">
        <f>IFERROR(IF(Y491=0,"",ROUNDUP(Y491/H491,0)*0.01898),"")</f>
        <v/>
      </c>
      <c r="AA491" s="56"/>
      <c r="AB491" s="57"/>
      <c r="AC491" s="541" t="s">
        <v>749</v>
      </c>
      <c r="AG491" s="64"/>
      <c r="AJ491" s="68"/>
      <c r="AK491" s="68">
        <v>0</v>
      </c>
      <c r="BB491" s="542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563"/>
      <c r="B492" s="564"/>
      <c r="C492" s="564"/>
      <c r="D492" s="564"/>
      <c r="E492" s="564"/>
      <c r="F492" s="564"/>
      <c r="G492" s="564"/>
      <c r="H492" s="564"/>
      <c r="I492" s="564"/>
      <c r="J492" s="564"/>
      <c r="K492" s="564"/>
      <c r="L492" s="564"/>
      <c r="M492" s="564"/>
      <c r="N492" s="564"/>
      <c r="O492" s="565"/>
      <c r="P492" s="568" t="s">
        <v>75</v>
      </c>
      <c r="Q492" s="569"/>
      <c r="R492" s="569"/>
      <c r="S492" s="569"/>
      <c r="T492" s="569"/>
      <c r="U492" s="569"/>
      <c r="V492" s="570"/>
      <c r="W492" s="37" t="s">
        <v>76</v>
      </c>
      <c r="X492" s="553">
        <f>IFERROR(X491/H491,"0")</f>
        <v>0</v>
      </c>
      <c r="Y492" s="553">
        <f>IFERROR(Y491/H491,"0")</f>
        <v>0</v>
      </c>
      <c r="Z492" s="553">
        <f>IFERROR(IF(Z491="",0,Z491),"0")</f>
        <v>0</v>
      </c>
      <c r="AA492" s="554"/>
      <c r="AB492" s="554"/>
      <c r="AC492" s="554"/>
    </row>
    <row r="493" spans="1:68" hidden="1" x14ac:dyDescent="0.2">
      <c r="A493" s="564"/>
      <c r="B493" s="564"/>
      <c r="C493" s="564"/>
      <c r="D493" s="564"/>
      <c r="E493" s="564"/>
      <c r="F493" s="564"/>
      <c r="G493" s="564"/>
      <c r="H493" s="564"/>
      <c r="I493" s="564"/>
      <c r="J493" s="564"/>
      <c r="K493" s="564"/>
      <c r="L493" s="564"/>
      <c r="M493" s="564"/>
      <c r="N493" s="564"/>
      <c r="O493" s="565"/>
      <c r="P493" s="568" t="s">
        <v>75</v>
      </c>
      <c r="Q493" s="569"/>
      <c r="R493" s="569"/>
      <c r="S493" s="569"/>
      <c r="T493" s="569"/>
      <c r="U493" s="569"/>
      <c r="V493" s="570"/>
      <c r="W493" s="37" t="s">
        <v>69</v>
      </c>
      <c r="X493" s="553">
        <f>IFERROR(SUM(X491:X491),"0")</f>
        <v>0</v>
      </c>
      <c r="Y493" s="553">
        <f>IFERROR(SUM(Y491:Y491),"0")</f>
        <v>0</v>
      </c>
      <c r="Z493" s="37"/>
      <c r="AA493" s="554"/>
      <c r="AB493" s="554"/>
      <c r="AC493" s="554"/>
    </row>
    <row r="494" spans="1:68" ht="15" customHeight="1" x14ac:dyDescent="0.2">
      <c r="A494" s="665"/>
      <c r="B494" s="564"/>
      <c r="C494" s="564"/>
      <c r="D494" s="564"/>
      <c r="E494" s="564"/>
      <c r="F494" s="564"/>
      <c r="G494" s="564"/>
      <c r="H494" s="564"/>
      <c r="I494" s="564"/>
      <c r="J494" s="564"/>
      <c r="K494" s="564"/>
      <c r="L494" s="564"/>
      <c r="M494" s="564"/>
      <c r="N494" s="564"/>
      <c r="O494" s="666"/>
      <c r="P494" s="668" t="s">
        <v>750</v>
      </c>
      <c r="Q494" s="669"/>
      <c r="R494" s="669"/>
      <c r="S494" s="669"/>
      <c r="T494" s="669"/>
      <c r="U494" s="669"/>
      <c r="V494" s="670"/>
      <c r="W494" s="37" t="s">
        <v>69</v>
      </c>
      <c r="X494" s="553">
        <f>IFERROR(X25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479+X483+X488+X493,"0")</f>
        <v>17924</v>
      </c>
      <c r="Y494" s="553">
        <f>IFERROR(Y25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479+Y483+Y488+Y493,"0")</f>
        <v>18067.14</v>
      </c>
      <c r="Z494" s="37"/>
      <c r="AA494" s="554"/>
      <c r="AB494" s="554"/>
      <c r="AC494" s="554"/>
    </row>
    <row r="495" spans="1:68" x14ac:dyDescent="0.2">
      <c r="A495" s="564"/>
      <c r="B495" s="564"/>
      <c r="C495" s="564"/>
      <c r="D495" s="564"/>
      <c r="E495" s="564"/>
      <c r="F495" s="564"/>
      <c r="G495" s="564"/>
      <c r="H495" s="564"/>
      <c r="I495" s="564"/>
      <c r="J495" s="564"/>
      <c r="K495" s="564"/>
      <c r="L495" s="564"/>
      <c r="M495" s="564"/>
      <c r="N495" s="564"/>
      <c r="O495" s="666"/>
      <c r="P495" s="668" t="s">
        <v>751</v>
      </c>
      <c r="Q495" s="669"/>
      <c r="R495" s="669"/>
      <c r="S495" s="669"/>
      <c r="T495" s="669"/>
      <c r="U495" s="669"/>
      <c r="V495" s="670"/>
      <c r="W495" s="37" t="s">
        <v>69</v>
      </c>
      <c r="X495" s="553">
        <f>IFERROR(SUM(BM22:BM491),"0")</f>
        <v>18695.312279471269</v>
      </c>
      <c r="Y495" s="553">
        <f>IFERROR(SUM(BN22:BN491),"0")</f>
        <v>18845.907999999999</v>
      </c>
      <c r="Z495" s="37"/>
      <c r="AA495" s="554"/>
      <c r="AB495" s="554"/>
      <c r="AC495" s="554"/>
    </row>
    <row r="496" spans="1:68" x14ac:dyDescent="0.2">
      <c r="A496" s="564"/>
      <c r="B496" s="564"/>
      <c r="C496" s="564"/>
      <c r="D496" s="564"/>
      <c r="E496" s="564"/>
      <c r="F496" s="564"/>
      <c r="G496" s="564"/>
      <c r="H496" s="564"/>
      <c r="I496" s="564"/>
      <c r="J496" s="564"/>
      <c r="K496" s="564"/>
      <c r="L496" s="564"/>
      <c r="M496" s="564"/>
      <c r="N496" s="564"/>
      <c r="O496" s="666"/>
      <c r="P496" s="668" t="s">
        <v>752</v>
      </c>
      <c r="Q496" s="669"/>
      <c r="R496" s="669"/>
      <c r="S496" s="669"/>
      <c r="T496" s="669"/>
      <c r="U496" s="669"/>
      <c r="V496" s="670"/>
      <c r="W496" s="37" t="s">
        <v>753</v>
      </c>
      <c r="X496" s="38">
        <f>ROUNDUP(SUM(BO22:BO491),0)</f>
        <v>29</v>
      </c>
      <c r="Y496" s="38">
        <f>ROUNDUP(SUM(BP22:BP491),0)</f>
        <v>29</v>
      </c>
      <c r="Z496" s="37"/>
      <c r="AA496" s="554"/>
      <c r="AB496" s="554"/>
      <c r="AC496" s="554"/>
    </row>
    <row r="497" spans="1:32" x14ac:dyDescent="0.2">
      <c r="A497" s="564"/>
      <c r="B497" s="564"/>
      <c r="C497" s="564"/>
      <c r="D497" s="564"/>
      <c r="E497" s="564"/>
      <c r="F497" s="564"/>
      <c r="G497" s="564"/>
      <c r="H497" s="564"/>
      <c r="I497" s="564"/>
      <c r="J497" s="564"/>
      <c r="K497" s="564"/>
      <c r="L497" s="564"/>
      <c r="M497" s="564"/>
      <c r="N497" s="564"/>
      <c r="O497" s="666"/>
      <c r="P497" s="668" t="s">
        <v>754</v>
      </c>
      <c r="Q497" s="669"/>
      <c r="R497" s="669"/>
      <c r="S497" s="669"/>
      <c r="T497" s="669"/>
      <c r="U497" s="669"/>
      <c r="V497" s="670"/>
      <c r="W497" s="37" t="s">
        <v>69</v>
      </c>
      <c r="X497" s="553">
        <f>GrossWeightTotal+PalletQtyTotal*25</f>
        <v>19420.312279471269</v>
      </c>
      <c r="Y497" s="553">
        <f>GrossWeightTotalR+PalletQtyTotalR*25</f>
        <v>19570.907999999999</v>
      </c>
      <c r="Z497" s="37"/>
      <c r="AA497" s="554"/>
      <c r="AB497" s="554"/>
      <c r="AC497" s="554"/>
    </row>
    <row r="498" spans="1:32" x14ac:dyDescent="0.2">
      <c r="A498" s="564"/>
      <c r="B498" s="564"/>
      <c r="C498" s="564"/>
      <c r="D498" s="564"/>
      <c r="E498" s="564"/>
      <c r="F498" s="564"/>
      <c r="G498" s="564"/>
      <c r="H498" s="564"/>
      <c r="I498" s="564"/>
      <c r="J498" s="564"/>
      <c r="K498" s="564"/>
      <c r="L498" s="564"/>
      <c r="M498" s="564"/>
      <c r="N498" s="564"/>
      <c r="O498" s="666"/>
      <c r="P498" s="668" t="s">
        <v>755</v>
      </c>
      <c r="Q498" s="669"/>
      <c r="R498" s="669"/>
      <c r="S498" s="669"/>
      <c r="T498" s="669"/>
      <c r="U498" s="669"/>
      <c r="V498" s="670"/>
      <c r="W498" s="37" t="s">
        <v>753</v>
      </c>
      <c r="X498" s="553">
        <f>IFERROR(X24+X31+X35+X43+X47+X57+X63+X68+X75+X80+X88+X95+X104+X111+X118+X122+X128+X133+X138+X144+X153+X157+X163+X180+X186+X190+X196+X201+X212+X224+X229+X242+X246+X250+X258+X267+X275+X282+X288+X293+X303+X312+X319+X325+X332+X338+X345+X357+X362+X367+X371+X377+X382+X388+X402+X407+X412+X419+X424+X441+X447+X456+X460+X469+X474+X478+X482+X487+X492,"0")</f>
        <v>1956.3962403071598</v>
      </c>
      <c r="Y498" s="553">
        <f>IFERROR(Y24+Y31+Y35+Y43+Y47+Y57+Y63+Y68+Y75+Y80+Y88+Y95+Y104+Y111+Y118+Y122+Y128+Y133+Y138+Y144+Y153+Y157+Y163+Y180+Y186+Y190+Y196+Y201+Y212+Y224+Y229+Y242+Y246+Y250+Y258+Y267+Y275+Y282+Y288+Y293+Y303+Y312+Y319+Y325+Y332+Y338+Y345+Y357+Y362+Y367+Y371+Y377+Y382+Y388+Y402+Y407+Y412+Y419+Y424+Y441+Y447+Y456+Y460+Y469+Y474+Y478+Y482+Y487+Y492,"0")</f>
        <v>1977</v>
      </c>
      <c r="Z498" s="37"/>
      <c r="AA498" s="554"/>
      <c r="AB498" s="554"/>
      <c r="AC498" s="554"/>
    </row>
    <row r="499" spans="1:32" ht="14.25" hidden="1" customHeight="1" x14ac:dyDescent="0.2">
      <c r="A499" s="564"/>
      <c r="B499" s="564"/>
      <c r="C499" s="564"/>
      <c r="D499" s="564"/>
      <c r="E499" s="564"/>
      <c r="F499" s="564"/>
      <c r="G499" s="564"/>
      <c r="H499" s="564"/>
      <c r="I499" s="564"/>
      <c r="J499" s="564"/>
      <c r="K499" s="564"/>
      <c r="L499" s="564"/>
      <c r="M499" s="564"/>
      <c r="N499" s="564"/>
      <c r="O499" s="666"/>
      <c r="P499" s="668" t="s">
        <v>756</v>
      </c>
      <c r="Q499" s="669"/>
      <c r="R499" s="669"/>
      <c r="S499" s="669"/>
      <c r="T499" s="669"/>
      <c r="U499" s="669"/>
      <c r="V499" s="670"/>
      <c r="W499" s="39" t="s">
        <v>757</v>
      </c>
      <c r="X499" s="37"/>
      <c r="Y499" s="37"/>
      <c r="Z499" s="37">
        <f>IFERROR(Z24+Z31+Z35+Z43+Z47+Z57+Z63+Z68+Z75+Z80+Z88+Z95+Z104+Z111+Z118+Z122+Z128+Z133+Z138+Z144+Z153+Z157+Z163+Z180+Z186+Z190+Z196+Z201+Z212+Z224+Z229+Z242+Z246+Z250+Z258+Z267+Z275+Z282+Z288+Z293+Z303+Z312+Z319+Z325+Z332+Z338+Z345+Z357+Z362+Z367+Z371+Z377+Z382+Z388+Z402+Z407+Z412+Z419+Z424+Z441+Z447+Z456+Z460+Z469+Z474+Z478+Z482+Z487+Z492,"0")</f>
        <v>32.434060000000002</v>
      </c>
      <c r="AA499" s="554"/>
      <c r="AB499" s="554"/>
      <c r="AC499" s="554"/>
    </row>
    <row r="500" spans="1:32" ht="13.5" customHeight="1" thickBot="1" x14ac:dyDescent="0.25"/>
    <row r="501" spans="1:32" ht="27" customHeight="1" thickTop="1" thickBot="1" x14ac:dyDescent="0.25">
      <c r="A501" s="40" t="s">
        <v>758</v>
      </c>
      <c r="B501" s="548" t="s">
        <v>63</v>
      </c>
      <c r="C501" s="605" t="s">
        <v>99</v>
      </c>
      <c r="D501" s="667"/>
      <c r="E501" s="667"/>
      <c r="F501" s="667"/>
      <c r="G501" s="667"/>
      <c r="H501" s="646"/>
      <c r="I501" s="605" t="s">
        <v>266</v>
      </c>
      <c r="J501" s="667"/>
      <c r="K501" s="667"/>
      <c r="L501" s="667"/>
      <c r="M501" s="667"/>
      <c r="N501" s="667"/>
      <c r="O501" s="667"/>
      <c r="P501" s="667"/>
      <c r="Q501" s="667"/>
      <c r="R501" s="646"/>
      <c r="S501" s="605" t="s">
        <v>556</v>
      </c>
      <c r="T501" s="646"/>
      <c r="U501" s="605" t="s">
        <v>610</v>
      </c>
      <c r="V501" s="667"/>
      <c r="W501" s="646"/>
      <c r="X501" s="548" t="s">
        <v>661</v>
      </c>
      <c r="Y501" s="605" t="s">
        <v>716</v>
      </c>
      <c r="Z501" s="646"/>
      <c r="AB501" s="52"/>
      <c r="AC501" s="52"/>
      <c r="AF501" s="549"/>
    </row>
    <row r="502" spans="1:32" ht="14.25" customHeight="1" thickTop="1" x14ac:dyDescent="0.2">
      <c r="A502" s="877" t="s">
        <v>759</v>
      </c>
      <c r="B502" s="605" t="s">
        <v>63</v>
      </c>
      <c r="C502" s="605" t="s">
        <v>100</v>
      </c>
      <c r="D502" s="605" t="s">
        <v>117</v>
      </c>
      <c r="E502" s="605" t="s">
        <v>168</v>
      </c>
      <c r="F502" s="605" t="s">
        <v>190</v>
      </c>
      <c r="G502" s="605" t="s">
        <v>227</v>
      </c>
      <c r="H502" s="605" t="s">
        <v>99</v>
      </c>
      <c r="I502" s="605" t="s">
        <v>267</v>
      </c>
      <c r="J502" s="605" t="s">
        <v>322</v>
      </c>
      <c r="K502" s="605" t="s">
        <v>382</v>
      </c>
      <c r="L502" s="605" t="s">
        <v>423</v>
      </c>
      <c r="M502" s="605" t="s">
        <v>439</v>
      </c>
      <c r="N502" s="549"/>
      <c r="O502" s="605" t="s">
        <v>450</v>
      </c>
      <c r="P502" s="605" t="s">
        <v>459</v>
      </c>
      <c r="Q502" s="605" t="s">
        <v>472</v>
      </c>
      <c r="R502" s="605" t="s">
        <v>546</v>
      </c>
      <c r="S502" s="605" t="s">
        <v>557</v>
      </c>
      <c r="T502" s="605" t="s">
        <v>592</v>
      </c>
      <c r="U502" s="605" t="s">
        <v>611</v>
      </c>
      <c r="V502" s="605" t="s">
        <v>642</v>
      </c>
      <c r="W502" s="605" t="s">
        <v>657</v>
      </c>
      <c r="X502" s="605" t="s">
        <v>661</v>
      </c>
      <c r="Y502" s="605" t="s">
        <v>716</v>
      </c>
      <c r="Z502" s="605" t="s">
        <v>746</v>
      </c>
      <c r="AB502" s="52"/>
      <c r="AC502" s="52"/>
      <c r="AF502" s="549"/>
    </row>
    <row r="503" spans="1:32" ht="13.5" customHeight="1" thickBot="1" x14ac:dyDescent="0.25">
      <c r="A503" s="878"/>
      <c r="B503" s="606"/>
      <c r="C503" s="606"/>
      <c r="D503" s="606"/>
      <c r="E503" s="606"/>
      <c r="F503" s="606"/>
      <c r="G503" s="606"/>
      <c r="H503" s="606"/>
      <c r="I503" s="606"/>
      <c r="J503" s="606"/>
      <c r="K503" s="606"/>
      <c r="L503" s="606"/>
      <c r="M503" s="606"/>
      <c r="N503" s="549"/>
      <c r="O503" s="606"/>
      <c r="P503" s="606"/>
      <c r="Q503" s="606"/>
      <c r="R503" s="606"/>
      <c r="S503" s="606"/>
      <c r="T503" s="606"/>
      <c r="U503" s="606"/>
      <c r="V503" s="606"/>
      <c r="W503" s="606"/>
      <c r="X503" s="606"/>
      <c r="Y503" s="606"/>
      <c r="Z503" s="606"/>
      <c r="AB503" s="52"/>
      <c r="AC503" s="52"/>
      <c r="AF503" s="549"/>
    </row>
    <row r="504" spans="1:32" ht="18" customHeight="1" thickTop="1" thickBot="1" x14ac:dyDescent="0.25">
      <c r="A504" s="40" t="s">
        <v>760</v>
      </c>
      <c r="B504" s="46">
        <f>IFERROR(Y22*1,"0")+IFERROR(Y23*1,"0")+IFERROR(Y27*1,"0")+IFERROR(Y28*1,"0")+IFERROR(Y29*1,"0")+IFERROR(Y30*1,"0")+IFERROR(Y34*1,"0")</f>
        <v>0</v>
      </c>
      <c r="C504" s="46">
        <f>IFERROR(Y40*1,"0")+IFERROR(Y41*1,"0")+IFERROR(Y42*1,"0")+IFERROR(Y46*1,"0")</f>
        <v>32.400000000000006</v>
      </c>
      <c r="D504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843.6</v>
      </c>
      <c r="E504" s="46">
        <f>IFERROR(Y84*1,"0")+IFERROR(Y85*1,"0")+IFERROR(Y86*1,"0")+IFERROR(Y87*1,"0")+IFERROR(Y91*1,"0")+IFERROR(Y92*1,"0")+IFERROR(Y93*1,"0")+IFERROR(Y94*1,"0")</f>
        <v>32.4</v>
      </c>
      <c r="F504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186.29999999999998</v>
      </c>
      <c r="G504" s="46">
        <f>IFERROR(Y126*1,"0")+IFERROR(Y127*1,"0")+IFERROR(Y131*1,"0")+IFERROR(Y132*1,"0")+IFERROR(Y136*1,"0")+IFERROR(Y137*1,"0")</f>
        <v>127.92</v>
      </c>
      <c r="H504" s="46">
        <f>IFERROR(Y142*1,"0")+IFERROR(Y143*1,"0")+IFERROR(Y147*1,"0")+IFERROR(Y148*1,"0")+IFERROR(Y149*1,"0")+IFERROR(Y150*1,"0")+IFERROR(Y151*1,"0")+IFERROR(Y152*1,"0")+IFERROR(Y156*1,"0")</f>
        <v>0</v>
      </c>
      <c r="I504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92.4</v>
      </c>
      <c r="J504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1895.4000000000003</v>
      </c>
      <c r="K504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4" s="46">
        <f>IFERROR(Y262*1,"0")+IFERROR(Y263*1,"0")+IFERROR(Y264*1,"0")+IFERROR(Y265*1,"0")+IFERROR(Y266*1,"0")</f>
        <v>21.6</v>
      </c>
      <c r="M504" s="46">
        <f>IFERROR(Y271*1,"0")+IFERROR(Y272*1,"0")+IFERROR(Y273*1,"0")+IFERROR(Y274*1,"0")</f>
        <v>0</v>
      </c>
      <c r="N504" s="549"/>
      <c r="O504" s="46">
        <f>IFERROR(Y279*1,"0")+IFERROR(Y280*1,"0")+IFERROR(Y281*1,"0")</f>
        <v>0</v>
      </c>
      <c r="P504" s="46">
        <f>IFERROR(Y286*1,"0")+IFERROR(Y287*1,"0")+IFERROR(Y291*1,"0")+IFERROR(Y292*1,"0")</f>
        <v>0</v>
      </c>
      <c r="Q504" s="46">
        <f>IFERROR(Y297*1,"0")+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3529.2</v>
      </c>
      <c r="R504" s="46">
        <f>IFERROR(Y342*1,"0")+IFERROR(Y343*1,"0")+IFERROR(Y344*1,"0")</f>
        <v>97.199999999999989</v>
      </c>
      <c r="S504" s="46">
        <f>IFERROR(Y350*1,"0")+IFERROR(Y351*1,"0")+IFERROR(Y352*1,"0")+IFERROR(Y353*1,"0")+IFERROR(Y354*1,"0")+IFERROR(Y355*1,"0")+IFERROR(Y356*1,"0")+IFERROR(Y360*1,"0")+IFERROR(Y361*1,"0")+IFERROR(Y365*1,"0")+IFERROR(Y366*1,"0")+IFERROR(Y370*1,"0")</f>
        <v>9855</v>
      </c>
      <c r="T504" s="46">
        <f>IFERROR(Y375*1,"0")+IFERROR(Y376*1,"0")+IFERROR(Y380*1,"0")+IFERROR(Y381*1,"0")+IFERROR(Y385*1,"0")+IFERROR(Y386*1,"0")+IFERROR(Y387*1,"0")</f>
        <v>228</v>
      </c>
      <c r="U504" s="46">
        <f>IFERROR(Y393*1,"0")+IFERROR(Y394*1,"0")+IFERROR(Y395*1,"0")+IFERROR(Y396*1,"0")+IFERROR(Y397*1,"0")+IFERROR(Y398*1,"0")+IFERROR(Y399*1,"0")+IFERROR(Y400*1,"0")+IFERROR(Y401*1,"0")+IFERROR(Y405*1,"0")+IFERROR(Y406*1,"0")</f>
        <v>54</v>
      </c>
      <c r="V504" s="46">
        <f>IFERROR(Y411*1,"0")+IFERROR(Y415*1,"0")+IFERROR(Y416*1,"0")+IFERROR(Y417*1,"0")+IFERROR(Y418*1,"0")</f>
        <v>102.60000000000001</v>
      </c>
      <c r="W504" s="46">
        <f>IFERROR(Y423*1,"0")</f>
        <v>0</v>
      </c>
      <c r="X504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786.72</v>
      </c>
      <c r="Y504" s="46">
        <f>IFERROR(Y465*1,"0")+IFERROR(Y466*1,"0")+IFERROR(Y467*1,"0")+IFERROR(Y468*1,"0")+IFERROR(Y472*1,"0")+IFERROR(Y473*1,"0")+IFERROR(Y477*1,"0")+IFERROR(Y481*1,"0")+IFERROR(Y485*1,"0")+IFERROR(Y486*1,"0")</f>
        <v>182.4</v>
      </c>
      <c r="Z504" s="46">
        <f>IFERROR(Y491*1,"0")</f>
        <v>0</v>
      </c>
      <c r="AB504" s="52"/>
      <c r="AC504" s="52"/>
      <c r="AF504" s="549"/>
    </row>
  </sheetData>
  <sheetProtection algorithmName="SHA-512" hashValue="bbLw9wKYmk0/otLjf4Ipt7Ng3ivMox2H1jywNN09f7XdkYr3W/l4Fag+ARDo7EzNTxgQ4Way+DtQeOGglzmfMg==" saltValue="wVZ+rD1nJpKwZJvW6dMBaA==" spinCount="100000" sheet="1" objects="1" scenarios="1" sort="0" autoFilter="0" pivotTables="0"/>
  <autoFilter ref="A18:AF49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90,00"/>
        <filter val="1 956,40"/>
        <filter val="1,85"/>
        <filter val="10,00"/>
        <filter val="100,00"/>
        <filter val="101,22"/>
        <filter val="11,11"/>
        <filter val="12,50"/>
        <filter val="120,00"/>
        <filter val="121,00"/>
        <filter val="13,93"/>
        <filter val="14,00"/>
        <filter val="140,00"/>
        <filter val="15,00"/>
        <filter val="15,56"/>
        <filter val="150,00"/>
        <filter val="16,00"/>
        <filter val="17 924,00"/>
        <filter val="17,14"/>
        <filter val="170,00"/>
        <filter val="18 695,31"/>
        <filter val="18,52"/>
        <filter val="180,00"/>
        <filter val="19 420,31"/>
        <filter val="2 250,00"/>
        <filter val="2 900,00"/>
        <filter val="2,00"/>
        <filter val="2,65"/>
        <filter val="2,78"/>
        <filter val="20,00"/>
        <filter val="200,00"/>
        <filter val="21,00"/>
        <filter val="21,43"/>
        <filter val="22,22"/>
        <filter val="255,00"/>
        <filter val="26,52"/>
        <filter val="260,00"/>
        <filter val="275,93"/>
        <filter val="280,00"/>
        <filter val="29"/>
        <filter val="3,33"/>
        <filter val="3,70"/>
        <filter val="30,00"/>
        <filter val="300,00"/>
        <filter val="31,67"/>
        <filter val="311,00"/>
        <filter val="330,00"/>
        <filter val="370,00"/>
        <filter val="371,79"/>
        <filter val="40,00"/>
        <filter val="40,93"/>
        <filter val="450,00"/>
        <filter val="48,30"/>
        <filter val="50,00"/>
        <filter val="550,00"/>
        <filter val="56,00"/>
        <filter val="6 750,00"/>
        <filter val="60,00"/>
        <filter val="62,00"/>
        <filter val="64,00"/>
        <filter val="640,00"/>
        <filter val="642,00"/>
        <filter val="650,00"/>
        <filter val="7,00"/>
        <filter val="7,69"/>
        <filter val="70,00"/>
        <filter val="70,08"/>
        <filter val="700,00"/>
        <filter val="72,00"/>
        <filter val="75,00"/>
        <filter val="76,00"/>
        <filter val="77,78"/>
        <filter val="80,00"/>
        <filter val="9,26"/>
        <filter val="90,00"/>
      </filters>
    </filterColumn>
    <filterColumn colId="29" showButton="0"/>
    <filterColumn colId="30" showButton="0"/>
  </autoFilter>
  <mergeCells count="884">
    <mergeCell ref="G502:G503"/>
    <mergeCell ref="P444:T444"/>
    <mergeCell ref="P307:T307"/>
    <mergeCell ref="I502:I503"/>
    <mergeCell ref="A163:O164"/>
    <mergeCell ref="D110:E110"/>
    <mergeCell ref="A502:A503"/>
    <mergeCell ref="D286:E286"/>
    <mergeCell ref="A8:C8"/>
    <mergeCell ref="D355:E355"/>
    <mergeCell ref="P163:V163"/>
    <mergeCell ref="P360:T360"/>
    <mergeCell ref="P138:V138"/>
    <mergeCell ref="P151:T151"/>
    <mergeCell ref="P76:V76"/>
    <mergeCell ref="D395:E395"/>
    <mergeCell ref="P496:V496"/>
    <mergeCell ref="A426:Z426"/>
    <mergeCell ref="A10:C10"/>
    <mergeCell ref="A364:Z364"/>
    <mergeCell ref="P126:T126"/>
    <mergeCell ref="A484:Z484"/>
    <mergeCell ref="P218:T218"/>
    <mergeCell ref="P69:V69"/>
    <mergeCell ref="A21:Z21"/>
    <mergeCell ref="D184:E184"/>
    <mergeCell ref="A428:Z428"/>
    <mergeCell ref="P425:V425"/>
    <mergeCell ref="D121:E121"/>
    <mergeCell ref="D42:E42"/>
    <mergeCell ref="D344:E344"/>
    <mergeCell ref="V12:W12"/>
    <mergeCell ref="U17:V17"/>
    <mergeCell ref="Y17:Y18"/>
    <mergeCell ref="D17:E18"/>
    <mergeCell ref="X17:X18"/>
    <mergeCell ref="N17:N18"/>
    <mergeCell ref="F17:F18"/>
    <mergeCell ref="A20:Z20"/>
    <mergeCell ref="A31:O32"/>
    <mergeCell ref="A33:Z33"/>
    <mergeCell ref="P91:T91"/>
    <mergeCell ref="A80:O81"/>
    <mergeCell ref="P105:V105"/>
    <mergeCell ref="A13:M13"/>
    <mergeCell ref="D87:E87"/>
    <mergeCell ref="D61:E61"/>
    <mergeCell ref="D331:E331"/>
    <mergeCell ref="D173:E173"/>
    <mergeCell ref="P71:T71"/>
    <mergeCell ref="P370:T370"/>
    <mergeCell ref="P199:T199"/>
    <mergeCell ref="A125:Z125"/>
    <mergeCell ref="D54:E54"/>
    <mergeCell ref="P101:T101"/>
    <mergeCell ref="P63:V63"/>
    <mergeCell ref="A192:Z19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P149:T149"/>
    <mergeCell ref="Q5:R5"/>
    <mergeCell ref="P297:T297"/>
    <mergeCell ref="P435:T435"/>
    <mergeCell ref="D107:E107"/>
    <mergeCell ref="P291:T291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A118:O119"/>
    <mergeCell ref="P292:T292"/>
    <mergeCell ref="D23:E23"/>
    <mergeCell ref="P344:T344"/>
    <mergeCell ref="D265:E265"/>
    <mergeCell ref="D216:E216"/>
    <mergeCell ref="P495:V495"/>
    <mergeCell ref="A347:Z347"/>
    <mergeCell ref="A314:Z314"/>
    <mergeCell ref="P289:V289"/>
    <mergeCell ref="P68:V68"/>
    <mergeCell ref="J502:J503"/>
    <mergeCell ref="P439:T439"/>
    <mergeCell ref="D249:E249"/>
    <mergeCell ref="P433:T433"/>
    <mergeCell ref="P262:T262"/>
    <mergeCell ref="A349:Z349"/>
    <mergeCell ref="A476:Z476"/>
    <mergeCell ref="D170:E170"/>
    <mergeCell ref="D468:E468"/>
    <mergeCell ref="P303:V303"/>
    <mergeCell ref="P72:T72"/>
    <mergeCell ref="A447:O448"/>
    <mergeCell ref="P436:T436"/>
    <mergeCell ref="D102:E102"/>
    <mergeCell ref="A487:O488"/>
    <mergeCell ref="P81:V81"/>
    <mergeCell ref="A269:Z269"/>
    <mergeCell ref="A424:O425"/>
    <mergeCell ref="P419:V419"/>
    <mergeCell ref="P493:V493"/>
    <mergeCell ref="D452:E452"/>
    <mergeCell ref="P371:V371"/>
    <mergeCell ref="P358:V358"/>
    <mergeCell ref="A348:Z348"/>
    <mergeCell ref="P110:T110"/>
    <mergeCell ref="D218:E218"/>
    <mergeCell ref="A258:O259"/>
    <mergeCell ref="P197:V197"/>
    <mergeCell ref="P145:V145"/>
    <mergeCell ref="A231:Z231"/>
    <mergeCell ref="P283:V283"/>
    <mergeCell ref="D271:E271"/>
    <mergeCell ref="P483:V483"/>
    <mergeCell ref="D298:E298"/>
    <mergeCell ref="D273:E273"/>
    <mergeCell ref="P156:T156"/>
    <mergeCell ref="P123:V123"/>
    <mergeCell ref="P440:T440"/>
    <mergeCell ref="P179:T179"/>
    <mergeCell ref="P326:V326"/>
    <mergeCell ref="P457:V457"/>
    <mergeCell ref="P393:T393"/>
    <mergeCell ref="P330:T330"/>
    <mergeCell ref="M502:M503"/>
    <mergeCell ref="P363:V363"/>
    <mergeCell ref="D310:E310"/>
    <mergeCell ref="AD17:AF18"/>
    <mergeCell ref="D101:E101"/>
    <mergeCell ref="P403:V403"/>
    <mergeCell ref="P378:V378"/>
    <mergeCell ref="F5:G5"/>
    <mergeCell ref="P144:V144"/>
    <mergeCell ref="A463:Z463"/>
    <mergeCell ref="P442:V442"/>
    <mergeCell ref="D455:E455"/>
    <mergeCell ref="D430:E430"/>
    <mergeCell ref="P119:V119"/>
    <mergeCell ref="P67:T67"/>
    <mergeCell ref="D175:E175"/>
    <mergeCell ref="P253:T253"/>
    <mergeCell ref="D221:E221"/>
    <mergeCell ref="P469:V469"/>
    <mergeCell ref="V11:W11"/>
    <mergeCell ref="P486:T486"/>
    <mergeCell ref="P342:T342"/>
    <mergeCell ref="P317:T317"/>
    <mergeCell ref="D323:E323"/>
    <mergeCell ref="P2:W3"/>
    <mergeCell ref="P498:V498"/>
    <mergeCell ref="P298:T298"/>
    <mergeCell ref="D437:E437"/>
    <mergeCell ref="D241:E241"/>
    <mergeCell ref="P127:T127"/>
    <mergeCell ref="A57:O58"/>
    <mergeCell ref="P54:T54"/>
    <mergeCell ref="P418:T418"/>
    <mergeCell ref="A371:O372"/>
    <mergeCell ref="D228:E228"/>
    <mergeCell ref="P312:V312"/>
    <mergeCell ref="D10:E10"/>
    <mergeCell ref="F10:G10"/>
    <mergeCell ref="D34:E34"/>
    <mergeCell ref="A357:O358"/>
    <mergeCell ref="D99:E99"/>
    <mergeCell ref="D397:E397"/>
    <mergeCell ref="A130:Z130"/>
    <mergeCell ref="D152:E152"/>
    <mergeCell ref="D394:E394"/>
    <mergeCell ref="D450:E450"/>
    <mergeCell ref="D279:E279"/>
    <mergeCell ref="D223:E223"/>
    <mergeCell ref="P494:V494"/>
    <mergeCell ref="P430:T430"/>
    <mergeCell ref="P417:T417"/>
    <mergeCell ref="P102:T102"/>
    <mergeCell ref="P456:V456"/>
    <mergeCell ref="D177:E177"/>
    <mergeCell ref="P354:T354"/>
    <mergeCell ref="P183:T183"/>
    <mergeCell ref="A106:Z106"/>
    <mergeCell ref="A404:Z404"/>
    <mergeCell ref="P365:T365"/>
    <mergeCell ref="P121:T121"/>
    <mergeCell ref="P465:T465"/>
    <mergeCell ref="D386:E386"/>
    <mergeCell ref="D215:E215"/>
    <mergeCell ref="P250:V250"/>
    <mergeCell ref="P492:V492"/>
    <mergeCell ref="P415:T415"/>
    <mergeCell ref="P479:V479"/>
    <mergeCell ref="A409:Z409"/>
    <mergeCell ref="P336:T336"/>
    <mergeCell ref="P187:V187"/>
    <mergeCell ref="P258:V258"/>
    <mergeCell ref="A248:Z248"/>
    <mergeCell ref="A9:C9"/>
    <mergeCell ref="A242:O243"/>
    <mergeCell ref="A478:O479"/>
    <mergeCell ref="P323:T323"/>
    <mergeCell ref="A414:Z414"/>
    <mergeCell ref="A327:Z327"/>
    <mergeCell ref="P32:V32"/>
    <mergeCell ref="P474:V474"/>
    <mergeCell ref="U502:U503"/>
    <mergeCell ref="P268:V268"/>
    <mergeCell ref="A155:Z155"/>
    <mergeCell ref="P339:V339"/>
    <mergeCell ref="D318:E318"/>
    <mergeCell ref="A391:Z391"/>
    <mergeCell ref="P134:V134"/>
    <mergeCell ref="Q13:R13"/>
    <mergeCell ref="P47:V47"/>
    <mergeCell ref="P176:T176"/>
    <mergeCell ref="P114:T114"/>
    <mergeCell ref="P241:T241"/>
    <mergeCell ref="D84:E84"/>
    <mergeCell ref="P41:T41"/>
    <mergeCell ref="A35:O36"/>
    <mergeCell ref="D22:E22"/>
    <mergeCell ref="T502:T503"/>
    <mergeCell ref="P482:V482"/>
    <mergeCell ref="P46:T46"/>
    <mergeCell ref="V502:V503"/>
    <mergeCell ref="A412:O413"/>
    <mergeCell ref="P61:T61"/>
    <mergeCell ref="D200:E200"/>
    <mergeCell ref="D436:E436"/>
    <mergeCell ref="D292:E292"/>
    <mergeCell ref="D227:E227"/>
    <mergeCell ref="A284:Z284"/>
    <mergeCell ref="D149:E149"/>
    <mergeCell ref="D385:E385"/>
    <mergeCell ref="P301:T301"/>
    <mergeCell ref="P178:T178"/>
    <mergeCell ref="I501:R501"/>
    <mergeCell ref="D257:E257"/>
    <mergeCell ref="D86:E86"/>
    <mergeCell ref="D151:E151"/>
    <mergeCell ref="A362:O363"/>
    <mergeCell ref="D150:E150"/>
    <mergeCell ref="P107:T107"/>
    <mergeCell ref="A402:O403"/>
    <mergeCell ref="P129:V129"/>
    <mergeCell ref="H5:M5"/>
    <mergeCell ref="P31:V31"/>
    <mergeCell ref="P158:V158"/>
    <mergeCell ref="A214:Z214"/>
    <mergeCell ref="D439:E439"/>
    <mergeCell ref="P396:T396"/>
    <mergeCell ref="A390:Z390"/>
    <mergeCell ref="A341:Z341"/>
    <mergeCell ref="D317:E317"/>
    <mergeCell ref="A285:Z285"/>
    <mergeCell ref="A75:O76"/>
    <mergeCell ref="D6:M6"/>
    <mergeCell ref="P175:T175"/>
    <mergeCell ref="P95:V95"/>
    <mergeCell ref="P162:T162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D207:E207"/>
    <mergeCell ref="V6:W9"/>
    <mergeCell ref="D199:E199"/>
    <mergeCell ref="P109:T109"/>
    <mergeCell ref="A59:Z59"/>
    <mergeCell ref="D435:E435"/>
    <mergeCell ref="P274:T274"/>
    <mergeCell ref="D217:E217"/>
    <mergeCell ref="P84:T84"/>
    <mergeCell ref="P222:T222"/>
    <mergeCell ref="P22:T22"/>
    <mergeCell ref="P40:T40"/>
    <mergeCell ref="D415:E415"/>
    <mergeCell ref="A359:Z359"/>
    <mergeCell ref="P257:T257"/>
    <mergeCell ref="D194:E194"/>
    <mergeCell ref="Z17:Z18"/>
    <mergeCell ref="A90:Z90"/>
    <mergeCell ref="A277:Z277"/>
    <mergeCell ref="P44:V44"/>
    <mergeCell ref="D85:E85"/>
    <mergeCell ref="D299:E299"/>
    <mergeCell ref="D370:E370"/>
    <mergeCell ref="D222:E222"/>
    <mergeCell ref="P399:T399"/>
    <mergeCell ref="AA17:AA18"/>
    <mergeCell ref="H10:M10"/>
    <mergeCell ref="AC17:AC18"/>
    <mergeCell ref="P485:T485"/>
    <mergeCell ref="P279:T279"/>
    <mergeCell ref="D418:E418"/>
    <mergeCell ref="P472:T472"/>
    <mergeCell ref="D393:E393"/>
    <mergeCell ref="P108:T108"/>
    <mergeCell ref="P254:T254"/>
    <mergeCell ref="A104:O105"/>
    <mergeCell ref="P343:T343"/>
    <mergeCell ref="A460:O461"/>
    <mergeCell ref="P318:T318"/>
    <mergeCell ref="P256:T256"/>
    <mergeCell ref="AB17:AB18"/>
    <mergeCell ref="D446:E446"/>
    <mergeCell ref="D481:E481"/>
    <mergeCell ref="A295:Z295"/>
    <mergeCell ref="P57:V57"/>
    <mergeCell ref="G17:G18"/>
    <mergeCell ref="P413:V413"/>
    <mergeCell ref="P242:V242"/>
    <mergeCell ref="P407:V407"/>
    <mergeCell ref="W502:W503"/>
    <mergeCell ref="A489:Z489"/>
    <mergeCell ref="A464:Z464"/>
    <mergeCell ref="A160:Z160"/>
    <mergeCell ref="A141:Z141"/>
    <mergeCell ref="A144:O145"/>
    <mergeCell ref="A135:Z135"/>
    <mergeCell ref="C502:C503"/>
    <mergeCell ref="E502:E503"/>
    <mergeCell ref="S501:T501"/>
    <mergeCell ref="A232:Z232"/>
    <mergeCell ref="P382:V382"/>
    <mergeCell ref="P357:V357"/>
    <mergeCell ref="A182:Z182"/>
    <mergeCell ref="A296:Z296"/>
    <mergeCell ref="D459:E459"/>
    <mergeCell ref="D477:E477"/>
    <mergeCell ref="A153:O154"/>
    <mergeCell ref="A193:Z193"/>
    <mergeCell ref="P375:T375"/>
    <mergeCell ref="P204:T204"/>
    <mergeCell ref="P446:T446"/>
    <mergeCell ref="A369:Z369"/>
    <mergeCell ref="A198:Z198"/>
    <mergeCell ref="J9:M9"/>
    <mergeCell ref="P389:V389"/>
    <mergeCell ref="A388:O389"/>
    <mergeCell ref="D62:E62"/>
    <mergeCell ref="D56:E56"/>
    <mergeCell ref="P206:T206"/>
    <mergeCell ref="L502:L503"/>
    <mergeCell ref="D491:E491"/>
    <mergeCell ref="P233:T233"/>
    <mergeCell ref="D502:D503"/>
    <mergeCell ref="D176:E176"/>
    <mergeCell ref="D127:E127"/>
    <mergeCell ref="F502:F503"/>
    <mergeCell ref="D114:E114"/>
    <mergeCell ref="P143:T143"/>
    <mergeCell ref="D51:E51"/>
    <mergeCell ref="P235:T235"/>
    <mergeCell ref="P477:T477"/>
    <mergeCell ref="P306:T306"/>
    <mergeCell ref="P157:V157"/>
    <mergeCell ref="P213:V213"/>
    <mergeCell ref="A38:Z38"/>
    <mergeCell ref="P207:T207"/>
    <mergeCell ref="P299:T299"/>
    <mergeCell ref="D438:E438"/>
    <mergeCell ref="P395:T395"/>
    <mergeCell ref="A340:Z340"/>
    <mergeCell ref="D204:E204"/>
    <mergeCell ref="P217:T217"/>
    <mergeCell ref="P459:T459"/>
    <mergeCell ref="D465:E465"/>
    <mergeCell ref="D440:E440"/>
    <mergeCell ref="P275:V275"/>
    <mergeCell ref="A252:Z252"/>
    <mergeCell ref="P461:V461"/>
    <mergeCell ref="P324:T324"/>
    <mergeCell ref="A441:O442"/>
    <mergeCell ref="A261:Z261"/>
    <mergeCell ref="P338:V338"/>
    <mergeCell ref="P313:V313"/>
    <mergeCell ref="P320:V320"/>
    <mergeCell ref="P447:V447"/>
    <mergeCell ref="A443:Z443"/>
    <mergeCell ref="P387:T387"/>
    <mergeCell ref="D433:E433"/>
    <mergeCell ref="D262:E262"/>
    <mergeCell ref="P372:V372"/>
    <mergeCell ref="P385:T385"/>
    <mergeCell ref="P115:T115"/>
    <mergeCell ref="A427:Z427"/>
    <mergeCell ref="D254:E254"/>
    <mergeCell ref="P238:T238"/>
    <mergeCell ref="A15:M15"/>
    <mergeCell ref="A88:O89"/>
    <mergeCell ref="A82:Z82"/>
    <mergeCell ref="H17:H18"/>
    <mergeCell ref="A146:Z146"/>
    <mergeCell ref="P104:V104"/>
    <mergeCell ref="A157:O158"/>
    <mergeCell ref="P27:T27"/>
    <mergeCell ref="P247:V247"/>
    <mergeCell ref="D206:E206"/>
    <mergeCell ref="D136:E136"/>
    <mergeCell ref="P34:T34"/>
    <mergeCell ref="A128:O129"/>
    <mergeCell ref="M17:M18"/>
    <mergeCell ref="O17:O18"/>
    <mergeCell ref="P62:T62"/>
    <mergeCell ref="D29:E29"/>
    <mergeCell ref="P225:V225"/>
    <mergeCell ref="D172:E172"/>
    <mergeCell ref="P51:T51"/>
    <mergeCell ref="P202:V202"/>
    <mergeCell ref="P380:T380"/>
    <mergeCell ref="P58:V58"/>
    <mergeCell ref="D434:E434"/>
    <mergeCell ref="T5:U5"/>
    <mergeCell ref="V5:W5"/>
    <mergeCell ref="D46:E46"/>
    <mergeCell ref="A490:Z490"/>
    <mergeCell ref="P294:V294"/>
    <mergeCell ref="A224:O225"/>
    <mergeCell ref="D40:E40"/>
    <mergeCell ref="P361:T361"/>
    <mergeCell ref="D233:E233"/>
    <mergeCell ref="P212:V212"/>
    <mergeCell ref="Q8:R8"/>
    <mergeCell ref="P311:T311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P368:V368"/>
    <mergeCell ref="D185:E185"/>
    <mergeCell ref="D41:E41"/>
    <mergeCell ref="A12:M12"/>
    <mergeCell ref="P293:V293"/>
    <mergeCell ref="D343:E343"/>
    <mergeCell ref="P397:T397"/>
    <mergeCell ref="K502:K503"/>
    <mergeCell ref="P74:T74"/>
    <mergeCell ref="P243:V243"/>
    <mergeCell ref="A19:Z19"/>
    <mergeCell ref="P310:T310"/>
    <mergeCell ref="A14:M14"/>
    <mergeCell ref="D280:E280"/>
    <mergeCell ref="D109:E109"/>
    <mergeCell ref="A480:Z480"/>
    <mergeCell ref="D467:E467"/>
    <mergeCell ref="P356:T356"/>
    <mergeCell ref="P25:V25"/>
    <mergeCell ref="P383:V383"/>
    <mergeCell ref="A379:Z379"/>
    <mergeCell ref="A37:Z37"/>
    <mergeCell ref="D485:E485"/>
    <mergeCell ref="P15:T16"/>
    <mergeCell ref="A325:O326"/>
    <mergeCell ref="D116:E116"/>
    <mergeCell ref="D352:E352"/>
    <mergeCell ref="A275:O276"/>
    <mergeCell ref="P23:T23"/>
    <mergeCell ref="P219:T219"/>
    <mergeCell ref="D162:E162"/>
    <mergeCell ref="D91:E91"/>
    <mergeCell ref="P272:T272"/>
    <mergeCell ref="D156:E156"/>
    <mergeCell ref="P210:T210"/>
    <mergeCell ref="P308:T308"/>
    <mergeCell ref="A267:O268"/>
    <mergeCell ref="A196:O197"/>
    <mergeCell ref="P185:T185"/>
    <mergeCell ref="D264:E264"/>
    <mergeCell ref="D93:E93"/>
    <mergeCell ref="A133:O134"/>
    <mergeCell ref="D220:E220"/>
    <mergeCell ref="P288:V288"/>
    <mergeCell ref="D328:E328"/>
    <mergeCell ref="A188:Z188"/>
    <mergeCell ref="P216:T216"/>
    <mergeCell ref="Z502:Z503"/>
    <mergeCell ref="R502:R503"/>
    <mergeCell ref="P132:T132"/>
    <mergeCell ref="P367:V367"/>
    <mergeCell ref="A122:O123"/>
    <mergeCell ref="P75:V75"/>
    <mergeCell ref="D330:E330"/>
    <mergeCell ref="P304:V304"/>
    <mergeCell ref="P181:V181"/>
    <mergeCell ref="A421:Z421"/>
    <mergeCell ref="A98:Z98"/>
    <mergeCell ref="A201:O202"/>
    <mergeCell ref="D350:E350"/>
    <mergeCell ref="P408:V408"/>
    <mergeCell ref="A338:O339"/>
    <mergeCell ref="P208:T208"/>
    <mergeCell ref="D396:E396"/>
    <mergeCell ref="P450:T450"/>
    <mergeCell ref="A138:O139"/>
    <mergeCell ref="D398:E398"/>
    <mergeCell ref="D454:E454"/>
    <mergeCell ref="A367:O368"/>
    <mergeCell ref="D416:E416"/>
    <mergeCell ref="P497:V497"/>
    <mergeCell ref="A5:C5"/>
    <mergeCell ref="P412:V412"/>
    <mergeCell ref="P406:T406"/>
    <mergeCell ref="P64:V64"/>
    <mergeCell ref="P362:V362"/>
    <mergeCell ref="P191:V191"/>
    <mergeCell ref="D179:E179"/>
    <mergeCell ref="U501:W501"/>
    <mergeCell ref="P420:V420"/>
    <mergeCell ref="D337:E337"/>
    <mergeCell ref="D166:E166"/>
    <mergeCell ref="A410:Z410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401:E401"/>
    <mergeCell ref="D168:E168"/>
    <mergeCell ref="D466:E466"/>
    <mergeCell ref="P66:T66"/>
    <mergeCell ref="A6:C6"/>
    <mergeCell ref="P416:T416"/>
    <mergeCell ref="P167:T167"/>
    <mergeCell ref="P142:T142"/>
    <mergeCell ref="A161:Z161"/>
    <mergeCell ref="D148:E148"/>
    <mergeCell ref="D324:E324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A68:O69"/>
    <mergeCell ref="P196:V196"/>
    <mergeCell ref="A43:O44"/>
    <mergeCell ref="P133:V133"/>
    <mergeCell ref="P137:T137"/>
    <mergeCell ref="D9:E9"/>
    <mergeCell ref="F9:G9"/>
    <mergeCell ref="P53:T53"/>
    <mergeCell ref="D167:E167"/>
    <mergeCell ref="Q9:R9"/>
    <mergeCell ref="P267:V267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Q11:R11"/>
    <mergeCell ref="D322:E322"/>
    <mergeCell ref="P376:T376"/>
    <mergeCell ref="A290:Z290"/>
    <mergeCell ref="P205:T205"/>
    <mergeCell ref="D453:E453"/>
    <mergeCell ref="D309:E309"/>
    <mergeCell ref="P467:T467"/>
    <mergeCell ref="P351:T351"/>
    <mergeCell ref="A419:O420"/>
    <mergeCell ref="P264:T264"/>
    <mergeCell ref="P239:T239"/>
    <mergeCell ref="P186:V186"/>
    <mergeCell ref="A312:O313"/>
    <mergeCell ref="P52:T52"/>
    <mergeCell ref="P350:T350"/>
    <mergeCell ref="P201:V201"/>
    <mergeCell ref="P481:T481"/>
    <mergeCell ref="P139:V139"/>
    <mergeCell ref="I17:I18"/>
    <mergeCell ref="A319:O320"/>
    <mergeCell ref="D306:E306"/>
    <mergeCell ref="P189:T189"/>
    <mergeCell ref="P424:V424"/>
    <mergeCell ref="A246:O247"/>
    <mergeCell ref="P287:T287"/>
    <mergeCell ref="P281:T281"/>
    <mergeCell ref="P352:T352"/>
    <mergeCell ref="P470:V470"/>
    <mergeCell ref="D72:E72"/>
    <mergeCell ref="A120:Z120"/>
    <mergeCell ref="P276:V276"/>
    <mergeCell ref="D235:E235"/>
    <mergeCell ref="P353:T353"/>
    <mergeCell ref="D169:E169"/>
    <mergeCell ref="D52:E52"/>
    <mergeCell ref="D27:E27"/>
    <mergeCell ref="D137:E137"/>
    <mergeCell ref="Y502:Y503"/>
    <mergeCell ref="A482:O483"/>
    <mergeCell ref="D329:E329"/>
    <mergeCell ref="P286:T286"/>
    <mergeCell ref="D400:E400"/>
    <mergeCell ref="P131:T131"/>
    <mergeCell ref="D108:E108"/>
    <mergeCell ref="D375:E375"/>
    <mergeCell ref="P429:T429"/>
    <mergeCell ref="A111:O112"/>
    <mergeCell ref="P423:T423"/>
    <mergeCell ref="P223:T223"/>
    <mergeCell ref="A494:O499"/>
    <mergeCell ref="C501:H501"/>
    <mergeCell ref="X502:X503"/>
    <mergeCell ref="P499:V499"/>
    <mergeCell ref="S502:S503"/>
    <mergeCell ref="P451:T451"/>
    <mergeCell ref="D335:E335"/>
    <mergeCell ref="A203:Z203"/>
    <mergeCell ref="P245:T245"/>
    <mergeCell ref="P491:T491"/>
    <mergeCell ref="P322:T322"/>
    <mergeCell ref="P211:T211"/>
    <mergeCell ref="A26:Z26"/>
    <mergeCell ref="P401:T401"/>
    <mergeCell ref="A469:O470"/>
    <mergeCell ref="D211:E211"/>
    <mergeCell ref="P168:T168"/>
    <mergeCell ref="P190:V190"/>
    <mergeCell ref="P466:T466"/>
    <mergeCell ref="D1:F1"/>
    <mergeCell ref="P488:V488"/>
    <mergeCell ref="A456:O457"/>
    <mergeCell ref="P282:V282"/>
    <mergeCell ref="P111:V111"/>
    <mergeCell ref="J17:J18"/>
    <mergeCell ref="L17:L18"/>
    <mergeCell ref="D240:E240"/>
    <mergeCell ref="A244:Z244"/>
    <mergeCell ref="P255:T255"/>
    <mergeCell ref="P48:V48"/>
    <mergeCell ref="P346:V346"/>
    <mergeCell ref="A165:Z165"/>
    <mergeCell ref="A293:O294"/>
    <mergeCell ref="P112:V112"/>
    <mergeCell ref="D100:E100"/>
    <mergeCell ref="P17:T18"/>
    <mergeCell ref="Y501:Z501"/>
    <mergeCell ref="P502:P503"/>
    <mergeCell ref="P475:V475"/>
    <mergeCell ref="D356:E356"/>
    <mergeCell ref="H502:H503"/>
    <mergeCell ref="P164:V164"/>
    <mergeCell ref="A45:Z45"/>
    <mergeCell ref="A458:Z458"/>
    <mergeCell ref="P35:V35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250:O251"/>
    <mergeCell ref="A492:O493"/>
    <mergeCell ref="D308:E308"/>
    <mergeCell ref="D380:E380"/>
    <mergeCell ref="P337:T337"/>
    <mergeCell ref="D209:E209"/>
    <mergeCell ref="P166:T166"/>
    <mergeCell ref="P42:T42"/>
    <mergeCell ref="A474:O475"/>
    <mergeCell ref="A303:O304"/>
    <mergeCell ref="D361:E361"/>
    <mergeCell ref="D417:E417"/>
    <mergeCell ref="D94:E94"/>
    <mergeCell ref="A392:Z392"/>
    <mergeCell ref="P148:T148"/>
    <mergeCell ref="A47:O48"/>
    <mergeCell ref="P240:T240"/>
    <mergeCell ref="D354:E354"/>
    <mergeCell ref="A332:O333"/>
    <mergeCell ref="P460:V460"/>
    <mergeCell ref="D147:E147"/>
    <mergeCell ref="D445:E445"/>
    <mergeCell ref="D274:E274"/>
    <mergeCell ref="D301:E301"/>
    <mergeCell ref="D245:E245"/>
    <mergeCell ref="P116:T116"/>
    <mergeCell ref="P103:T103"/>
    <mergeCell ref="A471:Z471"/>
    <mergeCell ref="A77:Z77"/>
    <mergeCell ref="P194:T194"/>
    <mergeCell ref="A180:O181"/>
    <mergeCell ref="P487:V487"/>
    <mergeCell ref="P266:T266"/>
    <mergeCell ref="P331:T331"/>
    <mergeCell ref="A212:O213"/>
    <mergeCell ref="H1:Q1"/>
    <mergeCell ref="A305:Z305"/>
    <mergeCell ref="P345:V345"/>
    <mergeCell ref="P246:V24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D55:E55"/>
    <mergeCell ref="A95:O96"/>
    <mergeCell ref="D353:E353"/>
    <mergeCell ref="D30:E30"/>
    <mergeCell ref="D67:E67"/>
    <mergeCell ref="A140:Z140"/>
    <mergeCell ref="D5:E5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302:E302"/>
    <mergeCell ref="P173:T173"/>
    <mergeCell ref="P29:T29"/>
    <mergeCell ref="P271:T271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A226:Z226"/>
    <mergeCell ref="P329:T329"/>
    <mergeCell ref="P180:V180"/>
    <mergeCell ref="O502:O503"/>
    <mergeCell ref="P381:T381"/>
    <mergeCell ref="Q502:Q503"/>
    <mergeCell ref="D253:E253"/>
    <mergeCell ref="D53:E53"/>
    <mergeCell ref="D351:E351"/>
    <mergeCell ref="D411:E411"/>
    <mergeCell ref="P209:T209"/>
    <mergeCell ref="P147:T147"/>
    <mergeCell ref="P445:T445"/>
    <mergeCell ref="P96:V96"/>
    <mergeCell ref="P332:V332"/>
    <mergeCell ref="P388:V388"/>
    <mergeCell ref="A384:Z384"/>
    <mergeCell ref="B502:B503"/>
    <mergeCell ref="A449:Z449"/>
    <mergeCell ref="P234:T234"/>
    <mergeCell ref="P325:V325"/>
    <mergeCell ref="A321:Z321"/>
    <mergeCell ref="P154:V154"/>
    <mergeCell ref="D142:E142"/>
    <mergeCell ref="D429:E429"/>
    <mergeCell ref="P473:T473"/>
    <mergeCell ref="A462:Z462"/>
    <mergeCell ref="R1:T1"/>
    <mergeCell ref="P150:T150"/>
    <mergeCell ref="D71:E71"/>
    <mergeCell ref="P221:T221"/>
    <mergeCell ref="P28:T28"/>
    <mergeCell ref="A345:O346"/>
    <mergeCell ref="P386:T386"/>
    <mergeCell ref="D307:E307"/>
    <mergeCell ref="P215:T215"/>
    <mergeCell ref="P229:V229"/>
    <mergeCell ref="A282:O283"/>
    <mergeCell ref="P152:T152"/>
    <mergeCell ref="D73:E73"/>
    <mergeCell ref="P30:T30"/>
    <mergeCell ref="P377:V377"/>
    <mergeCell ref="P230:V230"/>
    <mergeCell ref="A63:O64"/>
    <mergeCell ref="B17:B18"/>
    <mergeCell ref="D131:E131"/>
    <mergeCell ref="A260:Z260"/>
    <mergeCell ref="P56:T56"/>
    <mergeCell ref="D195:E195"/>
    <mergeCell ref="V10:W10"/>
    <mergeCell ref="D360:E360"/>
    <mergeCell ref="D486:E486"/>
    <mergeCell ref="P86:T86"/>
    <mergeCell ref="P328:T328"/>
    <mergeCell ref="D78:E78"/>
    <mergeCell ref="P455:T455"/>
    <mergeCell ref="D376:E376"/>
    <mergeCell ref="D205:E205"/>
    <mergeCell ref="P249:T249"/>
    <mergeCell ref="P172:T172"/>
    <mergeCell ref="P432:T432"/>
    <mergeCell ref="P402:V402"/>
    <mergeCell ref="P452:T452"/>
    <mergeCell ref="P448:V448"/>
    <mergeCell ref="P441:V441"/>
    <mergeCell ref="A407:O408"/>
    <mergeCell ref="A124:Z124"/>
    <mergeCell ref="D189:E189"/>
    <mergeCell ref="D431:E431"/>
    <mergeCell ref="A229:O230"/>
    <mergeCell ref="A422:Z422"/>
    <mergeCell ref="P366:T366"/>
    <mergeCell ref="D287:E287"/>
    <mergeCell ref="P170:T170"/>
    <mergeCell ref="P468:T468"/>
    <mergeCell ref="H9:I9"/>
    <mergeCell ref="P224:V224"/>
    <mergeCell ref="P24:V24"/>
    <mergeCell ref="A49:Z49"/>
    <mergeCell ref="D281:E281"/>
    <mergeCell ref="P89:V89"/>
    <mergeCell ref="A334:Z334"/>
    <mergeCell ref="P454:T454"/>
    <mergeCell ref="D297:E297"/>
    <mergeCell ref="P259:V259"/>
    <mergeCell ref="P88:V88"/>
    <mergeCell ref="P153:V153"/>
    <mergeCell ref="D263:E263"/>
    <mergeCell ref="P220:T220"/>
    <mergeCell ref="A65:Z65"/>
    <mergeCell ref="D238:E238"/>
    <mergeCell ref="P99:T99"/>
    <mergeCell ref="P316:T316"/>
    <mergeCell ref="D66:E66"/>
    <mergeCell ref="D126:E126"/>
    <mergeCell ref="A50:Z50"/>
    <mergeCell ref="W17:W18"/>
    <mergeCell ref="D406:E406"/>
    <mergeCell ref="P251:V251"/>
    <mergeCell ref="P79:T79"/>
    <mergeCell ref="D473:E473"/>
    <mergeCell ref="D60:E60"/>
    <mergeCell ref="P73:T73"/>
    <mergeCell ref="P437:T437"/>
    <mergeCell ref="P315:T315"/>
    <mergeCell ref="A190:O191"/>
    <mergeCell ref="D423:E423"/>
    <mergeCell ref="P302:T302"/>
    <mergeCell ref="D174:E174"/>
    <mergeCell ref="D472:E472"/>
    <mergeCell ref="A83:Z83"/>
    <mergeCell ref="A270:Z270"/>
    <mergeCell ref="P118:V118"/>
    <mergeCell ref="A70:Z70"/>
    <mergeCell ref="P453:T453"/>
    <mergeCell ref="P80:V80"/>
    <mergeCell ref="D74:E74"/>
    <mergeCell ref="P87:T87"/>
    <mergeCell ref="D399:E399"/>
    <mergeCell ref="D132:E132"/>
    <mergeCell ref="P309:T309"/>
    <mergeCell ref="A377:O378"/>
    <mergeCell ref="D178:E17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 X40:X41 X46 X51 X55 X60 X72 X74 X78:X79 X84 X87 X91 X94 X99 X101:X102 X114:X117 X121 X126:X127 X131:X132 X137 X143 X147 X151 X166 X168 X170 X172 X177 X195 X204:X209 X211 X217:X223 X227 X236 X240 X262 X264 X266 X281 X291 X298:X299 X301:X302 X306:X307 X309:X311 X315 X318 X322:X324 X331 X342:X344 X356 X365:X366 X375:X376 X380 X385:X386 X393 X395 X405:X406 X415 X429 X432:X433 X435 X444 X450:X452 X467 X481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761</v>
      </c>
      <c r="H1" s="52"/>
    </row>
    <row r="3" spans="2:8" x14ac:dyDescent="0.2">
      <c r="B3" s="47" t="s">
        <v>762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763</v>
      </c>
      <c r="D6" s="47" t="s">
        <v>764</v>
      </c>
      <c r="E6" s="47"/>
    </row>
    <row r="8" spans="2:8" x14ac:dyDescent="0.2">
      <c r="B8" s="47" t="s">
        <v>19</v>
      </c>
      <c r="C8" s="47" t="s">
        <v>763</v>
      </c>
      <c r="D8" s="47"/>
      <c r="E8" s="47"/>
    </row>
    <row r="10" spans="2:8" x14ac:dyDescent="0.2">
      <c r="B10" s="47" t="s">
        <v>765</v>
      </c>
      <c r="C10" s="47"/>
      <c r="D10" s="47"/>
      <c r="E10" s="47"/>
    </row>
    <row r="11" spans="2:8" x14ac:dyDescent="0.2">
      <c r="B11" s="47" t="s">
        <v>766</v>
      </c>
      <c r="C11" s="47"/>
      <c r="D11" s="47"/>
      <c r="E11" s="47"/>
    </row>
    <row r="12" spans="2:8" x14ac:dyDescent="0.2">
      <c r="B12" s="47" t="s">
        <v>767</v>
      </c>
      <c r="C12" s="47"/>
      <c r="D12" s="47"/>
      <c r="E12" s="47"/>
    </row>
    <row r="13" spans="2:8" x14ac:dyDescent="0.2">
      <c r="B13" s="47" t="s">
        <v>768</v>
      </c>
      <c r="C13" s="47"/>
      <c r="D13" s="47"/>
      <c r="E13" s="47"/>
    </row>
    <row r="14" spans="2:8" x14ac:dyDescent="0.2">
      <c r="B14" s="47" t="s">
        <v>769</v>
      </c>
      <c r="C14" s="47"/>
      <c r="D14" s="47"/>
      <c r="E14" s="47"/>
    </row>
    <row r="15" spans="2:8" x14ac:dyDescent="0.2">
      <c r="B15" s="47" t="s">
        <v>770</v>
      </c>
      <c r="C15" s="47"/>
      <c r="D15" s="47"/>
      <c r="E15" s="47"/>
    </row>
    <row r="16" spans="2:8" x14ac:dyDescent="0.2">
      <c r="B16" s="47" t="s">
        <v>771</v>
      </c>
      <c r="C16" s="47"/>
      <c r="D16" s="47"/>
      <c r="E16" s="47"/>
    </row>
    <row r="17" spans="2:5" x14ac:dyDescent="0.2">
      <c r="B17" s="47" t="s">
        <v>772</v>
      </c>
      <c r="C17" s="47"/>
      <c r="D17" s="47"/>
      <c r="E17" s="47"/>
    </row>
    <row r="18" spans="2:5" x14ac:dyDescent="0.2">
      <c r="B18" s="47" t="s">
        <v>773</v>
      </c>
      <c r="C18" s="47"/>
      <c r="D18" s="47"/>
      <c r="E18" s="47"/>
    </row>
    <row r="19" spans="2:5" x14ac:dyDescent="0.2">
      <c r="B19" s="47" t="s">
        <v>774</v>
      </c>
      <c r="C19" s="47"/>
      <c r="D19" s="47"/>
      <c r="E19" s="47"/>
    </row>
    <row r="20" spans="2:5" x14ac:dyDescent="0.2">
      <c r="B20" s="47" t="s">
        <v>775</v>
      </c>
      <c r="C20" s="47"/>
      <c r="D20" s="47"/>
      <c r="E20" s="47"/>
    </row>
  </sheetData>
  <sheetProtection algorithmName="SHA-512" hashValue="OBYeWXJl9DcfCyFzkirMSgIbta9txFX5XnBrGMZggZI6sUcOqUEuX+Jxi54q10D/h9/yuMguJTQX7blqTDiKjA==" saltValue="K29+IeUw+5vdKVsYSg6m9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989</vt:i4>
      </vt:variant>
    </vt:vector>
  </HeadingPairs>
  <TitlesOfParts>
    <vt:vector size="9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2026-01-20T10:24:16Z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