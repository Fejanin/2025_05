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6A39C3-6EFE-4CE4-8B91-1AE520F0FBF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P490" i="2"/>
  <c r="BO489" i="2"/>
  <c r="BM489" i="2"/>
  <c r="Y489" i="2"/>
  <c r="P489" i="2"/>
  <c r="X487" i="2"/>
  <c r="X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D537" i="2" l="1"/>
  <c r="Y389" i="2"/>
  <c r="Y396" i="2"/>
  <c r="Y376" i="2"/>
  <c r="Y140" i="2"/>
  <c r="Z509" i="2"/>
  <c r="Y502" i="2"/>
  <c r="Z501" i="2"/>
  <c r="Z502" i="2" s="1"/>
  <c r="Z495" i="2"/>
  <c r="BN494" i="2"/>
  <c r="BN491" i="2"/>
  <c r="BP490" i="2"/>
  <c r="BN489" i="2"/>
  <c r="Z485" i="2"/>
  <c r="BP479" i="2"/>
  <c r="Z479" i="2"/>
  <c r="BN471" i="2"/>
  <c r="Y466" i="2"/>
  <c r="BP453" i="2"/>
  <c r="BN453" i="2"/>
  <c r="Z453" i="2"/>
  <c r="BP381" i="2"/>
  <c r="BP304" i="2"/>
  <c r="BP444" i="2"/>
  <c r="BN444" i="2"/>
  <c r="Z444" i="2"/>
  <c r="BN438" i="2"/>
  <c r="Z437" i="2"/>
  <c r="BN436" i="2"/>
  <c r="Y434" i="2"/>
  <c r="Y433" i="2"/>
  <c r="BN432" i="2"/>
  <c r="BN427" i="2"/>
  <c r="Z412" i="2"/>
  <c r="BN407" i="2"/>
  <c r="BP406" i="2"/>
  <c r="Z406" i="2"/>
  <c r="BN404" i="2"/>
  <c r="Z402" i="2"/>
  <c r="Y395" i="2"/>
  <c r="BN394" i="2"/>
  <c r="BN393" i="2"/>
  <c r="BP392" i="2"/>
  <c r="Z392" i="2"/>
  <c r="BN386" i="2"/>
  <c r="BN379" i="2"/>
  <c r="BP374" i="2"/>
  <c r="Z368" i="2"/>
  <c r="Z365" i="2"/>
  <c r="BN361" i="2"/>
  <c r="BP360" i="2"/>
  <c r="BN360" i="2"/>
  <c r="Z360" i="2"/>
  <c r="BP359" i="2"/>
  <c r="Z359" i="2"/>
  <c r="Z358" i="2"/>
  <c r="BN355" i="2"/>
  <c r="BN351" i="2"/>
  <c r="BP350" i="2"/>
  <c r="BN350" i="2"/>
  <c r="Z350" i="2"/>
  <c r="BP349" i="2"/>
  <c r="Z349" i="2"/>
  <c r="Z348" i="2"/>
  <c r="BP347" i="2"/>
  <c r="BN340" i="2"/>
  <c r="BP339" i="2"/>
  <c r="BN339" i="2"/>
  <c r="Z339" i="2"/>
  <c r="BN334" i="2"/>
  <c r="BN326" i="2"/>
  <c r="Z325" i="2"/>
  <c r="BN319" i="2"/>
  <c r="Y295" i="2"/>
  <c r="BP288" i="2"/>
  <c r="Z283" i="2"/>
  <c r="Z277" i="2"/>
  <c r="Z273" i="2"/>
  <c r="BN272" i="2"/>
  <c r="BP271" i="2"/>
  <c r="Z271" i="2"/>
  <c r="BP270" i="2"/>
  <c r="Z270" i="2"/>
  <c r="Z268" i="2"/>
  <c r="Z267" i="2"/>
  <c r="Z265" i="2"/>
  <c r="Z262" i="2"/>
  <c r="Z257" i="2"/>
  <c r="BN255" i="2"/>
  <c r="Z255" i="2"/>
  <c r="BP254" i="2"/>
  <c r="Z254" i="2"/>
  <c r="Z252" i="2"/>
  <c r="Z247" i="2"/>
  <c r="BP241" i="2"/>
  <c r="BN241" i="2"/>
  <c r="Z241" i="2"/>
  <c r="BP231" i="2"/>
  <c r="BN231" i="2"/>
  <c r="Z231" i="2"/>
  <c r="Z304" i="2"/>
  <c r="Z301" i="2"/>
  <c r="Z220" i="2"/>
  <c r="BN219" i="2"/>
  <c r="BP218" i="2"/>
  <c r="BN218" i="2"/>
  <c r="Z218" i="2"/>
  <c r="BP217" i="2"/>
  <c r="Z217" i="2"/>
  <c r="Z214" i="2"/>
  <c r="BN211" i="2"/>
  <c r="Z208" i="2"/>
  <c r="BN198" i="2"/>
  <c r="BP186" i="2"/>
  <c r="BN186" i="2"/>
  <c r="Z186" i="2"/>
  <c r="BN181" i="2"/>
  <c r="Z179" i="2"/>
  <c r="Z175" i="2"/>
  <c r="BN174" i="2"/>
  <c r="BP173" i="2"/>
  <c r="Z173" i="2"/>
  <c r="Z169" i="2"/>
  <c r="BN167" i="2"/>
  <c r="BN166" i="2"/>
  <c r="Y164" i="2"/>
  <c r="Y163" i="2"/>
  <c r="BN162" i="2"/>
  <c r="BN158" i="2"/>
  <c r="BN116" i="2"/>
  <c r="Z112" i="2"/>
  <c r="Z108" i="2"/>
  <c r="Z106" i="2"/>
  <c r="BN104" i="2"/>
  <c r="Z102" i="2"/>
  <c r="Z97" i="2"/>
  <c r="BN96" i="2"/>
  <c r="Z95" i="2"/>
  <c r="Z82" i="2"/>
  <c r="BP303" i="2"/>
  <c r="Z151" i="2"/>
  <c r="BN149" i="2"/>
  <c r="Z149" i="2"/>
  <c r="BN143" i="2"/>
  <c r="Z143" i="2"/>
  <c r="Z145" i="2" s="1"/>
  <c r="BN138" i="2"/>
  <c r="BN134" i="2"/>
  <c r="BN128" i="2"/>
  <c r="BN124" i="2"/>
  <c r="Z122" i="2"/>
  <c r="Z116" i="2"/>
  <c r="BP115" i="2"/>
  <c r="Z115" i="2"/>
  <c r="BN107" i="2"/>
  <c r="Z303" i="2"/>
  <c r="Y298" i="2"/>
  <c r="BP77" i="2"/>
  <c r="Z72" i="2"/>
  <c r="BN70" i="2"/>
  <c r="BN65" i="2"/>
  <c r="Z64" i="2"/>
  <c r="BN63" i="2"/>
  <c r="Z62" i="2"/>
  <c r="BN60" i="2"/>
  <c r="BN54" i="2"/>
  <c r="Z53" i="2"/>
  <c r="BN52" i="2"/>
  <c r="BN44" i="2"/>
  <c r="Z44" i="2"/>
  <c r="BN42" i="2"/>
  <c r="Z36" i="2"/>
  <c r="Z37" i="2" s="1"/>
  <c r="Z31" i="2"/>
  <c r="BP30" i="2"/>
  <c r="BN28" i="2"/>
  <c r="BP23" i="2"/>
  <c r="Z23" i="2"/>
  <c r="X528" i="2"/>
  <c r="BN485" i="2"/>
  <c r="BN484" i="2"/>
  <c r="BN474" i="2"/>
  <c r="Z465" i="2"/>
  <c r="BN463" i="2"/>
  <c r="Y455" i="2"/>
  <c r="BN454" i="2"/>
  <c r="Y456" i="2"/>
  <c r="BN449" i="2"/>
  <c r="Z449" i="2"/>
  <c r="BN446" i="2"/>
  <c r="Z380" i="2"/>
  <c r="Z374" i="2"/>
  <c r="Z372" i="2"/>
  <c r="Z312" i="2"/>
  <c r="BN304" i="2"/>
  <c r="Z51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14" i="2" l="1"/>
  <c r="Z455" i="2"/>
  <c r="Z395" i="2"/>
  <c r="Z187" i="2"/>
  <c r="Z182" i="2"/>
  <c r="Z140" i="2"/>
  <c r="Z369" i="2"/>
  <c r="Z429" i="2"/>
  <c r="Z450" i="2"/>
  <c r="Z248" i="2"/>
  <c r="Z279" i="2"/>
  <c r="Z375" i="2"/>
  <c r="Z382" i="2"/>
  <c r="Z466" i="2"/>
  <c r="X530" i="2"/>
  <c r="Z330" i="2"/>
  <c r="Z83" i="2"/>
  <c r="Z439" i="2"/>
  <c r="Z511" i="2"/>
  <c r="Z91" i="2"/>
  <c r="Z98" i="2"/>
  <c r="Z200" i="2"/>
  <c r="Z243" i="2"/>
  <c r="Z496" i="2"/>
  <c r="Z135" i="2"/>
  <c r="Z159" i="2"/>
  <c r="Z388" i="2"/>
  <c r="Z419" i="2"/>
  <c r="Z408" i="2"/>
  <c r="Z362" i="2"/>
  <c r="Z24" i="2"/>
  <c r="Z66" i="2"/>
  <c r="Z109" i="2"/>
  <c r="Z176" i="2"/>
  <c r="Z227" i="2"/>
  <c r="Z520" i="2"/>
  <c r="Z153" i="2"/>
  <c r="Z222" i="2"/>
  <c r="Z274" i="2"/>
  <c r="Z290" i="2"/>
  <c r="Z305" i="2"/>
  <c r="Z55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<sst xmlns="http://schemas.openxmlformats.org/spreadsheetml/2006/main" count="3957" uniqueCount="845">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</sst>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="88" zoomScaleNormal="88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844</v>
      </c>
      <c r="I5" s="935"/>
      <c r="J5" s="935"/>
      <c r="K5" s="935"/>
      <c r="L5" s="935"/>
      <c r="M5" s="935"/>
      <c r="N5" s="69"/>
      <c r="P5" s="26" t="s">
        <v>4</v>
      </c>
      <c r="Q5" s="937">
        <v>46202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Понедельник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0.58333333333333337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37.037037037037038</v>
      </c>
      <c r="Y55" s="41">
        <f>IFERROR(Y51/H51,"0")+IFERROR(Y52/H52,"0")+IFERROR(Y53/H53,"0")+IFERROR(Y54/H54,"0")</f>
        <v>38</v>
      </c>
      <c r="Z55" s="41">
        <f>IFERROR(IF(Z51="",0,Z51),"0")+IFERROR(IF(Z52="",0,Z52),"0")+IFERROR(IF(Z53="",0,Z53),"0")+IFERROR(IF(Z54="",0,Z54),"0")</f>
        <v>0.72123999999999999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400</v>
      </c>
      <c r="Y56" s="41">
        <f>IFERROR(SUM(Y51:Y54),"0")</f>
        <v>410.40000000000003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400</v>
      </c>
      <c r="Y61" s="53">
        <f t="shared" si="6"/>
        <v>410.40000000000003</v>
      </c>
      <c r="Z61" s="39">
        <f>IFERROR(IF(Y61=0,"",ROUNDUP(Y61/H61,0)*0.01898),"")</f>
        <v>0.72123999999999999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415.18518518518516</v>
      </c>
      <c r="BN61" s="75">
        <f t="shared" si="8"/>
        <v>425.98</v>
      </c>
      <c r="BO61" s="75">
        <f t="shared" si="9"/>
        <v>0.57870370370370372</v>
      </c>
      <c r="BP61" s="75">
        <f t="shared" si="10"/>
        <v>0.59375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37.037037037037038</v>
      </c>
      <c r="Y66" s="41">
        <f>IFERROR(Y59/H59,"0")+IFERROR(Y60/H60,"0")+IFERROR(Y61/H61,"0")+IFERROR(Y62/H62,"0")+IFERROR(Y63/H63,"0")+IFERROR(Y64/H64,"0")+IFERROR(Y65/H65,"0")</f>
        <v>38</v>
      </c>
      <c r="Z66" s="41">
        <f>IFERROR(IF(Z59="",0,Z59),"0")+IFERROR(IF(Z60="",0,Z60),"0")+IFERROR(IF(Z61="",0,Z61),"0")+IFERROR(IF(Z62="",0,Z62),"0")+IFERROR(IF(Z63="",0,Z63),"0")+IFERROR(IF(Z64="",0,Z64),"0")+IFERROR(IF(Z65="",0,Z65),"0")</f>
        <v>0.72123999999999999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400</v>
      </c>
      <c r="Y67" s="41">
        <f>IFERROR(SUM(Y59:Y65),"0")</f>
        <v>410.40000000000003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150</v>
      </c>
      <c r="Y69" s="53">
        <f>IFERROR(IF(X69="",0,CEILING((X69/$H69),1)*$H69),"")</f>
        <v>151.20000000000002</v>
      </c>
      <c r="Z69" s="39">
        <f>IFERROR(IF(Y69=0,"",ROUNDUP(Y69/H69,0)*0.01898),"")</f>
        <v>0.26572000000000001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155.69444444444446</v>
      </c>
      <c r="BN69" s="75">
        <f>IFERROR(Y69*I69/H69,"0")</f>
        <v>156.94</v>
      </c>
      <c r="BO69" s="75">
        <f>IFERROR(1/J69*(X69/H69),"0")</f>
        <v>0.21701388888888887</v>
      </c>
      <c r="BP69" s="75">
        <f>IFERROR(1/J69*(Y69/H69),"0")</f>
        <v>0.21875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13.888888888888888</v>
      </c>
      <c r="Y73" s="41">
        <f>IFERROR(Y69/H69,"0")+IFERROR(Y70/H70,"0")+IFERROR(Y71/H71,"0")+IFERROR(Y72/H72,"0")</f>
        <v>14</v>
      </c>
      <c r="Z73" s="41">
        <f>IFERROR(IF(Z69="",0,Z69),"0")+IFERROR(IF(Z70="",0,Z70),"0")+IFERROR(IF(Z71="",0,Z71),"0")+IFERROR(IF(Z72="",0,Z72),"0")</f>
        <v>0.26572000000000001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150</v>
      </c>
      <c r="Y74" s="41">
        <f>IFERROR(SUM(Y69:Y72),"0")</f>
        <v>151.20000000000002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60</v>
      </c>
      <c r="Y81" s="53">
        <f>IFERROR(IF(X81="",0,CEILING((X81/$H81),1)*$H81),"")</f>
        <v>62.4</v>
      </c>
      <c r="Z81" s="39">
        <f>IFERROR(IF(Y81=0,"",ROUNDUP(Y81/H81,0)*0.01898),"")</f>
        <v>0.15184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63.15384615384616</v>
      </c>
      <c r="BN81" s="75">
        <f>IFERROR(Y81*I81/H81,"0")</f>
        <v>65.680000000000007</v>
      </c>
      <c r="BO81" s="75">
        <f>IFERROR(1/J81*(X81/H81),"0")</f>
        <v>0.1201923076923077</v>
      </c>
      <c r="BP81" s="75">
        <f>IFERROR(1/J81*(Y81/H81),"0")</f>
        <v>0.125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7.6923076923076925</v>
      </c>
      <c r="Y83" s="41">
        <f>IFERROR(Y81/H81,"0")+IFERROR(Y82/H82,"0")</f>
        <v>8</v>
      </c>
      <c r="Z83" s="41">
        <f>IFERROR(IF(Z81="",0,Z81),"0")+IFERROR(IF(Z82="",0,Z82),"0")</f>
        <v>0.15184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60</v>
      </c>
      <c r="Y84" s="41">
        <f>IFERROR(SUM(Y81:Y82),"0")</f>
        <v>62.4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400</v>
      </c>
      <c r="Y87" s="53">
        <f>IFERROR(IF(X87="",0,CEILING((X87/$H87),1)*$H87),"")</f>
        <v>410.40000000000003</v>
      </c>
      <c r="Z87" s="39">
        <f>IFERROR(IF(Y87=0,"",ROUNDUP(Y87/H87,0)*0.01898),"")</f>
        <v>0.72123999999999999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415.18518518518516</v>
      </c>
      <c r="BN87" s="75">
        <f>IFERROR(Y87*I87/H87,"0")</f>
        <v>425.98</v>
      </c>
      <c r="BO87" s="75">
        <f>IFERROR(1/J87*(X87/H87),"0")</f>
        <v>0.57870370370370372</v>
      </c>
      <c r="BP87" s="75">
        <f>IFERROR(1/J87*(Y87/H87),"0")</f>
        <v>0.59375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37.037037037037038</v>
      </c>
      <c r="Y91" s="41">
        <f>IFERROR(Y87/H87,"0")+IFERROR(Y88/H88,"0")+IFERROR(Y89/H89,"0")+IFERROR(Y90/H90,"0")</f>
        <v>38</v>
      </c>
      <c r="Z91" s="41">
        <f>IFERROR(IF(Z87="",0,Z87),"0")+IFERROR(IF(Z88="",0,Z88),"0")+IFERROR(IF(Z89="",0,Z89),"0")+IFERROR(IF(Z90="",0,Z90),"0")</f>
        <v>0.72123999999999999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400</v>
      </c>
      <c r="Y92" s="41">
        <f>IFERROR(SUM(Y87:Y90),"0")</f>
        <v>410.40000000000003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150</v>
      </c>
      <c r="Y94" s="53">
        <f>IFERROR(IF(X94="",0,CEILING((X94/$H94),1)*$H94),"")</f>
        <v>153.9</v>
      </c>
      <c r="Z94" s="39">
        <f>IFERROR(IF(Y94=0,"",ROUNDUP(Y94/H94,0)*0.01898),"")</f>
        <v>0.36062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159.14814814814815</v>
      </c>
      <c r="BN94" s="75">
        <f>IFERROR(Y94*I94/H94,"0")</f>
        <v>163.286</v>
      </c>
      <c r="BO94" s="75">
        <f>IFERROR(1/J94*(X94/H94),"0")</f>
        <v>0.28935185185185186</v>
      </c>
      <c r="BP94" s="75">
        <f>IFERROR(1/J94*(Y94/H94),"0")</f>
        <v>0.296875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18.518518518518519</v>
      </c>
      <c r="Y98" s="41">
        <f>IFERROR(Y94/H94,"0")+IFERROR(Y95/H95,"0")+IFERROR(Y96/H96,"0")+IFERROR(Y97/H97,"0")</f>
        <v>19</v>
      </c>
      <c r="Z98" s="41">
        <f>IFERROR(IF(Z94="",0,Z94),"0")+IFERROR(IF(Z95="",0,Z95),"0")+IFERROR(IF(Z96="",0,Z96),"0")+IFERROR(IF(Z97="",0,Z97),"0")</f>
        <v>0.36062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150</v>
      </c>
      <c r="Y99" s="41">
        <f>IFERROR(SUM(Y94:Y97),"0")</f>
        <v>153.9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300</v>
      </c>
      <c r="Y102" s="53">
        <f t="shared" ref="Y102:Y108" si="11">IFERROR(IF(X102="",0,CEILING((X102/$H102),1)*$H102),"")</f>
        <v>302.40000000000003</v>
      </c>
      <c r="Z102" s="39">
        <f>IFERROR(IF(Y102=0,"",ROUNDUP(Y102/H102,0)*0.01898),"")</f>
        <v>0.53144000000000002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311.38888888888891</v>
      </c>
      <c r="BN102" s="75">
        <f t="shared" ref="BN102:BN108" si="13">IFERROR(Y102*I102/H102,"0")</f>
        <v>313.88</v>
      </c>
      <c r="BO102" s="75">
        <f t="shared" ref="BO102:BO108" si="14">IFERROR(1/J102*(X102/H102),"0")</f>
        <v>0.43402777777777773</v>
      </c>
      <c r="BP102" s="75">
        <f t="shared" ref="BP102:BP108" si="15">IFERROR(1/J102*(Y102/H102),"0")</f>
        <v>0.4375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27.777777777777775</v>
      </c>
      <c r="Y109" s="41">
        <f>IFERROR(Y102/H102,"0")+IFERROR(Y103/H103,"0")+IFERROR(Y104/H104,"0")+IFERROR(Y105/H105,"0")+IFERROR(Y106/H106,"0")+IFERROR(Y107/H107,"0")+IFERROR(Y108/H108,"0")</f>
        <v>28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300</v>
      </c>
      <c r="Y110" s="41">
        <f>IFERROR(SUM(Y102:Y108),"0")</f>
        <v>302.40000000000003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100</v>
      </c>
      <c r="Y112" s="53">
        <f t="shared" ref="Y112:Y117" si="16">IFERROR(IF(X112="",0,CEILING((X112/$H112),1)*$H112),"")</f>
        <v>108</v>
      </c>
      <c r="Z112" s="39">
        <f>IFERROR(IF(Y112=0,"",ROUNDUP(Y112/H112,0)*0.01898),"")</f>
        <v>0.1898</v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103.79629629629629</v>
      </c>
      <c r="BN112" s="75">
        <f t="shared" ref="BN112:BN117" si="18">IFERROR(Y112*I112/H112,"0")</f>
        <v>112.1</v>
      </c>
      <c r="BO112" s="75">
        <f t="shared" ref="BO112:BO117" si="19">IFERROR(1/J112*(X112/H112),"0")</f>
        <v>0.14467592592592593</v>
      </c>
      <c r="BP112" s="75">
        <f t="shared" ref="BP112:BP117" si="20">IFERROR(1/J112*(Y112/H112),"0")</f>
        <v>0.15625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9.2592592592592595</v>
      </c>
      <c r="Y118" s="41">
        <f>IFERROR(Y112/H112,"0")+IFERROR(Y113/H113,"0")+IFERROR(Y114/H114,"0")+IFERROR(Y115/H115,"0")+IFERROR(Y116/H116,"0")+IFERROR(Y117/H117,"0")</f>
        <v>10</v>
      </c>
      <c r="Z118" s="41">
        <f>IFERROR(IF(Z112="",0,Z112),"0")+IFERROR(IF(Z113="",0,Z113),"0")+IFERROR(IF(Z114="",0,Z114),"0")+IFERROR(IF(Z115="",0,Z115),"0")+IFERROR(IF(Z116="",0,Z116),"0")+IFERROR(IF(Z117="",0,Z117),"0")</f>
        <v>0.1898</v>
      </c>
      <c r="AA118" s="64"/>
      <c r="AB118" s="64"/>
      <c r="AC118" s="64"/>
    </row>
    <row r="119" spans="1:68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100</v>
      </c>
      <c r="Y119" s="41">
        <f>IFERROR(SUM(Y112:Y117),"0")</f>
        <v>108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650</v>
      </c>
      <c r="Y121" s="53">
        <f>IFERROR(IF(X121="",0,CEILING((X121/$H121),1)*$H121),"")</f>
        <v>656.1</v>
      </c>
      <c r="Z121" s="39">
        <f>IFERROR(IF(Y121=0,"",ROUNDUP(Y121/H121,0)*0.01898),"")</f>
        <v>1.53738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689.16049382716051</v>
      </c>
      <c r="BN121" s="75">
        <f>IFERROR(Y121*I121/H121,"0")</f>
        <v>695.62800000000004</v>
      </c>
      <c r="BO121" s="75">
        <f>IFERROR(1/J121*(X121/H121),"0")</f>
        <v>1.253858024691358</v>
      </c>
      <c r="BP121" s="75">
        <f>IFERROR(1/J121*(Y121/H121),"0")</f>
        <v>1.265625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162</v>
      </c>
      <c r="Y123" s="53">
        <f>IFERROR(IF(X123="",0,CEILING((X123/$H123),1)*$H123),"")</f>
        <v>162</v>
      </c>
      <c r="Z123" s="39">
        <f>IFERROR(IF(Y123=0,"",ROUNDUP(Y123/H123,0)*0.00651),"")</f>
        <v>0.3906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177.11999999999998</v>
      </c>
      <c r="BN123" s="75">
        <f>IFERROR(Y123*I123/H123,"0")</f>
        <v>177.11999999999998</v>
      </c>
      <c r="BO123" s="75">
        <f>IFERROR(1/J123*(X123/H123),"0")</f>
        <v>0.32967032967032966</v>
      </c>
      <c r="BP123" s="75">
        <f>IFERROR(1/J123*(Y123/H123),"0")</f>
        <v>0.32967032967032966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140.24691358024691</v>
      </c>
      <c r="Y125" s="41">
        <f>IFERROR(Y121/H121,"0")+IFERROR(Y122/H122,"0")+IFERROR(Y123/H123,"0")+IFERROR(Y124/H124,"0")</f>
        <v>141</v>
      </c>
      <c r="Z125" s="41">
        <f>IFERROR(IF(Z121="",0,Z121),"0")+IFERROR(IF(Z122="",0,Z122),"0")+IFERROR(IF(Z123="",0,Z123),"0")+IFERROR(IF(Z124="",0,Z124),"0")</f>
        <v>1.92798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812</v>
      </c>
      <c r="Y126" s="41">
        <f>IFERROR(SUM(Y121:Y124),"0")</f>
        <v>818.1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40</v>
      </c>
      <c r="Y208" s="53">
        <f t="shared" ref="Y208:Y221" si="26">IFERROR(IF(X208="",0,CEILING((X208/$H208),1)*$H208),"")</f>
        <v>42</v>
      </c>
      <c r="Z208" s="39">
        <f>IFERROR(IF(Y208=0,"",ROUNDUP(Y208/H208,0)*0.00902),"")</f>
        <v>9.0200000000000002E-2</v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42.38095238095238</v>
      </c>
      <c r="BN208" s="75">
        <f t="shared" ref="BN208:BN221" si="28">IFERROR(Y208*I208/H208,"0")</f>
        <v>44.5</v>
      </c>
      <c r="BO208" s="75">
        <f t="shared" ref="BO208:BO221" si="29">IFERROR(1/J208*(X208/H208),"0")</f>
        <v>7.2150072150072145E-2</v>
      </c>
      <c r="BP208" s="75">
        <f t="shared" ref="BP208:BP221" si="30">IFERROR(1/J208*(Y208/H208),"0")</f>
        <v>7.575757575757576E-2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9.5238095238095237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9.0200000000000002E-2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40</v>
      </c>
      <c r="Y223" s="41">
        <f>IFERROR(SUM(Y208:Y221),"0")</f>
        <v>42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70</v>
      </c>
      <c r="Y251" s="53">
        <f t="shared" ref="Y251:Y258" si="32">IFERROR(IF(X251="",0,CEILING((X251/$H251),1)*$H251),"")</f>
        <v>70.2</v>
      </c>
      <c r="Z251" s="39">
        <f>IFERROR(IF(Y251=0,"",ROUNDUP(Y251/H251,0)*0.00902),"")</f>
        <v>0.11726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72.462962962962962</v>
      </c>
      <c r="BN251" s="75">
        <f t="shared" ref="BN251:BN258" si="34">IFERROR(Y251*I251/H251,"0")</f>
        <v>72.67</v>
      </c>
      <c r="BO251" s="75">
        <f t="shared" ref="BO251:BO258" si="35">IFERROR(1/J251*(X251/H251),"0")</f>
        <v>9.8204264870931535E-2</v>
      </c>
      <c r="BP251" s="75">
        <f t="shared" ref="BP251:BP258" si="36">IFERROR(1/J251*(Y251/H251),"0")</f>
        <v>9.8484848484848481E-2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70</v>
      </c>
      <c r="Y253" s="53">
        <f t="shared" si="32"/>
        <v>70.2</v>
      </c>
      <c r="Z253" s="39">
        <f>IFERROR(IF(Y253=0,"",ROUNDUP(Y253/H253,0)*0.00902),"")</f>
        <v>0.11726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72.462962962962962</v>
      </c>
      <c r="BN253" s="75">
        <f t="shared" si="34"/>
        <v>72.67</v>
      </c>
      <c r="BO253" s="75">
        <f t="shared" si="35"/>
        <v>9.8204264870931535E-2</v>
      </c>
      <c r="BP253" s="75">
        <f t="shared" si="36"/>
        <v>9.8484848484848481E-2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70</v>
      </c>
      <c r="Y254" s="53">
        <f t="shared" si="32"/>
        <v>70.2</v>
      </c>
      <c r="Z254" s="39">
        <f>IFERROR(IF(Y254=0,"",ROUNDUP(Y254/H254,0)*0.00902),"")</f>
        <v>0.11726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72.462962962962962</v>
      </c>
      <c r="BN254" s="75">
        <f t="shared" si="34"/>
        <v>72.67</v>
      </c>
      <c r="BO254" s="75">
        <f t="shared" si="35"/>
        <v>9.8204264870931535E-2</v>
      </c>
      <c r="BP254" s="75">
        <f t="shared" si="36"/>
        <v>9.8484848484848481E-2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38.888888888888886</v>
      </c>
      <c r="Y259" s="41">
        <f>IFERROR(Y251/H251,"0")+IFERROR(Y252/H252,"0")+IFERROR(Y253/H253,"0")+IFERROR(Y254/H254,"0")+IFERROR(Y255/H255,"0")+IFERROR(Y256/H256,"0")+IFERROR(Y257/H257,"0")+IFERROR(Y258/H258,"0")</f>
        <v>39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0.35177999999999998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210</v>
      </c>
      <c r="Y260" s="41">
        <f>IFERROR(SUM(Y251:Y258),"0")</f>
        <v>210.60000000000002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60</v>
      </c>
      <c r="Y264" s="53">
        <f t="shared" si="37"/>
        <v>60.899999999999991</v>
      </c>
      <c r="Z264" s="39">
        <f>IFERROR(IF(Y264=0,"",ROUNDUP(Y264/H264,0)*0.01898),"")</f>
        <v>0.13286000000000001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63.406896551724152</v>
      </c>
      <c r="BN264" s="75">
        <f t="shared" si="39"/>
        <v>64.358000000000004</v>
      </c>
      <c r="BO264" s="75">
        <f t="shared" si="40"/>
        <v>0.10775862068965518</v>
      </c>
      <c r="BP264" s="75">
        <f t="shared" si="41"/>
        <v>0.109375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48</v>
      </c>
      <c r="Y265" s="53">
        <f t="shared" si="37"/>
        <v>48</v>
      </c>
      <c r="Z265" s="39">
        <f>IFERROR(IF(Y265=0,"",ROUNDUP(Y265/H265,0)*0.00651),"")</f>
        <v>0.13020000000000001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53.4</v>
      </c>
      <c r="BN265" s="75">
        <f t="shared" si="39"/>
        <v>53.4</v>
      </c>
      <c r="BO265" s="75">
        <f t="shared" si="40"/>
        <v>0.1098901098901099</v>
      </c>
      <c r="BP265" s="75">
        <f t="shared" si="41"/>
        <v>0.1098901098901099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168</v>
      </c>
      <c r="Y268" s="53">
        <f t="shared" si="37"/>
        <v>168</v>
      </c>
      <c r="Z268" s="39">
        <f>IFERROR(IF(Y268=0,"",ROUNDUP(Y268/H268,0)*0.00651),"")</f>
        <v>0.45569999999999999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185.64000000000001</v>
      </c>
      <c r="BN268" s="75">
        <f t="shared" si="39"/>
        <v>185.64000000000001</v>
      </c>
      <c r="BO268" s="75">
        <f t="shared" si="40"/>
        <v>0.38461538461538464</v>
      </c>
      <c r="BP268" s="75">
        <f t="shared" si="41"/>
        <v>0.38461538461538464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120</v>
      </c>
      <c r="Y270" s="53">
        <f t="shared" si="37"/>
        <v>120</v>
      </c>
      <c r="Z270" s="39">
        <f>IFERROR(IF(Y270=0,"",ROUNDUP(Y270/H270,0)*0.00651),"")</f>
        <v>0.32550000000000001</v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132.60000000000002</v>
      </c>
      <c r="BN270" s="75">
        <f t="shared" si="39"/>
        <v>132.60000000000002</v>
      </c>
      <c r="BO270" s="75">
        <f t="shared" si="40"/>
        <v>0.27472527472527475</v>
      </c>
      <c r="BP270" s="75">
        <f t="shared" si="41"/>
        <v>0.27472527472527475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48</v>
      </c>
      <c r="Y272" s="53">
        <f t="shared" si="37"/>
        <v>48</v>
      </c>
      <c r="Z272" s="39">
        <f>IFERROR(IF(Y272=0,"",ROUNDUP(Y272/H272,0)*0.00651),"")</f>
        <v>0.13020000000000001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53.160000000000004</v>
      </c>
      <c r="BN272" s="75">
        <f t="shared" si="39"/>
        <v>53.160000000000004</v>
      </c>
      <c r="BO272" s="75">
        <f t="shared" si="40"/>
        <v>0.1098901098901099</v>
      </c>
      <c r="BP272" s="75">
        <f t="shared" si="41"/>
        <v>0.1098901098901099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166.89655172413794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167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1.1744600000000001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444</v>
      </c>
      <c r="Y275" s="41">
        <f>IFERROR(SUM(Y262:Y273),"0")</f>
        <v>444.9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80</v>
      </c>
      <c r="Y309" s="53">
        <f>IFERROR(IF(X309="",0,CEILING((X309/$H309),1)*$H309),"")</f>
        <v>86.4</v>
      </c>
      <c r="Z309" s="39">
        <f>IFERROR(IF(Y309=0,"",ROUNDUP(Y309/H309,0)*0.01898),"")</f>
        <v>0.15184</v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83.037037037037038</v>
      </c>
      <c r="BN309" s="75">
        <f>IFERROR(Y309*I309/H309,"0")</f>
        <v>89.68</v>
      </c>
      <c r="BO309" s="75">
        <f>IFERROR(1/J309*(X309/H309),"0")</f>
        <v>0.11574074074074073</v>
      </c>
      <c r="BP309" s="75">
        <f>IFERROR(1/J309*(Y309/H309),"0")</f>
        <v>0.125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7.4074074074074066</v>
      </c>
      <c r="Y314" s="41">
        <f>IFERROR(Y309/H309,"0")+IFERROR(Y310/H310,"0")+IFERROR(Y311/H311,"0")+IFERROR(Y312/H312,"0")+IFERROR(Y313/H313,"0")</f>
        <v>8</v>
      </c>
      <c r="Z314" s="41">
        <f>IFERROR(IF(Z309="",0,Z309),"0")+IFERROR(IF(Z310="",0,Z310),"0")+IFERROR(IF(Z311="",0,Z311),"0")+IFERROR(IF(Z312="",0,Z312),"0")+IFERROR(IF(Z313="",0,Z313),"0")</f>
        <v>0.15184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80</v>
      </c>
      <c r="Y315" s="41">
        <f>IFERROR(SUM(Y309:Y313),"0")</f>
        <v>86.4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100</v>
      </c>
      <c r="Y339" s="53">
        <f>IFERROR(IF(X339="",0,CEILING((X339/$H339),1)*$H339),"")</f>
        <v>101.39999999999999</v>
      </c>
      <c r="Z339" s="39">
        <f>IFERROR(IF(Y339=0,"",ROUNDUP(Y339/H339,0)*0.01898),"")</f>
        <v>0.24674000000000001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105.25641025641028</v>
      </c>
      <c r="BN339" s="75">
        <f>IFERROR(Y339*I339/H339,"0")</f>
        <v>106.73</v>
      </c>
      <c r="BO339" s="75">
        <f>IFERROR(1/J339*(X339/H339),"0")</f>
        <v>0.20032051282051283</v>
      </c>
      <c r="BP339" s="75">
        <f>IFERROR(1/J339*(Y339/H339),"0")</f>
        <v>0.203125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12.820512820512821</v>
      </c>
      <c r="Y342" s="41">
        <f>IFERROR(Y339/H339,"0")+IFERROR(Y340/H340,"0")+IFERROR(Y341/H341,"0")</f>
        <v>13</v>
      </c>
      <c r="Z342" s="41">
        <f>IFERROR(IF(Z339="",0,Z339),"0")+IFERROR(IF(Z340="",0,Z340),"0")+IFERROR(IF(Z341="",0,Z341),"0")</f>
        <v>0.24674000000000001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100</v>
      </c>
      <c r="Y343" s="41">
        <f>IFERROR(SUM(Y339:Y341),"0")</f>
        <v>101.39999999999999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idden="1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80</v>
      </c>
      <c r="Y365" s="53">
        <f>IFERROR(IF(X365="",0,CEILING((X365/$H365),1)*$H365),"")</f>
        <v>85.8</v>
      </c>
      <c r="Z365" s="39">
        <f>IFERROR(IF(Y365=0,"",ROUNDUP(Y365/H365,0)*0.01898),"")</f>
        <v>0.20877999999999999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85.005128205128202</v>
      </c>
      <c r="BN365" s="75">
        <f>IFERROR(Y365*I365/H365,"0")</f>
        <v>91.168000000000006</v>
      </c>
      <c r="BO365" s="75">
        <f>IFERROR(1/J365*(X365/H365),"0")</f>
        <v>0.16025641025641027</v>
      </c>
      <c r="BP365" s="75">
        <f>IFERROR(1/J365*(Y365/H365),"0")</f>
        <v>0.171875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10.256410256410257</v>
      </c>
      <c r="Y369" s="41">
        <f>IFERROR(Y365/H365,"0")+IFERROR(Y366/H366,"0")+IFERROR(Y367/H367,"0")+IFERROR(Y368/H368,"0")</f>
        <v>11</v>
      </c>
      <c r="Z369" s="41">
        <f>IFERROR(IF(Z365="",0,Z365),"0")+IFERROR(IF(Z366="",0,Z366),"0")+IFERROR(IF(Z367="",0,Z367),"0")+IFERROR(IF(Z368="",0,Z368),"0")</f>
        <v>0.20877999999999999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80</v>
      </c>
      <c r="Y370" s="41">
        <f>IFERROR(SUM(Y365:Y368),"0")</f>
        <v>85.8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800</v>
      </c>
      <c r="Y373" s="53">
        <f>IFERROR(IF(X373="",0,CEILING((X373/$H373),1)*$H373),"")</f>
        <v>803.4</v>
      </c>
      <c r="Z373" s="39">
        <f>IFERROR(IF(Y373=0,"",ROUNDUP(Y373/H373,0)*0.01898),"")</f>
        <v>1.9549400000000001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850.66666666666674</v>
      </c>
      <c r="BN373" s="75">
        <f>IFERROR(Y373*I373/H373,"0")</f>
        <v>854.28200000000015</v>
      </c>
      <c r="BO373" s="75">
        <f>IFERROR(1/J373*(X373/H373),"0")</f>
        <v>1.6025641025641026</v>
      </c>
      <c r="BP373" s="75">
        <f>IFERROR(1/J373*(Y373/H373),"0")</f>
        <v>1.609375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102.56410256410257</v>
      </c>
      <c r="Y375" s="41">
        <f>IFERROR(Y372/H372,"0")+IFERROR(Y373/H373,"0")+IFERROR(Y374/H374,"0")</f>
        <v>103</v>
      </c>
      <c r="Z375" s="41">
        <f>IFERROR(IF(Z372="",0,Z372),"0")+IFERROR(IF(Z373="",0,Z373),"0")+IFERROR(IF(Z374="",0,Z374),"0")</f>
        <v>1.9549400000000001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800</v>
      </c>
      <c r="Y376" s="41">
        <f>IFERROR(SUM(Y372:Y374),"0")</f>
        <v>803.4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50</v>
      </c>
      <c r="Y392" s="53">
        <f>IFERROR(IF(X392="",0,CEILING((X392/$H392),1)*$H392),"")</f>
        <v>56.699999999999996</v>
      </c>
      <c r="Z392" s="39">
        <f>IFERROR(IF(Y392=0,"",ROUNDUP(Y392/H392,0)*0.01898),"")</f>
        <v>0.13286000000000001</v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53.049382716049386</v>
      </c>
      <c r="BN392" s="75">
        <f>IFERROR(Y392*I392/H392,"0")</f>
        <v>60.157999999999994</v>
      </c>
      <c r="BO392" s="75">
        <f>IFERROR(1/J392*(X392/H392),"0")</f>
        <v>9.6450617283950615E-2</v>
      </c>
      <c r="BP392" s="75">
        <f>IFERROR(1/J392*(Y392/H392),"0")</f>
        <v>0.109375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105</v>
      </c>
      <c r="Y393" s="53">
        <f>IFERROR(IF(X393="",0,CEILING((X393/$H393),1)*$H393),"")</f>
        <v>105</v>
      </c>
      <c r="Z393" s="39">
        <f>IFERROR(IF(Y393=0,"",ROUNDUP(Y393/H393,0)*0.00651),"")</f>
        <v>0.32550000000000001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117.59999999999998</v>
      </c>
      <c r="BN393" s="75">
        <f>IFERROR(Y393*I393/H393,"0")</f>
        <v>117.59999999999998</v>
      </c>
      <c r="BO393" s="75">
        <f>IFERROR(1/J393*(X393/H393),"0")</f>
        <v>0.27472527472527475</v>
      </c>
      <c r="BP393" s="75">
        <f>IFERROR(1/J393*(Y393/H393),"0")</f>
        <v>0.27472527472527475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52.5</v>
      </c>
      <c r="Y394" s="53">
        <f>IFERROR(IF(X394="",0,CEILING((X394/$H394),1)*$H394),"")</f>
        <v>52.5</v>
      </c>
      <c r="Z394" s="39">
        <f>IFERROR(IF(Y394=0,"",ROUNDUP(Y394/H394,0)*0.00651),"")</f>
        <v>0.16275000000000001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58.499999999999993</v>
      </c>
      <c r="BN394" s="75">
        <f>IFERROR(Y394*I394/H394,"0")</f>
        <v>58.499999999999993</v>
      </c>
      <c r="BO394" s="75">
        <f>IFERROR(1/J394*(X394/H394),"0")</f>
        <v>0.13736263736263737</v>
      </c>
      <c r="BP394" s="75">
        <f>IFERROR(1/J394*(Y394/H394),"0")</f>
        <v>0.13736263736263737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81.172839506172835</v>
      </c>
      <c r="Y395" s="41">
        <f>IFERROR(Y392/H392,"0")+IFERROR(Y393/H393,"0")+IFERROR(Y394/H394,"0")</f>
        <v>82</v>
      </c>
      <c r="Z395" s="41">
        <f>IFERROR(IF(Z392="",0,Z392),"0")+IFERROR(IF(Z393="",0,Z393),"0")+IFERROR(IF(Z394="",0,Z394),"0")</f>
        <v>0.62111000000000005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207.5</v>
      </c>
      <c r="Y396" s="41">
        <f>IFERROR(SUM(Y392:Y394),"0")</f>
        <v>214.2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300</v>
      </c>
      <c r="Y400" s="53">
        <f t="shared" ref="Y400:Y407" si="57">IFERROR(IF(X400="",0,CEILING((X400/$H400),1)*$H400),"")</f>
        <v>300</v>
      </c>
      <c r="Z400" s="39">
        <f>IFERROR(IF(Y400=0,"",ROUNDUP(Y400/H400,0)*0.02175),"")</f>
        <v>0.43499999999999994</v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309.39999999999998</v>
      </c>
      <c r="BN400" s="75">
        <f t="shared" ref="BN400:BN407" si="59">IFERROR(Y400*I400/H400,"0")</f>
        <v>309.39999999999998</v>
      </c>
      <c r="BO400" s="75">
        <f t="shared" ref="BO400:BO407" si="60">IFERROR(1/J400*(X400/H400),"0")</f>
        <v>0.41666666666666663</v>
      </c>
      <c r="BP400" s="75">
        <f t="shared" ref="BP400:BP407" si="61">IFERROR(1/J400*(Y400/H400),"0")</f>
        <v>0.41666666666666663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2200</v>
      </c>
      <c r="Y401" s="53">
        <f t="shared" si="57"/>
        <v>2205</v>
      </c>
      <c r="Z401" s="39">
        <f>IFERROR(IF(Y401=0,"",ROUNDUP(Y401/H401,0)*0.02175),"")</f>
        <v>3.1972499999999999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2268.9333333333334</v>
      </c>
      <c r="BN401" s="75">
        <f t="shared" si="59"/>
        <v>2274.0899999999997</v>
      </c>
      <c r="BO401" s="75">
        <f t="shared" si="60"/>
        <v>3.0555555555555554</v>
      </c>
      <c r="BP401" s="75">
        <f t="shared" si="61"/>
        <v>3.0625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1500</v>
      </c>
      <c r="Y402" s="53">
        <f t="shared" si="57"/>
        <v>1500</v>
      </c>
      <c r="Z402" s="39">
        <f>IFERROR(IF(Y402=0,"",ROUNDUP(Y402/H402,0)*0.02175),"")</f>
        <v>2.1749999999999998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1547</v>
      </c>
      <c r="BN402" s="75">
        <f t="shared" si="59"/>
        <v>1547</v>
      </c>
      <c r="BO402" s="75">
        <f t="shared" si="60"/>
        <v>2.083333333333333</v>
      </c>
      <c r="BP402" s="75">
        <f t="shared" si="61"/>
        <v>2.083333333333333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2500</v>
      </c>
      <c r="Y403" s="53">
        <f t="shared" si="57"/>
        <v>2505</v>
      </c>
      <c r="Z403" s="39">
        <f>IFERROR(IF(Y403=0,"",ROUNDUP(Y403/H403,0)*0.02175),"")</f>
        <v>3.6322499999999995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2578.3333333333335</v>
      </c>
      <c r="BN403" s="75">
        <f t="shared" si="59"/>
        <v>2583.4899999999998</v>
      </c>
      <c r="BO403" s="75">
        <f t="shared" si="60"/>
        <v>3.4722222222222219</v>
      </c>
      <c r="BP403" s="75">
        <f t="shared" si="61"/>
        <v>3.4791666666666665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433.33333333333326</v>
      </c>
      <c r="Y408" s="41">
        <f>IFERROR(Y400/H400,"0")+IFERROR(Y401/H401,"0")+IFERROR(Y402/H402,"0")+IFERROR(Y403/H403,"0")+IFERROR(Y404/H404,"0")+IFERROR(Y405/H405,"0")+IFERROR(Y406/H406,"0")+IFERROR(Y407/H407,"0")</f>
        <v>434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9.4394999999999989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6500</v>
      </c>
      <c r="Y409" s="41">
        <f>IFERROR(SUM(Y400:Y407),"0")</f>
        <v>6510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2000</v>
      </c>
      <c r="Y411" s="53">
        <f>IFERROR(IF(X411="",0,CEILING((X411/$H411),1)*$H411),"")</f>
        <v>2010</v>
      </c>
      <c r="Z411" s="39">
        <f>IFERROR(IF(Y411=0,"",ROUNDUP(Y411/H411,0)*0.02175),"")</f>
        <v>2.9144999999999999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2062.6666666666665</v>
      </c>
      <c r="BN411" s="75">
        <f>IFERROR(Y411*I411/H411,"0")</f>
        <v>2072.98</v>
      </c>
      <c r="BO411" s="75">
        <f>IFERROR(1/J411*(X411/H411),"0")</f>
        <v>2.7777777777777777</v>
      </c>
      <c r="BP411" s="75">
        <f>IFERROR(1/J411*(Y411/H411),"0")</f>
        <v>2.7916666666666665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200</v>
      </c>
      <c r="Y412" s="53">
        <f>IFERROR(IF(X412="",0,CEILING((X412/$H412),1)*$H412),"")</f>
        <v>210</v>
      </c>
      <c r="Z412" s="39">
        <f>IFERROR(IF(Y412=0,"",ROUNDUP(Y412/H412,0)*0.02175),"")</f>
        <v>0.30449999999999999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206.26666666666668</v>
      </c>
      <c r="BN412" s="75">
        <f>IFERROR(Y412*I412/H412,"0")</f>
        <v>216.58</v>
      </c>
      <c r="BO412" s="75">
        <f>IFERROR(1/J412*(X412/H412),"0")</f>
        <v>0.27777777777777779</v>
      </c>
      <c r="BP412" s="75">
        <f>IFERROR(1/J412*(Y412/H412),"0")</f>
        <v>0.29166666666666663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146.66666666666669</v>
      </c>
      <c r="Y414" s="41">
        <f>IFERROR(Y411/H411,"0")+IFERROR(Y412/H412,"0")+IFERROR(Y413/H413,"0")</f>
        <v>148</v>
      </c>
      <c r="Z414" s="41">
        <f>IFERROR(IF(Z411="",0,Z411),"0")+IFERROR(IF(Z412="",0,Z412),"0")+IFERROR(IF(Z413="",0,Z413),"0")</f>
        <v>3.2189999999999999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2200</v>
      </c>
      <c r="Y415" s="41">
        <f>IFERROR(SUM(Y411:Y413),"0")</f>
        <v>2220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50</v>
      </c>
      <c r="Y422" s="53">
        <f>IFERROR(IF(X422="",0,CEILING((X422/$H422),1)*$H422),"")</f>
        <v>54</v>
      </c>
      <c r="Z422" s="39">
        <f>IFERROR(IF(Y422=0,"",ROUNDUP(Y422/H422,0)*0.01898),"")</f>
        <v>0.11388000000000001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52.74444444444444</v>
      </c>
      <c r="BN422" s="75">
        <f>IFERROR(Y422*I422/H422,"0")</f>
        <v>56.963999999999992</v>
      </c>
      <c r="BO422" s="75">
        <f>IFERROR(1/J422*(X422/H422),"0")</f>
        <v>8.6805555555555552E-2</v>
      </c>
      <c r="BP422" s="75">
        <f>IFERROR(1/J422*(Y422/H422),"0")</f>
        <v>9.375E-2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5.5555555555555554</v>
      </c>
      <c r="Y423" s="41">
        <f>IFERROR(Y422/H422,"0")</f>
        <v>6</v>
      </c>
      <c r="Z423" s="41">
        <f>IFERROR(IF(Z422="",0,Z422),"0")</f>
        <v>0.11388000000000001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50</v>
      </c>
      <c r="Y424" s="41">
        <f>IFERROR(SUM(Y422:Y422),"0")</f>
        <v>54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96</v>
      </c>
      <c r="Y437" s="53">
        <f>IFERROR(IF(X437="",0,CEILING((X437/$H437),1)*$H437),"")</f>
        <v>96</v>
      </c>
      <c r="Z437" s="39">
        <f>IFERROR(IF(Y437=0,"",ROUNDUP(Y437/H437,0)*0.00651),"")</f>
        <v>0.26040000000000002</v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106.56000000000002</v>
      </c>
      <c r="BN437" s="75">
        <f>IFERROR(Y437*I437/H437,"0")</f>
        <v>106.56000000000002</v>
      </c>
      <c r="BO437" s="75">
        <f>IFERROR(1/J437*(X437/H437),"0")</f>
        <v>0.2197802197802198</v>
      </c>
      <c r="BP437" s="75">
        <f>IFERROR(1/J437*(Y437/H437),"0")</f>
        <v>0.2197802197802198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40</v>
      </c>
      <c r="Y439" s="41">
        <f>IFERROR(Y436/H436,"0")+IFERROR(Y437/H437,"0")+IFERROR(Y438/H438,"0")</f>
        <v>40</v>
      </c>
      <c r="Z439" s="41">
        <f>IFERROR(IF(Z436="",0,Z436),"0")+IFERROR(IF(Z437="",0,Z437),"0")+IFERROR(IF(Z438="",0,Z438),"0")</f>
        <v>0.26040000000000002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96</v>
      </c>
      <c r="Y440" s="41">
        <f>IFERROR(SUM(Y436:Y438),"0")</f>
        <v>96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50</v>
      </c>
      <c r="Y444" s="53">
        <f t="shared" ref="Y444:Y449" si="62">IFERROR(IF(X444="",0,CEILING((X444/$H444),1)*$H444),"")</f>
        <v>54</v>
      </c>
      <c r="Z444" s="39">
        <f>IFERROR(IF(Y444=0,"",ROUNDUP(Y444/H444,0)*0.00902),"")</f>
        <v>9.0200000000000002E-2</v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51.759259259259252</v>
      </c>
      <c r="BN444" s="75">
        <f t="shared" ref="BN444:BN449" si="64">IFERROR(Y444*I444/H444,"0")</f>
        <v>55.9</v>
      </c>
      <c r="BO444" s="75">
        <f t="shared" ref="BO444:BO449" si="65">IFERROR(1/J444*(X444/H444),"0")</f>
        <v>7.0145903479236812E-2</v>
      </c>
      <c r="BP444" s="75">
        <f t="shared" ref="BP444:BP449" si="66">IFERROR(1/J444*(Y444/H444),"0")</f>
        <v>7.575757575757576E-2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40</v>
      </c>
      <c r="Y445" s="53">
        <f t="shared" si="62"/>
        <v>43.2</v>
      </c>
      <c r="Z445" s="39">
        <f>IFERROR(IF(Y445=0,"",ROUNDUP(Y445/H445,0)*0.00902),"")</f>
        <v>7.2160000000000002E-2</v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41.407407407407405</v>
      </c>
      <c r="BN445" s="75">
        <f t="shared" si="64"/>
        <v>44.72</v>
      </c>
      <c r="BO445" s="75">
        <f t="shared" si="65"/>
        <v>5.6116722783389444E-2</v>
      </c>
      <c r="BP445" s="75">
        <f t="shared" si="66"/>
        <v>6.0606060606060608E-2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16.666666666666664</v>
      </c>
      <c r="Y450" s="41">
        <f>IFERROR(Y444/H444,"0")+IFERROR(Y445/H445,"0")+IFERROR(Y446/H446,"0")+IFERROR(Y447/H447,"0")+IFERROR(Y448/H448,"0")+IFERROR(Y449/H449,"0")</f>
        <v>18</v>
      </c>
      <c r="Z450" s="41">
        <f>IFERROR(IF(Z444="",0,Z444),"0")+IFERROR(IF(Z445="",0,Z445),"0")+IFERROR(IF(Z446="",0,Z446),"0")+IFERROR(IF(Z447="",0,Z447),"0")+IFERROR(IF(Z448="",0,Z448),"0")+IFERROR(IF(Z449="",0,Z449),"0")</f>
        <v>0.16236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90</v>
      </c>
      <c r="Y451" s="41">
        <f>IFERROR(SUM(Y444:Y449),"0")</f>
        <v>97.2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40</v>
      </c>
      <c r="Y463" s="53">
        <f>IFERROR(IF(X463="",0,CEILING((X463/$H463),1)*$H463),"")</f>
        <v>43.2</v>
      </c>
      <c r="Z463" s="39">
        <f>IFERROR(IF(Y463=0,"",ROUNDUP(Y463/H463,0)*0.00902),"")</f>
        <v>7.2160000000000002E-2</v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41.407407407407405</v>
      </c>
      <c r="BN463" s="75">
        <f>IFERROR(Y463*I463/H463,"0")</f>
        <v>44.72</v>
      </c>
      <c r="BO463" s="75">
        <f>IFERROR(1/J463*(X463/H463),"0")</f>
        <v>5.6116722783389444E-2</v>
      </c>
      <c r="BP463" s="75">
        <f>IFERROR(1/J463*(Y463/H463),"0")</f>
        <v>6.0606060606060608E-2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7.4074074074074066</v>
      </c>
      <c r="Y466" s="41">
        <f>IFERROR(Y463/H463,"0")+IFERROR(Y464/H464,"0")+IFERROR(Y465/H465,"0")</f>
        <v>8</v>
      </c>
      <c r="Z466" s="41">
        <f>IFERROR(IF(Z463="",0,Z463),"0")+IFERROR(IF(Z464="",0,Z464),"0")+IFERROR(IF(Z465="",0,Z465),"0")</f>
        <v>7.2160000000000002E-2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40</v>
      </c>
      <c r="Y467" s="41">
        <f>IFERROR(SUM(Y463:Y465),"0")</f>
        <v>43.2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400</v>
      </c>
      <c r="Y471" s="53">
        <f t="shared" ref="Y471:Y479" si="67">IFERROR(IF(X471="",0,CEILING((X471/$H471),1)*$H471),"")</f>
        <v>401.28000000000003</v>
      </c>
      <c r="Z471" s="39">
        <f t="shared" ref="Z471:Z476" si="68">IFERROR(IF(Y471=0,"",ROUNDUP(Y471/H471,0)*0.01196),"")</f>
        <v>0.90895999999999999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426.5151515151515</v>
      </c>
      <c r="BN471" s="75">
        <f t="shared" ref="BN471:BN479" si="70">IFERROR(Y471*I471/H471,"0")</f>
        <v>427.88</v>
      </c>
      <c r="BO471" s="75">
        <f t="shared" ref="BO471:BO479" si="71">IFERROR(1/J471*(X471/H471),"0")</f>
        <v>0.72843822843822836</v>
      </c>
      <c r="BP471" s="75">
        <f t="shared" ref="BP471:BP479" si="72">IFERROR(1/J471*(Y471/H471),"0")</f>
        <v>0.73076923076923084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300</v>
      </c>
      <c r="Y473" s="53">
        <f t="shared" si="67"/>
        <v>300.96000000000004</v>
      </c>
      <c r="Z473" s="39">
        <f t="shared" si="68"/>
        <v>0.68171999999999999</v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319.88636363636363</v>
      </c>
      <c r="BN473" s="75">
        <f t="shared" si="70"/>
        <v>320.91000000000003</v>
      </c>
      <c r="BO473" s="75">
        <f t="shared" si="71"/>
        <v>0.54632867132867136</v>
      </c>
      <c r="BP473" s="75">
        <f t="shared" si="72"/>
        <v>0.54807692307692313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132.57575757575756</v>
      </c>
      <c r="Y480" s="41">
        <f>IFERROR(Y471/H471,"0")+IFERROR(Y472/H472,"0")+IFERROR(Y473/H473,"0")+IFERROR(Y474/H474,"0")+IFERROR(Y475/H475,"0")+IFERROR(Y476/H476,"0")+IFERROR(Y477/H477,"0")+IFERROR(Y478/H478,"0")+IFERROR(Y479/H479,"0")</f>
        <v>133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1.5906799999999999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700</v>
      </c>
      <c r="Y481" s="41">
        <f>IFERROR(SUM(Y471:Y479),"0")</f>
        <v>702.24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1500</v>
      </c>
      <c r="Y483" s="53">
        <f>IFERROR(IF(X483="",0,CEILING((X483/$H483),1)*$H483),"")</f>
        <v>1504.8000000000002</v>
      </c>
      <c r="Z483" s="39">
        <f>IFERROR(IF(Y483=0,"",ROUNDUP(Y483/H483,0)*0.01196),"")</f>
        <v>3.4085999999999999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1599.431818181818</v>
      </c>
      <c r="BN483" s="75">
        <f>IFERROR(Y483*I483/H483,"0")</f>
        <v>1604.5500000000002</v>
      </c>
      <c r="BO483" s="75">
        <f>IFERROR(1/J483*(X483/H483),"0")</f>
        <v>2.7316433566433567</v>
      </c>
      <c r="BP483" s="75">
        <f>IFERROR(1/J483*(Y483/H483),"0")</f>
        <v>2.7403846153846154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284.09090909090907</v>
      </c>
      <c r="Y486" s="41">
        <f>IFERROR(Y483/H483,"0")+IFERROR(Y484/H484,"0")+IFERROR(Y485/H485,"0")</f>
        <v>285</v>
      </c>
      <c r="Z486" s="41">
        <f>IFERROR(IF(Z483="",0,Z483),"0")+IFERROR(IF(Z484="",0,Z484),"0")+IFERROR(IF(Z485="",0,Z485),"0")</f>
        <v>3.4085999999999999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1500</v>
      </c>
      <c r="Y487" s="41">
        <f>IFERROR(SUM(Y483:Y485),"0")</f>
        <v>1504.8000000000002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400</v>
      </c>
      <c r="Y489" s="53">
        <f t="shared" ref="Y489:Y495" si="73">IFERROR(IF(X489="",0,CEILING((X489/$H489),1)*$H489),"")</f>
        <v>401.28000000000003</v>
      </c>
      <c r="Z489" s="39">
        <f>IFERROR(IF(Y489=0,"",ROUNDUP(Y489/H489,0)*0.01196),"")</f>
        <v>0.90895999999999999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426.5151515151515</v>
      </c>
      <c r="BN489" s="75">
        <f t="shared" ref="BN489:BN495" si="75">IFERROR(Y489*I489/H489,"0")</f>
        <v>427.88</v>
      </c>
      <c r="BO489" s="75">
        <f t="shared" ref="BO489:BO495" si="76">IFERROR(1/J489*(X489/H489),"0")</f>
        <v>0.72843822843822836</v>
      </c>
      <c r="BP489" s="75">
        <f t="shared" ref="BP489:BP495" si="77">IFERROR(1/J489*(Y489/H489),"0")</f>
        <v>0.73076923076923084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500</v>
      </c>
      <c r="Y490" s="53">
        <f t="shared" si="73"/>
        <v>501.6</v>
      </c>
      <c r="Z490" s="39">
        <f>IFERROR(IF(Y490=0,"",ROUNDUP(Y490/H490,0)*0.01196),"")</f>
        <v>1.1362000000000001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533.14393939393938</v>
      </c>
      <c r="BN490" s="75">
        <f t="shared" si="75"/>
        <v>534.85</v>
      </c>
      <c r="BO490" s="75">
        <f t="shared" si="76"/>
        <v>0.91054778554778548</v>
      </c>
      <c r="BP490" s="75">
        <f t="shared" si="77"/>
        <v>0.91346153846153855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700</v>
      </c>
      <c r="Y491" s="53">
        <f t="shared" si="73"/>
        <v>702.24</v>
      </c>
      <c r="Z491" s="39">
        <f>IFERROR(IF(Y491=0,"",ROUNDUP(Y491/H491,0)*0.01196),"")</f>
        <v>1.5906800000000001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746.40151515151513</v>
      </c>
      <c r="BN491" s="75">
        <f t="shared" si="75"/>
        <v>748.79</v>
      </c>
      <c r="BO491" s="75">
        <f t="shared" si="76"/>
        <v>1.2747668997668997</v>
      </c>
      <c r="BP491" s="75">
        <f t="shared" si="77"/>
        <v>1.278846153846154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303.030303030303</v>
      </c>
      <c r="Y496" s="41">
        <f>IFERROR(Y489/H489,"0")+IFERROR(Y490/H490,"0")+IFERROR(Y491/H491,"0")+IFERROR(Y492/H492,"0")+IFERROR(Y493/H493,"0")+IFERROR(Y494/H494,"0")+IFERROR(Y495/H495,"0")</f>
        <v>304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3.63584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1600</v>
      </c>
      <c r="Y497" s="41">
        <f>IFERROR(SUM(Y489:Y495),"0")</f>
        <v>1605.1200000000001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120</v>
      </c>
      <c r="Y501" s="53">
        <f>IFERROR(IF(X501="",0,CEILING((X501/$H501),1)*$H501),"")</f>
        <v>120</v>
      </c>
      <c r="Z501" s="39">
        <f>IFERROR(IF(Y501=0,"",ROUNDUP(Y501/H501,0)*0.01898),"")</f>
        <v>0.1898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124.10000000000001</v>
      </c>
      <c r="BN501" s="75">
        <f>IFERROR(Y501*I501/H501,"0")</f>
        <v>124.10000000000001</v>
      </c>
      <c r="BO501" s="75">
        <f>IFERROR(1/J501*(X501/H501),"0")</f>
        <v>0.15625</v>
      </c>
      <c r="BP501" s="75">
        <f>IFERROR(1/J501*(Y501/H501),"0")</f>
        <v>0.15625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10</v>
      </c>
      <c r="Y502" s="41">
        <f>IFERROR(Y501/H501,"0")</f>
        <v>10</v>
      </c>
      <c r="Z502" s="41">
        <f>IFERROR(IF(Z501="",0,Z501),"0")</f>
        <v>0.1898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120</v>
      </c>
      <c r="Y503" s="41">
        <f>IFERROR(SUM(Y501:Y501),"0")</f>
        <v>120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80</v>
      </c>
      <c r="Y514" s="53">
        <f>IFERROR(IF(X514="",0,CEILING((X514/$H514),1)*$H514),"")</f>
        <v>81</v>
      </c>
      <c r="Z514" s="39">
        <f>IFERROR(IF(Y514=0,"",ROUNDUP(Y514/H514,0)*0.01898),"")</f>
        <v>0.17082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84.391111111111115</v>
      </c>
      <c r="BN514" s="75">
        <f>IFERROR(Y514*I514/H514,"0")</f>
        <v>85.445999999999998</v>
      </c>
      <c r="BO514" s="75">
        <f>IFERROR(1/J514*(X514/H514),"0")</f>
        <v>0.1388888888888889</v>
      </c>
      <c r="BP514" s="75">
        <f>IFERROR(1/J514*(Y514/H514),"0")</f>
        <v>0.140625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8.8888888888888893</v>
      </c>
      <c r="Y515" s="41">
        <f>IFERROR(Y514/H514,"0")</f>
        <v>9</v>
      </c>
      <c r="Z515" s="41">
        <f>IFERROR(IF(Z514="",0,Z514),"0")</f>
        <v>0.17082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80</v>
      </c>
      <c r="Y516" s="41">
        <f>IFERROR(SUM(Y514:Y514),"0")</f>
        <v>81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17709.5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17849.460000000003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18532.972605040766</v>
      </c>
      <c r="Y528" s="41">
        <f>IFERROR(SUM(BN22:BN524),"0")</f>
        <v>18679.169999999995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29</v>
      </c>
      <c r="Y529" s="42">
        <f>ROUNDUP(SUM(BP22:BP524),0)</f>
        <v>29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19257.972605040766</v>
      </c>
      <c r="Y530" s="41">
        <f>GrossWeightTotalR+PalletQtyTotalR*25</f>
        <v>19404.169999999995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2146.2407877350406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2162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32.65401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410.40000000000003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624</v>
      </c>
      <c r="F537" s="50">
        <f>IFERROR(Y87*1,"0")+IFERROR(Y88*1,"0")+IFERROR(Y89*1,"0")+IFERROR(Y90*1,"0")+IFERROR(Y94*1,"0")+IFERROR(Y95*1,"0")+IFERROR(Y96*1,"0")+IFERROR(Y97*1,"0")</f>
        <v>564.30000000000007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1228.5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42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655.5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86.4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101.39999999999999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889.19999999999993</v>
      </c>
      <c r="U537" s="50">
        <f>IFERROR(Y392*1,"0")+IFERROR(Y393*1,"0")+IFERROR(Y394*1,"0")</f>
        <v>214.2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8784</v>
      </c>
      <c r="W537" s="50">
        <f>IFERROR(Y427*1,"0")+IFERROR(Y428*1,"0")+IFERROR(Y432*1,"0")+IFERROR(Y436*1,"0")+IFERROR(Y437*1,"0")+IFERROR(Y438*1,"0")</f>
        <v>96</v>
      </c>
      <c r="X537" s="50">
        <f>IFERROR(Y444*1,"0")+IFERROR(Y445*1,"0")+IFERROR(Y446*1,"0")+IFERROR(Y447*1,"0")+IFERROR(Y448*1,"0")+IFERROR(Y449*1,"0")+IFERROR(Y453*1,"0")+IFERROR(Y454*1,"0")</f>
        <v>97.2</v>
      </c>
      <c r="Y537" s="50">
        <f>IFERROR(Y459*1,"0")+IFERROR(Y463*1,"0")+IFERROR(Y464*1,"0")+IFERROR(Y465*1,"0")</f>
        <v>43.2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3812.16</v>
      </c>
      <c r="AA537" s="50">
        <f>IFERROR(Y501*1,"0")+IFERROR(Y505*1,"0")+IFERROR(Y509*1,"0")+IFERROR(Y510*1,"0")+IFERROR(Y514*1,"0")+IFERROR(Y518*1,"0")+IFERROR(Y519*1,"0")</f>
        <v>201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600,00"/>
        <filter val="10,00"/>
        <filter val="10,26"/>
        <filter val="100,00"/>
        <filter val="102,56"/>
        <filter val="105,00"/>
        <filter val="12,82"/>
        <filter val="120,00"/>
        <filter val="13,89"/>
        <filter val="132,58"/>
        <filter val="140,25"/>
        <filter val="146,67"/>
        <filter val="150,00"/>
        <filter val="16,67"/>
        <filter val="162,00"/>
        <filter val="166,90"/>
        <filter val="168,00"/>
        <filter val="17 709,50"/>
        <filter val="18 532,97"/>
        <filter val="18,52"/>
        <filter val="19 257,97"/>
        <filter val="2 000,00"/>
        <filter val="2 146,24"/>
        <filter val="2 200,00"/>
        <filter val="2 500,00"/>
        <filter val="200,00"/>
        <filter val="207,50"/>
        <filter val="210,00"/>
        <filter val="27,78"/>
        <filter val="284,09"/>
        <filter val="29"/>
        <filter val="300,00"/>
        <filter val="303,03"/>
        <filter val="37,04"/>
        <filter val="38,89"/>
        <filter val="40,00"/>
        <filter val="400,00"/>
        <filter val="433,33"/>
        <filter val="444,00"/>
        <filter val="48,00"/>
        <filter val="5,56"/>
        <filter val="50,00"/>
        <filter val="500,00"/>
        <filter val="52,50"/>
        <filter val="6 500,00"/>
        <filter val="60,00"/>
        <filter val="650,00"/>
        <filter val="7,41"/>
        <filter val="7,69"/>
        <filter val="70,00"/>
        <filter val="700,00"/>
        <filter val="8,89"/>
        <filter val="80,00"/>
        <filter val="800,00"/>
        <filter val="81,17"/>
        <filter val="812,00"/>
        <filter val="9,26"/>
        <filter val="9,52"/>
        <filter val="90,00"/>
        <filter val="96,00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