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0244" windowHeight="8892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Z278" i="1"/>
  <c r="Y278" i="1"/>
  <c r="BP278" i="1" s="1"/>
  <c r="P278" i="1"/>
  <c r="BO277" i="1"/>
  <c r="BN277" i="1"/>
  <c r="BM277" i="1"/>
  <c r="Z277" i="1"/>
  <c r="Y277" i="1"/>
  <c r="BP277" i="1" s="1"/>
  <c r="P277" i="1"/>
  <c r="BO276" i="1"/>
  <c r="BM276" i="1"/>
  <c r="Z276" i="1"/>
  <c r="Y276" i="1"/>
  <c r="BP276" i="1" s="1"/>
  <c r="P276" i="1"/>
  <c r="BO275" i="1"/>
  <c r="BM275" i="1"/>
  <c r="Z275" i="1"/>
  <c r="Y275" i="1"/>
  <c r="BP275" i="1" s="1"/>
  <c r="P275" i="1"/>
  <c r="BO274" i="1"/>
  <c r="BM274" i="1"/>
  <c r="Z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BP272" i="1" s="1"/>
  <c r="P272" i="1"/>
  <c r="BP271" i="1"/>
  <c r="BO271" i="1"/>
  <c r="BM271" i="1"/>
  <c r="Z271" i="1"/>
  <c r="Z281" i="1" s="1"/>
  <c r="Y271" i="1"/>
  <c r="Y282" i="1" s="1"/>
  <c r="P271" i="1"/>
  <c r="X269" i="1"/>
  <c r="Y268" i="1"/>
  <c r="X268" i="1"/>
  <c r="BO267" i="1"/>
  <c r="BM267" i="1"/>
  <c r="Z267" i="1"/>
  <c r="Y267" i="1"/>
  <c r="BP267" i="1" s="1"/>
  <c r="P267" i="1"/>
  <c r="BP266" i="1"/>
  <c r="BO266" i="1"/>
  <c r="BM266" i="1"/>
  <c r="Z266" i="1"/>
  <c r="Y266" i="1"/>
  <c r="BN266" i="1" s="1"/>
  <c r="P266" i="1"/>
  <c r="BP265" i="1"/>
  <c r="BO265" i="1"/>
  <c r="BN265" i="1"/>
  <c r="BM265" i="1"/>
  <c r="Z265" i="1"/>
  <c r="Z268" i="1" s="1"/>
  <c r="Y265" i="1"/>
  <c r="Y269" i="1" s="1"/>
  <c r="P265" i="1"/>
  <c r="X263" i="1"/>
  <c r="Z262" i="1"/>
  <c r="Y262" i="1"/>
  <c r="X262" i="1"/>
  <c r="BP261" i="1"/>
  <c r="BO261" i="1"/>
  <c r="BN261" i="1"/>
  <c r="BM261" i="1"/>
  <c r="Z261" i="1"/>
  <c r="Y261" i="1"/>
  <c r="Y263" i="1" s="1"/>
  <c r="P261" i="1"/>
  <c r="Y259" i="1"/>
  <c r="X259" i="1"/>
  <c r="Z258" i="1"/>
  <c r="Y258" i="1"/>
  <c r="X258" i="1"/>
  <c r="BP257" i="1"/>
  <c r="BO257" i="1"/>
  <c r="BN257" i="1"/>
  <c r="BM257" i="1"/>
  <c r="Z257" i="1"/>
  <c r="Y257" i="1"/>
  <c r="P257" i="1"/>
  <c r="BP256" i="1"/>
  <c r="BO256" i="1"/>
  <c r="BN256" i="1"/>
  <c r="BM256" i="1"/>
  <c r="Z256" i="1"/>
  <c r="Y256" i="1"/>
  <c r="P256" i="1"/>
  <c r="Y252" i="1"/>
  <c r="X252" i="1"/>
  <c r="Z251" i="1"/>
  <c r="Y251" i="1"/>
  <c r="X251" i="1"/>
  <c r="BP250" i="1"/>
  <c r="BO250" i="1"/>
  <c r="BN250" i="1"/>
  <c r="BM250" i="1"/>
  <c r="Z250" i="1"/>
  <c r="Y250" i="1"/>
  <c r="P250" i="1"/>
  <c r="X246" i="1"/>
  <c r="Z245" i="1"/>
  <c r="X245" i="1"/>
  <c r="BO244" i="1"/>
  <c r="BM244" i="1"/>
  <c r="Z244" i="1"/>
  <c r="Y244" i="1"/>
  <c r="Y246" i="1" s="1"/>
  <c r="P244" i="1"/>
  <c r="X242" i="1"/>
  <c r="Z241" i="1"/>
  <c r="X241" i="1"/>
  <c r="BO240" i="1"/>
  <c r="BM240" i="1"/>
  <c r="Z240" i="1"/>
  <c r="Y240" i="1"/>
  <c r="Y241" i="1" s="1"/>
  <c r="P240" i="1"/>
  <c r="X236" i="1"/>
  <c r="X235" i="1"/>
  <c r="BO234" i="1"/>
  <c r="BM234" i="1"/>
  <c r="Z234" i="1"/>
  <c r="Z235" i="1" s="1"/>
  <c r="Y234" i="1"/>
  <c r="Y236" i="1" s="1"/>
  <c r="P234" i="1"/>
  <c r="Y230" i="1"/>
  <c r="X230" i="1"/>
  <c r="Z229" i="1"/>
  <c r="Y229" i="1"/>
  <c r="X229" i="1"/>
  <c r="BP228" i="1"/>
  <c r="BO228" i="1"/>
  <c r="BN228" i="1"/>
  <c r="BM228" i="1"/>
  <c r="Z228" i="1"/>
  <c r="Y228" i="1"/>
  <c r="P228" i="1"/>
  <c r="Y224" i="1"/>
  <c r="X224" i="1"/>
  <c r="Z223" i="1"/>
  <c r="Y223" i="1"/>
  <c r="X223" i="1"/>
  <c r="BP222" i="1"/>
  <c r="BO222" i="1"/>
  <c r="BN222" i="1"/>
  <c r="BM222" i="1"/>
  <c r="Z222" i="1"/>
  <c r="Y222" i="1"/>
  <c r="P222" i="1"/>
  <c r="Y219" i="1"/>
  <c r="X219" i="1"/>
  <c r="Z218" i="1"/>
  <c r="Y218" i="1"/>
  <c r="X218" i="1"/>
  <c r="BO217" i="1"/>
  <c r="BM217" i="1"/>
  <c r="Z217" i="1"/>
  <c r="Y217" i="1"/>
  <c r="BP217" i="1" s="1"/>
  <c r="P217" i="1"/>
  <c r="X214" i="1"/>
  <c r="Z213" i="1"/>
  <c r="X213" i="1"/>
  <c r="BO212" i="1"/>
  <c r="BM212" i="1"/>
  <c r="Z212" i="1"/>
  <c r="Y212" i="1"/>
  <c r="Y213" i="1" s="1"/>
  <c r="P212" i="1"/>
  <c r="BP211" i="1"/>
  <c r="BO211" i="1"/>
  <c r="BM211" i="1"/>
  <c r="Z211" i="1"/>
  <c r="Y211" i="1"/>
  <c r="BN211" i="1" s="1"/>
  <c r="P211" i="1"/>
  <c r="X208" i="1"/>
  <c r="Y207" i="1"/>
  <c r="X207" i="1"/>
  <c r="BO206" i="1"/>
  <c r="BM206" i="1"/>
  <c r="Z206" i="1"/>
  <c r="Y206" i="1"/>
  <c r="BP206" i="1" s="1"/>
  <c r="P206" i="1"/>
  <c r="BP205" i="1"/>
  <c r="BO205" i="1"/>
  <c r="BM205" i="1"/>
  <c r="Z205" i="1"/>
  <c r="Y205" i="1"/>
  <c r="BN205" i="1" s="1"/>
  <c r="P205" i="1"/>
  <c r="BP204" i="1"/>
  <c r="BO204" i="1"/>
  <c r="BN204" i="1"/>
  <c r="BM204" i="1"/>
  <c r="Z204" i="1"/>
  <c r="Z207" i="1" s="1"/>
  <c r="Y204" i="1"/>
  <c r="P204" i="1"/>
  <c r="X202" i="1"/>
  <c r="Z201" i="1"/>
  <c r="Y201" i="1"/>
  <c r="X201" i="1"/>
  <c r="BP200" i="1"/>
  <c r="BO200" i="1"/>
  <c r="BN200" i="1"/>
  <c r="BM200" i="1"/>
  <c r="Z200" i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Z195" i="1" s="1"/>
  <c r="Y192" i="1"/>
  <c r="BP192" i="1" s="1"/>
  <c r="P192" i="1"/>
  <c r="BO191" i="1"/>
  <c r="BM191" i="1"/>
  <c r="Z191" i="1"/>
  <c r="Y191" i="1"/>
  <c r="BP191" i="1" s="1"/>
  <c r="P191" i="1"/>
  <c r="Y187" i="1"/>
  <c r="X187" i="1"/>
  <c r="X186" i="1"/>
  <c r="BO185" i="1"/>
  <c r="BM185" i="1"/>
  <c r="Z185" i="1"/>
  <c r="Z186" i="1" s="1"/>
  <c r="Y185" i="1"/>
  <c r="BP185" i="1" s="1"/>
  <c r="P185" i="1"/>
  <c r="BP184" i="1"/>
  <c r="BO184" i="1"/>
  <c r="BN184" i="1"/>
  <c r="BM184" i="1"/>
  <c r="Z184" i="1"/>
  <c r="Y184" i="1"/>
  <c r="Y186" i="1" s="1"/>
  <c r="P184" i="1"/>
  <c r="Y182" i="1"/>
  <c r="X182" i="1"/>
  <c r="Z181" i="1"/>
  <c r="X181" i="1"/>
  <c r="BO180" i="1"/>
  <c r="BM180" i="1"/>
  <c r="Z180" i="1"/>
  <c r="Y180" i="1"/>
  <c r="Y181" i="1" s="1"/>
  <c r="P180" i="1"/>
  <c r="BP179" i="1"/>
  <c r="BO179" i="1"/>
  <c r="BN179" i="1"/>
  <c r="BM179" i="1"/>
  <c r="Z179" i="1"/>
  <c r="Y179" i="1"/>
  <c r="P179" i="1"/>
  <c r="Y175" i="1"/>
  <c r="X175" i="1"/>
  <c r="Z174" i="1"/>
  <c r="Y174" i="1"/>
  <c r="X174" i="1"/>
  <c r="BO173" i="1"/>
  <c r="BM173" i="1"/>
  <c r="Z173" i="1"/>
  <c r="Y173" i="1"/>
  <c r="BP173" i="1" s="1"/>
  <c r="P173" i="1"/>
  <c r="X170" i="1"/>
  <c r="Z169" i="1"/>
  <c r="X169" i="1"/>
  <c r="BO168" i="1"/>
  <c r="BM168" i="1"/>
  <c r="Z168" i="1"/>
  <c r="Y168" i="1"/>
  <c r="Y169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P158" i="1"/>
  <c r="BO158" i="1"/>
  <c r="BN158" i="1"/>
  <c r="BM158" i="1"/>
  <c r="Z158" i="1"/>
  <c r="Y158" i="1"/>
  <c r="P158" i="1"/>
  <c r="BO157" i="1"/>
  <c r="BM157" i="1"/>
  <c r="Z157" i="1"/>
  <c r="Z159" i="1" s="1"/>
  <c r="Y157" i="1"/>
  <c r="Y160" i="1" s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Z153" i="1" s="1"/>
  <c r="Y151" i="1"/>
  <c r="Y154" i="1" s="1"/>
  <c r="P151" i="1"/>
  <c r="Y148" i="1"/>
  <c r="X148" i="1"/>
  <c r="X147" i="1"/>
  <c r="BO146" i="1"/>
  <c r="BN146" i="1"/>
  <c r="BM146" i="1"/>
  <c r="Z146" i="1"/>
  <c r="Z147" i="1" s="1"/>
  <c r="Y146" i="1"/>
  <c r="BP146" i="1" s="1"/>
  <c r="P146" i="1"/>
  <c r="BO145" i="1"/>
  <c r="BM145" i="1"/>
  <c r="Z145" i="1"/>
  <c r="Y145" i="1"/>
  <c r="Y147" i="1" s="1"/>
  <c r="P145" i="1"/>
  <c r="X142" i="1"/>
  <c r="X141" i="1"/>
  <c r="BO140" i="1"/>
  <c r="BM140" i="1"/>
  <c r="Z140" i="1"/>
  <c r="Y140" i="1"/>
  <c r="Y141" i="1" s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P138" i="1"/>
  <c r="X136" i="1"/>
  <c r="X135" i="1"/>
  <c r="BP134" i="1"/>
  <c r="BO134" i="1"/>
  <c r="BM134" i="1"/>
  <c r="Z134" i="1"/>
  <c r="Y134" i="1"/>
  <c r="BN134" i="1" s="1"/>
  <c r="P134" i="1"/>
  <c r="BO133" i="1"/>
  <c r="BN133" i="1"/>
  <c r="BM133" i="1"/>
  <c r="Z133" i="1"/>
  <c r="Y133" i="1"/>
  <c r="BP133" i="1" s="1"/>
  <c r="P133" i="1"/>
  <c r="BO132" i="1"/>
  <c r="BM132" i="1"/>
  <c r="Z132" i="1"/>
  <c r="Z135" i="1" s="1"/>
  <c r="Y132" i="1"/>
  <c r="BP132" i="1" s="1"/>
  <c r="P132" i="1"/>
  <c r="X129" i="1"/>
  <c r="X128" i="1"/>
  <c r="BP127" i="1"/>
  <c r="BO127" i="1"/>
  <c r="BN127" i="1"/>
  <c r="BM127" i="1"/>
  <c r="Z127" i="1"/>
  <c r="Z128" i="1" s="1"/>
  <c r="Y127" i="1"/>
  <c r="Y129" i="1" s="1"/>
  <c r="P127" i="1"/>
  <c r="X125" i="1"/>
  <c r="Z124" i="1"/>
  <c r="Y124" i="1"/>
  <c r="X124" i="1"/>
  <c r="BP123" i="1"/>
  <c r="BO123" i="1"/>
  <c r="BN123" i="1"/>
  <c r="BM123" i="1"/>
  <c r="Z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Z120" i="1" s="1"/>
  <c r="Y113" i="1"/>
  <c r="BP113" i="1" s="1"/>
  <c r="P113" i="1"/>
  <c r="Y110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BP107" i="1" s="1"/>
  <c r="P107" i="1"/>
  <c r="Y104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P100" i="1"/>
  <c r="BO100" i="1"/>
  <c r="BN100" i="1"/>
  <c r="BM100" i="1"/>
  <c r="Z100" i="1"/>
  <c r="Y100" i="1"/>
  <c r="P100" i="1"/>
  <c r="BO99" i="1"/>
  <c r="BM99" i="1"/>
  <c r="Z99" i="1"/>
  <c r="Z103" i="1" s="1"/>
  <c r="Y99" i="1"/>
  <c r="BN99" i="1" s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Y103" i="1" s="1"/>
  <c r="P97" i="1"/>
  <c r="Y94" i="1"/>
  <c r="X94" i="1"/>
  <c r="Z93" i="1"/>
  <c r="Y93" i="1"/>
  <c r="X93" i="1"/>
  <c r="BP92" i="1"/>
  <c r="BO92" i="1"/>
  <c r="BN92" i="1"/>
  <c r="BM92" i="1"/>
  <c r="Z92" i="1"/>
  <c r="Y92" i="1"/>
  <c r="P92" i="1"/>
  <c r="BP91" i="1"/>
  <c r="BO91" i="1"/>
  <c r="BN91" i="1"/>
  <c r="BM91" i="1"/>
  <c r="Z91" i="1"/>
  <c r="Y91" i="1"/>
  <c r="P91" i="1"/>
  <c r="X88" i="1"/>
  <c r="Z87" i="1"/>
  <c r="Y87" i="1"/>
  <c r="X87" i="1"/>
  <c r="BP86" i="1"/>
  <c r="BO86" i="1"/>
  <c r="BN86" i="1"/>
  <c r="BM86" i="1"/>
  <c r="Z86" i="1"/>
  <c r="Y86" i="1"/>
  <c r="Y88" i="1" s="1"/>
  <c r="P86" i="1"/>
  <c r="Y83" i="1"/>
  <c r="X83" i="1"/>
  <c r="Z82" i="1"/>
  <c r="Y82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Y80" i="1"/>
  <c r="P80" i="1"/>
  <c r="X77" i="1"/>
  <c r="X76" i="1"/>
  <c r="BP75" i="1"/>
  <c r="BO75" i="1"/>
  <c r="BM75" i="1"/>
  <c r="Z75" i="1"/>
  <c r="Y75" i="1"/>
  <c r="BN75" i="1" s="1"/>
  <c r="P75" i="1"/>
  <c r="BO74" i="1"/>
  <c r="BN74" i="1"/>
  <c r="BM74" i="1"/>
  <c r="Z74" i="1"/>
  <c r="Y74" i="1"/>
  <c r="BP74" i="1" s="1"/>
  <c r="P74" i="1"/>
  <c r="BO73" i="1"/>
  <c r="BM73" i="1"/>
  <c r="Z73" i="1"/>
  <c r="Z76" i="1" s="1"/>
  <c r="Y73" i="1"/>
  <c r="BP73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Y62" i="1"/>
  <c r="X62" i="1"/>
  <c r="Z61" i="1"/>
  <c r="Y61" i="1"/>
  <c r="X61" i="1"/>
  <c r="BP60" i="1"/>
  <c r="BO60" i="1"/>
  <c r="BN60" i="1"/>
  <c r="BM60" i="1"/>
  <c r="Z60" i="1"/>
  <c r="Y60" i="1"/>
  <c r="P60" i="1"/>
  <c r="X57" i="1"/>
  <c r="X56" i="1"/>
  <c r="BP55" i="1"/>
  <c r="BO55" i="1"/>
  <c r="BN55" i="1"/>
  <c r="BM55" i="1"/>
  <c r="Z55" i="1"/>
  <c r="Y55" i="1"/>
  <c r="P55" i="1"/>
  <c r="BP54" i="1"/>
  <c r="BO54" i="1"/>
  <c r="BN54" i="1"/>
  <c r="BM54" i="1"/>
  <c r="Z54" i="1"/>
  <c r="Y54" i="1"/>
  <c r="P54" i="1"/>
  <c r="BO53" i="1"/>
  <c r="BM53" i="1"/>
  <c r="Z53" i="1"/>
  <c r="Z56" i="1" s="1"/>
  <c r="Y53" i="1"/>
  <c r="BP53" i="1" s="1"/>
  <c r="P53" i="1"/>
  <c r="BP52" i="1"/>
  <c r="BO52" i="1"/>
  <c r="BN52" i="1"/>
  <c r="BM52" i="1"/>
  <c r="Z52" i="1"/>
  <c r="Y52" i="1"/>
  <c r="Y57" i="1" s="1"/>
  <c r="P52" i="1"/>
  <c r="Y49" i="1"/>
  <c r="X49" i="1"/>
  <c r="Z48" i="1"/>
  <c r="Y48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Y46" i="1"/>
  <c r="P46" i="1"/>
  <c r="BP45" i="1"/>
  <c r="BO45" i="1"/>
  <c r="BN45" i="1"/>
  <c r="BM45" i="1"/>
  <c r="Z45" i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BP39" i="1" s="1"/>
  <c r="P39" i="1"/>
  <c r="X35" i="1"/>
  <c r="X34" i="1"/>
  <c r="BO33" i="1"/>
  <c r="BN33" i="1"/>
  <c r="BM33" i="1"/>
  <c r="Z33" i="1"/>
  <c r="Y33" i="1"/>
  <c r="BP33" i="1" s="1"/>
  <c r="P33" i="1"/>
  <c r="BO32" i="1"/>
  <c r="BM32" i="1"/>
  <c r="Z32" i="1"/>
  <c r="Z34" i="1" s="1"/>
  <c r="Y32" i="1"/>
  <c r="BP32" i="1" s="1"/>
  <c r="P32" i="1"/>
  <c r="X29" i="1"/>
  <c r="X283" i="1" s="1"/>
  <c r="X28" i="1"/>
  <c r="X287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M25" i="1"/>
  <c r="Z25" i="1"/>
  <c r="Y25" i="1"/>
  <c r="BN25" i="1" s="1"/>
  <c r="P25" i="1"/>
  <c r="BO24" i="1"/>
  <c r="BN24" i="1"/>
  <c r="BM24" i="1"/>
  <c r="Z24" i="1"/>
  <c r="Y24" i="1"/>
  <c r="BP24" i="1" s="1"/>
  <c r="P24" i="1"/>
  <c r="BO23" i="1"/>
  <c r="BM23" i="1"/>
  <c r="X284" i="1" s="1"/>
  <c r="Z23" i="1"/>
  <c r="Y23" i="1"/>
  <c r="BP23" i="1" s="1"/>
  <c r="P23" i="1"/>
  <c r="BO22" i="1"/>
  <c r="X285" i="1" s="1"/>
  <c r="BM22" i="1"/>
  <c r="Z22" i="1"/>
  <c r="Z28" i="1" s="1"/>
  <c r="Z288" i="1" s="1"/>
  <c r="Y22" i="1"/>
  <c r="Y29" i="1" s="1"/>
  <c r="P22" i="1"/>
  <c r="H10" i="1"/>
  <c r="A9" i="1"/>
  <c r="J9" i="1" s="1"/>
  <c r="D7" i="1"/>
  <c r="Q6" i="1"/>
  <c r="P2" i="1"/>
  <c r="H9" i="1" l="1"/>
  <c r="A10" i="1"/>
  <c r="F10" i="1"/>
  <c r="X286" i="1"/>
  <c r="Y120" i="1"/>
  <c r="BN234" i="1"/>
  <c r="BN276" i="1"/>
  <c r="Y142" i="1"/>
  <c r="Y170" i="1"/>
  <c r="Y195" i="1"/>
  <c r="Y242" i="1"/>
  <c r="Y41" i="1"/>
  <c r="BN108" i="1"/>
  <c r="Y214" i="1"/>
  <c r="Y56" i="1"/>
  <c r="BN64" i="1"/>
  <c r="Y208" i="1"/>
  <c r="BN117" i="1"/>
  <c r="BN157" i="1"/>
  <c r="BN192" i="1"/>
  <c r="Y34" i="1"/>
  <c r="BN53" i="1"/>
  <c r="BP64" i="1"/>
  <c r="BN102" i="1"/>
  <c r="Y121" i="1"/>
  <c r="BN151" i="1"/>
  <c r="BP163" i="1"/>
  <c r="BN185" i="1"/>
  <c r="Y196" i="1"/>
  <c r="BP234" i="1"/>
  <c r="Y28" i="1"/>
  <c r="BN47" i="1"/>
  <c r="Y70" i="1"/>
  <c r="BP99" i="1"/>
  <c r="Y128" i="1"/>
  <c r="BN145" i="1"/>
  <c r="BP157" i="1"/>
  <c r="BN180" i="1"/>
  <c r="BP279" i="1"/>
  <c r="BN81" i="1"/>
  <c r="BP151" i="1"/>
  <c r="Y235" i="1"/>
  <c r="BN244" i="1"/>
  <c r="Y35" i="1"/>
  <c r="Y283" i="1" s="1"/>
  <c r="Y109" i="1"/>
  <c r="BP145" i="1"/>
  <c r="BP180" i="1"/>
  <c r="BN271" i="1"/>
  <c r="BN114" i="1"/>
  <c r="BN163" i="1"/>
  <c r="BN22" i="1"/>
  <c r="Y42" i="1"/>
  <c r="Y65" i="1"/>
  <c r="BN139" i="1"/>
  <c r="Y164" i="1"/>
  <c r="BN173" i="1"/>
  <c r="BN217" i="1"/>
  <c r="BP22" i="1"/>
  <c r="Y285" i="1" s="1"/>
  <c r="Y71" i="1"/>
  <c r="BP244" i="1"/>
  <c r="BN274" i="1"/>
  <c r="Y245" i="1"/>
  <c r="BN280" i="1"/>
  <c r="Y76" i="1"/>
  <c r="BN23" i="1"/>
  <c r="BN32" i="1"/>
  <c r="BN73" i="1"/>
  <c r="BN140" i="1"/>
  <c r="BN39" i="1"/>
  <c r="BN132" i="1"/>
  <c r="BN26" i="1"/>
  <c r="BN68" i="1"/>
  <c r="Y77" i="1"/>
  <c r="Y136" i="1"/>
  <c r="Y159" i="1"/>
  <c r="BN168" i="1"/>
  <c r="BN212" i="1"/>
  <c r="BN240" i="1"/>
  <c r="BN272" i="1"/>
  <c r="Y281" i="1"/>
  <c r="BP140" i="1"/>
  <c r="Y153" i="1"/>
  <c r="BN206" i="1"/>
  <c r="BN267" i="1"/>
  <c r="BN275" i="1"/>
  <c r="Y135" i="1"/>
  <c r="BN113" i="1"/>
  <c r="F9" i="1"/>
  <c r="BN98" i="1"/>
  <c r="BN107" i="1"/>
  <c r="BN116" i="1"/>
  <c r="BP168" i="1"/>
  <c r="BN191" i="1"/>
  <c r="BP212" i="1"/>
  <c r="BP240" i="1"/>
  <c r="BN278" i="1"/>
  <c r="Y284" i="1" l="1"/>
  <c r="Y286" i="1" s="1"/>
  <c r="C296" i="1"/>
  <c r="B296" i="1"/>
  <c r="A296" i="1"/>
  <c r="Y287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<sst xmlns="http://schemas.openxmlformats.org/spreadsheetml/2006/main" count="1292" uniqueCount="417">
  <si>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</si>
  <si>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</si>
  <si>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</si>
  <si>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</si>
  <si>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</si>
  <si>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</si>
  <si>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</si>
  <si>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</si>
  <si>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</si>
  <si>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</si>
  <si>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</si>
  <si>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</si>
  <si>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</si>
  <si>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</si>
  <si>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</si>
  <si>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</si>
  <si>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</si>
  <si>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</si>
  <si>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</si>
  <si>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</si>
  <si>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</si>
  <si>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</si>
  <si>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</si>
  <si>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</si>
  <si>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</si>
  <si>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</si>
  <si>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</si>
  <si>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</si>
  <si>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</si>
  <si>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</si>
  <si>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</si>
  <si>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</si>
  <si>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</si>
  <si>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</si>
  <si>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</si>
  <si>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</si>
  <si>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</si>
  <si>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</si>
  <si>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</si>
  <si>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</si>
  <si>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</si>
  <si>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</si>
  <si>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</si>
  <si>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</si>
  <si>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</si>
  <si>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</si>
  <si>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</si>
  <si>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</si>
  <si>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</si>
  <si>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</si>
  <si>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</si>
  <si>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</si>
  <si>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</si>
  <si>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</si>
  <si>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</si>
  <si>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</si>
  <si>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</si>
  <si>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</si>
  <si>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</si>
  <si>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</si>
  <si>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</si>
  <si>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</si>
  <si>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</si>
  <si>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</si>
  <si>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</si>
  <si>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</si>
  <si>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</si>
  <si>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</si>
  <si>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</si>
  <si>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</si>
  <si>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</si>
  <si>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</si>
  <si>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</si>
  <si>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</si>
  <si>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</si>
  <si>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</si>
  <si>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</si>
  <si>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</si>
  <si>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</si>
  <si>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</si>
  <si>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</si>
  <si>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</si>
  <si>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</si>
  <si>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</si>
  <si>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</si>
  <si>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</si>
  <si>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</si>
  <si>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</si>
  <si>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</si>
  <si>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</si>
  <si>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</si>
  <si>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</si>
  <si>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</si>
  <si>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</si>
  <si>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</si>
  <si>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</si>
  <si>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</si>
  <si>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</si>
  <si>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</si>
  <si>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</si>
  <si>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</si>
  <si>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</si>
  <si>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</si>
  <si>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</si>
  <si>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</si>
  <si>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</si>
  <si>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</si>
  <si>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</si>
  <si>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</si>
  <si>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</si>
  <si>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</si>
  <si>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</si>
  <si>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</si>
  <si>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</si>
  <si>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</si>
  <si>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</si>
  <si>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</si>
  <si>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</si>
  <si>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</si>
  <si>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</si>
  <si>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</si>
  <si>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</si>
  <si>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</si>
  <si>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</si>
  <si>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</si>
  <si>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</si>
  <si>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</si>
  <si>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</si>
  <si>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</si>
  <si>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</si>
  <si>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</si>
  <si>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</si>
  <si>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</si>
  <si>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</si>
  <si>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</si>
  <si>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</si>
  <si>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</si>
  <si>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</si>
  <si>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</si>
  <si>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</si>
  <si>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</si>
  <si>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</si>
  <si>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</si>
  <si>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</si>
  <si>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</si>
  <si>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</si>
  <si>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</si>
  <si>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</si>
  <si>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</si>
  <si>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</si>
  <si>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</si>
  <si>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</si>
  <si>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</si>
  <si>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</si>
  <si>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</si>
  <si>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</si>
  <si>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</si>
  <si>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</si>
  <si>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</si>
  <si>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</si>
  <si>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</si>
  <si>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</si>
  <si>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</si>
  <si>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</si>
  <si>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</si>
  <si>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</si>
  <si>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</si>
  <si>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</si>
  <si>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</si>
  <si>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</si>
  <si>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</si>
  <si>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</si>
  <si>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</si>
  <si>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</si>
  <si>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</si>
  <si>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</si>
  <si>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</si>
  <si>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</si>
  <si>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</si>
  <si>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</si>
  <si>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</si>
  <si>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</si>
  <si>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</si>
  <si>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</si>
  <si>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</si>
  <si>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</si>
  <si>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</si>
  <si>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</si>
  <si>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</si>
  <si>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</si>
  <si>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</si>
  <si>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</si>
  <si>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</si>
  <si>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</si>
  <si>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</si>
  <si>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</si>
  <si>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</si>
  <si>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</si>
  <si>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</si>
  <si>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</si>
  <si>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</si>
  <si>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</si>
  <si>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</si>
  <si>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</si>
  <si>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</si>
  <si>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</si>
  <si>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</si>
  <si>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</si>
  <si>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</si>
  <si>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</si>
  <si>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</si>
  <si>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</si>
  <si>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</si>
  <si>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</si>
  <si>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</si>
  <si>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</si>
  <si>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</si>
  <si>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</si>
  <si>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</si>
  <si>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</si>
  <si>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</si>
  <si>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</si>
  <si>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</si>
  <si>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</si>
  <si>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</si>
  <si>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</si>
  <si>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</si>
  <si>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</si>
  <si>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</si>
  <si>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</si>
  <si>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</si>
  <si>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</si>
  <si>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</si>
  <si>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</si>
  <si>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</si>
  <si>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</si>
  <si>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</si>
  <si>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</si>
  <si>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</si>
  <si>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</si>
  <si>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</si>
  <si>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</si>
  <si>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</si>
  <si>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</si>
  <si>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</si>
  <si>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</si>
  <si>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</si>
  <si>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</si>
  <si>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</si>
  <si>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</si>
  <si>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</si>
  <si>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</si>
  <si>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</si>
  <si>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</si>
  <si>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</si>
  <si>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</si>
  <si>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</si>
  <si>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</si>
  <si>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</si>
  <si>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</si>
  <si>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</si>
  <si>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</si>
  <si>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</si>
  <si>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</si>
  <si>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</si>
  <si>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</si>
  <si>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</si>
  <si>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</si>
  <si>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</si>
  <si>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</si>
  <si>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</si>
  <si>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</si>
  <si>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</si>
  <si>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</si>
  <si>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</si>
  <si>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</si>
  <si>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</si>
  <si>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</si>
  <si>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</si>
  <si>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</si>
  <si>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</si>
  <si>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</si>
  <si>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</si>
  <si>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</si>
  <si>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</si>
  <si>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</si>
  <si>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</si>
  <si>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</si>
  <si>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</si>
  <si>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</si>
  <si>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</si>
  <si>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</si>
  <si>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</si>
  <si>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</si>
  <si>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</si>
  <si>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</si>
  <si>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</si>
  <si>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</si>
  <si>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</si>
  <si>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</si>
  <si>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</si>
  <si>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</si>
  <si>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</si>
  <si>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</si>
  <si>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</si>
  <si>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</si>
  <si>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</si>
  <si>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</si>
  <si>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</si>
  <si>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</si>
  <si>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</si>
  <si>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</si>
  <si>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</si>
  <si>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</si>
  <si>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</si>
  <si>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</si>
  <si>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</si>
  <si>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</si>
  <si>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</si>
  <si>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</si>
  <si>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</si>
  <si>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</si>
  <si>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</si>
  <si>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</si>
  <si>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</si>
  <si>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</si>
  <si>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</si>
  <si>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</si>
  <si>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</si>
  <si>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</si>
  <si>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</si>
  <si>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</si>
  <si>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</si>
  <si>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</si>
  <si>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</si>
  <si>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</si>
  <si>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</si>
  <si>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</si>
  <si>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</si>
  <si>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</si>
  <si>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</si>
  <si>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</si>
  <si>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</si>
  <si>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</si>
  <si>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</si>
  <si>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</si>
  <si>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</si>
  <si>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</si>
  <si>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</si>
  <si>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</si>
  <si>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</si>
  <si>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</si>
  <si>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</si>
  <si>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</si>
  <si>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</si>
  <si>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</si>
  <si>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</si>
  <si>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</si>
  <si>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</si>
  <si>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</si>
  <si>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</si>
  <si>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</si>
  <si>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</si>
  <si>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</si>
  <si>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</si>
  <si>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</si>
  <si>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</si>
  <si>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</si>
  <si>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</si>
  <si>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</si>
  <si>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</si>
  <si>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</si>
  <si>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</si>
  <si>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</si>
  <si>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</si>
  <si>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</si>
  <si>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</si>
  <si>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</si>
  <si>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</si>
  <si>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</si>
  <si>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</si>
  <si>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</si>
  <si>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</si>
  <si>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</si>
  <si>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</si>
  <si>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</si>
  <si>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</si>
  <si>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</si>
  <si>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</si>
  <si>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</si>
  <si>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</si>
  <si>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</si>
  <si>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</si>
  <si>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</si>
  <si>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</si>
  <si>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</si>
  <si>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</si>
  <si>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</si>
  <si>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</si>
  <si>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</si>
  <si>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</si>
  <si>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</si>
  <si>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</si>
  <si>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</si>
  <si>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</si>
  <si>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</si>
  <si>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</si>
  <si>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</si>
  <si>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</si>
  <si>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</si>
  <si>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</si>
  <si>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</si>
  <si>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</si>
  <si>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</si>
  <si>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</si>
  <si>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Замена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</si>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</sst>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6"/>
  <sheetViews>
    <sheetView showGridLines="0" tabSelected="1" topLeftCell="F1" zoomScaleNormal="100" zoomScaleSheetLayoutView="100" workbookViewId="0">
      <selection activeCell="D8" sqref="D8:M8"/>
    </sheetView>
  </sheetViews>
  <sheetFormatPr defaultColWidth="9.109375" defaultRowHeight="13.2" x14ac:dyDescent="0.25"/>
  <cols>
    <col min="1" max="1" width="9.109375" style="1" customWidth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 customWidth="1"/>
    <col min="32" max="32" width="8.88671875" style="9" customWidth="1"/>
    <col min="33" max="33" width="13.5546875" style="1" customWidth="1"/>
    <col min="34" max="34" width="9.109375" style="1" customWidth="1"/>
    <col min="35" max="16384" width="9.109375" style="1"/>
  </cols>
  <sheetData>
    <row r="1" spans="1:32" s="17" customFormat="1" ht="45" customHeight="1" x14ac:dyDescent="0.25">
      <c r="A1" s="45"/>
      <c r="B1" s="45"/>
      <c r="C1" s="45"/>
      <c r="D1" s="331" t="s">
        <v>0</v>
      </c>
      <c r="E1" s="296"/>
      <c r="F1" s="296"/>
      <c r="G1" s="14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</v>
      </c>
      <c r="B2" s="33" t="s">
        <v>3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</v>
      </c>
      <c r="C3" s="16"/>
      <c r="D3" s="16"/>
      <c r="E3" s="20"/>
      <c r="F3" s="21" t="s">
        <v>6</v>
      </c>
      <c r="G3" s="18"/>
      <c r="H3" s="18"/>
      <c r="I3" s="18"/>
      <c r="J3" s="21"/>
      <c r="K3" s="21"/>
      <c r="L3" s="21"/>
      <c r="M3" s="18"/>
      <c r="N3" s="18"/>
      <c r="O3" s="18"/>
      <c r="P3" s="284"/>
      <c r="Q3" s="284"/>
      <c r="R3" s="284"/>
      <c r="S3" s="284"/>
      <c r="T3" s="284"/>
      <c r="U3" s="284"/>
      <c r="V3" s="284"/>
      <c r="W3" s="28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72"/>
      <c r="P5" s="26" t="s">
        <v>9</v>
      </c>
      <c r="Q5" s="448">
        <v>46202</v>
      </c>
      <c r="R5" s="352"/>
      <c r="T5" s="381" t="s">
        <v>10</v>
      </c>
      <c r="U5" s="382"/>
      <c r="V5" s="383" t="s">
        <v>11</v>
      </c>
      <c r="W5" s="352"/>
      <c r="AB5" s="57"/>
      <c r="AC5" s="57"/>
      <c r="AD5" s="57"/>
      <c r="AE5" s="57"/>
    </row>
    <row r="6" spans="1:32" s="17" customFormat="1" ht="24" customHeight="1" x14ac:dyDescent="0.25">
      <c r="A6" s="354" t="s">
        <v>12</v>
      </c>
      <c r="B6" s="355"/>
      <c r="C6" s="356"/>
      <c r="D6" s="418" t="s">
        <v>385</v>
      </c>
      <c r="E6" s="419"/>
      <c r="F6" s="419"/>
      <c r="G6" s="419"/>
      <c r="H6" s="419"/>
      <c r="I6" s="419"/>
      <c r="J6" s="419"/>
      <c r="K6" s="419"/>
      <c r="L6" s="419"/>
      <c r="M6" s="352"/>
      <c r="N6" s="73"/>
      <c r="P6" s="26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315" t="str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74"/>
      <c r="P7" s="26"/>
      <c r="Q7" s="46"/>
      <c r="R7" s="46"/>
      <c r="T7" s="284"/>
      <c r="U7" s="382"/>
      <c r="V7" s="423"/>
      <c r="W7" s="424"/>
      <c r="AB7" s="57"/>
      <c r="AC7" s="57"/>
      <c r="AD7" s="57"/>
      <c r="AE7" s="57"/>
    </row>
    <row r="8" spans="1:32" s="17" customFormat="1" ht="25.5" customHeight="1" x14ac:dyDescent="0.25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75"/>
      <c r="P8" s="26" t="s">
        <v>18</v>
      </c>
      <c r="Q8" s="361">
        <v>0.45833333333333331</v>
      </c>
      <c r="R8" s="317"/>
      <c r="T8" s="284"/>
      <c r="U8" s="382"/>
      <c r="V8" s="423"/>
      <c r="W8" s="424"/>
      <c r="AB8" s="57"/>
      <c r="AC8" s="57"/>
      <c r="AD8" s="57"/>
      <c r="AE8" s="57"/>
    </row>
    <row r="9" spans="1:32" s="17" customFormat="1" ht="39.9" customHeight="1" x14ac:dyDescent="0.25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0"/>
      <c r="P9" s="29" t="s">
        <v>19</v>
      </c>
      <c r="Q9" s="349"/>
      <c r="R9" s="350"/>
      <c r="T9" s="284"/>
      <c r="U9" s="382"/>
      <c r="V9" s="425"/>
      <c r="W9" s="42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71"/>
      <c r="P10" s="29" t="s">
        <v>20</v>
      </c>
      <c r="Q10" s="388"/>
      <c r="R10" s="389"/>
      <c r="U10" s="26" t="s">
        <v>21</v>
      </c>
      <c r="V10" s="303" t="s">
        <v>22</v>
      </c>
      <c r="W10" s="30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351"/>
      <c r="R11" s="352"/>
      <c r="U11" s="26" t="s">
        <v>25</v>
      </c>
      <c r="V11" s="413" t="s">
        <v>415</v>
      </c>
      <c r="W11" s="35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376" t="s">
        <v>26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76"/>
      <c r="P12" s="26" t="s">
        <v>27</v>
      </c>
      <c r="Q12" s="361"/>
      <c r="R12" s="317"/>
      <c r="S12" s="27"/>
      <c r="U12" s="26"/>
      <c r="V12" s="296"/>
      <c r="W12" s="284"/>
      <c r="AB12" s="57"/>
      <c r="AC12" s="57"/>
      <c r="AD12" s="57"/>
      <c r="AE12" s="57"/>
    </row>
    <row r="13" spans="1:32" s="17" customFormat="1" ht="23.25" customHeight="1" x14ac:dyDescent="0.25">
      <c r="A13" s="376" t="s">
        <v>28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76"/>
      <c r="O13" s="29"/>
      <c r="P13" s="29" t="s">
        <v>29</v>
      </c>
      <c r="Q13" s="413"/>
      <c r="R13" s="350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376" t="s">
        <v>30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76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378" t="s">
        <v>31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77"/>
      <c r="P15" s="379" t="s">
        <v>32</v>
      </c>
      <c r="Q15" s="296"/>
      <c r="R15" s="296"/>
      <c r="S15" s="296"/>
      <c r="T15" s="296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80"/>
      <c r="Q16" s="380"/>
      <c r="R16" s="380"/>
      <c r="S16" s="380"/>
      <c r="T16" s="3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298" t="s">
        <v>33</v>
      </c>
      <c r="B17" s="298" t="s">
        <v>34</v>
      </c>
      <c r="C17" s="363" t="s">
        <v>35</v>
      </c>
      <c r="D17" s="298" t="s">
        <v>36</v>
      </c>
      <c r="E17" s="342"/>
      <c r="F17" s="298" t="s">
        <v>37</v>
      </c>
      <c r="G17" s="298" t="s">
        <v>38</v>
      </c>
      <c r="H17" s="298" t="s">
        <v>39</v>
      </c>
      <c r="I17" s="298" t="s">
        <v>40</v>
      </c>
      <c r="J17" s="298" t="s">
        <v>41</v>
      </c>
      <c r="K17" s="298" t="s">
        <v>42</v>
      </c>
      <c r="L17" s="298" t="s">
        <v>43</v>
      </c>
      <c r="M17" s="298" t="s">
        <v>44</v>
      </c>
      <c r="N17" s="298" t="s">
        <v>45</v>
      </c>
      <c r="O17" s="298" t="s">
        <v>46</v>
      </c>
      <c r="P17" s="298" t="s">
        <v>47</v>
      </c>
      <c r="Q17" s="341"/>
      <c r="R17" s="341"/>
      <c r="S17" s="341"/>
      <c r="T17" s="342"/>
      <c r="U17" s="457" t="s">
        <v>48</v>
      </c>
      <c r="V17" s="356"/>
      <c r="W17" s="298" t="s">
        <v>49</v>
      </c>
      <c r="X17" s="298" t="s">
        <v>50</v>
      </c>
      <c r="Y17" s="458" t="s">
        <v>51</v>
      </c>
      <c r="Z17" s="467" t="s">
        <v>52</v>
      </c>
      <c r="AA17" s="400" t="s">
        <v>53</v>
      </c>
      <c r="AB17" s="400" t="s">
        <v>54</v>
      </c>
      <c r="AC17" s="400" t="s">
        <v>55</v>
      </c>
      <c r="AD17" s="400" t="s">
        <v>56</v>
      </c>
      <c r="AE17" s="439"/>
      <c r="AF17" s="440"/>
      <c r="AG17" s="80"/>
      <c r="BD17" s="79" t="s">
        <v>57</v>
      </c>
    </row>
    <row r="18" spans="1:68" ht="14.25" customHeight="1" x14ac:dyDescent="0.25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81" t="s">
        <v>58</v>
      </c>
      <c r="V18" s="81" t="s">
        <v>59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80"/>
      <c r="BD18" s="79"/>
    </row>
    <row r="19" spans="1:68" ht="27.75" customHeight="1" x14ac:dyDescent="0.25">
      <c r="A19" s="301" t="s">
        <v>60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52"/>
      <c r="AB19" s="52"/>
      <c r="AC19" s="52"/>
    </row>
    <row r="20" spans="1:68" ht="16.5" customHeight="1" x14ac:dyDescent="0.25">
      <c r="A20" s="283" t="s">
        <v>60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62"/>
      <c r="AB20" s="62"/>
      <c r="AC20" s="62"/>
    </row>
    <row r="21" spans="1:68" ht="14.25" customHeight="1" x14ac:dyDescent="0.25">
      <c r="A21" s="313" t="s">
        <v>61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63"/>
      <c r="AB21" s="63"/>
      <c r="AC21" s="63"/>
    </row>
    <row r="22" spans="1:68" ht="27" customHeight="1" x14ac:dyDescent="0.25">
      <c r="A22" s="60" t="s">
        <v>62</v>
      </c>
      <c r="B22" s="60" t="s">
        <v>63</v>
      </c>
      <c r="C22" s="34">
        <v>4301071113</v>
      </c>
      <c r="D22" s="291">
        <v>4620207491508</v>
      </c>
      <c r="E22" s="29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64</v>
      </c>
      <c r="L22" s="35" t="s">
        <v>65</v>
      </c>
      <c r="M22" s="36" t="s">
        <v>66</v>
      </c>
      <c r="N22" s="36"/>
      <c r="O22" s="35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7"/>
      <c r="V22" s="37"/>
      <c r="W22" s="38" t="s">
        <v>67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/>
      <c r="AB22" s="66"/>
      <c r="AC22" s="84" t="s">
        <v>68</v>
      </c>
      <c r="AG22" s="78"/>
      <c r="AJ22" s="82" t="s">
        <v>69</v>
      </c>
      <c r="AK22" s="82">
        <v>1</v>
      </c>
      <c r="BB22" s="85" t="s">
        <v>1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70</v>
      </c>
      <c r="B23" s="60" t="s">
        <v>71</v>
      </c>
      <c r="C23" s="34">
        <v>4301071112</v>
      </c>
      <c r="D23" s="291">
        <v>4620207491256</v>
      </c>
      <c r="E23" s="29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64</v>
      </c>
      <c r="L23" s="35" t="s">
        <v>65</v>
      </c>
      <c r="M23" s="36" t="s">
        <v>66</v>
      </c>
      <c r="N23" s="36"/>
      <c r="O23" s="35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7"/>
      <c r="V23" s="37"/>
      <c r="W23" s="38" t="s">
        <v>67</v>
      </c>
      <c r="X23" s="56">
        <v>0</v>
      </c>
      <c r="Y23" s="53">
        <f t="shared" si="0"/>
        <v>0</v>
      </c>
      <c r="Z23" s="39">
        <f t="shared" si="1"/>
        <v>0</v>
      </c>
      <c r="AA23" s="65"/>
      <c r="AB23" s="66"/>
      <c r="AC23" s="86" t="s">
        <v>68</v>
      </c>
      <c r="AG23" s="78"/>
      <c r="AJ23" s="82" t="s">
        <v>69</v>
      </c>
      <c r="AK23" s="82">
        <v>1</v>
      </c>
      <c r="BB23" s="87" t="s">
        <v>1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72</v>
      </c>
      <c r="B24" s="60" t="s">
        <v>73</v>
      </c>
      <c r="C24" s="34">
        <v>4301071108</v>
      </c>
      <c r="D24" s="291">
        <v>4607111035912</v>
      </c>
      <c r="E24" s="29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64</v>
      </c>
      <c r="L24" s="35" t="s">
        <v>65</v>
      </c>
      <c r="M24" s="36" t="s">
        <v>66</v>
      </c>
      <c r="N24" s="36"/>
      <c r="O24" s="35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7"/>
      <c r="V24" s="37"/>
      <c r="W24" s="38" t="s">
        <v>67</v>
      </c>
      <c r="X24" s="56">
        <v>0</v>
      </c>
      <c r="Y24" s="53">
        <f t="shared" si="0"/>
        <v>0</v>
      </c>
      <c r="Z24" s="39">
        <f t="shared" si="1"/>
        <v>0</v>
      </c>
      <c r="AA24" s="65"/>
      <c r="AB24" s="66"/>
      <c r="AC24" s="88" t="s">
        <v>74</v>
      </c>
      <c r="AG24" s="78"/>
      <c r="AJ24" s="82" t="s">
        <v>69</v>
      </c>
      <c r="AK24" s="82">
        <v>1</v>
      </c>
      <c r="BB24" s="89" t="s">
        <v>1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75</v>
      </c>
      <c r="B25" s="60" t="s">
        <v>76</v>
      </c>
      <c r="C25" s="34">
        <v>4301071109</v>
      </c>
      <c r="D25" s="291">
        <v>4607111035929</v>
      </c>
      <c r="E25" s="29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64</v>
      </c>
      <c r="L25" s="35" t="s">
        <v>65</v>
      </c>
      <c r="M25" s="36" t="s">
        <v>66</v>
      </c>
      <c r="N25" s="36"/>
      <c r="O25" s="35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7"/>
      <c r="V25" s="37"/>
      <c r="W25" s="38" t="s">
        <v>67</v>
      </c>
      <c r="X25" s="56">
        <v>36</v>
      </c>
      <c r="Y25" s="53">
        <f t="shared" si="0"/>
        <v>36</v>
      </c>
      <c r="Z25" s="39">
        <f t="shared" si="1"/>
        <v>0.55800000000000005</v>
      </c>
      <c r="AA25" s="65"/>
      <c r="AB25" s="66"/>
      <c r="AC25" s="90" t="s">
        <v>74</v>
      </c>
      <c r="AG25" s="78"/>
      <c r="AJ25" s="82" t="s">
        <v>69</v>
      </c>
      <c r="AK25" s="82">
        <v>1</v>
      </c>
      <c r="BB25" s="91" t="s">
        <v>1</v>
      </c>
      <c r="BM25" s="78">
        <f t="shared" si="2"/>
        <v>268.92</v>
      </c>
      <c r="BN25" s="78">
        <f t="shared" si="3"/>
        <v>268.92</v>
      </c>
      <c r="BO25" s="78">
        <f t="shared" si="4"/>
        <v>0.42857142857142855</v>
      </c>
      <c r="BP25" s="78">
        <f t="shared" si="5"/>
        <v>0.42857142857142855</v>
      </c>
    </row>
    <row r="26" spans="1:68" ht="27" customHeight="1" x14ac:dyDescent="0.25">
      <c r="A26" s="60" t="s">
        <v>77</v>
      </c>
      <c r="B26" s="60" t="s">
        <v>78</v>
      </c>
      <c r="C26" s="34">
        <v>4301071106</v>
      </c>
      <c r="D26" s="291">
        <v>4607111035882</v>
      </c>
      <c r="E26" s="29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64</v>
      </c>
      <c r="L26" s="35" t="s">
        <v>65</v>
      </c>
      <c r="M26" s="36" t="s">
        <v>66</v>
      </c>
      <c r="N26" s="36"/>
      <c r="O26" s="35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7"/>
      <c r="V26" s="37"/>
      <c r="W26" s="38" t="s">
        <v>67</v>
      </c>
      <c r="X26" s="56">
        <v>0</v>
      </c>
      <c r="Y26" s="53">
        <f t="shared" si="0"/>
        <v>0</v>
      </c>
      <c r="Z26" s="39">
        <f t="shared" si="1"/>
        <v>0</v>
      </c>
      <c r="AA26" s="65"/>
      <c r="AB26" s="66"/>
      <c r="AC26" s="92" t="s">
        <v>74</v>
      </c>
      <c r="AG26" s="78"/>
      <c r="AJ26" s="82" t="s">
        <v>69</v>
      </c>
      <c r="AK26" s="82">
        <v>1</v>
      </c>
      <c r="BB26" s="93" t="s">
        <v>1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79</v>
      </c>
      <c r="B27" s="60" t="s">
        <v>80</v>
      </c>
      <c r="C27" s="34">
        <v>4301071107</v>
      </c>
      <c r="D27" s="291">
        <v>4607111035905</v>
      </c>
      <c r="E27" s="29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64</v>
      </c>
      <c r="L27" s="35" t="s">
        <v>65</v>
      </c>
      <c r="M27" s="36" t="s">
        <v>66</v>
      </c>
      <c r="N27" s="36"/>
      <c r="O27" s="35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7"/>
      <c r="V27" s="37"/>
      <c r="W27" s="38" t="s">
        <v>67</v>
      </c>
      <c r="X27" s="56">
        <v>24</v>
      </c>
      <c r="Y27" s="53">
        <f t="shared" si="0"/>
        <v>24</v>
      </c>
      <c r="Z27" s="39">
        <f t="shared" si="1"/>
        <v>0.372</v>
      </c>
      <c r="AA27" s="65"/>
      <c r="AB27" s="66"/>
      <c r="AC27" s="94" t="s">
        <v>74</v>
      </c>
      <c r="AG27" s="78"/>
      <c r="AJ27" s="82" t="s">
        <v>69</v>
      </c>
      <c r="AK27" s="82">
        <v>1</v>
      </c>
      <c r="BB27" s="95" t="s">
        <v>1</v>
      </c>
      <c r="BM27" s="78">
        <f t="shared" si="2"/>
        <v>179.28</v>
      </c>
      <c r="BN27" s="78">
        <f t="shared" si="3"/>
        <v>179.28</v>
      </c>
      <c r="BO27" s="78">
        <f t="shared" si="4"/>
        <v>0.2857142857142857</v>
      </c>
      <c r="BP27" s="78">
        <f t="shared" si="5"/>
        <v>0.2857142857142857</v>
      </c>
    </row>
    <row r="28" spans="1:68" x14ac:dyDescent="0.25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81</v>
      </c>
      <c r="Q28" s="281"/>
      <c r="R28" s="281"/>
      <c r="S28" s="281"/>
      <c r="T28" s="281"/>
      <c r="U28" s="281"/>
      <c r="V28" s="282"/>
      <c r="W28" s="40" t="s">
        <v>67</v>
      </c>
      <c r="X28" s="41">
        <f>IFERROR(SUM(X22:X27),"0")</f>
        <v>60</v>
      </c>
      <c r="Y28" s="41">
        <f>IFERROR(SUM(Y22:Y27),"0")</f>
        <v>60</v>
      </c>
      <c r="Z28" s="41">
        <f>IFERROR(IF(Z22="",0,Z22),"0")+IFERROR(IF(Z23="",0,Z23),"0")+IFERROR(IF(Z24="",0,Z24),"0")+IFERROR(IF(Z25="",0,Z25),"0")+IFERROR(IF(Z26="",0,Z26),"0")+IFERROR(IF(Z27="",0,Z27),"0")</f>
        <v>0.93</v>
      </c>
      <c r="AA28" s="64"/>
      <c r="AB28" s="64"/>
      <c r="AC28" s="64"/>
    </row>
    <row r="29" spans="1:68" x14ac:dyDescent="0.25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81</v>
      </c>
      <c r="Q29" s="281"/>
      <c r="R29" s="281"/>
      <c r="S29" s="281"/>
      <c r="T29" s="281"/>
      <c r="U29" s="281"/>
      <c r="V29" s="282"/>
      <c r="W29" s="40" t="s">
        <v>82</v>
      </c>
      <c r="X29" s="41">
        <f>IFERROR(SUMPRODUCT(X22:X27*H22:H27),"0")</f>
        <v>432</v>
      </c>
      <c r="Y29" s="41">
        <f>IFERROR(SUMPRODUCT(Y22:Y27*H22:H27),"0")</f>
        <v>432</v>
      </c>
      <c r="Z29" s="40"/>
      <c r="AA29" s="64"/>
      <c r="AB29" s="64"/>
      <c r="AC29" s="64"/>
    </row>
    <row r="30" spans="1:68" ht="16.5" customHeight="1" x14ac:dyDescent="0.25">
      <c r="A30" s="283" t="s">
        <v>83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62"/>
      <c r="AB30" s="62"/>
      <c r="AC30" s="62"/>
    </row>
    <row r="31" spans="1:68" ht="14.25" customHeight="1" x14ac:dyDescent="0.25">
      <c r="A31" s="313" t="s">
        <v>61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63"/>
      <c r="AB31" s="63"/>
      <c r="AC31" s="63"/>
    </row>
    <row r="32" spans="1:68" ht="16.5" customHeight="1" x14ac:dyDescent="0.25">
      <c r="A32" s="60" t="s">
        <v>84</v>
      </c>
      <c r="B32" s="60" t="s">
        <v>85</v>
      </c>
      <c r="C32" s="34">
        <v>4301071099</v>
      </c>
      <c r="D32" s="291">
        <v>4607111039019</v>
      </c>
      <c r="E32" s="29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64</v>
      </c>
      <c r="L32" s="35" t="s">
        <v>65</v>
      </c>
      <c r="M32" s="36" t="s">
        <v>66</v>
      </c>
      <c r="N32" s="36"/>
      <c r="O32" s="35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7"/>
      <c r="V32" s="37"/>
      <c r="W32" s="38" t="s">
        <v>67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/>
      <c r="AB32" s="66"/>
      <c r="AC32" s="96" t="s">
        <v>86</v>
      </c>
      <c r="AG32" s="78"/>
      <c r="AJ32" s="82" t="s">
        <v>69</v>
      </c>
      <c r="AK32" s="82">
        <v>1</v>
      </c>
      <c r="BB32" s="97" t="s">
        <v>1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87</v>
      </c>
      <c r="B33" s="60" t="s">
        <v>88</v>
      </c>
      <c r="C33" s="34">
        <v>4301071100</v>
      </c>
      <c r="D33" s="291">
        <v>4607111038708</v>
      </c>
      <c r="E33" s="29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64</v>
      </c>
      <c r="L33" s="35" t="s">
        <v>65</v>
      </c>
      <c r="M33" s="36" t="s">
        <v>66</v>
      </c>
      <c r="N33" s="36"/>
      <c r="O33" s="35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7"/>
      <c r="V33" s="37"/>
      <c r="W33" s="38" t="s">
        <v>67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/>
      <c r="AB33" s="66"/>
      <c r="AC33" s="98" t="s">
        <v>86</v>
      </c>
      <c r="AG33" s="78"/>
      <c r="AJ33" s="82" t="s">
        <v>69</v>
      </c>
      <c r="AK33" s="82">
        <v>1</v>
      </c>
      <c r="BB33" s="99" t="s">
        <v>1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5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81</v>
      </c>
      <c r="Q34" s="281"/>
      <c r="R34" s="281"/>
      <c r="S34" s="281"/>
      <c r="T34" s="281"/>
      <c r="U34" s="281"/>
      <c r="V34" s="282"/>
      <c r="W34" s="40" t="s">
        <v>67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5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81</v>
      </c>
      <c r="Q35" s="281"/>
      <c r="R35" s="281"/>
      <c r="S35" s="281"/>
      <c r="T35" s="281"/>
      <c r="U35" s="281"/>
      <c r="V35" s="282"/>
      <c r="W35" s="40" t="s">
        <v>82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5">
      <c r="A36" s="301" t="s">
        <v>89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52"/>
      <c r="AB36" s="52"/>
      <c r="AC36" s="52"/>
    </row>
    <row r="37" spans="1:68" ht="16.5" customHeight="1" x14ac:dyDescent="0.25">
      <c r="A37" s="283" t="s">
        <v>90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62"/>
      <c r="AB37" s="62"/>
      <c r="AC37" s="62"/>
    </row>
    <row r="38" spans="1:68" ht="14.25" customHeight="1" x14ac:dyDescent="0.25">
      <c r="A38" s="313" t="s">
        <v>91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63"/>
      <c r="AB38" s="63"/>
      <c r="AC38" s="63"/>
    </row>
    <row r="39" spans="1:68" ht="27" customHeight="1" x14ac:dyDescent="0.25">
      <c r="A39" s="60" t="s">
        <v>92</v>
      </c>
      <c r="B39" s="60" t="s">
        <v>93</v>
      </c>
      <c r="C39" s="34">
        <v>4301132190</v>
      </c>
      <c r="D39" s="291">
        <v>4607111036537</v>
      </c>
      <c r="E39" s="29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94</v>
      </c>
      <c r="L39" s="35" t="s">
        <v>95</v>
      </c>
      <c r="M39" s="36" t="s">
        <v>66</v>
      </c>
      <c r="N39" s="36"/>
      <c r="O39" s="35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7"/>
      <c r="V39" s="37"/>
      <c r="W39" s="38" t="s">
        <v>67</v>
      </c>
      <c r="X39" s="56">
        <v>56</v>
      </c>
      <c r="Y39" s="53">
        <f>IFERROR(IF(X39="","",X39),"")</f>
        <v>56</v>
      </c>
      <c r="Z39" s="39">
        <f>IFERROR(IF(X39="","",X39*0.00941),"")</f>
        <v>0.52695999999999998</v>
      </c>
      <c r="AA39" s="65"/>
      <c r="AB39" s="66"/>
      <c r="AC39" s="100" t="s">
        <v>96</v>
      </c>
      <c r="AG39" s="78"/>
      <c r="AJ39" s="82" t="s">
        <v>97</v>
      </c>
      <c r="AK39" s="82">
        <v>14</v>
      </c>
      <c r="BB39" s="101" t="s">
        <v>98</v>
      </c>
      <c r="BM39" s="78">
        <f>IFERROR(X39*I39,"0")</f>
        <v>107.6208</v>
      </c>
      <c r="BN39" s="78">
        <f>IFERROR(Y39*I39,"0")</f>
        <v>107.6208</v>
      </c>
      <c r="BO39" s="78">
        <f>IFERROR(X39/J39,"0")</f>
        <v>0.4</v>
      </c>
      <c r="BP39" s="78">
        <f>IFERROR(Y39/J39,"0")</f>
        <v>0.4</v>
      </c>
    </row>
    <row r="40" spans="1:68" ht="27" customHeight="1" x14ac:dyDescent="0.25">
      <c r="A40" s="60" t="s">
        <v>99</v>
      </c>
      <c r="B40" s="60" t="s">
        <v>100</v>
      </c>
      <c r="C40" s="34">
        <v>4301132188</v>
      </c>
      <c r="D40" s="291">
        <v>4607111036605</v>
      </c>
      <c r="E40" s="29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94</v>
      </c>
      <c r="L40" s="35" t="s">
        <v>95</v>
      </c>
      <c r="M40" s="36" t="s">
        <v>66</v>
      </c>
      <c r="N40" s="36"/>
      <c r="O40" s="35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7"/>
      <c r="V40" s="37"/>
      <c r="W40" s="38" t="s">
        <v>67</v>
      </c>
      <c r="X40" s="56">
        <v>14</v>
      </c>
      <c r="Y40" s="53">
        <f>IFERROR(IF(X40="","",X40),"")</f>
        <v>14</v>
      </c>
      <c r="Z40" s="39">
        <f>IFERROR(IF(X40="","",X40*0.00941),"")</f>
        <v>0.13174</v>
      </c>
      <c r="AA40" s="65"/>
      <c r="AB40" s="66"/>
      <c r="AC40" s="102" t="s">
        <v>96</v>
      </c>
      <c r="AG40" s="78"/>
      <c r="AJ40" s="82" t="s">
        <v>97</v>
      </c>
      <c r="AK40" s="82">
        <v>14</v>
      </c>
      <c r="BB40" s="103" t="s">
        <v>98</v>
      </c>
      <c r="BM40" s="78">
        <f>IFERROR(X40*I40,"0")</f>
        <v>26.905200000000001</v>
      </c>
      <c r="BN40" s="78">
        <f>IFERROR(Y40*I40,"0")</f>
        <v>26.905200000000001</v>
      </c>
      <c r="BO40" s="78">
        <f>IFERROR(X40/J40,"0")</f>
        <v>0.1</v>
      </c>
      <c r="BP40" s="78">
        <f>IFERROR(Y40/J40,"0")</f>
        <v>0.1</v>
      </c>
    </row>
    <row r="41" spans="1:68" x14ac:dyDescent="0.25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81</v>
      </c>
      <c r="Q41" s="281"/>
      <c r="R41" s="281"/>
      <c r="S41" s="281"/>
      <c r="T41" s="281"/>
      <c r="U41" s="281"/>
      <c r="V41" s="282"/>
      <c r="W41" s="40" t="s">
        <v>67</v>
      </c>
      <c r="X41" s="41">
        <f>IFERROR(SUM(X39:X40),"0")</f>
        <v>70</v>
      </c>
      <c r="Y41" s="41">
        <f>IFERROR(SUM(Y39:Y40),"0")</f>
        <v>70</v>
      </c>
      <c r="Z41" s="41">
        <f>IFERROR(IF(Z39="",0,Z39),"0")+IFERROR(IF(Z40="",0,Z40),"0")</f>
        <v>0.65869999999999995</v>
      </c>
      <c r="AA41" s="64"/>
      <c r="AB41" s="64"/>
      <c r="AC41" s="64"/>
    </row>
    <row r="42" spans="1:68" x14ac:dyDescent="0.25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81</v>
      </c>
      <c r="Q42" s="281"/>
      <c r="R42" s="281"/>
      <c r="S42" s="281"/>
      <c r="T42" s="281"/>
      <c r="U42" s="281"/>
      <c r="V42" s="282"/>
      <c r="W42" s="40" t="s">
        <v>82</v>
      </c>
      <c r="X42" s="41">
        <f>IFERROR(SUMPRODUCT(X39:X40*H39:H40),"0")</f>
        <v>105</v>
      </c>
      <c r="Y42" s="41">
        <f>IFERROR(SUMPRODUCT(Y39:Y40*H39:H40),"0")</f>
        <v>105</v>
      </c>
      <c r="Z42" s="40"/>
      <c r="AA42" s="64"/>
      <c r="AB42" s="64"/>
      <c r="AC42" s="64"/>
    </row>
    <row r="43" spans="1:68" ht="16.5" customHeight="1" x14ac:dyDescent="0.25">
      <c r="A43" s="283" t="s">
        <v>101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62"/>
      <c r="AB43" s="62"/>
      <c r="AC43" s="62"/>
    </row>
    <row r="44" spans="1:68" ht="14.25" customHeight="1" x14ac:dyDescent="0.25">
      <c r="A44" s="313" t="s">
        <v>61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63"/>
      <c r="AB44" s="63"/>
      <c r="AC44" s="63"/>
    </row>
    <row r="45" spans="1:68" ht="27" customHeight="1" x14ac:dyDescent="0.25">
      <c r="A45" s="60" t="s">
        <v>102</v>
      </c>
      <c r="B45" s="60" t="s">
        <v>103</v>
      </c>
      <c r="C45" s="34">
        <v>4301071090</v>
      </c>
      <c r="D45" s="291">
        <v>4620207490075</v>
      </c>
      <c r="E45" s="29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64</v>
      </c>
      <c r="L45" s="35" t="s">
        <v>95</v>
      </c>
      <c r="M45" s="36" t="s">
        <v>66</v>
      </c>
      <c r="N45" s="36"/>
      <c r="O45" s="35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7"/>
      <c r="V45" s="37"/>
      <c r="W45" s="38" t="s">
        <v>67</v>
      </c>
      <c r="X45" s="56">
        <v>12</v>
      </c>
      <c r="Y45" s="53">
        <f>IFERROR(IF(X45="","",X45),"")</f>
        <v>12</v>
      </c>
      <c r="Z45" s="39">
        <f>IFERROR(IF(X45="","",X45*0.0155),"")</f>
        <v>0.186</v>
      </c>
      <c r="AA45" s="65"/>
      <c r="AB45" s="66"/>
      <c r="AC45" s="104" t="s">
        <v>104</v>
      </c>
      <c r="AG45" s="78"/>
      <c r="AJ45" s="82" t="s">
        <v>97</v>
      </c>
      <c r="AK45" s="82">
        <v>12</v>
      </c>
      <c r="BB45" s="105" t="s">
        <v>1</v>
      </c>
      <c r="BM45" s="78">
        <f>IFERROR(X45*I45,"0")</f>
        <v>70.44</v>
      </c>
      <c r="BN45" s="78">
        <f>IFERROR(Y45*I45,"0")</f>
        <v>70.44</v>
      </c>
      <c r="BO45" s="78">
        <f>IFERROR(X45/J45,"0")</f>
        <v>0.14285714285714285</v>
      </c>
      <c r="BP45" s="78">
        <f>IFERROR(Y45/J45,"0")</f>
        <v>0.14285714285714285</v>
      </c>
    </row>
    <row r="46" spans="1:68" ht="27" customHeight="1" x14ac:dyDescent="0.25">
      <c r="A46" s="60" t="s">
        <v>105</v>
      </c>
      <c r="B46" s="60" t="s">
        <v>106</v>
      </c>
      <c r="C46" s="34">
        <v>4301071092</v>
      </c>
      <c r="D46" s="291">
        <v>4620207490174</v>
      </c>
      <c r="E46" s="29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64</v>
      </c>
      <c r="L46" s="35" t="s">
        <v>95</v>
      </c>
      <c r="M46" s="36" t="s">
        <v>66</v>
      </c>
      <c r="N46" s="36"/>
      <c r="O46" s="35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7"/>
      <c r="V46" s="37"/>
      <c r="W46" s="38" t="s">
        <v>67</v>
      </c>
      <c r="X46" s="56">
        <v>12</v>
      </c>
      <c r="Y46" s="53">
        <f>IFERROR(IF(X46="","",X46),"")</f>
        <v>12</v>
      </c>
      <c r="Z46" s="39">
        <f>IFERROR(IF(X46="","",X46*0.0155),"")</f>
        <v>0.186</v>
      </c>
      <c r="AA46" s="65"/>
      <c r="AB46" s="66"/>
      <c r="AC46" s="106" t="s">
        <v>107</v>
      </c>
      <c r="AG46" s="78"/>
      <c r="AJ46" s="82" t="s">
        <v>97</v>
      </c>
      <c r="AK46" s="82">
        <v>12</v>
      </c>
      <c r="BB46" s="107" t="s">
        <v>1</v>
      </c>
      <c r="BM46" s="78">
        <f>IFERROR(X46*I46,"0")</f>
        <v>70.44</v>
      </c>
      <c r="BN46" s="78">
        <f>IFERROR(Y46*I46,"0")</f>
        <v>70.44</v>
      </c>
      <c r="BO46" s="78">
        <f>IFERROR(X46/J46,"0")</f>
        <v>0.14285714285714285</v>
      </c>
      <c r="BP46" s="78">
        <f>IFERROR(Y46/J46,"0")</f>
        <v>0.14285714285714285</v>
      </c>
    </row>
    <row r="47" spans="1:68" ht="27" customHeight="1" x14ac:dyDescent="0.25">
      <c r="A47" s="60" t="s">
        <v>108</v>
      </c>
      <c r="B47" s="60" t="s">
        <v>109</v>
      </c>
      <c r="C47" s="34">
        <v>4301071091</v>
      </c>
      <c r="D47" s="291">
        <v>4620207490044</v>
      </c>
      <c r="E47" s="29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64</v>
      </c>
      <c r="L47" s="35" t="s">
        <v>95</v>
      </c>
      <c r="M47" s="36" t="s">
        <v>66</v>
      </c>
      <c r="N47" s="36"/>
      <c r="O47" s="35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7"/>
      <c r="V47" s="37"/>
      <c r="W47" s="38" t="s">
        <v>67</v>
      </c>
      <c r="X47" s="56">
        <v>12</v>
      </c>
      <c r="Y47" s="53">
        <f>IFERROR(IF(X47="","",X47),"")</f>
        <v>12</v>
      </c>
      <c r="Z47" s="39">
        <f>IFERROR(IF(X47="","",X47*0.0155),"")</f>
        <v>0.186</v>
      </c>
      <c r="AA47" s="65"/>
      <c r="AB47" s="66"/>
      <c r="AC47" s="108" t="s">
        <v>110</v>
      </c>
      <c r="AG47" s="78"/>
      <c r="AJ47" s="82" t="s">
        <v>97</v>
      </c>
      <c r="AK47" s="82">
        <v>12</v>
      </c>
      <c r="BB47" s="109" t="s">
        <v>1</v>
      </c>
      <c r="BM47" s="78">
        <f>IFERROR(X47*I47,"0")</f>
        <v>70.44</v>
      </c>
      <c r="BN47" s="78">
        <f>IFERROR(Y47*I47,"0")</f>
        <v>70.44</v>
      </c>
      <c r="BO47" s="78">
        <f>IFERROR(X47/J47,"0")</f>
        <v>0.14285714285714285</v>
      </c>
      <c r="BP47" s="78">
        <f>IFERROR(Y47/J47,"0")</f>
        <v>0.14285714285714285</v>
      </c>
    </row>
    <row r="48" spans="1:68" x14ac:dyDescent="0.25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81</v>
      </c>
      <c r="Q48" s="281"/>
      <c r="R48" s="281"/>
      <c r="S48" s="281"/>
      <c r="T48" s="281"/>
      <c r="U48" s="281"/>
      <c r="V48" s="282"/>
      <c r="W48" s="40" t="s">
        <v>67</v>
      </c>
      <c r="X48" s="41">
        <f>IFERROR(SUM(X45:X47),"0")</f>
        <v>36</v>
      </c>
      <c r="Y48" s="41">
        <f>IFERROR(SUM(Y45:Y47),"0")</f>
        <v>36</v>
      </c>
      <c r="Z48" s="41">
        <f>IFERROR(IF(Z45="",0,Z45),"0")+IFERROR(IF(Z46="",0,Z46),"0")+IFERROR(IF(Z47="",0,Z47),"0")</f>
        <v>0.55800000000000005</v>
      </c>
      <c r="AA48" s="64"/>
      <c r="AB48" s="64"/>
      <c r="AC48" s="64"/>
    </row>
    <row r="49" spans="1:68" x14ac:dyDescent="0.25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81</v>
      </c>
      <c r="Q49" s="281"/>
      <c r="R49" s="281"/>
      <c r="S49" s="281"/>
      <c r="T49" s="281"/>
      <c r="U49" s="281"/>
      <c r="V49" s="282"/>
      <c r="W49" s="40" t="s">
        <v>82</v>
      </c>
      <c r="X49" s="41">
        <f>IFERROR(SUMPRODUCT(X45:X47*H45:H47),"0")</f>
        <v>201.59999999999997</v>
      </c>
      <c r="Y49" s="41">
        <f>IFERROR(SUMPRODUCT(Y45:Y47*H45:H47),"0")</f>
        <v>201.59999999999997</v>
      </c>
      <c r="Z49" s="40"/>
      <c r="AA49" s="64"/>
      <c r="AB49" s="64"/>
      <c r="AC49" s="64"/>
    </row>
    <row r="50" spans="1:68" ht="16.5" customHeight="1" x14ac:dyDescent="0.25">
      <c r="A50" s="283" t="s">
        <v>111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62"/>
      <c r="AB50" s="62"/>
      <c r="AC50" s="62"/>
    </row>
    <row r="51" spans="1:68" ht="14.25" customHeight="1" x14ac:dyDescent="0.25">
      <c r="A51" s="313" t="s">
        <v>61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63"/>
      <c r="AB51" s="63"/>
      <c r="AC51" s="63"/>
    </row>
    <row r="52" spans="1:68" ht="27" customHeight="1" x14ac:dyDescent="0.25">
      <c r="A52" s="60" t="s">
        <v>112</v>
      </c>
      <c r="B52" s="60" t="s">
        <v>113</v>
      </c>
      <c r="C52" s="34">
        <v>4301071044</v>
      </c>
      <c r="D52" s="291">
        <v>4607111039385</v>
      </c>
      <c r="E52" s="29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64</v>
      </c>
      <c r="L52" s="35" t="s">
        <v>95</v>
      </c>
      <c r="M52" s="36" t="s">
        <v>66</v>
      </c>
      <c r="N52" s="36"/>
      <c r="O52" s="35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7"/>
      <c r="V52" s="37"/>
      <c r="W52" s="38" t="s">
        <v>67</v>
      </c>
      <c r="X52" s="56">
        <v>36</v>
      </c>
      <c r="Y52" s="53">
        <f>IFERROR(IF(X52="","",X52),"")</f>
        <v>36</v>
      </c>
      <c r="Z52" s="39">
        <f>IFERROR(IF(X52="","",X52*0.0155),"")</f>
        <v>0.55800000000000005</v>
      </c>
      <c r="AA52" s="65"/>
      <c r="AB52" s="66"/>
      <c r="AC52" s="110" t="s">
        <v>114</v>
      </c>
      <c r="AG52" s="78"/>
      <c r="AJ52" s="82" t="s">
        <v>97</v>
      </c>
      <c r="AK52" s="82">
        <v>12</v>
      </c>
      <c r="BB52" s="111" t="s">
        <v>1</v>
      </c>
      <c r="BM52" s="78">
        <f>IFERROR(X52*I52,"0")</f>
        <v>262.8</v>
      </c>
      <c r="BN52" s="78">
        <f>IFERROR(Y52*I52,"0")</f>
        <v>262.8</v>
      </c>
      <c r="BO52" s="78">
        <f>IFERROR(X52/J52,"0")</f>
        <v>0.42857142857142855</v>
      </c>
      <c r="BP52" s="78">
        <f>IFERROR(Y52/J52,"0")</f>
        <v>0.42857142857142855</v>
      </c>
    </row>
    <row r="53" spans="1:68" ht="27" customHeight="1" x14ac:dyDescent="0.25">
      <c r="A53" s="60" t="s">
        <v>115</v>
      </c>
      <c r="B53" s="60" t="s">
        <v>116</v>
      </c>
      <c r="C53" s="34">
        <v>4301071031</v>
      </c>
      <c r="D53" s="291">
        <v>4607111038982</v>
      </c>
      <c r="E53" s="29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64</v>
      </c>
      <c r="L53" s="35" t="s">
        <v>95</v>
      </c>
      <c r="M53" s="36" t="s">
        <v>66</v>
      </c>
      <c r="N53" s="36"/>
      <c r="O53" s="35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7"/>
      <c r="V53" s="37"/>
      <c r="W53" s="38" t="s">
        <v>67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/>
      <c r="AB53" s="66"/>
      <c r="AC53" s="112" t="s">
        <v>117</v>
      </c>
      <c r="AG53" s="78"/>
      <c r="AJ53" s="82" t="s">
        <v>97</v>
      </c>
      <c r="AK53" s="82">
        <v>12</v>
      </c>
      <c r="BB53" s="113" t="s">
        <v>1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118</v>
      </c>
      <c r="B54" s="60" t="s">
        <v>119</v>
      </c>
      <c r="C54" s="34">
        <v>4301071046</v>
      </c>
      <c r="D54" s="291">
        <v>4607111039354</v>
      </c>
      <c r="E54" s="29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64</v>
      </c>
      <c r="L54" s="35" t="s">
        <v>95</v>
      </c>
      <c r="M54" s="36" t="s">
        <v>66</v>
      </c>
      <c r="N54" s="36"/>
      <c r="O54" s="35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7"/>
      <c r="V54" s="37"/>
      <c r="W54" s="38" t="s">
        <v>67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/>
      <c r="AB54" s="66"/>
      <c r="AC54" s="114" t="s">
        <v>117</v>
      </c>
      <c r="AG54" s="78"/>
      <c r="AJ54" s="82" t="s">
        <v>97</v>
      </c>
      <c r="AK54" s="82">
        <v>12</v>
      </c>
      <c r="BB54" s="115" t="s">
        <v>1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120</v>
      </c>
      <c r="B55" s="60" t="s">
        <v>121</v>
      </c>
      <c r="C55" s="34">
        <v>4301071047</v>
      </c>
      <c r="D55" s="291">
        <v>4607111039330</v>
      </c>
      <c r="E55" s="29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64</v>
      </c>
      <c r="L55" s="35" t="s">
        <v>95</v>
      </c>
      <c r="M55" s="36" t="s">
        <v>66</v>
      </c>
      <c r="N55" s="36"/>
      <c r="O55" s="35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7"/>
      <c r="V55" s="37"/>
      <c r="W55" s="38" t="s">
        <v>67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/>
      <c r="AB55" s="66"/>
      <c r="AC55" s="116" t="s">
        <v>117</v>
      </c>
      <c r="AG55" s="78"/>
      <c r="AJ55" s="82" t="s">
        <v>97</v>
      </c>
      <c r="AK55" s="82">
        <v>12</v>
      </c>
      <c r="BB55" s="117" t="s">
        <v>1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5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81</v>
      </c>
      <c r="Q56" s="281"/>
      <c r="R56" s="281"/>
      <c r="S56" s="281"/>
      <c r="T56" s="281"/>
      <c r="U56" s="281"/>
      <c r="V56" s="282"/>
      <c r="W56" s="40" t="s">
        <v>67</v>
      </c>
      <c r="X56" s="41">
        <f>IFERROR(SUM(X52:X55),"0")</f>
        <v>36</v>
      </c>
      <c r="Y56" s="41">
        <f>IFERROR(SUM(Y52:Y55),"0")</f>
        <v>36</v>
      </c>
      <c r="Z56" s="41">
        <f>IFERROR(IF(Z52="",0,Z52),"0")+IFERROR(IF(Z53="",0,Z53),"0")+IFERROR(IF(Z54="",0,Z54),"0")+IFERROR(IF(Z55="",0,Z55),"0")</f>
        <v>0.55800000000000005</v>
      </c>
      <c r="AA56" s="64"/>
      <c r="AB56" s="64"/>
      <c r="AC56" s="64"/>
    </row>
    <row r="57" spans="1:68" x14ac:dyDescent="0.25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81</v>
      </c>
      <c r="Q57" s="281"/>
      <c r="R57" s="281"/>
      <c r="S57" s="281"/>
      <c r="T57" s="281"/>
      <c r="U57" s="281"/>
      <c r="V57" s="282"/>
      <c r="W57" s="40" t="s">
        <v>82</v>
      </c>
      <c r="X57" s="41">
        <f>IFERROR(SUMPRODUCT(X52:X55*H52:H55),"0")</f>
        <v>252</v>
      </c>
      <c r="Y57" s="41">
        <f>IFERROR(SUMPRODUCT(Y52:Y55*H52:H55),"0")</f>
        <v>252</v>
      </c>
      <c r="Z57" s="40"/>
      <c r="AA57" s="64"/>
      <c r="AB57" s="64"/>
      <c r="AC57" s="64"/>
    </row>
    <row r="58" spans="1:68" ht="16.5" customHeight="1" x14ac:dyDescent="0.25">
      <c r="A58" s="283" t="s">
        <v>122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62"/>
      <c r="AB58" s="62"/>
      <c r="AC58" s="62"/>
    </row>
    <row r="59" spans="1:68" ht="14.25" customHeight="1" x14ac:dyDescent="0.25">
      <c r="A59" s="313" t="s">
        <v>61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63"/>
      <c r="AB59" s="63"/>
      <c r="AC59" s="63"/>
    </row>
    <row r="60" spans="1:68" ht="16.5" customHeight="1" x14ac:dyDescent="0.25">
      <c r="A60" s="60" t="s">
        <v>123</v>
      </c>
      <c r="B60" s="60" t="s">
        <v>124</v>
      </c>
      <c r="C60" s="34">
        <v>4301071073</v>
      </c>
      <c r="D60" s="291">
        <v>4620207490822</v>
      </c>
      <c r="E60" s="29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64</v>
      </c>
      <c r="L60" s="35" t="s">
        <v>65</v>
      </c>
      <c r="M60" s="36" t="s">
        <v>66</v>
      </c>
      <c r="N60" s="36"/>
      <c r="O60" s="35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7"/>
      <c r="V60" s="37"/>
      <c r="W60" s="38" t="s">
        <v>67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/>
      <c r="AB60" s="66"/>
      <c r="AC60" s="118" t="s">
        <v>125</v>
      </c>
      <c r="AG60" s="78"/>
      <c r="AJ60" s="82" t="s">
        <v>69</v>
      </c>
      <c r="AK60" s="82">
        <v>1</v>
      </c>
      <c r="BB60" s="119" t="s">
        <v>1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5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81</v>
      </c>
      <c r="Q61" s="281"/>
      <c r="R61" s="281"/>
      <c r="S61" s="281"/>
      <c r="T61" s="281"/>
      <c r="U61" s="281"/>
      <c r="V61" s="282"/>
      <c r="W61" s="40" t="s">
        <v>67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5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81</v>
      </c>
      <c r="Q62" s="281"/>
      <c r="R62" s="281"/>
      <c r="S62" s="281"/>
      <c r="T62" s="281"/>
      <c r="U62" s="281"/>
      <c r="V62" s="282"/>
      <c r="W62" s="40" t="s">
        <v>82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13" t="s">
        <v>91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63"/>
      <c r="AB63" s="63"/>
      <c r="AC63" s="63"/>
    </row>
    <row r="64" spans="1:68" ht="27" customHeight="1" x14ac:dyDescent="0.25">
      <c r="A64" s="60" t="s">
        <v>126</v>
      </c>
      <c r="B64" s="60" t="s">
        <v>127</v>
      </c>
      <c r="C64" s="34">
        <v>4301132194</v>
      </c>
      <c r="D64" s="291">
        <v>4607111039712</v>
      </c>
      <c r="E64" s="29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94</v>
      </c>
      <c r="L64" s="35" t="s">
        <v>65</v>
      </c>
      <c r="M64" s="36" t="s">
        <v>66</v>
      </c>
      <c r="N64" s="36"/>
      <c r="O64" s="35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7"/>
      <c r="V64" s="37"/>
      <c r="W64" s="38" t="s">
        <v>67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/>
      <c r="AB64" s="66"/>
      <c r="AC64" s="120" t="s">
        <v>128</v>
      </c>
      <c r="AG64" s="78"/>
      <c r="AJ64" s="82" t="s">
        <v>69</v>
      </c>
      <c r="AK64" s="82">
        <v>1</v>
      </c>
      <c r="BB64" s="121" t="s">
        <v>98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5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81</v>
      </c>
      <c r="Q65" s="281"/>
      <c r="R65" s="281"/>
      <c r="S65" s="281"/>
      <c r="T65" s="281"/>
      <c r="U65" s="281"/>
      <c r="V65" s="282"/>
      <c r="W65" s="40" t="s">
        <v>67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5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81</v>
      </c>
      <c r="Q66" s="281"/>
      <c r="R66" s="281"/>
      <c r="S66" s="281"/>
      <c r="T66" s="281"/>
      <c r="U66" s="281"/>
      <c r="V66" s="282"/>
      <c r="W66" s="40" t="s">
        <v>82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13" t="s">
        <v>129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63"/>
      <c r="AB67" s="63"/>
      <c r="AC67" s="63"/>
    </row>
    <row r="68" spans="1:68" ht="16.5" customHeight="1" x14ac:dyDescent="0.25">
      <c r="A68" s="60" t="s">
        <v>130</v>
      </c>
      <c r="B68" s="60" t="s">
        <v>131</v>
      </c>
      <c r="C68" s="34">
        <v>4301136018</v>
      </c>
      <c r="D68" s="291">
        <v>4607111037008</v>
      </c>
      <c r="E68" s="29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94</v>
      </c>
      <c r="L68" s="35" t="s">
        <v>65</v>
      </c>
      <c r="M68" s="36" t="s">
        <v>66</v>
      </c>
      <c r="N68" s="36"/>
      <c r="O68" s="35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7"/>
      <c r="V68" s="37"/>
      <c r="W68" s="38" t="s">
        <v>67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/>
      <c r="AB68" s="66"/>
      <c r="AC68" s="122" t="s">
        <v>132</v>
      </c>
      <c r="AG68" s="78"/>
      <c r="AJ68" s="82" t="s">
        <v>69</v>
      </c>
      <c r="AK68" s="82">
        <v>1</v>
      </c>
      <c r="BB68" s="123" t="s">
        <v>98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133</v>
      </c>
      <c r="B69" s="60" t="s">
        <v>134</v>
      </c>
      <c r="C69" s="34">
        <v>4301136015</v>
      </c>
      <c r="D69" s="291">
        <v>4607111037398</v>
      </c>
      <c r="E69" s="29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94</v>
      </c>
      <c r="L69" s="35" t="s">
        <v>65</v>
      </c>
      <c r="M69" s="36" t="s">
        <v>66</v>
      </c>
      <c r="N69" s="36"/>
      <c r="O69" s="35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7"/>
      <c r="V69" s="37"/>
      <c r="W69" s="38" t="s">
        <v>67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/>
      <c r="AB69" s="66"/>
      <c r="AC69" s="124" t="s">
        <v>132</v>
      </c>
      <c r="AG69" s="78"/>
      <c r="AJ69" s="82" t="s">
        <v>69</v>
      </c>
      <c r="AK69" s="82">
        <v>1</v>
      </c>
      <c r="BB69" s="125" t="s">
        <v>98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5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81</v>
      </c>
      <c r="Q70" s="281"/>
      <c r="R70" s="281"/>
      <c r="S70" s="281"/>
      <c r="T70" s="281"/>
      <c r="U70" s="281"/>
      <c r="V70" s="282"/>
      <c r="W70" s="40" t="s">
        <v>67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5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81</v>
      </c>
      <c r="Q71" s="281"/>
      <c r="R71" s="281"/>
      <c r="S71" s="281"/>
      <c r="T71" s="281"/>
      <c r="U71" s="281"/>
      <c r="V71" s="282"/>
      <c r="W71" s="40" t="s">
        <v>82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13" t="s">
        <v>135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63"/>
      <c r="AB72" s="63"/>
      <c r="AC72" s="63"/>
    </row>
    <row r="73" spans="1:68" ht="27" customHeight="1" x14ac:dyDescent="0.25">
      <c r="A73" s="60" t="s">
        <v>136</v>
      </c>
      <c r="B73" s="60" t="s">
        <v>137</v>
      </c>
      <c r="C73" s="34">
        <v>4301135664</v>
      </c>
      <c r="D73" s="291">
        <v>4607111039705</v>
      </c>
      <c r="E73" s="29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94</v>
      </c>
      <c r="L73" s="35" t="s">
        <v>65</v>
      </c>
      <c r="M73" s="36" t="s">
        <v>66</v>
      </c>
      <c r="N73" s="36"/>
      <c r="O73" s="35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7"/>
      <c r="V73" s="37"/>
      <c r="W73" s="38" t="s">
        <v>67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/>
      <c r="AB73" s="66"/>
      <c r="AC73" s="126" t="s">
        <v>132</v>
      </c>
      <c r="AG73" s="78"/>
      <c r="AJ73" s="82" t="s">
        <v>69</v>
      </c>
      <c r="AK73" s="82">
        <v>1</v>
      </c>
      <c r="BB73" s="127" t="s">
        <v>98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138</v>
      </c>
      <c r="B74" s="60" t="s">
        <v>139</v>
      </c>
      <c r="C74" s="34">
        <v>4301135665</v>
      </c>
      <c r="D74" s="291">
        <v>4607111039729</v>
      </c>
      <c r="E74" s="29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94</v>
      </c>
      <c r="L74" s="35" t="s">
        <v>65</v>
      </c>
      <c r="M74" s="36" t="s">
        <v>66</v>
      </c>
      <c r="N74" s="36"/>
      <c r="O74" s="35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7"/>
      <c r="V74" s="37"/>
      <c r="W74" s="38" t="s">
        <v>67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/>
      <c r="AB74" s="66"/>
      <c r="AC74" s="128" t="s">
        <v>140</v>
      </c>
      <c r="AG74" s="78"/>
      <c r="AJ74" s="82" t="s">
        <v>69</v>
      </c>
      <c r="AK74" s="82">
        <v>1</v>
      </c>
      <c r="BB74" s="129" t="s">
        <v>98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141</v>
      </c>
      <c r="B75" s="60" t="s">
        <v>142</v>
      </c>
      <c r="C75" s="34">
        <v>4301135702</v>
      </c>
      <c r="D75" s="291">
        <v>4620207490228</v>
      </c>
      <c r="E75" s="29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94</v>
      </c>
      <c r="L75" s="35" t="s">
        <v>65</v>
      </c>
      <c r="M75" s="36" t="s">
        <v>66</v>
      </c>
      <c r="N75" s="36"/>
      <c r="O75" s="35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7"/>
      <c r="V75" s="37"/>
      <c r="W75" s="38" t="s">
        <v>67</v>
      </c>
      <c r="X75" s="56">
        <v>42</v>
      </c>
      <c r="Y75" s="53">
        <f>IFERROR(IF(X75="","",X75),"")</f>
        <v>42</v>
      </c>
      <c r="Z75" s="39">
        <f>IFERROR(IF(X75="","",X75*0.00941),"")</f>
        <v>0.39522000000000002</v>
      </c>
      <c r="AA75" s="65"/>
      <c r="AB75" s="66"/>
      <c r="AC75" s="130" t="s">
        <v>140</v>
      </c>
      <c r="AG75" s="78"/>
      <c r="AJ75" s="82" t="s">
        <v>69</v>
      </c>
      <c r="AK75" s="82">
        <v>1</v>
      </c>
      <c r="BB75" s="131" t="s">
        <v>98</v>
      </c>
      <c r="BM75" s="78">
        <f>IFERROR(X75*I75,"0")</f>
        <v>65.52</v>
      </c>
      <c r="BN75" s="78">
        <f>IFERROR(Y75*I75,"0")</f>
        <v>65.52</v>
      </c>
      <c r="BO75" s="78">
        <f>IFERROR(X75/J75,"0")</f>
        <v>0.3</v>
      </c>
      <c r="BP75" s="78">
        <f>IFERROR(Y75/J75,"0")</f>
        <v>0.3</v>
      </c>
    </row>
    <row r="76" spans="1:68" x14ac:dyDescent="0.25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81</v>
      </c>
      <c r="Q76" s="281"/>
      <c r="R76" s="281"/>
      <c r="S76" s="281"/>
      <c r="T76" s="281"/>
      <c r="U76" s="281"/>
      <c r="V76" s="282"/>
      <c r="W76" s="40" t="s">
        <v>67</v>
      </c>
      <c r="X76" s="41">
        <f>IFERROR(SUM(X73:X75),"0")</f>
        <v>42</v>
      </c>
      <c r="Y76" s="41">
        <f>IFERROR(SUM(Y73:Y75),"0")</f>
        <v>42</v>
      </c>
      <c r="Z76" s="41">
        <f>IFERROR(IF(Z73="",0,Z73),"0")+IFERROR(IF(Z74="",0,Z74),"0")+IFERROR(IF(Z75="",0,Z75),"0")</f>
        <v>0.39522000000000002</v>
      </c>
      <c r="AA76" s="64"/>
      <c r="AB76" s="64"/>
      <c r="AC76" s="64"/>
    </row>
    <row r="77" spans="1:68" x14ac:dyDescent="0.25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81</v>
      </c>
      <c r="Q77" s="281"/>
      <c r="R77" s="281"/>
      <c r="S77" s="281"/>
      <c r="T77" s="281"/>
      <c r="U77" s="281"/>
      <c r="V77" s="282"/>
      <c r="W77" s="40" t="s">
        <v>82</v>
      </c>
      <c r="X77" s="41">
        <f>IFERROR(SUMPRODUCT(X73:X75*H73:H75),"0")</f>
        <v>50.4</v>
      </c>
      <c r="Y77" s="41">
        <f>IFERROR(SUMPRODUCT(Y73:Y75*H73:H75),"0")</f>
        <v>50.4</v>
      </c>
      <c r="Z77" s="40"/>
      <c r="AA77" s="64"/>
      <c r="AB77" s="64"/>
      <c r="AC77" s="64"/>
    </row>
    <row r="78" spans="1:68" ht="16.5" customHeight="1" x14ac:dyDescent="0.25">
      <c r="A78" s="283" t="s">
        <v>143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62"/>
      <c r="AB78" s="62"/>
      <c r="AC78" s="62"/>
    </row>
    <row r="79" spans="1:68" ht="14.25" customHeight="1" x14ac:dyDescent="0.25">
      <c r="A79" s="313" t="s">
        <v>61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63"/>
      <c r="AB79" s="63"/>
      <c r="AC79" s="63"/>
    </row>
    <row r="80" spans="1:68" ht="27" customHeight="1" x14ac:dyDescent="0.25">
      <c r="A80" s="60" t="s">
        <v>144</v>
      </c>
      <c r="B80" s="60" t="s">
        <v>145</v>
      </c>
      <c r="C80" s="34">
        <v>4301070977</v>
      </c>
      <c r="D80" s="291">
        <v>4607111037411</v>
      </c>
      <c r="E80" s="29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146</v>
      </c>
      <c r="L80" s="35" t="s">
        <v>65</v>
      </c>
      <c r="M80" s="36" t="s">
        <v>66</v>
      </c>
      <c r="N80" s="36"/>
      <c r="O80" s="35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7"/>
      <c r="V80" s="37"/>
      <c r="W80" s="38" t="s">
        <v>67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/>
      <c r="AB80" s="66"/>
      <c r="AC80" s="132" t="s">
        <v>147</v>
      </c>
      <c r="AG80" s="78"/>
      <c r="AJ80" s="82" t="s">
        <v>69</v>
      </c>
      <c r="AK80" s="82">
        <v>1</v>
      </c>
      <c r="BB80" s="133" t="s">
        <v>1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148</v>
      </c>
      <c r="B81" s="60" t="s">
        <v>149</v>
      </c>
      <c r="C81" s="34">
        <v>4301070981</v>
      </c>
      <c r="D81" s="291">
        <v>4607111036728</v>
      </c>
      <c r="E81" s="29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64</v>
      </c>
      <c r="L81" s="35" t="s">
        <v>95</v>
      </c>
      <c r="M81" s="36" t="s">
        <v>66</v>
      </c>
      <c r="N81" s="36"/>
      <c r="O81" s="35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7"/>
      <c r="V81" s="37"/>
      <c r="W81" s="38" t="s">
        <v>67</v>
      </c>
      <c r="X81" s="56">
        <v>132</v>
      </c>
      <c r="Y81" s="53">
        <f>IFERROR(IF(X81="","",X81),"")</f>
        <v>132</v>
      </c>
      <c r="Z81" s="39">
        <f>IFERROR(IF(X81="","",X81*0.00866),"")</f>
        <v>1.1431199999999999</v>
      </c>
      <c r="AA81" s="65"/>
      <c r="AB81" s="66"/>
      <c r="AC81" s="134" t="s">
        <v>147</v>
      </c>
      <c r="AG81" s="78"/>
      <c r="AJ81" s="82" t="s">
        <v>97</v>
      </c>
      <c r="AK81" s="82">
        <v>12</v>
      </c>
      <c r="BB81" s="135" t="s">
        <v>1</v>
      </c>
      <c r="BM81" s="78">
        <f>IFERROR(X81*I81,"0")</f>
        <v>688.14239999999995</v>
      </c>
      <c r="BN81" s="78">
        <f>IFERROR(Y81*I81,"0")</f>
        <v>688.14239999999995</v>
      </c>
      <c r="BO81" s="78">
        <f>IFERROR(X81/J81,"0")</f>
        <v>0.91666666666666663</v>
      </c>
      <c r="BP81" s="78">
        <f>IFERROR(Y81/J81,"0")</f>
        <v>0.91666666666666663</v>
      </c>
    </row>
    <row r="82" spans="1:68" x14ac:dyDescent="0.25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81</v>
      </c>
      <c r="Q82" s="281"/>
      <c r="R82" s="281"/>
      <c r="S82" s="281"/>
      <c r="T82" s="281"/>
      <c r="U82" s="281"/>
      <c r="V82" s="282"/>
      <c r="W82" s="40" t="s">
        <v>67</v>
      </c>
      <c r="X82" s="41">
        <f>IFERROR(SUM(X80:X81),"0")</f>
        <v>132</v>
      </c>
      <c r="Y82" s="41">
        <f>IFERROR(SUM(Y80:Y81),"0")</f>
        <v>132</v>
      </c>
      <c r="Z82" s="41">
        <f>IFERROR(IF(Z80="",0,Z80),"0")+IFERROR(IF(Z81="",0,Z81),"0")</f>
        <v>1.1431199999999999</v>
      </c>
      <c r="AA82" s="64"/>
      <c r="AB82" s="64"/>
      <c r="AC82" s="64"/>
    </row>
    <row r="83" spans="1:68" x14ac:dyDescent="0.25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81</v>
      </c>
      <c r="Q83" s="281"/>
      <c r="R83" s="281"/>
      <c r="S83" s="281"/>
      <c r="T83" s="281"/>
      <c r="U83" s="281"/>
      <c r="V83" s="282"/>
      <c r="W83" s="40" t="s">
        <v>82</v>
      </c>
      <c r="X83" s="41">
        <f>IFERROR(SUMPRODUCT(X80:X81*H80:H81),"0")</f>
        <v>660</v>
      </c>
      <c r="Y83" s="41">
        <f>IFERROR(SUMPRODUCT(Y80:Y81*H80:H81),"0")</f>
        <v>660</v>
      </c>
      <c r="Z83" s="40"/>
      <c r="AA83" s="64"/>
      <c r="AB83" s="64"/>
      <c r="AC83" s="64"/>
    </row>
    <row r="84" spans="1:68" ht="16.5" customHeight="1" x14ac:dyDescent="0.25">
      <c r="A84" s="283" t="s">
        <v>150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62"/>
      <c r="AB84" s="62"/>
      <c r="AC84" s="62"/>
    </row>
    <row r="85" spans="1:68" ht="14.25" customHeight="1" x14ac:dyDescent="0.25">
      <c r="A85" s="313" t="s">
        <v>135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63"/>
      <c r="AB85" s="63"/>
      <c r="AC85" s="63"/>
    </row>
    <row r="86" spans="1:68" ht="27" customHeight="1" x14ac:dyDescent="0.25">
      <c r="A86" s="60" t="s">
        <v>151</v>
      </c>
      <c r="B86" s="60" t="s">
        <v>152</v>
      </c>
      <c r="C86" s="34">
        <v>4301135574</v>
      </c>
      <c r="D86" s="291">
        <v>4607111033659</v>
      </c>
      <c r="E86" s="29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94</v>
      </c>
      <c r="L86" s="35" t="s">
        <v>95</v>
      </c>
      <c r="M86" s="36" t="s">
        <v>66</v>
      </c>
      <c r="N86" s="36"/>
      <c r="O86" s="35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7"/>
      <c r="V86" s="37"/>
      <c r="W86" s="38" t="s">
        <v>67</v>
      </c>
      <c r="X86" s="56">
        <v>14</v>
      </c>
      <c r="Y86" s="53">
        <f>IFERROR(IF(X86="","",X86),"")</f>
        <v>14</v>
      </c>
      <c r="Z86" s="39">
        <f>IFERROR(IF(X86="","",X86*0.01788),"")</f>
        <v>0.25031999999999999</v>
      </c>
      <c r="AA86" s="65"/>
      <c r="AB86" s="66"/>
      <c r="AC86" s="136" t="s">
        <v>153</v>
      </c>
      <c r="AG86" s="78"/>
      <c r="AJ86" s="82" t="s">
        <v>97</v>
      </c>
      <c r="AK86" s="82">
        <v>14</v>
      </c>
      <c r="BB86" s="137" t="s">
        <v>98</v>
      </c>
      <c r="BM86" s="78">
        <f>IFERROR(X86*I86,"0")</f>
        <v>60.250400000000006</v>
      </c>
      <c r="BN86" s="78">
        <f>IFERROR(Y86*I86,"0")</f>
        <v>60.250400000000006</v>
      </c>
      <c r="BO86" s="78">
        <f>IFERROR(X86/J86,"0")</f>
        <v>0.2</v>
      </c>
      <c r="BP86" s="78">
        <f>IFERROR(Y86/J86,"0")</f>
        <v>0.2</v>
      </c>
    </row>
    <row r="87" spans="1:68" x14ac:dyDescent="0.25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81</v>
      </c>
      <c r="Q87" s="281"/>
      <c r="R87" s="281"/>
      <c r="S87" s="281"/>
      <c r="T87" s="281"/>
      <c r="U87" s="281"/>
      <c r="V87" s="282"/>
      <c r="W87" s="40" t="s">
        <v>67</v>
      </c>
      <c r="X87" s="41">
        <f>IFERROR(SUM(X86:X86),"0")</f>
        <v>14</v>
      </c>
      <c r="Y87" s="41">
        <f>IFERROR(SUM(Y86:Y86),"0")</f>
        <v>14</v>
      </c>
      <c r="Z87" s="41">
        <f>IFERROR(IF(Z86="",0,Z86),"0")</f>
        <v>0.25031999999999999</v>
      </c>
      <c r="AA87" s="64"/>
      <c r="AB87" s="64"/>
      <c r="AC87" s="64"/>
    </row>
    <row r="88" spans="1:68" x14ac:dyDescent="0.25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81</v>
      </c>
      <c r="Q88" s="281"/>
      <c r="R88" s="281"/>
      <c r="S88" s="281"/>
      <c r="T88" s="281"/>
      <c r="U88" s="281"/>
      <c r="V88" s="282"/>
      <c r="W88" s="40" t="s">
        <v>82</v>
      </c>
      <c r="X88" s="41">
        <f>IFERROR(SUMPRODUCT(X86:X86*H86:H86),"0")</f>
        <v>50.4</v>
      </c>
      <c r="Y88" s="41">
        <f>IFERROR(SUMPRODUCT(Y86:Y86*H86:H86),"0")</f>
        <v>50.4</v>
      </c>
      <c r="Z88" s="40"/>
      <c r="AA88" s="64"/>
      <c r="AB88" s="64"/>
      <c r="AC88" s="64"/>
    </row>
    <row r="89" spans="1:68" ht="16.5" customHeight="1" x14ac:dyDescent="0.25">
      <c r="A89" s="283" t="s">
        <v>154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62"/>
      <c r="AB89" s="62"/>
      <c r="AC89" s="62"/>
    </row>
    <row r="90" spans="1:68" ht="14.25" customHeight="1" x14ac:dyDescent="0.25">
      <c r="A90" s="313" t="s">
        <v>155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63"/>
      <c r="AB90" s="63"/>
      <c r="AC90" s="63"/>
    </row>
    <row r="91" spans="1:68" ht="27" customHeight="1" x14ac:dyDescent="0.25">
      <c r="A91" s="60" t="s">
        <v>156</v>
      </c>
      <c r="B91" s="60" t="s">
        <v>157</v>
      </c>
      <c r="C91" s="34">
        <v>4301131047</v>
      </c>
      <c r="D91" s="291">
        <v>4607111034120</v>
      </c>
      <c r="E91" s="29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94</v>
      </c>
      <c r="L91" s="35" t="s">
        <v>95</v>
      </c>
      <c r="M91" s="36" t="s">
        <v>66</v>
      </c>
      <c r="N91" s="36"/>
      <c r="O91" s="35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7"/>
      <c r="V91" s="37"/>
      <c r="W91" s="38" t="s">
        <v>67</v>
      </c>
      <c r="X91" s="56">
        <v>42</v>
      </c>
      <c r="Y91" s="53">
        <f>IFERROR(IF(X91="","",X91),"")</f>
        <v>42</v>
      </c>
      <c r="Z91" s="39">
        <f>IFERROR(IF(X91="","",X91*0.01788),"")</f>
        <v>0.75095999999999996</v>
      </c>
      <c r="AA91" s="65"/>
      <c r="AB91" s="66"/>
      <c r="AC91" s="138" t="s">
        <v>158</v>
      </c>
      <c r="AG91" s="78"/>
      <c r="AJ91" s="82" t="s">
        <v>97</v>
      </c>
      <c r="AK91" s="82">
        <v>14</v>
      </c>
      <c r="BB91" s="139" t="s">
        <v>98</v>
      </c>
      <c r="BM91" s="78">
        <f>IFERROR(X91*I91,"0")</f>
        <v>180.75120000000001</v>
      </c>
      <c r="BN91" s="78">
        <f>IFERROR(Y91*I91,"0")</f>
        <v>180.75120000000001</v>
      </c>
      <c r="BO91" s="78">
        <f>IFERROR(X91/J91,"0")</f>
        <v>0.6</v>
      </c>
      <c r="BP91" s="78">
        <f>IFERROR(Y91/J91,"0")</f>
        <v>0.6</v>
      </c>
    </row>
    <row r="92" spans="1:68" ht="27" customHeight="1" x14ac:dyDescent="0.25">
      <c r="A92" s="60" t="s">
        <v>159</v>
      </c>
      <c r="B92" s="60" t="s">
        <v>160</v>
      </c>
      <c r="C92" s="34">
        <v>4301131046</v>
      </c>
      <c r="D92" s="291">
        <v>4607111034137</v>
      </c>
      <c r="E92" s="29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94</v>
      </c>
      <c r="L92" s="35" t="s">
        <v>95</v>
      </c>
      <c r="M92" s="36" t="s">
        <v>66</v>
      </c>
      <c r="N92" s="36"/>
      <c r="O92" s="35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7"/>
      <c r="V92" s="37"/>
      <c r="W92" s="38" t="s">
        <v>67</v>
      </c>
      <c r="X92" s="56">
        <v>56</v>
      </c>
      <c r="Y92" s="53">
        <f>IFERROR(IF(X92="","",X92),"")</f>
        <v>56</v>
      </c>
      <c r="Z92" s="39">
        <f>IFERROR(IF(X92="","",X92*0.01788),"")</f>
        <v>1.0012799999999999</v>
      </c>
      <c r="AA92" s="65"/>
      <c r="AB92" s="66"/>
      <c r="AC92" s="140" t="s">
        <v>161</v>
      </c>
      <c r="AG92" s="78"/>
      <c r="AJ92" s="82" t="s">
        <v>97</v>
      </c>
      <c r="AK92" s="82">
        <v>14</v>
      </c>
      <c r="BB92" s="141" t="s">
        <v>98</v>
      </c>
      <c r="BM92" s="78">
        <f>IFERROR(X92*I92,"0")</f>
        <v>241.00160000000002</v>
      </c>
      <c r="BN92" s="78">
        <f>IFERROR(Y92*I92,"0")</f>
        <v>241.00160000000002</v>
      </c>
      <c r="BO92" s="78">
        <f>IFERROR(X92/J92,"0")</f>
        <v>0.8</v>
      </c>
      <c r="BP92" s="78">
        <f>IFERROR(Y92/J92,"0")</f>
        <v>0.8</v>
      </c>
    </row>
    <row r="93" spans="1:68" x14ac:dyDescent="0.25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81</v>
      </c>
      <c r="Q93" s="281"/>
      <c r="R93" s="281"/>
      <c r="S93" s="281"/>
      <c r="T93" s="281"/>
      <c r="U93" s="281"/>
      <c r="V93" s="282"/>
      <c r="W93" s="40" t="s">
        <v>67</v>
      </c>
      <c r="X93" s="41">
        <f>IFERROR(SUM(X91:X92),"0")</f>
        <v>98</v>
      </c>
      <c r="Y93" s="41">
        <f>IFERROR(SUM(Y91:Y92),"0")</f>
        <v>98</v>
      </c>
      <c r="Z93" s="41">
        <f>IFERROR(IF(Z91="",0,Z91),"0")+IFERROR(IF(Z92="",0,Z92),"0")</f>
        <v>1.75224</v>
      </c>
      <c r="AA93" s="64"/>
      <c r="AB93" s="64"/>
      <c r="AC93" s="64"/>
    </row>
    <row r="94" spans="1:68" x14ac:dyDescent="0.25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81</v>
      </c>
      <c r="Q94" s="281"/>
      <c r="R94" s="281"/>
      <c r="S94" s="281"/>
      <c r="T94" s="281"/>
      <c r="U94" s="281"/>
      <c r="V94" s="282"/>
      <c r="W94" s="40" t="s">
        <v>82</v>
      </c>
      <c r="X94" s="41">
        <f>IFERROR(SUMPRODUCT(X91:X92*H91:H92),"0")</f>
        <v>352.8</v>
      </c>
      <c r="Y94" s="41">
        <f>IFERROR(SUMPRODUCT(Y91:Y92*H91:H92),"0")</f>
        <v>352.8</v>
      </c>
      <c r="Z94" s="40"/>
      <c r="AA94" s="64"/>
      <c r="AB94" s="64"/>
      <c r="AC94" s="64"/>
    </row>
    <row r="95" spans="1:68" ht="16.5" customHeight="1" x14ac:dyDescent="0.25">
      <c r="A95" s="283" t="s">
        <v>162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62"/>
      <c r="AB95" s="62"/>
      <c r="AC95" s="62"/>
    </row>
    <row r="96" spans="1:68" ht="14.25" customHeight="1" x14ac:dyDescent="0.25">
      <c r="A96" s="313" t="s">
        <v>135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63"/>
      <c r="AB96" s="63"/>
      <c r="AC96" s="63"/>
    </row>
    <row r="97" spans="1:68" ht="27" customHeight="1" x14ac:dyDescent="0.25">
      <c r="A97" s="60" t="s">
        <v>163</v>
      </c>
      <c r="B97" s="60" t="s">
        <v>164</v>
      </c>
      <c r="C97" s="34">
        <v>4301135763</v>
      </c>
      <c r="D97" s="291">
        <v>4620207491027</v>
      </c>
      <c r="E97" s="29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94</v>
      </c>
      <c r="L97" s="35" t="s">
        <v>95</v>
      </c>
      <c r="M97" s="36" t="s">
        <v>66</v>
      </c>
      <c r="N97" s="36"/>
      <c r="O97" s="35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7"/>
      <c r="V97" s="37"/>
      <c r="W97" s="38" t="s">
        <v>67</v>
      </c>
      <c r="X97" s="56">
        <v>14</v>
      </c>
      <c r="Y97" s="53">
        <f t="shared" ref="Y97:Y102" si="6">IFERROR(IF(X97="","",X97),"")</f>
        <v>14</v>
      </c>
      <c r="Z97" s="39">
        <f t="shared" ref="Z97:Z102" si="7">IFERROR(IF(X97="","",X97*0.01788),"")</f>
        <v>0.25031999999999999</v>
      </c>
      <c r="AA97" s="65"/>
      <c r="AB97" s="66"/>
      <c r="AC97" s="142" t="s">
        <v>153</v>
      </c>
      <c r="AG97" s="78"/>
      <c r="AJ97" s="82" t="s">
        <v>97</v>
      </c>
      <c r="AK97" s="82">
        <v>14</v>
      </c>
      <c r="BB97" s="143" t="s">
        <v>98</v>
      </c>
      <c r="BM97" s="78">
        <f t="shared" ref="BM97:BM102" si="8">IFERROR(X97*I97,"0")</f>
        <v>50.170400000000001</v>
      </c>
      <c r="BN97" s="78">
        <f t="shared" ref="BN97:BN102" si="9">IFERROR(Y97*I97,"0")</f>
        <v>50.170400000000001</v>
      </c>
      <c r="BO97" s="78">
        <f t="shared" ref="BO97:BO102" si="10">IFERROR(X97/J97,"0")</f>
        <v>0.2</v>
      </c>
      <c r="BP97" s="78">
        <f t="shared" ref="BP97:BP102" si="11">IFERROR(Y97/J97,"0")</f>
        <v>0.2</v>
      </c>
    </row>
    <row r="98" spans="1:68" ht="27" customHeight="1" x14ac:dyDescent="0.25">
      <c r="A98" s="60" t="s">
        <v>165</v>
      </c>
      <c r="B98" s="60" t="s">
        <v>166</v>
      </c>
      <c r="C98" s="34">
        <v>4301135793</v>
      </c>
      <c r="D98" s="291">
        <v>4620207491003</v>
      </c>
      <c r="E98" s="29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94</v>
      </c>
      <c r="L98" s="35" t="s">
        <v>95</v>
      </c>
      <c r="M98" s="36" t="s">
        <v>66</v>
      </c>
      <c r="N98" s="36"/>
      <c r="O98" s="35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7"/>
      <c r="V98" s="37"/>
      <c r="W98" s="38" t="s">
        <v>67</v>
      </c>
      <c r="X98" s="56">
        <v>28</v>
      </c>
      <c r="Y98" s="53">
        <f t="shared" si="6"/>
        <v>28</v>
      </c>
      <c r="Z98" s="39">
        <f t="shared" si="7"/>
        <v>0.50063999999999997</v>
      </c>
      <c r="AA98" s="65"/>
      <c r="AB98" s="66"/>
      <c r="AC98" s="144" t="s">
        <v>153</v>
      </c>
      <c r="AG98" s="78"/>
      <c r="AJ98" s="82" t="s">
        <v>97</v>
      </c>
      <c r="AK98" s="82">
        <v>14</v>
      </c>
      <c r="BB98" s="145" t="s">
        <v>98</v>
      </c>
      <c r="BM98" s="78">
        <f t="shared" si="8"/>
        <v>100.3408</v>
      </c>
      <c r="BN98" s="78">
        <f t="shared" si="9"/>
        <v>100.3408</v>
      </c>
      <c r="BO98" s="78">
        <f t="shared" si="10"/>
        <v>0.4</v>
      </c>
      <c r="BP98" s="78">
        <f t="shared" si="11"/>
        <v>0.4</v>
      </c>
    </row>
    <row r="99" spans="1:68" ht="27" customHeight="1" x14ac:dyDescent="0.25">
      <c r="A99" s="60" t="s">
        <v>167</v>
      </c>
      <c r="B99" s="60" t="s">
        <v>168</v>
      </c>
      <c r="C99" s="34">
        <v>4301135768</v>
      </c>
      <c r="D99" s="291">
        <v>4620207491034</v>
      </c>
      <c r="E99" s="29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94</v>
      </c>
      <c r="L99" s="35" t="s">
        <v>95</v>
      </c>
      <c r="M99" s="36" t="s">
        <v>66</v>
      </c>
      <c r="N99" s="36"/>
      <c r="O99" s="35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7"/>
      <c r="V99" s="37"/>
      <c r="W99" s="38" t="s">
        <v>67</v>
      </c>
      <c r="X99" s="56">
        <v>28</v>
      </c>
      <c r="Y99" s="53">
        <f t="shared" si="6"/>
        <v>28</v>
      </c>
      <c r="Z99" s="39">
        <f t="shared" si="7"/>
        <v>0.50063999999999997</v>
      </c>
      <c r="AA99" s="65"/>
      <c r="AB99" s="66"/>
      <c r="AC99" s="146" t="s">
        <v>169</v>
      </c>
      <c r="AG99" s="78"/>
      <c r="AJ99" s="82" t="s">
        <v>97</v>
      </c>
      <c r="AK99" s="82">
        <v>14</v>
      </c>
      <c r="BB99" s="147" t="s">
        <v>98</v>
      </c>
      <c r="BM99" s="78">
        <f t="shared" si="8"/>
        <v>100.3408</v>
      </c>
      <c r="BN99" s="78">
        <f t="shared" si="9"/>
        <v>100.3408</v>
      </c>
      <c r="BO99" s="78">
        <f t="shared" si="10"/>
        <v>0.4</v>
      </c>
      <c r="BP99" s="78">
        <f t="shared" si="11"/>
        <v>0.4</v>
      </c>
    </row>
    <row r="100" spans="1:68" ht="27" customHeight="1" x14ac:dyDescent="0.25">
      <c r="A100" s="60" t="s">
        <v>170</v>
      </c>
      <c r="B100" s="60" t="s">
        <v>171</v>
      </c>
      <c r="C100" s="34">
        <v>4301135760</v>
      </c>
      <c r="D100" s="291">
        <v>4620207491010</v>
      </c>
      <c r="E100" s="29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94</v>
      </c>
      <c r="L100" s="35" t="s">
        <v>95</v>
      </c>
      <c r="M100" s="36" t="s">
        <v>66</v>
      </c>
      <c r="N100" s="36"/>
      <c r="O100" s="35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7"/>
      <c r="V100" s="37"/>
      <c r="W100" s="38" t="s">
        <v>67</v>
      </c>
      <c r="X100" s="56">
        <v>28</v>
      </c>
      <c r="Y100" s="53">
        <f t="shared" si="6"/>
        <v>28</v>
      </c>
      <c r="Z100" s="39">
        <f t="shared" si="7"/>
        <v>0.50063999999999997</v>
      </c>
      <c r="AA100" s="65"/>
      <c r="AB100" s="66"/>
      <c r="AC100" s="148" t="s">
        <v>153</v>
      </c>
      <c r="AG100" s="78"/>
      <c r="AJ100" s="82" t="s">
        <v>97</v>
      </c>
      <c r="AK100" s="82">
        <v>14</v>
      </c>
      <c r="BB100" s="149" t="s">
        <v>98</v>
      </c>
      <c r="BM100" s="78">
        <f t="shared" si="8"/>
        <v>100.3408</v>
      </c>
      <c r="BN100" s="78">
        <f t="shared" si="9"/>
        <v>100.3408</v>
      </c>
      <c r="BO100" s="78">
        <f t="shared" si="10"/>
        <v>0.4</v>
      </c>
      <c r="BP100" s="78">
        <f t="shared" si="11"/>
        <v>0.4</v>
      </c>
    </row>
    <row r="101" spans="1:68" ht="27" customHeight="1" x14ac:dyDescent="0.25">
      <c r="A101" s="60" t="s">
        <v>172</v>
      </c>
      <c r="B101" s="60" t="s">
        <v>173</v>
      </c>
      <c r="C101" s="34">
        <v>4301135571</v>
      </c>
      <c r="D101" s="291">
        <v>4607111035028</v>
      </c>
      <c r="E101" s="29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94</v>
      </c>
      <c r="L101" s="35" t="s">
        <v>95</v>
      </c>
      <c r="M101" s="36" t="s">
        <v>66</v>
      </c>
      <c r="N101" s="36"/>
      <c r="O101" s="35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7"/>
      <c r="V101" s="37"/>
      <c r="W101" s="38" t="s">
        <v>67</v>
      </c>
      <c r="X101" s="56">
        <v>14</v>
      </c>
      <c r="Y101" s="53">
        <f t="shared" si="6"/>
        <v>14</v>
      </c>
      <c r="Z101" s="39">
        <f t="shared" si="7"/>
        <v>0.25031999999999999</v>
      </c>
      <c r="AA101" s="65"/>
      <c r="AB101" s="66"/>
      <c r="AC101" s="150" t="s">
        <v>153</v>
      </c>
      <c r="AG101" s="78"/>
      <c r="AJ101" s="82" t="s">
        <v>97</v>
      </c>
      <c r="AK101" s="82">
        <v>14</v>
      </c>
      <c r="BB101" s="151" t="s">
        <v>98</v>
      </c>
      <c r="BM101" s="78">
        <f t="shared" si="8"/>
        <v>62.283200000000008</v>
      </c>
      <c r="BN101" s="78">
        <f t="shared" si="9"/>
        <v>62.283200000000008</v>
      </c>
      <c r="BO101" s="78">
        <f t="shared" si="10"/>
        <v>0.2</v>
      </c>
      <c r="BP101" s="78">
        <f t="shared" si="11"/>
        <v>0.2</v>
      </c>
    </row>
    <row r="102" spans="1:68" ht="27" customHeight="1" x14ac:dyDescent="0.25">
      <c r="A102" s="60" t="s">
        <v>174</v>
      </c>
      <c r="B102" s="60" t="s">
        <v>175</v>
      </c>
      <c r="C102" s="34">
        <v>4301135285</v>
      </c>
      <c r="D102" s="291">
        <v>4607111036407</v>
      </c>
      <c r="E102" s="29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94</v>
      </c>
      <c r="L102" s="35" t="s">
        <v>65</v>
      </c>
      <c r="M102" s="36" t="s">
        <v>66</v>
      </c>
      <c r="N102" s="36"/>
      <c r="O102" s="35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7"/>
      <c r="V102" s="37"/>
      <c r="W102" s="38" t="s">
        <v>67</v>
      </c>
      <c r="X102" s="56">
        <v>28</v>
      </c>
      <c r="Y102" s="53">
        <f t="shared" si="6"/>
        <v>28</v>
      </c>
      <c r="Z102" s="39">
        <f t="shared" si="7"/>
        <v>0.50063999999999997</v>
      </c>
      <c r="AA102" s="65"/>
      <c r="AB102" s="66"/>
      <c r="AC102" s="152" t="s">
        <v>176</v>
      </c>
      <c r="AG102" s="78"/>
      <c r="AJ102" s="82" t="s">
        <v>69</v>
      </c>
      <c r="AK102" s="82">
        <v>1</v>
      </c>
      <c r="BB102" s="153" t="s">
        <v>98</v>
      </c>
      <c r="BM102" s="78">
        <f t="shared" si="8"/>
        <v>126.81760000000001</v>
      </c>
      <c r="BN102" s="78">
        <f t="shared" si="9"/>
        <v>126.81760000000001</v>
      </c>
      <c r="BO102" s="78">
        <f t="shared" si="10"/>
        <v>0.4</v>
      </c>
      <c r="BP102" s="78">
        <f t="shared" si="11"/>
        <v>0.4</v>
      </c>
    </row>
    <row r="103" spans="1:68" x14ac:dyDescent="0.25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81</v>
      </c>
      <c r="Q103" s="281"/>
      <c r="R103" s="281"/>
      <c r="S103" s="281"/>
      <c r="T103" s="281"/>
      <c r="U103" s="281"/>
      <c r="V103" s="282"/>
      <c r="W103" s="40" t="s">
        <v>67</v>
      </c>
      <c r="X103" s="41">
        <f>IFERROR(SUM(X97:X102),"0")</f>
        <v>140</v>
      </c>
      <c r="Y103" s="41">
        <f>IFERROR(SUM(Y97:Y102),"0")</f>
        <v>140</v>
      </c>
      <c r="Z103" s="41">
        <f>IFERROR(IF(Z97="",0,Z97),"0")+IFERROR(IF(Z98="",0,Z98),"0")+IFERROR(IF(Z99="",0,Z99),"0")+IFERROR(IF(Z100="",0,Z100),"0")+IFERROR(IF(Z101="",0,Z101),"0")+IFERROR(IF(Z102="",0,Z102),"0")</f>
        <v>2.5031999999999996</v>
      </c>
      <c r="AA103" s="64"/>
      <c r="AB103" s="64"/>
      <c r="AC103" s="64"/>
    </row>
    <row r="104" spans="1:68" x14ac:dyDescent="0.25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81</v>
      </c>
      <c r="Q104" s="281"/>
      <c r="R104" s="281"/>
      <c r="S104" s="281"/>
      <c r="T104" s="281"/>
      <c r="U104" s="281"/>
      <c r="V104" s="282"/>
      <c r="W104" s="40" t="s">
        <v>82</v>
      </c>
      <c r="X104" s="41">
        <f>IFERROR(SUMPRODUCT(X97:X102*H97:H102),"0")</f>
        <v>453.6</v>
      </c>
      <c r="Y104" s="41">
        <f>IFERROR(SUMPRODUCT(Y97:Y102*H97:H102),"0")</f>
        <v>453.6</v>
      </c>
      <c r="Z104" s="40"/>
      <c r="AA104" s="64"/>
      <c r="AB104" s="64"/>
      <c r="AC104" s="64"/>
    </row>
    <row r="105" spans="1:68" ht="16.5" customHeight="1" x14ac:dyDescent="0.25">
      <c r="A105" s="283" t="s">
        <v>177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62"/>
      <c r="AB105" s="62"/>
      <c r="AC105" s="62"/>
    </row>
    <row r="106" spans="1:68" ht="14.25" customHeight="1" x14ac:dyDescent="0.25">
      <c r="A106" s="313" t="s">
        <v>129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63"/>
      <c r="AB106" s="63"/>
      <c r="AC106" s="63"/>
    </row>
    <row r="107" spans="1:68" ht="27" customHeight="1" x14ac:dyDescent="0.25">
      <c r="A107" s="60" t="s">
        <v>178</v>
      </c>
      <c r="B107" s="60" t="s">
        <v>179</v>
      </c>
      <c r="C107" s="34">
        <v>4301136070</v>
      </c>
      <c r="D107" s="291">
        <v>4607025784012</v>
      </c>
      <c r="E107" s="292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94</v>
      </c>
      <c r="L107" s="35" t="s">
        <v>95</v>
      </c>
      <c r="M107" s="36" t="s">
        <v>66</v>
      </c>
      <c r="N107" s="36"/>
      <c r="O107" s="35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7"/>
      <c r="V107" s="37"/>
      <c r="W107" s="38" t="s">
        <v>67</v>
      </c>
      <c r="X107" s="56">
        <v>14</v>
      </c>
      <c r="Y107" s="53">
        <f>IFERROR(IF(X107="","",X107),"")</f>
        <v>14</v>
      </c>
      <c r="Z107" s="39">
        <f>IFERROR(IF(X107="","",X107*0.00936),"")</f>
        <v>0.13103999999999999</v>
      </c>
      <c r="AA107" s="65"/>
      <c r="AB107" s="66"/>
      <c r="AC107" s="154" t="s">
        <v>180</v>
      </c>
      <c r="AG107" s="78"/>
      <c r="AJ107" s="82" t="s">
        <v>97</v>
      </c>
      <c r="AK107" s="82">
        <v>14</v>
      </c>
      <c r="BB107" s="155" t="s">
        <v>98</v>
      </c>
      <c r="BM107" s="78">
        <f>IFERROR(X107*I107,"0")</f>
        <v>34.876800000000003</v>
      </c>
      <c r="BN107" s="78">
        <f>IFERROR(Y107*I107,"0")</f>
        <v>34.876800000000003</v>
      </c>
      <c r="BO107" s="78">
        <f>IFERROR(X107/J107,"0")</f>
        <v>0.1111111111111111</v>
      </c>
      <c r="BP107" s="78">
        <f>IFERROR(Y107/J107,"0")</f>
        <v>0.1111111111111111</v>
      </c>
    </row>
    <row r="108" spans="1:68" ht="27" customHeight="1" x14ac:dyDescent="0.25">
      <c r="A108" s="60" t="s">
        <v>181</v>
      </c>
      <c r="B108" s="60" t="s">
        <v>182</v>
      </c>
      <c r="C108" s="34">
        <v>4301136079</v>
      </c>
      <c r="D108" s="291">
        <v>4607025784319</v>
      </c>
      <c r="E108" s="292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94</v>
      </c>
      <c r="L108" s="35" t="s">
        <v>95</v>
      </c>
      <c r="M108" s="36" t="s">
        <v>66</v>
      </c>
      <c r="N108" s="36"/>
      <c r="O108" s="35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7"/>
      <c r="V108" s="37"/>
      <c r="W108" s="38" t="s">
        <v>67</v>
      </c>
      <c r="X108" s="56">
        <v>0</v>
      </c>
      <c r="Y108" s="53">
        <f>IFERROR(IF(X108="","",X108),"")</f>
        <v>0</v>
      </c>
      <c r="Z108" s="39">
        <f>IFERROR(IF(X108="","",X108*0.01788),"")</f>
        <v>0</v>
      </c>
      <c r="AA108" s="65"/>
      <c r="AB108" s="66"/>
      <c r="AC108" s="156" t="s">
        <v>153</v>
      </c>
      <c r="AG108" s="78"/>
      <c r="AJ108" s="82" t="s">
        <v>97</v>
      </c>
      <c r="AK108" s="82">
        <v>14</v>
      </c>
      <c r="BB108" s="157" t="s">
        <v>98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x14ac:dyDescent="0.25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81</v>
      </c>
      <c r="Q109" s="281"/>
      <c r="R109" s="281"/>
      <c r="S109" s="281"/>
      <c r="T109" s="281"/>
      <c r="U109" s="281"/>
      <c r="V109" s="282"/>
      <c r="W109" s="40" t="s">
        <v>67</v>
      </c>
      <c r="X109" s="41">
        <f>IFERROR(SUM(X107:X108),"0")</f>
        <v>14</v>
      </c>
      <c r="Y109" s="41">
        <f>IFERROR(SUM(Y107:Y108),"0")</f>
        <v>14</v>
      </c>
      <c r="Z109" s="41">
        <f>IFERROR(IF(Z107="",0,Z107),"0")+IFERROR(IF(Z108="",0,Z108),"0")</f>
        <v>0.13103999999999999</v>
      </c>
      <c r="AA109" s="64"/>
      <c r="AB109" s="64"/>
      <c r="AC109" s="64"/>
    </row>
    <row r="110" spans="1:68" x14ac:dyDescent="0.25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81</v>
      </c>
      <c r="Q110" s="281"/>
      <c r="R110" s="281"/>
      <c r="S110" s="281"/>
      <c r="T110" s="281"/>
      <c r="U110" s="281"/>
      <c r="V110" s="282"/>
      <c r="W110" s="40" t="s">
        <v>82</v>
      </c>
      <c r="X110" s="41">
        <f>IFERROR(SUMPRODUCT(X107:X108*H107:H108),"0")</f>
        <v>30.240000000000002</v>
      </c>
      <c r="Y110" s="41">
        <f>IFERROR(SUMPRODUCT(Y107:Y108*H107:H108),"0")</f>
        <v>30.240000000000002</v>
      </c>
      <c r="Z110" s="40"/>
      <c r="AA110" s="64"/>
      <c r="AB110" s="64"/>
      <c r="AC110" s="64"/>
    </row>
    <row r="111" spans="1:68" ht="16.5" customHeight="1" x14ac:dyDescent="0.25">
      <c r="A111" s="283" t="s">
        <v>183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62"/>
      <c r="AB111" s="62"/>
      <c r="AC111" s="62"/>
    </row>
    <row r="112" spans="1:68" ht="14.25" customHeight="1" x14ac:dyDescent="0.25">
      <c r="A112" s="313" t="s">
        <v>61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63"/>
      <c r="AB112" s="63"/>
      <c r="AC112" s="63"/>
    </row>
    <row r="113" spans="1:68" ht="27" customHeight="1" x14ac:dyDescent="0.25">
      <c r="A113" s="60" t="s">
        <v>184</v>
      </c>
      <c r="B113" s="60" t="s">
        <v>185</v>
      </c>
      <c r="C113" s="34">
        <v>4301071074</v>
      </c>
      <c r="D113" s="291">
        <v>4620207491157</v>
      </c>
      <c r="E113" s="292"/>
      <c r="F113" s="59">
        <v>0.7</v>
      </c>
      <c r="G113" s="35">
        <v>10</v>
      </c>
      <c r="H113" s="59">
        <v>7</v>
      </c>
      <c r="I113" s="59">
        <v>7.28</v>
      </c>
      <c r="J113" s="35">
        <v>84</v>
      </c>
      <c r="K113" s="35" t="s">
        <v>64</v>
      </c>
      <c r="L113" s="35" t="s">
        <v>95</v>
      </c>
      <c r="M113" s="36" t="s">
        <v>66</v>
      </c>
      <c r="N113" s="36"/>
      <c r="O113" s="35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7"/>
      <c r="V113" s="37"/>
      <c r="W113" s="38" t="s">
        <v>67</v>
      </c>
      <c r="X113" s="56">
        <v>12</v>
      </c>
      <c r="Y113" s="53">
        <f t="shared" ref="Y113:Y119" si="12">IFERROR(IF(X113="","",X113),"")</f>
        <v>12</v>
      </c>
      <c r="Z113" s="39">
        <f t="shared" ref="Z113:Z119" si="13">IFERROR(IF(X113="","",X113*0.0155),"")</f>
        <v>0.186</v>
      </c>
      <c r="AA113" s="65"/>
      <c r="AB113" s="66"/>
      <c r="AC113" s="158" t="s">
        <v>186</v>
      </c>
      <c r="AG113" s="78"/>
      <c r="AJ113" s="82" t="s">
        <v>97</v>
      </c>
      <c r="AK113" s="82">
        <v>12</v>
      </c>
      <c r="BB113" s="159" t="s">
        <v>1</v>
      </c>
      <c r="BM113" s="78">
        <f t="shared" ref="BM113:BM119" si="14">IFERROR(X113*I113,"0")</f>
        <v>87.36</v>
      </c>
      <c r="BN113" s="78">
        <f t="shared" ref="BN113:BN119" si="15">IFERROR(Y113*I113,"0")</f>
        <v>87.36</v>
      </c>
      <c r="BO113" s="78">
        <f t="shared" ref="BO113:BO119" si="16">IFERROR(X113/J113,"0")</f>
        <v>0.14285714285714285</v>
      </c>
      <c r="BP113" s="78">
        <f t="shared" ref="BP113:BP119" si="17">IFERROR(Y113/J113,"0")</f>
        <v>0.14285714285714285</v>
      </c>
    </row>
    <row r="114" spans="1:68" ht="27" customHeight="1" x14ac:dyDescent="0.25">
      <c r="A114" s="60" t="s">
        <v>187</v>
      </c>
      <c r="B114" s="60" t="s">
        <v>188</v>
      </c>
      <c r="C114" s="34">
        <v>4301071121</v>
      </c>
      <c r="D114" s="291">
        <v>4620207491393</v>
      </c>
      <c r="E114" s="292"/>
      <c r="F114" s="59">
        <v>0.4</v>
      </c>
      <c r="G114" s="35">
        <v>16</v>
      </c>
      <c r="H114" s="59">
        <v>6.4</v>
      </c>
      <c r="I114" s="59">
        <v>6.71</v>
      </c>
      <c r="J114" s="35">
        <v>84</v>
      </c>
      <c r="K114" s="35" t="s">
        <v>64</v>
      </c>
      <c r="L114" s="35" t="s">
        <v>65</v>
      </c>
      <c r="M114" s="36" t="s">
        <v>66</v>
      </c>
      <c r="N114" s="36"/>
      <c r="O114" s="35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7"/>
      <c r="V114" s="37"/>
      <c r="W114" s="38" t="s">
        <v>67</v>
      </c>
      <c r="X114" s="56">
        <v>0</v>
      </c>
      <c r="Y114" s="53">
        <f t="shared" si="12"/>
        <v>0</v>
      </c>
      <c r="Z114" s="39">
        <f t="shared" si="13"/>
        <v>0</v>
      </c>
      <c r="AA114" s="65"/>
      <c r="AB114" s="66"/>
      <c r="AC114" s="160" t="s">
        <v>189</v>
      </c>
      <c r="AG114" s="78"/>
      <c r="AJ114" s="82" t="s">
        <v>69</v>
      </c>
      <c r="AK114" s="82">
        <v>1</v>
      </c>
      <c r="BB114" s="161" t="s">
        <v>1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190</v>
      </c>
      <c r="B115" s="60" t="s">
        <v>191</v>
      </c>
      <c r="C115" s="34">
        <v>4301071051</v>
      </c>
      <c r="D115" s="291">
        <v>4607111039262</v>
      </c>
      <c r="E115" s="292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64</v>
      </c>
      <c r="L115" s="35" t="s">
        <v>95</v>
      </c>
      <c r="M115" s="36" t="s">
        <v>66</v>
      </c>
      <c r="N115" s="36"/>
      <c r="O115" s="35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7"/>
      <c r="V115" s="37"/>
      <c r="W115" s="38" t="s">
        <v>67</v>
      </c>
      <c r="X115" s="56">
        <v>0</v>
      </c>
      <c r="Y115" s="53">
        <f t="shared" si="12"/>
        <v>0</v>
      </c>
      <c r="Z115" s="39">
        <f t="shared" si="13"/>
        <v>0</v>
      </c>
      <c r="AA115" s="65"/>
      <c r="AB115" s="66"/>
      <c r="AC115" s="162" t="s">
        <v>147</v>
      </c>
      <c r="AG115" s="78"/>
      <c r="AJ115" s="82" t="s">
        <v>97</v>
      </c>
      <c r="AK115" s="82">
        <v>12</v>
      </c>
      <c r="BB115" s="163" t="s">
        <v>1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192</v>
      </c>
      <c r="B116" s="60" t="s">
        <v>193</v>
      </c>
      <c r="C116" s="34">
        <v>4301071038</v>
      </c>
      <c r="D116" s="291">
        <v>4607111039248</v>
      </c>
      <c r="E116" s="292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64</v>
      </c>
      <c r="L116" s="35" t="s">
        <v>95</v>
      </c>
      <c r="M116" s="36" t="s">
        <v>66</v>
      </c>
      <c r="N116" s="36"/>
      <c r="O116" s="35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7"/>
      <c r="V116" s="37"/>
      <c r="W116" s="38" t="s">
        <v>67</v>
      </c>
      <c r="X116" s="56">
        <v>72</v>
      </c>
      <c r="Y116" s="53">
        <f t="shared" si="12"/>
        <v>72</v>
      </c>
      <c r="Z116" s="39">
        <f t="shared" si="13"/>
        <v>1.1160000000000001</v>
      </c>
      <c r="AA116" s="65"/>
      <c r="AB116" s="66"/>
      <c r="AC116" s="164" t="s">
        <v>147</v>
      </c>
      <c r="AG116" s="78"/>
      <c r="AJ116" s="82" t="s">
        <v>97</v>
      </c>
      <c r="AK116" s="82">
        <v>12</v>
      </c>
      <c r="BB116" s="165" t="s">
        <v>1</v>
      </c>
      <c r="BM116" s="78">
        <f t="shared" si="14"/>
        <v>525.6</v>
      </c>
      <c r="BN116" s="78">
        <f t="shared" si="15"/>
        <v>525.6</v>
      </c>
      <c r="BO116" s="78">
        <f t="shared" si="16"/>
        <v>0.8571428571428571</v>
      </c>
      <c r="BP116" s="78">
        <f t="shared" si="17"/>
        <v>0.8571428571428571</v>
      </c>
    </row>
    <row r="117" spans="1:68" ht="27" customHeight="1" x14ac:dyDescent="0.25">
      <c r="A117" s="60" t="s">
        <v>194</v>
      </c>
      <c r="B117" s="60" t="s">
        <v>195</v>
      </c>
      <c r="C117" s="34">
        <v>4301070979</v>
      </c>
      <c r="D117" s="291">
        <v>4607111037145</v>
      </c>
      <c r="E117" s="292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64</v>
      </c>
      <c r="L117" s="35" t="s">
        <v>65</v>
      </c>
      <c r="M117" s="36" t="s">
        <v>66</v>
      </c>
      <c r="N117" s="36"/>
      <c r="O117" s="35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7"/>
      <c r="V117" s="37"/>
      <c r="W117" s="38" t="s">
        <v>67</v>
      </c>
      <c r="X117" s="56">
        <v>0</v>
      </c>
      <c r="Y117" s="53">
        <f t="shared" si="12"/>
        <v>0</v>
      </c>
      <c r="Z117" s="39">
        <f t="shared" si="13"/>
        <v>0</v>
      </c>
      <c r="AA117" s="65"/>
      <c r="AB117" s="66"/>
      <c r="AC117" s="166" t="s">
        <v>196</v>
      </c>
      <c r="AG117" s="78"/>
      <c r="AJ117" s="82" t="s">
        <v>69</v>
      </c>
      <c r="AK117" s="82">
        <v>1</v>
      </c>
      <c r="BB117" s="167" t="s">
        <v>1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197</v>
      </c>
      <c r="B118" s="60" t="s">
        <v>198</v>
      </c>
      <c r="C118" s="34">
        <v>4301071049</v>
      </c>
      <c r="D118" s="291">
        <v>4607111039293</v>
      </c>
      <c r="E118" s="292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64</v>
      </c>
      <c r="L118" s="35" t="s">
        <v>95</v>
      </c>
      <c r="M118" s="36" t="s">
        <v>66</v>
      </c>
      <c r="N118" s="36"/>
      <c r="O118" s="35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7"/>
      <c r="V118" s="37"/>
      <c r="W118" s="38" t="s">
        <v>67</v>
      </c>
      <c r="X118" s="56">
        <v>0</v>
      </c>
      <c r="Y118" s="53">
        <f t="shared" si="12"/>
        <v>0</v>
      </c>
      <c r="Z118" s="39">
        <f t="shared" si="13"/>
        <v>0</v>
      </c>
      <c r="AA118" s="65"/>
      <c r="AB118" s="66"/>
      <c r="AC118" s="168" t="s">
        <v>147</v>
      </c>
      <c r="AG118" s="78"/>
      <c r="AJ118" s="82" t="s">
        <v>97</v>
      </c>
      <c r="AK118" s="82">
        <v>12</v>
      </c>
      <c r="BB118" s="169" t="s">
        <v>1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199</v>
      </c>
      <c r="B119" s="60" t="s">
        <v>200</v>
      </c>
      <c r="C119" s="34">
        <v>4301071039</v>
      </c>
      <c r="D119" s="291">
        <v>4607111039279</v>
      </c>
      <c r="E119" s="292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64</v>
      </c>
      <c r="L119" s="35" t="s">
        <v>95</v>
      </c>
      <c r="M119" s="36" t="s">
        <v>66</v>
      </c>
      <c r="N119" s="36"/>
      <c r="O119" s="35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7"/>
      <c r="V119" s="37"/>
      <c r="W119" s="38" t="s">
        <v>67</v>
      </c>
      <c r="X119" s="56">
        <v>96</v>
      </c>
      <c r="Y119" s="53">
        <f t="shared" si="12"/>
        <v>96</v>
      </c>
      <c r="Z119" s="39">
        <f t="shared" si="13"/>
        <v>1.488</v>
      </c>
      <c r="AA119" s="65"/>
      <c r="AB119" s="66"/>
      <c r="AC119" s="170" t="s">
        <v>147</v>
      </c>
      <c r="AG119" s="78"/>
      <c r="AJ119" s="82" t="s">
        <v>97</v>
      </c>
      <c r="AK119" s="82">
        <v>12</v>
      </c>
      <c r="BB119" s="171" t="s">
        <v>1</v>
      </c>
      <c r="BM119" s="78">
        <f t="shared" si="14"/>
        <v>700.8</v>
      </c>
      <c r="BN119" s="78">
        <f t="shared" si="15"/>
        <v>700.8</v>
      </c>
      <c r="BO119" s="78">
        <f t="shared" si="16"/>
        <v>1.1428571428571428</v>
      </c>
      <c r="BP119" s="78">
        <f t="shared" si="17"/>
        <v>1.1428571428571428</v>
      </c>
    </row>
    <row r="120" spans="1:68" x14ac:dyDescent="0.25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81</v>
      </c>
      <c r="Q120" s="281"/>
      <c r="R120" s="281"/>
      <c r="S120" s="281"/>
      <c r="T120" s="281"/>
      <c r="U120" s="281"/>
      <c r="V120" s="282"/>
      <c r="W120" s="40" t="s">
        <v>67</v>
      </c>
      <c r="X120" s="41">
        <f>IFERROR(SUM(X113:X119),"0")</f>
        <v>180</v>
      </c>
      <c r="Y120" s="41">
        <f>IFERROR(SUM(Y113:Y119),"0")</f>
        <v>180</v>
      </c>
      <c r="Z120" s="41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64"/>
      <c r="AB120" s="64"/>
      <c r="AC120" s="64"/>
    </row>
    <row r="121" spans="1:68" x14ac:dyDescent="0.25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81</v>
      </c>
      <c r="Q121" s="281"/>
      <c r="R121" s="281"/>
      <c r="S121" s="281"/>
      <c r="T121" s="281"/>
      <c r="U121" s="281"/>
      <c r="V121" s="282"/>
      <c r="W121" s="40" t="s">
        <v>82</v>
      </c>
      <c r="X121" s="41">
        <f>IFERROR(SUMPRODUCT(X113:X119*H113:H119),"0")</f>
        <v>1260</v>
      </c>
      <c r="Y121" s="41">
        <f>IFERROR(SUMPRODUCT(Y113:Y119*H113:H119),"0")</f>
        <v>1260</v>
      </c>
      <c r="Z121" s="40"/>
      <c r="AA121" s="64"/>
      <c r="AB121" s="64"/>
      <c r="AC121" s="64"/>
    </row>
    <row r="122" spans="1:68" ht="14.25" customHeight="1" x14ac:dyDescent="0.25">
      <c r="A122" s="313" t="s">
        <v>135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63"/>
      <c r="AB122" s="63"/>
      <c r="AC122" s="63"/>
    </row>
    <row r="123" spans="1:68" ht="27" customHeight="1" x14ac:dyDescent="0.25">
      <c r="A123" s="60" t="s">
        <v>201</v>
      </c>
      <c r="B123" s="60" t="s">
        <v>202</v>
      </c>
      <c r="C123" s="34">
        <v>4301135826</v>
      </c>
      <c r="D123" s="291">
        <v>4620207490983</v>
      </c>
      <c r="E123" s="292"/>
      <c r="F123" s="59">
        <v>0.22</v>
      </c>
      <c r="G123" s="35">
        <v>12</v>
      </c>
      <c r="H123" s="59">
        <v>2.64</v>
      </c>
      <c r="I123" s="59">
        <v>3.3435999999999999</v>
      </c>
      <c r="J123" s="35">
        <v>70</v>
      </c>
      <c r="K123" s="35" t="s">
        <v>94</v>
      </c>
      <c r="L123" s="35" t="s">
        <v>65</v>
      </c>
      <c r="M123" s="36" t="s">
        <v>66</v>
      </c>
      <c r="N123" s="36"/>
      <c r="O123" s="35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7"/>
      <c r="V123" s="37"/>
      <c r="W123" s="38" t="s">
        <v>67</v>
      </c>
      <c r="X123" s="56">
        <v>14</v>
      </c>
      <c r="Y123" s="53">
        <f>IFERROR(IF(X123="","",X123),"")</f>
        <v>14</v>
      </c>
      <c r="Z123" s="39">
        <f>IFERROR(IF(X123="","",X123*0.01788),"")</f>
        <v>0.25031999999999999</v>
      </c>
      <c r="AA123" s="65"/>
      <c r="AB123" s="66"/>
      <c r="AC123" s="172" t="s">
        <v>203</v>
      </c>
      <c r="AG123" s="78"/>
      <c r="AJ123" s="82" t="s">
        <v>69</v>
      </c>
      <c r="AK123" s="82">
        <v>1</v>
      </c>
      <c r="BB123" s="173" t="s">
        <v>98</v>
      </c>
      <c r="BM123" s="78">
        <f>IFERROR(X123*I123,"0")</f>
        <v>46.810400000000001</v>
      </c>
      <c r="BN123" s="78">
        <f>IFERROR(Y123*I123,"0")</f>
        <v>46.810400000000001</v>
      </c>
      <c r="BO123" s="78">
        <f>IFERROR(X123/J123,"0")</f>
        <v>0.2</v>
      </c>
      <c r="BP123" s="78">
        <f>IFERROR(Y123/J123,"0")</f>
        <v>0.2</v>
      </c>
    </row>
    <row r="124" spans="1:68" x14ac:dyDescent="0.25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81</v>
      </c>
      <c r="Q124" s="281"/>
      <c r="R124" s="281"/>
      <c r="S124" s="281"/>
      <c r="T124" s="281"/>
      <c r="U124" s="281"/>
      <c r="V124" s="282"/>
      <c r="W124" s="40" t="s">
        <v>67</v>
      </c>
      <c r="X124" s="41">
        <f>IFERROR(SUM(X123:X123),"0")</f>
        <v>14</v>
      </c>
      <c r="Y124" s="41">
        <f>IFERROR(SUM(Y123:Y123),"0")</f>
        <v>14</v>
      </c>
      <c r="Z124" s="41">
        <f>IFERROR(IF(Z123="",0,Z123),"0")</f>
        <v>0.25031999999999999</v>
      </c>
      <c r="AA124" s="64"/>
      <c r="AB124" s="64"/>
      <c r="AC124" s="64"/>
    </row>
    <row r="125" spans="1:68" x14ac:dyDescent="0.25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81</v>
      </c>
      <c r="Q125" s="281"/>
      <c r="R125" s="281"/>
      <c r="S125" s="281"/>
      <c r="T125" s="281"/>
      <c r="U125" s="281"/>
      <c r="V125" s="282"/>
      <c r="W125" s="40" t="s">
        <v>82</v>
      </c>
      <c r="X125" s="41">
        <f>IFERROR(SUMPRODUCT(X123:X123*H123:H123),"0")</f>
        <v>36.96</v>
      </c>
      <c r="Y125" s="41">
        <f>IFERROR(SUMPRODUCT(Y123:Y123*H123:H123),"0")</f>
        <v>36.96</v>
      </c>
      <c r="Z125" s="40"/>
      <c r="AA125" s="64"/>
      <c r="AB125" s="64"/>
      <c r="AC125" s="64"/>
    </row>
    <row r="126" spans="1:68" ht="14.25" customHeight="1" x14ac:dyDescent="0.25">
      <c r="A126" s="313" t="s">
        <v>204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63"/>
      <c r="AB126" s="63"/>
      <c r="AC126" s="63"/>
    </row>
    <row r="127" spans="1:68" ht="27" customHeight="1" x14ac:dyDescent="0.25">
      <c r="A127" s="60" t="s">
        <v>205</v>
      </c>
      <c r="B127" s="60" t="s">
        <v>206</v>
      </c>
      <c r="C127" s="34">
        <v>4301071094</v>
      </c>
      <c r="D127" s="291">
        <v>4620207491140</v>
      </c>
      <c r="E127" s="292"/>
      <c r="F127" s="59">
        <v>0.6</v>
      </c>
      <c r="G127" s="35">
        <v>10</v>
      </c>
      <c r="H127" s="59">
        <v>6</v>
      </c>
      <c r="I127" s="59">
        <v>6.28</v>
      </c>
      <c r="J127" s="35">
        <v>84</v>
      </c>
      <c r="K127" s="35" t="s">
        <v>64</v>
      </c>
      <c r="L127" s="35" t="s">
        <v>65</v>
      </c>
      <c r="M127" s="36" t="s">
        <v>66</v>
      </c>
      <c r="N127" s="36"/>
      <c r="O127" s="35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7"/>
      <c r="V127" s="37"/>
      <c r="W127" s="38" t="s">
        <v>67</v>
      </c>
      <c r="X127" s="56">
        <v>0</v>
      </c>
      <c r="Y127" s="53">
        <f>IFERROR(IF(X127="","",X127),"")</f>
        <v>0</v>
      </c>
      <c r="Z127" s="39">
        <f>IFERROR(IF(X127="","",X127*0.0155),"")</f>
        <v>0</v>
      </c>
      <c r="AA127" s="65"/>
      <c r="AB127" s="66"/>
      <c r="AC127" s="174" t="s">
        <v>207</v>
      </c>
      <c r="AG127" s="78"/>
      <c r="AJ127" s="82" t="s">
        <v>69</v>
      </c>
      <c r="AK127" s="82">
        <v>1</v>
      </c>
      <c r="BB127" s="175" t="s">
        <v>98</v>
      </c>
      <c r="BM127" s="78">
        <f>IFERROR(X127*I127,"0")</f>
        <v>0</v>
      </c>
      <c r="BN127" s="78">
        <f>IFERROR(Y127*I127,"0")</f>
        <v>0</v>
      </c>
      <c r="BO127" s="78">
        <f>IFERROR(X127/J127,"0")</f>
        <v>0</v>
      </c>
      <c r="BP127" s="78">
        <f>IFERROR(Y127/J127,"0")</f>
        <v>0</v>
      </c>
    </row>
    <row r="128" spans="1:68" x14ac:dyDescent="0.25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81</v>
      </c>
      <c r="Q128" s="281"/>
      <c r="R128" s="281"/>
      <c r="S128" s="281"/>
      <c r="T128" s="281"/>
      <c r="U128" s="281"/>
      <c r="V128" s="282"/>
      <c r="W128" s="40" t="s">
        <v>67</v>
      </c>
      <c r="X128" s="41">
        <f>IFERROR(SUM(X127:X127),"0")</f>
        <v>0</v>
      </c>
      <c r="Y128" s="41">
        <f>IFERROR(SUM(Y127:Y127),"0")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5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81</v>
      </c>
      <c r="Q129" s="281"/>
      <c r="R129" s="281"/>
      <c r="S129" s="281"/>
      <c r="T129" s="281"/>
      <c r="U129" s="281"/>
      <c r="V129" s="282"/>
      <c r="W129" s="40" t="s">
        <v>82</v>
      </c>
      <c r="X129" s="41">
        <f>IFERROR(SUMPRODUCT(X127:X127*H127:H127),"0")</f>
        <v>0</v>
      </c>
      <c r="Y129" s="41">
        <f>IFERROR(SUMPRODUCT(Y127:Y127*H127:H127),"0")</f>
        <v>0</v>
      </c>
      <c r="Z129" s="40"/>
      <c r="AA129" s="64"/>
      <c r="AB129" s="64"/>
      <c r="AC129" s="64"/>
    </row>
    <row r="130" spans="1:68" ht="16.5" customHeight="1" x14ac:dyDescent="0.25">
      <c r="A130" s="283" t="s">
        <v>208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62"/>
      <c r="AB130" s="62"/>
      <c r="AC130" s="62"/>
    </row>
    <row r="131" spans="1:68" ht="14.25" customHeight="1" x14ac:dyDescent="0.25">
      <c r="A131" s="313" t="s">
        <v>135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63"/>
      <c r="AB131" s="63"/>
      <c r="AC131" s="63"/>
    </row>
    <row r="132" spans="1:68" ht="27" customHeight="1" x14ac:dyDescent="0.25">
      <c r="A132" s="60" t="s">
        <v>209</v>
      </c>
      <c r="B132" s="60" t="s">
        <v>210</v>
      </c>
      <c r="C132" s="34">
        <v>4301135850</v>
      </c>
      <c r="D132" s="291">
        <v>4620207491492</v>
      </c>
      <c r="E132" s="292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94</v>
      </c>
      <c r="L132" s="35" t="s">
        <v>65</v>
      </c>
      <c r="M132" s="36" t="s">
        <v>66</v>
      </c>
      <c r="N132" s="36"/>
      <c r="O132" s="35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7"/>
      <c r="V132" s="37"/>
      <c r="W132" s="38" t="s">
        <v>67</v>
      </c>
      <c r="X132" s="56">
        <v>70</v>
      </c>
      <c r="Y132" s="53">
        <f>IFERROR(IF(X132="","",X132),"")</f>
        <v>70</v>
      </c>
      <c r="Z132" s="39">
        <f>IFERROR(IF(X132="","",X132*0.00941),"")</f>
        <v>0.65869999999999995</v>
      </c>
      <c r="AA132" s="65"/>
      <c r="AB132" s="66"/>
      <c r="AC132" s="176" t="s">
        <v>211</v>
      </c>
      <c r="AG132" s="78"/>
      <c r="AJ132" s="82" t="s">
        <v>69</v>
      </c>
      <c r="AK132" s="82">
        <v>1</v>
      </c>
      <c r="BB132" s="177" t="s">
        <v>98</v>
      </c>
      <c r="BM132" s="78">
        <f>IFERROR(X132*I132,"0")</f>
        <v>126</v>
      </c>
      <c r="BN132" s="78">
        <f>IFERROR(Y132*I132,"0")</f>
        <v>126</v>
      </c>
      <c r="BO132" s="78">
        <f>IFERROR(X132/J132,"0")</f>
        <v>0.5</v>
      </c>
      <c r="BP132" s="78">
        <f>IFERROR(Y132/J132,"0")</f>
        <v>0.5</v>
      </c>
    </row>
    <row r="133" spans="1:68" ht="27" customHeight="1" x14ac:dyDescent="0.25">
      <c r="A133" s="60" t="s">
        <v>212</v>
      </c>
      <c r="B133" s="60" t="s">
        <v>213</v>
      </c>
      <c r="C133" s="34">
        <v>4301190118</v>
      </c>
      <c r="D133" s="291">
        <v>4620207491461</v>
      </c>
      <c r="E133" s="292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94</v>
      </c>
      <c r="L133" s="35" t="s">
        <v>65</v>
      </c>
      <c r="M133" s="36" t="s">
        <v>66</v>
      </c>
      <c r="N133" s="36"/>
      <c r="O133" s="35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7"/>
      <c r="V133" s="37"/>
      <c r="W133" s="38" t="s">
        <v>67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/>
      <c r="AB133" s="66"/>
      <c r="AC133" s="178" t="s">
        <v>211</v>
      </c>
      <c r="AG133" s="78"/>
      <c r="AJ133" s="82" t="s">
        <v>69</v>
      </c>
      <c r="AK133" s="82">
        <v>1</v>
      </c>
      <c r="BB133" s="179" t="s">
        <v>98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214</v>
      </c>
      <c r="B134" s="60" t="s">
        <v>215</v>
      </c>
      <c r="C134" s="34">
        <v>4301135865</v>
      </c>
      <c r="D134" s="291">
        <v>4620207491485</v>
      </c>
      <c r="E134" s="292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94</v>
      </c>
      <c r="L134" s="35" t="s">
        <v>65</v>
      </c>
      <c r="M134" s="36" t="s">
        <v>66</v>
      </c>
      <c r="N134" s="36"/>
      <c r="O134" s="35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7"/>
      <c r="V134" s="37"/>
      <c r="W134" s="38" t="s">
        <v>67</v>
      </c>
      <c r="X134" s="56">
        <v>28</v>
      </c>
      <c r="Y134" s="53">
        <f>IFERROR(IF(X134="","",X134),"")</f>
        <v>28</v>
      </c>
      <c r="Z134" s="39">
        <f>IFERROR(IF(X134="","",X134*0.00941),"")</f>
        <v>0.26347999999999999</v>
      </c>
      <c r="AA134" s="65"/>
      <c r="AB134" s="66"/>
      <c r="AC134" s="180" t="s">
        <v>211</v>
      </c>
      <c r="AG134" s="78"/>
      <c r="AJ134" s="82" t="s">
        <v>69</v>
      </c>
      <c r="AK134" s="82">
        <v>1</v>
      </c>
      <c r="BB134" s="181" t="s">
        <v>98</v>
      </c>
      <c r="BM134" s="78">
        <f>IFERROR(X134*I134,"0")</f>
        <v>50.4</v>
      </c>
      <c r="BN134" s="78">
        <f>IFERROR(Y134*I134,"0")</f>
        <v>50.4</v>
      </c>
      <c r="BO134" s="78">
        <f>IFERROR(X134/J134,"0")</f>
        <v>0.2</v>
      </c>
      <c r="BP134" s="78">
        <f>IFERROR(Y134/J134,"0")</f>
        <v>0.2</v>
      </c>
    </row>
    <row r="135" spans="1:68" x14ac:dyDescent="0.25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81</v>
      </c>
      <c r="Q135" s="281"/>
      <c r="R135" s="281"/>
      <c r="S135" s="281"/>
      <c r="T135" s="281"/>
      <c r="U135" s="281"/>
      <c r="V135" s="282"/>
      <c r="W135" s="40" t="s">
        <v>67</v>
      </c>
      <c r="X135" s="41">
        <f>IFERROR(SUM(X132:X134),"0")</f>
        <v>98</v>
      </c>
      <c r="Y135" s="41">
        <f>IFERROR(SUM(Y132:Y134),"0")</f>
        <v>98</v>
      </c>
      <c r="Z135" s="41">
        <f>IFERROR(IF(Z132="",0,Z132),"0")+IFERROR(IF(Z133="",0,Z133),"0")+IFERROR(IF(Z134="",0,Z134),"0")</f>
        <v>0.92218</v>
      </c>
      <c r="AA135" s="64"/>
      <c r="AB135" s="64"/>
      <c r="AC135" s="64"/>
    </row>
    <row r="136" spans="1:68" x14ac:dyDescent="0.25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81</v>
      </c>
      <c r="Q136" s="281"/>
      <c r="R136" s="281"/>
      <c r="S136" s="281"/>
      <c r="T136" s="281"/>
      <c r="U136" s="281"/>
      <c r="V136" s="282"/>
      <c r="W136" s="40" t="s">
        <v>82</v>
      </c>
      <c r="X136" s="41">
        <f>IFERROR(SUMPRODUCT(X132:X134*H132:H134),"0")</f>
        <v>135.24</v>
      </c>
      <c r="Y136" s="41">
        <f>IFERROR(SUMPRODUCT(Y132:Y134*H132:H134),"0")</f>
        <v>135.24</v>
      </c>
      <c r="Z136" s="40"/>
      <c r="AA136" s="64"/>
      <c r="AB136" s="64"/>
      <c r="AC136" s="64"/>
    </row>
    <row r="137" spans="1:68" ht="14.25" customHeight="1" x14ac:dyDescent="0.25">
      <c r="A137" s="313" t="s">
        <v>216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63"/>
      <c r="AB137" s="63"/>
      <c r="AC137" s="63"/>
    </row>
    <row r="138" spans="1:68" ht="27" customHeight="1" x14ac:dyDescent="0.25">
      <c r="A138" s="60" t="s">
        <v>217</v>
      </c>
      <c r="B138" s="60" t="s">
        <v>218</v>
      </c>
      <c r="C138" s="34">
        <v>4301190117</v>
      </c>
      <c r="D138" s="291">
        <v>4620207491386</v>
      </c>
      <c r="E138" s="292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94</v>
      </c>
      <c r="L138" s="35" t="s">
        <v>65</v>
      </c>
      <c r="M138" s="36" t="s">
        <v>66</v>
      </c>
      <c r="N138" s="36"/>
      <c r="O138" s="35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7"/>
      <c r="V138" s="37"/>
      <c r="W138" s="38" t="s">
        <v>67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/>
      <c r="AB138" s="66"/>
      <c r="AC138" s="182" t="s">
        <v>219</v>
      </c>
      <c r="AG138" s="78"/>
      <c r="AJ138" s="82" t="s">
        <v>69</v>
      </c>
      <c r="AK138" s="82">
        <v>1</v>
      </c>
      <c r="BB138" s="183" t="s">
        <v>98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customHeight="1" x14ac:dyDescent="0.25">
      <c r="A139" s="60" t="s">
        <v>220</v>
      </c>
      <c r="B139" s="60" t="s">
        <v>221</v>
      </c>
      <c r="C139" s="34">
        <v>4301190115</v>
      </c>
      <c r="D139" s="291">
        <v>4620207491362</v>
      </c>
      <c r="E139" s="292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94</v>
      </c>
      <c r="L139" s="35" t="s">
        <v>65</v>
      </c>
      <c r="M139" s="36" t="s">
        <v>66</v>
      </c>
      <c r="N139" s="36"/>
      <c r="O139" s="35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7"/>
      <c r="V139" s="37"/>
      <c r="W139" s="38" t="s">
        <v>67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/>
      <c r="AB139" s="66"/>
      <c r="AC139" s="184" t="s">
        <v>219</v>
      </c>
      <c r="AG139" s="78"/>
      <c r="AJ139" s="82" t="s">
        <v>69</v>
      </c>
      <c r="AK139" s="82">
        <v>1</v>
      </c>
      <c r="BB139" s="185" t="s">
        <v>98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222</v>
      </c>
      <c r="B140" s="60" t="s">
        <v>223</v>
      </c>
      <c r="C140" s="34">
        <v>4301190116</v>
      </c>
      <c r="D140" s="291">
        <v>4620207491379</v>
      </c>
      <c r="E140" s="292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94</v>
      </c>
      <c r="L140" s="35" t="s">
        <v>65</v>
      </c>
      <c r="M140" s="36" t="s">
        <v>66</v>
      </c>
      <c r="N140" s="36"/>
      <c r="O140" s="35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7"/>
      <c r="V140" s="37"/>
      <c r="W140" s="38" t="s">
        <v>67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/>
      <c r="AB140" s="66"/>
      <c r="AC140" s="186" t="s">
        <v>219</v>
      </c>
      <c r="AG140" s="78"/>
      <c r="AJ140" s="82" t="s">
        <v>69</v>
      </c>
      <c r="AK140" s="82">
        <v>1</v>
      </c>
      <c r="BB140" s="187" t="s">
        <v>98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x14ac:dyDescent="0.25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81</v>
      </c>
      <c r="Q141" s="281"/>
      <c r="R141" s="281"/>
      <c r="S141" s="281"/>
      <c r="T141" s="281"/>
      <c r="U141" s="281"/>
      <c r="V141" s="282"/>
      <c r="W141" s="40" t="s">
        <v>67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x14ac:dyDescent="0.25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81</v>
      </c>
      <c r="Q142" s="281"/>
      <c r="R142" s="281"/>
      <c r="S142" s="281"/>
      <c r="T142" s="281"/>
      <c r="U142" s="281"/>
      <c r="V142" s="282"/>
      <c r="W142" s="40" t="s">
        <v>82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customHeight="1" x14ac:dyDescent="0.25">
      <c r="A143" s="283" t="s">
        <v>224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62"/>
      <c r="AB143" s="62"/>
      <c r="AC143" s="62"/>
    </row>
    <row r="144" spans="1:68" ht="14.25" customHeight="1" x14ac:dyDescent="0.25">
      <c r="A144" s="313" t="s">
        <v>135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63"/>
      <c r="AB144" s="63"/>
      <c r="AC144" s="63"/>
    </row>
    <row r="145" spans="1:68" ht="27" customHeight="1" x14ac:dyDescent="0.25">
      <c r="A145" s="60" t="s">
        <v>225</v>
      </c>
      <c r="B145" s="60" t="s">
        <v>226</v>
      </c>
      <c r="C145" s="34">
        <v>4301135555</v>
      </c>
      <c r="D145" s="291">
        <v>4607111034014</v>
      </c>
      <c r="E145" s="292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94</v>
      </c>
      <c r="L145" s="35" t="s">
        <v>95</v>
      </c>
      <c r="M145" s="36" t="s">
        <v>66</v>
      </c>
      <c r="N145" s="36"/>
      <c r="O145" s="35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7"/>
      <c r="V145" s="37"/>
      <c r="W145" s="38" t="s">
        <v>67</v>
      </c>
      <c r="X145" s="56">
        <v>42</v>
      </c>
      <c r="Y145" s="53">
        <f>IFERROR(IF(X145="","",X145),"")</f>
        <v>42</v>
      </c>
      <c r="Z145" s="39">
        <f>IFERROR(IF(X145="","",X145*0.01788),"")</f>
        <v>0.75095999999999996</v>
      </c>
      <c r="AA145" s="65"/>
      <c r="AB145" s="66"/>
      <c r="AC145" s="188" t="s">
        <v>227</v>
      </c>
      <c r="AG145" s="78"/>
      <c r="AJ145" s="82" t="s">
        <v>97</v>
      </c>
      <c r="AK145" s="82">
        <v>14</v>
      </c>
      <c r="BB145" s="189" t="s">
        <v>98</v>
      </c>
      <c r="BM145" s="78">
        <f>IFERROR(X145*I145,"0")</f>
        <v>155.55119999999999</v>
      </c>
      <c r="BN145" s="78">
        <f>IFERROR(Y145*I145,"0")</f>
        <v>155.55119999999999</v>
      </c>
      <c r="BO145" s="78">
        <f>IFERROR(X145/J145,"0")</f>
        <v>0.6</v>
      </c>
      <c r="BP145" s="78">
        <f>IFERROR(Y145/J145,"0")</f>
        <v>0.6</v>
      </c>
    </row>
    <row r="146" spans="1:68" ht="27" customHeight="1" x14ac:dyDescent="0.25">
      <c r="A146" s="60" t="s">
        <v>228</v>
      </c>
      <c r="B146" s="60" t="s">
        <v>229</v>
      </c>
      <c r="C146" s="34">
        <v>4301135532</v>
      </c>
      <c r="D146" s="291">
        <v>4607111033994</v>
      </c>
      <c r="E146" s="292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94</v>
      </c>
      <c r="L146" s="35" t="s">
        <v>95</v>
      </c>
      <c r="M146" s="36" t="s">
        <v>66</v>
      </c>
      <c r="N146" s="36"/>
      <c r="O146" s="35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7"/>
      <c r="V146" s="37"/>
      <c r="W146" s="38" t="s">
        <v>67</v>
      </c>
      <c r="X146" s="56">
        <v>42</v>
      </c>
      <c r="Y146" s="53">
        <f>IFERROR(IF(X146="","",X146),"")</f>
        <v>42</v>
      </c>
      <c r="Z146" s="39">
        <f>IFERROR(IF(X146="","",X146*0.01788),"")</f>
        <v>0.75095999999999996</v>
      </c>
      <c r="AA146" s="65"/>
      <c r="AB146" s="66"/>
      <c r="AC146" s="190" t="s">
        <v>153</v>
      </c>
      <c r="AG146" s="78"/>
      <c r="AJ146" s="82" t="s">
        <v>97</v>
      </c>
      <c r="AK146" s="82">
        <v>14</v>
      </c>
      <c r="BB146" s="191" t="s">
        <v>98</v>
      </c>
      <c r="BM146" s="78">
        <f>IFERROR(X146*I146,"0")</f>
        <v>155.55119999999999</v>
      </c>
      <c r="BN146" s="78">
        <f>IFERROR(Y146*I146,"0")</f>
        <v>155.55119999999999</v>
      </c>
      <c r="BO146" s="78">
        <f>IFERROR(X146/J146,"0")</f>
        <v>0.6</v>
      </c>
      <c r="BP146" s="78">
        <f>IFERROR(Y146/J146,"0")</f>
        <v>0.6</v>
      </c>
    </row>
    <row r="147" spans="1:68" x14ac:dyDescent="0.25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81</v>
      </c>
      <c r="Q147" s="281"/>
      <c r="R147" s="281"/>
      <c r="S147" s="281"/>
      <c r="T147" s="281"/>
      <c r="U147" s="281"/>
      <c r="V147" s="282"/>
      <c r="W147" s="40" t="s">
        <v>67</v>
      </c>
      <c r="X147" s="41">
        <f>IFERROR(SUM(X145:X146),"0")</f>
        <v>84</v>
      </c>
      <c r="Y147" s="41">
        <f>IFERROR(SUM(Y145:Y146),"0")</f>
        <v>84</v>
      </c>
      <c r="Z147" s="41">
        <f>IFERROR(IF(Z145="",0,Z145),"0")+IFERROR(IF(Z146="",0,Z146),"0")</f>
        <v>1.5019199999999999</v>
      </c>
      <c r="AA147" s="64"/>
      <c r="AB147" s="64"/>
      <c r="AC147" s="64"/>
    </row>
    <row r="148" spans="1:68" x14ac:dyDescent="0.25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81</v>
      </c>
      <c r="Q148" s="281"/>
      <c r="R148" s="281"/>
      <c r="S148" s="281"/>
      <c r="T148" s="281"/>
      <c r="U148" s="281"/>
      <c r="V148" s="282"/>
      <c r="W148" s="40" t="s">
        <v>82</v>
      </c>
      <c r="X148" s="41">
        <f>IFERROR(SUMPRODUCT(X145:X146*H145:H146),"0")</f>
        <v>252</v>
      </c>
      <c r="Y148" s="41">
        <f>IFERROR(SUMPRODUCT(Y145:Y146*H145:H146),"0")</f>
        <v>252</v>
      </c>
      <c r="Z148" s="40"/>
      <c r="AA148" s="64"/>
      <c r="AB148" s="64"/>
      <c r="AC148" s="64"/>
    </row>
    <row r="149" spans="1:68" ht="16.5" customHeight="1" x14ac:dyDescent="0.25">
      <c r="A149" s="283" t="s">
        <v>230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62"/>
      <c r="AB149" s="62"/>
      <c r="AC149" s="62"/>
    </row>
    <row r="150" spans="1:68" ht="14.25" customHeight="1" x14ac:dyDescent="0.25">
      <c r="A150" s="313" t="s">
        <v>135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63"/>
      <c r="AB150" s="63"/>
      <c r="AC150" s="63"/>
    </row>
    <row r="151" spans="1:68" ht="27" customHeight="1" x14ac:dyDescent="0.25">
      <c r="A151" s="60" t="s">
        <v>231</v>
      </c>
      <c r="B151" s="60" t="s">
        <v>232</v>
      </c>
      <c r="C151" s="34">
        <v>4301135824</v>
      </c>
      <c r="D151" s="291">
        <v>4607111039095</v>
      </c>
      <c r="E151" s="292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94</v>
      </c>
      <c r="L151" s="35" t="s">
        <v>65</v>
      </c>
      <c r="M151" s="36" t="s">
        <v>66</v>
      </c>
      <c r="N151" s="36"/>
      <c r="O151" s="35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7"/>
      <c r="V151" s="37"/>
      <c r="W151" s="38" t="s">
        <v>67</v>
      </c>
      <c r="X151" s="56">
        <v>14</v>
      </c>
      <c r="Y151" s="53">
        <f>IFERROR(IF(X151="","",X151),"")</f>
        <v>14</v>
      </c>
      <c r="Z151" s="39">
        <f>IFERROR(IF(X151="","",X151*0.01788),"")</f>
        <v>0.25031999999999999</v>
      </c>
      <c r="AA151" s="65"/>
      <c r="AB151" s="66"/>
      <c r="AC151" s="192" t="s">
        <v>233</v>
      </c>
      <c r="AG151" s="78"/>
      <c r="AJ151" s="82" t="s">
        <v>69</v>
      </c>
      <c r="AK151" s="82">
        <v>1</v>
      </c>
      <c r="BB151" s="193" t="s">
        <v>98</v>
      </c>
      <c r="BM151" s="78">
        <f>IFERROR(X151*I151,"0")</f>
        <v>52.472000000000001</v>
      </c>
      <c r="BN151" s="78">
        <f>IFERROR(Y151*I151,"0")</f>
        <v>52.472000000000001</v>
      </c>
      <c r="BO151" s="78">
        <f>IFERROR(X151/J151,"0")</f>
        <v>0.2</v>
      </c>
      <c r="BP151" s="78">
        <f>IFERROR(Y151/J151,"0")</f>
        <v>0.2</v>
      </c>
    </row>
    <row r="152" spans="1:68" ht="16.5" customHeight="1" x14ac:dyDescent="0.25">
      <c r="A152" s="60" t="s">
        <v>234</v>
      </c>
      <c r="B152" s="60" t="s">
        <v>235</v>
      </c>
      <c r="C152" s="34">
        <v>4301135550</v>
      </c>
      <c r="D152" s="291">
        <v>4607111034199</v>
      </c>
      <c r="E152" s="292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94</v>
      </c>
      <c r="L152" s="35" t="s">
        <v>95</v>
      </c>
      <c r="M152" s="36" t="s">
        <v>66</v>
      </c>
      <c r="N152" s="36"/>
      <c r="O152" s="35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7"/>
      <c r="V152" s="37"/>
      <c r="W152" s="38" t="s">
        <v>67</v>
      </c>
      <c r="X152" s="56">
        <v>56</v>
      </c>
      <c r="Y152" s="53">
        <f>IFERROR(IF(X152="","",X152),"")</f>
        <v>56</v>
      </c>
      <c r="Z152" s="39">
        <f>IFERROR(IF(X152="","",X152*0.01788),"")</f>
        <v>1.0012799999999999</v>
      </c>
      <c r="AA152" s="65"/>
      <c r="AB152" s="66"/>
      <c r="AC152" s="194" t="s">
        <v>236</v>
      </c>
      <c r="AG152" s="78"/>
      <c r="AJ152" s="82" t="s">
        <v>97</v>
      </c>
      <c r="AK152" s="82">
        <v>14</v>
      </c>
      <c r="BB152" s="195" t="s">
        <v>98</v>
      </c>
      <c r="BM152" s="78">
        <f>IFERROR(X152*I152,"0")</f>
        <v>207.40159999999997</v>
      </c>
      <c r="BN152" s="78">
        <f>IFERROR(Y152*I152,"0")</f>
        <v>207.40159999999997</v>
      </c>
      <c r="BO152" s="78">
        <f>IFERROR(X152/J152,"0")</f>
        <v>0.8</v>
      </c>
      <c r="BP152" s="78">
        <f>IFERROR(Y152/J152,"0")</f>
        <v>0.8</v>
      </c>
    </row>
    <row r="153" spans="1:68" x14ac:dyDescent="0.25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81</v>
      </c>
      <c r="Q153" s="281"/>
      <c r="R153" s="281"/>
      <c r="S153" s="281"/>
      <c r="T153" s="281"/>
      <c r="U153" s="281"/>
      <c r="V153" s="282"/>
      <c r="W153" s="40" t="s">
        <v>67</v>
      </c>
      <c r="X153" s="41">
        <f>IFERROR(SUM(X151:X152),"0")</f>
        <v>70</v>
      </c>
      <c r="Y153" s="41">
        <f>IFERROR(SUM(Y151:Y152),"0")</f>
        <v>70</v>
      </c>
      <c r="Z153" s="41">
        <f>IFERROR(IF(Z151="",0,Z151),"0")+IFERROR(IF(Z152="",0,Z152),"0")</f>
        <v>1.2515999999999998</v>
      </c>
      <c r="AA153" s="64"/>
      <c r="AB153" s="64"/>
      <c r="AC153" s="64"/>
    </row>
    <row r="154" spans="1:68" x14ac:dyDescent="0.25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81</v>
      </c>
      <c r="Q154" s="281"/>
      <c r="R154" s="281"/>
      <c r="S154" s="281"/>
      <c r="T154" s="281"/>
      <c r="U154" s="281"/>
      <c r="V154" s="282"/>
      <c r="W154" s="40" t="s">
        <v>82</v>
      </c>
      <c r="X154" s="41">
        <f>IFERROR(SUMPRODUCT(X151:X152*H151:H152),"0")</f>
        <v>210</v>
      </c>
      <c r="Y154" s="41">
        <f>IFERROR(SUMPRODUCT(Y151:Y152*H151:H152),"0")</f>
        <v>210</v>
      </c>
      <c r="Z154" s="40"/>
      <c r="AA154" s="64"/>
      <c r="AB154" s="64"/>
      <c r="AC154" s="64"/>
    </row>
    <row r="155" spans="1:68" ht="16.5" customHeight="1" x14ac:dyDescent="0.25">
      <c r="A155" s="283" t="s">
        <v>237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62"/>
      <c r="AB155" s="62"/>
      <c r="AC155" s="62"/>
    </row>
    <row r="156" spans="1:68" ht="14.25" customHeight="1" x14ac:dyDescent="0.25">
      <c r="A156" s="313" t="s">
        <v>135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63"/>
      <c r="AB156" s="63"/>
      <c r="AC156" s="63"/>
    </row>
    <row r="157" spans="1:68" ht="27" customHeight="1" x14ac:dyDescent="0.25">
      <c r="A157" s="60" t="s">
        <v>238</v>
      </c>
      <c r="B157" s="60" t="s">
        <v>239</v>
      </c>
      <c r="C157" s="34">
        <v>4301135753</v>
      </c>
      <c r="D157" s="291">
        <v>4620207490914</v>
      </c>
      <c r="E157" s="292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94</v>
      </c>
      <c r="L157" s="35" t="s">
        <v>65</v>
      </c>
      <c r="M157" s="36" t="s">
        <v>66</v>
      </c>
      <c r="N157" s="36"/>
      <c r="O157" s="35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7"/>
      <c r="V157" s="37"/>
      <c r="W157" s="38" t="s">
        <v>67</v>
      </c>
      <c r="X157" s="56">
        <v>14</v>
      </c>
      <c r="Y157" s="53">
        <f>IFERROR(IF(X157="","",X157),"")</f>
        <v>14</v>
      </c>
      <c r="Z157" s="39">
        <f>IFERROR(IF(X157="","",X157*0.01788),"")</f>
        <v>0.25031999999999999</v>
      </c>
      <c r="AA157" s="65"/>
      <c r="AB157" s="66"/>
      <c r="AC157" s="196" t="s">
        <v>227</v>
      </c>
      <c r="AG157" s="78"/>
      <c r="AJ157" s="82" t="s">
        <v>69</v>
      </c>
      <c r="AK157" s="82">
        <v>1</v>
      </c>
      <c r="BB157" s="197" t="s">
        <v>98</v>
      </c>
      <c r="BM157" s="78">
        <f>IFERROR(X157*I157,"0")</f>
        <v>37.520000000000003</v>
      </c>
      <c r="BN157" s="78">
        <f>IFERROR(Y157*I157,"0")</f>
        <v>37.520000000000003</v>
      </c>
      <c r="BO157" s="78">
        <f>IFERROR(X157/J157,"0")</f>
        <v>0.2</v>
      </c>
      <c r="BP157" s="78">
        <f>IFERROR(Y157/J157,"0")</f>
        <v>0.2</v>
      </c>
    </row>
    <row r="158" spans="1:68" ht="27" customHeight="1" x14ac:dyDescent="0.25">
      <c r="A158" s="60" t="s">
        <v>240</v>
      </c>
      <c r="B158" s="60" t="s">
        <v>241</v>
      </c>
      <c r="C158" s="34">
        <v>4301135778</v>
      </c>
      <c r="D158" s="291">
        <v>4620207490853</v>
      </c>
      <c r="E158" s="292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94</v>
      </c>
      <c r="L158" s="35" t="s">
        <v>95</v>
      </c>
      <c r="M158" s="36" t="s">
        <v>66</v>
      </c>
      <c r="N158" s="36"/>
      <c r="O158" s="35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7"/>
      <c r="V158" s="37"/>
      <c r="W158" s="38" t="s">
        <v>67</v>
      </c>
      <c r="X158" s="56">
        <v>14</v>
      </c>
      <c r="Y158" s="53">
        <f>IFERROR(IF(X158="","",X158),"")</f>
        <v>14</v>
      </c>
      <c r="Z158" s="39">
        <f>IFERROR(IF(X158="","",X158*0.01788),"")</f>
        <v>0.25031999999999999</v>
      </c>
      <c r="AA158" s="65"/>
      <c r="AB158" s="66"/>
      <c r="AC158" s="198" t="s">
        <v>227</v>
      </c>
      <c r="AG158" s="78"/>
      <c r="AJ158" s="82" t="s">
        <v>97</v>
      </c>
      <c r="AK158" s="82">
        <v>14</v>
      </c>
      <c r="BB158" s="199" t="s">
        <v>98</v>
      </c>
      <c r="BM158" s="78">
        <f>IFERROR(X158*I158,"0")</f>
        <v>37.520000000000003</v>
      </c>
      <c r="BN158" s="78">
        <f>IFERROR(Y158*I158,"0")</f>
        <v>37.520000000000003</v>
      </c>
      <c r="BO158" s="78">
        <f>IFERROR(X158/J158,"0")</f>
        <v>0.2</v>
      </c>
      <c r="BP158" s="78">
        <f>IFERROR(Y158/J158,"0")</f>
        <v>0.2</v>
      </c>
    </row>
    <row r="159" spans="1:68" x14ac:dyDescent="0.25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81</v>
      </c>
      <c r="Q159" s="281"/>
      <c r="R159" s="281"/>
      <c r="S159" s="281"/>
      <c r="T159" s="281"/>
      <c r="U159" s="281"/>
      <c r="V159" s="282"/>
      <c r="W159" s="40" t="s">
        <v>67</v>
      </c>
      <c r="X159" s="41">
        <f>IFERROR(SUM(X157:X158),"0")</f>
        <v>28</v>
      </c>
      <c r="Y159" s="41">
        <f>IFERROR(SUM(Y157:Y158),"0")</f>
        <v>28</v>
      </c>
      <c r="Z159" s="41">
        <f>IFERROR(IF(Z157="",0,Z157),"0")+IFERROR(IF(Z158="",0,Z158),"0")</f>
        <v>0.50063999999999997</v>
      </c>
      <c r="AA159" s="64"/>
      <c r="AB159" s="64"/>
      <c r="AC159" s="64"/>
    </row>
    <row r="160" spans="1:68" x14ac:dyDescent="0.25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81</v>
      </c>
      <c r="Q160" s="281"/>
      <c r="R160" s="281"/>
      <c r="S160" s="281"/>
      <c r="T160" s="281"/>
      <c r="U160" s="281"/>
      <c r="V160" s="282"/>
      <c r="W160" s="40" t="s">
        <v>82</v>
      </c>
      <c r="X160" s="41">
        <f>IFERROR(SUMPRODUCT(X157:X158*H157:H158),"0")</f>
        <v>67.2</v>
      </c>
      <c r="Y160" s="41">
        <f>IFERROR(SUMPRODUCT(Y157:Y158*H157:H158),"0")</f>
        <v>67.2</v>
      </c>
      <c r="Z160" s="40"/>
      <c r="AA160" s="64"/>
      <c r="AB160" s="64"/>
      <c r="AC160" s="64"/>
    </row>
    <row r="161" spans="1:68" ht="16.5" customHeight="1" x14ac:dyDescent="0.25">
      <c r="A161" s="283" t="s">
        <v>242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62"/>
      <c r="AB161" s="62"/>
      <c r="AC161" s="62"/>
    </row>
    <row r="162" spans="1:68" ht="14.25" customHeight="1" x14ac:dyDescent="0.25">
      <c r="A162" s="313" t="s">
        <v>135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63"/>
      <c r="AB162" s="63"/>
      <c r="AC162" s="63"/>
    </row>
    <row r="163" spans="1:68" ht="27" customHeight="1" x14ac:dyDescent="0.25">
      <c r="A163" s="60" t="s">
        <v>243</v>
      </c>
      <c r="B163" s="60" t="s">
        <v>244</v>
      </c>
      <c r="C163" s="34">
        <v>4301135570</v>
      </c>
      <c r="D163" s="291">
        <v>4607111035806</v>
      </c>
      <c r="E163" s="292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94</v>
      </c>
      <c r="L163" s="35" t="s">
        <v>95</v>
      </c>
      <c r="M163" s="36" t="s">
        <v>66</v>
      </c>
      <c r="N163" s="36"/>
      <c r="O163" s="35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7"/>
      <c r="V163" s="37"/>
      <c r="W163" s="38" t="s">
        <v>67</v>
      </c>
      <c r="X163" s="56">
        <v>0</v>
      </c>
      <c r="Y163" s="53">
        <f>IFERROR(IF(X163="","",X163),"")</f>
        <v>0</v>
      </c>
      <c r="Z163" s="39">
        <f>IFERROR(IF(X163="","",X163*0.01788),"")</f>
        <v>0</v>
      </c>
      <c r="AA163" s="65"/>
      <c r="AB163" s="66"/>
      <c r="AC163" s="200" t="s">
        <v>245</v>
      </c>
      <c r="AG163" s="78"/>
      <c r="AJ163" s="82" t="s">
        <v>97</v>
      </c>
      <c r="AK163" s="82">
        <v>14</v>
      </c>
      <c r="BB163" s="201" t="s">
        <v>98</v>
      </c>
      <c r="BM163" s="78">
        <f>IFERROR(X163*I163,"0")</f>
        <v>0</v>
      </c>
      <c r="BN163" s="78">
        <f>IFERROR(Y163*I163,"0")</f>
        <v>0</v>
      </c>
      <c r="BO163" s="78">
        <f>IFERROR(X163/J163,"0")</f>
        <v>0</v>
      </c>
      <c r="BP163" s="78">
        <f>IFERROR(Y163/J163,"0")</f>
        <v>0</v>
      </c>
    </row>
    <row r="164" spans="1:68" x14ac:dyDescent="0.25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81</v>
      </c>
      <c r="Q164" s="281"/>
      <c r="R164" s="281"/>
      <c r="S164" s="281"/>
      <c r="T164" s="281"/>
      <c r="U164" s="281"/>
      <c r="V164" s="282"/>
      <c r="W164" s="40" t="s">
        <v>67</v>
      </c>
      <c r="X164" s="41">
        <f>IFERROR(SUM(X163:X163),"0")</f>
        <v>0</v>
      </c>
      <c r="Y164" s="41">
        <f>IFERROR(SUM(Y163:Y163),"0")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5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81</v>
      </c>
      <c r="Q165" s="281"/>
      <c r="R165" s="281"/>
      <c r="S165" s="281"/>
      <c r="T165" s="281"/>
      <c r="U165" s="281"/>
      <c r="V165" s="282"/>
      <c r="W165" s="40" t="s">
        <v>82</v>
      </c>
      <c r="X165" s="41">
        <f>IFERROR(SUMPRODUCT(X163:X163*H163:H163),"0")</f>
        <v>0</v>
      </c>
      <c r="Y165" s="41">
        <f>IFERROR(SUMPRODUCT(Y163:Y163*H163:H163),"0")</f>
        <v>0</v>
      </c>
      <c r="Z165" s="40"/>
      <c r="AA165" s="64"/>
      <c r="AB165" s="64"/>
      <c r="AC165" s="64"/>
    </row>
    <row r="166" spans="1:68" ht="16.5" customHeight="1" x14ac:dyDescent="0.25">
      <c r="A166" s="283" t="s">
        <v>246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62"/>
      <c r="AB166" s="62"/>
      <c r="AC166" s="62"/>
    </row>
    <row r="167" spans="1:68" ht="14.25" customHeight="1" x14ac:dyDescent="0.25">
      <c r="A167" s="313" t="s">
        <v>135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63"/>
      <c r="AB167" s="63"/>
      <c r="AC167" s="63"/>
    </row>
    <row r="168" spans="1:68" ht="16.5" customHeight="1" x14ac:dyDescent="0.25">
      <c r="A168" s="60" t="s">
        <v>247</v>
      </c>
      <c r="B168" s="60" t="s">
        <v>248</v>
      </c>
      <c r="C168" s="34">
        <v>4301135607</v>
      </c>
      <c r="D168" s="291">
        <v>4607111039613</v>
      </c>
      <c r="E168" s="292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94</v>
      </c>
      <c r="L168" s="35" t="s">
        <v>95</v>
      </c>
      <c r="M168" s="36" t="s">
        <v>66</v>
      </c>
      <c r="N168" s="36"/>
      <c r="O168" s="35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7"/>
      <c r="V168" s="37"/>
      <c r="W168" s="38" t="s">
        <v>67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/>
      <c r="AB168" s="66"/>
      <c r="AC168" s="202" t="s">
        <v>233</v>
      </c>
      <c r="AG168" s="78"/>
      <c r="AJ168" s="82" t="s">
        <v>97</v>
      </c>
      <c r="AK168" s="82">
        <v>14</v>
      </c>
      <c r="BB168" s="203" t="s">
        <v>98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x14ac:dyDescent="0.25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81</v>
      </c>
      <c r="Q169" s="281"/>
      <c r="R169" s="281"/>
      <c r="S169" s="281"/>
      <c r="T169" s="281"/>
      <c r="U169" s="281"/>
      <c r="V169" s="282"/>
      <c r="W169" s="40" t="s">
        <v>67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x14ac:dyDescent="0.25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81</v>
      </c>
      <c r="Q170" s="281"/>
      <c r="R170" s="281"/>
      <c r="S170" s="281"/>
      <c r="T170" s="281"/>
      <c r="U170" s="281"/>
      <c r="V170" s="282"/>
      <c r="W170" s="40" t="s">
        <v>82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customHeight="1" x14ac:dyDescent="0.25">
      <c r="A171" s="283" t="s">
        <v>249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62"/>
      <c r="AB171" s="62"/>
      <c r="AC171" s="62"/>
    </row>
    <row r="172" spans="1:68" ht="14.25" customHeight="1" x14ac:dyDescent="0.25">
      <c r="A172" s="313" t="s">
        <v>135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63"/>
      <c r="AB172" s="63"/>
      <c r="AC172" s="63"/>
    </row>
    <row r="173" spans="1:68" ht="27" customHeight="1" x14ac:dyDescent="0.25">
      <c r="A173" s="60" t="s">
        <v>250</v>
      </c>
      <c r="B173" s="60" t="s">
        <v>251</v>
      </c>
      <c r="C173" s="34">
        <v>4301135591</v>
      </c>
      <c r="D173" s="291">
        <v>4607111036568</v>
      </c>
      <c r="E173" s="292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94</v>
      </c>
      <c r="L173" s="35" t="s">
        <v>95</v>
      </c>
      <c r="M173" s="36" t="s">
        <v>66</v>
      </c>
      <c r="N173" s="36"/>
      <c r="O173" s="35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7"/>
      <c r="V173" s="37"/>
      <c r="W173" s="38" t="s">
        <v>67</v>
      </c>
      <c r="X173" s="56">
        <v>84</v>
      </c>
      <c r="Y173" s="53">
        <f>IFERROR(IF(X173="","",X173),"")</f>
        <v>84</v>
      </c>
      <c r="Z173" s="39">
        <f>IFERROR(IF(X173="","",X173*0.00941),"")</f>
        <v>0.79044000000000003</v>
      </c>
      <c r="AA173" s="65"/>
      <c r="AB173" s="66"/>
      <c r="AC173" s="204" t="s">
        <v>252</v>
      </c>
      <c r="AG173" s="78"/>
      <c r="AJ173" s="82" t="s">
        <v>97</v>
      </c>
      <c r="AK173" s="82">
        <v>14</v>
      </c>
      <c r="BB173" s="205" t="s">
        <v>98</v>
      </c>
      <c r="BM173" s="78">
        <f>IFERROR(X173*I173,"0")</f>
        <v>176.55119999999999</v>
      </c>
      <c r="BN173" s="78">
        <f>IFERROR(Y173*I173,"0")</f>
        <v>176.55119999999999</v>
      </c>
      <c r="BO173" s="78">
        <f>IFERROR(X173/J173,"0")</f>
        <v>0.6</v>
      </c>
      <c r="BP173" s="78">
        <f>IFERROR(Y173/J173,"0")</f>
        <v>0.6</v>
      </c>
    </row>
    <row r="174" spans="1:68" x14ac:dyDescent="0.25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81</v>
      </c>
      <c r="Q174" s="281"/>
      <c r="R174" s="281"/>
      <c r="S174" s="281"/>
      <c r="T174" s="281"/>
      <c r="U174" s="281"/>
      <c r="V174" s="282"/>
      <c r="W174" s="40" t="s">
        <v>67</v>
      </c>
      <c r="X174" s="41">
        <f>IFERROR(SUM(X173:X173),"0")</f>
        <v>84</v>
      </c>
      <c r="Y174" s="41">
        <f>IFERROR(SUM(Y173:Y173),"0")</f>
        <v>84</v>
      </c>
      <c r="Z174" s="41">
        <f>IFERROR(IF(Z173="",0,Z173),"0")</f>
        <v>0.79044000000000003</v>
      </c>
      <c r="AA174" s="64"/>
      <c r="AB174" s="64"/>
      <c r="AC174" s="64"/>
    </row>
    <row r="175" spans="1:68" x14ac:dyDescent="0.25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81</v>
      </c>
      <c r="Q175" s="281"/>
      <c r="R175" s="281"/>
      <c r="S175" s="281"/>
      <c r="T175" s="281"/>
      <c r="U175" s="281"/>
      <c r="V175" s="282"/>
      <c r="W175" s="40" t="s">
        <v>82</v>
      </c>
      <c r="X175" s="41">
        <f>IFERROR(SUMPRODUCT(X173:X173*H173:H173),"0")</f>
        <v>141.12</v>
      </c>
      <c r="Y175" s="41">
        <f>IFERROR(SUMPRODUCT(Y173:Y173*H173:H173),"0")</f>
        <v>141.12</v>
      </c>
      <c r="Z175" s="40"/>
      <c r="AA175" s="64"/>
      <c r="AB175" s="64"/>
      <c r="AC175" s="64"/>
    </row>
    <row r="176" spans="1:68" ht="27.75" customHeight="1" x14ac:dyDescent="0.25">
      <c r="A176" s="301" t="s">
        <v>253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52"/>
      <c r="AB176" s="52"/>
      <c r="AC176" s="52"/>
    </row>
    <row r="177" spans="1:68" ht="16.5" customHeight="1" x14ac:dyDescent="0.25">
      <c r="A177" s="283" t="s">
        <v>254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62"/>
      <c r="AB177" s="62"/>
      <c r="AC177" s="62"/>
    </row>
    <row r="178" spans="1:68" ht="14.25" customHeight="1" x14ac:dyDescent="0.25">
      <c r="A178" s="313" t="s">
        <v>61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63"/>
      <c r="AB178" s="63"/>
      <c r="AC178" s="63"/>
    </row>
    <row r="179" spans="1:68" ht="16.5" customHeight="1" x14ac:dyDescent="0.25">
      <c r="A179" s="60" t="s">
        <v>255</v>
      </c>
      <c r="B179" s="60" t="s">
        <v>256</v>
      </c>
      <c r="C179" s="34">
        <v>4301071062</v>
      </c>
      <c r="D179" s="291">
        <v>4607111036384</v>
      </c>
      <c r="E179" s="292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64</v>
      </c>
      <c r="L179" s="35" t="s">
        <v>65</v>
      </c>
      <c r="M179" s="36" t="s">
        <v>66</v>
      </c>
      <c r="N179" s="36"/>
      <c r="O179" s="35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7"/>
      <c r="V179" s="37"/>
      <c r="W179" s="38" t="s">
        <v>67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/>
      <c r="AB179" s="66"/>
      <c r="AC179" s="206" t="s">
        <v>257</v>
      </c>
      <c r="AG179" s="78"/>
      <c r="AJ179" s="82" t="s">
        <v>69</v>
      </c>
      <c r="AK179" s="82">
        <v>1</v>
      </c>
      <c r="BB179" s="207" t="s">
        <v>1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customHeight="1" x14ac:dyDescent="0.25">
      <c r="A180" s="60" t="s">
        <v>258</v>
      </c>
      <c r="B180" s="60" t="s">
        <v>259</v>
      </c>
      <c r="C180" s="34">
        <v>4301071050</v>
      </c>
      <c r="D180" s="291">
        <v>4607111036216</v>
      </c>
      <c r="E180" s="292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64</v>
      </c>
      <c r="L180" s="35" t="s">
        <v>95</v>
      </c>
      <c r="M180" s="36" t="s">
        <v>66</v>
      </c>
      <c r="N180" s="36"/>
      <c r="O180" s="35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7"/>
      <c r="V180" s="37"/>
      <c r="W180" s="38" t="s">
        <v>67</v>
      </c>
      <c r="X180" s="56">
        <v>36</v>
      </c>
      <c r="Y180" s="53">
        <f>IFERROR(IF(X180="","",X180),"")</f>
        <v>36</v>
      </c>
      <c r="Z180" s="39">
        <f>IFERROR(IF(X180="","",X180*0.00866),"")</f>
        <v>0.31175999999999998</v>
      </c>
      <c r="AA180" s="65"/>
      <c r="AB180" s="66"/>
      <c r="AC180" s="208" t="s">
        <v>260</v>
      </c>
      <c r="AG180" s="78"/>
      <c r="AJ180" s="82" t="s">
        <v>97</v>
      </c>
      <c r="AK180" s="82">
        <v>12</v>
      </c>
      <c r="BB180" s="209" t="s">
        <v>1</v>
      </c>
      <c r="BM180" s="78">
        <f>IFERROR(X180*I180,"0")</f>
        <v>187.67519999999999</v>
      </c>
      <c r="BN180" s="78">
        <f>IFERROR(Y180*I180,"0")</f>
        <v>187.67519999999999</v>
      </c>
      <c r="BO180" s="78">
        <f>IFERROR(X180/J180,"0")</f>
        <v>0.25</v>
      </c>
      <c r="BP180" s="78">
        <f>IFERROR(Y180/J180,"0")</f>
        <v>0.25</v>
      </c>
    </row>
    <row r="181" spans="1:68" x14ac:dyDescent="0.25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81</v>
      </c>
      <c r="Q181" s="281"/>
      <c r="R181" s="281"/>
      <c r="S181" s="281"/>
      <c r="T181" s="281"/>
      <c r="U181" s="281"/>
      <c r="V181" s="282"/>
      <c r="W181" s="40" t="s">
        <v>67</v>
      </c>
      <c r="X181" s="41">
        <f>IFERROR(SUM(X179:X180),"0")</f>
        <v>36</v>
      </c>
      <c r="Y181" s="41">
        <f>IFERROR(SUM(Y179:Y180),"0")</f>
        <v>36</v>
      </c>
      <c r="Z181" s="41">
        <f>IFERROR(IF(Z179="",0,Z179),"0")+IFERROR(IF(Z180="",0,Z180),"0")</f>
        <v>0.31175999999999998</v>
      </c>
      <c r="AA181" s="64"/>
      <c r="AB181" s="64"/>
      <c r="AC181" s="64"/>
    </row>
    <row r="182" spans="1:68" x14ac:dyDescent="0.25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81</v>
      </c>
      <c r="Q182" s="281"/>
      <c r="R182" s="281"/>
      <c r="S182" s="281"/>
      <c r="T182" s="281"/>
      <c r="U182" s="281"/>
      <c r="V182" s="282"/>
      <c r="W182" s="40" t="s">
        <v>82</v>
      </c>
      <c r="X182" s="41">
        <f>IFERROR(SUMPRODUCT(X179:X180*H179:H180),"0")</f>
        <v>180</v>
      </c>
      <c r="Y182" s="41">
        <f>IFERROR(SUMPRODUCT(Y179:Y180*H179:H180),"0")</f>
        <v>180</v>
      </c>
      <c r="Z182" s="40"/>
      <c r="AA182" s="64"/>
      <c r="AB182" s="64"/>
      <c r="AC182" s="64"/>
    </row>
    <row r="183" spans="1:68" ht="14.25" customHeight="1" x14ac:dyDescent="0.25">
      <c r="A183" s="313" t="s">
        <v>261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63"/>
      <c r="AB183" s="63"/>
      <c r="AC183" s="63"/>
    </row>
    <row r="184" spans="1:68" ht="27" customHeight="1" x14ac:dyDescent="0.25">
      <c r="A184" s="60" t="s">
        <v>262</v>
      </c>
      <c r="B184" s="60" t="s">
        <v>263</v>
      </c>
      <c r="C184" s="34">
        <v>4301080153</v>
      </c>
      <c r="D184" s="291">
        <v>4607111036827</v>
      </c>
      <c r="E184" s="292"/>
      <c r="F184" s="59">
        <v>1</v>
      </c>
      <c r="G184" s="35">
        <v>5</v>
      </c>
      <c r="H184" s="59">
        <v>5</v>
      </c>
      <c r="I184" s="59">
        <v>5.2</v>
      </c>
      <c r="J184" s="35">
        <v>144</v>
      </c>
      <c r="K184" s="35" t="s">
        <v>64</v>
      </c>
      <c r="L184" s="35" t="s">
        <v>65</v>
      </c>
      <c r="M184" s="36" t="s">
        <v>66</v>
      </c>
      <c r="N184" s="36"/>
      <c r="O184" s="35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7"/>
      <c r="V184" s="37"/>
      <c r="W184" s="38" t="s">
        <v>67</v>
      </c>
      <c r="X184" s="56">
        <v>0</v>
      </c>
      <c r="Y184" s="53">
        <f>IFERROR(IF(X184="","",X184),"")</f>
        <v>0</v>
      </c>
      <c r="Z184" s="39">
        <f>IFERROR(IF(X184="","",X184*0.00866),"")</f>
        <v>0</v>
      </c>
      <c r="AA184" s="65"/>
      <c r="AB184" s="66"/>
      <c r="AC184" s="210" t="s">
        <v>264</v>
      </c>
      <c r="AG184" s="78"/>
      <c r="AJ184" s="82" t="s">
        <v>69</v>
      </c>
      <c r="AK184" s="82">
        <v>1</v>
      </c>
      <c r="BB184" s="211" t="s">
        <v>1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t="27" customHeight="1" x14ac:dyDescent="0.25">
      <c r="A185" s="60" t="s">
        <v>265</v>
      </c>
      <c r="B185" s="60" t="s">
        <v>266</v>
      </c>
      <c r="C185" s="34">
        <v>4301080154</v>
      </c>
      <c r="D185" s="291">
        <v>4607111036834</v>
      </c>
      <c r="E185" s="292"/>
      <c r="F185" s="59">
        <v>1</v>
      </c>
      <c r="G185" s="35">
        <v>5</v>
      </c>
      <c r="H185" s="59">
        <v>5</v>
      </c>
      <c r="I185" s="59">
        <v>5.2530000000000001</v>
      </c>
      <c r="J185" s="35">
        <v>144</v>
      </c>
      <c r="K185" s="35" t="s">
        <v>64</v>
      </c>
      <c r="L185" s="35" t="s">
        <v>65</v>
      </c>
      <c r="M185" s="36" t="s">
        <v>66</v>
      </c>
      <c r="N185" s="36"/>
      <c r="O185" s="35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7"/>
      <c r="V185" s="37"/>
      <c r="W185" s="38" t="s">
        <v>67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/>
      <c r="AB185" s="66"/>
      <c r="AC185" s="212" t="s">
        <v>264</v>
      </c>
      <c r="AG185" s="78"/>
      <c r="AJ185" s="82" t="s">
        <v>69</v>
      </c>
      <c r="AK185" s="82">
        <v>1</v>
      </c>
      <c r="BB185" s="213" t="s">
        <v>1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x14ac:dyDescent="0.25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81</v>
      </c>
      <c r="Q186" s="281"/>
      <c r="R186" s="281"/>
      <c r="S186" s="281"/>
      <c r="T186" s="281"/>
      <c r="U186" s="281"/>
      <c r="V186" s="282"/>
      <c r="W186" s="40" t="s">
        <v>67</v>
      </c>
      <c r="X186" s="41">
        <f>IFERROR(SUM(X184:X185),"0")</f>
        <v>0</v>
      </c>
      <c r="Y186" s="41">
        <f>IFERROR(SUM(Y184:Y185),"0")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x14ac:dyDescent="0.25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81</v>
      </c>
      <c r="Q187" s="281"/>
      <c r="R187" s="281"/>
      <c r="S187" s="281"/>
      <c r="T187" s="281"/>
      <c r="U187" s="281"/>
      <c r="V187" s="282"/>
      <c r="W187" s="40" t="s">
        <v>82</v>
      </c>
      <c r="X187" s="41">
        <f>IFERROR(SUMPRODUCT(X184:X185*H184:H185),"0")</f>
        <v>0</v>
      </c>
      <c r="Y187" s="41">
        <f>IFERROR(SUMPRODUCT(Y184:Y185*H184:H185),"0")</f>
        <v>0</v>
      </c>
      <c r="Z187" s="40"/>
      <c r="AA187" s="64"/>
      <c r="AB187" s="64"/>
      <c r="AC187" s="64"/>
    </row>
    <row r="188" spans="1:68" ht="27.75" customHeight="1" x14ac:dyDescent="0.25">
      <c r="A188" s="301" t="s">
        <v>267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52"/>
      <c r="AB188" s="52"/>
      <c r="AC188" s="52"/>
    </row>
    <row r="189" spans="1:68" ht="16.5" customHeight="1" x14ac:dyDescent="0.25">
      <c r="A189" s="283" t="s">
        <v>268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62"/>
      <c r="AB189" s="62"/>
      <c r="AC189" s="62"/>
    </row>
    <row r="190" spans="1:68" ht="14.25" customHeight="1" x14ac:dyDescent="0.25">
      <c r="A190" s="313" t="s">
        <v>91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63"/>
      <c r="AB190" s="63"/>
      <c r="AC190" s="63"/>
    </row>
    <row r="191" spans="1:68" ht="16.5" customHeight="1" x14ac:dyDescent="0.25">
      <c r="A191" s="60" t="s">
        <v>269</v>
      </c>
      <c r="B191" s="60" t="s">
        <v>270</v>
      </c>
      <c r="C191" s="34">
        <v>4301132179</v>
      </c>
      <c r="D191" s="291">
        <v>4607111035691</v>
      </c>
      <c r="E191" s="292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94</v>
      </c>
      <c r="L191" s="35" t="s">
        <v>95</v>
      </c>
      <c r="M191" s="36" t="s">
        <v>66</v>
      </c>
      <c r="N191" s="36"/>
      <c r="O191" s="35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7"/>
      <c r="V191" s="37"/>
      <c r="W191" s="38" t="s">
        <v>67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/>
      <c r="AB191" s="66"/>
      <c r="AC191" s="214" t="s">
        <v>271</v>
      </c>
      <c r="AG191" s="78"/>
      <c r="AJ191" s="82" t="s">
        <v>97</v>
      </c>
      <c r="AK191" s="82">
        <v>14</v>
      </c>
      <c r="BB191" s="215" t="s">
        <v>98</v>
      </c>
      <c r="BM191" s="78">
        <f>IFERROR(X191*I191,"0")</f>
        <v>47.432000000000002</v>
      </c>
      <c r="BN191" s="78">
        <f>IFERROR(Y191*I191,"0")</f>
        <v>47.432000000000002</v>
      </c>
      <c r="BO191" s="78">
        <f>IFERROR(X191/J191,"0")</f>
        <v>0.2</v>
      </c>
      <c r="BP191" s="78">
        <f>IFERROR(Y191/J191,"0")</f>
        <v>0.2</v>
      </c>
    </row>
    <row r="192" spans="1:68" ht="27" customHeight="1" x14ac:dyDescent="0.25">
      <c r="A192" s="60" t="s">
        <v>272</v>
      </c>
      <c r="B192" s="60" t="s">
        <v>273</v>
      </c>
      <c r="C192" s="34">
        <v>4301132182</v>
      </c>
      <c r="D192" s="291">
        <v>4607111035721</v>
      </c>
      <c r="E192" s="292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94</v>
      </c>
      <c r="L192" s="35" t="s">
        <v>95</v>
      </c>
      <c r="M192" s="36" t="s">
        <v>66</v>
      </c>
      <c r="N192" s="36"/>
      <c r="O192" s="35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7"/>
      <c r="V192" s="37"/>
      <c r="W192" s="38" t="s">
        <v>67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/>
      <c r="AB192" s="66"/>
      <c r="AC192" s="216" t="s">
        <v>274</v>
      </c>
      <c r="AG192" s="78"/>
      <c r="AJ192" s="82" t="s">
        <v>97</v>
      </c>
      <c r="AK192" s="82">
        <v>14</v>
      </c>
      <c r="BB192" s="217" t="s">
        <v>98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275</v>
      </c>
      <c r="B193" s="60" t="s">
        <v>276</v>
      </c>
      <c r="C193" s="34">
        <v>4301132170</v>
      </c>
      <c r="D193" s="291">
        <v>4607111038487</v>
      </c>
      <c r="E193" s="292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94</v>
      </c>
      <c r="L193" s="35" t="s">
        <v>95</v>
      </c>
      <c r="M193" s="36" t="s">
        <v>66</v>
      </c>
      <c r="N193" s="36"/>
      <c r="O193" s="35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7"/>
      <c r="V193" s="37"/>
      <c r="W193" s="38" t="s">
        <v>67</v>
      </c>
      <c r="X193" s="56">
        <v>28</v>
      </c>
      <c r="Y193" s="53">
        <f>IFERROR(IF(X193="","",X193),"")</f>
        <v>28</v>
      </c>
      <c r="Z193" s="39">
        <f>IFERROR(IF(X193="","",X193*0.01788),"")</f>
        <v>0.50063999999999997</v>
      </c>
      <c r="AA193" s="65"/>
      <c r="AB193" s="66"/>
      <c r="AC193" s="218" t="s">
        <v>277</v>
      </c>
      <c r="AG193" s="78"/>
      <c r="AJ193" s="82" t="s">
        <v>97</v>
      </c>
      <c r="AK193" s="82">
        <v>14</v>
      </c>
      <c r="BB193" s="219" t="s">
        <v>98</v>
      </c>
      <c r="BM193" s="78">
        <f>IFERROR(X193*I193,"0")</f>
        <v>104.608</v>
      </c>
      <c r="BN193" s="78">
        <f>IFERROR(Y193*I193,"0")</f>
        <v>104.608</v>
      </c>
      <c r="BO193" s="78">
        <f>IFERROR(X193/J193,"0")</f>
        <v>0.4</v>
      </c>
      <c r="BP193" s="78">
        <f>IFERROR(Y193/J193,"0")</f>
        <v>0.4</v>
      </c>
    </row>
    <row r="194" spans="1:68" ht="27" customHeight="1" x14ac:dyDescent="0.25">
      <c r="A194" s="60" t="s">
        <v>278</v>
      </c>
      <c r="B194" s="60" t="s">
        <v>279</v>
      </c>
      <c r="C194" s="34">
        <v>4301132243</v>
      </c>
      <c r="D194" s="291">
        <v>4620207491195</v>
      </c>
      <c r="E194" s="292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94</v>
      </c>
      <c r="L194" s="35" t="s">
        <v>65</v>
      </c>
      <c r="M194" s="36" t="s">
        <v>66</v>
      </c>
      <c r="N194" s="36"/>
      <c r="O194" s="35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7"/>
      <c r="V194" s="37"/>
      <c r="W194" s="38" t="s">
        <v>67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/>
      <c r="AB194" s="66"/>
      <c r="AC194" s="220" t="s">
        <v>280</v>
      </c>
      <c r="AG194" s="78"/>
      <c r="AJ194" s="82" t="s">
        <v>69</v>
      </c>
      <c r="AK194" s="82">
        <v>1</v>
      </c>
      <c r="BB194" s="221" t="s">
        <v>98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x14ac:dyDescent="0.25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81</v>
      </c>
      <c r="Q195" s="281"/>
      <c r="R195" s="281"/>
      <c r="S195" s="281"/>
      <c r="T195" s="281"/>
      <c r="U195" s="281"/>
      <c r="V195" s="282"/>
      <c r="W195" s="40" t="s">
        <v>67</v>
      </c>
      <c r="X195" s="41">
        <f>IFERROR(SUM(X191:X194),"0")</f>
        <v>42</v>
      </c>
      <c r="Y195" s="41">
        <f>IFERROR(SUM(Y191:Y194),"0")</f>
        <v>42</v>
      </c>
      <c r="Z195" s="41">
        <f>IFERROR(IF(Z191="",0,Z191),"0")+IFERROR(IF(Z192="",0,Z192),"0")+IFERROR(IF(Z193="",0,Z193),"0")+IFERROR(IF(Z194="",0,Z194),"0")</f>
        <v>0.75095999999999996</v>
      </c>
      <c r="AA195" s="64"/>
      <c r="AB195" s="64"/>
      <c r="AC195" s="64"/>
    </row>
    <row r="196" spans="1:68" x14ac:dyDescent="0.25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81</v>
      </c>
      <c r="Q196" s="281"/>
      <c r="R196" s="281"/>
      <c r="S196" s="281"/>
      <c r="T196" s="281"/>
      <c r="U196" s="281"/>
      <c r="V196" s="282"/>
      <c r="W196" s="40" t="s">
        <v>82</v>
      </c>
      <c r="X196" s="41">
        <f>IFERROR(SUMPRODUCT(X191:X194*H191:H194),"0")</f>
        <v>126</v>
      </c>
      <c r="Y196" s="41">
        <f>IFERROR(SUMPRODUCT(Y191:Y194*H191:H194),"0")</f>
        <v>126</v>
      </c>
      <c r="Z196" s="40"/>
      <c r="AA196" s="64"/>
      <c r="AB196" s="64"/>
      <c r="AC196" s="64"/>
    </row>
    <row r="197" spans="1:68" ht="27.75" customHeight="1" x14ac:dyDescent="0.25">
      <c r="A197" s="301" t="s">
        <v>281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52"/>
      <c r="AB197" s="52"/>
      <c r="AC197" s="52"/>
    </row>
    <row r="198" spans="1:68" ht="16.5" customHeight="1" x14ac:dyDescent="0.25">
      <c r="A198" s="283" t="s">
        <v>282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62"/>
      <c r="AB198" s="62"/>
      <c r="AC198" s="62"/>
    </row>
    <row r="199" spans="1:68" ht="14.25" customHeight="1" x14ac:dyDescent="0.25">
      <c r="A199" s="313" t="s">
        <v>91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63"/>
      <c r="AB199" s="63"/>
      <c r="AC199" s="63"/>
    </row>
    <row r="200" spans="1:68" ht="27" customHeight="1" x14ac:dyDescent="0.25">
      <c r="A200" s="60" t="s">
        <v>283</v>
      </c>
      <c r="B200" s="60" t="s">
        <v>284</v>
      </c>
      <c r="C200" s="34">
        <v>4301132227</v>
      </c>
      <c r="D200" s="291">
        <v>4620207491133</v>
      </c>
      <c r="E200" s="292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94</v>
      </c>
      <c r="L200" s="35" t="s">
        <v>95</v>
      </c>
      <c r="M200" s="36" t="s">
        <v>66</v>
      </c>
      <c r="N200" s="36"/>
      <c r="O200" s="35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7"/>
      <c r="V200" s="37"/>
      <c r="W200" s="38" t="s">
        <v>67</v>
      </c>
      <c r="X200" s="56">
        <v>28</v>
      </c>
      <c r="Y200" s="53">
        <f>IFERROR(IF(X200="","",X200),"")</f>
        <v>28</v>
      </c>
      <c r="Z200" s="39">
        <f>IFERROR(IF(X200="","",X200*0.01788),"")</f>
        <v>0.50063999999999997</v>
      </c>
      <c r="AA200" s="65"/>
      <c r="AB200" s="66"/>
      <c r="AC200" s="222" t="s">
        <v>285</v>
      </c>
      <c r="AG200" s="78"/>
      <c r="AJ200" s="82" t="s">
        <v>97</v>
      </c>
      <c r="AK200" s="82">
        <v>14</v>
      </c>
      <c r="BB200" s="223" t="s">
        <v>98</v>
      </c>
      <c r="BM200" s="78">
        <f>IFERROR(X200*I200,"0")</f>
        <v>83.44</v>
      </c>
      <c r="BN200" s="78">
        <f>IFERROR(Y200*I200,"0")</f>
        <v>83.44</v>
      </c>
      <c r="BO200" s="78">
        <f>IFERROR(X200/J200,"0")</f>
        <v>0.4</v>
      </c>
      <c r="BP200" s="78">
        <f>IFERROR(Y200/J200,"0")</f>
        <v>0.4</v>
      </c>
    </row>
    <row r="201" spans="1:68" x14ac:dyDescent="0.25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81</v>
      </c>
      <c r="Q201" s="281"/>
      <c r="R201" s="281"/>
      <c r="S201" s="281"/>
      <c r="T201" s="281"/>
      <c r="U201" s="281"/>
      <c r="V201" s="282"/>
      <c r="W201" s="40" t="s">
        <v>67</v>
      </c>
      <c r="X201" s="41">
        <f>IFERROR(SUM(X200:X200),"0")</f>
        <v>28</v>
      </c>
      <c r="Y201" s="41">
        <f>IFERROR(SUM(Y200:Y200),"0")</f>
        <v>28</v>
      </c>
      <c r="Z201" s="41">
        <f>IFERROR(IF(Z200="",0,Z200),"0")</f>
        <v>0.50063999999999997</v>
      </c>
      <c r="AA201" s="64"/>
      <c r="AB201" s="64"/>
      <c r="AC201" s="64"/>
    </row>
    <row r="202" spans="1:68" x14ac:dyDescent="0.25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81</v>
      </c>
      <c r="Q202" s="281"/>
      <c r="R202" s="281"/>
      <c r="S202" s="281"/>
      <c r="T202" s="281"/>
      <c r="U202" s="281"/>
      <c r="V202" s="282"/>
      <c r="W202" s="40" t="s">
        <v>82</v>
      </c>
      <c r="X202" s="41">
        <f>IFERROR(SUMPRODUCT(X200:X200*H200:H200),"0")</f>
        <v>77.28</v>
      </c>
      <c r="Y202" s="41">
        <f>IFERROR(SUMPRODUCT(Y200:Y200*H200:H200),"0")</f>
        <v>77.28</v>
      </c>
      <c r="Z202" s="40"/>
      <c r="AA202" s="64"/>
      <c r="AB202" s="64"/>
      <c r="AC202" s="64"/>
    </row>
    <row r="203" spans="1:68" ht="14.25" customHeight="1" x14ac:dyDescent="0.25">
      <c r="A203" s="313" t="s">
        <v>135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63"/>
      <c r="AB203" s="63"/>
      <c r="AC203" s="63"/>
    </row>
    <row r="204" spans="1:68" ht="27" customHeight="1" x14ac:dyDescent="0.25">
      <c r="A204" s="60" t="s">
        <v>286</v>
      </c>
      <c r="B204" s="60" t="s">
        <v>287</v>
      </c>
      <c r="C204" s="34">
        <v>4301135834</v>
      </c>
      <c r="D204" s="291">
        <v>4620207491188</v>
      </c>
      <c r="E204" s="29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94</v>
      </c>
      <c r="L204" s="35" t="s">
        <v>65</v>
      </c>
      <c r="M204" s="36" t="s">
        <v>66</v>
      </c>
      <c r="N204" s="36"/>
      <c r="O204" s="35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7"/>
      <c r="V204" s="37"/>
      <c r="W204" s="38" t="s">
        <v>67</v>
      </c>
      <c r="X204" s="56">
        <v>14</v>
      </c>
      <c r="Y204" s="53">
        <f>IFERROR(IF(X204="","",X204),"")</f>
        <v>14</v>
      </c>
      <c r="Z204" s="39">
        <f>IFERROR(IF(X204="","",X204*0.01788),"")</f>
        <v>0.25031999999999999</v>
      </c>
      <c r="AA204" s="65"/>
      <c r="AB204" s="66"/>
      <c r="AC204" s="224" t="s">
        <v>288</v>
      </c>
      <c r="AG204" s="78"/>
      <c r="AJ204" s="82" t="s">
        <v>69</v>
      </c>
      <c r="AK204" s="82">
        <v>1</v>
      </c>
      <c r="BB204" s="225" t="s">
        <v>98</v>
      </c>
      <c r="BM204" s="78">
        <f>IFERROR(X204*I204,"0")</f>
        <v>43.450400000000002</v>
      </c>
      <c r="BN204" s="78">
        <f>IFERROR(Y204*I204,"0")</f>
        <v>43.450400000000002</v>
      </c>
      <c r="BO204" s="78">
        <f>IFERROR(X204/J204,"0")</f>
        <v>0.2</v>
      </c>
      <c r="BP204" s="78">
        <f>IFERROR(Y204/J204,"0")</f>
        <v>0.2</v>
      </c>
    </row>
    <row r="205" spans="1:68" ht="27" customHeight="1" x14ac:dyDescent="0.25">
      <c r="A205" s="60" t="s">
        <v>289</v>
      </c>
      <c r="B205" s="60" t="s">
        <v>290</v>
      </c>
      <c r="C205" s="34">
        <v>4301135829</v>
      </c>
      <c r="D205" s="291">
        <v>4620207490235</v>
      </c>
      <c r="E205" s="292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94</v>
      </c>
      <c r="L205" s="35" t="s">
        <v>65</v>
      </c>
      <c r="M205" s="36" t="s">
        <v>66</v>
      </c>
      <c r="N205" s="36"/>
      <c r="O205" s="35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7"/>
      <c r="V205" s="37"/>
      <c r="W205" s="38" t="s">
        <v>67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/>
      <c r="AB205" s="66"/>
      <c r="AC205" s="226" t="s">
        <v>291</v>
      </c>
      <c r="AG205" s="78"/>
      <c r="AJ205" s="82" t="s">
        <v>69</v>
      </c>
      <c r="AK205" s="82">
        <v>1</v>
      </c>
      <c r="BB205" s="227" t="s">
        <v>98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customHeight="1" x14ac:dyDescent="0.25">
      <c r="A206" s="60" t="s">
        <v>292</v>
      </c>
      <c r="B206" s="60" t="s">
        <v>293</v>
      </c>
      <c r="C206" s="34">
        <v>4301135697</v>
      </c>
      <c r="D206" s="291">
        <v>4620207490259</v>
      </c>
      <c r="E206" s="292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94</v>
      </c>
      <c r="L206" s="35" t="s">
        <v>95</v>
      </c>
      <c r="M206" s="36" t="s">
        <v>66</v>
      </c>
      <c r="N206" s="36"/>
      <c r="O206" s="35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7"/>
      <c r="V206" s="37"/>
      <c r="W206" s="38" t="s">
        <v>67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/>
      <c r="AB206" s="66"/>
      <c r="AC206" s="228" t="s">
        <v>294</v>
      </c>
      <c r="AG206" s="78"/>
      <c r="AJ206" s="82" t="s">
        <v>97</v>
      </c>
      <c r="AK206" s="82">
        <v>14</v>
      </c>
      <c r="BB206" s="229" t="s">
        <v>98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x14ac:dyDescent="0.25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81</v>
      </c>
      <c r="Q207" s="281"/>
      <c r="R207" s="281"/>
      <c r="S207" s="281"/>
      <c r="T207" s="281"/>
      <c r="U207" s="281"/>
      <c r="V207" s="282"/>
      <c r="W207" s="40" t="s">
        <v>67</v>
      </c>
      <c r="X207" s="41">
        <f>IFERROR(SUM(X204:X206),"0")</f>
        <v>14</v>
      </c>
      <c r="Y207" s="41">
        <f>IFERROR(SUM(Y204:Y206),"0")</f>
        <v>14</v>
      </c>
      <c r="Z207" s="41">
        <f>IFERROR(IF(Z204="",0,Z204),"0")+IFERROR(IF(Z205="",0,Z205),"0")+IFERROR(IF(Z206="",0,Z206),"0")</f>
        <v>0.25031999999999999</v>
      </c>
      <c r="AA207" s="64"/>
      <c r="AB207" s="64"/>
      <c r="AC207" s="64"/>
    </row>
    <row r="208" spans="1:68" x14ac:dyDescent="0.25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81</v>
      </c>
      <c r="Q208" s="281"/>
      <c r="R208" s="281"/>
      <c r="S208" s="281"/>
      <c r="T208" s="281"/>
      <c r="U208" s="281"/>
      <c r="V208" s="282"/>
      <c r="W208" s="40" t="s">
        <v>82</v>
      </c>
      <c r="X208" s="41">
        <f>IFERROR(SUMPRODUCT(X204:X206*H204:H206),"0")</f>
        <v>33.6</v>
      </c>
      <c r="Y208" s="41">
        <f>IFERROR(SUMPRODUCT(Y204:Y206*H204:H206),"0")</f>
        <v>33.6</v>
      </c>
      <c r="Z208" s="40"/>
      <c r="AA208" s="64"/>
      <c r="AB208" s="64"/>
      <c r="AC208" s="64"/>
    </row>
    <row r="209" spans="1:68" ht="16.5" customHeight="1" x14ac:dyDescent="0.25">
      <c r="A209" s="283" t="s">
        <v>295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62"/>
      <c r="AB209" s="62"/>
      <c r="AC209" s="62"/>
    </row>
    <row r="210" spans="1:68" ht="14.25" customHeight="1" x14ac:dyDescent="0.25">
      <c r="A210" s="313" t="s">
        <v>135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63"/>
      <c r="AB210" s="63"/>
      <c r="AC210" s="63"/>
    </row>
    <row r="211" spans="1:68" ht="27" customHeight="1" x14ac:dyDescent="0.25">
      <c r="A211" s="60" t="s">
        <v>296</v>
      </c>
      <c r="B211" s="60" t="s">
        <v>297</v>
      </c>
      <c r="C211" s="34">
        <v>4301135854</v>
      </c>
      <c r="D211" s="291">
        <v>4620207491706</v>
      </c>
      <c r="E211" s="292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94</v>
      </c>
      <c r="L211" s="35" t="s">
        <v>65</v>
      </c>
      <c r="M211" s="36" t="s">
        <v>66</v>
      </c>
      <c r="N211" s="36"/>
      <c r="O211" s="35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7"/>
      <c r="V211" s="37"/>
      <c r="W211" s="38" t="s">
        <v>67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/>
      <c r="AB211" s="66"/>
      <c r="AC211" s="230" t="s">
        <v>298</v>
      </c>
      <c r="AG211" s="78"/>
      <c r="AJ211" s="82" t="s">
        <v>69</v>
      </c>
      <c r="AK211" s="82">
        <v>1</v>
      </c>
      <c r="BB211" s="231" t="s">
        <v>98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customHeight="1" x14ac:dyDescent="0.25">
      <c r="A212" s="60" t="s">
        <v>299</v>
      </c>
      <c r="B212" s="60" t="s">
        <v>300</v>
      </c>
      <c r="C212" s="34">
        <v>4301135895</v>
      </c>
      <c r="D212" s="291">
        <v>4620207491522</v>
      </c>
      <c r="E212" s="292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94</v>
      </c>
      <c r="L212" s="35" t="s">
        <v>65</v>
      </c>
      <c r="M212" s="36" t="s">
        <v>66</v>
      </c>
      <c r="N212" s="36"/>
      <c r="O212" s="35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7"/>
      <c r="V212" s="37"/>
      <c r="W212" s="38" t="s">
        <v>67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/>
      <c r="AB212" s="66"/>
      <c r="AC212" s="232" t="s">
        <v>301</v>
      </c>
      <c r="AG212" s="78"/>
      <c r="AJ212" s="82" t="s">
        <v>69</v>
      </c>
      <c r="AK212" s="82">
        <v>1</v>
      </c>
      <c r="BB212" s="233" t="s">
        <v>98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x14ac:dyDescent="0.25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81</v>
      </c>
      <c r="Q213" s="281"/>
      <c r="R213" s="281"/>
      <c r="S213" s="281"/>
      <c r="T213" s="281"/>
      <c r="U213" s="281"/>
      <c r="V213" s="282"/>
      <c r="W213" s="40" t="s">
        <v>67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x14ac:dyDescent="0.25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81</v>
      </c>
      <c r="Q214" s="281"/>
      <c r="R214" s="281"/>
      <c r="S214" s="281"/>
      <c r="T214" s="281"/>
      <c r="U214" s="281"/>
      <c r="V214" s="282"/>
      <c r="W214" s="40" t="s">
        <v>82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customHeight="1" x14ac:dyDescent="0.25">
      <c r="A215" s="283" t="s">
        <v>302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62"/>
      <c r="AB215" s="62"/>
      <c r="AC215" s="62"/>
    </row>
    <row r="216" spans="1:68" ht="14.25" customHeight="1" x14ac:dyDescent="0.25">
      <c r="A216" s="313" t="s">
        <v>61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63"/>
      <c r="AB216" s="63"/>
      <c r="AC216" s="63"/>
    </row>
    <row r="217" spans="1:68" ht="27" customHeight="1" x14ac:dyDescent="0.25">
      <c r="A217" s="60" t="s">
        <v>303</v>
      </c>
      <c r="B217" s="60" t="s">
        <v>304</v>
      </c>
      <c r="C217" s="34">
        <v>4301071097</v>
      </c>
      <c r="D217" s="291">
        <v>4620207491096</v>
      </c>
      <c r="E217" s="292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64</v>
      </c>
      <c r="L217" s="35" t="s">
        <v>95</v>
      </c>
      <c r="M217" s="36" t="s">
        <v>66</v>
      </c>
      <c r="N217" s="36"/>
      <c r="O217" s="35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7"/>
      <c r="V217" s="37"/>
      <c r="W217" s="38" t="s">
        <v>67</v>
      </c>
      <c r="X217" s="56">
        <v>36</v>
      </c>
      <c r="Y217" s="53">
        <f>IFERROR(IF(X217="","",X217),"")</f>
        <v>36</v>
      </c>
      <c r="Z217" s="39">
        <f>IFERROR(IF(X217="","",X217*0.0155),"")</f>
        <v>0.55800000000000005</v>
      </c>
      <c r="AA217" s="65"/>
      <c r="AB217" s="66"/>
      <c r="AC217" s="234" t="s">
        <v>305</v>
      </c>
      <c r="AG217" s="78"/>
      <c r="AJ217" s="82" t="s">
        <v>97</v>
      </c>
      <c r="AK217" s="82">
        <v>12</v>
      </c>
      <c r="BB217" s="235" t="s">
        <v>1</v>
      </c>
      <c r="BM217" s="78">
        <f>IFERROR(X217*I217,"0")</f>
        <v>188.28000000000003</v>
      </c>
      <c r="BN217" s="78">
        <f>IFERROR(Y217*I217,"0")</f>
        <v>188.28000000000003</v>
      </c>
      <c r="BO217" s="78">
        <f>IFERROR(X217/J217,"0")</f>
        <v>0.42857142857142855</v>
      </c>
      <c r="BP217" s="78">
        <f>IFERROR(Y217/J217,"0")</f>
        <v>0.42857142857142855</v>
      </c>
    </row>
    <row r="218" spans="1:68" x14ac:dyDescent="0.25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81</v>
      </c>
      <c r="Q218" s="281"/>
      <c r="R218" s="281"/>
      <c r="S218" s="281"/>
      <c r="T218" s="281"/>
      <c r="U218" s="281"/>
      <c r="V218" s="282"/>
      <c r="W218" s="40" t="s">
        <v>67</v>
      </c>
      <c r="X218" s="41">
        <f>IFERROR(SUM(X217:X217),"0")</f>
        <v>36</v>
      </c>
      <c r="Y218" s="41">
        <f>IFERROR(SUM(Y217:Y217),"0")</f>
        <v>36</v>
      </c>
      <c r="Z218" s="41">
        <f>IFERROR(IF(Z217="",0,Z217),"0")</f>
        <v>0.55800000000000005</v>
      </c>
      <c r="AA218" s="64"/>
      <c r="AB218" s="64"/>
      <c r="AC218" s="64"/>
    </row>
    <row r="219" spans="1:68" x14ac:dyDescent="0.25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81</v>
      </c>
      <c r="Q219" s="281"/>
      <c r="R219" s="281"/>
      <c r="S219" s="281"/>
      <c r="T219" s="281"/>
      <c r="U219" s="281"/>
      <c r="V219" s="282"/>
      <c r="W219" s="40" t="s">
        <v>82</v>
      </c>
      <c r="X219" s="41">
        <f>IFERROR(SUMPRODUCT(X217:X217*H217:H217),"0")</f>
        <v>180</v>
      </c>
      <c r="Y219" s="41">
        <f>IFERROR(SUMPRODUCT(Y217:Y217*H217:H217),"0")</f>
        <v>180</v>
      </c>
      <c r="Z219" s="40"/>
      <c r="AA219" s="64"/>
      <c r="AB219" s="64"/>
      <c r="AC219" s="64"/>
    </row>
    <row r="220" spans="1:68" ht="16.5" customHeight="1" x14ac:dyDescent="0.25">
      <c r="A220" s="283" t="s">
        <v>306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62"/>
      <c r="AB220" s="62"/>
      <c r="AC220" s="62"/>
    </row>
    <row r="221" spans="1:68" ht="14.25" customHeight="1" x14ac:dyDescent="0.25">
      <c r="A221" s="313" t="s">
        <v>135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63"/>
      <c r="AB221" s="63"/>
      <c r="AC221" s="63"/>
    </row>
    <row r="222" spans="1:68" ht="27" customHeight="1" x14ac:dyDescent="0.25">
      <c r="A222" s="60" t="s">
        <v>307</v>
      </c>
      <c r="B222" s="60" t="s">
        <v>308</v>
      </c>
      <c r="C222" s="34">
        <v>4301135694</v>
      </c>
      <c r="D222" s="291">
        <v>4620207490501</v>
      </c>
      <c r="E222" s="292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94</v>
      </c>
      <c r="L222" s="35" t="s">
        <v>65</v>
      </c>
      <c r="M222" s="36" t="s">
        <v>66</v>
      </c>
      <c r="N222" s="36"/>
      <c r="O222" s="35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7"/>
      <c r="V222" s="37"/>
      <c r="W222" s="38" t="s">
        <v>67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/>
      <c r="AB222" s="66"/>
      <c r="AC222" s="236" t="s">
        <v>309</v>
      </c>
      <c r="AG222" s="78"/>
      <c r="AJ222" s="82" t="s">
        <v>69</v>
      </c>
      <c r="AK222" s="82">
        <v>1</v>
      </c>
      <c r="BB222" s="237" t="s">
        <v>98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x14ac:dyDescent="0.25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81</v>
      </c>
      <c r="Q223" s="281"/>
      <c r="R223" s="281"/>
      <c r="S223" s="281"/>
      <c r="T223" s="281"/>
      <c r="U223" s="281"/>
      <c r="V223" s="282"/>
      <c r="W223" s="40" t="s">
        <v>67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x14ac:dyDescent="0.25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81</v>
      </c>
      <c r="Q224" s="281"/>
      <c r="R224" s="281"/>
      <c r="S224" s="281"/>
      <c r="T224" s="281"/>
      <c r="U224" s="281"/>
      <c r="V224" s="282"/>
      <c r="W224" s="40" t="s">
        <v>82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customHeight="1" x14ac:dyDescent="0.25">
      <c r="A225" s="301" t="s">
        <v>310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52"/>
      <c r="AB225" s="52"/>
      <c r="AC225" s="52"/>
    </row>
    <row r="226" spans="1:68" ht="16.5" customHeight="1" x14ac:dyDescent="0.25">
      <c r="A226" s="283" t="s">
        <v>311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62"/>
      <c r="AB226" s="62"/>
      <c r="AC226" s="62"/>
    </row>
    <row r="227" spans="1:68" ht="14.25" customHeight="1" x14ac:dyDescent="0.25">
      <c r="A227" s="313" t="s">
        <v>61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63"/>
      <c r="AB227" s="63"/>
      <c r="AC227" s="63"/>
    </row>
    <row r="228" spans="1:68" ht="27" customHeight="1" x14ac:dyDescent="0.25">
      <c r="A228" s="60" t="s">
        <v>312</v>
      </c>
      <c r="B228" s="60" t="s">
        <v>313</v>
      </c>
      <c r="C228" s="34">
        <v>4301071036</v>
      </c>
      <c r="D228" s="291">
        <v>4607111036162</v>
      </c>
      <c r="E228" s="292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64</v>
      </c>
      <c r="L228" s="35" t="s">
        <v>65</v>
      </c>
      <c r="M228" s="36" t="s">
        <v>66</v>
      </c>
      <c r="N228" s="36"/>
      <c r="O228" s="35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7"/>
      <c r="V228" s="37"/>
      <c r="W228" s="38" t="s">
        <v>67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/>
      <c r="AB228" s="66"/>
      <c r="AC228" s="238" t="s">
        <v>314</v>
      </c>
      <c r="AG228" s="78"/>
      <c r="AJ228" s="82" t="s">
        <v>69</v>
      </c>
      <c r="AK228" s="82">
        <v>1</v>
      </c>
      <c r="BB228" s="239" t="s">
        <v>1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x14ac:dyDescent="0.25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81</v>
      </c>
      <c r="Q229" s="281"/>
      <c r="R229" s="281"/>
      <c r="S229" s="281"/>
      <c r="T229" s="281"/>
      <c r="U229" s="281"/>
      <c r="V229" s="282"/>
      <c r="W229" s="40" t="s">
        <v>67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x14ac:dyDescent="0.25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81</v>
      </c>
      <c r="Q230" s="281"/>
      <c r="R230" s="281"/>
      <c r="S230" s="281"/>
      <c r="T230" s="281"/>
      <c r="U230" s="281"/>
      <c r="V230" s="282"/>
      <c r="W230" s="40" t="s">
        <v>82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customHeight="1" x14ac:dyDescent="0.25">
      <c r="A231" s="301" t="s">
        <v>315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52"/>
      <c r="AB231" s="52"/>
      <c r="AC231" s="52"/>
    </row>
    <row r="232" spans="1:68" ht="16.5" customHeight="1" x14ac:dyDescent="0.25">
      <c r="A232" s="283" t="s">
        <v>316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62"/>
      <c r="AB232" s="62"/>
      <c r="AC232" s="62"/>
    </row>
    <row r="233" spans="1:68" ht="14.25" customHeight="1" x14ac:dyDescent="0.25">
      <c r="A233" s="313" t="s">
        <v>61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63"/>
      <c r="AB233" s="63"/>
      <c r="AC233" s="63"/>
    </row>
    <row r="234" spans="1:68" ht="27" customHeight="1" x14ac:dyDescent="0.25">
      <c r="A234" s="60" t="s">
        <v>317</v>
      </c>
      <c r="B234" s="60" t="s">
        <v>318</v>
      </c>
      <c r="C234" s="34">
        <v>4301071029</v>
      </c>
      <c r="D234" s="291">
        <v>4607111035899</v>
      </c>
      <c r="E234" s="292"/>
      <c r="F234" s="59">
        <v>1</v>
      </c>
      <c r="G234" s="35">
        <v>5</v>
      </c>
      <c r="H234" s="59">
        <v>5</v>
      </c>
      <c r="I234" s="59">
        <v>5.2619999999999996</v>
      </c>
      <c r="J234" s="35">
        <v>84</v>
      </c>
      <c r="K234" s="35" t="s">
        <v>64</v>
      </c>
      <c r="L234" s="35" t="s">
        <v>95</v>
      </c>
      <c r="M234" s="36" t="s">
        <v>66</v>
      </c>
      <c r="N234" s="36"/>
      <c r="O234" s="35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7"/>
      <c r="V234" s="37"/>
      <c r="W234" s="38" t="s">
        <v>67</v>
      </c>
      <c r="X234" s="56">
        <v>24</v>
      </c>
      <c r="Y234" s="53">
        <f>IFERROR(IF(X234="","",X234),"")</f>
        <v>24</v>
      </c>
      <c r="Z234" s="39">
        <f>IFERROR(IF(X234="","",X234*0.0155),"")</f>
        <v>0.372</v>
      </c>
      <c r="AA234" s="65"/>
      <c r="AB234" s="66"/>
      <c r="AC234" s="240" t="s">
        <v>260</v>
      </c>
      <c r="AG234" s="78"/>
      <c r="AJ234" s="82" t="s">
        <v>97</v>
      </c>
      <c r="AK234" s="82">
        <v>12</v>
      </c>
      <c r="BB234" s="241" t="s">
        <v>1</v>
      </c>
      <c r="BM234" s="78">
        <f>IFERROR(X234*I234,"0")</f>
        <v>126.28799999999998</v>
      </c>
      <c r="BN234" s="78">
        <f>IFERROR(Y234*I234,"0")</f>
        <v>126.28799999999998</v>
      </c>
      <c r="BO234" s="78">
        <f>IFERROR(X234/J234,"0")</f>
        <v>0.2857142857142857</v>
      </c>
      <c r="BP234" s="78">
        <f>IFERROR(Y234/J234,"0")</f>
        <v>0.2857142857142857</v>
      </c>
    </row>
    <row r="235" spans="1:68" x14ac:dyDescent="0.25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81</v>
      </c>
      <c r="Q235" s="281"/>
      <c r="R235" s="281"/>
      <c r="S235" s="281"/>
      <c r="T235" s="281"/>
      <c r="U235" s="281"/>
      <c r="V235" s="282"/>
      <c r="W235" s="40" t="s">
        <v>67</v>
      </c>
      <c r="X235" s="41">
        <f>IFERROR(SUM(X234:X234),"0")</f>
        <v>24</v>
      </c>
      <c r="Y235" s="41">
        <f>IFERROR(SUM(Y234:Y234),"0")</f>
        <v>24</v>
      </c>
      <c r="Z235" s="41">
        <f>IFERROR(IF(Z234="",0,Z234),"0")</f>
        <v>0.372</v>
      </c>
      <c r="AA235" s="64"/>
      <c r="AB235" s="64"/>
      <c r="AC235" s="64"/>
    </row>
    <row r="236" spans="1:68" x14ac:dyDescent="0.25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81</v>
      </c>
      <c r="Q236" s="281"/>
      <c r="R236" s="281"/>
      <c r="S236" s="281"/>
      <c r="T236" s="281"/>
      <c r="U236" s="281"/>
      <c r="V236" s="282"/>
      <c r="W236" s="40" t="s">
        <v>82</v>
      </c>
      <c r="X236" s="41">
        <f>IFERROR(SUMPRODUCT(X234:X234*H234:H234),"0")</f>
        <v>120</v>
      </c>
      <c r="Y236" s="41">
        <f>IFERROR(SUMPRODUCT(Y234:Y234*H234:H234),"0")</f>
        <v>120</v>
      </c>
      <c r="Z236" s="40"/>
      <c r="AA236" s="64"/>
      <c r="AB236" s="64"/>
      <c r="AC236" s="64"/>
    </row>
    <row r="237" spans="1:68" ht="27.75" customHeight="1" x14ac:dyDescent="0.25">
      <c r="A237" s="301" t="s">
        <v>319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52"/>
      <c r="AB237" s="52"/>
      <c r="AC237" s="52"/>
    </row>
    <row r="238" spans="1:68" ht="16.5" customHeight="1" x14ac:dyDescent="0.25">
      <c r="A238" s="283" t="s">
        <v>320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62"/>
      <c r="AB238" s="62"/>
      <c r="AC238" s="62"/>
    </row>
    <row r="239" spans="1:68" ht="14.25" customHeight="1" x14ac:dyDescent="0.25">
      <c r="A239" s="313" t="s">
        <v>321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63"/>
      <c r="AB239" s="63"/>
      <c r="AC239" s="63"/>
    </row>
    <row r="240" spans="1:68" ht="27" customHeight="1" x14ac:dyDescent="0.25">
      <c r="A240" s="60" t="s">
        <v>322</v>
      </c>
      <c r="B240" s="60" t="s">
        <v>323</v>
      </c>
      <c r="C240" s="34">
        <v>4301133004</v>
      </c>
      <c r="D240" s="291">
        <v>4607111039774</v>
      </c>
      <c r="E240" s="292"/>
      <c r="F240" s="59">
        <v>0.25</v>
      </c>
      <c r="G240" s="35">
        <v>12</v>
      </c>
      <c r="H240" s="59">
        <v>3</v>
      </c>
      <c r="I240" s="59">
        <v>3.22</v>
      </c>
      <c r="J240" s="35">
        <v>70</v>
      </c>
      <c r="K240" s="35" t="s">
        <v>94</v>
      </c>
      <c r="L240" s="35" t="s">
        <v>65</v>
      </c>
      <c r="M240" s="36" t="s">
        <v>66</v>
      </c>
      <c r="N240" s="36"/>
      <c r="O240" s="35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7"/>
      <c r="V240" s="37"/>
      <c r="W240" s="38" t="s">
        <v>67</v>
      </c>
      <c r="X240" s="56">
        <v>0</v>
      </c>
      <c r="Y240" s="53">
        <f>IFERROR(IF(X240="","",X240),"")</f>
        <v>0</v>
      </c>
      <c r="Z240" s="39">
        <f>IFERROR(IF(X240="","",X240*0.01788),"")</f>
        <v>0</v>
      </c>
      <c r="AA240" s="65"/>
      <c r="AB240" s="66"/>
      <c r="AC240" s="242" t="s">
        <v>324</v>
      </c>
      <c r="AG240" s="78"/>
      <c r="AJ240" s="82" t="s">
        <v>69</v>
      </c>
      <c r="AK240" s="82">
        <v>1</v>
      </c>
      <c r="BB240" s="243" t="s">
        <v>98</v>
      </c>
      <c r="BM240" s="78">
        <f>IFERROR(X240*I240,"0")</f>
        <v>0</v>
      </c>
      <c r="BN240" s="78">
        <f>IFERROR(Y240*I240,"0")</f>
        <v>0</v>
      </c>
      <c r="BO240" s="78">
        <f>IFERROR(X240/J240,"0")</f>
        <v>0</v>
      </c>
      <c r="BP240" s="78">
        <f>IFERROR(Y240/J240,"0")</f>
        <v>0</v>
      </c>
    </row>
    <row r="241" spans="1:68" x14ac:dyDescent="0.25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81</v>
      </c>
      <c r="Q241" s="281"/>
      <c r="R241" s="281"/>
      <c r="S241" s="281"/>
      <c r="T241" s="281"/>
      <c r="U241" s="281"/>
      <c r="V241" s="282"/>
      <c r="W241" s="40" t="s">
        <v>67</v>
      </c>
      <c r="X241" s="41">
        <f>IFERROR(SUM(X240:X240),"0")</f>
        <v>0</v>
      </c>
      <c r="Y241" s="41">
        <f>IFERROR(SUM(Y240:Y240),"0")</f>
        <v>0</v>
      </c>
      <c r="Z241" s="41">
        <f>IFERROR(IF(Z240="",0,Z240),"0")</f>
        <v>0</v>
      </c>
      <c r="AA241" s="64"/>
      <c r="AB241" s="64"/>
      <c r="AC241" s="64"/>
    </row>
    <row r="242" spans="1:68" x14ac:dyDescent="0.25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81</v>
      </c>
      <c r="Q242" s="281"/>
      <c r="R242" s="281"/>
      <c r="S242" s="281"/>
      <c r="T242" s="281"/>
      <c r="U242" s="281"/>
      <c r="V242" s="282"/>
      <c r="W242" s="40" t="s">
        <v>82</v>
      </c>
      <c r="X242" s="41">
        <f>IFERROR(SUMPRODUCT(X240:X240*H240:H240),"0")</f>
        <v>0</v>
      </c>
      <c r="Y242" s="41">
        <f>IFERROR(SUMPRODUCT(Y240:Y240*H240:H240),"0")</f>
        <v>0</v>
      </c>
      <c r="Z242" s="40"/>
      <c r="AA242" s="64"/>
      <c r="AB242" s="64"/>
      <c r="AC242" s="64"/>
    </row>
    <row r="243" spans="1:68" ht="14.25" customHeight="1" x14ac:dyDescent="0.25">
      <c r="A243" s="313" t="s">
        <v>135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63"/>
      <c r="AB243" s="63"/>
      <c r="AC243" s="63"/>
    </row>
    <row r="244" spans="1:68" ht="37.5" customHeight="1" x14ac:dyDescent="0.25">
      <c r="A244" s="60" t="s">
        <v>325</v>
      </c>
      <c r="B244" s="60" t="s">
        <v>326</v>
      </c>
      <c r="C244" s="34">
        <v>4301135400</v>
      </c>
      <c r="D244" s="291">
        <v>4607111039361</v>
      </c>
      <c r="E244" s="292"/>
      <c r="F244" s="59">
        <v>0.25</v>
      </c>
      <c r="G244" s="35">
        <v>12</v>
      </c>
      <c r="H244" s="59">
        <v>3</v>
      </c>
      <c r="I244" s="59">
        <v>3.7035999999999998</v>
      </c>
      <c r="J244" s="35">
        <v>70</v>
      </c>
      <c r="K244" s="35" t="s">
        <v>94</v>
      </c>
      <c r="L244" s="35" t="s">
        <v>65</v>
      </c>
      <c r="M244" s="36" t="s">
        <v>66</v>
      </c>
      <c r="N244" s="36"/>
      <c r="O244" s="35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7"/>
      <c r="V244" s="37"/>
      <c r="W244" s="38" t="s">
        <v>67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/>
      <c r="AB244" s="66"/>
      <c r="AC244" s="244" t="s">
        <v>324</v>
      </c>
      <c r="AG244" s="78"/>
      <c r="AJ244" s="82" t="s">
        <v>69</v>
      </c>
      <c r="AK244" s="82">
        <v>1</v>
      </c>
      <c r="BB244" s="245" t="s">
        <v>98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5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81</v>
      </c>
      <c r="Q245" s="281"/>
      <c r="R245" s="281"/>
      <c r="S245" s="281"/>
      <c r="T245" s="281"/>
      <c r="U245" s="281"/>
      <c r="V245" s="282"/>
      <c r="W245" s="40" t="s">
        <v>67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x14ac:dyDescent="0.25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81</v>
      </c>
      <c r="Q246" s="281"/>
      <c r="R246" s="281"/>
      <c r="S246" s="281"/>
      <c r="T246" s="281"/>
      <c r="U246" s="281"/>
      <c r="V246" s="282"/>
      <c r="W246" s="40" t="s">
        <v>82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27.75" customHeight="1" x14ac:dyDescent="0.25">
      <c r="A247" s="301" t="s">
        <v>327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52"/>
      <c r="AB247" s="52"/>
      <c r="AC247" s="52"/>
    </row>
    <row r="248" spans="1:68" ht="16.5" customHeight="1" x14ac:dyDescent="0.25">
      <c r="A248" s="283" t="s">
        <v>327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62"/>
      <c r="AB248" s="62"/>
      <c r="AC248" s="62"/>
    </row>
    <row r="249" spans="1:68" ht="14.25" customHeight="1" x14ac:dyDescent="0.25">
      <c r="A249" s="313" t="s">
        <v>91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63"/>
      <c r="AB249" s="63"/>
      <c r="AC249" s="63"/>
    </row>
    <row r="250" spans="1:68" ht="27" customHeight="1" x14ac:dyDescent="0.25">
      <c r="A250" s="60" t="s">
        <v>328</v>
      </c>
      <c r="B250" s="60" t="s">
        <v>329</v>
      </c>
      <c r="C250" s="34">
        <v>4301132228</v>
      </c>
      <c r="D250" s="291">
        <v>4640242181950</v>
      </c>
      <c r="E250" s="292"/>
      <c r="F250" s="59">
        <v>0.23</v>
      </c>
      <c r="G250" s="35">
        <v>12</v>
      </c>
      <c r="H250" s="59">
        <v>2.76</v>
      </c>
      <c r="I250" s="59">
        <v>3.22</v>
      </c>
      <c r="J250" s="35">
        <v>70</v>
      </c>
      <c r="K250" s="35" t="s">
        <v>94</v>
      </c>
      <c r="L250" s="35" t="s">
        <v>65</v>
      </c>
      <c r="M250" s="36" t="s">
        <v>66</v>
      </c>
      <c r="N250" s="36"/>
      <c r="O250" s="35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7"/>
      <c r="V250" s="37"/>
      <c r="W250" s="38" t="s">
        <v>67</v>
      </c>
      <c r="X250" s="56">
        <v>0</v>
      </c>
      <c r="Y250" s="53">
        <f>IFERROR(IF(X250="","",X250),"")</f>
        <v>0</v>
      </c>
      <c r="Z250" s="39">
        <f>IFERROR(IF(X250="","",X250*0.01788),"")</f>
        <v>0</v>
      </c>
      <c r="AA250" s="65"/>
      <c r="AB250" s="66"/>
      <c r="AC250" s="246" t="s">
        <v>330</v>
      </c>
      <c r="AG250" s="78"/>
      <c r="AJ250" s="82" t="s">
        <v>69</v>
      </c>
      <c r="AK250" s="82">
        <v>1</v>
      </c>
      <c r="BB250" s="247" t="s">
        <v>98</v>
      </c>
      <c r="BM250" s="78">
        <f>IFERROR(X250*I250,"0")</f>
        <v>0</v>
      </c>
      <c r="BN250" s="78">
        <f>IFERROR(Y250*I250,"0")</f>
        <v>0</v>
      </c>
      <c r="BO250" s="78">
        <f>IFERROR(X250/J250,"0")</f>
        <v>0</v>
      </c>
      <c r="BP250" s="78">
        <f>IFERROR(Y250/J250,"0")</f>
        <v>0</v>
      </c>
    </row>
    <row r="251" spans="1:68" x14ac:dyDescent="0.25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81</v>
      </c>
      <c r="Q251" s="281"/>
      <c r="R251" s="281"/>
      <c r="S251" s="281"/>
      <c r="T251" s="281"/>
      <c r="U251" s="281"/>
      <c r="V251" s="282"/>
      <c r="W251" s="40" t="s">
        <v>67</v>
      </c>
      <c r="X251" s="41">
        <f>IFERROR(SUM(X250:X250),"0")</f>
        <v>0</v>
      </c>
      <c r="Y251" s="41">
        <f>IFERROR(SUM(Y250:Y250),"0")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5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81</v>
      </c>
      <c r="Q252" s="281"/>
      <c r="R252" s="281"/>
      <c r="S252" s="281"/>
      <c r="T252" s="281"/>
      <c r="U252" s="281"/>
      <c r="V252" s="282"/>
      <c r="W252" s="40" t="s">
        <v>82</v>
      </c>
      <c r="X252" s="41">
        <f>IFERROR(SUMPRODUCT(X250:X250*H250:H250),"0")</f>
        <v>0</v>
      </c>
      <c r="Y252" s="41">
        <f>IFERROR(SUMPRODUCT(Y250:Y250*H250:H250),"0")</f>
        <v>0</v>
      </c>
      <c r="Z252" s="40"/>
      <c r="AA252" s="64"/>
      <c r="AB252" s="64"/>
      <c r="AC252" s="64"/>
    </row>
    <row r="253" spans="1:68" ht="27.75" customHeight="1" x14ac:dyDescent="0.25">
      <c r="A253" s="301" t="s">
        <v>331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52"/>
      <c r="AB253" s="52"/>
      <c r="AC253" s="52"/>
    </row>
    <row r="254" spans="1:68" ht="16.5" customHeight="1" x14ac:dyDescent="0.25">
      <c r="A254" s="283" t="s">
        <v>331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62"/>
      <c r="AB254" s="62"/>
      <c r="AC254" s="62"/>
    </row>
    <row r="255" spans="1:68" ht="14.25" customHeight="1" x14ac:dyDescent="0.25">
      <c r="A255" s="313" t="s">
        <v>61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63"/>
      <c r="AB255" s="63"/>
      <c r="AC255" s="63"/>
    </row>
    <row r="256" spans="1:68" ht="27" customHeight="1" x14ac:dyDescent="0.25">
      <c r="A256" s="60" t="s">
        <v>332</v>
      </c>
      <c r="B256" s="60" t="s">
        <v>333</v>
      </c>
      <c r="C256" s="34">
        <v>4301071014</v>
      </c>
      <c r="D256" s="291">
        <v>4640242181264</v>
      </c>
      <c r="E256" s="292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64</v>
      </c>
      <c r="L256" s="35" t="s">
        <v>65</v>
      </c>
      <c r="M256" s="36" t="s">
        <v>66</v>
      </c>
      <c r="N256" s="36"/>
      <c r="O256" s="35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7"/>
      <c r="V256" s="37"/>
      <c r="W256" s="38" t="s">
        <v>67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/>
      <c r="AB256" s="66"/>
      <c r="AC256" s="248" t="s">
        <v>334</v>
      </c>
      <c r="AG256" s="78"/>
      <c r="AJ256" s="82" t="s">
        <v>69</v>
      </c>
      <c r="AK256" s="82">
        <v>1</v>
      </c>
      <c r="BB256" s="249" t="s">
        <v>1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customHeight="1" x14ac:dyDescent="0.25">
      <c r="A257" s="60" t="s">
        <v>335</v>
      </c>
      <c r="B257" s="60" t="s">
        <v>336</v>
      </c>
      <c r="C257" s="34">
        <v>4301071021</v>
      </c>
      <c r="D257" s="291">
        <v>4640242181325</v>
      </c>
      <c r="E257" s="292"/>
      <c r="F257" s="59">
        <v>0.7</v>
      </c>
      <c r="G257" s="35">
        <v>10</v>
      </c>
      <c r="H257" s="59">
        <v>7</v>
      </c>
      <c r="I257" s="59">
        <v>7.28</v>
      </c>
      <c r="J257" s="35">
        <v>84</v>
      </c>
      <c r="K257" s="35" t="s">
        <v>64</v>
      </c>
      <c r="L257" s="35" t="s">
        <v>95</v>
      </c>
      <c r="M257" s="36" t="s">
        <v>66</v>
      </c>
      <c r="N257" s="36"/>
      <c r="O257" s="35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7"/>
      <c r="V257" s="37"/>
      <c r="W257" s="38" t="s">
        <v>67</v>
      </c>
      <c r="X257" s="56">
        <v>24</v>
      </c>
      <c r="Y257" s="53">
        <f>IFERROR(IF(X257="","",X257),"")</f>
        <v>24</v>
      </c>
      <c r="Z257" s="39">
        <f>IFERROR(IF(X257="","",X257*0.0155),"")</f>
        <v>0.372</v>
      </c>
      <c r="AA257" s="65"/>
      <c r="AB257" s="66"/>
      <c r="AC257" s="250" t="s">
        <v>334</v>
      </c>
      <c r="AG257" s="78"/>
      <c r="AJ257" s="82" t="s">
        <v>97</v>
      </c>
      <c r="AK257" s="82">
        <v>12</v>
      </c>
      <c r="BB257" s="251" t="s">
        <v>1</v>
      </c>
      <c r="BM257" s="78">
        <f>IFERROR(X257*I257,"0")</f>
        <v>174.72</v>
      </c>
      <c r="BN257" s="78">
        <f>IFERROR(Y257*I257,"0")</f>
        <v>174.72</v>
      </c>
      <c r="BO257" s="78">
        <f>IFERROR(X257/J257,"0")</f>
        <v>0.2857142857142857</v>
      </c>
      <c r="BP257" s="78">
        <f>IFERROR(Y257/J257,"0")</f>
        <v>0.2857142857142857</v>
      </c>
    </row>
    <row r="258" spans="1:68" x14ac:dyDescent="0.25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81</v>
      </c>
      <c r="Q258" s="281"/>
      <c r="R258" s="281"/>
      <c r="S258" s="281"/>
      <c r="T258" s="281"/>
      <c r="U258" s="281"/>
      <c r="V258" s="282"/>
      <c r="W258" s="40" t="s">
        <v>67</v>
      </c>
      <c r="X258" s="41">
        <f>IFERROR(SUM(X256:X257),"0")</f>
        <v>24</v>
      </c>
      <c r="Y258" s="41">
        <f>IFERROR(SUM(Y256:Y257),"0")</f>
        <v>24</v>
      </c>
      <c r="Z258" s="41">
        <f>IFERROR(IF(Z256="",0,Z256),"0")+IFERROR(IF(Z257="",0,Z257),"0")</f>
        <v>0.372</v>
      </c>
      <c r="AA258" s="64"/>
      <c r="AB258" s="64"/>
      <c r="AC258" s="64"/>
    </row>
    <row r="259" spans="1:68" x14ac:dyDescent="0.25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81</v>
      </c>
      <c r="Q259" s="281"/>
      <c r="R259" s="281"/>
      <c r="S259" s="281"/>
      <c r="T259" s="281"/>
      <c r="U259" s="281"/>
      <c r="V259" s="282"/>
      <c r="W259" s="40" t="s">
        <v>82</v>
      </c>
      <c r="X259" s="41">
        <f>IFERROR(SUMPRODUCT(X256:X257*H256:H257),"0")</f>
        <v>168</v>
      </c>
      <c r="Y259" s="41">
        <f>IFERROR(SUMPRODUCT(Y256:Y257*H256:H257),"0")</f>
        <v>168</v>
      </c>
      <c r="Z259" s="40"/>
      <c r="AA259" s="64"/>
      <c r="AB259" s="64"/>
      <c r="AC259" s="64"/>
    </row>
    <row r="260" spans="1:68" ht="14.25" customHeight="1" x14ac:dyDescent="0.25">
      <c r="A260" s="313" t="s">
        <v>91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63"/>
      <c r="AB260" s="63"/>
      <c r="AC260" s="63"/>
    </row>
    <row r="261" spans="1:68" ht="27" customHeight="1" x14ac:dyDescent="0.25">
      <c r="A261" s="60" t="s">
        <v>337</v>
      </c>
      <c r="B261" s="60" t="s">
        <v>338</v>
      </c>
      <c r="C261" s="34">
        <v>4301132080</v>
      </c>
      <c r="D261" s="291">
        <v>4640242180397</v>
      </c>
      <c r="E261" s="292"/>
      <c r="F261" s="59">
        <v>1</v>
      </c>
      <c r="G261" s="35">
        <v>6</v>
      </c>
      <c r="H261" s="59">
        <v>6</v>
      </c>
      <c r="I261" s="59">
        <v>6.26</v>
      </c>
      <c r="J261" s="35">
        <v>84</v>
      </c>
      <c r="K261" s="35" t="s">
        <v>64</v>
      </c>
      <c r="L261" s="35" t="s">
        <v>95</v>
      </c>
      <c r="M261" s="36" t="s">
        <v>66</v>
      </c>
      <c r="N261" s="36"/>
      <c r="O261" s="35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7"/>
      <c r="V261" s="37"/>
      <c r="W261" s="38" t="s">
        <v>67</v>
      </c>
      <c r="X261" s="56">
        <v>156</v>
      </c>
      <c r="Y261" s="53">
        <f>IFERROR(IF(X261="","",X261),"")</f>
        <v>156</v>
      </c>
      <c r="Z261" s="39">
        <f>IFERROR(IF(X261="","",X261*0.0155),"")</f>
        <v>2.4180000000000001</v>
      </c>
      <c r="AA261" s="65"/>
      <c r="AB261" s="66"/>
      <c r="AC261" s="252" t="s">
        <v>339</v>
      </c>
      <c r="AG261" s="78"/>
      <c r="AJ261" s="82" t="s">
        <v>97</v>
      </c>
      <c r="AK261" s="82">
        <v>12</v>
      </c>
      <c r="BB261" s="253" t="s">
        <v>98</v>
      </c>
      <c r="BM261" s="78">
        <f>IFERROR(X261*I261,"0")</f>
        <v>976.56</v>
      </c>
      <c r="BN261" s="78">
        <f>IFERROR(Y261*I261,"0")</f>
        <v>976.56</v>
      </c>
      <c r="BO261" s="78">
        <f>IFERROR(X261/J261,"0")</f>
        <v>1.8571428571428572</v>
      </c>
      <c r="BP261" s="78">
        <f>IFERROR(Y261/J261,"0")</f>
        <v>1.8571428571428572</v>
      </c>
    </row>
    <row r="262" spans="1:68" x14ac:dyDescent="0.25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81</v>
      </c>
      <c r="Q262" s="281"/>
      <c r="R262" s="281"/>
      <c r="S262" s="281"/>
      <c r="T262" s="281"/>
      <c r="U262" s="281"/>
      <c r="V262" s="282"/>
      <c r="W262" s="40" t="s">
        <v>67</v>
      </c>
      <c r="X262" s="41">
        <f>IFERROR(SUM(X261:X261),"0")</f>
        <v>156</v>
      </c>
      <c r="Y262" s="41">
        <f>IFERROR(SUM(Y261:Y261),"0")</f>
        <v>156</v>
      </c>
      <c r="Z262" s="41">
        <f>IFERROR(IF(Z261="",0,Z261),"0")</f>
        <v>2.4180000000000001</v>
      </c>
      <c r="AA262" s="64"/>
      <c r="AB262" s="64"/>
      <c r="AC262" s="64"/>
    </row>
    <row r="263" spans="1:68" x14ac:dyDescent="0.25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81</v>
      </c>
      <c r="Q263" s="281"/>
      <c r="R263" s="281"/>
      <c r="S263" s="281"/>
      <c r="T263" s="281"/>
      <c r="U263" s="281"/>
      <c r="V263" s="282"/>
      <c r="W263" s="40" t="s">
        <v>82</v>
      </c>
      <c r="X263" s="41">
        <f>IFERROR(SUMPRODUCT(X261:X261*H261:H261),"0")</f>
        <v>936</v>
      </c>
      <c r="Y263" s="41">
        <f>IFERROR(SUMPRODUCT(Y261:Y261*H261:H261),"0")</f>
        <v>936</v>
      </c>
      <c r="Z263" s="40"/>
      <c r="AA263" s="64"/>
      <c r="AB263" s="64"/>
      <c r="AC263" s="64"/>
    </row>
    <row r="264" spans="1:68" ht="14.25" customHeight="1" x14ac:dyDescent="0.25">
      <c r="A264" s="313" t="s">
        <v>129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63"/>
      <c r="AB264" s="63"/>
      <c r="AC264" s="63"/>
    </row>
    <row r="265" spans="1:68" ht="27" customHeight="1" x14ac:dyDescent="0.25">
      <c r="A265" s="60" t="s">
        <v>340</v>
      </c>
      <c r="B265" s="60" t="s">
        <v>341</v>
      </c>
      <c r="C265" s="34">
        <v>4301136051</v>
      </c>
      <c r="D265" s="291">
        <v>4640242180304</v>
      </c>
      <c r="E265" s="292"/>
      <c r="F265" s="59">
        <v>2.7</v>
      </c>
      <c r="G265" s="35">
        <v>1</v>
      </c>
      <c r="H265" s="59">
        <v>2.7</v>
      </c>
      <c r="I265" s="59">
        <v>2.8906000000000001</v>
      </c>
      <c r="J265" s="35">
        <v>126</v>
      </c>
      <c r="K265" s="35" t="s">
        <v>94</v>
      </c>
      <c r="L265" s="35" t="s">
        <v>95</v>
      </c>
      <c r="M265" s="36" t="s">
        <v>66</v>
      </c>
      <c r="N265" s="36"/>
      <c r="O265" s="35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7"/>
      <c r="V265" s="37"/>
      <c r="W265" s="38" t="s">
        <v>67</v>
      </c>
      <c r="X265" s="56">
        <v>0</v>
      </c>
      <c r="Y265" s="53">
        <f>IFERROR(IF(X265="","",X265),"")</f>
        <v>0</v>
      </c>
      <c r="Z265" s="39">
        <f>IFERROR(IF(X265="","",X265*0.00936),"")</f>
        <v>0</v>
      </c>
      <c r="AA265" s="65"/>
      <c r="AB265" s="66"/>
      <c r="AC265" s="254" t="s">
        <v>342</v>
      </c>
      <c r="AG265" s="78"/>
      <c r="AJ265" s="82" t="s">
        <v>97</v>
      </c>
      <c r="AK265" s="82">
        <v>14</v>
      </c>
      <c r="BB265" s="255" t="s">
        <v>98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customHeight="1" x14ac:dyDescent="0.25">
      <c r="A266" s="60" t="s">
        <v>343</v>
      </c>
      <c r="B266" s="60" t="s">
        <v>344</v>
      </c>
      <c r="C266" s="34">
        <v>4301136053</v>
      </c>
      <c r="D266" s="291">
        <v>4640242180236</v>
      </c>
      <c r="E266" s="292"/>
      <c r="F266" s="59">
        <v>5</v>
      </c>
      <c r="G266" s="35">
        <v>1</v>
      </c>
      <c r="H266" s="59">
        <v>5</v>
      </c>
      <c r="I266" s="59">
        <v>5.2350000000000003</v>
      </c>
      <c r="J266" s="35">
        <v>84</v>
      </c>
      <c r="K266" s="35" t="s">
        <v>64</v>
      </c>
      <c r="L266" s="35" t="s">
        <v>95</v>
      </c>
      <c r="M266" s="36" t="s">
        <v>66</v>
      </c>
      <c r="N266" s="36"/>
      <c r="O266" s="35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7"/>
      <c r="V266" s="37"/>
      <c r="W266" s="38" t="s">
        <v>67</v>
      </c>
      <c r="X266" s="56">
        <v>84</v>
      </c>
      <c r="Y266" s="53">
        <f>IFERROR(IF(X266="","",X266),"")</f>
        <v>84</v>
      </c>
      <c r="Z266" s="39">
        <f>IFERROR(IF(X266="","",X266*0.0155),"")</f>
        <v>1.302</v>
      </c>
      <c r="AA266" s="65"/>
      <c r="AB266" s="66"/>
      <c r="AC266" s="256" t="s">
        <v>342</v>
      </c>
      <c r="AG266" s="78"/>
      <c r="AJ266" s="82" t="s">
        <v>97</v>
      </c>
      <c r="AK266" s="82">
        <v>12</v>
      </c>
      <c r="BB266" s="257" t="s">
        <v>98</v>
      </c>
      <c r="BM266" s="78">
        <f>IFERROR(X266*I266,"0")</f>
        <v>439.74</v>
      </c>
      <c r="BN266" s="78">
        <f>IFERROR(Y266*I266,"0")</f>
        <v>439.74</v>
      </c>
      <c r="BO266" s="78">
        <f>IFERROR(X266/J266,"0")</f>
        <v>1</v>
      </c>
      <c r="BP266" s="78">
        <f>IFERROR(Y266/J266,"0")</f>
        <v>1</v>
      </c>
    </row>
    <row r="267" spans="1:68" ht="27" customHeight="1" x14ac:dyDescent="0.25">
      <c r="A267" s="60" t="s">
        <v>345</v>
      </c>
      <c r="B267" s="60" t="s">
        <v>346</v>
      </c>
      <c r="C267" s="34">
        <v>4301136052</v>
      </c>
      <c r="D267" s="291">
        <v>4640242180410</v>
      </c>
      <c r="E267" s="292"/>
      <c r="F267" s="59">
        <v>2.2400000000000002</v>
      </c>
      <c r="G267" s="35">
        <v>1</v>
      </c>
      <c r="H267" s="59">
        <v>2.2400000000000002</v>
      </c>
      <c r="I267" s="59">
        <v>2.4319999999999999</v>
      </c>
      <c r="J267" s="35">
        <v>126</v>
      </c>
      <c r="K267" s="35" t="s">
        <v>94</v>
      </c>
      <c r="L267" s="35" t="s">
        <v>65</v>
      </c>
      <c r="M267" s="36" t="s">
        <v>66</v>
      </c>
      <c r="N267" s="36"/>
      <c r="O267" s="35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7"/>
      <c r="V267" s="37"/>
      <c r="W267" s="38" t="s">
        <v>67</v>
      </c>
      <c r="X267" s="56">
        <v>0</v>
      </c>
      <c r="Y267" s="53">
        <f>IFERROR(IF(X267="","",X267),"")</f>
        <v>0</v>
      </c>
      <c r="Z267" s="39">
        <f>IFERROR(IF(X267="","",X267*0.00936),"")</f>
        <v>0</v>
      </c>
      <c r="AA267" s="65"/>
      <c r="AB267" s="66"/>
      <c r="AC267" s="258" t="s">
        <v>342</v>
      </c>
      <c r="AG267" s="78"/>
      <c r="AJ267" s="82" t="s">
        <v>69</v>
      </c>
      <c r="AK267" s="82">
        <v>1</v>
      </c>
      <c r="BB267" s="259" t="s">
        <v>98</v>
      </c>
      <c r="BM267" s="78">
        <f>IFERROR(X267*I267,"0")</f>
        <v>0</v>
      </c>
      <c r="BN267" s="78">
        <f>IFERROR(Y267*I267,"0")</f>
        <v>0</v>
      </c>
      <c r="BO267" s="78">
        <f>IFERROR(X267/J267,"0")</f>
        <v>0</v>
      </c>
      <c r="BP267" s="78">
        <f>IFERROR(Y267/J267,"0")</f>
        <v>0</v>
      </c>
    </row>
    <row r="268" spans="1:68" x14ac:dyDescent="0.25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81</v>
      </c>
      <c r="Q268" s="281"/>
      <c r="R268" s="281"/>
      <c r="S268" s="281"/>
      <c r="T268" s="281"/>
      <c r="U268" s="281"/>
      <c r="V268" s="282"/>
      <c r="W268" s="40" t="s">
        <v>67</v>
      </c>
      <c r="X268" s="41">
        <f>IFERROR(SUM(X265:X267),"0")</f>
        <v>84</v>
      </c>
      <c r="Y268" s="41">
        <f>IFERROR(SUM(Y265:Y267),"0")</f>
        <v>84</v>
      </c>
      <c r="Z268" s="41">
        <f>IFERROR(IF(Z265="",0,Z265),"0")+IFERROR(IF(Z266="",0,Z266),"0")+IFERROR(IF(Z267="",0,Z267),"0")</f>
        <v>1.302</v>
      </c>
      <c r="AA268" s="64"/>
      <c r="AB268" s="64"/>
      <c r="AC268" s="64"/>
    </row>
    <row r="269" spans="1:68" x14ac:dyDescent="0.25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81</v>
      </c>
      <c r="Q269" s="281"/>
      <c r="R269" s="281"/>
      <c r="S269" s="281"/>
      <c r="T269" s="281"/>
      <c r="U269" s="281"/>
      <c r="V269" s="282"/>
      <c r="W269" s="40" t="s">
        <v>82</v>
      </c>
      <c r="X269" s="41">
        <f>IFERROR(SUMPRODUCT(X265:X267*H265:H267),"0")</f>
        <v>420</v>
      </c>
      <c r="Y269" s="41">
        <f>IFERROR(SUMPRODUCT(Y265:Y267*H265:H267),"0")</f>
        <v>420</v>
      </c>
      <c r="Z269" s="40"/>
      <c r="AA269" s="64"/>
      <c r="AB269" s="64"/>
      <c r="AC269" s="64"/>
    </row>
    <row r="270" spans="1:68" ht="14.25" customHeight="1" x14ac:dyDescent="0.25">
      <c r="A270" s="313" t="s">
        <v>135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63"/>
      <c r="AB270" s="63"/>
      <c r="AC270" s="63"/>
    </row>
    <row r="271" spans="1:68" ht="37.5" customHeight="1" x14ac:dyDescent="0.25">
      <c r="A271" s="60" t="s">
        <v>347</v>
      </c>
      <c r="B271" s="60" t="s">
        <v>348</v>
      </c>
      <c r="C271" s="34">
        <v>4301135504</v>
      </c>
      <c r="D271" s="291">
        <v>4640242181554</v>
      </c>
      <c r="E271" s="292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94</v>
      </c>
      <c r="L271" s="35" t="s">
        <v>95</v>
      </c>
      <c r="M271" s="36" t="s">
        <v>66</v>
      </c>
      <c r="N271" s="36"/>
      <c r="O271" s="35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7"/>
      <c r="V271" s="37"/>
      <c r="W271" s="38" t="s">
        <v>67</v>
      </c>
      <c r="X271" s="56">
        <v>0</v>
      </c>
      <c r="Y271" s="53">
        <f t="shared" ref="Y271:Y280" si="18">IFERROR(IF(X271="","",X271),"")</f>
        <v>0</v>
      </c>
      <c r="Z271" s="39">
        <f>IFERROR(IF(X271="","",X271*0.00936),"")</f>
        <v>0</v>
      </c>
      <c r="AA271" s="65"/>
      <c r="AB271" s="66"/>
      <c r="AC271" s="260" t="s">
        <v>349</v>
      </c>
      <c r="AG271" s="78"/>
      <c r="AJ271" s="82" t="s">
        <v>97</v>
      </c>
      <c r="AK271" s="82">
        <v>14</v>
      </c>
      <c r="BB271" s="261" t="s">
        <v>98</v>
      </c>
      <c r="BM271" s="78">
        <f t="shared" ref="BM271:BM280" si="19">IFERROR(X271*I271,"0")</f>
        <v>0</v>
      </c>
      <c r="BN271" s="78">
        <f t="shared" ref="BN271:BN280" si="20">IFERROR(Y271*I271,"0")</f>
        <v>0</v>
      </c>
      <c r="BO271" s="78">
        <f t="shared" ref="BO271:BO280" si="21">IFERROR(X271/J271,"0")</f>
        <v>0</v>
      </c>
      <c r="BP271" s="78">
        <f t="shared" ref="BP271:BP280" si="22">IFERROR(Y271/J271,"0")</f>
        <v>0</v>
      </c>
    </row>
    <row r="272" spans="1:68" ht="27" customHeight="1" x14ac:dyDescent="0.25">
      <c r="A272" s="60" t="s">
        <v>350</v>
      </c>
      <c r="B272" s="60" t="s">
        <v>351</v>
      </c>
      <c r="C272" s="34">
        <v>4301135873</v>
      </c>
      <c r="D272" s="291">
        <v>4640242182087</v>
      </c>
      <c r="E272" s="292"/>
      <c r="F272" s="59">
        <v>5</v>
      </c>
      <c r="G272" s="35">
        <v>1</v>
      </c>
      <c r="H272" s="59">
        <v>5</v>
      </c>
      <c r="I272" s="59">
        <v>5.23</v>
      </c>
      <c r="J272" s="35">
        <v>84</v>
      </c>
      <c r="K272" s="35" t="s">
        <v>64</v>
      </c>
      <c r="L272" s="35" t="s">
        <v>65</v>
      </c>
      <c r="M272" s="36" t="s">
        <v>66</v>
      </c>
      <c r="N272" s="36"/>
      <c r="O272" s="35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7"/>
      <c r="V272" s="37"/>
      <c r="W272" s="38" t="s">
        <v>67</v>
      </c>
      <c r="X272" s="56">
        <v>12</v>
      </c>
      <c r="Y272" s="53">
        <f t="shared" si="18"/>
        <v>12</v>
      </c>
      <c r="Z272" s="39">
        <f>IFERROR(IF(X272="","",X272*0.0155),"")</f>
        <v>0.186</v>
      </c>
      <c r="AA272" s="65"/>
      <c r="AB272" s="66"/>
      <c r="AC272" s="262" t="s">
        <v>352</v>
      </c>
      <c r="AG272" s="78"/>
      <c r="AJ272" s="82" t="s">
        <v>69</v>
      </c>
      <c r="AK272" s="82">
        <v>1</v>
      </c>
      <c r="BB272" s="263" t="s">
        <v>98</v>
      </c>
      <c r="BM272" s="78">
        <f t="shared" si="19"/>
        <v>62.760000000000005</v>
      </c>
      <c r="BN272" s="78">
        <f t="shared" si="20"/>
        <v>62.760000000000005</v>
      </c>
      <c r="BO272" s="78">
        <f t="shared" si="21"/>
        <v>0.14285714285714285</v>
      </c>
      <c r="BP272" s="78">
        <f t="shared" si="22"/>
        <v>0.14285714285714285</v>
      </c>
    </row>
    <row r="273" spans="1:68" ht="27" customHeight="1" x14ac:dyDescent="0.25">
      <c r="A273" s="60" t="s">
        <v>353</v>
      </c>
      <c r="B273" s="60" t="s">
        <v>354</v>
      </c>
      <c r="C273" s="34">
        <v>4301135374</v>
      </c>
      <c r="D273" s="291">
        <v>4640242181424</v>
      </c>
      <c r="E273" s="292"/>
      <c r="F273" s="59">
        <v>5.5</v>
      </c>
      <c r="G273" s="35">
        <v>1</v>
      </c>
      <c r="H273" s="59">
        <v>5.5</v>
      </c>
      <c r="I273" s="59">
        <v>5.7350000000000003</v>
      </c>
      <c r="J273" s="35">
        <v>84</v>
      </c>
      <c r="K273" s="35" t="s">
        <v>64</v>
      </c>
      <c r="L273" s="35" t="s">
        <v>95</v>
      </c>
      <c r="M273" s="36" t="s">
        <v>66</v>
      </c>
      <c r="N273" s="36"/>
      <c r="O273" s="35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7"/>
      <c r="V273" s="37"/>
      <c r="W273" s="38" t="s">
        <v>67</v>
      </c>
      <c r="X273" s="56">
        <v>0</v>
      </c>
      <c r="Y273" s="53">
        <f t="shared" si="18"/>
        <v>0</v>
      </c>
      <c r="Z273" s="39">
        <f>IFERROR(IF(X273="","",X273*0.0155),"")</f>
        <v>0</v>
      </c>
      <c r="AA273" s="65"/>
      <c r="AB273" s="66"/>
      <c r="AC273" s="264" t="s">
        <v>349</v>
      </c>
      <c r="AG273" s="78"/>
      <c r="AJ273" s="82" t="s">
        <v>97</v>
      </c>
      <c r="AK273" s="82">
        <v>12</v>
      </c>
      <c r="BB273" s="265" t="s">
        <v>98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customHeight="1" x14ac:dyDescent="0.25">
      <c r="A274" s="60" t="s">
        <v>355</v>
      </c>
      <c r="B274" s="60" t="s">
        <v>356</v>
      </c>
      <c r="C274" s="34">
        <v>4301135405</v>
      </c>
      <c r="D274" s="291">
        <v>4640242181523</v>
      </c>
      <c r="E274" s="292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94</v>
      </c>
      <c r="L274" s="35" t="s">
        <v>95</v>
      </c>
      <c r="M274" s="36" t="s">
        <v>66</v>
      </c>
      <c r="N274" s="36"/>
      <c r="O274" s="35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7"/>
      <c r="V274" s="37"/>
      <c r="W274" s="38" t="s">
        <v>67</v>
      </c>
      <c r="X274" s="56">
        <v>70</v>
      </c>
      <c r="Y274" s="53">
        <f t="shared" si="18"/>
        <v>70</v>
      </c>
      <c r="Z274" s="39">
        <f t="shared" ref="Z274:Z279" si="23">IFERROR(IF(X274="","",X274*0.00936),"")</f>
        <v>0.6552</v>
      </c>
      <c r="AA274" s="65"/>
      <c r="AB274" s="66"/>
      <c r="AC274" s="266" t="s">
        <v>352</v>
      </c>
      <c r="AG274" s="78"/>
      <c r="AJ274" s="82" t="s">
        <v>97</v>
      </c>
      <c r="AK274" s="82">
        <v>14</v>
      </c>
      <c r="BB274" s="267" t="s">
        <v>98</v>
      </c>
      <c r="BM274" s="78">
        <f t="shared" si="19"/>
        <v>223.44</v>
      </c>
      <c r="BN274" s="78">
        <f t="shared" si="20"/>
        <v>223.44</v>
      </c>
      <c r="BO274" s="78">
        <f t="shared" si="21"/>
        <v>0.55555555555555558</v>
      </c>
      <c r="BP274" s="78">
        <f t="shared" si="22"/>
        <v>0.55555555555555558</v>
      </c>
    </row>
    <row r="275" spans="1:68" ht="27" customHeight="1" x14ac:dyDescent="0.25">
      <c r="A275" s="60" t="s">
        <v>357</v>
      </c>
      <c r="B275" s="60" t="s">
        <v>358</v>
      </c>
      <c r="C275" s="34">
        <v>4301135375</v>
      </c>
      <c r="D275" s="291">
        <v>4640242181486</v>
      </c>
      <c r="E275" s="292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94</v>
      </c>
      <c r="L275" s="35" t="s">
        <v>95</v>
      </c>
      <c r="M275" s="36" t="s">
        <v>66</v>
      </c>
      <c r="N275" s="36"/>
      <c r="O275" s="35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7"/>
      <c r="V275" s="37"/>
      <c r="W275" s="38" t="s">
        <v>67</v>
      </c>
      <c r="X275" s="56">
        <v>14</v>
      </c>
      <c r="Y275" s="53">
        <f t="shared" si="18"/>
        <v>14</v>
      </c>
      <c r="Z275" s="39">
        <f t="shared" si="23"/>
        <v>0.13103999999999999</v>
      </c>
      <c r="AA275" s="65"/>
      <c r="AB275" s="66"/>
      <c r="AC275" s="268" t="s">
        <v>349</v>
      </c>
      <c r="AG275" s="78"/>
      <c r="AJ275" s="82" t="s">
        <v>97</v>
      </c>
      <c r="AK275" s="82">
        <v>14</v>
      </c>
      <c r="BB275" s="269" t="s">
        <v>98</v>
      </c>
      <c r="BM275" s="78">
        <f t="shared" si="19"/>
        <v>54.488</v>
      </c>
      <c r="BN275" s="78">
        <f t="shared" si="20"/>
        <v>54.488</v>
      </c>
      <c r="BO275" s="78">
        <f t="shared" si="21"/>
        <v>0.1111111111111111</v>
      </c>
      <c r="BP275" s="78">
        <f t="shared" si="22"/>
        <v>0.1111111111111111</v>
      </c>
    </row>
    <row r="276" spans="1:68" ht="37.5" customHeight="1" x14ac:dyDescent="0.25">
      <c r="A276" s="60" t="s">
        <v>359</v>
      </c>
      <c r="B276" s="60" t="s">
        <v>360</v>
      </c>
      <c r="C276" s="34">
        <v>4301135402</v>
      </c>
      <c r="D276" s="291">
        <v>4640242181493</v>
      </c>
      <c r="E276" s="292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94</v>
      </c>
      <c r="L276" s="35" t="s">
        <v>95</v>
      </c>
      <c r="M276" s="36" t="s">
        <v>66</v>
      </c>
      <c r="N276" s="36"/>
      <c r="O276" s="35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7"/>
      <c r="V276" s="37"/>
      <c r="W276" s="38" t="s">
        <v>67</v>
      </c>
      <c r="X276" s="56">
        <v>0</v>
      </c>
      <c r="Y276" s="53">
        <f t="shared" si="18"/>
        <v>0</v>
      </c>
      <c r="Z276" s="39">
        <f t="shared" si="23"/>
        <v>0</v>
      </c>
      <c r="AA276" s="65"/>
      <c r="AB276" s="66"/>
      <c r="AC276" s="270" t="s">
        <v>349</v>
      </c>
      <c r="AG276" s="78"/>
      <c r="AJ276" s="82" t="s">
        <v>97</v>
      </c>
      <c r="AK276" s="82">
        <v>14</v>
      </c>
      <c r="BB276" s="271" t="s">
        <v>98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37.5" customHeight="1" x14ac:dyDescent="0.25">
      <c r="A277" s="60" t="s">
        <v>361</v>
      </c>
      <c r="B277" s="60" t="s">
        <v>362</v>
      </c>
      <c r="C277" s="34">
        <v>4301135403</v>
      </c>
      <c r="D277" s="291">
        <v>4640242181509</v>
      </c>
      <c r="E277" s="292"/>
      <c r="F277" s="59">
        <v>3.7</v>
      </c>
      <c r="G277" s="35">
        <v>1</v>
      </c>
      <c r="H277" s="59">
        <v>3.7</v>
      </c>
      <c r="I277" s="59">
        <v>3.8919999999999999</v>
      </c>
      <c r="J277" s="35">
        <v>126</v>
      </c>
      <c r="K277" s="35" t="s">
        <v>94</v>
      </c>
      <c r="L277" s="35" t="s">
        <v>65</v>
      </c>
      <c r="M277" s="36" t="s">
        <v>66</v>
      </c>
      <c r="N277" s="36"/>
      <c r="O277" s="35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7"/>
      <c r="V277" s="37"/>
      <c r="W277" s="38" t="s">
        <v>67</v>
      </c>
      <c r="X277" s="56">
        <v>0</v>
      </c>
      <c r="Y277" s="53">
        <f t="shared" si="18"/>
        <v>0</v>
      </c>
      <c r="Z277" s="39">
        <f t="shared" si="23"/>
        <v>0</v>
      </c>
      <c r="AA277" s="65"/>
      <c r="AB277" s="66"/>
      <c r="AC277" s="272" t="s">
        <v>349</v>
      </c>
      <c r="AG277" s="78"/>
      <c r="AJ277" s="82" t="s">
        <v>69</v>
      </c>
      <c r="AK277" s="82">
        <v>1</v>
      </c>
      <c r="BB277" s="273" t="s">
        <v>98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customHeight="1" x14ac:dyDescent="0.25">
      <c r="A278" s="60" t="s">
        <v>363</v>
      </c>
      <c r="B278" s="60" t="s">
        <v>364</v>
      </c>
      <c r="C278" s="34">
        <v>4301135304</v>
      </c>
      <c r="D278" s="291">
        <v>4640242181240</v>
      </c>
      <c r="E278" s="292"/>
      <c r="F278" s="59">
        <v>0.3</v>
      </c>
      <c r="G278" s="35">
        <v>9</v>
      </c>
      <c r="H278" s="59">
        <v>2.7</v>
      </c>
      <c r="I278" s="59">
        <v>2.88</v>
      </c>
      <c r="J278" s="35">
        <v>126</v>
      </c>
      <c r="K278" s="35" t="s">
        <v>94</v>
      </c>
      <c r="L278" s="35" t="s">
        <v>95</v>
      </c>
      <c r="M278" s="36" t="s">
        <v>66</v>
      </c>
      <c r="N278" s="36"/>
      <c r="O278" s="35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7"/>
      <c r="V278" s="37"/>
      <c r="W278" s="38" t="s">
        <v>67</v>
      </c>
      <c r="X278" s="56">
        <v>0</v>
      </c>
      <c r="Y278" s="53">
        <f t="shared" si="18"/>
        <v>0</v>
      </c>
      <c r="Z278" s="39">
        <f t="shared" si="23"/>
        <v>0</v>
      </c>
      <c r="AA278" s="65"/>
      <c r="AB278" s="66"/>
      <c r="AC278" s="274" t="s">
        <v>349</v>
      </c>
      <c r="AG278" s="78"/>
      <c r="AJ278" s="82" t="s">
        <v>97</v>
      </c>
      <c r="AK278" s="82">
        <v>14</v>
      </c>
      <c r="BB278" s="275" t="s">
        <v>98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customHeight="1" x14ac:dyDescent="0.25">
      <c r="A279" s="60" t="s">
        <v>365</v>
      </c>
      <c r="B279" s="60" t="s">
        <v>366</v>
      </c>
      <c r="C279" s="34">
        <v>4301135610</v>
      </c>
      <c r="D279" s="291">
        <v>4640242181318</v>
      </c>
      <c r="E279" s="292"/>
      <c r="F279" s="59">
        <v>0.3</v>
      </c>
      <c r="G279" s="35">
        <v>9</v>
      </c>
      <c r="H279" s="59">
        <v>2.7</v>
      </c>
      <c r="I279" s="59">
        <v>2.988</v>
      </c>
      <c r="J279" s="35">
        <v>126</v>
      </c>
      <c r="K279" s="35" t="s">
        <v>94</v>
      </c>
      <c r="L279" s="35" t="s">
        <v>95</v>
      </c>
      <c r="M279" s="36" t="s">
        <v>66</v>
      </c>
      <c r="N279" s="36"/>
      <c r="O279" s="35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7"/>
      <c r="V279" s="37"/>
      <c r="W279" s="38" t="s">
        <v>67</v>
      </c>
      <c r="X279" s="56">
        <v>0</v>
      </c>
      <c r="Y279" s="53">
        <f t="shared" si="18"/>
        <v>0</v>
      </c>
      <c r="Z279" s="39">
        <f t="shared" si="23"/>
        <v>0</v>
      </c>
      <c r="AA279" s="65"/>
      <c r="AB279" s="66"/>
      <c r="AC279" s="276" t="s">
        <v>352</v>
      </c>
      <c r="AG279" s="78"/>
      <c r="AJ279" s="82" t="s">
        <v>97</v>
      </c>
      <c r="AK279" s="82">
        <v>14</v>
      </c>
      <c r="BB279" s="277" t="s">
        <v>98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27" customHeight="1" x14ac:dyDescent="0.25">
      <c r="A280" s="60" t="s">
        <v>367</v>
      </c>
      <c r="B280" s="60" t="s">
        <v>368</v>
      </c>
      <c r="C280" s="34">
        <v>4301135306</v>
      </c>
      <c r="D280" s="291">
        <v>4640242181387</v>
      </c>
      <c r="E280" s="292"/>
      <c r="F280" s="59">
        <v>0.3</v>
      </c>
      <c r="G280" s="35">
        <v>9</v>
      </c>
      <c r="H280" s="59">
        <v>2.7</v>
      </c>
      <c r="I280" s="59">
        <v>2.8450000000000002</v>
      </c>
      <c r="J280" s="35">
        <v>234</v>
      </c>
      <c r="K280" s="35" t="s">
        <v>146</v>
      </c>
      <c r="L280" s="35" t="s">
        <v>95</v>
      </c>
      <c r="M280" s="36" t="s">
        <v>66</v>
      </c>
      <c r="N280" s="36"/>
      <c r="O280" s="35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7"/>
      <c r="V280" s="37"/>
      <c r="W280" s="38" t="s">
        <v>67</v>
      </c>
      <c r="X280" s="56">
        <v>0</v>
      </c>
      <c r="Y280" s="53">
        <f t="shared" si="18"/>
        <v>0</v>
      </c>
      <c r="Z280" s="39">
        <f>IFERROR(IF(X280="","",X280*0.00502),"")</f>
        <v>0</v>
      </c>
      <c r="AA280" s="65"/>
      <c r="AB280" s="66"/>
      <c r="AC280" s="278" t="s">
        <v>349</v>
      </c>
      <c r="AG280" s="78"/>
      <c r="AJ280" s="82" t="s">
        <v>97</v>
      </c>
      <c r="AK280" s="82">
        <v>18</v>
      </c>
      <c r="BB280" s="279" t="s">
        <v>98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x14ac:dyDescent="0.25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81</v>
      </c>
      <c r="Q281" s="281"/>
      <c r="R281" s="281"/>
      <c r="S281" s="281"/>
      <c r="T281" s="281"/>
      <c r="U281" s="281"/>
      <c r="V281" s="282"/>
      <c r="W281" s="40" t="s">
        <v>67</v>
      </c>
      <c r="X281" s="41">
        <f>IFERROR(SUM(X271:X280),"0")</f>
        <v>96</v>
      </c>
      <c r="Y281" s="41">
        <f>IFERROR(SUM(Y271:Y280),"0")</f>
        <v>96</v>
      </c>
      <c r="Z281" s="41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0.97223999999999999</v>
      </c>
      <c r="AA281" s="64"/>
      <c r="AB281" s="64"/>
      <c r="AC281" s="64"/>
    </row>
    <row r="282" spans="1:68" x14ac:dyDescent="0.25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81</v>
      </c>
      <c r="Q282" s="281"/>
      <c r="R282" s="281"/>
      <c r="S282" s="281"/>
      <c r="T282" s="281"/>
      <c r="U282" s="281"/>
      <c r="V282" s="282"/>
      <c r="W282" s="40" t="s">
        <v>82</v>
      </c>
      <c r="X282" s="41">
        <f>IFERROR(SUMPRODUCT(X271:X280*H271:H280),"0")</f>
        <v>321.8</v>
      </c>
      <c r="Y282" s="41">
        <f>IFERROR(SUMPRODUCT(Y271:Y280*H271:H280),"0")</f>
        <v>321.8</v>
      </c>
      <c r="Z282" s="40"/>
      <c r="AA282" s="64"/>
      <c r="AB282" s="64"/>
      <c r="AC282" s="64"/>
    </row>
    <row r="283" spans="1:68" ht="15" customHeight="1" x14ac:dyDescent="0.25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369</v>
      </c>
      <c r="Q283" s="355"/>
      <c r="R283" s="355"/>
      <c r="S283" s="355"/>
      <c r="T283" s="355"/>
      <c r="U283" s="355"/>
      <c r="V283" s="356"/>
      <c r="W283" s="40" t="s">
        <v>82</v>
      </c>
      <c r="X283" s="41">
        <f>IFERROR(X29+X35+X42+X49+X57+X62+X66+X71+X77+X83+X88+X94+X104+X110+X121+X125+X129+X136+X142+X148+X154+X160+X165+X170+X175+X182+X187+X196+X202+X208+X214+X219+X224+X230+X236+X242+X246+X252+X259+X263+X269+X282,"0")</f>
        <v>7253.24</v>
      </c>
      <c r="Y283" s="41">
        <f>IFERROR(Y29+Y35+Y42+Y49+Y57+Y62+Y66+Y71+Y77+Y83+Y88+Y94+Y104+Y110+Y121+Y125+Y129+Y136+Y142+Y148+Y154+Y160+Y165+Y170+Y175+Y182+Y187+Y196+Y202+Y208+Y214+Y219+Y224+Y230+Y236+Y242+Y246+Y252+Y259+Y263+Y269+Y282,"0")</f>
        <v>7253.24</v>
      </c>
      <c r="Z283" s="40"/>
      <c r="AA283" s="64"/>
      <c r="AB283" s="64"/>
      <c r="AC283" s="64"/>
    </row>
    <row r="284" spans="1:68" x14ac:dyDescent="0.25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370</v>
      </c>
      <c r="Q284" s="355"/>
      <c r="R284" s="355"/>
      <c r="S284" s="355"/>
      <c r="T284" s="355"/>
      <c r="U284" s="355"/>
      <c r="V284" s="356"/>
      <c r="W284" s="40" t="s">
        <v>82</v>
      </c>
      <c r="X284" s="41">
        <f>IFERROR(SUM(BM22:BM280),"0")</f>
        <v>7940.1011999999992</v>
      </c>
      <c r="Y284" s="41">
        <f>IFERROR(SUM(BN22:BN280),"0")</f>
        <v>7940.1011999999992</v>
      </c>
      <c r="Z284" s="40"/>
      <c r="AA284" s="64"/>
      <c r="AB284" s="64"/>
      <c r="AC284" s="64"/>
    </row>
    <row r="285" spans="1:68" x14ac:dyDescent="0.2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371</v>
      </c>
      <c r="Q285" s="355"/>
      <c r="R285" s="355"/>
      <c r="S285" s="355"/>
      <c r="T285" s="355"/>
      <c r="U285" s="355"/>
      <c r="V285" s="356"/>
      <c r="W285" s="40" t="s">
        <v>372</v>
      </c>
      <c r="X285" s="42">
        <f>ROUNDUP(SUM(BO22:BO280),0)</f>
        <v>20</v>
      </c>
      <c r="Y285" s="42">
        <f>ROUNDUP(SUM(BP22:BP280),0)</f>
        <v>20</v>
      </c>
      <c r="Z285" s="40"/>
      <c r="AA285" s="64"/>
      <c r="AB285" s="64"/>
      <c r="AC285" s="64"/>
    </row>
    <row r="286" spans="1:68" x14ac:dyDescent="0.25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373</v>
      </c>
      <c r="Q286" s="355"/>
      <c r="R286" s="355"/>
      <c r="S286" s="355"/>
      <c r="T286" s="355"/>
      <c r="U286" s="355"/>
      <c r="V286" s="356"/>
      <c r="W286" s="40" t="s">
        <v>82</v>
      </c>
      <c r="X286" s="41">
        <f>GrossWeightTotal+PalletQtyTotal*25</f>
        <v>8440.1011999999992</v>
      </c>
      <c r="Y286" s="41">
        <f>GrossWeightTotalR+PalletQtyTotalR*25</f>
        <v>8440.1011999999992</v>
      </c>
      <c r="Z286" s="40"/>
      <c r="AA286" s="64"/>
      <c r="AB286" s="64"/>
      <c r="AC286" s="64"/>
    </row>
    <row r="287" spans="1:68" x14ac:dyDescent="0.25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374</v>
      </c>
      <c r="Q287" s="355"/>
      <c r="R287" s="355"/>
      <c r="S287" s="355"/>
      <c r="T287" s="355"/>
      <c r="U287" s="355"/>
      <c r="V287" s="356"/>
      <c r="W287" s="40" t="s">
        <v>372</v>
      </c>
      <c r="X287" s="41">
        <f>IFERROR(X28+X34+X41+X48+X56+X61+X65+X70+X76+X82+X87+X93+X103+X109+X120+X124+X128+X135+X141+X147+X153+X159+X164+X169+X174+X181+X186+X195+X201+X207+X213+X218+X223+X229+X235+X241+X245+X251+X258+X262+X268+X281,"0")</f>
        <v>1740</v>
      </c>
      <c r="Y287" s="41">
        <f>IFERROR(Y28+Y34+Y41+Y48+Y56+Y61+Y65+Y70+Y76+Y82+Y87+Y93+Y103+Y109+Y120+Y124+Y128+Y135+Y141+Y147+Y153+Y159+Y164+Y169+Y174+Y181+Y186+Y195+Y201+Y207+Y213+Y218+Y223+Y229+Y235+Y241+Y245+Y251+Y258+Y262+Y268+Y281,"0")</f>
        <v>1740</v>
      </c>
      <c r="Z287" s="40"/>
      <c r="AA287" s="64"/>
      <c r="AB287" s="64"/>
      <c r="AC287" s="64"/>
    </row>
    <row r="288" spans="1:68" ht="14.25" customHeight="1" x14ac:dyDescent="0.25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375</v>
      </c>
      <c r="Q288" s="355"/>
      <c r="R288" s="355"/>
      <c r="S288" s="355"/>
      <c r="T288" s="355"/>
      <c r="U288" s="355"/>
      <c r="V288" s="356"/>
      <c r="W288" s="43" t="s">
        <v>376</v>
      </c>
      <c r="X288" s="40"/>
      <c r="Y288" s="40"/>
      <c r="Z288" s="40">
        <f>IFERROR(Z28+Z34+Z41+Z48+Z56+Z61+Z65+Z70+Z76+Z82+Z87+Z93+Z103+Z109+Z120+Z124+Z128+Z135+Z141+Z147+Z153+Z159+Z164+Z169+Z174+Z181+Z186+Z195+Z201+Z207+Z213+Z218+Z223+Z229+Z235+Z241+Z245+Z251+Z258+Z262+Z268+Z281,"0")</f>
        <v>24.694859999999995</v>
      </c>
      <c r="AA288" s="64"/>
      <c r="AB288" s="64"/>
      <c r="AC288" s="64"/>
    </row>
    <row r="289" spans="1:32" ht="13.5" customHeight="1" thickBot="1" x14ac:dyDescent="0.3"/>
    <row r="290" spans="1:32" ht="27" customHeight="1" thickTop="1" thickBot="1" x14ac:dyDescent="0.3">
      <c r="A290" s="44" t="s">
        <v>377</v>
      </c>
      <c r="B290" s="308" t="s">
        <v>60</v>
      </c>
      <c r="C290" s="390"/>
      <c r="D290" s="308" t="s">
        <v>89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83" t="s">
        <v>253</v>
      </c>
      <c r="W290" s="83" t="s">
        <v>267</v>
      </c>
      <c r="X290" s="308" t="s">
        <v>281</v>
      </c>
      <c r="Y290" s="407"/>
      <c r="Z290" s="407"/>
      <c r="AA290" s="390"/>
      <c r="AB290" s="83" t="s">
        <v>310</v>
      </c>
      <c r="AC290" s="83" t="s">
        <v>315</v>
      </c>
      <c r="AD290" s="83" t="s">
        <v>319</v>
      </c>
      <c r="AE290" s="83" t="s">
        <v>327</v>
      </c>
      <c r="AF290" s="83" t="s">
        <v>331</v>
      </c>
    </row>
    <row r="291" spans="1:32" ht="14.25" customHeight="1" thickTop="1" x14ac:dyDescent="0.25">
      <c r="A291" s="404" t="s">
        <v>378</v>
      </c>
      <c r="B291" s="308" t="s">
        <v>60</v>
      </c>
      <c r="C291" s="308" t="s">
        <v>83</v>
      </c>
      <c r="D291" s="308" t="s">
        <v>90</v>
      </c>
      <c r="E291" s="308" t="s">
        <v>101</v>
      </c>
      <c r="F291" s="308" t="s">
        <v>111</v>
      </c>
      <c r="G291" s="308" t="s">
        <v>122</v>
      </c>
      <c r="H291" s="308" t="s">
        <v>143</v>
      </c>
      <c r="I291" s="308" t="s">
        <v>150</v>
      </c>
      <c r="J291" s="308" t="s">
        <v>154</v>
      </c>
      <c r="K291" s="308" t="s">
        <v>162</v>
      </c>
      <c r="L291" s="308" t="s">
        <v>177</v>
      </c>
      <c r="M291" s="308" t="s">
        <v>183</v>
      </c>
      <c r="N291" s="1"/>
      <c r="O291" s="308" t="s">
        <v>208</v>
      </c>
      <c r="P291" s="308" t="s">
        <v>224</v>
      </c>
      <c r="Q291" s="308" t="s">
        <v>230</v>
      </c>
      <c r="R291" s="308" t="s">
        <v>237</v>
      </c>
      <c r="S291" s="308" t="s">
        <v>242</v>
      </c>
      <c r="T291" s="308" t="s">
        <v>246</v>
      </c>
      <c r="U291" s="308" t="s">
        <v>249</v>
      </c>
      <c r="V291" s="308" t="s">
        <v>254</v>
      </c>
      <c r="W291" s="308" t="s">
        <v>268</v>
      </c>
      <c r="X291" s="308" t="s">
        <v>282</v>
      </c>
      <c r="Y291" s="308" t="s">
        <v>295</v>
      </c>
      <c r="Z291" s="308" t="s">
        <v>302</v>
      </c>
      <c r="AA291" s="308" t="s">
        <v>306</v>
      </c>
      <c r="AB291" s="308" t="s">
        <v>311</v>
      </c>
      <c r="AC291" s="308" t="s">
        <v>316</v>
      </c>
      <c r="AD291" s="308" t="s">
        <v>320</v>
      </c>
      <c r="AE291" s="308" t="s">
        <v>327</v>
      </c>
      <c r="AF291" s="308" t="s">
        <v>331</v>
      </c>
    </row>
    <row r="292" spans="1:32" ht="13.5" customHeight="1" thickBot="1" x14ac:dyDescent="0.3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1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3">
      <c r="A293" s="44" t="s">
        <v>379</v>
      </c>
      <c r="B293" s="50">
        <f>IFERROR(X22*H22,"0")+IFERROR(X23*H23,"0")+IFERROR(X24*H24,"0")+IFERROR(X25*H25,"0")+IFERROR(X26*H26,"0")+IFERROR(X27*H27,"0")</f>
        <v>432</v>
      </c>
      <c r="C293" s="50">
        <f>IFERROR(X32*H32,"0")+IFERROR(X33*H33,"0")</f>
        <v>0</v>
      </c>
      <c r="D293" s="50">
        <f>IFERROR(X39*H39,"0")+IFERROR(X40*H40,"0")</f>
        <v>105</v>
      </c>
      <c r="E293" s="50">
        <f>IFERROR(X45*H45,"0")+IFERROR(X46*H46,"0")+IFERROR(X47*H47,"0")</f>
        <v>201.59999999999997</v>
      </c>
      <c r="F293" s="50">
        <f>IFERROR(X52*H52,"0")+IFERROR(X53*H53,"0")+IFERROR(X54*H54,"0")+IFERROR(X55*H55,"0")</f>
        <v>252</v>
      </c>
      <c r="G293" s="50">
        <f>IFERROR(X60*H60,"0")+IFERROR(X64*H64,"0")+IFERROR(X68*H68,"0")+IFERROR(X69*H69,"0")+IFERROR(X73*H73,"0")+IFERROR(X74*H74,"0")+IFERROR(X75*H75,"0")</f>
        <v>50.4</v>
      </c>
      <c r="H293" s="50">
        <f>IFERROR(X80*H80,"0")+IFERROR(X81*H81,"0")</f>
        <v>660</v>
      </c>
      <c r="I293" s="50">
        <f>IFERROR(X86*H86,"0")</f>
        <v>50.4</v>
      </c>
      <c r="J293" s="50">
        <f>IFERROR(X91*H91,"0")+IFERROR(X92*H92,"0")</f>
        <v>352.8</v>
      </c>
      <c r="K293" s="50">
        <f>IFERROR(X97*H97,"0")+IFERROR(X98*H98,"0")+IFERROR(X99*H99,"0")+IFERROR(X100*H100,"0")+IFERROR(X101*H101,"0")+IFERROR(X102*H102,"0")</f>
        <v>453.6</v>
      </c>
      <c r="L293" s="50">
        <f>IFERROR(X107*H107,"0")+IFERROR(X108*H108,"0")</f>
        <v>30.240000000000002</v>
      </c>
      <c r="M293" s="50">
        <f>IFERROR(X113*H113,"0")+IFERROR(X114*H114,"0")+IFERROR(X115*H115,"0")+IFERROR(X116*H116,"0")+IFERROR(X117*H117,"0")+IFERROR(X118*H118,"0")+IFERROR(X119*H119,"0")+IFERROR(X123*H123,"0")+IFERROR(X127*H127,"0")</f>
        <v>1296.96</v>
      </c>
      <c r="N293" s="1"/>
      <c r="O293" s="50">
        <f>IFERROR(X132*H132,"0")+IFERROR(X133*H133,"0")+IFERROR(X134*H134,"0")+IFERROR(X138*H138,"0")+IFERROR(X139*H139,"0")+IFERROR(X140*H140,"0")</f>
        <v>135.24</v>
      </c>
      <c r="P293" s="50">
        <f>IFERROR(X145*H145,"0")+IFERROR(X146*H146,"0")</f>
        <v>252</v>
      </c>
      <c r="Q293" s="50">
        <f>IFERROR(X151*H151,"0")+IFERROR(X152*H152,"0")</f>
        <v>210</v>
      </c>
      <c r="R293" s="50">
        <f>IFERROR(X157*H157,"0")+IFERROR(X158*H158,"0")</f>
        <v>67.2</v>
      </c>
      <c r="S293" s="50">
        <f>IFERROR(X163*H163,"0")</f>
        <v>0</v>
      </c>
      <c r="T293" s="50">
        <f>IFERROR(X168*H168,"0")</f>
        <v>0</v>
      </c>
      <c r="U293" s="50">
        <f>IFERROR(X173*H173,"0")</f>
        <v>141.12</v>
      </c>
      <c r="V293" s="50">
        <f>IFERROR(X179*H179,"0")+IFERROR(X180*H180,"0")+IFERROR(X184*H184,"0")+IFERROR(X185*H185,"0")</f>
        <v>180</v>
      </c>
      <c r="W293" s="50">
        <f>IFERROR(X191*H191,"0")+IFERROR(X192*H192,"0")+IFERROR(X193*H193,"0")+IFERROR(X194*H194,"0")</f>
        <v>126</v>
      </c>
      <c r="X293" s="50">
        <f>IFERROR(X200*H200,"0")+IFERROR(X204*H204,"0")+IFERROR(X205*H205,"0")+IFERROR(X206*H206,"0")</f>
        <v>110.88</v>
      </c>
      <c r="Y293" s="50">
        <f>IFERROR(X211*H211,"0")+IFERROR(X212*H212,"0")</f>
        <v>0</v>
      </c>
      <c r="Z293" s="50">
        <f>IFERROR(X217*H217,"0")</f>
        <v>180</v>
      </c>
      <c r="AA293" s="50">
        <f>IFERROR(X222*H222,"0")</f>
        <v>0</v>
      </c>
      <c r="AB293" s="50">
        <f>IFERROR(X228*H228,"0")</f>
        <v>0</v>
      </c>
      <c r="AC293" s="50">
        <f>IFERROR(X234*H234,"0")</f>
        <v>120</v>
      </c>
      <c r="AD293" s="50">
        <f>IFERROR(X240*H240,"0")+IFERROR(X244*H244,"0")</f>
        <v>0</v>
      </c>
      <c r="AE293" s="50">
        <f>IFERROR(X250*H250,"0")</f>
        <v>0</v>
      </c>
      <c r="AF293" s="50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1845.8</v>
      </c>
    </row>
    <row r="294" spans="1:32" ht="13.5" customHeight="1" thickTop="1" x14ac:dyDescent="0.25">
      <c r="C294" s="1"/>
    </row>
    <row r="295" spans="1:32" ht="19.5" customHeight="1" x14ac:dyDescent="0.25">
      <c r="A295" s="67" t="s">
        <v>380</v>
      </c>
      <c r="B295" s="67" t="s">
        <v>381</v>
      </c>
      <c r="C295" s="67" t="s">
        <v>382</v>
      </c>
    </row>
    <row r="296" spans="1:32" x14ac:dyDescent="0.25">
      <c r="A296" s="68">
        <f>SUMPRODUCT(--(BB:BB="ЗПФ"),--(W:W="кор"),H:H,Y:Y)+SUMPRODUCT(--(BB:BB="ЗПФ"),--(W:W="кг"),Y:Y)</f>
        <v>3453.6</v>
      </c>
      <c r="B296" s="69">
        <f>SUMPRODUCT(--(BB:BB="ПГП"),--(W:W="кор"),H:H,Y:Y)+SUMPRODUCT(--(BB:BB="ПГП"),--(W:W="кг"),Y:Y)</f>
        <v>3799.6400000000003</v>
      </c>
      <c r="C296" s="69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383</v>
      </c>
      <c r="H1" s="9"/>
    </row>
    <row r="3" spans="2:8" x14ac:dyDescent="0.25">
      <c r="B3" s="51" t="s">
        <v>384</v>
      </c>
      <c r="C3" s="51"/>
      <c r="D3" s="51"/>
      <c r="E3" s="51"/>
    </row>
    <row r="4" spans="2:8" x14ac:dyDescent="0.25">
      <c r="B4" s="51" t="s">
        <v>11</v>
      </c>
      <c r="C4" s="51"/>
      <c r="D4" s="51"/>
      <c r="E4" s="51"/>
    </row>
    <row r="6" spans="2:8" x14ac:dyDescent="0.25">
      <c r="B6" s="51" t="s">
        <v>385</v>
      </c>
      <c r="C6" s="51" t="s">
        <v>386</v>
      </c>
      <c r="D6" s="51" t="s">
        <v>387</v>
      </c>
      <c r="E6" s="51"/>
    </row>
    <row r="7" spans="2:8" x14ac:dyDescent="0.25">
      <c r="B7" s="51" t="s">
        <v>388</v>
      </c>
      <c r="C7" s="51" t="s">
        <v>389</v>
      </c>
      <c r="D7" s="51" t="s">
        <v>390</v>
      </c>
      <c r="E7" s="51"/>
    </row>
    <row r="8" spans="2:8" x14ac:dyDescent="0.25">
      <c r="B8" s="51" t="s">
        <v>13</v>
      </c>
      <c r="C8" s="51" t="s">
        <v>391</v>
      </c>
      <c r="D8" s="51" t="s">
        <v>392</v>
      </c>
      <c r="E8" s="51"/>
    </row>
    <row r="9" spans="2:8" x14ac:dyDescent="0.25">
      <c r="B9" s="51" t="s">
        <v>393</v>
      </c>
      <c r="C9" s="51" t="s">
        <v>394</v>
      </c>
      <c r="D9" s="51" t="s">
        <v>395</v>
      </c>
      <c r="E9" s="51"/>
    </row>
    <row r="10" spans="2:8" x14ac:dyDescent="0.25">
      <c r="B10" s="51" t="s">
        <v>396</v>
      </c>
      <c r="C10" s="51" t="s">
        <v>397</v>
      </c>
      <c r="D10" s="51" t="s">
        <v>398</v>
      </c>
      <c r="E10" s="51"/>
    </row>
    <row r="12" spans="2:8" x14ac:dyDescent="0.25">
      <c r="B12" s="51" t="s">
        <v>399</v>
      </c>
      <c r="C12" s="51" t="s">
        <v>386</v>
      </c>
      <c r="D12" s="51"/>
      <c r="E12" s="51"/>
    </row>
    <row r="14" spans="2:8" x14ac:dyDescent="0.25">
      <c r="B14" s="51" t="s">
        <v>400</v>
      </c>
      <c r="C14" s="51" t="s">
        <v>389</v>
      </c>
      <c r="D14" s="51"/>
      <c r="E14" s="51"/>
    </row>
    <row r="16" spans="2:8" x14ac:dyDescent="0.25">
      <c r="B16" s="51" t="s">
        <v>401</v>
      </c>
      <c r="C16" s="51" t="s">
        <v>391</v>
      </c>
      <c r="D16" s="51"/>
      <c r="E16" s="51"/>
    </row>
    <row r="18" spans="2:5" x14ac:dyDescent="0.25">
      <c r="B18" s="51" t="s">
        <v>402</v>
      </c>
      <c r="C18" s="51" t="s">
        <v>394</v>
      </c>
      <c r="D18" s="51"/>
      <c r="E18" s="51"/>
    </row>
    <row r="20" spans="2:5" x14ac:dyDescent="0.25">
      <c r="B20" s="51" t="s">
        <v>403</v>
      </c>
      <c r="C20" s="51" t="s">
        <v>397</v>
      </c>
      <c r="D20" s="51"/>
      <c r="E20" s="51"/>
    </row>
    <row r="22" spans="2:5" x14ac:dyDescent="0.25">
      <c r="B22" s="51" t="s">
        <v>404</v>
      </c>
      <c r="C22" s="51"/>
      <c r="D22" s="51"/>
      <c r="E22" s="51"/>
    </row>
    <row r="23" spans="2:5" x14ac:dyDescent="0.25">
      <c r="B23" s="51" t="s">
        <v>405</v>
      </c>
      <c r="C23" s="51"/>
      <c r="D23" s="51"/>
      <c r="E23" s="51"/>
    </row>
    <row r="24" spans="2:5" x14ac:dyDescent="0.25">
      <c r="B24" s="51" t="s">
        <v>406</v>
      </c>
      <c r="C24" s="51"/>
      <c r="D24" s="51"/>
      <c r="E24" s="51"/>
    </row>
    <row r="25" spans="2:5" x14ac:dyDescent="0.25">
      <c r="B25" s="51" t="s">
        <v>407</v>
      </c>
      <c r="C25" s="51"/>
      <c r="D25" s="51"/>
      <c r="E25" s="51"/>
    </row>
    <row r="26" spans="2:5" x14ac:dyDescent="0.25">
      <c r="B26" s="51" t="s">
        <v>408</v>
      </c>
      <c r="C26" s="51"/>
      <c r="D26" s="51"/>
      <c r="E26" s="51"/>
    </row>
    <row r="27" spans="2:5" x14ac:dyDescent="0.25">
      <c r="B27" s="51" t="s">
        <v>409</v>
      </c>
      <c r="C27" s="51"/>
      <c r="D27" s="51"/>
      <c r="E27" s="51"/>
    </row>
    <row r="28" spans="2:5" x14ac:dyDescent="0.25">
      <c r="B28" s="51" t="s">
        <v>410</v>
      </c>
      <c r="C28" s="51"/>
      <c r="D28" s="51"/>
      <c r="E28" s="51"/>
    </row>
    <row r="29" spans="2:5" x14ac:dyDescent="0.25">
      <c r="B29" s="51" t="s">
        <v>411</v>
      </c>
      <c r="C29" s="51"/>
      <c r="D29" s="51"/>
      <c r="E29" s="51"/>
    </row>
    <row r="30" spans="2:5" x14ac:dyDescent="0.25">
      <c r="B30" s="51" t="s">
        <v>412</v>
      </c>
      <c r="C30" s="51"/>
      <c r="D30" s="51"/>
      <c r="E30" s="51"/>
    </row>
    <row r="31" spans="2:5" x14ac:dyDescent="0.25">
      <c r="B31" s="51" t="s">
        <v>413</v>
      </c>
      <c r="C31" s="51"/>
      <c r="D31" s="51"/>
      <c r="E31" s="51"/>
    </row>
    <row r="32" spans="2:5" x14ac:dyDescent="0.25">
      <c r="B32" s="51" t="s">
        <v>414</v>
      </c>
      <c r="C32" s="51"/>
      <c r="D32" s="51"/>
      <c r="E32" s="51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2026-06-27T08:30:46Z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