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6CC388-3A92-43EC-8F5B-BB4E1DCB541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заказа'!$B$182:$B$182</definedName>
    <definedName name="ProductId66">'Бланк заказа'!$B$183:$B$183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заказа'!$B$205:$B$205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заказа'!$B$222:$B$222</definedName>
    <definedName name="ProductId8">'Бланк заказа'!$B$33:$B$33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заказа'!$B$245:$B$245</definedName>
    <definedName name="ProductId85">'Бланк заказа'!$B$249:$B$249</definedName>
    <definedName name="ProductId86">'Бланк заказа'!$B$253:$B$253</definedName>
    <definedName name="ProductId87">'Бланк заказа'!$B$254:$B$254</definedName>
    <definedName name="ProductId88">'Бланк заказа'!$B$255:$B$255</definedName>
    <definedName name="ProductId89">'Бланк заказа'!$B$259:$B$259</definedName>
    <definedName name="ProductId9">'Бланк заказа'!$B$34:$B$34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ductId98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заказа'!$X$182:$X$182</definedName>
    <definedName name="SalesQty66">'Бланк заказа'!$X$183:$X$183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заказа'!$X$205:$X$205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заказа'!$X$222:$X$222</definedName>
    <definedName name="SalesQty8">'Бланк заказа'!$X$33:$X$33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заказа'!$X$245:$X$245</definedName>
    <definedName name="SalesQty85">'Бланк заказа'!$X$249:$X$249</definedName>
    <definedName name="SalesQty86">'Бланк заказа'!$X$253:$X$253</definedName>
    <definedName name="SalesQty87">'Бланк заказа'!$X$254:$X$254</definedName>
    <definedName name="SalesQty88">'Бланк заказа'!$X$255:$X$255</definedName>
    <definedName name="SalesQty89">'Бланк заказа'!$X$259:$X$259</definedName>
    <definedName name="SalesQty9">'Бланк заказа'!$X$34:$X$34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Qty98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заказа'!$Y$182:$Y$182</definedName>
    <definedName name="SalesRoundBox66">'Бланк заказа'!$Y$183:$Y$183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заказа'!$Y$205:$Y$205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заказа'!$Y$222:$Y$222</definedName>
    <definedName name="SalesRoundBox8">'Бланк заказа'!$Y$33:$Y$33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заказа'!$Y$245:$Y$245</definedName>
    <definedName name="SalesRoundBox85">'Бланк заказа'!$Y$249:$Y$249</definedName>
    <definedName name="SalesRoundBox86">'Бланк заказа'!$Y$253:$Y$253</definedName>
    <definedName name="SalesRoundBox87">'Бланк заказа'!$Y$254:$Y$254</definedName>
    <definedName name="SalesRoundBox88">'Бланк заказа'!$Y$255:$Y$255</definedName>
    <definedName name="SalesRoundBox89">'Бланк заказа'!$Y$259:$Y$259</definedName>
    <definedName name="SalesRoundBox9">'Бланк заказа'!$Y$34:$Y$34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SalesRoundBox98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заказа'!$W$182:$W$182</definedName>
    <definedName name="UnitOfMeasure66">'Бланк заказа'!$W$183:$W$183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заказа'!$W$205:$W$205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заказа'!$W$222:$W$222</definedName>
    <definedName name="UnitOfMeasure8">'Бланк заказа'!$W$33:$W$33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заказа'!$W$245:$W$245</definedName>
    <definedName name="UnitOfMeasure85">'Бланк заказа'!$W$249:$W$249</definedName>
    <definedName name="UnitOfMeasure86">'Бланк заказа'!$W$253:$W$253</definedName>
    <definedName name="UnitOfMeasure87">'Бланк заказа'!$W$254:$W$254</definedName>
    <definedName name="UnitOfMeasure88">'Бланк заказа'!$W$255:$W$255</definedName>
    <definedName name="UnitOfMeasure89">'Бланк заказа'!$W$259:$W$259</definedName>
    <definedName name="UnitOfMeasure9">'Бланк заказа'!$W$34:$W$34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itOfMeasure98">'Бланк заказа'!$W$268:$W$268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Y253" i="2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Y239" i="2"/>
  <c r="X239" i="2"/>
  <c r="BP238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X223" i="2"/>
  <c r="BO222" i="2"/>
  <c r="BN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O215" i="2"/>
  <c r="BM215" i="2"/>
  <c r="Z215" i="2"/>
  <c r="Y215" i="2"/>
  <c r="BP215" i="2" s="1"/>
  <c r="P215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X200" i="2"/>
  <c r="X199" i="2"/>
  <c r="BO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80" i="2"/>
  <c r="X179" i="2"/>
  <c r="BO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P142" i="2"/>
  <c r="BO141" i="2"/>
  <c r="BM141" i="2"/>
  <c r="Z141" i="2"/>
  <c r="Y141" i="2"/>
  <c r="P141" i="2"/>
  <c r="X138" i="2"/>
  <c r="X137" i="2"/>
  <c r="BO136" i="2"/>
  <c r="BM136" i="2"/>
  <c r="Z136" i="2"/>
  <c r="Y136" i="2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Z126" i="2" s="1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X95" i="2"/>
  <c r="X94" i="2"/>
  <c r="BO93" i="2"/>
  <c r="BM93" i="2"/>
  <c r="Z93" i="2"/>
  <c r="Y93" i="2"/>
  <c r="P93" i="2"/>
  <c r="BO92" i="2"/>
  <c r="BM92" i="2"/>
  <c r="Z92" i="2"/>
  <c r="Y92" i="2"/>
  <c r="BP92" i="2" s="1"/>
  <c r="P92" i="2"/>
  <c r="X89" i="2"/>
  <c r="X88" i="2"/>
  <c r="BO87" i="2"/>
  <c r="BM87" i="2"/>
  <c r="Z87" i="2"/>
  <c r="Z88" i="2" s="1"/>
  <c r="Y87" i="2"/>
  <c r="P87" i="2"/>
  <c r="X84" i="2"/>
  <c r="X83" i="2"/>
  <c r="BO82" i="2"/>
  <c r="BM82" i="2"/>
  <c r="Z82" i="2"/>
  <c r="Y82" i="2"/>
  <c r="BP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BP76" i="2" s="1"/>
  <c r="P76" i="2"/>
  <c r="BO75" i="2"/>
  <c r="BM75" i="2"/>
  <c r="Z75" i="2"/>
  <c r="Y75" i="2"/>
  <c r="P75" i="2"/>
  <c r="BO74" i="2"/>
  <c r="BM74" i="2"/>
  <c r="Z74" i="2"/>
  <c r="Y74" i="2"/>
  <c r="BP74" i="2" s="1"/>
  <c r="P74" i="2"/>
  <c r="X72" i="2"/>
  <c r="X71" i="2"/>
  <c r="BO70" i="2"/>
  <c r="BM70" i="2"/>
  <c r="Z70" i="2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BO46" i="2"/>
  <c r="BM46" i="2"/>
  <c r="Z46" i="2"/>
  <c r="Y46" i="2"/>
  <c r="P46" i="2"/>
  <c r="X43" i="2"/>
  <c r="X42" i="2"/>
  <c r="BO41" i="2"/>
  <c r="BM41" i="2"/>
  <c r="Z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Z34" i="2"/>
  <c r="Y34" i="2"/>
  <c r="P34" i="2"/>
  <c r="BO33" i="2"/>
  <c r="BM33" i="2"/>
  <c r="Z33" i="2"/>
  <c r="Y33" i="2"/>
  <c r="BP33" i="2" s="1"/>
  <c r="P33" i="2"/>
  <c r="X30" i="2"/>
  <c r="X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200" i="2" l="1"/>
  <c r="BN264" i="2"/>
  <c r="BP222" i="2"/>
  <c r="Y223" i="2"/>
  <c r="BN215" i="2"/>
  <c r="BN198" i="2"/>
  <c r="Z256" i="2"/>
  <c r="Y207" i="2"/>
  <c r="Z71" i="2"/>
  <c r="Z217" i="2"/>
  <c r="BN238" i="2"/>
  <c r="Y49" i="2"/>
  <c r="Y84" i="2"/>
  <c r="Z111" i="2"/>
  <c r="Y230" i="2"/>
  <c r="Y163" i="2"/>
  <c r="Z83" i="2"/>
  <c r="BN189" i="2"/>
  <c r="Y144" i="2"/>
  <c r="Z144" i="2"/>
  <c r="Z105" i="2"/>
  <c r="BP98" i="2"/>
  <c r="BN92" i="2"/>
  <c r="Y95" i="2"/>
  <c r="X273" i="2"/>
  <c r="Z57" i="2"/>
  <c r="BP24" i="2"/>
  <c r="Y58" i="2"/>
  <c r="Y106" i="2"/>
  <c r="BN103" i="2"/>
  <c r="BN109" i="2"/>
  <c r="Y111" i="2"/>
  <c r="BP117" i="2"/>
  <c r="Y130" i="2"/>
  <c r="Z137" i="2"/>
  <c r="BP135" i="2"/>
  <c r="Z151" i="2"/>
  <c r="Z157" i="2"/>
  <c r="BP161" i="2"/>
  <c r="Y162" i="2"/>
  <c r="BP177" i="2"/>
  <c r="Z184" i="2"/>
  <c r="Z193" i="2"/>
  <c r="Y199" i="2"/>
  <c r="BP203" i="2"/>
  <c r="Z246" i="2"/>
  <c r="BN245" i="2"/>
  <c r="Y246" i="2"/>
  <c r="Y247" i="2"/>
  <c r="Y251" i="2"/>
  <c r="Y257" i="2"/>
  <c r="BN254" i="2"/>
  <c r="BP259" i="2"/>
  <c r="BN267" i="2"/>
  <c r="Z29" i="2"/>
  <c r="BN22" i="2"/>
  <c r="Y30" i="2"/>
  <c r="BN27" i="2"/>
  <c r="Z35" i="2"/>
  <c r="BN33" i="2"/>
  <c r="Y36" i="2"/>
  <c r="Z42" i="2"/>
  <c r="Z49" i="2"/>
  <c r="BN48" i="2"/>
  <c r="BN54" i="2"/>
  <c r="Y57" i="2"/>
  <c r="Z94" i="2"/>
  <c r="BP100" i="2"/>
  <c r="BN120" i="2"/>
  <c r="Y131" i="2"/>
  <c r="BP141" i="2"/>
  <c r="Y145" i="2"/>
  <c r="Z179" i="2"/>
  <c r="BP182" i="2"/>
  <c r="Z269" i="2"/>
  <c r="Y211" i="2"/>
  <c r="BP210" i="2"/>
  <c r="BN210" i="2"/>
  <c r="Y212" i="2"/>
  <c r="BN265" i="2"/>
  <c r="BN190" i="2"/>
  <c r="Y194" i="2"/>
  <c r="BP190" i="2"/>
  <c r="Y193" i="2"/>
  <c r="Y72" i="2"/>
  <c r="Y71" i="2"/>
  <c r="BP70" i="2"/>
  <c r="BN75" i="2"/>
  <c r="BP75" i="2"/>
  <c r="Y127" i="2"/>
  <c r="BP125" i="2"/>
  <c r="Y126" i="2"/>
  <c r="BN260" i="2"/>
  <c r="Y269" i="2"/>
  <c r="BP260" i="2"/>
  <c r="BN142" i="2"/>
  <c r="BP142" i="2"/>
  <c r="Y185" i="2"/>
  <c r="Y184" i="2"/>
  <c r="BN183" i="2"/>
  <c r="BP183" i="2"/>
  <c r="BN204" i="2"/>
  <c r="BP204" i="2"/>
  <c r="Y157" i="2"/>
  <c r="Y158" i="2"/>
  <c r="BP156" i="2"/>
  <c r="Y236" i="2"/>
  <c r="Y235" i="2"/>
  <c r="BP234" i="2"/>
  <c r="BN234" i="2"/>
  <c r="BN46" i="2"/>
  <c r="BN156" i="2"/>
  <c r="Y152" i="2"/>
  <c r="Y151" i="2"/>
  <c r="BP148" i="2"/>
  <c r="BN148" i="2"/>
  <c r="Y77" i="2"/>
  <c r="BP136" i="2"/>
  <c r="BN136" i="2"/>
  <c r="BN178" i="2"/>
  <c r="Y180" i="2"/>
  <c r="Y179" i="2"/>
  <c r="BP178" i="2"/>
  <c r="Y67" i="2"/>
  <c r="BP65" i="2"/>
  <c r="Y66" i="2"/>
  <c r="BN25" i="2"/>
  <c r="Y43" i="2"/>
  <c r="Y42" i="2"/>
  <c r="BP40" i="2"/>
  <c r="Z77" i="2"/>
  <c r="Y83" i="2"/>
  <c r="BP81" i="2"/>
  <c r="BN81" i="2"/>
  <c r="BP118" i="2"/>
  <c r="BN118" i="2"/>
  <c r="BN255" i="2"/>
  <c r="BN70" i="2"/>
  <c r="X272" i="2"/>
  <c r="BP101" i="2"/>
  <c r="BN101" i="2"/>
  <c r="Y123" i="2"/>
  <c r="Y122" i="2"/>
  <c r="BP115" i="2"/>
  <c r="Y206" i="2"/>
  <c r="X275" i="2"/>
  <c r="Y50" i="2"/>
  <c r="BP46" i="2"/>
  <c r="Y78" i="2"/>
  <c r="X271" i="2"/>
  <c r="Z122" i="2"/>
  <c r="Z206" i="2"/>
  <c r="Y89" i="2"/>
  <c r="Y88" i="2"/>
  <c r="BP87" i="2"/>
  <c r="BN87" i="2"/>
  <c r="BN65" i="2"/>
  <c r="BN40" i="2"/>
  <c r="BN150" i="2"/>
  <c r="Y172" i="2"/>
  <c r="Y173" i="2"/>
  <c r="BP171" i="2"/>
  <c r="BN192" i="2"/>
  <c r="Y218" i="2"/>
  <c r="Y217" i="2"/>
  <c r="BP216" i="2"/>
  <c r="BN216" i="2"/>
  <c r="BP268" i="2"/>
  <c r="BN268" i="2"/>
  <c r="BN55" i="2"/>
  <c r="BN34" i="2"/>
  <c r="BN121" i="2"/>
  <c r="BN202" i="2"/>
  <c r="BN61" i="2"/>
  <c r="BP253" i="2"/>
  <c r="BP263" i="2"/>
  <c r="BN205" i="2"/>
  <c r="BN261" i="2"/>
  <c r="BN28" i="2"/>
  <c r="BN93" i="2"/>
  <c r="BN104" i="2"/>
  <c r="BN23" i="2"/>
  <c r="BN99" i="2"/>
  <c r="BN110" i="2"/>
  <c r="BN134" i="2"/>
  <c r="Y137" i="2"/>
  <c r="BN41" i="2"/>
  <c r="BN116" i="2"/>
  <c r="BN166" i="2"/>
  <c r="H9" i="2"/>
  <c r="BP23" i="2"/>
  <c r="BP34" i="2"/>
  <c r="BN47" i="2"/>
  <c r="BP61" i="2"/>
  <c r="BP99" i="2"/>
  <c r="BP202" i="2"/>
  <c r="BN266" i="2"/>
  <c r="BN26" i="2"/>
  <c r="BN76" i="2"/>
  <c r="Y105" i="2"/>
  <c r="Y138" i="2"/>
  <c r="BP166" i="2"/>
  <c r="Y35" i="2"/>
  <c r="Y62" i="2"/>
  <c r="BN143" i="2"/>
  <c r="BN244" i="2"/>
  <c r="F10" i="2"/>
  <c r="BP102" i="2"/>
  <c r="BN149" i="2"/>
  <c r="Y167" i="2"/>
  <c r="BN191" i="2"/>
  <c r="BN249" i="2"/>
  <c r="Y270" i="2"/>
  <c r="BN129" i="2"/>
  <c r="BN155" i="2"/>
  <c r="BP228" i="2"/>
  <c r="BN74" i="2"/>
  <c r="Y112" i="2"/>
  <c r="BN253" i="2"/>
  <c r="Y256" i="2"/>
  <c r="F9" i="2"/>
  <c r="BP93" i="2"/>
  <c r="BP110" i="2"/>
  <c r="J9" i="2"/>
  <c r="Y29" i="2"/>
  <c r="BN53" i="2"/>
  <c r="Y94" i="2"/>
  <c r="BN82" i="2"/>
  <c r="BN119" i="2"/>
  <c r="BN228" i="2"/>
  <c r="BN56" i="2"/>
  <c r="BN69" i="2"/>
  <c r="BN141" i="2"/>
  <c r="X274" i="2" l="1"/>
  <c r="Z276" i="2"/>
  <c r="Y273" i="2"/>
  <c r="Y271" i="2"/>
  <c r="Y272" i="2"/>
  <c r="Y275" i="2"/>
  <c r="Y274" i="2" l="1"/>
  <c r="A284" i="2" s="1"/>
  <c r="C284" i="2"/>
  <c r="B284" i="2"/>
</calcChain>
</file>

<file path=xl/sharedStrings.xml><?xml version="1.0" encoding="utf-8"?>
<sst xmlns="http://schemas.openxmlformats.org/spreadsheetml/2006/main" count="1707" uniqueCount="397">
  <si>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</si>
  <si>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</si>
  <si>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</si>
  <si>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</si>
  <si>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</si>
  <si>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</si>
  <si>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</si>
  <si>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</si>
  <si>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</si>
  <si>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</si>
  <si>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</si>
  <si>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</si>
  <si>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</si>
  <si>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</si>
  <si>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</si>
  <si>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</si>
  <si>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</si>
  <si>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</si>
  <si>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</si>
  <si>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</si>
  <si>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</si>
  <si>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</si>
  <si>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</si>
  <si>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</si>
  <si>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</si>
  <si>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</si>
  <si>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</si>
  <si>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</si>
  <si>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</si>
  <si>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</si>
  <si>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</si>
  <si>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</si>
  <si>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</si>
  <si>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</si>
  <si>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</si>
  <si>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</si>
  <si>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</si>
  <si>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</si>
  <si>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</si>
  <si>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</si>
  <si>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</si>
  <si>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</si>
  <si>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</si>
  <si>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</si>
  <si>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</si>
  <si>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</si>
  <si>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</si>
  <si>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</si>
  <si>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</si>
  <si>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</si>
  <si>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</si>
  <si>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</si>
  <si>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</si>
  <si>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</si>
  <si>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</si>
  <si>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</si>
  <si>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</si>
  <si>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</si>
  <si>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</si>
  <si>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</si>
  <si>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</si>
  <si>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</si>
  <si>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</si>
  <si>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</si>
  <si>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</si>
  <si>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</si>
  <si>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</si>
  <si>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</si>
  <si>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</si>
  <si>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</si>
  <si>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</si>
  <si>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</si>
  <si>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</si>
  <si>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</si>
  <si>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</si>
  <si>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</si>
  <si>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</si>
  <si>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</si>
  <si>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Семёновка с., Северный переезд ул, стр 3,</t>
  </si>
  <si>
    <t>272355Российская Федерация, Запорожская обл, Мелитопольский р-н, Мелитополь г, Семёновка с., Северный переезд ул, стр 3,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</si>
  <si>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</si>
  <si>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</si>
  <si>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</si>
  <si>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</si>
  <si>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</si>
  <si>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</si>
  <si>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</si>
  <si>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</si>
  <si>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</si>
  <si>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</si>
  <si>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</si>
  <si>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</si>
  <si>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</si>
  <si>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</si>
  <si>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</si>
  <si>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</si>
  <si>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</si>
  <si>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</si>
  <si>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</si>
  <si>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</si>
  <si>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</si>
  <si>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</si>
  <si>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</si>
  <si>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</si>
  <si>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</si>
  <si>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</si>
  <si>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</si>
  <si>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</si>
  <si>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</si>
  <si>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</si>
  <si>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</si>
  <si>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</si>
  <si>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</si>
  <si>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</si>
  <si>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</si>
  <si>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</si>
  <si>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</si>
  <si>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</si>
  <si>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</si>
  <si>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</si>
  <si>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</si>
  <si>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</si>
  <si>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</si>
  <si>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</si>
  <si>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</si>
  <si>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</si>
  <si>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</si>
  <si>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</si>
  <si>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</si>
  <si>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</si>
  <si>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</si>
  <si>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</si>
  <si>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</si>
  <si>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</si>
  <si>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</si>
  <si>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</si>
  <si>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</si>
  <si>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</si>
  <si>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</si>
  <si>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</si>
  <si>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</si>
  <si>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</si>
  <si>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</si>
  <si>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</si>
  <si>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</si>
  <si>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</si>
  <si>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</si>
  <si>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</si>
  <si>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</si>
  <si>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</si>
  <si>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</si>
  <si>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</si>
  <si>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</si>
  <si>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</si>
  <si>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</si>
  <si>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</si>
  <si>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</si>
  <si>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</si>
  <si>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</si>
  <si>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</si>
  <si>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</si>
  <si>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</si>
  <si>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</si>
  <si>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</si>
  <si>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</si>
  <si>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</si>
  <si>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</si>
  <si>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</si>
  <si>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</si>
  <si>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</si>
  <si>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</si>
  <si>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</si>
  <si>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</si>
  <si>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</si>
  <si>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</si>
  <si>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</si>
  <si>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</si>
  <si>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</si>
  <si>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</si>
  <si>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</si>
  <si>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</si>
  <si>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</si>
  <si>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</si>
  <si>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</si>
  <si>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</si>
  <si>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</si>
  <si>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</si>
  <si>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</si>
  <si>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</si>
  <si>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</si>
  <si>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</si>
  <si>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</si>
  <si>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</si>
  <si>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</si>
  <si>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</si>
  <si>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</si>
  <si>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</si>
  <si>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</si>
  <si>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</si>
  <si>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</si>
  <si>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</si>
  <si>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</si>
  <si>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</si>
  <si>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</si>
  <si>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</si>
  <si>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</si>
  <si>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</si>
  <si>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</si>
  <si>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</si>
  <si>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</si>
  <si>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</si>
  <si>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</si>
  <si>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</si>
  <si>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</si>
  <si>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</si>
  <si>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</si>
  <si>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</si>
  <si>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</si>
  <si>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</si>
  <si>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</si>
  <si>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</si>
  <si>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</si>
  <si>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</si>
  <si>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</si>
  <si>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</si>
  <si>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</si>
  <si>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</si>
  <si>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</si>
  <si>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</si>
  <si>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</si>
  <si>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</si>
  <si>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</si>
  <si>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</si>
  <si>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</si>
  <si>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</si>
  <si>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</si>
  <si>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</si>
  <si>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</si>
  <si>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</si>
  <si>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</si>
  <si>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</si>
  <si>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</si>
  <si>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</si>
  <si>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</si>
  <si>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</si>
  <si>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</si>
  <si>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</si>
  <si>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</si>
  <si>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</si>
  <si>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</si>
  <si>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</si>
  <si>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</si>
  <si>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</si>
  <si>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</si>
  <si>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</si>
  <si>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</si>
  <si>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</si>
  <si>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</si>
  <si>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</si>
  <si>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</si>
  <si>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</si>
  <si>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</si>
  <si>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</si>
  <si>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</si>
  <si>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</si>
  <si>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</si>
  <si>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</si>
  <si>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</si>
  <si>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</si>
  <si>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</si>
  <si>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</si>
  <si>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</si>
  <si>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</si>
  <si>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</si>
  <si>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</si>
  <si>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</si>
  <si>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</si>
  <si>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</si>
  <si>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</si>
  <si>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</si>
  <si>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</si>
  <si>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</si>
  <si>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</si>
  <si>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</si>
  <si>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</si>
  <si>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</si>
  <si>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</si>
  <si>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</si>
  <si>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</si>
  <si>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</si>
  <si>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</si>
  <si>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</si>
  <si>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</si>
  <si>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</si>
  <si>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</si>
  <si>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</si>
  <si>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</si>
  <si>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</si>
  <si>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</si>
  <si>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</si>
  <si>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</si>
  <si>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</si>
  <si>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</si>
  <si>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</si>
  <si>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</si>
  <si>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</si>
  <si>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</si>
  <si>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</si>
  <si>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</si>
  <si>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</si>
  <si>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</si>
  <si>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</si>
  <si>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</si>
  <si>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</si>
  <si>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</si>
  <si>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</si>
  <si>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</si>
  <si>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</si>
  <si>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</si>
  <si>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</si>
  <si>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</si>
  <si>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</si>
  <si>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</si>
  <si>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</si>
  <si>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</si>
  <si>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</si>
  <si>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</si>
  <si>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</si>
  <si>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</si>
  <si>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</si>
  <si>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</si>
  <si>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</si>
  <si>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</si>
  <si>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</si>
  <si>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</si>
  <si>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</si>
  <si>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</si>
  <si>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</si>
  <si>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</si>
  <si>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</si>
  <si>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</si>
  <si>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</si>
  <si>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</si>
  <si>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</si>
  <si>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</si>
  <si>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</si>
  <si>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</si>
  <si>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</si>
  <si>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</si>
  <si>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</si>
  <si>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</si>
  <si>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</si>
  <si>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</si>
  <si>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</si>
  <si>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</si>
  <si>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</si>
  <si>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</si>
  <si>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</si>
  <si>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</si>
  <si>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</si>
  <si>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</si>
  <si>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</si>
  <si>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</si>
  <si>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</si>
  <si>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</si>
  <si>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</si>
  <si>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</si>
  <si>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</si>
  <si>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</si>
  <si>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</si>
  <si>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</si>
  <si>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</si>
  <si>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</si>
  <si>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</si>
  <si>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</si>
  <si>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</si>
  <si>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</si>
  <si>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</si>
  <si>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</si>
  <si>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</si>
  <si>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</si>
  <si>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</si>
  <si>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</si>
  <si>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596383_10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</si>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</sst>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 t="s">
        <v>396</v>
      </c>
      <c r="I5" s="458"/>
      <c r="J5" s="458"/>
      <c r="K5" s="458"/>
      <c r="L5" s="458"/>
      <c r="M5" s="458"/>
      <c r="N5" s="72"/>
      <c r="P5" s="26" t="s">
        <v>4</v>
      </c>
      <c r="Q5" s="460">
        <v>46203</v>
      </c>
      <c r="R5" s="460"/>
      <c r="T5" s="461" t="s">
        <v>3</v>
      </c>
      <c r="U5" s="462"/>
      <c r="V5" s="463" t="s">
        <v>382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 t="s">
        <v>78</v>
      </c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Вторник</v>
      </c>
      <c r="R6" s="438"/>
      <c r="T6" s="439" t="s">
        <v>5</v>
      </c>
      <c r="U6" s="440"/>
      <c r="V6" s="441" t="s">
        <v>72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 t="str">
        <f>IFERROR(VLOOKUP(DeliveryAddress,Table,3,0),1)</f>
        <v>1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 t="s">
        <v>79</v>
      </c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0.41666666666666669</v>
      </c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/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73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74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75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76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77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1" t="s">
        <v>80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52"/>
      <c r="AB19" s="52"/>
      <c r="AC19" s="52"/>
    </row>
    <row r="20" spans="1:68" ht="16.5" hidden="1" customHeight="1" x14ac:dyDescent="0.25">
      <c r="A20" s="312" t="s">
        <v>80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62"/>
      <c r="AB20" s="62"/>
      <c r="AC20" s="62"/>
    </row>
    <row r="21" spans="1:68" ht="14.25" hidden="1" customHeight="1" x14ac:dyDescent="0.25">
      <c r="A21" s="302" t="s">
        <v>81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hidden="1" customHeight="1" x14ac:dyDescent="0.25">
      <c r="A22" s="60" t="s">
        <v>82</v>
      </c>
      <c r="B22" s="60" t="s">
        <v>83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86</v>
      </c>
      <c r="L22" s="35" t="s">
        <v>87</v>
      </c>
      <c r="M22" s="36" t="s">
        <v>85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8" si="0">IFERROR(IF(X22="","",X22),"")</f>
        <v>0</v>
      </c>
      <c r="Z22" s="39">
        <f t="shared" ref="Z22:Z28" si="1">IFERROR(IF(X22="","",X22*0.0155),"")</f>
        <v>0</v>
      </c>
      <c r="AA22" s="65" t="s">
        <v>46</v>
      </c>
      <c r="AB22" s="66" t="s">
        <v>46</v>
      </c>
      <c r="AC22" s="84" t="s">
        <v>84</v>
      </c>
      <c r="AG22" s="78"/>
      <c r="AJ22" s="82" t="s">
        <v>88</v>
      </c>
      <c r="AK22" s="82">
        <v>1</v>
      </c>
      <c r="BB22" s="85" t="s">
        <v>70</v>
      </c>
      <c r="BM22" s="78">
        <f t="shared" ref="BM22:BM28" si="2">IFERROR(X22*I22,"0")</f>
        <v>0</v>
      </c>
      <c r="BN22" s="78">
        <f t="shared" ref="BN22:BN28" si="3">IFERROR(Y22*I22,"0")</f>
        <v>0</v>
      </c>
      <c r="BO22" s="78">
        <f t="shared" ref="BO22:BO28" si="4">IFERROR(X22/J22,"0")</f>
        <v>0</v>
      </c>
      <c r="BP22" s="78">
        <f t="shared" ref="BP22:BP28" si="5">IFERROR(Y22/J22,"0")</f>
        <v>0</v>
      </c>
    </row>
    <row r="23" spans="1:68" ht="27" hidden="1" customHeight="1" x14ac:dyDescent="0.25">
      <c r="A23" s="60" t="s">
        <v>89</v>
      </c>
      <c r="B23" s="60" t="s">
        <v>90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86</v>
      </c>
      <c r="L23" s="35" t="s">
        <v>87</v>
      </c>
      <c r="M23" s="36" t="s">
        <v>85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84</v>
      </c>
      <c r="AG23" s="78"/>
      <c r="AJ23" s="82" t="s">
        <v>88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91</v>
      </c>
      <c r="B24" s="60" t="s">
        <v>92</v>
      </c>
      <c r="C24" s="34">
        <v>4301071108</v>
      </c>
      <c r="D24" s="284">
        <v>4607111035912</v>
      </c>
      <c r="E24" s="284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86</v>
      </c>
      <c r="L24" s="35" t="s">
        <v>87</v>
      </c>
      <c r="M24" s="36" t="s">
        <v>85</v>
      </c>
      <c r="N24" s="36"/>
      <c r="O24" s="35">
        <v>180</v>
      </c>
      <c r="P24" s="39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93</v>
      </c>
      <c r="AG24" s="78"/>
      <c r="AJ24" s="82" t="s">
        <v>88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94</v>
      </c>
      <c r="B25" s="60" t="s">
        <v>95</v>
      </c>
      <c r="C25" s="34">
        <v>4301071109</v>
      </c>
      <c r="D25" s="284">
        <v>4607111035929</v>
      </c>
      <c r="E25" s="284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86</v>
      </c>
      <c r="L25" s="35" t="s">
        <v>87</v>
      </c>
      <c r="M25" s="36" t="s">
        <v>85</v>
      </c>
      <c r="N25" s="36"/>
      <c r="O25" s="35">
        <v>180</v>
      </c>
      <c r="P25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93</v>
      </c>
      <c r="AG25" s="78"/>
      <c r="AJ25" s="82" t="s">
        <v>88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96</v>
      </c>
      <c r="B26" s="60" t="s">
        <v>97</v>
      </c>
      <c r="C26" s="34">
        <v>4301071106</v>
      </c>
      <c r="D26" s="284">
        <v>4607111035882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86</v>
      </c>
      <c r="L26" s="35" t="s">
        <v>87</v>
      </c>
      <c r="M26" s="36" t="s">
        <v>85</v>
      </c>
      <c r="N26" s="36"/>
      <c r="O26" s="35">
        <v>180</v>
      </c>
      <c r="P26" s="39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93</v>
      </c>
      <c r="AG26" s="78"/>
      <c r="AJ26" s="82" t="s">
        <v>88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4301071105</v>
      </c>
      <c r="D27" s="284">
        <v>4607111035110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86</v>
      </c>
      <c r="L27" s="35" t="s">
        <v>87</v>
      </c>
      <c r="M27" s="36" t="s">
        <v>85</v>
      </c>
      <c r="N27" s="36"/>
      <c r="O27" s="35">
        <v>180</v>
      </c>
      <c r="P27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93</v>
      </c>
      <c r="AG27" s="78"/>
      <c r="AJ27" s="82" t="s">
        <v>88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4301071107</v>
      </c>
      <c r="D28" s="284">
        <v>4607111035905</v>
      </c>
      <c r="E28" s="284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86</v>
      </c>
      <c r="L28" s="35" t="s">
        <v>87</v>
      </c>
      <c r="M28" s="36" t="s">
        <v>85</v>
      </c>
      <c r="N28" s="36"/>
      <c r="O28" s="35">
        <v>180</v>
      </c>
      <c r="P28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93</v>
      </c>
      <c r="AG28" s="78"/>
      <c r="AJ28" s="82" t="s">
        <v>88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idden="1" x14ac:dyDescent="0.2">
      <c r="A29" s="291"/>
      <c r="B29" s="291"/>
      <c r="C29" s="291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2"/>
      <c r="P29" s="288" t="s">
        <v>40</v>
      </c>
      <c r="Q29" s="289"/>
      <c r="R29" s="289"/>
      <c r="S29" s="289"/>
      <c r="T29" s="289"/>
      <c r="U29" s="289"/>
      <c r="V29" s="290"/>
      <c r="W29" s="40" t="s">
        <v>39</v>
      </c>
      <c r="X29" s="41">
        <f>IFERROR(SUM(X22:X28),"0")</f>
        <v>0</v>
      </c>
      <c r="Y29" s="41">
        <f>IFERROR(SUM(Y22:Y28),"0")</f>
        <v>0</v>
      </c>
      <c r="Z29" s="41">
        <f>IFERROR(IF(Z22="",0,Z22),"0")+IFERROR(IF(Z23="",0,Z23),"0")+IFERROR(IF(Z24="",0,Z24),"0")+IFERROR(IF(Z25="",0,Z25),"0")+IFERROR(IF(Z26="",0,Z26),"0")+IFERROR(IF(Z27="",0,Z27),"0")+IFERROR(IF(Z28="",0,Z28),"0")</f>
        <v>0</v>
      </c>
      <c r="AA29" s="64"/>
      <c r="AB29" s="64"/>
      <c r="AC29" s="64"/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0</v>
      </c>
      <c r="X30" s="41">
        <f>IFERROR(SUMPRODUCT(X22:X28*H22:H28),"0")</f>
        <v>0</v>
      </c>
      <c r="Y30" s="41">
        <f>IFERROR(SUMPRODUCT(Y22:Y28*H22:H28),"0")</f>
        <v>0</v>
      </c>
      <c r="Z30" s="40"/>
      <c r="AA30" s="64"/>
      <c r="AB30" s="64"/>
      <c r="AC30" s="64"/>
    </row>
    <row r="31" spans="1:68" ht="16.5" hidden="1" customHeight="1" x14ac:dyDescent="0.25">
      <c r="A31" s="312" t="s">
        <v>102</v>
      </c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62"/>
      <c r="AB31" s="62"/>
      <c r="AC31" s="62"/>
    </row>
    <row r="32" spans="1:68" ht="14.25" hidden="1" customHeight="1" x14ac:dyDescent="0.25">
      <c r="A32" s="302" t="s">
        <v>81</v>
      </c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63"/>
      <c r="AB32" s="63"/>
      <c r="AC32" s="63"/>
    </row>
    <row r="33" spans="1:68" ht="16.5" hidden="1" customHeight="1" x14ac:dyDescent="0.25">
      <c r="A33" s="60" t="s">
        <v>103</v>
      </c>
      <c r="B33" s="60" t="s">
        <v>104</v>
      </c>
      <c r="C33" s="34">
        <v>4301071099</v>
      </c>
      <c r="D33" s="284">
        <v>4607111039019</v>
      </c>
      <c r="E33" s="284"/>
      <c r="F33" s="59">
        <v>0.43</v>
      </c>
      <c r="G33" s="35">
        <v>16</v>
      </c>
      <c r="H33" s="59">
        <v>6.88</v>
      </c>
      <c r="I33" s="59">
        <v>7.2060000000000004</v>
      </c>
      <c r="J33" s="35">
        <v>84</v>
      </c>
      <c r="K33" s="35" t="s">
        <v>86</v>
      </c>
      <c r="L33" s="35" t="s">
        <v>87</v>
      </c>
      <c r="M33" s="36" t="s">
        <v>85</v>
      </c>
      <c r="N33" s="36"/>
      <c r="O33" s="35">
        <v>180</v>
      </c>
      <c r="P33" s="38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286"/>
      <c r="R33" s="286"/>
      <c r="S33" s="286"/>
      <c r="T33" s="287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105</v>
      </c>
      <c r="AG33" s="78"/>
      <c r="AJ33" s="82" t="s">
        <v>88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t="16.5" hidden="1" customHeight="1" x14ac:dyDescent="0.25">
      <c r="A34" s="60" t="s">
        <v>106</v>
      </c>
      <c r="B34" s="60" t="s">
        <v>107</v>
      </c>
      <c r="C34" s="34">
        <v>4301071100</v>
      </c>
      <c r="D34" s="284">
        <v>4607111038708</v>
      </c>
      <c r="E34" s="284"/>
      <c r="F34" s="59">
        <v>0.8</v>
      </c>
      <c r="G34" s="35">
        <v>8</v>
      </c>
      <c r="H34" s="59">
        <v>6.4</v>
      </c>
      <c r="I34" s="59">
        <v>6.67</v>
      </c>
      <c r="J34" s="35">
        <v>84</v>
      </c>
      <c r="K34" s="35" t="s">
        <v>86</v>
      </c>
      <c r="L34" s="35" t="s">
        <v>87</v>
      </c>
      <c r="M34" s="36" t="s">
        <v>85</v>
      </c>
      <c r="N34" s="36"/>
      <c r="O34" s="35">
        <v>180</v>
      </c>
      <c r="P34" s="38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105</v>
      </c>
      <c r="AG34" s="78"/>
      <c r="AJ34" s="82" t="s">
        <v>88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idden="1" x14ac:dyDescent="0.2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2"/>
      <c r="P35" s="288" t="s">
        <v>40</v>
      </c>
      <c r="Q35" s="289"/>
      <c r="R35" s="289"/>
      <c r="S35" s="289"/>
      <c r="T35" s="289"/>
      <c r="U35" s="289"/>
      <c r="V35" s="290"/>
      <c r="W35" s="40" t="s">
        <v>39</v>
      </c>
      <c r="X35" s="41">
        <f>IFERROR(SUM(X33:X34),"0")</f>
        <v>0</v>
      </c>
      <c r="Y35" s="41">
        <f>IFERROR(SUM(Y33:Y34),"0")</f>
        <v>0</v>
      </c>
      <c r="Z35" s="41">
        <f>IFERROR(IF(Z33="",0,Z33),"0")+IFERROR(IF(Z34="",0,Z34),"0")</f>
        <v>0</v>
      </c>
      <c r="AA35" s="64"/>
      <c r="AB35" s="64"/>
      <c r="AC35" s="64"/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0</v>
      </c>
      <c r="X36" s="41">
        <f>IFERROR(SUMPRODUCT(X33:X34*H33:H34),"0")</f>
        <v>0</v>
      </c>
      <c r="Y36" s="41">
        <f>IFERROR(SUMPRODUCT(Y33:Y34*H33:H34),"0")</f>
        <v>0</v>
      </c>
      <c r="Z36" s="40"/>
      <c r="AA36" s="64"/>
      <c r="AB36" s="64"/>
      <c r="AC36" s="64"/>
    </row>
    <row r="37" spans="1:68" ht="27.75" hidden="1" customHeight="1" x14ac:dyDescent="0.2">
      <c r="A37" s="311" t="s">
        <v>45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52"/>
      <c r="AB37" s="52"/>
      <c r="AC37" s="52"/>
    </row>
    <row r="38" spans="1:68" ht="16.5" hidden="1" customHeight="1" x14ac:dyDescent="0.25">
      <c r="A38" s="312" t="s">
        <v>108</v>
      </c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62"/>
      <c r="AB38" s="62"/>
      <c r="AC38" s="62"/>
    </row>
    <row r="39" spans="1:68" ht="14.25" hidden="1" customHeight="1" x14ac:dyDescent="0.25">
      <c r="A39" s="302" t="s">
        <v>109</v>
      </c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63"/>
      <c r="AB39" s="63"/>
      <c r="AC39" s="63"/>
    </row>
    <row r="40" spans="1:68" ht="27" hidden="1" customHeight="1" x14ac:dyDescent="0.25">
      <c r="A40" s="60" t="s">
        <v>110</v>
      </c>
      <c r="B40" s="60" t="s">
        <v>111</v>
      </c>
      <c r="C40" s="34">
        <v>4301132190</v>
      </c>
      <c r="D40" s="284">
        <v>4607111036537</v>
      </c>
      <c r="E40" s="284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114</v>
      </c>
      <c r="L40" s="35" t="s">
        <v>115</v>
      </c>
      <c r="M40" s="36" t="s">
        <v>85</v>
      </c>
      <c r="N40" s="36"/>
      <c r="O40" s="35">
        <v>365</v>
      </c>
      <c r="P40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286"/>
      <c r="R40" s="286"/>
      <c r="S40" s="286"/>
      <c r="T40" s="287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112</v>
      </c>
      <c r="AG40" s="78"/>
      <c r="AJ40" s="82" t="s">
        <v>116</v>
      </c>
      <c r="AK40" s="82">
        <v>14</v>
      </c>
      <c r="BB40" s="103" t="s">
        <v>113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4301132188</v>
      </c>
      <c r="D41" s="284">
        <v>4607111036605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114</v>
      </c>
      <c r="L41" s="35" t="s">
        <v>115</v>
      </c>
      <c r="M41" s="36" t="s">
        <v>85</v>
      </c>
      <c r="N41" s="36"/>
      <c r="O41" s="35">
        <v>365</v>
      </c>
      <c r="P41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42</v>
      </c>
      <c r="Y41" s="53">
        <f>IFERROR(IF(X41="","",X41),"")</f>
        <v>42</v>
      </c>
      <c r="Z41" s="39">
        <f>IFERROR(IF(X41="","",X41*0.00941),"")</f>
        <v>0.39522000000000002</v>
      </c>
      <c r="AA41" s="65" t="s">
        <v>46</v>
      </c>
      <c r="AB41" s="66" t="s">
        <v>46</v>
      </c>
      <c r="AC41" s="104" t="s">
        <v>112</v>
      </c>
      <c r="AG41" s="78"/>
      <c r="AJ41" s="82" t="s">
        <v>116</v>
      </c>
      <c r="AK41" s="82">
        <v>14</v>
      </c>
      <c r="BB41" s="105" t="s">
        <v>113</v>
      </c>
      <c r="BM41" s="78">
        <f>IFERROR(X41*I41,"0")</f>
        <v>80.715599999999995</v>
      </c>
      <c r="BN41" s="78">
        <f>IFERROR(Y41*I41,"0")</f>
        <v>80.715599999999995</v>
      </c>
      <c r="BO41" s="78">
        <f>IFERROR(X41/J41,"0")</f>
        <v>0.3</v>
      </c>
      <c r="BP41" s="78">
        <f>IFERROR(Y41/J41,"0")</f>
        <v>0.3</v>
      </c>
    </row>
    <row r="42" spans="1:68" x14ac:dyDescent="0.2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2"/>
      <c r="P42" s="288" t="s">
        <v>40</v>
      </c>
      <c r="Q42" s="289"/>
      <c r="R42" s="289"/>
      <c r="S42" s="289"/>
      <c r="T42" s="289"/>
      <c r="U42" s="289"/>
      <c r="V42" s="290"/>
      <c r="W42" s="40" t="s">
        <v>39</v>
      </c>
      <c r="X42" s="41">
        <f>IFERROR(SUM(X40:X41),"0")</f>
        <v>42</v>
      </c>
      <c r="Y42" s="41">
        <f>IFERROR(SUM(Y40:Y41),"0")</f>
        <v>42</v>
      </c>
      <c r="Z42" s="41">
        <f>IFERROR(IF(Z40="",0,Z40),"0")+IFERROR(IF(Z41="",0,Z41),"0")</f>
        <v>0.39522000000000002</v>
      </c>
      <c r="AA42" s="64"/>
      <c r="AB42" s="64"/>
      <c r="AC42" s="64"/>
    </row>
    <row r="43" spans="1:68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0</v>
      </c>
      <c r="X43" s="41">
        <f>IFERROR(SUMPRODUCT(X40:X41*H40:H41),"0")</f>
        <v>63</v>
      </c>
      <c r="Y43" s="41">
        <f>IFERROR(SUMPRODUCT(Y40:Y41*H40:H41),"0")</f>
        <v>63</v>
      </c>
      <c r="Z43" s="40"/>
      <c r="AA43" s="64"/>
      <c r="AB43" s="64"/>
      <c r="AC43" s="64"/>
    </row>
    <row r="44" spans="1:68" ht="16.5" hidden="1" customHeight="1" x14ac:dyDescent="0.25">
      <c r="A44" s="312" t="s">
        <v>119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62"/>
      <c r="AB44" s="62"/>
      <c r="AC44" s="62"/>
    </row>
    <row r="45" spans="1:68" ht="14.25" hidden="1" customHeight="1" x14ac:dyDescent="0.25">
      <c r="A45" s="302" t="s">
        <v>81</v>
      </c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63"/>
      <c r="AB45" s="63"/>
      <c r="AC45" s="63"/>
    </row>
    <row r="46" spans="1:68" ht="27" hidden="1" customHeight="1" x14ac:dyDescent="0.25">
      <c r="A46" s="60" t="s">
        <v>120</v>
      </c>
      <c r="B46" s="60" t="s">
        <v>121</v>
      </c>
      <c r="C46" s="34">
        <v>4301071090</v>
      </c>
      <c r="D46" s="284">
        <v>4620207490075</v>
      </c>
      <c r="E46" s="284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86</v>
      </c>
      <c r="L46" s="35" t="s">
        <v>115</v>
      </c>
      <c r="M46" s="36" t="s">
        <v>85</v>
      </c>
      <c r="N46" s="36"/>
      <c r="O46" s="35">
        <v>180</v>
      </c>
      <c r="P46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286"/>
      <c r="R46" s="286"/>
      <c r="S46" s="286"/>
      <c r="T46" s="287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116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4301071092</v>
      </c>
      <c r="D47" s="284">
        <v>4620207490174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86</v>
      </c>
      <c r="L47" s="35" t="s">
        <v>115</v>
      </c>
      <c r="M47" s="36" t="s">
        <v>85</v>
      </c>
      <c r="N47" s="36"/>
      <c r="O47" s="35">
        <v>180</v>
      </c>
      <c r="P47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116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4301071091</v>
      </c>
      <c r="D48" s="284">
        <v>4620207490044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86</v>
      </c>
      <c r="L48" s="35" t="s">
        <v>115</v>
      </c>
      <c r="M48" s="36" t="s">
        <v>85</v>
      </c>
      <c r="N48" s="36"/>
      <c r="O48" s="35">
        <v>180</v>
      </c>
      <c r="P48" s="38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116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IFERROR(SUM(X46:X48),"0")</f>
        <v>0</v>
      </c>
      <c r="Y49" s="41">
        <f>IFERROR(SUM(Y46:Y48),"0")</f>
        <v>0</v>
      </c>
      <c r="Z49" s="41">
        <f>IFERROR(IF(Z46="",0,Z46),"0")+IFERROR(IF(Z47="",0,Z47),"0")+IFERROR(IF(Z48="",0,Z48),"0")</f>
        <v>0</v>
      </c>
      <c r="AA49" s="64"/>
      <c r="AB49" s="64"/>
      <c r="AC49" s="64"/>
    </row>
    <row r="50" spans="1:68" hidden="1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IFERROR(SUMPRODUCT(X46:X48*H46:H48),"0")</f>
        <v>0</v>
      </c>
      <c r="Y50" s="41">
        <f>IFERROR(SUMPRODUCT(Y46:Y48*H46:H48),"0")</f>
        <v>0</v>
      </c>
      <c r="Z50" s="40"/>
      <c r="AA50" s="64"/>
      <c r="AB50" s="64"/>
      <c r="AC50" s="64"/>
    </row>
    <row r="51" spans="1:68" ht="16.5" hidden="1" customHeight="1" x14ac:dyDescent="0.25">
      <c r="A51" s="312" t="s">
        <v>129</v>
      </c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  <c r="Z51" s="312"/>
      <c r="AA51" s="62"/>
      <c r="AB51" s="62"/>
      <c r="AC51" s="62"/>
    </row>
    <row r="52" spans="1:68" ht="14.25" hidden="1" customHeight="1" x14ac:dyDescent="0.25">
      <c r="A52" s="302" t="s">
        <v>81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customHeight="1" x14ac:dyDescent="0.25">
      <c r="A53" s="60" t="s">
        <v>130</v>
      </c>
      <c r="B53" s="60" t="s">
        <v>131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86</v>
      </c>
      <c r="L53" s="35" t="s">
        <v>115</v>
      </c>
      <c r="M53" s="36" t="s">
        <v>85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48</v>
      </c>
      <c r="Y53" s="53">
        <f>IFERROR(IF(X53="","",X53),"")</f>
        <v>48</v>
      </c>
      <c r="Z53" s="39">
        <f>IFERROR(IF(X53="","",X53*0.0155),"")</f>
        <v>0.74399999999999999</v>
      </c>
      <c r="AA53" s="65" t="s">
        <v>46</v>
      </c>
      <c r="AB53" s="66" t="s">
        <v>46</v>
      </c>
      <c r="AC53" s="112" t="s">
        <v>132</v>
      </c>
      <c r="AG53" s="78"/>
      <c r="AJ53" s="82" t="s">
        <v>116</v>
      </c>
      <c r="AK53" s="82">
        <v>12</v>
      </c>
      <c r="BB53" s="113" t="s">
        <v>70</v>
      </c>
      <c r="BM53" s="78">
        <f>IFERROR(X53*I53,"0")</f>
        <v>350.4</v>
      </c>
      <c r="BN53" s="78">
        <f>IFERROR(Y53*I53,"0")</f>
        <v>350.4</v>
      </c>
      <c r="BO53" s="78">
        <f>IFERROR(X53/J53,"0")</f>
        <v>0.5714285714285714</v>
      </c>
      <c r="BP53" s="78">
        <f>IFERROR(Y53/J53,"0")</f>
        <v>0.5714285714285714</v>
      </c>
    </row>
    <row r="54" spans="1:68" ht="27" customHeight="1" x14ac:dyDescent="0.25">
      <c r="A54" s="60" t="s">
        <v>133</v>
      </c>
      <c r="B54" s="60" t="s">
        <v>134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86</v>
      </c>
      <c r="L54" s="35" t="s">
        <v>115</v>
      </c>
      <c r="M54" s="36" t="s">
        <v>85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48</v>
      </c>
      <c r="Y54" s="53">
        <f>IFERROR(IF(X54="","",X54),"")</f>
        <v>48</v>
      </c>
      <c r="Z54" s="39">
        <f>IFERROR(IF(X54="","",X54*0.0155),"")</f>
        <v>0.74399999999999999</v>
      </c>
      <c r="AA54" s="65" t="s">
        <v>46</v>
      </c>
      <c r="AB54" s="66" t="s">
        <v>46</v>
      </c>
      <c r="AC54" s="114" t="s">
        <v>135</v>
      </c>
      <c r="AG54" s="78"/>
      <c r="AJ54" s="82" t="s">
        <v>116</v>
      </c>
      <c r="AK54" s="82">
        <v>12</v>
      </c>
      <c r="BB54" s="115" t="s">
        <v>70</v>
      </c>
      <c r="BM54" s="78">
        <f>IFERROR(X54*I54,"0")</f>
        <v>349.72799999999995</v>
      </c>
      <c r="BN54" s="78">
        <f>IFERROR(Y54*I54,"0")</f>
        <v>349.72799999999995</v>
      </c>
      <c r="BO54" s="78">
        <f>IFERROR(X54/J54,"0")</f>
        <v>0.5714285714285714</v>
      </c>
      <c r="BP54" s="78">
        <f>IFERROR(Y54/J54,"0")</f>
        <v>0.5714285714285714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86</v>
      </c>
      <c r="L55" s="35" t="s">
        <v>115</v>
      </c>
      <c r="M55" s="36" t="s">
        <v>85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135</v>
      </c>
      <c r="AG55" s="78"/>
      <c r="AJ55" s="82" t="s">
        <v>116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86</v>
      </c>
      <c r="L56" s="35" t="s">
        <v>115</v>
      </c>
      <c r="M56" s="36" t="s">
        <v>85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135</v>
      </c>
      <c r="AG56" s="78"/>
      <c r="AJ56" s="82" t="s">
        <v>116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96</v>
      </c>
      <c r="Y57" s="41">
        <f>IFERROR(SUM(Y53:Y56),"0")</f>
        <v>96</v>
      </c>
      <c r="Z57" s="41">
        <f>IFERROR(IF(Z53="",0,Z53),"0")+IFERROR(IF(Z54="",0,Z54),"0")+IFERROR(IF(Z55="",0,Z55),"0")+IFERROR(IF(Z56="",0,Z56),"0")</f>
        <v>1.488</v>
      </c>
      <c r="AA57" s="64"/>
      <c r="AB57" s="64"/>
      <c r="AC57" s="64"/>
    </row>
    <row r="58" spans="1:68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672</v>
      </c>
      <c r="Y58" s="41">
        <f>IFERROR(SUMPRODUCT(Y53:Y56*H53:H56),"0")</f>
        <v>672</v>
      </c>
      <c r="Z58" s="40"/>
      <c r="AA58" s="64"/>
      <c r="AB58" s="64"/>
      <c r="AC58" s="64"/>
    </row>
    <row r="59" spans="1:68" ht="16.5" hidden="1" customHeight="1" x14ac:dyDescent="0.25">
      <c r="A59" s="312" t="s">
        <v>140</v>
      </c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62"/>
      <c r="AB59" s="62"/>
      <c r="AC59" s="62"/>
    </row>
    <row r="60" spans="1:68" ht="14.25" hidden="1" customHeight="1" x14ac:dyDescent="0.25">
      <c r="A60" s="302" t="s">
        <v>81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16.5" hidden="1" customHeight="1" x14ac:dyDescent="0.25">
      <c r="A61" s="60" t="s">
        <v>141</v>
      </c>
      <c r="B61" s="60" t="s">
        <v>142</v>
      </c>
      <c r="C61" s="34">
        <v>4301071073</v>
      </c>
      <c r="D61" s="284">
        <v>4620207490822</v>
      </c>
      <c r="E61" s="284"/>
      <c r="F61" s="59">
        <v>0.43</v>
      </c>
      <c r="G61" s="35">
        <v>8</v>
      </c>
      <c r="H61" s="59">
        <v>3.44</v>
      </c>
      <c r="I61" s="59">
        <v>3.64</v>
      </c>
      <c r="J61" s="35">
        <v>144</v>
      </c>
      <c r="K61" s="35" t="s">
        <v>86</v>
      </c>
      <c r="L61" s="35" t="s">
        <v>87</v>
      </c>
      <c r="M61" s="36" t="s">
        <v>85</v>
      </c>
      <c r="N61" s="36"/>
      <c r="O61" s="35">
        <v>365</v>
      </c>
      <c r="P61" s="37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IFERROR(IF(X61="","",X61*0.00866),"")</f>
        <v>0</v>
      </c>
      <c r="AA61" s="65" t="s">
        <v>46</v>
      </c>
      <c r="AB61" s="66" t="s">
        <v>46</v>
      </c>
      <c r="AC61" s="120" t="s">
        <v>143</v>
      </c>
      <c r="AG61" s="78"/>
      <c r="AJ61" s="82" t="s">
        <v>88</v>
      </c>
      <c r="AK61" s="82">
        <v>1</v>
      </c>
      <c r="BB61" s="121" t="s">
        <v>70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2" t="s">
        <v>109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27" hidden="1" customHeight="1" x14ac:dyDescent="0.25">
      <c r="A65" s="60" t="s">
        <v>144</v>
      </c>
      <c r="B65" s="60" t="s">
        <v>145</v>
      </c>
      <c r="C65" s="34">
        <v>4301132194</v>
      </c>
      <c r="D65" s="284">
        <v>4607111039712</v>
      </c>
      <c r="E65" s="284"/>
      <c r="F65" s="59">
        <v>0.2</v>
      </c>
      <c r="G65" s="35">
        <v>6</v>
      </c>
      <c r="H65" s="59">
        <v>1.2</v>
      </c>
      <c r="I65" s="59">
        <v>1.56</v>
      </c>
      <c r="J65" s="35">
        <v>140</v>
      </c>
      <c r="K65" s="35" t="s">
        <v>114</v>
      </c>
      <c r="L65" s="35" t="s">
        <v>87</v>
      </c>
      <c r="M65" s="36" t="s">
        <v>85</v>
      </c>
      <c r="N65" s="36"/>
      <c r="O65" s="35">
        <v>365</v>
      </c>
      <c r="P65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88</v>
      </c>
      <c r="AK65" s="82">
        <v>1</v>
      </c>
      <c r="BB65" s="123" t="s">
        <v>113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16.5" hidden="1" customHeight="1" x14ac:dyDescent="0.25">
      <c r="A69" s="60" t="s">
        <v>148</v>
      </c>
      <c r="B69" s="60" t="s">
        <v>149</v>
      </c>
      <c r="C69" s="34">
        <v>4301136018</v>
      </c>
      <c r="D69" s="284">
        <v>4607111037008</v>
      </c>
      <c r="E69" s="284"/>
      <c r="F69" s="59">
        <v>0.36</v>
      </c>
      <c r="G69" s="35">
        <v>4</v>
      </c>
      <c r="H69" s="59">
        <v>1.44</v>
      </c>
      <c r="I69" s="59">
        <v>1.74</v>
      </c>
      <c r="J69" s="35">
        <v>140</v>
      </c>
      <c r="K69" s="35" t="s">
        <v>114</v>
      </c>
      <c r="L69" s="35" t="s">
        <v>87</v>
      </c>
      <c r="M69" s="36" t="s">
        <v>85</v>
      </c>
      <c r="N69" s="36"/>
      <c r="O69" s="35">
        <v>365</v>
      </c>
      <c r="P69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150</v>
      </c>
      <c r="AG69" s="78"/>
      <c r="AJ69" s="82" t="s">
        <v>88</v>
      </c>
      <c r="AK69" s="82">
        <v>1</v>
      </c>
      <c r="BB69" s="125" t="s">
        <v>113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16.5" hidden="1" customHeight="1" x14ac:dyDescent="0.25">
      <c r="A70" s="60" t="s">
        <v>151</v>
      </c>
      <c r="B70" s="60" t="s">
        <v>152</v>
      </c>
      <c r="C70" s="34">
        <v>4301136015</v>
      </c>
      <c r="D70" s="284">
        <v>4607111037398</v>
      </c>
      <c r="E70" s="284"/>
      <c r="F70" s="59">
        <v>0.09</v>
      </c>
      <c r="G70" s="35">
        <v>24</v>
      </c>
      <c r="H70" s="59">
        <v>2.16</v>
      </c>
      <c r="I70" s="59">
        <v>4.0199999999999996</v>
      </c>
      <c r="J70" s="35">
        <v>126</v>
      </c>
      <c r="K70" s="35" t="s">
        <v>114</v>
      </c>
      <c r="L70" s="35" t="s">
        <v>87</v>
      </c>
      <c r="M70" s="36" t="s">
        <v>85</v>
      </c>
      <c r="N70" s="36"/>
      <c r="O70" s="35">
        <v>365</v>
      </c>
      <c r="P70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IFERROR(IF(X70="","",X70*0.00936),"")</f>
        <v>0</v>
      </c>
      <c r="AA70" s="65" t="s">
        <v>46</v>
      </c>
      <c r="AB70" s="66" t="s">
        <v>46</v>
      </c>
      <c r="AC70" s="126" t="s">
        <v>150</v>
      </c>
      <c r="AG70" s="78"/>
      <c r="AJ70" s="82" t="s">
        <v>88</v>
      </c>
      <c r="AK70" s="82">
        <v>1</v>
      </c>
      <c r="BB70" s="127" t="s">
        <v>113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idden="1" x14ac:dyDescent="0.2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2"/>
      <c r="P71" s="288" t="s">
        <v>40</v>
      </c>
      <c r="Q71" s="289"/>
      <c r="R71" s="289"/>
      <c r="S71" s="289"/>
      <c r="T71" s="289"/>
      <c r="U71" s="289"/>
      <c r="V71" s="290"/>
      <c r="W71" s="40" t="s">
        <v>39</v>
      </c>
      <c r="X71" s="41">
        <f>IFERROR(SUM(X69:X70),"0")</f>
        <v>0</v>
      </c>
      <c r="Y71" s="41">
        <f>IFERROR(SUM(Y69:Y70),"0")</f>
        <v>0</v>
      </c>
      <c r="Z71" s="41">
        <f>IFERROR(IF(Z69="",0,Z69),"0")+IFERROR(IF(Z70="",0,Z70),"0")</f>
        <v>0</v>
      </c>
      <c r="AA71" s="64"/>
      <c r="AB71" s="64"/>
      <c r="AC71" s="64"/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0</v>
      </c>
      <c r="X72" s="41">
        <f>IFERROR(SUMPRODUCT(X69:X70*H69:H70),"0")</f>
        <v>0</v>
      </c>
      <c r="Y72" s="41">
        <f>IFERROR(SUMPRODUCT(Y69:Y70*H69:H70),"0")</f>
        <v>0</v>
      </c>
      <c r="Z72" s="40"/>
      <c r="AA72" s="64"/>
      <c r="AB72" s="64"/>
      <c r="AC72" s="64"/>
    </row>
    <row r="73" spans="1:68" ht="14.25" hidden="1" customHeight="1" x14ac:dyDescent="0.25">
      <c r="A73" s="302" t="s">
        <v>153</v>
      </c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63"/>
      <c r="AB73" s="63"/>
      <c r="AC73" s="63"/>
    </row>
    <row r="74" spans="1:68" ht="27" hidden="1" customHeight="1" x14ac:dyDescent="0.25">
      <c r="A74" s="60" t="s">
        <v>154</v>
      </c>
      <c r="B74" s="60" t="s">
        <v>155</v>
      </c>
      <c r="C74" s="34">
        <v>4301135664</v>
      </c>
      <c r="D74" s="284">
        <v>4607111039705</v>
      </c>
      <c r="E74" s="284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114</v>
      </c>
      <c r="L74" s="35" t="s">
        <v>87</v>
      </c>
      <c r="M74" s="36" t="s">
        <v>85</v>
      </c>
      <c r="N74" s="36"/>
      <c r="O74" s="35">
        <v>365</v>
      </c>
      <c r="P74" s="3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286"/>
      <c r="R74" s="286"/>
      <c r="S74" s="286"/>
      <c r="T74" s="287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150</v>
      </c>
      <c r="AG74" s="78"/>
      <c r="AJ74" s="82" t="s">
        <v>88</v>
      </c>
      <c r="AK74" s="82">
        <v>1</v>
      </c>
      <c r="BB74" s="129" t="s">
        <v>113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4301135665</v>
      </c>
      <c r="D75" s="284">
        <v>4607111039729</v>
      </c>
      <c r="E75" s="284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114</v>
      </c>
      <c r="L75" s="35" t="s">
        <v>87</v>
      </c>
      <c r="M75" s="36" t="s">
        <v>85</v>
      </c>
      <c r="N75" s="36"/>
      <c r="O75" s="35">
        <v>365</v>
      </c>
      <c r="P75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286"/>
      <c r="R75" s="286"/>
      <c r="S75" s="286"/>
      <c r="T75" s="287"/>
      <c r="U75" s="37" t="s">
        <v>46</v>
      </c>
      <c r="V75" s="37" t="s">
        <v>46</v>
      </c>
      <c r="W75" s="38" t="s">
        <v>39</v>
      </c>
      <c r="X75" s="56">
        <v>56</v>
      </c>
      <c r="Y75" s="53">
        <f>IFERROR(IF(X75="","",X75),"")</f>
        <v>56</v>
      </c>
      <c r="Z75" s="39">
        <f>IFERROR(IF(X75="","",X75*0.00941),"")</f>
        <v>0.52695999999999998</v>
      </c>
      <c r="AA75" s="65" t="s">
        <v>46</v>
      </c>
      <c r="AB75" s="66" t="s">
        <v>46</v>
      </c>
      <c r="AC75" s="130" t="s">
        <v>158</v>
      </c>
      <c r="AG75" s="78"/>
      <c r="AJ75" s="82" t="s">
        <v>88</v>
      </c>
      <c r="AK75" s="82">
        <v>1</v>
      </c>
      <c r="BB75" s="131" t="s">
        <v>113</v>
      </c>
      <c r="BM75" s="78">
        <f>IFERROR(X75*I75,"0")</f>
        <v>87.36</v>
      </c>
      <c r="BN75" s="78">
        <f>IFERROR(Y75*I75,"0")</f>
        <v>87.36</v>
      </c>
      <c r="BO75" s="78">
        <f>IFERROR(X75/J75,"0")</f>
        <v>0.4</v>
      </c>
      <c r="BP75" s="78">
        <f>IFERROR(Y75/J75,"0")</f>
        <v>0.4</v>
      </c>
    </row>
    <row r="76" spans="1:68" ht="27" customHeight="1" x14ac:dyDescent="0.25">
      <c r="A76" s="60" t="s">
        <v>159</v>
      </c>
      <c r="B76" s="60" t="s">
        <v>160</v>
      </c>
      <c r="C76" s="34">
        <v>4301135702</v>
      </c>
      <c r="D76" s="284">
        <v>4620207490228</v>
      </c>
      <c r="E76" s="284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114</v>
      </c>
      <c r="L76" s="35" t="s">
        <v>87</v>
      </c>
      <c r="M76" s="36" t="s">
        <v>85</v>
      </c>
      <c r="N76" s="36"/>
      <c r="O76" s="35">
        <v>365</v>
      </c>
      <c r="P76" s="3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56</v>
      </c>
      <c r="Y76" s="53">
        <f>IFERROR(IF(X76="","",X76),"")</f>
        <v>56</v>
      </c>
      <c r="Z76" s="39">
        <f>IFERROR(IF(X76="","",X76*0.00941),"")</f>
        <v>0.52695999999999998</v>
      </c>
      <c r="AA76" s="65" t="s">
        <v>46</v>
      </c>
      <c r="AB76" s="66" t="s">
        <v>46</v>
      </c>
      <c r="AC76" s="132" t="s">
        <v>158</v>
      </c>
      <c r="AG76" s="78"/>
      <c r="AJ76" s="82" t="s">
        <v>88</v>
      </c>
      <c r="AK76" s="82">
        <v>1</v>
      </c>
      <c r="BB76" s="133" t="s">
        <v>113</v>
      </c>
      <c r="BM76" s="78">
        <f>IFERROR(X76*I76,"0")</f>
        <v>87.36</v>
      </c>
      <c r="BN76" s="78">
        <f>IFERROR(Y76*I76,"0")</f>
        <v>87.36</v>
      </c>
      <c r="BO76" s="78">
        <f>IFERROR(X76/J76,"0")</f>
        <v>0.4</v>
      </c>
      <c r="BP76" s="78">
        <f>IFERROR(Y76/J76,"0")</f>
        <v>0.4</v>
      </c>
    </row>
    <row r="77" spans="1:68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2"/>
      <c r="P77" s="288" t="s">
        <v>40</v>
      </c>
      <c r="Q77" s="289"/>
      <c r="R77" s="289"/>
      <c r="S77" s="289"/>
      <c r="T77" s="289"/>
      <c r="U77" s="289"/>
      <c r="V77" s="290"/>
      <c r="W77" s="40" t="s">
        <v>39</v>
      </c>
      <c r="X77" s="41">
        <f>IFERROR(SUM(X74:X76),"0")</f>
        <v>112</v>
      </c>
      <c r="Y77" s="41">
        <f>IFERROR(SUM(Y74:Y76),"0")</f>
        <v>112</v>
      </c>
      <c r="Z77" s="41">
        <f>IFERROR(IF(Z74="",0,Z74),"0")+IFERROR(IF(Z75="",0,Z75),"0")+IFERROR(IF(Z76="",0,Z76),"0")</f>
        <v>1.05392</v>
      </c>
      <c r="AA77" s="64"/>
      <c r="AB77" s="64"/>
      <c r="AC77" s="64"/>
    </row>
    <row r="78" spans="1:68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0</v>
      </c>
      <c r="X78" s="41">
        <f>IFERROR(SUMPRODUCT(X74:X76*H74:H76),"0")</f>
        <v>134.4</v>
      </c>
      <c r="Y78" s="41">
        <f>IFERROR(SUMPRODUCT(Y74:Y76*H74:H76),"0")</f>
        <v>134.4</v>
      </c>
      <c r="Z78" s="40"/>
      <c r="AA78" s="64"/>
      <c r="AB78" s="64"/>
      <c r="AC78" s="64"/>
    </row>
    <row r="79" spans="1:68" ht="16.5" hidden="1" customHeight="1" x14ac:dyDescent="0.25">
      <c r="A79" s="312" t="s">
        <v>161</v>
      </c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62"/>
      <c r="AB79" s="62"/>
      <c r="AC79" s="62"/>
    </row>
    <row r="80" spans="1:68" ht="14.25" hidden="1" customHeight="1" x14ac:dyDescent="0.25">
      <c r="A80" s="302" t="s">
        <v>81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63"/>
      <c r="AB80" s="63"/>
      <c r="AC80" s="63"/>
    </row>
    <row r="81" spans="1:68" ht="27" customHeight="1" x14ac:dyDescent="0.25">
      <c r="A81" s="60" t="s">
        <v>162</v>
      </c>
      <c r="B81" s="60" t="s">
        <v>163</v>
      </c>
      <c r="C81" s="34">
        <v>4301070977</v>
      </c>
      <c r="D81" s="284">
        <v>4607111037411</v>
      </c>
      <c r="E81" s="284"/>
      <c r="F81" s="59">
        <v>2.7</v>
      </c>
      <c r="G81" s="35">
        <v>1</v>
      </c>
      <c r="H81" s="59">
        <v>2.7</v>
      </c>
      <c r="I81" s="59">
        <v>2.8132000000000001</v>
      </c>
      <c r="J81" s="35">
        <v>234</v>
      </c>
      <c r="K81" s="35" t="s">
        <v>165</v>
      </c>
      <c r="L81" s="35" t="s">
        <v>87</v>
      </c>
      <c r="M81" s="36" t="s">
        <v>85</v>
      </c>
      <c r="N81" s="36"/>
      <c r="O81" s="35">
        <v>180</v>
      </c>
      <c r="P81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286"/>
      <c r="R81" s="286"/>
      <c r="S81" s="286"/>
      <c r="T81" s="287"/>
      <c r="U81" s="37" t="s">
        <v>46</v>
      </c>
      <c r="V81" s="37" t="s">
        <v>46</v>
      </c>
      <c r="W81" s="38" t="s">
        <v>39</v>
      </c>
      <c r="X81" s="56">
        <v>72</v>
      </c>
      <c r="Y81" s="53">
        <f>IFERROR(IF(X81="","",X81),"")</f>
        <v>72</v>
      </c>
      <c r="Z81" s="39">
        <f>IFERROR(IF(X81="","",X81*0.00502),"")</f>
        <v>0.36143999999999998</v>
      </c>
      <c r="AA81" s="65" t="s">
        <v>46</v>
      </c>
      <c r="AB81" s="66" t="s">
        <v>46</v>
      </c>
      <c r="AC81" s="134" t="s">
        <v>164</v>
      </c>
      <c r="AG81" s="78"/>
      <c r="AJ81" s="82" t="s">
        <v>88</v>
      </c>
      <c r="AK81" s="82">
        <v>1</v>
      </c>
      <c r="BB81" s="135" t="s">
        <v>70</v>
      </c>
      <c r="BM81" s="78">
        <f>IFERROR(X81*I81,"0")</f>
        <v>202.55040000000002</v>
      </c>
      <c r="BN81" s="78">
        <f>IFERROR(Y81*I81,"0")</f>
        <v>202.55040000000002</v>
      </c>
      <c r="BO81" s="78">
        <f>IFERROR(X81/J81,"0")</f>
        <v>0.30769230769230771</v>
      </c>
      <c r="BP81" s="78">
        <f>IFERROR(Y81/J81,"0")</f>
        <v>0.30769230769230771</v>
      </c>
    </row>
    <row r="82" spans="1:68" ht="27" hidden="1" customHeight="1" x14ac:dyDescent="0.25">
      <c r="A82" s="60" t="s">
        <v>166</v>
      </c>
      <c r="B82" s="60" t="s">
        <v>167</v>
      </c>
      <c r="C82" s="34">
        <v>4301070981</v>
      </c>
      <c r="D82" s="284">
        <v>4607111036728</v>
      </c>
      <c r="E82" s="284"/>
      <c r="F82" s="59">
        <v>5</v>
      </c>
      <c r="G82" s="35">
        <v>1</v>
      </c>
      <c r="H82" s="59">
        <v>5</v>
      </c>
      <c r="I82" s="59">
        <v>5.2131999999999996</v>
      </c>
      <c r="J82" s="35">
        <v>144</v>
      </c>
      <c r="K82" s="35" t="s">
        <v>86</v>
      </c>
      <c r="L82" s="35" t="s">
        <v>115</v>
      </c>
      <c r="M82" s="36" t="s">
        <v>85</v>
      </c>
      <c r="N82" s="36"/>
      <c r="O82" s="35">
        <v>180</v>
      </c>
      <c r="P82" s="36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IFERROR(IF(X82="","",X82*0.00866),"")</f>
        <v>0</v>
      </c>
      <c r="AA82" s="65" t="s">
        <v>46</v>
      </c>
      <c r="AB82" s="66" t="s">
        <v>46</v>
      </c>
      <c r="AC82" s="136" t="s">
        <v>164</v>
      </c>
      <c r="AG82" s="78"/>
      <c r="AJ82" s="82" t="s">
        <v>116</v>
      </c>
      <c r="AK82" s="82">
        <v>12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IFERROR(SUM(X81:X82),"0")</f>
        <v>72</v>
      </c>
      <c r="Y83" s="41">
        <f>IFERROR(SUM(Y81:Y82),"0")</f>
        <v>72</v>
      </c>
      <c r="Z83" s="41">
        <f>IFERROR(IF(Z81="",0,Z81),"0")+IFERROR(IF(Z82="",0,Z82),"0")</f>
        <v>0.36143999999999998</v>
      </c>
      <c r="AA83" s="64"/>
      <c r="AB83" s="64"/>
      <c r="AC83" s="64"/>
    </row>
    <row r="84" spans="1:68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IFERROR(SUMPRODUCT(X81:X82*H81:H82),"0")</f>
        <v>194.4</v>
      </c>
      <c r="Y84" s="41">
        <f>IFERROR(SUMPRODUCT(Y81:Y82*H81:H82),"0")</f>
        <v>194.4</v>
      </c>
      <c r="Z84" s="40"/>
      <c r="AA84" s="64"/>
      <c r="AB84" s="64"/>
      <c r="AC84" s="64"/>
    </row>
    <row r="85" spans="1:68" ht="16.5" hidden="1" customHeight="1" x14ac:dyDescent="0.25">
      <c r="A85" s="312" t="s">
        <v>168</v>
      </c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2"/>
      <c r="AA85" s="62"/>
      <c r="AB85" s="62"/>
      <c r="AC85" s="62"/>
    </row>
    <row r="86" spans="1:68" ht="14.25" hidden="1" customHeight="1" x14ac:dyDescent="0.25">
      <c r="A86" s="302" t="s">
        <v>153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hidden="1" customHeight="1" x14ac:dyDescent="0.25">
      <c r="A87" s="60" t="s">
        <v>169</v>
      </c>
      <c r="B87" s="60" t="s">
        <v>170</v>
      </c>
      <c r="C87" s="34">
        <v>4301135574</v>
      </c>
      <c r="D87" s="284">
        <v>4607111033659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114</v>
      </c>
      <c r="L87" s="35" t="s">
        <v>115</v>
      </c>
      <c r="M87" s="36" t="s">
        <v>85</v>
      </c>
      <c r="N87" s="36"/>
      <c r="O87" s="35">
        <v>180</v>
      </c>
      <c r="P87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0</v>
      </c>
      <c r="Y87" s="53">
        <f>IFERROR(IF(X87="","",X87),"")</f>
        <v>0</v>
      </c>
      <c r="Z87" s="39">
        <f>IFERROR(IF(X87="","",X87*0.01788),"")</f>
        <v>0</v>
      </c>
      <c r="AA87" s="65" t="s">
        <v>46</v>
      </c>
      <c r="AB87" s="66" t="s">
        <v>46</v>
      </c>
      <c r="AC87" s="138" t="s">
        <v>171</v>
      </c>
      <c r="AG87" s="78"/>
      <c r="AJ87" s="82" t="s">
        <v>116</v>
      </c>
      <c r="AK87" s="82">
        <v>14</v>
      </c>
      <c r="BB87" s="139" t="s">
        <v>113</v>
      </c>
      <c r="BM87" s="78">
        <f>IFERROR(X87*I87,"0")</f>
        <v>0</v>
      </c>
      <c r="BN87" s="78">
        <f>IFERROR(Y87*I87,"0")</f>
        <v>0</v>
      </c>
      <c r="BO87" s="78">
        <f>IFERROR(X87/J87,"0")</f>
        <v>0</v>
      </c>
      <c r="BP87" s="78">
        <f>IFERROR(Y87/J87,"0")</f>
        <v>0</v>
      </c>
    </row>
    <row r="88" spans="1:68" hidden="1" x14ac:dyDescent="0.2">
      <c r="A88" s="291"/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2"/>
      <c r="P88" s="288" t="s">
        <v>40</v>
      </c>
      <c r="Q88" s="289"/>
      <c r="R88" s="289"/>
      <c r="S88" s="289"/>
      <c r="T88" s="289"/>
      <c r="U88" s="289"/>
      <c r="V88" s="290"/>
      <c r="W88" s="40" t="s">
        <v>39</v>
      </c>
      <c r="X88" s="41">
        <f>IFERROR(SUM(X87:X87),"0")</f>
        <v>0</v>
      </c>
      <c r="Y88" s="41">
        <f>IFERROR(SUM(Y87:Y87),"0")</f>
        <v>0</v>
      </c>
      <c r="Z88" s="41">
        <f>IFERROR(IF(Z87="",0,Z87),"0")</f>
        <v>0</v>
      </c>
      <c r="AA88" s="64"/>
      <c r="AB88" s="64"/>
      <c r="AC88" s="64"/>
    </row>
    <row r="89" spans="1:68" hidden="1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0</v>
      </c>
      <c r="X89" s="41">
        <f>IFERROR(SUMPRODUCT(X87:X87*H87:H87),"0")</f>
        <v>0</v>
      </c>
      <c r="Y89" s="41">
        <f>IFERROR(SUMPRODUCT(Y87:Y87*H87:H87),"0")</f>
        <v>0</v>
      </c>
      <c r="Z89" s="40"/>
      <c r="AA89" s="64"/>
      <c r="AB89" s="64"/>
      <c r="AC89" s="64"/>
    </row>
    <row r="90" spans="1:68" ht="16.5" hidden="1" customHeight="1" x14ac:dyDescent="0.25">
      <c r="A90" s="312" t="s">
        <v>172</v>
      </c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62"/>
      <c r="AB90" s="62"/>
      <c r="AC90" s="62"/>
    </row>
    <row r="91" spans="1:68" ht="14.25" hidden="1" customHeight="1" x14ac:dyDescent="0.25">
      <c r="A91" s="302" t="s">
        <v>173</v>
      </c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63"/>
      <c r="AB91" s="63"/>
      <c r="AC91" s="63"/>
    </row>
    <row r="92" spans="1:68" ht="27" customHeight="1" x14ac:dyDescent="0.25">
      <c r="A92" s="60" t="s">
        <v>174</v>
      </c>
      <c r="B92" s="60" t="s">
        <v>175</v>
      </c>
      <c r="C92" s="34">
        <v>4301131047</v>
      </c>
      <c r="D92" s="284">
        <v>4607111034120</v>
      </c>
      <c r="E92" s="284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114</v>
      </c>
      <c r="L92" s="35" t="s">
        <v>115</v>
      </c>
      <c r="M92" s="36" t="s">
        <v>85</v>
      </c>
      <c r="N92" s="36"/>
      <c r="O92" s="35">
        <v>180</v>
      </c>
      <c r="P92" s="36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286"/>
      <c r="R92" s="286"/>
      <c r="S92" s="286"/>
      <c r="T92" s="287"/>
      <c r="U92" s="37" t="s">
        <v>46</v>
      </c>
      <c r="V92" s="37" t="s">
        <v>46</v>
      </c>
      <c r="W92" s="38" t="s">
        <v>39</v>
      </c>
      <c r="X92" s="56">
        <v>70</v>
      </c>
      <c r="Y92" s="53">
        <f>IFERROR(IF(X92="","",X92),"")</f>
        <v>70</v>
      </c>
      <c r="Z92" s="39">
        <f>IFERROR(IF(X92="","",X92*0.01788),"")</f>
        <v>1.2516</v>
      </c>
      <c r="AA92" s="65" t="s">
        <v>46</v>
      </c>
      <c r="AB92" s="66" t="s">
        <v>46</v>
      </c>
      <c r="AC92" s="140" t="s">
        <v>176</v>
      </c>
      <c r="AG92" s="78"/>
      <c r="AJ92" s="82" t="s">
        <v>116</v>
      </c>
      <c r="AK92" s="82">
        <v>14</v>
      </c>
      <c r="BB92" s="141" t="s">
        <v>113</v>
      </c>
      <c r="BM92" s="78">
        <f>IFERROR(X92*I92,"0")</f>
        <v>301.25200000000001</v>
      </c>
      <c r="BN92" s="78">
        <f>IFERROR(Y92*I92,"0")</f>
        <v>301.25200000000001</v>
      </c>
      <c r="BO92" s="78">
        <f>IFERROR(X92/J92,"0")</f>
        <v>1</v>
      </c>
      <c r="BP92" s="78">
        <f>IFERROR(Y92/J92,"0")</f>
        <v>1</v>
      </c>
    </row>
    <row r="93" spans="1:68" ht="27" hidden="1" customHeight="1" x14ac:dyDescent="0.25">
      <c r="A93" s="60" t="s">
        <v>177</v>
      </c>
      <c r="B93" s="60" t="s">
        <v>178</v>
      </c>
      <c r="C93" s="34">
        <v>4301131046</v>
      </c>
      <c r="D93" s="284">
        <v>4607111034137</v>
      </c>
      <c r="E93" s="284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114</v>
      </c>
      <c r="L93" s="35" t="s">
        <v>115</v>
      </c>
      <c r="M93" s="36" t="s">
        <v>85</v>
      </c>
      <c r="N93" s="36"/>
      <c r="O93" s="35">
        <v>180</v>
      </c>
      <c r="P93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0</v>
      </c>
      <c r="Y93" s="53">
        <f>IFERROR(IF(X93="","",X93),"")</f>
        <v>0</v>
      </c>
      <c r="Z93" s="39">
        <f>IFERROR(IF(X93="","",X93*0.01788),"")</f>
        <v>0</v>
      </c>
      <c r="AA93" s="65" t="s">
        <v>46</v>
      </c>
      <c r="AB93" s="66" t="s">
        <v>46</v>
      </c>
      <c r="AC93" s="142" t="s">
        <v>179</v>
      </c>
      <c r="AG93" s="78"/>
      <c r="AJ93" s="82" t="s">
        <v>116</v>
      </c>
      <c r="AK93" s="82">
        <v>14</v>
      </c>
      <c r="BB93" s="143" t="s">
        <v>113</v>
      </c>
      <c r="BM93" s="78">
        <f>IFERROR(X93*I93,"0")</f>
        <v>0</v>
      </c>
      <c r="BN93" s="78">
        <f>IFERROR(Y93*I93,"0")</f>
        <v>0</v>
      </c>
      <c r="BO93" s="78">
        <f>IFERROR(X93/J93,"0")</f>
        <v>0</v>
      </c>
      <c r="BP93" s="78">
        <f>IFERROR(Y93/J93,"0")</f>
        <v>0</v>
      </c>
    </row>
    <row r="94" spans="1:68" x14ac:dyDescent="0.2">
      <c r="A94" s="291"/>
      <c r="B94" s="291"/>
      <c r="C94" s="291"/>
      <c r="D94" s="291"/>
      <c r="E94" s="291"/>
      <c r="F94" s="291"/>
      <c r="G94" s="291"/>
      <c r="H94" s="291"/>
      <c r="I94" s="291"/>
      <c r="J94" s="291"/>
      <c r="K94" s="291"/>
      <c r="L94" s="291"/>
      <c r="M94" s="291"/>
      <c r="N94" s="291"/>
      <c r="O94" s="292"/>
      <c r="P94" s="288" t="s">
        <v>40</v>
      </c>
      <c r="Q94" s="289"/>
      <c r="R94" s="289"/>
      <c r="S94" s="289"/>
      <c r="T94" s="289"/>
      <c r="U94" s="289"/>
      <c r="V94" s="290"/>
      <c r="W94" s="40" t="s">
        <v>39</v>
      </c>
      <c r="X94" s="41">
        <f>IFERROR(SUM(X92:X93),"0")</f>
        <v>70</v>
      </c>
      <c r="Y94" s="41">
        <f>IFERROR(SUM(Y92:Y93),"0")</f>
        <v>70</v>
      </c>
      <c r="Z94" s="41">
        <f>IFERROR(IF(Z92="",0,Z92),"0")+IFERROR(IF(Z93="",0,Z93),"0")</f>
        <v>1.2516</v>
      </c>
      <c r="AA94" s="64"/>
      <c r="AB94" s="64"/>
      <c r="AC94" s="64"/>
    </row>
    <row r="95" spans="1:68" x14ac:dyDescent="0.2">
      <c r="A95" s="291"/>
      <c r="B95" s="291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2"/>
      <c r="P95" s="288" t="s">
        <v>40</v>
      </c>
      <c r="Q95" s="289"/>
      <c r="R95" s="289"/>
      <c r="S95" s="289"/>
      <c r="T95" s="289"/>
      <c r="U95" s="289"/>
      <c r="V95" s="290"/>
      <c r="W95" s="40" t="s">
        <v>0</v>
      </c>
      <c r="X95" s="41">
        <f>IFERROR(SUMPRODUCT(X92:X93*H92:H93),"0")</f>
        <v>252</v>
      </c>
      <c r="Y95" s="41">
        <f>IFERROR(SUMPRODUCT(Y92:Y93*H92:H93),"0")</f>
        <v>252</v>
      </c>
      <c r="Z95" s="40"/>
      <c r="AA95" s="64"/>
      <c r="AB95" s="64"/>
      <c r="AC95" s="64"/>
    </row>
    <row r="96" spans="1:68" ht="16.5" hidden="1" customHeight="1" x14ac:dyDescent="0.25">
      <c r="A96" s="312" t="s">
        <v>180</v>
      </c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62"/>
      <c r="AB96" s="62"/>
      <c r="AC96" s="62"/>
    </row>
    <row r="97" spans="1:68" ht="14.25" hidden="1" customHeight="1" x14ac:dyDescent="0.25">
      <c r="A97" s="302" t="s">
        <v>153</v>
      </c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63"/>
      <c r="AB97" s="63"/>
      <c r="AC97" s="63"/>
    </row>
    <row r="98" spans="1:68" ht="27" customHeight="1" x14ac:dyDescent="0.25">
      <c r="A98" s="60" t="s">
        <v>181</v>
      </c>
      <c r="B98" s="60" t="s">
        <v>182</v>
      </c>
      <c r="C98" s="34">
        <v>4301135763</v>
      </c>
      <c r="D98" s="284">
        <v>4620207491027</v>
      </c>
      <c r="E98" s="284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114</v>
      </c>
      <c r="L98" s="35" t="s">
        <v>115</v>
      </c>
      <c r="M98" s="36" t="s">
        <v>85</v>
      </c>
      <c r="N98" s="36"/>
      <c r="O98" s="35">
        <v>180</v>
      </c>
      <c r="P98" s="36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28</v>
      </c>
      <c r="Y98" s="53">
        <f t="shared" ref="Y98:Y104" si="6">IFERROR(IF(X98="","",X98),"")</f>
        <v>28</v>
      </c>
      <c r="Z98" s="39">
        <f t="shared" ref="Z98:Z103" si="7">IFERROR(IF(X98="","",X98*0.01788),"")</f>
        <v>0.50063999999999997</v>
      </c>
      <c r="AA98" s="65" t="s">
        <v>46</v>
      </c>
      <c r="AB98" s="66" t="s">
        <v>46</v>
      </c>
      <c r="AC98" s="144" t="s">
        <v>171</v>
      </c>
      <c r="AG98" s="78"/>
      <c r="AJ98" s="82" t="s">
        <v>116</v>
      </c>
      <c r="AK98" s="82">
        <v>14</v>
      </c>
      <c r="BB98" s="145" t="s">
        <v>113</v>
      </c>
      <c r="BM98" s="78">
        <f t="shared" ref="BM98:BM104" si="8">IFERROR(X98*I98,"0")</f>
        <v>100.3408</v>
      </c>
      <c r="BN98" s="78">
        <f t="shared" ref="BN98:BN104" si="9">IFERROR(Y98*I98,"0")</f>
        <v>100.3408</v>
      </c>
      <c r="BO98" s="78">
        <f t="shared" ref="BO98:BO104" si="10">IFERROR(X98/J98,"0")</f>
        <v>0.4</v>
      </c>
      <c r="BP98" s="78">
        <f t="shared" ref="BP98:BP104" si="11">IFERROR(Y98/J98,"0")</f>
        <v>0.4</v>
      </c>
    </row>
    <row r="99" spans="1:68" ht="27" customHeight="1" x14ac:dyDescent="0.25">
      <c r="A99" s="60" t="s">
        <v>183</v>
      </c>
      <c r="B99" s="60" t="s">
        <v>184</v>
      </c>
      <c r="C99" s="34">
        <v>4301135793</v>
      </c>
      <c r="D99" s="284">
        <v>4620207491003</v>
      </c>
      <c r="E99" s="284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114</v>
      </c>
      <c r="L99" s="35" t="s">
        <v>115</v>
      </c>
      <c r="M99" s="36" t="s">
        <v>85</v>
      </c>
      <c r="N99" s="36"/>
      <c r="O99" s="35">
        <v>180</v>
      </c>
      <c r="P99" s="36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286"/>
      <c r="R99" s="286"/>
      <c r="S99" s="286"/>
      <c r="T99" s="287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si="6"/>
        <v>42</v>
      </c>
      <c r="Z99" s="39">
        <f t="shared" si="7"/>
        <v>0.75095999999999996</v>
      </c>
      <c r="AA99" s="65" t="s">
        <v>46</v>
      </c>
      <c r="AB99" s="66" t="s">
        <v>46</v>
      </c>
      <c r="AC99" s="146" t="s">
        <v>171</v>
      </c>
      <c r="AG99" s="78"/>
      <c r="AJ99" s="82" t="s">
        <v>116</v>
      </c>
      <c r="AK99" s="82">
        <v>14</v>
      </c>
      <c r="BB99" s="147" t="s">
        <v>113</v>
      </c>
      <c r="BM99" s="78">
        <f t="shared" si="8"/>
        <v>150.5112</v>
      </c>
      <c r="BN99" s="78">
        <f t="shared" si="9"/>
        <v>150.5112</v>
      </c>
      <c r="BO99" s="78">
        <f t="shared" si="10"/>
        <v>0.6</v>
      </c>
      <c r="BP99" s="78">
        <f t="shared" si="11"/>
        <v>0.6</v>
      </c>
    </row>
    <row r="100" spans="1:68" ht="27" hidden="1" customHeight="1" x14ac:dyDescent="0.25">
      <c r="A100" s="60" t="s">
        <v>185</v>
      </c>
      <c r="B100" s="60" t="s">
        <v>186</v>
      </c>
      <c r="C100" s="34">
        <v>4301135768</v>
      </c>
      <c r="D100" s="284">
        <v>4620207491034</v>
      </c>
      <c r="E100" s="284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114</v>
      </c>
      <c r="L100" s="35" t="s">
        <v>115</v>
      </c>
      <c r="M100" s="36" t="s">
        <v>85</v>
      </c>
      <c r="N100" s="36"/>
      <c r="O100" s="35">
        <v>180</v>
      </c>
      <c r="P100" s="36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286"/>
      <c r="R100" s="286"/>
      <c r="S100" s="286"/>
      <c r="T100" s="287"/>
      <c r="U100" s="37" t="s">
        <v>46</v>
      </c>
      <c r="V100" s="37" t="s">
        <v>46</v>
      </c>
      <c r="W100" s="38" t="s">
        <v>39</v>
      </c>
      <c r="X100" s="56">
        <v>0</v>
      </c>
      <c r="Y100" s="53">
        <f t="shared" si="6"/>
        <v>0</v>
      </c>
      <c r="Z100" s="39">
        <f t="shared" si="7"/>
        <v>0</v>
      </c>
      <c r="AA100" s="65" t="s">
        <v>46</v>
      </c>
      <c r="AB100" s="66" t="s">
        <v>46</v>
      </c>
      <c r="AC100" s="148" t="s">
        <v>187</v>
      </c>
      <c r="AG100" s="78"/>
      <c r="AJ100" s="82" t="s">
        <v>116</v>
      </c>
      <c r="AK100" s="82">
        <v>14</v>
      </c>
      <c r="BB100" s="149" t="s">
        <v>113</v>
      </c>
      <c r="BM100" s="78">
        <f t="shared" si="8"/>
        <v>0</v>
      </c>
      <c r="BN100" s="78">
        <f t="shared" si="9"/>
        <v>0</v>
      </c>
      <c r="BO100" s="78">
        <f t="shared" si="10"/>
        <v>0</v>
      </c>
      <c r="BP100" s="78">
        <f t="shared" si="11"/>
        <v>0</v>
      </c>
    </row>
    <row r="101" spans="1:68" ht="27" customHeight="1" x14ac:dyDescent="0.25">
      <c r="A101" s="60" t="s">
        <v>188</v>
      </c>
      <c r="B101" s="60" t="s">
        <v>189</v>
      </c>
      <c r="C101" s="34">
        <v>4301135760</v>
      </c>
      <c r="D101" s="284">
        <v>4620207491010</v>
      </c>
      <c r="E101" s="284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114</v>
      </c>
      <c r="L101" s="35" t="s">
        <v>115</v>
      </c>
      <c r="M101" s="36" t="s">
        <v>85</v>
      </c>
      <c r="N101" s="36"/>
      <c r="O101" s="35">
        <v>180</v>
      </c>
      <c r="P101" s="36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6"/>
      <c r="R101" s="286"/>
      <c r="S101" s="286"/>
      <c r="T101" s="287"/>
      <c r="U101" s="37" t="s">
        <v>46</v>
      </c>
      <c r="V101" s="37" t="s">
        <v>46</v>
      </c>
      <c r="W101" s="38" t="s">
        <v>39</v>
      </c>
      <c r="X101" s="56">
        <v>42</v>
      </c>
      <c r="Y101" s="53">
        <f t="shared" si="6"/>
        <v>42</v>
      </c>
      <c r="Z101" s="39">
        <f t="shared" si="7"/>
        <v>0.75095999999999996</v>
      </c>
      <c r="AA101" s="65" t="s">
        <v>46</v>
      </c>
      <c r="AB101" s="66" t="s">
        <v>46</v>
      </c>
      <c r="AC101" s="150" t="s">
        <v>171</v>
      </c>
      <c r="AG101" s="78"/>
      <c r="AJ101" s="82" t="s">
        <v>116</v>
      </c>
      <c r="AK101" s="82">
        <v>14</v>
      </c>
      <c r="BB101" s="151" t="s">
        <v>113</v>
      </c>
      <c r="BM101" s="78">
        <f t="shared" si="8"/>
        <v>150.5112</v>
      </c>
      <c r="BN101" s="78">
        <f t="shared" si="9"/>
        <v>150.5112</v>
      </c>
      <c r="BO101" s="78">
        <f t="shared" si="10"/>
        <v>0.6</v>
      </c>
      <c r="BP101" s="78">
        <f t="shared" si="11"/>
        <v>0.6</v>
      </c>
    </row>
    <row r="102" spans="1:68" ht="27" hidden="1" customHeight="1" x14ac:dyDescent="0.25">
      <c r="A102" s="60" t="s">
        <v>190</v>
      </c>
      <c r="B102" s="60" t="s">
        <v>191</v>
      </c>
      <c r="C102" s="34">
        <v>4301135571</v>
      </c>
      <c r="D102" s="284">
        <v>4607111035028</v>
      </c>
      <c r="E102" s="284"/>
      <c r="F102" s="59">
        <v>0.48</v>
      </c>
      <c r="G102" s="35">
        <v>8</v>
      </c>
      <c r="H102" s="59">
        <v>3.84</v>
      </c>
      <c r="I102" s="59">
        <v>4.4488000000000003</v>
      </c>
      <c r="J102" s="35">
        <v>70</v>
      </c>
      <c r="K102" s="35" t="s">
        <v>114</v>
      </c>
      <c r="L102" s="35" t="s">
        <v>115</v>
      </c>
      <c r="M102" s="36" t="s">
        <v>85</v>
      </c>
      <c r="N102" s="36"/>
      <c r="O102" s="35">
        <v>180</v>
      </c>
      <c r="P102" s="3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6"/>
      <c r="R102" s="286"/>
      <c r="S102" s="286"/>
      <c r="T102" s="287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171</v>
      </c>
      <c r="AG102" s="78"/>
      <c r="AJ102" s="82" t="s">
        <v>116</v>
      </c>
      <c r="AK102" s="82">
        <v>14</v>
      </c>
      <c r="BB102" s="153" t="s">
        <v>113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192</v>
      </c>
      <c r="B103" s="60" t="s">
        <v>193</v>
      </c>
      <c r="C103" s="34">
        <v>4301135285</v>
      </c>
      <c r="D103" s="284">
        <v>4607111036407</v>
      </c>
      <c r="E103" s="284"/>
      <c r="F103" s="59">
        <v>0.3</v>
      </c>
      <c r="G103" s="35">
        <v>14</v>
      </c>
      <c r="H103" s="59">
        <v>4.2</v>
      </c>
      <c r="I103" s="59">
        <v>4.5292000000000003</v>
      </c>
      <c r="J103" s="35">
        <v>70</v>
      </c>
      <c r="K103" s="35" t="s">
        <v>114</v>
      </c>
      <c r="L103" s="35" t="s">
        <v>87</v>
      </c>
      <c r="M103" s="36" t="s">
        <v>85</v>
      </c>
      <c r="N103" s="36"/>
      <c r="O103" s="35">
        <v>180</v>
      </c>
      <c r="P103" s="3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88</v>
      </c>
      <c r="AK103" s="82">
        <v>1</v>
      </c>
      <c r="BB103" s="155" t="s">
        <v>113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hidden="1" customHeight="1" x14ac:dyDescent="0.25">
      <c r="A104" s="60" t="s">
        <v>195</v>
      </c>
      <c r="B104" s="60" t="s">
        <v>196</v>
      </c>
      <c r="C104" s="34">
        <v>4301190118</v>
      </c>
      <c r="D104" s="284">
        <v>4620207491461</v>
      </c>
      <c r="E104" s="284"/>
      <c r="F104" s="59">
        <v>0.22</v>
      </c>
      <c r="G104" s="35">
        <v>6</v>
      </c>
      <c r="H104" s="59">
        <v>1.32</v>
      </c>
      <c r="I104" s="59">
        <v>1.74</v>
      </c>
      <c r="J104" s="35">
        <v>140</v>
      </c>
      <c r="K104" s="35" t="s">
        <v>114</v>
      </c>
      <c r="L104" s="35" t="s">
        <v>87</v>
      </c>
      <c r="M104" s="36" t="s">
        <v>85</v>
      </c>
      <c r="N104" s="36"/>
      <c r="O104" s="35">
        <v>180</v>
      </c>
      <c r="P104" s="364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 t="shared" si="6"/>
        <v>0</v>
      </c>
      <c r="Z104" s="39">
        <f>IFERROR(IF(X104="","",X104*0.00941),"")</f>
        <v>0</v>
      </c>
      <c r="AA104" s="65" t="s">
        <v>46</v>
      </c>
      <c r="AB104" s="66" t="s">
        <v>46</v>
      </c>
      <c r="AC104" s="156" t="s">
        <v>197</v>
      </c>
      <c r="AG104" s="78"/>
      <c r="AJ104" s="82" t="s">
        <v>88</v>
      </c>
      <c r="AK104" s="82">
        <v>1</v>
      </c>
      <c r="BB104" s="157" t="s">
        <v>113</v>
      </c>
      <c r="BM104" s="78">
        <f t="shared" si="8"/>
        <v>0</v>
      </c>
      <c r="BN104" s="78">
        <f t="shared" si="9"/>
        <v>0</v>
      </c>
      <c r="BO104" s="78">
        <f t="shared" si="10"/>
        <v>0</v>
      </c>
      <c r="BP104" s="78">
        <f t="shared" si="11"/>
        <v>0</v>
      </c>
    </row>
    <row r="105" spans="1:68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IFERROR(SUM(X98:X104),"0")</f>
        <v>112</v>
      </c>
      <c r="Y105" s="41">
        <f>IFERROR(SUM(Y98:Y104),"0")</f>
        <v>112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2.0025599999999999</v>
      </c>
      <c r="AA105" s="64"/>
      <c r="AB105" s="64"/>
      <c r="AC105" s="64"/>
    </row>
    <row r="106" spans="1:68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IFERROR(SUMPRODUCT(X98:X104*H98:H104),"0")</f>
        <v>322.56</v>
      </c>
      <c r="Y106" s="41">
        <f>IFERROR(SUMPRODUCT(Y98:Y104*H98:H104),"0")</f>
        <v>322.56</v>
      </c>
      <c r="Z106" s="40"/>
      <c r="AA106" s="64"/>
      <c r="AB106" s="64"/>
      <c r="AC106" s="64"/>
    </row>
    <row r="107" spans="1:68" ht="16.5" hidden="1" customHeight="1" x14ac:dyDescent="0.25">
      <c r="A107" s="312" t="s">
        <v>198</v>
      </c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62"/>
      <c r="AB107" s="62"/>
      <c r="AC107" s="62"/>
    </row>
    <row r="108" spans="1:68" ht="14.25" hidden="1" customHeight="1" x14ac:dyDescent="0.25">
      <c r="A108" s="302" t="s">
        <v>147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284">
        <v>4607025784012</v>
      </c>
      <c r="E109" s="284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114</v>
      </c>
      <c r="L109" s="35" t="s">
        <v>115</v>
      </c>
      <c r="M109" s="36" t="s">
        <v>85</v>
      </c>
      <c r="N109" s="36"/>
      <c r="O109" s="35">
        <v>180</v>
      </c>
      <c r="P109" s="35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116</v>
      </c>
      <c r="AK109" s="82">
        <v>14</v>
      </c>
      <c r="BB109" s="159" t="s">
        <v>113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customHeight="1" x14ac:dyDescent="0.25">
      <c r="A110" s="60" t="s">
        <v>202</v>
      </c>
      <c r="B110" s="60" t="s">
        <v>203</v>
      </c>
      <c r="C110" s="34">
        <v>4301136079</v>
      </c>
      <c r="D110" s="284">
        <v>4607025784319</v>
      </c>
      <c r="E110" s="284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114</v>
      </c>
      <c r="L110" s="35" t="s">
        <v>115</v>
      </c>
      <c r="M110" s="36" t="s">
        <v>85</v>
      </c>
      <c r="N110" s="36"/>
      <c r="O110" s="35">
        <v>180</v>
      </c>
      <c r="P110" s="3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42</v>
      </c>
      <c r="Y110" s="53">
        <f>IFERROR(IF(X110="","",X110),"")</f>
        <v>42</v>
      </c>
      <c r="Z110" s="39">
        <f>IFERROR(IF(X110="","",X110*0.01788),"")</f>
        <v>0.75095999999999996</v>
      </c>
      <c r="AA110" s="65" t="s">
        <v>46</v>
      </c>
      <c r="AB110" s="66" t="s">
        <v>46</v>
      </c>
      <c r="AC110" s="160" t="s">
        <v>171</v>
      </c>
      <c r="AG110" s="78"/>
      <c r="AJ110" s="82" t="s">
        <v>116</v>
      </c>
      <c r="AK110" s="82">
        <v>14</v>
      </c>
      <c r="BB110" s="161" t="s">
        <v>113</v>
      </c>
      <c r="BM110" s="78">
        <f>IFERROR(X110*I110,"0")</f>
        <v>178.24799999999999</v>
      </c>
      <c r="BN110" s="78">
        <f>IFERROR(Y110*I110,"0")</f>
        <v>178.24799999999999</v>
      </c>
      <c r="BO110" s="78">
        <f>IFERROR(X110/J110,"0")</f>
        <v>0.6</v>
      </c>
      <c r="BP110" s="78">
        <f>IFERROR(Y110/J110,"0")</f>
        <v>0.6</v>
      </c>
    </row>
    <row r="111" spans="1:68" x14ac:dyDescent="0.2">
      <c r="A111" s="291"/>
      <c r="B111" s="291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92"/>
      <c r="P111" s="288" t="s">
        <v>40</v>
      </c>
      <c r="Q111" s="289"/>
      <c r="R111" s="289"/>
      <c r="S111" s="289"/>
      <c r="T111" s="289"/>
      <c r="U111" s="289"/>
      <c r="V111" s="290"/>
      <c r="W111" s="40" t="s">
        <v>39</v>
      </c>
      <c r="X111" s="41">
        <f>IFERROR(SUM(X109:X110),"0")</f>
        <v>42</v>
      </c>
      <c r="Y111" s="41">
        <f>IFERROR(SUM(Y109:Y110),"0")</f>
        <v>42</v>
      </c>
      <c r="Z111" s="41">
        <f>IFERROR(IF(Z109="",0,Z109),"0")+IFERROR(IF(Z110="",0,Z110),"0")</f>
        <v>0.75095999999999996</v>
      </c>
      <c r="AA111" s="64"/>
      <c r="AB111" s="64"/>
      <c r="AC111" s="64"/>
    </row>
    <row r="112" spans="1:68" x14ac:dyDescent="0.2">
      <c r="A112" s="291"/>
      <c r="B112" s="291"/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92"/>
      <c r="P112" s="288" t="s">
        <v>40</v>
      </c>
      <c r="Q112" s="289"/>
      <c r="R112" s="289"/>
      <c r="S112" s="289"/>
      <c r="T112" s="289"/>
      <c r="U112" s="289"/>
      <c r="V112" s="290"/>
      <c r="W112" s="40" t="s">
        <v>0</v>
      </c>
      <c r="X112" s="41">
        <f>IFERROR(SUMPRODUCT(X109:X110*H109:H110),"0")</f>
        <v>151.20000000000002</v>
      </c>
      <c r="Y112" s="41">
        <f>IFERROR(SUMPRODUCT(Y109:Y110*H109:H110),"0")</f>
        <v>151.20000000000002</v>
      </c>
      <c r="Z112" s="40"/>
      <c r="AA112" s="64"/>
      <c r="AB112" s="64"/>
      <c r="AC112" s="64"/>
    </row>
    <row r="113" spans="1:68" ht="16.5" hidden="1" customHeight="1" x14ac:dyDescent="0.25">
      <c r="A113" s="312" t="s">
        <v>204</v>
      </c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62"/>
      <c r="AB113" s="62"/>
      <c r="AC113" s="62"/>
    </row>
    <row r="114" spans="1:68" ht="14.25" hidden="1" customHeight="1" x14ac:dyDescent="0.25">
      <c r="A114" s="302" t="s">
        <v>81</v>
      </c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284">
        <v>4620207491157</v>
      </c>
      <c r="E115" s="284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86</v>
      </c>
      <c r="L115" s="35" t="s">
        <v>115</v>
      </c>
      <c r="M115" s="36" t="s">
        <v>85</v>
      </c>
      <c r="N115" s="36"/>
      <c r="O115" s="35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116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284">
        <v>4620207491393</v>
      </c>
      <c r="E116" s="284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86</v>
      </c>
      <c r="L116" s="35" t="s">
        <v>87</v>
      </c>
      <c r="M116" s="36" t="s">
        <v>85</v>
      </c>
      <c r="N116" s="36"/>
      <c r="O116" s="35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6"/>
      <c r="R116" s="286"/>
      <c r="S116" s="286"/>
      <c r="T116" s="287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88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211</v>
      </c>
      <c r="B117" s="60" t="s">
        <v>212</v>
      </c>
      <c r="C117" s="34">
        <v>4301071051</v>
      </c>
      <c r="D117" s="284">
        <v>4607111039262</v>
      </c>
      <c r="E117" s="284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86</v>
      </c>
      <c r="L117" s="35" t="s">
        <v>115</v>
      </c>
      <c r="M117" s="36" t="s">
        <v>85</v>
      </c>
      <c r="N117" s="36"/>
      <c r="O117" s="35">
        <v>180</v>
      </c>
      <c r="P117" s="35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6"/>
      <c r="R117" s="286"/>
      <c r="S117" s="286"/>
      <c r="T117" s="287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164</v>
      </c>
      <c r="AG117" s="78"/>
      <c r="AJ117" s="82" t="s">
        <v>116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284">
        <v>4607111039248</v>
      </c>
      <c r="E118" s="284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86</v>
      </c>
      <c r="L118" s="35" t="s">
        <v>115</v>
      </c>
      <c r="M118" s="36" t="s">
        <v>85</v>
      </c>
      <c r="N118" s="36"/>
      <c r="O118" s="35">
        <v>180</v>
      </c>
      <c r="P118" s="35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6"/>
      <c r="R118" s="286"/>
      <c r="S118" s="286"/>
      <c r="T118" s="287"/>
      <c r="U118" s="37" t="s">
        <v>46</v>
      </c>
      <c r="V118" s="37" t="s">
        <v>46</v>
      </c>
      <c r="W118" s="38" t="s">
        <v>39</v>
      </c>
      <c r="X118" s="56">
        <v>60</v>
      </c>
      <c r="Y118" s="53">
        <f t="shared" si="12"/>
        <v>60</v>
      </c>
      <c r="Z118" s="39">
        <f t="shared" si="13"/>
        <v>0.92999999999999994</v>
      </c>
      <c r="AA118" s="65" t="s">
        <v>46</v>
      </c>
      <c r="AB118" s="66" t="s">
        <v>46</v>
      </c>
      <c r="AC118" s="168" t="s">
        <v>164</v>
      </c>
      <c r="AG118" s="78"/>
      <c r="AJ118" s="82" t="s">
        <v>116</v>
      </c>
      <c r="AK118" s="82">
        <v>12</v>
      </c>
      <c r="BB118" s="169" t="s">
        <v>70</v>
      </c>
      <c r="BM118" s="78">
        <f t="shared" si="14"/>
        <v>438</v>
      </c>
      <c r="BN118" s="78">
        <f t="shared" si="15"/>
        <v>438</v>
      </c>
      <c r="BO118" s="78">
        <f t="shared" si="16"/>
        <v>0.7142857142857143</v>
      </c>
      <c r="BP118" s="78">
        <f t="shared" si="17"/>
        <v>0.7142857142857143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284">
        <v>4607111037145</v>
      </c>
      <c r="E119" s="284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86</v>
      </c>
      <c r="L119" s="35" t="s">
        <v>87</v>
      </c>
      <c r="M119" s="36" t="s">
        <v>85</v>
      </c>
      <c r="N119" s="36"/>
      <c r="O119" s="35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88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218</v>
      </c>
      <c r="B120" s="60" t="s">
        <v>219</v>
      </c>
      <c r="C120" s="34">
        <v>4301071049</v>
      </c>
      <c r="D120" s="284">
        <v>4607111039293</v>
      </c>
      <c r="E120" s="284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86</v>
      </c>
      <c r="L120" s="35" t="s">
        <v>115</v>
      </c>
      <c r="M120" s="36" t="s">
        <v>85</v>
      </c>
      <c r="N120" s="36"/>
      <c r="O120" s="35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6"/>
      <c r="R120" s="286"/>
      <c r="S120" s="286"/>
      <c r="T120" s="287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164</v>
      </c>
      <c r="AG120" s="78"/>
      <c r="AJ120" s="82" t="s">
        <v>116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customHeight="1" x14ac:dyDescent="0.25">
      <c r="A121" s="60" t="s">
        <v>220</v>
      </c>
      <c r="B121" s="60" t="s">
        <v>221</v>
      </c>
      <c r="C121" s="34">
        <v>4301071039</v>
      </c>
      <c r="D121" s="284">
        <v>4607111039279</v>
      </c>
      <c r="E121" s="284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86</v>
      </c>
      <c r="L121" s="35" t="s">
        <v>115</v>
      </c>
      <c r="M121" s="36" t="s">
        <v>85</v>
      </c>
      <c r="N121" s="36"/>
      <c r="O121" s="35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6"/>
      <c r="R121" s="286"/>
      <c r="S121" s="286"/>
      <c r="T121" s="287"/>
      <c r="U121" s="37" t="s">
        <v>46</v>
      </c>
      <c r="V121" s="37" t="s">
        <v>46</v>
      </c>
      <c r="W121" s="38" t="s">
        <v>39</v>
      </c>
      <c r="X121" s="56">
        <v>36</v>
      </c>
      <c r="Y121" s="53">
        <f t="shared" si="12"/>
        <v>36</v>
      </c>
      <c r="Z121" s="39">
        <f t="shared" si="13"/>
        <v>0.55800000000000005</v>
      </c>
      <c r="AA121" s="65" t="s">
        <v>46</v>
      </c>
      <c r="AB121" s="66" t="s">
        <v>46</v>
      </c>
      <c r="AC121" s="174" t="s">
        <v>164</v>
      </c>
      <c r="AG121" s="78"/>
      <c r="AJ121" s="82" t="s">
        <v>116</v>
      </c>
      <c r="AK121" s="82">
        <v>12</v>
      </c>
      <c r="BB121" s="175" t="s">
        <v>70</v>
      </c>
      <c r="BM121" s="78">
        <f t="shared" si="14"/>
        <v>262.8</v>
      </c>
      <c r="BN121" s="78">
        <f t="shared" si="15"/>
        <v>262.8</v>
      </c>
      <c r="BO121" s="78">
        <f t="shared" si="16"/>
        <v>0.42857142857142855</v>
      </c>
      <c r="BP121" s="78">
        <f t="shared" si="17"/>
        <v>0.42857142857142855</v>
      </c>
    </row>
    <row r="122" spans="1:68" x14ac:dyDescent="0.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2"/>
      <c r="P122" s="288" t="s">
        <v>40</v>
      </c>
      <c r="Q122" s="289"/>
      <c r="R122" s="289"/>
      <c r="S122" s="289"/>
      <c r="T122" s="289"/>
      <c r="U122" s="289"/>
      <c r="V122" s="290"/>
      <c r="W122" s="40" t="s">
        <v>39</v>
      </c>
      <c r="X122" s="41">
        <f>IFERROR(SUM(X115:X121),"0")</f>
        <v>96</v>
      </c>
      <c r="Y122" s="41">
        <f>IFERROR(SUM(Y115:Y121),"0")</f>
        <v>96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4"/>
      <c r="AB122" s="64"/>
      <c r="AC122" s="64"/>
    </row>
    <row r="123" spans="1:68" x14ac:dyDescent="0.2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2"/>
      <c r="P123" s="288" t="s">
        <v>40</v>
      </c>
      <c r="Q123" s="289"/>
      <c r="R123" s="289"/>
      <c r="S123" s="289"/>
      <c r="T123" s="289"/>
      <c r="U123" s="289"/>
      <c r="V123" s="290"/>
      <c r="W123" s="40" t="s">
        <v>0</v>
      </c>
      <c r="X123" s="41">
        <f>IFERROR(SUMPRODUCT(X115:X121*H115:H121),"0")</f>
        <v>672</v>
      </c>
      <c r="Y123" s="41">
        <f>IFERROR(SUMPRODUCT(Y115:Y121*H115:H121),"0")</f>
        <v>672</v>
      </c>
      <c r="Z123" s="40"/>
      <c r="AA123" s="64"/>
      <c r="AB123" s="64"/>
      <c r="AC123" s="64"/>
    </row>
    <row r="124" spans="1:68" ht="14.25" hidden="1" customHeight="1" x14ac:dyDescent="0.25">
      <c r="A124" s="302" t="s">
        <v>153</v>
      </c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63"/>
      <c r="AB124" s="63"/>
      <c r="AC124" s="63"/>
    </row>
    <row r="125" spans="1:68" ht="27" customHeight="1" x14ac:dyDescent="0.25">
      <c r="A125" s="60" t="s">
        <v>222</v>
      </c>
      <c r="B125" s="60" t="s">
        <v>223</v>
      </c>
      <c r="C125" s="34">
        <v>4301135826</v>
      </c>
      <c r="D125" s="284">
        <v>4620207490983</v>
      </c>
      <c r="E125" s="284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114</v>
      </c>
      <c r="L125" s="35" t="s">
        <v>87</v>
      </c>
      <c r="M125" s="36" t="s">
        <v>85</v>
      </c>
      <c r="N125" s="36"/>
      <c r="O125" s="35">
        <v>180</v>
      </c>
      <c r="P125" s="35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6"/>
      <c r="R125" s="286"/>
      <c r="S125" s="286"/>
      <c r="T125" s="287"/>
      <c r="U125" s="37" t="s">
        <v>46</v>
      </c>
      <c r="V125" s="37" t="s">
        <v>46</v>
      </c>
      <c r="W125" s="38" t="s">
        <v>39</v>
      </c>
      <c r="X125" s="56">
        <v>14</v>
      </c>
      <c r="Y125" s="53">
        <f>IFERROR(IF(X125="","",X125),"")</f>
        <v>14</v>
      </c>
      <c r="Z125" s="39">
        <f>IFERROR(IF(X125="","",X125*0.01788),"")</f>
        <v>0.25031999999999999</v>
      </c>
      <c r="AA125" s="65" t="s">
        <v>46</v>
      </c>
      <c r="AB125" s="66" t="s">
        <v>46</v>
      </c>
      <c r="AC125" s="176" t="s">
        <v>224</v>
      </c>
      <c r="AG125" s="78"/>
      <c r="AJ125" s="82" t="s">
        <v>88</v>
      </c>
      <c r="AK125" s="82">
        <v>1</v>
      </c>
      <c r="BB125" s="177" t="s">
        <v>113</v>
      </c>
      <c r="BM125" s="78">
        <f>IFERROR(X125*I125,"0")</f>
        <v>46.810400000000001</v>
      </c>
      <c r="BN125" s="78">
        <f>IFERROR(Y125*I125,"0")</f>
        <v>46.810400000000001</v>
      </c>
      <c r="BO125" s="78">
        <f>IFERROR(X125/J125,"0")</f>
        <v>0.2</v>
      </c>
      <c r="BP125" s="78">
        <f>IFERROR(Y125/J125,"0")</f>
        <v>0.2</v>
      </c>
    </row>
    <row r="126" spans="1:68" x14ac:dyDescent="0.2">
      <c r="A126" s="291"/>
      <c r="B126" s="291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92"/>
      <c r="P126" s="288" t="s">
        <v>40</v>
      </c>
      <c r="Q126" s="289"/>
      <c r="R126" s="289"/>
      <c r="S126" s="289"/>
      <c r="T126" s="289"/>
      <c r="U126" s="289"/>
      <c r="V126" s="290"/>
      <c r="W126" s="40" t="s">
        <v>39</v>
      </c>
      <c r="X126" s="41">
        <f>IFERROR(SUM(X125:X125),"0")</f>
        <v>14</v>
      </c>
      <c r="Y126" s="41">
        <f>IFERROR(SUM(Y125:Y125),"0")</f>
        <v>14</v>
      </c>
      <c r="Z126" s="41">
        <f>IFERROR(IF(Z125="",0,Z125),"0")</f>
        <v>0.25031999999999999</v>
      </c>
      <c r="AA126" s="64"/>
      <c r="AB126" s="64"/>
      <c r="AC126" s="64"/>
    </row>
    <row r="127" spans="1:68" x14ac:dyDescent="0.2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92"/>
      <c r="P127" s="288" t="s">
        <v>40</v>
      </c>
      <c r="Q127" s="289"/>
      <c r="R127" s="289"/>
      <c r="S127" s="289"/>
      <c r="T127" s="289"/>
      <c r="U127" s="289"/>
      <c r="V127" s="290"/>
      <c r="W127" s="40" t="s">
        <v>0</v>
      </c>
      <c r="X127" s="41">
        <f>IFERROR(SUMPRODUCT(X125:X125*H125:H125),"0")</f>
        <v>36.96</v>
      </c>
      <c r="Y127" s="41">
        <f>IFERROR(SUMPRODUCT(Y125:Y125*H125:H125),"0")</f>
        <v>36.96</v>
      </c>
      <c r="Z127" s="40"/>
      <c r="AA127" s="64"/>
      <c r="AB127" s="64"/>
      <c r="AC127" s="64"/>
    </row>
    <row r="128" spans="1:68" ht="14.25" hidden="1" customHeight="1" x14ac:dyDescent="0.25">
      <c r="A128" s="302" t="s">
        <v>225</v>
      </c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284">
        <v>4620207491140</v>
      </c>
      <c r="E129" s="284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86</v>
      </c>
      <c r="L129" s="35" t="s">
        <v>87</v>
      </c>
      <c r="M129" s="36" t="s">
        <v>85</v>
      </c>
      <c r="N129" s="36"/>
      <c r="O129" s="35">
        <v>180</v>
      </c>
      <c r="P129" s="34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88</v>
      </c>
      <c r="AK129" s="82">
        <v>1</v>
      </c>
      <c r="BB129" s="179" t="s">
        <v>113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idden="1" x14ac:dyDescent="0.2">
      <c r="A130" s="291"/>
      <c r="B130" s="291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92"/>
      <c r="P130" s="288" t="s">
        <v>40</v>
      </c>
      <c r="Q130" s="289"/>
      <c r="R130" s="289"/>
      <c r="S130" s="289"/>
      <c r="T130" s="289"/>
      <c r="U130" s="289"/>
      <c r="V130" s="290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291"/>
      <c r="B131" s="291"/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292"/>
      <c r="P131" s="288" t="s">
        <v>40</v>
      </c>
      <c r="Q131" s="289"/>
      <c r="R131" s="289"/>
      <c r="S131" s="289"/>
      <c r="T131" s="289"/>
      <c r="U131" s="289"/>
      <c r="V131" s="290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12" t="s">
        <v>229</v>
      </c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62"/>
      <c r="AB132" s="62"/>
      <c r="AC132" s="62"/>
    </row>
    <row r="133" spans="1:68" ht="14.25" hidden="1" customHeight="1" x14ac:dyDescent="0.25">
      <c r="A133" s="302" t="s">
        <v>230</v>
      </c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284">
        <v>4620207491386</v>
      </c>
      <c r="E134" s="284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114</v>
      </c>
      <c r="L134" s="35" t="s">
        <v>87</v>
      </c>
      <c r="M134" s="36" t="s">
        <v>85</v>
      </c>
      <c r="N134" s="36"/>
      <c r="O134" s="35">
        <v>180</v>
      </c>
      <c r="P134" s="349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6"/>
      <c r="R134" s="286"/>
      <c r="S134" s="286"/>
      <c r="T134" s="287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88</v>
      </c>
      <c r="AK134" s="82">
        <v>1</v>
      </c>
      <c r="BB134" s="181" t="s">
        <v>113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234</v>
      </c>
      <c r="B135" s="60" t="s">
        <v>235</v>
      </c>
      <c r="C135" s="34">
        <v>4301190115</v>
      </c>
      <c r="D135" s="284">
        <v>4620207491362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114</v>
      </c>
      <c r="L135" s="35" t="s">
        <v>87</v>
      </c>
      <c r="M135" s="36" t="s">
        <v>85</v>
      </c>
      <c r="N135" s="36"/>
      <c r="O135" s="35">
        <v>180</v>
      </c>
      <c r="P135" s="346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88</v>
      </c>
      <c r="AK135" s="82">
        <v>1</v>
      </c>
      <c r="BB135" s="183" t="s">
        <v>113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236</v>
      </c>
      <c r="B136" s="60" t="s">
        <v>237</v>
      </c>
      <c r="C136" s="34">
        <v>4301190116</v>
      </c>
      <c r="D136" s="284">
        <v>4620207491379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114</v>
      </c>
      <c r="L136" s="35" t="s">
        <v>87</v>
      </c>
      <c r="M136" s="36" t="s">
        <v>85</v>
      </c>
      <c r="N136" s="36"/>
      <c r="O136" s="35">
        <v>180</v>
      </c>
      <c r="P136" s="347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88</v>
      </c>
      <c r="AK136" s="82">
        <v>1</v>
      </c>
      <c r="BB136" s="185" t="s">
        <v>113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idden="1" x14ac:dyDescent="0.2">
      <c r="A137" s="291"/>
      <c r="B137" s="291"/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292"/>
      <c r="P137" s="288" t="s">
        <v>40</v>
      </c>
      <c r="Q137" s="289"/>
      <c r="R137" s="289"/>
      <c r="S137" s="289"/>
      <c r="T137" s="289"/>
      <c r="U137" s="289"/>
      <c r="V137" s="290"/>
      <c r="W137" s="40" t="s">
        <v>39</v>
      </c>
      <c r="X137" s="41">
        <f>IFERROR(SUM(X134:X136),"0")</f>
        <v>0</v>
      </c>
      <c r="Y137" s="41">
        <f>IFERROR(SUM(Y134:Y136),"0")</f>
        <v>0</v>
      </c>
      <c r="Z137" s="41">
        <f>IFERROR(IF(Z134="",0,Z134),"0")+IFERROR(IF(Z135="",0,Z135),"0")+IFERROR(IF(Z136="",0,Z136),"0")</f>
        <v>0</v>
      </c>
      <c r="AA137" s="64"/>
      <c r="AB137" s="64"/>
      <c r="AC137" s="64"/>
    </row>
    <row r="138" spans="1:68" hidden="1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0</v>
      </c>
      <c r="X138" s="41">
        <f>IFERROR(SUMPRODUCT(X134:X136*H134:H136),"0")</f>
        <v>0</v>
      </c>
      <c r="Y138" s="41">
        <f>IFERROR(SUMPRODUCT(Y134:Y136*H134:H136),"0")</f>
        <v>0</v>
      </c>
      <c r="Z138" s="40"/>
      <c r="AA138" s="64"/>
      <c r="AB138" s="64"/>
      <c r="AC138" s="64"/>
    </row>
    <row r="139" spans="1:68" ht="16.5" hidden="1" customHeight="1" x14ac:dyDescent="0.25">
      <c r="A139" s="312" t="s">
        <v>238</v>
      </c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62"/>
      <c r="AB139" s="62"/>
      <c r="AC139" s="62"/>
    </row>
    <row r="140" spans="1:68" ht="14.25" hidden="1" customHeight="1" x14ac:dyDescent="0.25">
      <c r="A140" s="302" t="s">
        <v>153</v>
      </c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63"/>
      <c r="AB140" s="63"/>
      <c r="AC140" s="63"/>
    </row>
    <row r="141" spans="1:68" ht="27" hidden="1" customHeight="1" x14ac:dyDescent="0.25">
      <c r="A141" s="60" t="s">
        <v>239</v>
      </c>
      <c r="B141" s="60" t="s">
        <v>240</v>
      </c>
      <c r="C141" s="34">
        <v>4301135865</v>
      </c>
      <c r="D141" s="284">
        <v>4620207491485</v>
      </c>
      <c r="E141" s="284"/>
      <c r="F141" s="59">
        <v>0.23</v>
      </c>
      <c r="G141" s="35">
        <v>6</v>
      </c>
      <c r="H141" s="59">
        <v>1.38</v>
      </c>
      <c r="I141" s="59">
        <v>1.8</v>
      </c>
      <c r="J141" s="35">
        <v>140</v>
      </c>
      <c r="K141" s="35" t="s">
        <v>114</v>
      </c>
      <c r="L141" s="35" t="s">
        <v>87</v>
      </c>
      <c r="M141" s="36" t="s">
        <v>85</v>
      </c>
      <c r="N141" s="36"/>
      <c r="O141" s="35">
        <v>180</v>
      </c>
      <c r="P141" s="343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1" s="286"/>
      <c r="R141" s="286"/>
      <c r="S141" s="286"/>
      <c r="T141" s="287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6" t="s">
        <v>197</v>
      </c>
      <c r="AG141" s="78"/>
      <c r="AJ141" s="82" t="s">
        <v>88</v>
      </c>
      <c r="AK141" s="82">
        <v>1</v>
      </c>
      <c r="BB141" s="187" t="s">
        <v>113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customHeight="1" x14ac:dyDescent="0.25">
      <c r="A142" s="60" t="s">
        <v>241</v>
      </c>
      <c r="B142" s="60" t="s">
        <v>242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114</v>
      </c>
      <c r="L142" s="35" t="s">
        <v>115</v>
      </c>
      <c r="M142" s="36" t="s">
        <v>85</v>
      </c>
      <c r="N142" s="36"/>
      <c r="O142" s="35">
        <v>180</v>
      </c>
      <c r="P142" s="34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243</v>
      </c>
      <c r="AG142" s="78"/>
      <c r="AJ142" s="82" t="s">
        <v>116</v>
      </c>
      <c r="AK142" s="82">
        <v>14</v>
      </c>
      <c r="BB142" s="189" t="s">
        <v>113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ht="27" customHeight="1" x14ac:dyDescent="0.25">
      <c r="A143" s="60" t="s">
        <v>244</v>
      </c>
      <c r="B143" s="60" t="s">
        <v>245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114</v>
      </c>
      <c r="L143" s="35" t="s">
        <v>115</v>
      </c>
      <c r="M143" s="36" t="s">
        <v>85</v>
      </c>
      <c r="N143" s="36"/>
      <c r="O143" s="35">
        <v>180</v>
      </c>
      <c r="P143" s="3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171</v>
      </c>
      <c r="AG143" s="78"/>
      <c r="AJ143" s="82" t="s">
        <v>116</v>
      </c>
      <c r="AK143" s="82">
        <v>14</v>
      </c>
      <c r="BB143" s="191" t="s">
        <v>113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IFERROR(SUM(X141:X143),"0")</f>
        <v>140</v>
      </c>
      <c r="Y144" s="41">
        <f>IFERROR(SUM(Y141:Y143),"0")</f>
        <v>140</v>
      </c>
      <c r="Z144" s="41">
        <f>IFERROR(IF(Z141="",0,Z141),"0")+IFERROR(IF(Z142="",0,Z142),"0")+IFERROR(IF(Z143="",0,Z143),"0")</f>
        <v>2.5032000000000001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IFERROR(SUMPRODUCT(X141:X143*H141:H143),"0")</f>
        <v>420</v>
      </c>
      <c r="Y145" s="41">
        <f>IFERROR(SUMPRODUCT(Y141:Y143*H141:H143),"0")</f>
        <v>420</v>
      </c>
      <c r="Z145" s="40"/>
      <c r="AA145" s="64"/>
      <c r="AB145" s="64"/>
      <c r="AC145" s="64"/>
    </row>
    <row r="146" spans="1:68" ht="16.5" hidden="1" customHeight="1" x14ac:dyDescent="0.25">
      <c r="A146" s="312" t="s">
        <v>246</v>
      </c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62"/>
      <c r="AB146" s="62"/>
      <c r="AC146" s="62"/>
    </row>
    <row r="147" spans="1:68" ht="14.25" hidden="1" customHeight="1" x14ac:dyDescent="0.25">
      <c r="A147" s="302" t="s">
        <v>153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hidden="1" customHeight="1" x14ac:dyDescent="0.25">
      <c r="A148" s="60" t="s">
        <v>247</v>
      </c>
      <c r="B148" s="60" t="s">
        <v>248</v>
      </c>
      <c r="C148" s="34">
        <v>4301135850</v>
      </c>
      <c r="D148" s="284">
        <v>4620207491492</v>
      </c>
      <c r="E148" s="284"/>
      <c r="F148" s="59">
        <v>0.23</v>
      </c>
      <c r="G148" s="35">
        <v>6</v>
      </c>
      <c r="H148" s="59">
        <v>1.38</v>
      </c>
      <c r="I148" s="59">
        <v>1.8</v>
      </c>
      <c r="J148" s="35">
        <v>140</v>
      </c>
      <c r="K148" s="35" t="s">
        <v>114</v>
      </c>
      <c r="L148" s="35" t="s">
        <v>87</v>
      </c>
      <c r="M148" s="36" t="s">
        <v>85</v>
      </c>
      <c r="N148" s="36"/>
      <c r="O148" s="35">
        <v>180</v>
      </c>
      <c r="P148" s="34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IFERROR(IF(X148="","",X148*0.00941),"")</f>
        <v>0</v>
      </c>
      <c r="AA148" s="65" t="s">
        <v>46</v>
      </c>
      <c r="AB148" s="66" t="s">
        <v>46</v>
      </c>
      <c r="AC148" s="192" t="s">
        <v>197</v>
      </c>
      <c r="AG148" s="78"/>
      <c r="AJ148" s="82" t="s">
        <v>88</v>
      </c>
      <c r="AK148" s="82">
        <v>1</v>
      </c>
      <c r="BB148" s="193" t="s">
        <v>113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249</v>
      </c>
      <c r="B149" s="60" t="s">
        <v>250</v>
      </c>
      <c r="C149" s="34">
        <v>4301135824</v>
      </c>
      <c r="D149" s="284">
        <v>4607111039095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114</v>
      </c>
      <c r="L149" s="35" t="s">
        <v>87</v>
      </c>
      <c r="M149" s="36" t="s">
        <v>85</v>
      </c>
      <c r="N149" s="36"/>
      <c r="O149" s="35">
        <v>180</v>
      </c>
      <c r="P149" s="34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251</v>
      </c>
      <c r="AG149" s="78"/>
      <c r="AJ149" s="82" t="s">
        <v>88</v>
      </c>
      <c r="AK149" s="82">
        <v>1</v>
      </c>
      <c r="BB149" s="195" t="s">
        <v>113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252</v>
      </c>
      <c r="B150" s="60" t="s">
        <v>253</v>
      </c>
      <c r="C150" s="34">
        <v>4301135550</v>
      </c>
      <c r="D150" s="284">
        <v>4607111034199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114</v>
      </c>
      <c r="L150" s="35" t="s">
        <v>115</v>
      </c>
      <c r="M150" s="36" t="s">
        <v>85</v>
      </c>
      <c r="N150" s="36"/>
      <c r="O150" s="35">
        <v>180</v>
      </c>
      <c r="P150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28</v>
      </c>
      <c r="Y150" s="53">
        <f>IFERROR(IF(X150="","",X150),"")</f>
        <v>28</v>
      </c>
      <c r="Z150" s="39">
        <f>IFERROR(IF(X150="","",X150*0.01788),"")</f>
        <v>0.50063999999999997</v>
      </c>
      <c r="AA150" s="65" t="s">
        <v>46</v>
      </c>
      <c r="AB150" s="66" t="s">
        <v>46</v>
      </c>
      <c r="AC150" s="196" t="s">
        <v>254</v>
      </c>
      <c r="AG150" s="78"/>
      <c r="AJ150" s="82" t="s">
        <v>116</v>
      </c>
      <c r="AK150" s="82">
        <v>14</v>
      </c>
      <c r="BB150" s="197" t="s">
        <v>113</v>
      </c>
      <c r="BM150" s="78">
        <f>IFERROR(X150*I150,"0")</f>
        <v>103.70079999999999</v>
      </c>
      <c r="BN150" s="78">
        <f>IFERROR(Y150*I150,"0")</f>
        <v>103.70079999999999</v>
      </c>
      <c r="BO150" s="78">
        <f>IFERROR(X150/J150,"0")</f>
        <v>0.4</v>
      </c>
      <c r="BP150" s="78">
        <f>IFERROR(Y150/J150,"0")</f>
        <v>0.4</v>
      </c>
    </row>
    <row r="151" spans="1:68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28</v>
      </c>
      <c r="Y151" s="41">
        <f>IFERROR(SUM(Y148:Y150),"0")</f>
        <v>28</v>
      </c>
      <c r="Z151" s="41">
        <f>IFERROR(IF(Z148="",0,Z148),"0")+IFERROR(IF(Z149="",0,Z149),"0")+IFERROR(IF(Z150="",0,Z150),"0")</f>
        <v>0.50063999999999997</v>
      </c>
      <c r="AA151" s="64"/>
      <c r="AB151" s="64"/>
      <c r="AC151" s="64"/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84</v>
      </c>
      <c r="Y152" s="41">
        <f>IFERROR(SUMPRODUCT(Y148:Y150*H148:H150),"0")</f>
        <v>84</v>
      </c>
      <c r="Z152" s="40"/>
      <c r="AA152" s="64"/>
      <c r="AB152" s="64"/>
      <c r="AC152" s="64"/>
    </row>
    <row r="153" spans="1:68" ht="16.5" hidden="1" customHeight="1" x14ac:dyDescent="0.25">
      <c r="A153" s="312" t="s">
        <v>255</v>
      </c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  <c r="Z153" s="312"/>
      <c r="AA153" s="62"/>
      <c r="AB153" s="62"/>
      <c r="AC153" s="62"/>
    </row>
    <row r="154" spans="1:68" ht="14.25" hidden="1" customHeight="1" x14ac:dyDescent="0.25">
      <c r="A154" s="302" t="s">
        <v>153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customHeight="1" x14ac:dyDescent="0.25">
      <c r="A155" s="60" t="s">
        <v>256</v>
      </c>
      <c r="B155" s="60" t="s">
        <v>257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114</v>
      </c>
      <c r="L155" s="35" t="s">
        <v>87</v>
      </c>
      <c r="M155" s="36" t="s">
        <v>85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28</v>
      </c>
      <c r="Y155" s="53">
        <f>IFERROR(IF(X155="","",X155),"")</f>
        <v>28</v>
      </c>
      <c r="Z155" s="39">
        <f>IFERROR(IF(X155="","",X155*0.01788),"")</f>
        <v>0.50063999999999997</v>
      </c>
      <c r="AA155" s="65" t="s">
        <v>46</v>
      </c>
      <c r="AB155" s="66" t="s">
        <v>46</v>
      </c>
      <c r="AC155" s="198" t="s">
        <v>243</v>
      </c>
      <c r="AG155" s="78"/>
      <c r="AJ155" s="82" t="s">
        <v>88</v>
      </c>
      <c r="AK155" s="82">
        <v>1</v>
      </c>
      <c r="BB155" s="199" t="s">
        <v>113</v>
      </c>
      <c r="BM155" s="78">
        <f>IFERROR(X155*I155,"0")</f>
        <v>75.040000000000006</v>
      </c>
      <c r="BN155" s="78">
        <f>IFERROR(Y155*I155,"0")</f>
        <v>75.040000000000006</v>
      </c>
      <c r="BO155" s="78">
        <f>IFERROR(X155/J155,"0")</f>
        <v>0.4</v>
      </c>
      <c r="BP155" s="78">
        <f>IFERROR(Y155/J155,"0")</f>
        <v>0.4</v>
      </c>
    </row>
    <row r="156" spans="1:68" ht="27" customHeight="1" x14ac:dyDescent="0.25">
      <c r="A156" s="60" t="s">
        <v>258</v>
      </c>
      <c r="B156" s="60" t="s">
        <v>259</v>
      </c>
      <c r="C156" s="34">
        <v>4301135778</v>
      </c>
      <c r="D156" s="284">
        <v>4620207490853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114</v>
      </c>
      <c r="L156" s="35" t="s">
        <v>115</v>
      </c>
      <c r="M156" s="36" t="s">
        <v>85</v>
      </c>
      <c r="N156" s="36"/>
      <c r="O156" s="35">
        <v>180</v>
      </c>
      <c r="P156" s="3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28</v>
      </c>
      <c r="Y156" s="53">
        <f>IFERROR(IF(X156="","",X156),"")</f>
        <v>28</v>
      </c>
      <c r="Z156" s="39">
        <f>IFERROR(IF(X156="","",X156*0.01788),"")</f>
        <v>0.50063999999999997</v>
      </c>
      <c r="AA156" s="65" t="s">
        <v>46</v>
      </c>
      <c r="AB156" s="66" t="s">
        <v>46</v>
      </c>
      <c r="AC156" s="200" t="s">
        <v>243</v>
      </c>
      <c r="AG156" s="78"/>
      <c r="AJ156" s="82" t="s">
        <v>116</v>
      </c>
      <c r="AK156" s="82">
        <v>14</v>
      </c>
      <c r="BB156" s="201" t="s">
        <v>113</v>
      </c>
      <c r="BM156" s="78">
        <f>IFERROR(X156*I156,"0")</f>
        <v>75.040000000000006</v>
      </c>
      <c r="BN156" s="78">
        <f>IFERROR(Y156*I156,"0")</f>
        <v>75.040000000000006</v>
      </c>
      <c r="BO156" s="78">
        <f>IFERROR(X156/J156,"0")</f>
        <v>0.4</v>
      </c>
      <c r="BP156" s="78">
        <f>IFERROR(Y156/J156,"0")</f>
        <v>0.4</v>
      </c>
    </row>
    <row r="157" spans="1:68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56</v>
      </c>
      <c r="Y157" s="41">
        <f>IFERROR(SUM(Y155:Y156),"0")</f>
        <v>56</v>
      </c>
      <c r="Z157" s="41">
        <f>IFERROR(IF(Z155="",0,Z155),"0")+IFERROR(IF(Z156="",0,Z156),"0")</f>
        <v>1.0012799999999999</v>
      </c>
      <c r="AA157" s="64"/>
      <c r="AB157" s="64"/>
      <c r="AC157" s="64"/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134.4</v>
      </c>
      <c r="Y158" s="41">
        <f>IFERROR(SUMPRODUCT(Y155:Y156*H155:H156),"0")</f>
        <v>134.4</v>
      </c>
      <c r="Z158" s="40"/>
      <c r="AA158" s="64"/>
      <c r="AB158" s="64"/>
      <c r="AC158" s="64"/>
    </row>
    <row r="159" spans="1:68" ht="16.5" hidden="1" customHeight="1" x14ac:dyDescent="0.25">
      <c r="A159" s="312" t="s">
        <v>260</v>
      </c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62"/>
      <c r="AB159" s="62"/>
      <c r="AC159" s="62"/>
    </row>
    <row r="160" spans="1:68" ht="14.25" hidden="1" customHeight="1" x14ac:dyDescent="0.25">
      <c r="A160" s="302" t="s">
        <v>153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hidden="1" customHeight="1" x14ac:dyDescent="0.25">
      <c r="A161" s="60" t="s">
        <v>261</v>
      </c>
      <c r="B161" s="60" t="s">
        <v>262</v>
      </c>
      <c r="C161" s="34">
        <v>4301135570</v>
      </c>
      <c r="D161" s="284">
        <v>4607111035806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114</v>
      </c>
      <c r="L161" s="35" t="s">
        <v>115</v>
      </c>
      <c r="M161" s="36" t="s">
        <v>85</v>
      </c>
      <c r="N161" s="36"/>
      <c r="O161" s="35">
        <v>180</v>
      </c>
      <c r="P161" s="33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263</v>
      </c>
      <c r="AG161" s="78"/>
      <c r="AJ161" s="82" t="s">
        <v>116</v>
      </c>
      <c r="AK161" s="82">
        <v>14</v>
      </c>
      <c r="BB161" s="203" t="s">
        <v>113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12" t="s">
        <v>264</v>
      </c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62"/>
      <c r="AB164" s="62"/>
      <c r="AC164" s="62"/>
    </row>
    <row r="165" spans="1:68" ht="14.25" hidden="1" customHeight="1" x14ac:dyDescent="0.25">
      <c r="A165" s="302" t="s">
        <v>153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hidden="1" customHeight="1" x14ac:dyDescent="0.25">
      <c r="A166" s="60" t="s">
        <v>265</v>
      </c>
      <c r="B166" s="60" t="s">
        <v>266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114</v>
      </c>
      <c r="L166" s="35" t="s">
        <v>115</v>
      </c>
      <c r="M166" s="36" t="s">
        <v>85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251</v>
      </c>
      <c r="AG166" s="78"/>
      <c r="AJ166" s="82" t="s">
        <v>116</v>
      </c>
      <c r="AK166" s="82">
        <v>14</v>
      </c>
      <c r="BB166" s="205" t="s">
        <v>113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12" t="s">
        <v>267</v>
      </c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  <c r="Z169" s="312"/>
      <c r="AA169" s="62"/>
      <c r="AB169" s="62"/>
      <c r="AC169" s="62"/>
    </row>
    <row r="170" spans="1:68" ht="14.25" hidden="1" customHeight="1" x14ac:dyDescent="0.25">
      <c r="A170" s="302" t="s">
        <v>153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hidden="1" customHeight="1" x14ac:dyDescent="0.25">
      <c r="A171" s="60" t="s">
        <v>268</v>
      </c>
      <c r="B171" s="60" t="s">
        <v>269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114</v>
      </c>
      <c r="L171" s="35" t="s">
        <v>115</v>
      </c>
      <c r="M171" s="36" t="s">
        <v>85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270</v>
      </c>
      <c r="AG171" s="78"/>
      <c r="AJ171" s="82" t="s">
        <v>116</v>
      </c>
      <c r="AK171" s="82">
        <v>14</v>
      </c>
      <c r="BB171" s="207" t="s">
        <v>113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11" t="s">
        <v>271</v>
      </c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52"/>
      <c r="AB174" s="52"/>
      <c r="AC174" s="52"/>
    </row>
    <row r="175" spans="1:68" ht="16.5" hidden="1" customHeight="1" x14ac:dyDescent="0.25">
      <c r="A175" s="312" t="s">
        <v>272</v>
      </c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  <c r="Z175" s="312"/>
      <c r="AA175" s="62"/>
      <c r="AB175" s="62"/>
      <c r="AC175" s="62"/>
    </row>
    <row r="176" spans="1:68" ht="14.25" hidden="1" customHeight="1" x14ac:dyDescent="0.25">
      <c r="A176" s="302" t="s">
        <v>81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hidden="1" customHeight="1" x14ac:dyDescent="0.25">
      <c r="A177" s="60" t="s">
        <v>273</v>
      </c>
      <c r="B177" s="60" t="s">
        <v>274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86</v>
      </c>
      <c r="L177" s="35" t="s">
        <v>87</v>
      </c>
      <c r="M177" s="36" t="s">
        <v>85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88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276</v>
      </c>
      <c r="B178" s="60" t="s">
        <v>277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86</v>
      </c>
      <c r="L178" s="35" t="s">
        <v>115</v>
      </c>
      <c r="M178" s="36" t="s">
        <v>85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278</v>
      </c>
      <c r="AG178" s="78"/>
      <c r="AJ178" s="82" t="s">
        <v>116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4.25" hidden="1" customHeight="1" x14ac:dyDescent="0.25">
      <c r="A181" s="302" t="s">
        <v>279</v>
      </c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63"/>
      <c r="AB181" s="63"/>
      <c r="AC181" s="63"/>
    </row>
    <row r="182" spans="1:68" ht="27" hidden="1" customHeight="1" x14ac:dyDescent="0.25">
      <c r="A182" s="60" t="s">
        <v>280</v>
      </c>
      <c r="B182" s="60" t="s">
        <v>281</v>
      </c>
      <c r="C182" s="34">
        <v>4301080153</v>
      </c>
      <c r="D182" s="284">
        <v>4607111036827</v>
      </c>
      <c r="E182" s="284"/>
      <c r="F182" s="59">
        <v>1</v>
      </c>
      <c r="G182" s="35">
        <v>5</v>
      </c>
      <c r="H182" s="59">
        <v>5</v>
      </c>
      <c r="I182" s="59">
        <v>5.2</v>
      </c>
      <c r="J182" s="35">
        <v>144</v>
      </c>
      <c r="K182" s="35" t="s">
        <v>86</v>
      </c>
      <c r="L182" s="35" t="s">
        <v>87</v>
      </c>
      <c r="M182" s="36" t="s">
        <v>85</v>
      </c>
      <c r="N182" s="36"/>
      <c r="O182" s="35">
        <v>90</v>
      </c>
      <c r="P182" s="33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2" s="286"/>
      <c r="R182" s="286"/>
      <c r="S182" s="286"/>
      <c r="T182" s="287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282</v>
      </c>
      <c r="AG182" s="78"/>
      <c r="AJ182" s="82" t="s">
        <v>88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hidden="1" customHeight="1" x14ac:dyDescent="0.25">
      <c r="A183" s="60" t="s">
        <v>283</v>
      </c>
      <c r="B183" s="60" t="s">
        <v>284</v>
      </c>
      <c r="C183" s="34">
        <v>4301080154</v>
      </c>
      <c r="D183" s="284">
        <v>4607111036834</v>
      </c>
      <c r="E183" s="284"/>
      <c r="F183" s="59">
        <v>1</v>
      </c>
      <c r="G183" s="35">
        <v>5</v>
      </c>
      <c r="H183" s="59">
        <v>5</v>
      </c>
      <c r="I183" s="59">
        <v>5.2530000000000001</v>
      </c>
      <c r="J183" s="35">
        <v>144</v>
      </c>
      <c r="K183" s="35" t="s">
        <v>86</v>
      </c>
      <c r="L183" s="35" t="s">
        <v>87</v>
      </c>
      <c r="M183" s="36" t="s">
        <v>85</v>
      </c>
      <c r="N183" s="36"/>
      <c r="O183" s="35">
        <v>90</v>
      </c>
      <c r="P183" s="33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282</v>
      </c>
      <c r="AG183" s="78"/>
      <c r="AJ183" s="82" t="s">
        <v>88</v>
      </c>
      <c r="AK183" s="82">
        <v>1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IFERROR(SUM(X182:X183),"0")</f>
        <v>0</v>
      </c>
      <c r="Y184" s="41">
        <f>IFERROR(SUM(Y182:Y183),"0")</f>
        <v>0</v>
      </c>
      <c r="Z184" s="41">
        <f>IFERROR(IF(Z182="",0,Z182),"0")+IFERROR(IF(Z183="",0,Z183),"0")</f>
        <v>0</v>
      </c>
      <c r="AA184" s="64"/>
      <c r="AB184" s="64"/>
      <c r="AC184" s="64"/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IFERROR(SUMPRODUCT(X182:X183*H182:H183),"0")</f>
        <v>0</v>
      </c>
      <c r="Y185" s="41">
        <f>IFERROR(SUMPRODUCT(Y182:Y183*H182:H183),"0")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11" t="s">
        <v>285</v>
      </c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52"/>
      <c r="AB186" s="52"/>
      <c r="AC186" s="52"/>
    </row>
    <row r="187" spans="1:68" ht="16.5" hidden="1" customHeight="1" x14ac:dyDescent="0.25">
      <c r="A187" s="312" t="s">
        <v>286</v>
      </c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  <c r="Z187" s="312"/>
      <c r="AA187" s="62"/>
      <c r="AB187" s="62"/>
      <c r="AC187" s="62"/>
    </row>
    <row r="188" spans="1:68" ht="14.25" hidden="1" customHeight="1" x14ac:dyDescent="0.25">
      <c r="A188" s="302" t="s">
        <v>109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287</v>
      </c>
      <c r="B189" s="60" t="s">
        <v>288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114</v>
      </c>
      <c r="L189" s="35" t="s">
        <v>115</v>
      </c>
      <c r="M189" s="36" t="s">
        <v>85</v>
      </c>
      <c r="N189" s="36"/>
      <c r="O189" s="35">
        <v>365</v>
      </c>
      <c r="P189" s="32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70</v>
      </c>
      <c r="Y189" s="53">
        <f>IFERROR(IF(X189="","",X189),"")</f>
        <v>70</v>
      </c>
      <c r="Z189" s="39">
        <f>IFERROR(IF(X189="","",X189*0.01788),"")</f>
        <v>1.2516</v>
      </c>
      <c r="AA189" s="65" t="s">
        <v>46</v>
      </c>
      <c r="AB189" s="66" t="s">
        <v>46</v>
      </c>
      <c r="AC189" s="216" t="s">
        <v>289</v>
      </c>
      <c r="AG189" s="78"/>
      <c r="AJ189" s="82" t="s">
        <v>116</v>
      </c>
      <c r="AK189" s="82">
        <v>14</v>
      </c>
      <c r="BB189" s="217" t="s">
        <v>113</v>
      </c>
      <c r="BM189" s="78">
        <f>IFERROR(X189*I189,"0")</f>
        <v>237.16</v>
      </c>
      <c r="BN189" s="78">
        <f>IFERROR(Y189*I189,"0")</f>
        <v>237.16</v>
      </c>
      <c r="BO189" s="78">
        <f>IFERROR(X189/J189,"0")</f>
        <v>1</v>
      </c>
      <c r="BP189" s="78">
        <f>IFERROR(Y189/J189,"0")</f>
        <v>1</v>
      </c>
    </row>
    <row r="190" spans="1:68" ht="27" customHeight="1" x14ac:dyDescent="0.25">
      <c r="A190" s="60" t="s">
        <v>290</v>
      </c>
      <c r="B190" s="60" t="s">
        <v>291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114</v>
      </c>
      <c r="L190" s="35" t="s">
        <v>115</v>
      </c>
      <c r="M190" s="36" t="s">
        <v>85</v>
      </c>
      <c r="N190" s="36"/>
      <c r="O190" s="35">
        <v>365</v>
      </c>
      <c r="P190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70</v>
      </c>
      <c r="Y190" s="53">
        <f>IFERROR(IF(X190="","",X190),"")</f>
        <v>70</v>
      </c>
      <c r="Z190" s="39">
        <f>IFERROR(IF(X190="","",X190*0.01788),"")</f>
        <v>1.2516</v>
      </c>
      <c r="AA190" s="65" t="s">
        <v>46</v>
      </c>
      <c r="AB190" s="66" t="s">
        <v>46</v>
      </c>
      <c r="AC190" s="218" t="s">
        <v>292</v>
      </c>
      <c r="AG190" s="78"/>
      <c r="AJ190" s="82" t="s">
        <v>116</v>
      </c>
      <c r="AK190" s="82">
        <v>14</v>
      </c>
      <c r="BB190" s="219" t="s">
        <v>113</v>
      </c>
      <c r="BM190" s="78">
        <f>IFERROR(X190*I190,"0")</f>
        <v>237.16</v>
      </c>
      <c r="BN190" s="78">
        <f>IFERROR(Y190*I190,"0")</f>
        <v>237.16</v>
      </c>
      <c r="BO190" s="78">
        <f>IFERROR(X190/J190,"0")</f>
        <v>1</v>
      </c>
      <c r="BP190" s="78">
        <f>IFERROR(Y190/J190,"0")</f>
        <v>1</v>
      </c>
    </row>
    <row r="191" spans="1:68" ht="27" customHeight="1" x14ac:dyDescent="0.25">
      <c r="A191" s="60" t="s">
        <v>293</v>
      </c>
      <c r="B191" s="60" t="s">
        <v>294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114</v>
      </c>
      <c r="L191" s="35" t="s">
        <v>115</v>
      </c>
      <c r="M191" s="36" t="s">
        <v>85</v>
      </c>
      <c r="N191" s="36"/>
      <c r="O191" s="35">
        <v>180</v>
      </c>
      <c r="P191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42</v>
      </c>
      <c r="Y191" s="53">
        <f>IFERROR(IF(X191="","",X191),"")</f>
        <v>42</v>
      </c>
      <c r="Z191" s="39">
        <f>IFERROR(IF(X191="","",X191*0.01788),"")</f>
        <v>0.75095999999999996</v>
      </c>
      <c r="AA191" s="65" t="s">
        <v>46</v>
      </c>
      <c r="AB191" s="66" t="s">
        <v>46</v>
      </c>
      <c r="AC191" s="220" t="s">
        <v>295</v>
      </c>
      <c r="AG191" s="78"/>
      <c r="AJ191" s="82" t="s">
        <v>116</v>
      </c>
      <c r="AK191" s="82">
        <v>14</v>
      </c>
      <c r="BB191" s="221" t="s">
        <v>113</v>
      </c>
      <c r="BM191" s="78">
        <f>IFERROR(X191*I191,"0")</f>
        <v>156.91200000000001</v>
      </c>
      <c r="BN191" s="78">
        <f>IFERROR(Y191*I191,"0")</f>
        <v>156.91200000000001</v>
      </c>
      <c r="BO191" s="78">
        <f>IFERROR(X191/J191,"0")</f>
        <v>0.6</v>
      </c>
      <c r="BP191" s="78">
        <f>IFERROR(Y191/J191,"0")</f>
        <v>0.6</v>
      </c>
    </row>
    <row r="192" spans="1:68" ht="27" hidden="1" customHeight="1" x14ac:dyDescent="0.25">
      <c r="A192" s="60" t="s">
        <v>296</v>
      </c>
      <c r="B192" s="60" t="s">
        <v>297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114</v>
      </c>
      <c r="L192" s="35" t="s">
        <v>87</v>
      </c>
      <c r="M192" s="36" t="s">
        <v>85</v>
      </c>
      <c r="N192" s="36"/>
      <c r="O192" s="35">
        <v>180</v>
      </c>
      <c r="P192" s="32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2" t="s">
        <v>298</v>
      </c>
      <c r="AG192" s="78"/>
      <c r="AJ192" s="82" t="s">
        <v>88</v>
      </c>
      <c r="AK192" s="82">
        <v>1</v>
      </c>
      <c r="BB192" s="223" t="s">
        <v>113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182</v>
      </c>
      <c r="Y193" s="41">
        <f>IFERROR(SUM(Y189:Y192),"0")</f>
        <v>182</v>
      </c>
      <c r="Z193" s="41">
        <f>IFERROR(IF(Z189="",0,Z189),"0")+IFERROR(IF(Z190="",0,Z190),"0")+IFERROR(IF(Z191="",0,Z191),"0")+IFERROR(IF(Z192="",0,Z192),"0")</f>
        <v>3.2541600000000002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546</v>
      </c>
      <c r="Y194" s="41">
        <f>IFERROR(SUMPRODUCT(Y189:Y192*H189:H192),"0")</f>
        <v>546</v>
      </c>
      <c r="Z194" s="40"/>
      <c r="AA194" s="64"/>
      <c r="AB194" s="64"/>
      <c r="AC194" s="64"/>
    </row>
    <row r="195" spans="1:68" ht="27.75" hidden="1" customHeight="1" x14ac:dyDescent="0.2">
      <c r="A195" s="311" t="s">
        <v>299</v>
      </c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52"/>
      <c r="AB195" s="52"/>
      <c r="AC195" s="52"/>
    </row>
    <row r="196" spans="1:68" ht="16.5" hidden="1" customHeight="1" x14ac:dyDescent="0.25">
      <c r="A196" s="312" t="s">
        <v>300</v>
      </c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  <c r="Z196" s="312"/>
      <c r="AA196" s="62"/>
      <c r="AB196" s="62"/>
      <c r="AC196" s="62"/>
    </row>
    <row r="197" spans="1:68" ht="14.25" hidden="1" customHeight="1" x14ac:dyDescent="0.25">
      <c r="A197" s="302" t="s">
        <v>109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hidden="1" customHeight="1" x14ac:dyDescent="0.25">
      <c r="A198" s="60" t="s">
        <v>301</v>
      </c>
      <c r="B198" s="60" t="s">
        <v>302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114</v>
      </c>
      <c r="L198" s="35" t="s">
        <v>115</v>
      </c>
      <c r="M198" s="36" t="s">
        <v>85</v>
      </c>
      <c r="N198" s="36"/>
      <c r="O198" s="35">
        <v>180</v>
      </c>
      <c r="P198" s="32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4" t="s">
        <v>303</v>
      </c>
      <c r="AG198" s="78"/>
      <c r="AJ198" s="82" t="s">
        <v>116</v>
      </c>
      <c r="AK198" s="82">
        <v>14</v>
      </c>
      <c r="BB198" s="225" t="s">
        <v>113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02" t="s">
        <v>153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hidden="1" customHeight="1" x14ac:dyDescent="0.25">
      <c r="A202" s="60" t="s">
        <v>304</v>
      </c>
      <c r="B202" s="60" t="s">
        <v>305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114</v>
      </c>
      <c r="L202" s="35" t="s">
        <v>87</v>
      </c>
      <c r="M202" s="36" t="s">
        <v>85</v>
      </c>
      <c r="N202" s="36"/>
      <c r="O202" s="35">
        <v>180</v>
      </c>
      <c r="P202" s="3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88</v>
      </c>
      <c r="AK202" s="82">
        <v>1</v>
      </c>
      <c r="BB202" s="227" t="s">
        <v>113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4301135707</v>
      </c>
      <c r="D203" s="284">
        <v>4620207490198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114</v>
      </c>
      <c r="L203" s="35" t="s">
        <v>115</v>
      </c>
      <c r="M203" s="36" t="s">
        <v>85</v>
      </c>
      <c r="N203" s="36"/>
      <c r="O203" s="35">
        <v>180</v>
      </c>
      <c r="P203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116</v>
      </c>
      <c r="AK203" s="82">
        <v>14</v>
      </c>
      <c r="BB203" s="229" t="s">
        <v>113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4301135829</v>
      </c>
      <c r="D204" s="284">
        <v>4620207490235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114</v>
      </c>
      <c r="L204" s="35" t="s">
        <v>87</v>
      </c>
      <c r="M204" s="36" t="s">
        <v>85</v>
      </c>
      <c r="N204" s="36"/>
      <c r="O204" s="35">
        <v>180</v>
      </c>
      <c r="P204" s="3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312</v>
      </c>
      <c r="AG204" s="78"/>
      <c r="AJ204" s="82" t="s">
        <v>88</v>
      </c>
      <c r="AK204" s="82">
        <v>1</v>
      </c>
      <c r="BB204" s="231" t="s">
        <v>113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313</v>
      </c>
      <c r="B205" s="60" t="s">
        <v>314</v>
      </c>
      <c r="C205" s="34">
        <v>4301135697</v>
      </c>
      <c r="D205" s="284">
        <v>4620207490259</v>
      </c>
      <c r="E205" s="284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114</v>
      </c>
      <c r="L205" s="35" t="s">
        <v>115</v>
      </c>
      <c r="M205" s="36" t="s">
        <v>85</v>
      </c>
      <c r="N205" s="36"/>
      <c r="O205" s="35">
        <v>180</v>
      </c>
      <c r="P205" s="3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6"/>
      <c r="R205" s="286"/>
      <c r="S205" s="286"/>
      <c r="T205" s="287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2" t="s">
        <v>309</v>
      </c>
      <c r="AG205" s="78"/>
      <c r="AJ205" s="82" t="s">
        <v>116</v>
      </c>
      <c r="AK205" s="82">
        <v>14</v>
      </c>
      <c r="BB205" s="233" t="s">
        <v>113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39</v>
      </c>
      <c r="X206" s="41">
        <f>IFERROR(SUM(X202:X205),"0")</f>
        <v>0</v>
      </c>
      <c r="Y206" s="41">
        <f>IFERROR(SUM(Y202:Y205),"0")</f>
        <v>0</v>
      </c>
      <c r="Z206" s="41">
        <f>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291"/>
      <c r="B207" s="291"/>
      <c r="C207" s="291"/>
      <c r="D207" s="291"/>
      <c r="E207" s="291"/>
      <c r="F207" s="291"/>
      <c r="G207" s="291"/>
      <c r="H207" s="291"/>
      <c r="I207" s="291"/>
      <c r="J207" s="291"/>
      <c r="K207" s="291"/>
      <c r="L207" s="291"/>
      <c r="M207" s="291"/>
      <c r="N207" s="291"/>
      <c r="O207" s="292"/>
      <c r="P207" s="288" t="s">
        <v>40</v>
      </c>
      <c r="Q207" s="289"/>
      <c r="R207" s="289"/>
      <c r="S207" s="289"/>
      <c r="T207" s="289"/>
      <c r="U207" s="289"/>
      <c r="V207" s="290"/>
      <c r="W207" s="40" t="s">
        <v>0</v>
      </c>
      <c r="X207" s="41">
        <f>IFERROR(SUMPRODUCT(X202:X205*H202:H205),"0")</f>
        <v>0</v>
      </c>
      <c r="Y207" s="41">
        <f>IFERROR(SUMPRODUCT(Y202:Y205*H202:H205),"0")</f>
        <v>0</v>
      </c>
      <c r="Z207" s="40"/>
      <c r="AA207" s="64"/>
      <c r="AB207" s="64"/>
      <c r="AC207" s="64"/>
    </row>
    <row r="208" spans="1:68" ht="16.5" hidden="1" customHeight="1" x14ac:dyDescent="0.25">
      <c r="A208" s="312" t="s">
        <v>315</v>
      </c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  <c r="Z208" s="312"/>
      <c r="AA208" s="62"/>
      <c r="AB208" s="62"/>
      <c r="AC208" s="62"/>
    </row>
    <row r="209" spans="1:68" ht="14.25" hidden="1" customHeight="1" x14ac:dyDescent="0.25">
      <c r="A209" s="302" t="s">
        <v>81</v>
      </c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63"/>
      <c r="AB209" s="63"/>
      <c r="AC209" s="63"/>
    </row>
    <row r="210" spans="1:68" ht="27" hidden="1" customHeight="1" x14ac:dyDescent="0.25">
      <c r="A210" s="60" t="s">
        <v>316</v>
      </c>
      <c r="B210" s="60" t="s">
        <v>317</v>
      </c>
      <c r="C210" s="34">
        <v>4301071097</v>
      </c>
      <c r="D210" s="284">
        <v>4620207491096</v>
      </c>
      <c r="E210" s="284"/>
      <c r="F210" s="59">
        <v>1</v>
      </c>
      <c r="G210" s="35">
        <v>5</v>
      </c>
      <c r="H210" s="59">
        <v>5</v>
      </c>
      <c r="I210" s="59">
        <v>5.23</v>
      </c>
      <c r="J210" s="35">
        <v>84</v>
      </c>
      <c r="K210" s="35" t="s">
        <v>86</v>
      </c>
      <c r="L210" s="35" t="s">
        <v>115</v>
      </c>
      <c r="M210" s="36" t="s">
        <v>85</v>
      </c>
      <c r="N210" s="36"/>
      <c r="O210" s="35">
        <v>180</v>
      </c>
      <c r="P210" s="3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IFERROR(IF(X210="","",X210*0.0155),"")</f>
        <v>0</v>
      </c>
      <c r="AA210" s="65" t="s">
        <v>46</v>
      </c>
      <c r="AB210" s="66" t="s">
        <v>46</v>
      </c>
      <c r="AC210" s="234" t="s">
        <v>318</v>
      </c>
      <c r="AG210" s="78"/>
      <c r="AJ210" s="82" t="s">
        <v>116</v>
      </c>
      <c r="AK210" s="82">
        <v>12</v>
      </c>
      <c r="BB210" s="235" t="s">
        <v>70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IFERROR(SUM(X210:X210),"0")</f>
        <v>0</v>
      </c>
      <c r="Y211" s="41">
        <f>IFERROR(SUM(Y210:Y210),"0")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IFERROR(SUMPRODUCT(X210:X210*H210:H210),"0")</f>
        <v>0</v>
      </c>
      <c r="Y212" s="41">
        <f>IFERROR(SUMPRODUCT(Y210:Y210*H210:H210),"0")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2" t="s">
        <v>319</v>
      </c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2"/>
      <c r="S213" s="312"/>
      <c r="T213" s="312"/>
      <c r="U213" s="312"/>
      <c r="V213" s="312"/>
      <c r="W213" s="312"/>
      <c r="X213" s="312"/>
      <c r="Y213" s="312"/>
      <c r="Z213" s="312"/>
      <c r="AA213" s="62"/>
      <c r="AB213" s="62"/>
      <c r="AC213" s="62"/>
    </row>
    <row r="214" spans="1:68" ht="14.25" hidden="1" customHeight="1" x14ac:dyDescent="0.25">
      <c r="A214" s="302" t="s">
        <v>153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hidden="1" customHeight="1" x14ac:dyDescent="0.25">
      <c r="A215" s="60" t="s">
        <v>320</v>
      </c>
      <c r="B215" s="60" t="s">
        <v>321</v>
      </c>
      <c r="C215" s="34">
        <v>4301135691</v>
      </c>
      <c r="D215" s="284">
        <v>4620207490549</v>
      </c>
      <c r="E215" s="284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114</v>
      </c>
      <c r="L215" s="35" t="s">
        <v>87</v>
      </c>
      <c r="M215" s="36" t="s">
        <v>85</v>
      </c>
      <c r="N215" s="36"/>
      <c r="O215" s="35">
        <v>180</v>
      </c>
      <c r="P215" s="31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322</v>
      </c>
      <c r="AG215" s="78"/>
      <c r="AJ215" s="82" t="s">
        <v>88</v>
      </c>
      <c r="AK215" s="82">
        <v>1</v>
      </c>
      <c r="BB215" s="237" t="s">
        <v>113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t="27" hidden="1" customHeight="1" x14ac:dyDescent="0.25">
      <c r="A216" s="60" t="s">
        <v>323</v>
      </c>
      <c r="B216" s="60" t="s">
        <v>324</v>
      </c>
      <c r="C216" s="34">
        <v>4301135694</v>
      </c>
      <c r="D216" s="284">
        <v>4620207490501</v>
      </c>
      <c r="E216" s="284"/>
      <c r="F216" s="59">
        <v>0.2</v>
      </c>
      <c r="G216" s="35">
        <v>12</v>
      </c>
      <c r="H216" s="59">
        <v>2.4</v>
      </c>
      <c r="I216" s="59">
        <v>3.1036000000000001</v>
      </c>
      <c r="J216" s="35">
        <v>70</v>
      </c>
      <c r="K216" s="35" t="s">
        <v>114</v>
      </c>
      <c r="L216" s="35" t="s">
        <v>87</v>
      </c>
      <c r="M216" s="36" t="s">
        <v>85</v>
      </c>
      <c r="N216" s="36"/>
      <c r="O216" s="35">
        <v>180</v>
      </c>
      <c r="P216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6"/>
      <c r="R216" s="286"/>
      <c r="S216" s="286"/>
      <c r="T216" s="287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IFERROR(IF(X216="","",X216*0.01788),"")</f>
        <v>0</v>
      </c>
      <c r="AA216" s="65" t="s">
        <v>46</v>
      </c>
      <c r="AB216" s="66" t="s">
        <v>46</v>
      </c>
      <c r="AC216" s="238" t="s">
        <v>322</v>
      </c>
      <c r="AG216" s="78"/>
      <c r="AJ216" s="82" t="s">
        <v>88</v>
      </c>
      <c r="AK216" s="82">
        <v>1</v>
      </c>
      <c r="BB216" s="239" t="s">
        <v>113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39</v>
      </c>
      <c r="X217" s="41">
        <f>IFERROR(SUM(X215:X216),"0")</f>
        <v>0</v>
      </c>
      <c r="Y217" s="41">
        <f>IFERROR(SUM(Y215:Y216),"0")</f>
        <v>0</v>
      </c>
      <c r="Z217" s="41">
        <f>IFERROR(IF(Z215="",0,Z215),"0")+IFERROR(IF(Z216="",0,Z216),"0")</f>
        <v>0</v>
      </c>
      <c r="AA217" s="64"/>
      <c r="AB217" s="64"/>
      <c r="AC217" s="64"/>
    </row>
    <row r="218" spans="1:68" hidden="1" x14ac:dyDescent="0.2">
      <c r="A218" s="291"/>
      <c r="B218" s="291"/>
      <c r="C218" s="291"/>
      <c r="D218" s="291"/>
      <c r="E218" s="291"/>
      <c r="F218" s="291"/>
      <c r="G218" s="291"/>
      <c r="H218" s="291"/>
      <c r="I218" s="291"/>
      <c r="J218" s="291"/>
      <c r="K218" s="291"/>
      <c r="L218" s="291"/>
      <c r="M218" s="291"/>
      <c r="N218" s="291"/>
      <c r="O218" s="292"/>
      <c r="P218" s="288" t="s">
        <v>40</v>
      </c>
      <c r="Q218" s="289"/>
      <c r="R218" s="289"/>
      <c r="S218" s="289"/>
      <c r="T218" s="289"/>
      <c r="U218" s="289"/>
      <c r="V218" s="290"/>
      <c r="W218" s="40" t="s">
        <v>0</v>
      </c>
      <c r="X218" s="41">
        <f>IFERROR(SUMPRODUCT(X215:X216*H215:H216),"0")</f>
        <v>0</v>
      </c>
      <c r="Y218" s="41">
        <f>IFERROR(SUMPRODUCT(Y215:Y216*H215:H216),"0")</f>
        <v>0</v>
      </c>
      <c r="Z218" s="40"/>
      <c r="AA218" s="64"/>
      <c r="AB218" s="64"/>
      <c r="AC218" s="64"/>
    </row>
    <row r="219" spans="1:68" ht="27.75" hidden="1" customHeight="1" x14ac:dyDescent="0.2">
      <c r="A219" s="311" t="s">
        <v>325</v>
      </c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52"/>
      <c r="AB219" s="52"/>
      <c r="AC219" s="52"/>
    </row>
    <row r="220" spans="1:68" ht="16.5" hidden="1" customHeight="1" x14ac:dyDescent="0.25">
      <c r="A220" s="312" t="s">
        <v>326</v>
      </c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62"/>
      <c r="AB220" s="62"/>
      <c r="AC220" s="62"/>
    </row>
    <row r="221" spans="1:68" ht="14.25" hidden="1" customHeight="1" x14ac:dyDescent="0.25">
      <c r="A221" s="302" t="s">
        <v>81</v>
      </c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63"/>
      <c r="AB221" s="63"/>
      <c r="AC221" s="63"/>
    </row>
    <row r="222" spans="1:68" ht="27" hidden="1" customHeight="1" x14ac:dyDescent="0.25">
      <c r="A222" s="60" t="s">
        <v>327</v>
      </c>
      <c r="B222" s="60" t="s">
        <v>328</v>
      </c>
      <c r="C222" s="34">
        <v>4301071036</v>
      </c>
      <c r="D222" s="284">
        <v>4607111036162</v>
      </c>
      <c r="E222" s="284"/>
      <c r="F222" s="59">
        <v>0.8</v>
      </c>
      <c r="G222" s="35">
        <v>8</v>
      </c>
      <c r="H222" s="59">
        <v>6.4</v>
      </c>
      <c r="I222" s="59">
        <v>6.6811999999999996</v>
      </c>
      <c r="J222" s="35">
        <v>84</v>
      </c>
      <c r="K222" s="35" t="s">
        <v>86</v>
      </c>
      <c r="L222" s="35" t="s">
        <v>87</v>
      </c>
      <c r="M222" s="36" t="s">
        <v>85</v>
      </c>
      <c r="N222" s="36"/>
      <c r="O222" s="35">
        <v>90</v>
      </c>
      <c r="P222" s="31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6"/>
      <c r="R222" s="286"/>
      <c r="S222" s="286"/>
      <c r="T222" s="287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IFERROR(IF(X222="","",X222*0.0155),"")</f>
        <v>0</v>
      </c>
      <c r="AA222" s="65" t="s">
        <v>46</v>
      </c>
      <c r="AB222" s="66" t="s">
        <v>46</v>
      </c>
      <c r="AC222" s="240" t="s">
        <v>329</v>
      </c>
      <c r="AG222" s="78"/>
      <c r="AJ222" s="82" t="s">
        <v>88</v>
      </c>
      <c r="AK222" s="82">
        <v>1</v>
      </c>
      <c r="BB222" s="241" t="s">
        <v>70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291"/>
      <c r="B223" s="291"/>
      <c r="C223" s="291"/>
      <c r="D223" s="291"/>
      <c r="E223" s="291"/>
      <c r="F223" s="291"/>
      <c r="G223" s="291"/>
      <c r="H223" s="291"/>
      <c r="I223" s="291"/>
      <c r="J223" s="291"/>
      <c r="K223" s="291"/>
      <c r="L223" s="291"/>
      <c r="M223" s="291"/>
      <c r="N223" s="291"/>
      <c r="O223" s="292"/>
      <c r="P223" s="288" t="s">
        <v>40</v>
      </c>
      <c r="Q223" s="289"/>
      <c r="R223" s="289"/>
      <c r="S223" s="289"/>
      <c r="T223" s="289"/>
      <c r="U223" s="289"/>
      <c r="V223" s="290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291"/>
      <c r="B224" s="291"/>
      <c r="C224" s="291"/>
      <c r="D224" s="291"/>
      <c r="E224" s="291"/>
      <c r="F224" s="291"/>
      <c r="G224" s="291"/>
      <c r="H224" s="291"/>
      <c r="I224" s="291"/>
      <c r="J224" s="291"/>
      <c r="K224" s="291"/>
      <c r="L224" s="291"/>
      <c r="M224" s="291"/>
      <c r="N224" s="291"/>
      <c r="O224" s="292"/>
      <c r="P224" s="288" t="s">
        <v>40</v>
      </c>
      <c r="Q224" s="289"/>
      <c r="R224" s="289"/>
      <c r="S224" s="289"/>
      <c r="T224" s="289"/>
      <c r="U224" s="289"/>
      <c r="V224" s="290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11" t="s">
        <v>330</v>
      </c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52"/>
      <c r="AB225" s="52"/>
      <c r="AC225" s="52"/>
    </row>
    <row r="226" spans="1:68" ht="16.5" hidden="1" customHeight="1" x14ac:dyDescent="0.25">
      <c r="A226" s="312" t="s">
        <v>331</v>
      </c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62"/>
      <c r="AB226" s="62"/>
      <c r="AC226" s="62"/>
    </row>
    <row r="227" spans="1:68" ht="14.25" hidden="1" customHeight="1" x14ac:dyDescent="0.25">
      <c r="A227" s="302" t="s">
        <v>81</v>
      </c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63"/>
      <c r="AB227" s="63"/>
      <c r="AC227" s="63"/>
    </row>
    <row r="228" spans="1:68" ht="27" customHeight="1" x14ac:dyDescent="0.25">
      <c r="A228" s="60" t="s">
        <v>332</v>
      </c>
      <c r="B228" s="60" t="s">
        <v>333</v>
      </c>
      <c r="C228" s="34">
        <v>4301071029</v>
      </c>
      <c r="D228" s="284">
        <v>4607111035899</v>
      </c>
      <c r="E228" s="284"/>
      <c r="F228" s="59">
        <v>1</v>
      </c>
      <c r="G228" s="35">
        <v>5</v>
      </c>
      <c r="H228" s="59">
        <v>5</v>
      </c>
      <c r="I228" s="59">
        <v>5.2619999999999996</v>
      </c>
      <c r="J228" s="35">
        <v>84</v>
      </c>
      <c r="K228" s="35" t="s">
        <v>86</v>
      </c>
      <c r="L228" s="35" t="s">
        <v>115</v>
      </c>
      <c r="M228" s="36" t="s">
        <v>85</v>
      </c>
      <c r="N228" s="36"/>
      <c r="O228" s="35">
        <v>180</v>
      </c>
      <c r="P228" s="31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6"/>
      <c r="R228" s="286"/>
      <c r="S228" s="286"/>
      <c r="T228" s="287"/>
      <c r="U228" s="37" t="s">
        <v>46</v>
      </c>
      <c r="V228" s="37" t="s">
        <v>46</v>
      </c>
      <c r="W228" s="38" t="s">
        <v>39</v>
      </c>
      <c r="X228" s="56">
        <v>252</v>
      </c>
      <c r="Y228" s="53">
        <f>IFERROR(IF(X228="","",X228),"")</f>
        <v>252</v>
      </c>
      <c r="Z228" s="39">
        <f>IFERROR(IF(X228="","",X228*0.0155),"")</f>
        <v>3.9060000000000001</v>
      </c>
      <c r="AA228" s="65" t="s">
        <v>46</v>
      </c>
      <c r="AB228" s="66" t="s">
        <v>46</v>
      </c>
      <c r="AC228" s="242" t="s">
        <v>278</v>
      </c>
      <c r="AG228" s="78"/>
      <c r="AJ228" s="82" t="s">
        <v>116</v>
      </c>
      <c r="AK228" s="82">
        <v>12</v>
      </c>
      <c r="BB228" s="243" t="s">
        <v>70</v>
      </c>
      <c r="BM228" s="78">
        <f>IFERROR(X228*I228,"0")</f>
        <v>1326.0239999999999</v>
      </c>
      <c r="BN228" s="78">
        <f>IFERROR(Y228*I228,"0")</f>
        <v>1326.0239999999999</v>
      </c>
      <c r="BO228" s="78">
        <f>IFERROR(X228/J228,"0")</f>
        <v>3</v>
      </c>
      <c r="BP228" s="78">
        <f>IFERROR(Y228/J228,"0")</f>
        <v>3</v>
      </c>
    </row>
    <row r="229" spans="1:68" x14ac:dyDescent="0.2">
      <c r="A229" s="291"/>
      <c r="B229" s="291"/>
      <c r="C229" s="291"/>
      <c r="D229" s="291"/>
      <c r="E229" s="291"/>
      <c r="F229" s="291"/>
      <c r="G229" s="291"/>
      <c r="H229" s="291"/>
      <c r="I229" s="291"/>
      <c r="J229" s="291"/>
      <c r="K229" s="291"/>
      <c r="L229" s="291"/>
      <c r="M229" s="291"/>
      <c r="N229" s="291"/>
      <c r="O229" s="292"/>
      <c r="P229" s="288" t="s">
        <v>40</v>
      </c>
      <c r="Q229" s="289"/>
      <c r="R229" s="289"/>
      <c r="S229" s="289"/>
      <c r="T229" s="289"/>
      <c r="U229" s="289"/>
      <c r="V229" s="290"/>
      <c r="W229" s="40" t="s">
        <v>39</v>
      </c>
      <c r="X229" s="41">
        <f>IFERROR(SUM(X228:X228),"0")</f>
        <v>252</v>
      </c>
      <c r="Y229" s="41">
        <f>IFERROR(SUM(Y228:Y228),"0")</f>
        <v>252</v>
      </c>
      <c r="Z229" s="41">
        <f>IFERROR(IF(Z228="",0,Z228),"0")</f>
        <v>3.9060000000000001</v>
      </c>
      <c r="AA229" s="64"/>
      <c r="AB229" s="64"/>
      <c r="AC229" s="64"/>
    </row>
    <row r="230" spans="1:68" x14ac:dyDescent="0.2">
      <c r="A230" s="291"/>
      <c r="B230" s="291"/>
      <c r="C230" s="291"/>
      <c r="D230" s="291"/>
      <c r="E230" s="291"/>
      <c r="F230" s="291"/>
      <c r="G230" s="291"/>
      <c r="H230" s="291"/>
      <c r="I230" s="291"/>
      <c r="J230" s="291"/>
      <c r="K230" s="291"/>
      <c r="L230" s="291"/>
      <c r="M230" s="291"/>
      <c r="N230" s="291"/>
      <c r="O230" s="292"/>
      <c r="P230" s="288" t="s">
        <v>40</v>
      </c>
      <c r="Q230" s="289"/>
      <c r="R230" s="289"/>
      <c r="S230" s="289"/>
      <c r="T230" s="289"/>
      <c r="U230" s="289"/>
      <c r="V230" s="290"/>
      <c r="W230" s="40" t="s">
        <v>0</v>
      </c>
      <c r="X230" s="41">
        <f>IFERROR(SUMPRODUCT(X228:X228*H228:H228),"0")</f>
        <v>1260</v>
      </c>
      <c r="Y230" s="41">
        <f>IFERROR(SUMPRODUCT(Y228:Y228*H228:H228),"0")</f>
        <v>1260</v>
      </c>
      <c r="Z230" s="40"/>
      <c r="AA230" s="64"/>
      <c r="AB230" s="64"/>
      <c r="AC230" s="64"/>
    </row>
    <row r="231" spans="1:68" ht="27.75" hidden="1" customHeight="1" x14ac:dyDescent="0.2">
      <c r="A231" s="311" t="s">
        <v>334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52"/>
      <c r="AB231" s="52"/>
      <c r="AC231" s="52"/>
    </row>
    <row r="232" spans="1:68" ht="16.5" hidden="1" customHeight="1" x14ac:dyDescent="0.25">
      <c r="A232" s="312" t="s">
        <v>335</v>
      </c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62"/>
      <c r="AB232" s="62"/>
      <c r="AC232" s="62"/>
    </row>
    <row r="233" spans="1:68" ht="14.25" hidden="1" customHeight="1" x14ac:dyDescent="0.25">
      <c r="A233" s="302" t="s">
        <v>336</v>
      </c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63"/>
      <c r="AB233" s="63"/>
      <c r="AC233" s="63"/>
    </row>
    <row r="234" spans="1:68" ht="27" hidden="1" customHeight="1" x14ac:dyDescent="0.25">
      <c r="A234" s="60" t="s">
        <v>337</v>
      </c>
      <c r="B234" s="60" t="s">
        <v>338</v>
      </c>
      <c r="C234" s="34">
        <v>4301133004</v>
      </c>
      <c r="D234" s="284">
        <v>4607111039774</v>
      </c>
      <c r="E234" s="284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114</v>
      </c>
      <c r="L234" s="35" t="s">
        <v>87</v>
      </c>
      <c r="M234" s="36" t="s">
        <v>85</v>
      </c>
      <c r="N234" s="36"/>
      <c r="O234" s="35">
        <v>180</v>
      </c>
      <c r="P234" s="31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6"/>
      <c r="R234" s="286"/>
      <c r="S234" s="286"/>
      <c r="T234" s="287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339</v>
      </c>
      <c r="AG234" s="78"/>
      <c r="AJ234" s="82" t="s">
        <v>88</v>
      </c>
      <c r="AK234" s="82">
        <v>1</v>
      </c>
      <c r="BB234" s="245" t="s">
        <v>113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291"/>
      <c r="B235" s="291"/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  <c r="O235" s="292"/>
      <c r="P235" s="288" t="s">
        <v>40</v>
      </c>
      <c r="Q235" s="289"/>
      <c r="R235" s="289"/>
      <c r="S235" s="289"/>
      <c r="T235" s="289"/>
      <c r="U235" s="289"/>
      <c r="V235" s="290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291"/>
      <c r="B236" s="291"/>
      <c r="C236" s="291"/>
      <c r="D236" s="291"/>
      <c r="E236" s="291"/>
      <c r="F236" s="291"/>
      <c r="G236" s="291"/>
      <c r="H236" s="291"/>
      <c r="I236" s="291"/>
      <c r="J236" s="291"/>
      <c r="K236" s="291"/>
      <c r="L236" s="291"/>
      <c r="M236" s="291"/>
      <c r="N236" s="291"/>
      <c r="O236" s="292"/>
      <c r="P236" s="288" t="s">
        <v>40</v>
      </c>
      <c r="Q236" s="289"/>
      <c r="R236" s="289"/>
      <c r="S236" s="289"/>
      <c r="T236" s="289"/>
      <c r="U236" s="289"/>
      <c r="V236" s="290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hidden="1" customHeight="1" x14ac:dyDescent="0.25">
      <c r="A237" s="302" t="s">
        <v>153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63"/>
      <c r="AB237" s="63"/>
      <c r="AC237" s="63"/>
    </row>
    <row r="238" spans="1:68" ht="37.5" hidden="1" customHeight="1" x14ac:dyDescent="0.25">
      <c r="A238" s="60" t="s">
        <v>340</v>
      </c>
      <c r="B238" s="60" t="s">
        <v>341</v>
      </c>
      <c r="C238" s="34">
        <v>4301135400</v>
      </c>
      <c r="D238" s="284">
        <v>4607111039361</v>
      </c>
      <c r="E238" s="284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114</v>
      </c>
      <c r="L238" s="35" t="s">
        <v>87</v>
      </c>
      <c r="M238" s="36" t="s">
        <v>85</v>
      </c>
      <c r="N238" s="36"/>
      <c r="O238" s="35">
        <v>180</v>
      </c>
      <c r="P238" s="31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6"/>
      <c r="R238" s="286"/>
      <c r="S238" s="286"/>
      <c r="T238" s="287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339</v>
      </c>
      <c r="AG238" s="78"/>
      <c r="AJ238" s="82" t="s">
        <v>88</v>
      </c>
      <c r="AK238" s="82">
        <v>1</v>
      </c>
      <c r="BB238" s="247" t="s">
        <v>113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1"/>
      <c r="B239" s="291"/>
      <c r="C239" s="291"/>
      <c r="D239" s="291"/>
      <c r="E239" s="291"/>
      <c r="F239" s="291"/>
      <c r="G239" s="291"/>
      <c r="H239" s="291"/>
      <c r="I239" s="291"/>
      <c r="J239" s="291"/>
      <c r="K239" s="291"/>
      <c r="L239" s="291"/>
      <c r="M239" s="291"/>
      <c r="N239" s="291"/>
      <c r="O239" s="292"/>
      <c r="P239" s="288" t="s">
        <v>40</v>
      </c>
      <c r="Q239" s="289"/>
      <c r="R239" s="289"/>
      <c r="S239" s="289"/>
      <c r="T239" s="289"/>
      <c r="U239" s="289"/>
      <c r="V239" s="290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1"/>
      <c r="B240" s="291"/>
      <c r="C240" s="291"/>
      <c r="D240" s="291"/>
      <c r="E240" s="291"/>
      <c r="F240" s="291"/>
      <c r="G240" s="291"/>
      <c r="H240" s="291"/>
      <c r="I240" s="291"/>
      <c r="J240" s="291"/>
      <c r="K240" s="291"/>
      <c r="L240" s="291"/>
      <c r="M240" s="291"/>
      <c r="N240" s="291"/>
      <c r="O240" s="292"/>
      <c r="P240" s="288" t="s">
        <v>40</v>
      </c>
      <c r="Q240" s="289"/>
      <c r="R240" s="289"/>
      <c r="S240" s="289"/>
      <c r="T240" s="289"/>
      <c r="U240" s="289"/>
      <c r="V240" s="290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hidden="1" customHeight="1" x14ac:dyDescent="0.2">
      <c r="A241" s="311" t="s">
        <v>342</v>
      </c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52"/>
      <c r="AB241" s="52"/>
      <c r="AC241" s="52"/>
    </row>
    <row r="242" spans="1:68" ht="16.5" hidden="1" customHeight="1" x14ac:dyDescent="0.25">
      <c r="A242" s="312" t="s">
        <v>342</v>
      </c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62"/>
      <c r="AB242" s="62"/>
      <c r="AC242" s="62"/>
    </row>
    <row r="243" spans="1:68" ht="14.25" hidden="1" customHeight="1" x14ac:dyDescent="0.25">
      <c r="A243" s="302" t="s">
        <v>81</v>
      </c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63"/>
      <c r="AB243" s="63"/>
      <c r="AC243" s="63"/>
    </row>
    <row r="244" spans="1:68" ht="27" hidden="1" customHeight="1" x14ac:dyDescent="0.25">
      <c r="A244" s="60" t="s">
        <v>343</v>
      </c>
      <c r="B244" s="60" t="s">
        <v>344</v>
      </c>
      <c r="C244" s="34">
        <v>4301071014</v>
      </c>
      <c r="D244" s="284">
        <v>4640242181264</v>
      </c>
      <c r="E244" s="284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86</v>
      </c>
      <c r="L244" s="35" t="s">
        <v>87</v>
      </c>
      <c r="M244" s="36" t="s">
        <v>85</v>
      </c>
      <c r="N244" s="36"/>
      <c r="O244" s="35">
        <v>180</v>
      </c>
      <c r="P244" s="3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6"/>
      <c r="R244" s="286"/>
      <c r="S244" s="286"/>
      <c r="T244" s="287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345</v>
      </c>
      <c r="AG244" s="78"/>
      <c r="AJ244" s="82" t="s">
        <v>88</v>
      </c>
      <c r="AK244" s="82">
        <v>1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t="27" hidden="1" customHeight="1" x14ac:dyDescent="0.25">
      <c r="A245" s="60" t="s">
        <v>346</v>
      </c>
      <c r="B245" s="60" t="s">
        <v>347</v>
      </c>
      <c r="C245" s="34">
        <v>4301071021</v>
      </c>
      <c r="D245" s="284">
        <v>4640242181325</v>
      </c>
      <c r="E245" s="284"/>
      <c r="F245" s="59">
        <v>0.7</v>
      </c>
      <c r="G245" s="35">
        <v>10</v>
      </c>
      <c r="H245" s="59">
        <v>7</v>
      </c>
      <c r="I245" s="59">
        <v>7.28</v>
      </c>
      <c r="J245" s="35">
        <v>84</v>
      </c>
      <c r="K245" s="35" t="s">
        <v>86</v>
      </c>
      <c r="L245" s="35" t="s">
        <v>115</v>
      </c>
      <c r="M245" s="36" t="s">
        <v>85</v>
      </c>
      <c r="N245" s="36"/>
      <c r="O245" s="35">
        <v>180</v>
      </c>
      <c r="P245" s="31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6"/>
      <c r="R245" s="286"/>
      <c r="S245" s="286"/>
      <c r="T245" s="287"/>
      <c r="U245" s="37" t="s">
        <v>46</v>
      </c>
      <c r="V245" s="37" t="s">
        <v>46</v>
      </c>
      <c r="W245" s="38" t="s">
        <v>39</v>
      </c>
      <c r="X245" s="56">
        <v>0</v>
      </c>
      <c r="Y245" s="53">
        <f>IFERROR(IF(X245="","",X245),"")</f>
        <v>0</v>
      </c>
      <c r="Z245" s="39">
        <f>IFERROR(IF(X245="","",X245*0.0155),"")</f>
        <v>0</v>
      </c>
      <c r="AA245" s="65" t="s">
        <v>46</v>
      </c>
      <c r="AB245" s="66" t="s">
        <v>46</v>
      </c>
      <c r="AC245" s="250" t="s">
        <v>345</v>
      </c>
      <c r="AG245" s="78"/>
      <c r="AJ245" s="82" t="s">
        <v>116</v>
      </c>
      <c r="AK245" s="82">
        <v>12</v>
      </c>
      <c r="BB245" s="251" t="s">
        <v>70</v>
      </c>
      <c r="BM245" s="78">
        <f>IFERROR(X245*I245,"0")</f>
        <v>0</v>
      </c>
      <c r="BN245" s="78">
        <f>IFERROR(Y245*I245,"0")</f>
        <v>0</v>
      </c>
      <c r="BO245" s="78">
        <f>IFERROR(X245/J245,"0")</f>
        <v>0</v>
      </c>
      <c r="BP245" s="78">
        <f>IFERROR(Y245/J245,"0")</f>
        <v>0</v>
      </c>
    </row>
    <row r="246" spans="1:68" hidden="1" x14ac:dyDescent="0.2">
      <c r="A246" s="291"/>
      <c r="B246" s="291"/>
      <c r="C246" s="291"/>
      <c r="D246" s="291"/>
      <c r="E246" s="291"/>
      <c r="F246" s="291"/>
      <c r="G246" s="291"/>
      <c r="H246" s="291"/>
      <c r="I246" s="291"/>
      <c r="J246" s="291"/>
      <c r="K246" s="291"/>
      <c r="L246" s="291"/>
      <c r="M246" s="291"/>
      <c r="N246" s="291"/>
      <c r="O246" s="292"/>
      <c r="P246" s="288" t="s">
        <v>40</v>
      </c>
      <c r="Q246" s="289"/>
      <c r="R246" s="289"/>
      <c r="S246" s="289"/>
      <c r="T246" s="289"/>
      <c r="U246" s="289"/>
      <c r="V246" s="290"/>
      <c r="W246" s="40" t="s">
        <v>39</v>
      </c>
      <c r="X246" s="41">
        <f>IFERROR(SUM(X244:X245),"0")</f>
        <v>0</v>
      </c>
      <c r="Y246" s="41">
        <f>IFERROR(SUM(Y244:Y245),"0")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0</v>
      </c>
      <c r="X247" s="41">
        <f>IFERROR(SUMPRODUCT(X244:X245*H244:H245),"0")</f>
        <v>0</v>
      </c>
      <c r="Y247" s="41">
        <f>IFERROR(SUMPRODUCT(Y244:Y245*H244:H245),"0")</f>
        <v>0</v>
      </c>
      <c r="Z247" s="40"/>
      <c r="AA247" s="64"/>
      <c r="AB247" s="64"/>
      <c r="AC247" s="64"/>
    </row>
    <row r="248" spans="1:68" ht="14.25" hidden="1" customHeight="1" x14ac:dyDescent="0.25">
      <c r="A248" s="302" t="s">
        <v>109</v>
      </c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63"/>
      <c r="AB248" s="63"/>
      <c r="AC248" s="63"/>
    </row>
    <row r="249" spans="1:68" ht="27" hidden="1" customHeight="1" x14ac:dyDescent="0.25">
      <c r="A249" s="60" t="s">
        <v>348</v>
      </c>
      <c r="B249" s="60" t="s">
        <v>349</v>
      </c>
      <c r="C249" s="34">
        <v>4301132080</v>
      </c>
      <c r="D249" s="284">
        <v>4640242180397</v>
      </c>
      <c r="E249" s="284"/>
      <c r="F249" s="59">
        <v>1</v>
      </c>
      <c r="G249" s="35">
        <v>6</v>
      </c>
      <c r="H249" s="59">
        <v>6</v>
      </c>
      <c r="I249" s="59">
        <v>6.26</v>
      </c>
      <c r="J249" s="35">
        <v>84</v>
      </c>
      <c r="K249" s="35" t="s">
        <v>86</v>
      </c>
      <c r="L249" s="35" t="s">
        <v>115</v>
      </c>
      <c r="M249" s="36" t="s">
        <v>85</v>
      </c>
      <c r="N249" s="36"/>
      <c r="O249" s="35">
        <v>180</v>
      </c>
      <c r="P249" s="31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6"/>
      <c r="R249" s="286"/>
      <c r="S249" s="286"/>
      <c r="T249" s="287"/>
      <c r="U249" s="37" t="s">
        <v>46</v>
      </c>
      <c r="V249" s="37" t="s">
        <v>46</v>
      </c>
      <c r="W249" s="38" t="s">
        <v>39</v>
      </c>
      <c r="X249" s="56">
        <v>0</v>
      </c>
      <c r="Y249" s="53">
        <f>IFERROR(IF(X249="","",X249),"")</f>
        <v>0</v>
      </c>
      <c r="Z249" s="39">
        <f>IFERROR(IF(X249="","",X249*0.0155),"")</f>
        <v>0</v>
      </c>
      <c r="AA249" s="65" t="s">
        <v>46</v>
      </c>
      <c r="AB249" s="66" t="s">
        <v>46</v>
      </c>
      <c r="AC249" s="252" t="s">
        <v>350</v>
      </c>
      <c r="AG249" s="78"/>
      <c r="AJ249" s="82" t="s">
        <v>116</v>
      </c>
      <c r="AK249" s="82">
        <v>12</v>
      </c>
      <c r="BB249" s="253" t="s">
        <v>113</v>
      </c>
      <c r="BM249" s="78">
        <f>IFERROR(X249*I249,"0")</f>
        <v>0</v>
      </c>
      <c r="BN249" s="78">
        <f>IFERROR(Y249*I249,"0")</f>
        <v>0</v>
      </c>
      <c r="BO249" s="78">
        <f>IFERROR(X249/J249,"0")</f>
        <v>0</v>
      </c>
      <c r="BP249" s="78">
        <f>IFERROR(Y249/J249,"0")</f>
        <v>0</v>
      </c>
    </row>
    <row r="250" spans="1:68" hidden="1" x14ac:dyDescent="0.2">
      <c r="A250" s="291"/>
      <c r="B250" s="291"/>
      <c r="C250" s="291"/>
      <c r="D250" s="291"/>
      <c r="E250" s="291"/>
      <c r="F250" s="291"/>
      <c r="G250" s="291"/>
      <c r="H250" s="291"/>
      <c r="I250" s="291"/>
      <c r="J250" s="291"/>
      <c r="K250" s="291"/>
      <c r="L250" s="291"/>
      <c r="M250" s="291"/>
      <c r="N250" s="291"/>
      <c r="O250" s="292"/>
      <c r="P250" s="288" t="s">
        <v>40</v>
      </c>
      <c r="Q250" s="289"/>
      <c r="R250" s="289"/>
      <c r="S250" s="289"/>
      <c r="T250" s="289"/>
      <c r="U250" s="289"/>
      <c r="V250" s="290"/>
      <c r="W250" s="40" t="s">
        <v>39</v>
      </c>
      <c r="X250" s="41">
        <f>IFERROR(SUM(X249:X249),"0")</f>
        <v>0</v>
      </c>
      <c r="Y250" s="41">
        <f>IFERROR(SUM(Y249:Y249),"0")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291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292"/>
      <c r="P251" s="288" t="s">
        <v>40</v>
      </c>
      <c r="Q251" s="289"/>
      <c r="R251" s="289"/>
      <c r="S251" s="289"/>
      <c r="T251" s="289"/>
      <c r="U251" s="289"/>
      <c r="V251" s="290"/>
      <c r="W251" s="40" t="s">
        <v>0</v>
      </c>
      <c r="X251" s="41">
        <f>IFERROR(SUMPRODUCT(X249:X249*H249:H249),"0")</f>
        <v>0</v>
      </c>
      <c r="Y251" s="41">
        <f>IFERROR(SUMPRODUCT(Y249:Y249*H249:H249),"0")</f>
        <v>0</v>
      </c>
      <c r="Z251" s="40"/>
      <c r="AA251" s="64"/>
      <c r="AB251" s="64"/>
      <c r="AC251" s="64"/>
    </row>
    <row r="252" spans="1:68" ht="14.25" hidden="1" customHeight="1" x14ac:dyDescent="0.25">
      <c r="A252" s="302" t="s">
        <v>147</v>
      </c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63"/>
      <c r="AB252" s="63"/>
      <c r="AC252" s="63"/>
    </row>
    <row r="253" spans="1:68" ht="27" hidden="1" customHeight="1" x14ac:dyDescent="0.25">
      <c r="A253" s="60" t="s">
        <v>351</v>
      </c>
      <c r="B253" s="60" t="s">
        <v>352</v>
      </c>
      <c r="C253" s="34">
        <v>4301136051</v>
      </c>
      <c r="D253" s="284">
        <v>4640242180304</v>
      </c>
      <c r="E253" s="284"/>
      <c r="F253" s="59">
        <v>2.7</v>
      </c>
      <c r="G253" s="35">
        <v>1</v>
      </c>
      <c r="H253" s="59">
        <v>2.7</v>
      </c>
      <c r="I253" s="59">
        <v>2.8906000000000001</v>
      </c>
      <c r="J253" s="35">
        <v>126</v>
      </c>
      <c r="K253" s="35" t="s">
        <v>114</v>
      </c>
      <c r="L253" s="35" t="s">
        <v>115</v>
      </c>
      <c r="M253" s="36" t="s">
        <v>85</v>
      </c>
      <c r="N253" s="36"/>
      <c r="O253" s="35">
        <v>180</v>
      </c>
      <c r="P253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IFERROR(IF(X253="","",X253*0.00936),"")</f>
        <v>0</v>
      </c>
      <c r="AA253" s="65" t="s">
        <v>46</v>
      </c>
      <c r="AB253" s="66" t="s">
        <v>46</v>
      </c>
      <c r="AC253" s="254" t="s">
        <v>353</v>
      </c>
      <c r="AG253" s="78"/>
      <c r="AJ253" s="82" t="s">
        <v>116</v>
      </c>
      <c r="AK253" s="82">
        <v>14</v>
      </c>
      <c r="BB253" s="255" t="s">
        <v>113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354</v>
      </c>
      <c r="B254" s="60" t="s">
        <v>355</v>
      </c>
      <c r="C254" s="34">
        <v>4301136053</v>
      </c>
      <c r="D254" s="284">
        <v>4640242180236</v>
      </c>
      <c r="E254" s="284"/>
      <c r="F254" s="59">
        <v>5</v>
      </c>
      <c r="G254" s="35">
        <v>1</v>
      </c>
      <c r="H254" s="59">
        <v>5</v>
      </c>
      <c r="I254" s="59">
        <v>5.2350000000000003</v>
      </c>
      <c r="J254" s="35">
        <v>84</v>
      </c>
      <c r="K254" s="35" t="s">
        <v>86</v>
      </c>
      <c r="L254" s="35" t="s">
        <v>115</v>
      </c>
      <c r="M254" s="36" t="s">
        <v>85</v>
      </c>
      <c r="N254" s="36"/>
      <c r="O254" s="35">
        <v>180</v>
      </c>
      <c r="P254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6"/>
      <c r="R254" s="286"/>
      <c r="S254" s="286"/>
      <c r="T254" s="287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6" t="s">
        <v>353</v>
      </c>
      <c r="AG254" s="78"/>
      <c r="AJ254" s="82" t="s">
        <v>116</v>
      </c>
      <c r="AK254" s="82">
        <v>12</v>
      </c>
      <c r="BB254" s="257" t="s">
        <v>113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356</v>
      </c>
      <c r="B255" s="60" t="s">
        <v>357</v>
      </c>
      <c r="C255" s="34">
        <v>4301136052</v>
      </c>
      <c r="D255" s="284">
        <v>4640242180410</v>
      </c>
      <c r="E255" s="284"/>
      <c r="F255" s="59">
        <v>2.2400000000000002</v>
      </c>
      <c r="G255" s="35">
        <v>1</v>
      </c>
      <c r="H255" s="59">
        <v>2.2400000000000002</v>
      </c>
      <c r="I255" s="59">
        <v>2.4319999999999999</v>
      </c>
      <c r="J255" s="35">
        <v>126</v>
      </c>
      <c r="K255" s="35" t="s">
        <v>114</v>
      </c>
      <c r="L255" s="35" t="s">
        <v>87</v>
      </c>
      <c r="M255" s="36" t="s">
        <v>85</v>
      </c>
      <c r="N255" s="36"/>
      <c r="O255" s="35">
        <v>180</v>
      </c>
      <c r="P255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6"/>
      <c r="R255" s="286"/>
      <c r="S255" s="286"/>
      <c r="T255" s="287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IFERROR(IF(X255="","",X255*0.00936),"")</f>
        <v>0</v>
      </c>
      <c r="AA255" s="65" t="s">
        <v>46</v>
      </c>
      <c r="AB255" s="66" t="s">
        <v>46</v>
      </c>
      <c r="AC255" s="258" t="s">
        <v>353</v>
      </c>
      <c r="AG255" s="78"/>
      <c r="AJ255" s="82" t="s">
        <v>88</v>
      </c>
      <c r="AK255" s="82">
        <v>1</v>
      </c>
      <c r="BB255" s="259" t="s">
        <v>113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idden="1" x14ac:dyDescent="0.2">
      <c r="A256" s="291"/>
      <c r="B256" s="291"/>
      <c r="C256" s="291"/>
      <c r="D256" s="291"/>
      <c r="E256" s="291"/>
      <c r="F256" s="291"/>
      <c r="G256" s="291"/>
      <c r="H256" s="291"/>
      <c r="I256" s="291"/>
      <c r="J256" s="291"/>
      <c r="K256" s="291"/>
      <c r="L256" s="291"/>
      <c r="M256" s="291"/>
      <c r="N256" s="291"/>
      <c r="O256" s="292"/>
      <c r="P256" s="288" t="s">
        <v>40</v>
      </c>
      <c r="Q256" s="289"/>
      <c r="R256" s="289"/>
      <c r="S256" s="289"/>
      <c r="T256" s="289"/>
      <c r="U256" s="289"/>
      <c r="V256" s="290"/>
      <c r="W256" s="40" t="s">
        <v>39</v>
      </c>
      <c r="X256" s="41">
        <f>IFERROR(SUM(X253:X255),"0")</f>
        <v>0</v>
      </c>
      <c r="Y256" s="41">
        <f>IFERROR(SUM(Y253:Y255),"0")</f>
        <v>0</v>
      </c>
      <c r="Z256" s="41">
        <f>IFERROR(IF(Z253="",0,Z253),"0")+IFERROR(IF(Z254="",0,Z254),"0")+IFERROR(IF(Z255="",0,Z255),"0")</f>
        <v>0</v>
      </c>
      <c r="AA256" s="64"/>
      <c r="AB256" s="64"/>
      <c r="AC256" s="64"/>
    </row>
    <row r="257" spans="1:68" hidden="1" x14ac:dyDescent="0.2">
      <c r="A257" s="291"/>
      <c r="B257" s="291"/>
      <c r="C257" s="291"/>
      <c r="D257" s="291"/>
      <c r="E257" s="291"/>
      <c r="F257" s="291"/>
      <c r="G257" s="291"/>
      <c r="H257" s="291"/>
      <c r="I257" s="291"/>
      <c r="J257" s="291"/>
      <c r="K257" s="291"/>
      <c r="L257" s="291"/>
      <c r="M257" s="291"/>
      <c r="N257" s="291"/>
      <c r="O257" s="292"/>
      <c r="P257" s="288" t="s">
        <v>40</v>
      </c>
      <c r="Q257" s="289"/>
      <c r="R257" s="289"/>
      <c r="S257" s="289"/>
      <c r="T257" s="289"/>
      <c r="U257" s="289"/>
      <c r="V257" s="290"/>
      <c r="W257" s="40" t="s">
        <v>0</v>
      </c>
      <c r="X257" s="41">
        <f>IFERROR(SUMPRODUCT(X253:X255*H253:H255),"0")</f>
        <v>0</v>
      </c>
      <c r="Y257" s="41">
        <f>IFERROR(SUMPRODUCT(Y253:Y255*H253:H255),"0")</f>
        <v>0</v>
      </c>
      <c r="Z257" s="40"/>
      <c r="AA257" s="64"/>
      <c r="AB257" s="64"/>
      <c r="AC257" s="64"/>
    </row>
    <row r="258" spans="1:68" ht="14.25" hidden="1" customHeight="1" x14ac:dyDescent="0.25">
      <c r="A258" s="302" t="s">
        <v>153</v>
      </c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63"/>
      <c r="AB258" s="63"/>
      <c r="AC258" s="63"/>
    </row>
    <row r="259" spans="1:68" ht="37.5" hidden="1" customHeight="1" x14ac:dyDescent="0.25">
      <c r="A259" s="60" t="s">
        <v>358</v>
      </c>
      <c r="B259" s="60" t="s">
        <v>359</v>
      </c>
      <c r="C259" s="34">
        <v>4301135504</v>
      </c>
      <c r="D259" s="284">
        <v>4640242181554</v>
      </c>
      <c r="E259" s="284"/>
      <c r="F259" s="59">
        <v>3</v>
      </c>
      <c r="G259" s="35">
        <v>1</v>
      </c>
      <c r="H259" s="59">
        <v>3</v>
      </c>
      <c r="I259" s="59">
        <v>3.1920000000000002</v>
      </c>
      <c r="J259" s="35">
        <v>126</v>
      </c>
      <c r="K259" s="35" t="s">
        <v>114</v>
      </c>
      <c r="L259" s="35" t="s">
        <v>115</v>
      </c>
      <c r="M259" s="36" t="s">
        <v>85</v>
      </c>
      <c r="N259" s="36"/>
      <c r="O259" s="35">
        <v>180</v>
      </c>
      <c r="P259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6"/>
      <c r="R259" s="286"/>
      <c r="S259" s="286"/>
      <c r="T259" s="287"/>
      <c r="U259" s="37" t="s">
        <v>46</v>
      </c>
      <c r="V259" s="37" t="s">
        <v>46</v>
      </c>
      <c r="W259" s="38" t="s">
        <v>39</v>
      </c>
      <c r="X259" s="56">
        <v>0</v>
      </c>
      <c r="Y259" s="53">
        <f t="shared" ref="Y259:Y268" si="18">IFERROR(IF(X259="","",X259),"")</f>
        <v>0</v>
      </c>
      <c r="Z259" s="39">
        <f>IFERROR(IF(X259="","",X259*0.00936),"")</f>
        <v>0</v>
      </c>
      <c r="AA259" s="65" t="s">
        <v>46</v>
      </c>
      <c r="AB259" s="66" t="s">
        <v>46</v>
      </c>
      <c r="AC259" s="260" t="s">
        <v>360</v>
      </c>
      <c r="AG259" s="78"/>
      <c r="AJ259" s="82" t="s">
        <v>116</v>
      </c>
      <c r="AK259" s="82">
        <v>14</v>
      </c>
      <c r="BB259" s="261" t="s">
        <v>113</v>
      </c>
      <c r="BM259" s="78">
        <f t="shared" ref="BM259:BM268" si="19">IFERROR(X259*I259,"0")</f>
        <v>0</v>
      </c>
      <c r="BN259" s="78">
        <f t="shared" ref="BN259:BN268" si="20">IFERROR(Y259*I259,"0")</f>
        <v>0</v>
      </c>
      <c r="BO259" s="78">
        <f t="shared" ref="BO259:BO268" si="21">IFERROR(X259/J259,"0")</f>
        <v>0</v>
      </c>
      <c r="BP259" s="78">
        <f t="shared" ref="BP259:BP268" si="22">IFERROR(Y259/J259,"0")</f>
        <v>0</v>
      </c>
    </row>
    <row r="260" spans="1:68" ht="27" hidden="1" customHeight="1" x14ac:dyDescent="0.25">
      <c r="A260" s="60" t="s">
        <v>361</v>
      </c>
      <c r="B260" s="60" t="s">
        <v>362</v>
      </c>
      <c r="C260" s="34">
        <v>4301135873</v>
      </c>
      <c r="D260" s="284">
        <v>4640242182087</v>
      </c>
      <c r="E260" s="284"/>
      <c r="F260" s="59">
        <v>5</v>
      </c>
      <c r="G260" s="35">
        <v>1</v>
      </c>
      <c r="H260" s="59">
        <v>5</v>
      </c>
      <c r="I260" s="59">
        <v>5.23</v>
      </c>
      <c r="J260" s="35">
        <v>84</v>
      </c>
      <c r="K260" s="35" t="s">
        <v>86</v>
      </c>
      <c r="L260" s="35" t="s">
        <v>87</v>
      </c>
      <c r="M260" s="36" t="s">
        <v>85</v>
      </c>
      <c r="N260" s="36"/>
      <c r="O260" s="35">
        <v>180</v>
      </c>
      <c r="P260" s="304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0" s="286"/>
      <c r="R260" s="286"/>
      <c r="S260" s="286"/>
      <c r="T260" s="287"/>
      <c r="U260" s="37" t="s">
        <v>46</v>
      </c>
      <c r="V260" s="37" t="s">
        <v>46</v>
      </c>
      <c r="W260" s="38" t="s">
        <v>39</v>
      </c>
      <c r="X260" s="56">
        <v>0</v>
      </c>
      <c r="Y260" s="53">
        <f t="shared" si="18"/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62" t="s">
        <v>363</v>
      </c>
      <c r="AG260" s="78"/>
      <c r="AJ260" s="82" t="s">
        <v>88</v>
      </c>
      <c r="AK260" s="82">
        <v>1</v>
      </c>
      <c r="BB260" s="263" t="s">
        <v>113</v>
      </c>
      <c r="BM260" s="78">
        <f t="shared" si="19"/>
        <v>0</v>
      </c>
      <c r="BN260" s="78">
        <f t="shared" si="20"/>
        <v>0</v>
      </c>
      <c r="BO260" s="78">
        <f t="shared" si="21"/>
        <v>0</v>
      </c>
      <c r="BP260" s="78">
        <f t="shared" si="22"/>
        <v>0</v>
      </c>
    </row>
    <row r="261" spans="1:68" ht="27" hidden="1" customHeight="1" x14ac:dyDescent="0.25">
      <c r="A261" s="60" t="s">
        <v>364</v>
      </c>
      <c r="B261" s="60" t="s">
        <v>365</v>
      </c>
      <c r="C261" s="34">
        <v>4301135374</v>
      </c>
      <c r="D261" s="284">
        <v>4640242181424</v>
      </c>
      <c r="E261" s="284"/>
      <c r="F261" s="59">
        <v>5.5</v>
      </c>
      <c r="G261" s="35">
        <v>1</v>
      </c>
      <c r="H261" s="59">
        <v>5.5</v>
      </c>
      <c r="I261" s="59">
        <v>5.7350000000000003</v>
      </c>
      <c r="J261" s="35">
        <v>84</v>
      </c>
      <c r="K261" s="35" t="s">
        <v>86</v>
      </c>
      <c r="L261" s="35" t="s">
        <v>115</v>
      </c>
      <c r="M261" s="36" t="s">
        <v>85</v>
      </c>
      <c r="N261" s="36"/>
      <c r="O261" s="35">
        <v>180</v>
      </c>
      <c r="P261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>IFERROR(IF(X261="","",X261*0.0155),"")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116</v>
      </c>
      <c r="AK261" s="82">
        <v>12</v>
      </c>
      <c r="BB261" s="265" t="s">
        <v>113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hidden="1" customHeight="1" x14ac:dyDescent="0.25">
      <c r="A262" s="60" t="s">
        <v>366</v>
      </c>
      <c r="B262" s="60" t="s">
        <v>367</v>
      </c>
      <c r="C262" s="34">
        <v>4301135405</v>
      </c>
      <c r="D262" s="284">
        <v>4640242181523</v>
      </c>
      <c r="E262" s="284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114</v>
      </c>
      <c r="L262" s="35" t="s">
        <v>115</v>
      </c>
      <c r="M262" s="36" t="s">
        <v>85</v>
      </c>
      <c r="N262" s="36"/>
      <c r="O262" s="35">
        <v>180</v>
      </c>
      <c r="P262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si="18"/>
        <v>0</v>
      </c>
      <c r="Z262" s="39">
        <f t="shared" ref="Z262:Z267" si="23">IFERROR(IF(X262="","",X262*0.00936),"")</f>
        <v>0</v>
      </c>
      <c r="AA262" s="65" t="s">
        <v>46</v>
      </c>
      <c r="AB262" s="66" t="s">
        <v>46</v>
      </c>
      <c r="AC262" s="266" t="s">
        <v>363</v>
      </c>
      <c r="AG262" s="78"/>
      <c r="AJ262" s="82" t="s">
        <v>116</v>
      </c>
      <c r="AK262" s="82">
        <v>14</v>
      </c>
      <c r="BB262" s="267" t="s">
        <v>113</v>
      </c>
      <c r="BM262" s="78">
        <f t="shared" si="19"/>
        <v>0</v>
      </c>
      <c r="BN262" s="78">
        <f t="shared" si="20"/>
        <v>0</v>
      </c>
      <c r="BO262" s="78">
        <f t="shared" si="21"/>
        <v>0</v>
      </c>
      <c r="BP262" s="78">
        <f t="shared" si="22"/>
        <v>0</v>
      </c>
    </row>
    <row r="263" spans="1:68" ht="27" hidden="1" customHeight="1" x14ac:dyDescent="0.25">
      <c r="A263" s="60" t="s">
        <v>368</v>
      </c>
      <c r="B263" s="60" t="s">
        <v>369</v>
      </c>
      <c r="C263" s="34">
        <v>4301135375</v>
      </c>
      <c r="D263" s="284">
        <v>4640242181486</v>
      </c>
      <c r="E263" s="284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114</v>
      </c>
      <c r="L263" s="35" t="s">
        <v>115</v>
      </c>
      <c r="M263" s="36" t="s">
        <v>85</v>
      </c>
      <c r="N263" s="36"/>
      <c r="O263" s="35">
        <v>180</v>
      </c>
      <c r="P263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360</v>
      </c>
      <c r="AG263" s="78"/>
      <c r="AJ263" s="82" t="s">
        <v>116</v>
      </c>
      <c r="AK263" s="82">
        <v>14</v>
      </c>
      <c r="BB263" s="269" t="s">
        <v>113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370</v>
      </c>
      <c r="B264" s="60" t="s">
        <v>371</v>
      </c>
      <c r="C264" s="34">
        <v>4301135402</v>
      </c>
      <c r="D264" s="284">
        <v>4640242181493</v>
      </c>
      <c r="E264" s="284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114</v>
      </c>
      <c r="L264" s="35" t="s">
        <v>115</v>
      </c>
      <c r="M264" s="36" t="s">
        <v>85</v>
      </c>
      <c r="N264" s="36"/>
      <c r="O264" s="35">
        <v>180</v>
      </c>
      <c r="P264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6"/>
      <c r="R264" s="286"/>
      <c r="S264" s="286"/>
      <c r="T264" s="287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360</v>
      </c>
      <c r="AG264" s="78"/>
      <c r="AJ264" s="82" t="s">
        <v>116</v>
      </c>
      <c r="AK264" s="82">
        <v>14</v>
      </c>
      <c r="BB264" s="271" t="s">
        <v>113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37.5" hidden="1" customHeight="1" x14ac:dyDescent="0.25">
      <c r="A265" s="60" t="s">
        <v>372</v>
      </c>
      <c r="B265" s="60" t="s">
        <v>373</v>
      </c>
      <c r="C265" s="34">
        <v>4301135403</v>
      </c>
      <c r="D265" s="284">
        <v>4640242181509</v>
      </c>
      <c r="E265" s="284"/>
      <c r="F265" s="59">
        <v>3.7</v>
      </c>
      <c r="G265" s="35">
        <v>1</v>
      </c>
      <c r="H265" s="59">
        <v>3.7</v>
      </c>
      <c r="I265" s="59">
        <v>3.8919999999999999</v>
      </c>
      <c r="J265" s="35">
        <v>126</v>
      </c>
      <c r="K265" s="35" t="s">
        <v>114</v>
      </c>
      <c r="L265" s="35" t="s">
        <v>87</v>
      </c>
      <c r="M265" s="36" t="s">
        <v>85</v>
      </c>
      <c r="N265" s="36"/>
      <c r="O265" s="35">
        <v>180</v>
      </c>
      <c r="P265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6"/>
      <c r="R265" s="286"/>
      <c r="S265" s="286"/>
      <c r="T265" s="287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360</v>
      </c>
      <c r="AG265" s="78"/>
      <c r="AJ265" s="82" t="s">
        <v>88</v>
      </c>
      <c r="AK265" s="82">
        <v>1</v>
      </c>
      <c r="BB265" s="273" t="s">
        <v>113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374</v>
      </c>
      <c r="B266" s="60" t="s">
        <v>375</v>
      </c>
      <c r="C266" s="34">
        <v>4301135304</v>
      </c>
      <c r="D266" s="284">
        <v>4640242181240</v>
      </c>
      <c r="E266" s="284"/>
      <c r="F266" s="59">
        <v>0.3</v>
      </c>
      <c r="G266" s="35">
        <v>9</v>
      </c>
      <c r="H266" s="59">
        <v>2.7</v>
      </c>
      <c r="I266" s="59">
        <v>2.88</v>
      </c>
      <c r="J266" s="35">
        <v>126</v>
      </c>
      <c r="K266" s="35" t="s">
        <v>114</v>
      </c>
      <c r="L266" s="35" t="s">
        <v>115</v>
      </c>
      <c r="M266" s="36" t="s">
        <v>85</v>
      </c>
      <c r="N266" s="36"/>
      <c r="O266" s="35">
        <v>180</v>
      </c>
      <c r="P266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6"/>
      <c r="R266" s="286"/>
      <c r="S266" s="286"/>
      <c r="T266" s="287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116</v>
      </c>
      <c r="AK266" s="82">
        <v>14</v>
      </c>
      <c r="BB266" s="275" t="s">
        <v>113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376</v>
      </c>
      <c r="B267" s="60" t="s">
        <v>377</v>
      </c>
      <c r="C267" s="34">
        <v>4301135610</v>
      </c>
      <c r="D267" s="284">
        <v>4640242181318</v>
      </c>
      <c r="E267" s="284"/>
      <c r="F267" s="59">
        <v>0.3</v>
      </c>
      <c r="G267" s="35">
        <v>9</v>
      </c>
      <c r="H267" s="59">
        <v>2.7</v>
      </c>
      <c r="I267" s="59">
        <v>2.988</v>
      </c>
      <c r="J267" s="35">
        <v>126</v>
      </c>
      <c r="K267" s="35" t="s">
        <v>114</v>
      </c>
      <c r="L267" s="35" t="s">
        <v>115</v>
      </c>
      <c r="M267" s="36" t="s">
        <v>85</v>
      </c>
      <c r="N267" s="36"/>
      <c r="O267" s="35">
        <v>180</v>
      </c>
      <c r="P267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 t="shared" si="23"/>
        <v>0</v>
      </c>
      <c r="AA267" s="65" t="s">
        <v>46</v>
      </c>
      <c r="AB267" s="66" t="s">
        <v>46</v>
      </c>
      <c r="AC267" s="276" t="s">
        <v>363</v>
      </c>
      <c r="AG267" s="78"/>
      <c r="AJ267" s="82" t="s">
        <v>116</v>
      </c>
      <c r="AK267" s="82">
        <v>14</v>
      </c>
      <c r="BB267" s="277" t="s">
        <v>113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ht="27" hidden="1" customHeight="1" x14ac:dyDescent="0.25">
      <c r="A268" s="60" t="s">
        <v>378</v>
      </c>
      <c r="B268" s="60" t="s">
        <v>379</v>
      </c>
      <c r="C268" s="34">
        <v>4301135306</v>
      </c>
      <c r="D268" s="284">
        <v>4640242181387</v>
      </c>
      <c r="E268" s="284"/>
      <c r="F268" s="59">
        <v>0.3</v>
      </c>
      <c r="G268" s="35">
        <v>9</v>
      </c>
      <c r="H268" s="59">
        <v>2.7</v>
      </c>
      <c r="I268" s="59">
        <v>2.8450000000000002</v>
      </c>
      <c r="J268" s="35">
        <v>234</v>
      </c>
      <c r="K268" s="35" t="s">
        <v>165</v>
      </c>
      <c r="L268" s="35" t="s">
        <v>115</v>
      </c>
      <c r="M268" s="36" t="s">
        <v>85</v>
      </c>
      <c r="N268" s="36"/>
      <c r="O268" s="35">
        <v>180</v>
      </c>
      <c r="P268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IFERROR(IF(X268="","",X268*0.00502),"")</f>
        <v>0</v>
      </c>
      <c r="AA268" s="65" t="s">
        <v>46</v>
      </c>
      <c r="AB268" s="66" t="s">
        <v>46</v>
      </c>
      <c r="AC268" s="278" t="s">
        <v>360</v>
      </c>
      <c r="AG268" s="78"/>
      <c r="AJ268" s="82" t="s">
        <v>116</v>
      </c>
      <c r="AK268" s="82">
        <v>18</v>
      </c>
      <c r="BB268" s="279" t="s">
        <v>113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idden="1" x14ac:dyDescent="0.2">
      <c r="A269" s="291"/>
      <c r="B269" s="291"/>
      <c r="C269" s="291"/>
      <c r="D269" s="291"/>
      <c r="E269" s="291"/>
      <c r="F269" s="291"/>
      <c r="G269" s="291"/>
      <c r="H269" s="291"/>
      <c r="I269" s="291"/>
      <c r="J269" s="291"/>
      <c r="K269" s="291"/>
      <c r="L269" s="291"/>
      <c r="M269" s="291"/>
      <c r="N269" s="291"/>
      <c r="O269" s="292"/>
      <c r="P269" s="288" t="s">
        <v>40</v>
      </c>
      <c r="Q269" s="289"/>
      <c r="R269" s="289"/>
      <c r="S269" s="289"/>
      <c r="T269" s="289"/>
      <c r="U269" s="289"/>
      <c r="V269" s="290"/>
      <c r="W269" s="40" t="s">
        <v>39</v>
      </c>
      <c r="X269" s="41">
        <f>IFERROR(SUM(X259:X268),"0")</f>
        <v>0</v>
      </c>
      <c r="Y269" s="41">
        <f>IFERROR(SUM(Y259:Y268),"0")</f>
        <v>0</v>
      </c>
      <c r="Z269" s="41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4"/>
      <c r="AB269" s="64"/>
      <c r="AC269" s="64"/>
    </row>
    <row r="270" spans="1:68" hidden="1" x14ac:dyDescent="0.2">
      <c r="A270" s="291"/>
      <c r="B270" s="291"/>
      <c r="C270" s="291"/>
      <c r="D270" s="291"/>
      <c r="E270" s="291"/>
      <c r="F270" s="291"/>
      <c r="G270" s="291"/>
      <c r="H270" s="291"/>
      <c r="I270" s="291"/>
      <c r="J270" s="291"/>
      <c r="K270" s="291"/>
      <c r="L270" s="291"/>
      <c r="M270" s="291"/>
      <c r="N270" s="291"/>
      <c r="O270" s="292"/>
      <c r="P270" s="288" t="s">
        <v>40</v>
      </c>
      <c r="Q270" s="289"/>
      <c r="R270" s="289"/>
      <c r="S270" s="289"/>
      <c r="T270" s="289"/>
      <c r="U270" s="289"/>
      <c r="V270" s="290"/>
      <c r="W270" s="40" t="s">
        <v>0</v>
      </c>
      <c r="X270" s="41">
        <f>IFERROR(SUMPRODUCT(X259:X268*H259:H268),"0")</f>
        <v>0</v>
      </c>
      <c r="Y270" s="41">
        <f>IFERROR(SUMPRODUCT(Y259:Y268*H259:H268),"0")</f>
        <v>0</v>
      </c>
      <c r="Z270" s="40"/>
      <c r="AA270" s="64"/>
      <c r="AB270" s="64"/>
      <c r="AC270" s="64"/>
    </row>
    <row r="271" spans="1:68" ht="15" customHeight="1" x14ac:dyDescent="0.2">
      <c r="A271" s="291"/>
      <c r="B271" s="291"/>
      <c r="C271" s="291"/>
      <c r="D271" s="291"/>
      <c r="E271" s="291"/>
      <c r="F271" s="291"/>
      <c r="G271" s="291"/>
      <c r="H271" s="291"/>
      <c r="I271" s="291"/>
      <c r="J271" s="291"/>
      <c r="K271" s="291"/>
      <c r="L271" s="291"/>
      <c r="M271" s="291"/>
      <c r="N271" s="291"/>
      <c r="O271" s="296"/>
      <c r="P271" s="293" t="s">
        <v>33</v>
      </c>
      <c r="Q271" s="294"/>
      <c r="R271" s="294"/>
      <c r="S271" s="294"/>
      <c r="T271" s="294"/>
      <c r="U271" s="294"/>
      <c r="V271" s="295"/>
      <c r="W271" s="40" t="s">
        <v>0</v>
      </c>
      <c r="X271" s="41">
        <f>IFERROR(X30+X36+X43+X50+X58+X63+X67+X72+X78+X84+X89+X95+X106+X112+X123+X127+X131+X138+X145+X152+X158+X163+X168+X173+X180+X185+X194+X200+X207+X212+X218+X224+X230+X236+X240+X247+X251+X257+X270,"0")</f>
        <v>4942.92</v>
      </c>
      <c r="Y271" s="41">
        <f>IFERROR(Y30+Y36+Y43+Y50+Y58+Y63+Y67+Y72+Y78+Y84+Y89+Y95+Y106+Y112+Y123+Y127+Y131+Y138+Y145+Y152+Y158+Y163+Y168+Y173+Y180+Y185+Y194+Y200+Y207+Y212+Y218+Y224+Y230+Y236+Y240+Y247+Y251+Y257+Y270,"0")</f>
        <v>4942.92</v>
      </c>
      <c r="Z271" s="40"/>
      <c r="AA271" s="64"/>
      <c r="AB271" s="64"/>
      <c r="AC271" s="64"/>
    </row>
    <row r="272" spans="1:68" x14ac:dyDescent="0.2">
      <c r="A272" s="291"/>
      <c r="B272" s="291"/>
      <c r="C272" s="291"/>
      <c r="D272" s="291"/>
      <c r="E272" s="291"/>
      <c r="F272" s="291"/>
      <c r="G272" s="291"/>
      <c r="H272" s="291"/>
      <c r="I272" s="291"/>
      <c r="J272" s="291"/>
      <c r="K272" s="291"/>
      <c r="L272" s="291"/>
      <c r="M272" s="291"/>
      <c r="N272" s="291"/>
      <c r="O272" s="296"/>
      <c r="P272" s="293" t="s">
        <v>34</v>
      </c>
      <c r="Q272" s="294"/>
      <c r="R272" s="294"/>
      <c r="S272" s="294"/>
      <c r="T272" s="294"/>
      <c r="U272" s="294"/>
      <c r="V272" s="295"/>
      <c r="W272" s="40" t="s">
        <v>0</v>
      </c>
      <c r="X272" s="41">
        <f>IFERROR(SUM(BM22:BM268),"0")</f>
        <v>5516.1283999999996</v>
      </c>
      <c r="Y272" s="41">
        <f>IFERROR(SUM(BN22:BN268),"0")</f>
        <v>5516.1283999999996</v>
      </c>
      <c r="Z272" s="40"/>
      <c r="AA272" s="64"/>
      <c r="AB272" s="64"/>
      <c r="AC272" s="64"/>
    </row>
    <row r="273" spans="1:32" x14ac:dyDescent="0.2">
      <c r="A273" s="291"/>
      <c r="B273" s="291"/>
      <c r="C273" s="291"/>
      <c r="D273" s="291"/>
      <c r="E273" s="291"/>
      <c r="F273" s="291"/>
      <c r="G273" s="291"/>
      <c r="H273" s="291"/>
      <c r="I273" s="291"/>
      <c r="J273" s="291"/>
      <c r="K273" s="291"/>
      <c r="L273" s="291"/>
      <c r="M273" s="291"/>
      <c r="N273" s="291"/>
      <c r="O273" s="296"/>
      <c r="P273" s="293" t="s">
        <v>35</v>
      </c>
      <c r="Q273" s="294"/>
      <c r="R273" s="294"/>
      <c r="S273" s="294"/>
      <c r="T273" s="294"/>
      <c r="U273" s="294"/>
      <c r="V273" s="295"/>
      <c r="W273" s="40" t="s">
        <v>20</v>
      </c>
      <c r="X273" s="42">
        <f>ROUNDUP(SUM(BO22:BO268),0)</f>
        <v>16</v>
      </c>
      <c r="Y273" s="42">
        <f>ROUNDUP(SUM(BP22:BP268),0)</f>
        <v>16</v>
      </c>
      <c r="Z273" s="40"/>
      <c r="AA273" s="64"/>
      <c r="AB273" s="64"/>
      <c r="AC273" s="64"/>
    </row>
    <row r="274" spans="1:32" x14ac:dyDescent="0.2">
      <c r="A274" s="291"/>
      <c r="B274" s="291"/>
      <c r="C274" s="291"/>
      <c r="D274" s="291"/>
      <c r="E274" s="291"/>
      <c r="F274" s="291"/>
      <c r="G274" s="291"/>
      <c r="H274" s="291"/>
      <c r="I274" s="291"/>
      <c r="J274" s="291"/>
      <c r="K274" s="291"/>
      <c r="L274" s="291"/>
      <c r="M274" s="291"/>
      <c r="N274" s="291"/>
      <c r="O274" s="296"/>
      <c r="P274" s="293" t="s">
        <v>36</v>
      </c>
      <c r="Q274" s="294"/>
      <c r="R274" s="294"/>
      <c r="S274" s="294"/>
      <c r="T274" s="294"/>
      <c r="U274" s="294"/>
      <c r="V274" s="295"/>
      <c r="W274" s="40" t="s">
        <v>0</v>
      </c>
      <c r="X274" s="41">
        <f>GrossWeightTotal+PalletQtyTotal*25</f>
        <v>5916.1283999999996</v>
      </c>
      <c r="Y274" s="41">
        <f>GrossWeightTotalR+PalletQtyTotalR*25</f>
        <v>5916.1283999999996</v>
      </c>
      <c r="Z274" s="40"/>
      <c r="AA274" s="64"/>
      <c r="AB274" s="64"/>
      <c r="AC274" s="64"/>
    </row>
    <row r="275" spans="1:32" x14ac:dyDescent="0.2">
      <c r="A275" s="291"/>
      <c r="B275" s="291"/>
      <c r="C275" s="291"/>
      <c r="D275" s="291"/>
      <c r="E275" s="291"/>
      <c r="F275" s="291"/>
      <c r="G275" s="291"/>
      <c r="H275" s="291"/>
      <c r="I275" s="291"/>
      <c r="J275" s="291"/>
      <c r="K275" s="291"/>
      <c r="L275" s="291"/>
      <c r="M275" s="291"/>
      <c r="N275" s="291"/>
      <c r="O275" s="296"/>
      <c r="P275" s="293" t="s">
        <v>37</v>
      </c>
      <c r="Q275" s="294"/>
      <c r="R275" s="294"/>
      <c r="S275" s="294"/>
      <c r="T275" s="294"/>
      <c r="U275" s="294"/>
      <c r="V275" s="295"/>
      <c r="W275" s="40" t="s">
        <v>20</v>
      </c>
      <c r="X275" s="41">
        <f>IFERROR(X29+X35+X42+X49+X57+X62+X66+X71+X77+X83+X88+X94+X105+X111+X122+X126+X130+X137+X144+X151+X157+X162+X167+X172+X179+X184+X193+X199+X206+X211+X217+X223+X229+X235+X239+X246+X250+X256+X269,"0")</f>
        <v>1314</v>
      </c>
      <c r="Y275" s="41">
        <f>IFERROR(Y29+Y35+Y42+Y49+Y57+Y62+Y66+Y71+Y77+Y83+Y88+Y94+Y105+Y111+Y122+Y126+Y130+Y137+Y144+Y151+Y157+Y162+Y167+Y172+Y179+Y184+Y193+Y199+Y206+Y211+Y217+Y223+Y229+Y235+Y239+Y246+Y250+Y256+Y269,"0")</f>
        <v>1314</v>
      </c>
      <c r="Z275" s="40"/>
      <c r="AA275" s="64"/>
      <c r="AB275" s="64"/>
      <c r="AC275" s="64"/>
    </row>
    <row r="276" spans="1:32" ht="14.25" hidden="1" x14ac:dyDescent="0.2">
      <c r="A276" s="291"/>
      <c r="B276" s="291"/>
      <c r="C276" s="291"/>
      <c r="D276" s="291"/>
      <c r="E276" s="291"/>
      <c r="F276" s="291"/>
      <c r="G276" s="291"/>
      <c r="H276" s="291"/>
      <c r="I276" s="291"/>
      <c r="J276" s="291"/>
      <c r="K276" s="291"/>
      <c r="L276" s="291"/>
      <c r="M276" s="291"/>
      <c r="N276" s="291"/>
      <c r="O276" s="296"/>
      <c r="P276" s="293" t="s">
        <v>38</v>
      </c>
      <c r="Q276" s="294"/>
      <c r="R276" s="294"/>
      <c r="S276" s="294"/>
      <c r="T276" s="294"/>
      <c r="U276" s="294"/>
      <c r="V276" s="295"/>
      <c r="W276" s="43" t="s">
        <v>52</v>
      </c>
      <c r="X276" s="40"/>
      <c r="Y276" s="40"/>
      <c r="Z276" s="40">
        <f>IFERROR(Z29+Z35+Z42+Z49+Z57+Z62+Z66+Z71+Z77+Z83+Z88+Z94+Z105+Z111+Z122+Z126+Z130+Z137+Z144+Z151+Z157+Z162+Z167+Z172+Z179+Z184+Z193+Z199+Z206+Z211+Z217+Z223+Z229+Z235+Z239+Z246+Z250+Z256+Z269,"0")</f>
        <v>20.2073</v>
      </c>
      <c r="AA276" s="64"/>
      <c r="AB276" s="64"/>
      <c r="AC276" s="64"/>
    </row>
    <row r="277" spans="1:32" ht="13.5" thickBot="1" x14ac:dyDescent="0.25"/>
    <row r="278" spans="1:32" ht="27" thickTop="1" thickBot="1" x14ac:dyDescent="0.25">
      <c r="A278" s="44" t="s">
        <v>9</v>
      </c>
      <c r="B278" s="280" t="s">
        <v>80</v>
      </c>
      <c r="C278" s="280" t="s">
        <v>80</v>
      </c>
      <c r="D278" s="280" t="s">
        <v>45</v>
      </c>
      <c r="E278" s="280" t="s">
        <v>45</v>
      </c>
      <c r="F278" s="280" t="s">
        <v>45</v>
      </c>
      <c r="G278" s="280" t="s">
        <v>45</v>
      </c>
      <c r="H278" s="280" t="s">
        <v>45</v>
      </c>
      <c r="I278" s="280" t="s">
        <v>45</v>
      </c>
      <c r="J278" s="280" t="s">
        <v>45</v>
      </c>
      <c r="K278" s="280" t="s">
        <v>45</v>
      </c>
      <c r="L278" s="280" t="s">
        <v>45</v>
      </c>
      <c r="M278" s="280" t="s">
        <v>45</v>
      </c>
      <c r="N278" s="281"/>
      <c r="O278" s="280" t="s">
        <v>45</v>
      </c>
      <c r="P278" s="280" t="s">
        <v>45</v>
      </c>
      <c r="Q278" s="280" t="s">
        <v>45</v>
      </c>
      <c r="R278" s="280" t="s">
        <v>45</v>
      </c>
      <c r="S278" s="280" t="s">
        <v>45</v>
      </c>
      <c r="T278" s="280" t="s">
        <v>45</v>
      </c>
      <c r="U278" s="280" t="s">
        <v>45</v>
      </c>
      <c r="V278" s="83" t="s">
        <v>271</v>
      </c>
      <c r="W278" s="83" t="s">
        <v>285</v>
      </c>
      <c r="X278" s="280" t="s">
        <v>299</v>
      </c>
      <c r="Y278" s="280" t="s">
        <v>299</v>
      </c>
      <c r="Z278" s="280" t="s">
        <v>299</v>
      </c>
      <c r="AA278" s="83" t="s">
        <v>325</v>
      </c>
      <c r="AB278" s="83" t="s">
        <v>330</v>
      </c>
      <c r="AC278" s="83" t="s">
        <v>334</v>
      </c>
      <c r="AD278" s="83" t="s">
        <v>342</v>
      </c>
      <c r="AF278" s="1"/>
    </row>
    <row r="279" spans="1:32" ht="14.25" customHeight="1" thickTop="1" x14ac:dyDescent="0.2">
      <c r="A279" s="282" t="s">
        <v>10</v>
      </c>
      <c r="B279" s="280" t="s">
        <v>80</v>
      </c>
      <c r="C279" s="280" t="s">
        <v>102</v>
      </c>
      <c r="D279" s="280" t="s">
        <v>108</v>
      </c>
      <c r="E279" s="280" t="s">
        <v>119</v>
      </c>
      <c r="F279" s="280" t="s">
        <v>129</v>
      </c>
      <c r="G279" s="280" t="s">
        <v>140</v>
      </c>
      <c r="H279" s="280" t="s">
        <v>161</v>
      </c>
      <c r="I279" s="280" t="s">
        <v>168</v>
      </c>
      <c r="J279" s="280" t="s">
        <v>172</v>
      </c>
      <c r="K279" s="280" t="s">
        <v>180</v>
      </c>
      <c r="L279" s="280" t="s">
        <v>198</v>
      </c>
      <c r="M279" s="280" t="s">
        <v>204</v>
      </c>
      <c r="N279" s="1"/>
      <c r="O279" s="280" t="s">
        <v>229</v>
      </c>
      <c r="P279" s="280" t="s">
        <v>238</v>
      </c>
      <c r="Q279" s="280" t="s">
        <v>246</v>
      </c>
      <c r="R279" s="280" t="s">
        <v>255</v>
      </c>
      <c r="S279" s="280" t="s">
        <v>260</v>
      </c>
      <c r="T279" s="280" t="s">
        <v>264</v>
      </c>
      <c r="U279" s="280" t="s">
        <v>267</v>
      </c>
      <c r="V279" s="280" t="s">
        <v>272</v>
      </c>
      <c r="W279" s="280" t="s">
        <v>286</v>
      </c>
      <c r="X279" s="280" t="s">
        <v>300</v>
      </c>
      <c r="Y279" s="280" t="s">
        <v>315</v>
      </c>
      <c r="Z279" s="280" t="s">
        <v>319</v>
      </c>
      <c r="AA279" s="280" t="s">
        <v>326</v>
      </c>
      <c r="AB279" s="280" t="s">
        <v>331</v>
      </c>
      <c r="AC279" s="280" t="s">
        <v>335</v>
      </c>
      <c r="AD279" s="280" t="s">
        <v>342</v>
      </c>
      <c r="AF279" s="1"/>
    </row>
    <row r="280" spans="1:32" ht="13.5" thickBot="1" x14ac:dyDescent="0.25">
      <c r="A280" s="283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1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F280" s="1"/>
    </row>
    <row r="281" spans="1:32" ht="18" thickTop="1" thickBot="1" x14ac:dyDescent="0.25">
      <c r="A281" s="44" t="s">
        <v>13</v>
      </c>
      <c r="B281" s="50">
        <f>IFERROR(X22*H22,"0")+IFERROR(X23*H23,"0")+IFERROR(X24*H24,"0")+IFERROR(X25*H25,"0")+IFERROR(X26*H26,"0")+IFERROR(X27*H27,"0")+IFERROR(X28*H28,"0")</f>
        <v>0</v>
      </c>
      <c r="C281" s="50">
        <f>IFERROR(X33*H33,"0")+IFERROR(X34*H34,"0")</f>
        <v>0</v>
      </c>
      <c r="D281" s="50">
        <f>IFERROR(X40*H40,"0")+IFERROR(X41*H41,"0")</f>
        <v>63</v>
      </c>
      <c r="E281" s="50">
        <f>IFERROR(X46*H46,"0")+IFERROR(X47*H47,"0")+IFERROR(X48*H48,"0")</f>
        <v>0</v>
      </c>
      <c r="F281" s="50">
        <f>IFERROR(X53*H53,"0")+IFERROR(X54*H54,"0")+IFERROR(X55*H55,"0")+IFERROR(X56*H56,"0")</f>
        <v>672</v>
      </c>
      <c r="G281" s="50">
        <f>IFERROR(X61*H61,"0")+IFERROR(X65*H65,"0")+IFERROR(X69*H69,"0")+IFERROR(X70*H70,"0")+IFERROR(X74*H74,"0")+IFERROR(X75*H75,"0")+IFERROR(X76*H76,"0")</f>
        <v>134.4</v>
      </c>
      <c r="H281" s="50">
        <f>IFERROR(X81*H81,"0")+IFERROR(X82*H82,"0")</f>
        <v>194.4</v>
      </c>
      <c r="I281" s="50">
        <f>IFERROR(X87*H87,"0")</f>
        <v>0</v>
      </c>
      <c r="J281" s="50">
        <f>IFERROR(X92*H92,"0")+IFERROR(X93*H93,"0")</f>
        <v>252</v>
      </c>
      <c r="K281" s="50">
        <f>IFERROR(X98*H98,"0")+IFERROR(X99*H99,"0")+IFERROR(X100*H100,"0")+IFERROR(X101*H101,"0")+IFERROR(X102*H102,"0")+IFERROR(X103*H103,"0")+IFERROR(X104*H104,"0")</f>
        <v>322.56</v>
      </c>
      <c r="L281" s="50">
        <f>IFERROR(X109*H109,"0")+IFERROR(X110*H110,"0")</f>
        <v>151.20000000000002</v>
      </c>
      <c r="M281" s="50">
        <f>IFERROR(X115*H115,"0")+IFERROR(X116*H116,"0")+IFERROR(X117*H117,"0")+IFERROR(X118*H118,"0")+IFERROR(X119*H119,"0")+IFERROR(X120*H120,"0")+IFERROR(X121*H121,"0")+IFERROR(X125*H125,"0")+IFERROR(X129*H129,"0")</f>
        <v>708.96</v>
      </c>
      <c r="N281" s="1"/>
      <c r="O281" s="50">
        <f>IFERROR(X134*H134,"0")+IFERROR(X135*H135,"0")+IFERROR(X136*H136,"0")</f>
        <v>0</v>
      </c>
      <c r="P281" s="50">
        <f>IFERROR(X141*H141,"0")+IFERROR(X142*H142,"0")+IFERROR(X143*H143,"0")</f>
        <v>420</v>
      </c>
      <c r="Q281" s="50">
        <f>IFERROR(X148*H148,"0")+IFERROR(X149*H149,"0")+IFERROR(X150*H150,"0")</f>
        <v>84</v>
      </c>
      <c r="R281" s="50">
        <f>IFERROR(X155*H155,"0")+IFERROR(X156*H156,"0")</f>
        <v>134.4</v>
      </c>
      <c r="S281" s="50">
        <f>IFERROR(X161*H161,"0")</f>
        <v>0</v>
      </c>
      <c r="T281" s="50">
        <f>IFERROR(X166*H166,"0")</f>
        <v>0</v>
      </c>
      <c r="U281" s="50">
        <f>IFERROR(X171*H171,"0")</f>
        <v>0</v>
      </c>
      <c r="V281" s="50">
        <f>IFERROR(X177*H177,"0")+IFERROR(X178*H178,"0")+IFERROR(X182*H182,"0")+IFERROR(X183*H183,"0")</f>
        <v>0</v>
      </c>
      <c r="W281" s="50">
        <f>IFERROR(X189*H189,"0")+IFERROR(X190*H190,"0")+IFERROR(X191*H191,"0")+IFERROR(X192*H192,"0")</f>
        <v>546</v>
      </c>
      <c r="X281" s="50">
        <f>IFERROR(X198*H198,"0")+IFERROR(X202*H202,"0")+IFERROR(X203*H203,"0")+IFERROR(X204*H204,"0")+IFERROR(X205*H205,"0")</f>
        <v>0</v>
      </c>
      <c r="Y281" s="50">
        <f>IFERROR(X210*H210,"0")</f>
        <v>0</v>
      </c>
      <c r="Z281" s="50">
        <f>IFERROR(X215*H215,"0")+IFERROR(X216*H216,"0")</f>
        <v>0</v>
      </c>
      <c r="AA281" s="50">
        <f>IFERROR(X222*H222,"0")</f>
        <v>0</v>
      </c>
      <c r="AB281" s="50">
        <f>IFERROR(X228*H228,"0")</f>
        <v>1260</v>
      </c>
      <c r="AC281" s="50">
        <f>IFERROR(X234*H234,"0")+IFERROR(X238*H238,"0")</f>
        <v>0</v>
      </c>
      <c r="AD281" s="50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67" t="s">
        <v>62</v>
      </c>
      <c r="B283" s="67" t="s">
        <v>63</v>
      </c>
      <c r="C283" s="67" t="s">
        <v>65</v>
      </c>
    </row>
    <row r="284" spans="1:32" x14ac:dyDescent="0.2">
      <c r="A284" s="68">
        <f>SUMPRODUCT(--(BB:BB="ЗПФ"),--(W:W="кор"),H:H,Y:Y)+SUMPRODUCT(--(BB:BB="ЗПФ"),--(W:W="кг"),Y:Y)</f>
        <v>2798.4</v>
      </c>
      <c r="B284" s="69">
        <f>SUMPRODUCT(--(BB:BB="ПГП"),--(W:W="кор"),H:H,Y:Y)+SUMPRODUCT(--(BB:BB="ПГП"),--(W:W="кг"),Y:Y)</f>
        <v>2144.5200000000004</v>
      </c>
      <c r="C284" s="69">
        <f>SUMPRODUCT(--(BB:BB="КИЗ"),--(W:W="кор"),H:H,Y:Y)+SUMPRODUCT(--(BB:BB="КИЗ"),--(W:W="кг"),Y:Y)</f>
        <v>0</v>
      </c>
    </row>
  </sheetData>
  <sheetProtection algorithmName="SHA-512" hashValue="nKaPTxXPNcEPYQ4dplqVt+wY+Jxb+cFrx+qn60to2ddPUvBgQJK/K5ximkUkLeE+/lNRi9RDCRb5zKyKUV8RTw==" saltValue="wVQ3HNZgnit9YuNwpiAXWg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14,00"/>
        <filter val="112,00"/>
        <filter val="134,40"/>
        <filter val="14,00"/>
        <filter val="140,00"/>
        <filter val="151,20"/>
        <filter val="16"/>
        <filter val="182,00"/>
        <filter val="194,40"/>
        <filter val="252,00"/>
        <filter val="28,00"/>
        <filter val="322,56"/>
        <filter val="36,00"/>
        <filter val="36,96"/>
        <filter val="4 942,92"/>
        <filter val="42,00"/>
        <filter val="420,00"/>
        <filter val="48,00"/>
        <filter val="5 516,13"/>
        <filter val="5 916,13"/>
        <filter val="546,00"/>
        <filter val="56,00"/>
        <filter val="60,00"/>
        <filter val="63,00"/>
        <filter val="672,00"/>
        <filter val="70,00"/>
        <filter val="72,00"/>
        <filter val="84,00"/>
        <filter val="96,00"/>
      </filters>
    </filterColumn>
    <filterColumn colId="29" showButton="0"/>
    <filterColumn colId="30" showButton="0"/>
  </autoFilter>
  <dataConsolidate/>
  <mergeCells count="49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 X260 X255 X244 X238 X234 X222 X215:X216 X204 X202 X192 X182:X183 X177 X155 X148:X149 X141 X134:X136 X129 X125 X119 X116 X103:X104 X81 X74:X76 X69:X70 X65 X61 X33:X34 X22:X28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:X268 X261:X264 X259 X253:X254 X249 X245 X228 X210 X205 X203 X198 X189:X191 X178 X171 X166 X161 X156 X150 X142:X143 X120:X121 X117:X118 X115 X109:X110 X98:X102 X92:X93 X87 X82 X53:X56 X46:X48 X40:X41" xr:uid="{00000000-0002-0000-0000-000012000000}">
      <formula1>IF(AK40&gt;0,OR(X40=0,AND(IF(X40-AK40&gt;=0,TRUE,FALSE),X40&gt;0,IF(X40/K40=ROUND(X40/K40,0),TRUE,FALSE))),FALSE)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1" t="s">
        <v>381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78</v>
      </c>
      <c r="C6" s="51" t="s">
        <v>383</v>
      </c>
      <c r="D6" s="51" t="s">
        <v>384</v>
      </c>
      <c r="E6" s="51" t="s">
        <v>46</v>
      </c>
    </row>
    <row r="8" spans="2:8" x14ac:dyDescent="0.2">
      <c r="B8" s="51" t="s">
        <v>79</v>
      </c>
      <c r="C8" s="51" t="s">
        <v>383</v>
      </c>
      <c r="D8" s="51" t="s">
        <v>46</v>
      </c>
      <c r="E8" s="51" t="s">
        <v>46</v>
      </c>
    </row>
    <row r="10" spans="2:8" x14ac:dyDescent="0.2">
      <c r="B10" s="51" t="s">
        <v>385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386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387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395</v>
      </c>
      <c r="C20" s="51" t="s">
        <v>46</v>
      </c>
      <c r="D20" s="51" t="s">
        <v>46</v>
      </c>
      <c r="E20" s="51" t="s">
        <v>46</v>
      </c>
    </row>
  </sheetData>
  <sheetProtection algorithmName="SHA-512" hashValue="TV2FCeXpi01v32Cb1+kLLnEg5R9l5ygAvJzXaR5rUsq+5dqbX6oYml/8kn5Fn8UVAkT0bYQGGiAWeV0WSSMptw==" saltValue="bGTem3ITFC9e90Et/k/KW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433</vt:i4>
      </vt:variant>
    </vt:vector>
  </HeadingPairs>
  <TitlesOfParts>
    <vt:vector size="43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