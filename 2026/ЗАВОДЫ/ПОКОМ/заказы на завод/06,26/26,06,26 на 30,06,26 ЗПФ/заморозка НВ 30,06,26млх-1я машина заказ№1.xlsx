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403CA9-0EBB-4903-B9FA-559F75662DB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P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N275" i="1"/>
  <c r="BM275" i="1"/>
  <c r="Z275" i="1"/>
  <c r="Y275" i="1"/>
  <c r="BP275" i="1" s="1"/>
  <c r="P275" i="1"/>
  <c r="BO274" i="1"/>
  <c r="BM274" i="1"/>
  <c r="Z274" i="1"/>
  <c r="Y274" i="1"/>
  <c r="P274" i="1"/>
  <c r="BO273" i="1"/>
  <c r="BN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Z268" i="1" s="1"/>
  <c r="Y265" i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O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Y224" i="1" s="1"/>
  <c r="P222" i="1"/>
  <c r="X219" i="1"/>
  <c r="Z218" i="1"/>
  <c r="X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Y213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2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N192" i="1"/>
  <c r="BM192" i="1"/>
  <c r="Z192" i="1"/>
  <c r="Y192" i="1"/>
  <c r="BP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N184" i="1"/>
  <c r="BM184" i="1"/>
  <c r="Z184" i="1"/>
  <c r="Z186" i="1" s="1"/>
  <c r="Y184" i="1"/>
  <c r="BP184" i="1" s="1"/>
  <c r="P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Y175" i="1" s="1"/>
  <c r="P173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Y157" i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O145" i="1"/>
  <c r="BN145" i="1"/>
  <c r="BM145" i="1"/>
  <c r="Z145" i="1"/>
  <c r="Y145" i="1"/>
  <c r="Y147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BO138" i="1"/>
  <c r="BN138" i="1"/>
  <c r="BM138" i="1"/>
  <c r="Z138" i="1"/>
  <c r="Y138" i="1"/>
  <c r="BP138" i="1" s="1"/>
  <c r="P138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BP132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N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O52" i="1"/>
  <c r="BN52" i="1"/>
  <c r="BM52" i="1"/>
  <c r="Z52" i="1"/>
  <c r="Y52" i="1"/>
  <c r="BP52" i="1" s="1"/>
  <c r="P52" i="1"/>
  <c r="X49" i="1"/>
  <c r="X48" i="1"/>
  <c r="BP47" i="1"/>
  <c r="BO47" i="1"/>
  <c r="BM47" i="1"/>
  <c r="Z47" i="1"/>
  <c r="Y47" i="1"/>
  <c r="BN47" i="1" s="1"/>
  <c r="P47" i="1"/>
  <c r="BO46" i="1"/>
  <c r="BM46" i="1"/>
  <c r="Z46" i="1"/>
  <c r="Y46" i="1"/>
  <c r="BP46" i="1" s="1"/>
  <c r="P46" i="1"/>
  <c r="BO45" i="1"/>
  <c r="BN45" i="1"/>
  <c r="BM45" i="1"/>
  <c r="Z45" i="1"/>
  <c r="Y45" i="1"/>
  <c r="BP45" i="1" s="1"/>
  <c r="P45" i="1"/>
  <c r="X42" i="1"/>
  <c r="X41" i="1"/>
  <c r="BP40" i="1"/>
  <c r="BO40" i="1"/>
  <c r="BM40" i="1"/>
  <c r="Z40" i="1"/>
  <c r="Y40" i="1"/>
  <c r="BN40" i="1" s="1"/>
  <c r="P40" i="1"/>
  <c r="BO39" i="1"/>
  <c r="BM39" i="1"/>
  <c r="Z39" i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P25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BN127" i="1" l="1"/>
  <c r="BN279" i="1"/>
  <c r="BN134" i="1"/>
  <c r="X284" i="1"/>
  <c r="BP127" i="1"/>
  <c r="BN140" i="1"/>
  <c r="BN119" i="1"/>
  <c r="Y128" i="1"/>
  <c r="Y136" i="1"/>
  <c r="BN152" i="1"/>
  <c r="Y201" i="1"/>
  <c r="BN261" i="1"/>
  <c r="BN277" i="1"/>
  <c r="BN27" i="1"/>
  <c r="Z41" i="1"/>
  <c r="BP261" i="1"/>
  <c r="Y208" i="1"/>
  <c r="Y121" i="1"/>
  <c r="BN117" i="1"/>
  <c r="Z207" i="1"/>
  <c r="Y262" i="1"/>
  <c r="BP23" i="1"/>
  <c r="BP123" i="1"/>
  <c r="Z281" i="1"/>
  <c r="Y77" i="1"/>
  <c r="Y269" i="1"/>
  <c r="Y49" i="1"/>
  <c r="BN73" i="1"/>
  <c r="Y94" i="1"/>
  <c r="BN108" i="1"/>
  <c r="BN206" i="1"/>
  <c r="Y214" i="1"/>
  <c r="BN267" i="1"/>
  <c r="Y56" i="1"/>
  <c r="BN80" i="1"/>
  <c r="BN101" i="1"/>
  <c r="BN115" i="1"/>
  <c r="X285" i="1"/>
  <c r="X286" i="1" s="1"/>
  <c r="Z48" i="1"/>
  <c r="Z93" i="1"/>
  <c r="Z56" i="1"/>
  <c r="BP73" i="1"/>
  <c r="Z159" i="1"/>
  <c r="Z258" i="1"/>
  <c r="Z82" i="1"/>
  <c r="Y71" i="1"/>
  <c r="Y281" i="1"/>
  <c r="Z120" i="1"/>
  <c r="BN92" i="1"/>
  <c r="BN204" i="1"/>
  <c r="BN265" i="1"/>
  <c r="Y282" i="1"/>
  <c r="BN99" i="1"/>
  <c r="BN113" i="1"/>
  <c r="BN180" i="1"/>
  <c r="BN194" i="1"/>
  <c r="BN211" i="1"/>
  <c r="BN257" i="1"/>
  <c r="BN271" i="1"/>
  <c r="X283" i="1"/>
  <c r="Z195" i="1"/>
  <c r="BP204" i="1"/>
  <c r="BP265" i="1"/>
  <c r="BP211" i="1"/>
  <c r="BP271" i="1"/>
  <c r="BN69" i="1"/>
  <c r="Y34" i="1"/>
  <c r="BN75" i="1"/>
  <c r="Y110" i="1"/>
  <c r="Z135" i="1"/>
  <c r="Y142" i="1"/>
  <c r="Z141" i="1"/>
  <c r="Y29" i="1"/>
  <c r="Y103" i="1"/>
  <c r="BN123" i="1"/>
  <c r="BN132" i="1"/>
  <c r="Z147" i="1"/>
  <c r="BP113" i="1"/>
  <c r="Z28" i="1"/>
  <c r="BN32" i="1"/>
  <c r="Z103" i="1"/>
  <c r="Z76" i="1"/>
  <c r="Y82" i="1"/>
  <c r="Y124" i="1"/>
  <c r="BP145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3" i="1" l="1"/>
  <c r="Z288" i="1"/>
  <c r="Y284" i="1"/>
  <c r="Y285" i="1"/>
  <c r="Y287" i="1"/>
  <c r="B296" i="1" l="1"/>
  <c r="Y286" i="1"/>
  <c r="A296" i="1" s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<sst xmlns="http://schemas.openxmlformats.org/spreadsheetml/2006/main" count="1292" uniqueCount="417">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</sst>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46203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397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Вторник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5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0.41666666666666669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48</v>
      </c>
      <c r="Y25" s="277">
        <f t="shared" si="0"/>
        <v>48</v>
      </c>
      <c r="Z25" s="36">
        <f t="shared" si="1"/>
        <v>0.74399999999999999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358.56</v>
      </c>
      <c r="BN25" s="67">
        <f t="shared" si="3"/>
        <v>358.56</v>
      </c>
      <c r="BO25" s="67">
        <f t="shared" si="4"/>
        <v>0.5714285714285714</v>
      </c>
      <c r="BP25" s="67">
        <f t="shared" si="5"/>
        <v>0.5714285714285714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36</v>
      </c>
      <c r="Y27" s="277">
        <f t="shared" si="0"/>
        <v>36</v>
      </c>
      <c r="Z27" s="36">
        <f t="shared" si="1"/>
        <v>0.55800000000000005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84</v>
      </c>
      <c r="Y28" s="278">
        <f>IFERROR(SUM(Y22:Y27),"0")</f>
        <v>84</v>
      </c>
      <c r="Z28" s="278">
        <f>IFERROR(IF(Z22="",0,Z22),"0")+IFERROR(IF(Z23="",0,Z23),"0")+IFERROR(IF(Z24="",0,Z24),"0")+IFERROR(IF(Z25="",0,Z25),"0")+IFERROR(IF(Z26="",0,Z26),"0")+IFERROR(IF(Z27="",0,Z27),"0")</f>
        <v>1.302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604.79999999999995</v>
      </c>
      <c r="Y29" s="278">
        <f>IFERROR(SUMPRODUCT(Y22:Y27*H22:H27),"0")</f>
        <v>604.79999999999995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28</v>
      </c>
      <c r="Y39" s="277">
        <f>IFERROR(IF(X39="","",X39),"")</f>
        <v>28</v>
      </c>
      <c r="Z39" s="36">
        <f>IFERROR(IF(X39="","",X39*0.00941),"")</f>
        <v>0.26347999999999999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53.810400000000001</v>
      </c>
      <c r="BN39" s="67">
        <f>IFERROR(Y39*I39,"0")</f>
        <v>53.810400000000001</v>
      </c>
      <c r="BO39" s="67">
        <f>IFERROR(X39/J39,"0")</f>
        <v>0.2</v>
      </c>
      <c r="BP39" s="67">
        <f>IFERROR(Y39/J39,"0")</f>
        <v>0.2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14</v>
      </c>
      <c r="Y40" s="277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42</v>
      </c>
      <c r="Y41" s="278">
        <f>IFERROR(SUM(Y39:Y40),"0")</f>
        <v>42</v>
      </c>
      <c r="Z41" s="278">
        <f>IFERROR(IF(Z39="",0,Z39),"0")+IFERROR(IF(Z40="",0,Z40),"0")</f>
        <v>0.39522000000000002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63</v>
      </c>
      <c r="Y42" s="278">
        <f>IFERROR(SUMPRODUCT(Y39:Y40*H39:H40),"0")</f>
        <v>63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60</v>
      </c>
      <c r="Y48" s="278">
        <f>IFERROR(SUM(Y45:Y47),"0")</f>
        <v>60</v>
      </c>
      <c r="Z48" s="278">
        <f>IFERROR(IF(Z45="",0,Z45),"0")+IFERROR(IF(Z46="",0,Z46),"0")+IFERROR(IF(Z47="",0,Z47),"0")</f>
        <v>0.92999999999999994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335.99999999999994</v>
      </c>
      <c r="Y49" s="278">
        <f>IFERROR(SUMPRODUCT(Y45:Y47*H45:H47),"0")</f>
        <v>335.99999999999994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60</v>
      </c>
      <c r="Y52" s="277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96</v>
      </c>
      <c r="Y56" s="278">
        <f>IFERROR(SUM(Y52:Y55),"0")</f>
        <v>96</v>
      </c>
      <c r="Z56" s="278">
        <f>IFERROR(IF(Z52="",0,Z52),"0")+IFERROR(IF(Z53="",0,Z53),"0")+IFERROR(IF(Z54="",0,Z54),"0")+IFERROR(IF(Z55="",0,Z55),"0")</f>
        <v>1.488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672</v>
      </c>
      <c r="Y57" s="278">
        <f>IFERROR(SUMPRODUCT(Y52:Y55*H52:H55),"0")</f>
        <v>672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60</v>
      </c>
      <c r="Y81" s="277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60</v>
      </c>
      <c r="Y82" s="278">
        <f>IFERROR(SUM(Y80:Y81),"0")</f>
        <v>60</v>
      </c>
      <c r="Z82" s="278">
        <f>IFERROR(IF(Z80="",0,Z80),"0")+IFERROR(IF(Z81="",0,Z81),"0")</f>
        <v>0.51959999999999995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300</v>
      </c>
      <c r="Y83" s="278">
        <f>IFERROR(SUMPRODUCT(Y80:Y81*H80:H81),"0")</f>
        <v>300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0</v>
      </c>
      <c r="Y91" s="277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0</v>
      </c>
      <c r="Y92" s="27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0</v>
      </c>
      <c r="Y93" s="278">
        <f>IFERROR(SUM(Y91:Y92),"0")</f>
        <v>0</v>
      </c>
      <c r="Z93" s="278">
        <f>IFERROR(IF(Z91="",0,Z91),"0")+IFERROR(IF(Z92="",0,Z92),"0")</f>
        <v>0</v>
      </c>
      <c r="AA93" s="279"/>
      <c r="AB93" s="279"/>
      <c r="AC93" s="279"/>
    </row>
    <row r="94" spans="1:68" hidden="1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0</v>
      </c>
      <c r="Y94" s="278">
        <f>IFERROR(SUMPRODUCT(Y91:Y92*H91:H92),"0")</f>
        <v>0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14</v>
      </c>
      <c r="Y97" s="277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42</v>
      </c>
      <c r="Y101" s="277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154</v>
      </c>
      <c r="Y103" s="278">
        <f>IFERROR(SUM(Y97:Y102),"0")</f>
        <v>154</v>
      </c>
      <c r="Z103" s="278">
        <f>IFERROR(IF(Z97="",0,Z97),"0")+IFERROR(IF(Z98="",0,Z98),"0")+IFERROR(IF(Z99="",0,Z99),"0")+IFERROR(IF(Z100="",0,Z100),"0")+IFERROR(IF(Z101="",0,Z101),"0")+IFERROR(IF(Z102="",0,Z102),"0")</f>
        <v>2.75352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502.32</v>
      </c>
      <c r="Y104" s="278">
        <f>IFERROR(SUMPRODUCT(Y97:Y102*H97:H102),"0")</f>
        <v>502.32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28</v>
      </c>
      <c r="Y108" s="27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28</v>
      </c>
      <c r="Y109" s="278">
        <f>IFERROR(SUM(Y107:Y108),"0")</f>
        <v>28</v>
      </c>
      <c r="Z109" s="278">
        <f>IFERROR(IF(Z107="",0,Z107),"0")+IFERROR(IF(Z108="",0,Z108),"0")</f>
        <v>0.50063999999999997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100.8</v>
      </c>
      <c r="Y110" s="278">
        <f>IFERROR(SUMPRODUCT(Y107:Y108*H107:H108),"0")</f>
        <v>100.8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12</v>
      </c>
      <c r="Y115" s="277">
        <f t="shared" si="12"/>
        <v>12</v>
      </c>
      <c r="Z115" s="36">
        <f t="shared" si="13"/>
        <v>0.186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24</v>
      </c>
      <c r="Y116" s="277">
        <f t="shared" si="12"/>
        <v>24</v>
      </c>
      <c r="Z116" s="36">
        <f t="shared" si="13"/>
        <v>0.372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36</v>
      </c>
      <c r="Y119" s="277">
        <f t="shared" si="12"/>
        <v>36</v>
      </c>
      <c r="Z119" s="36">
        <f t="shared" si="13"/>
        <v>0.55800000000000005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262.8</v>
      </c>
      <c r="BN119" s="67">
        <f t="shared" si="15"/>
        <v>262.8</v>
      </c>
      <c r="BO119" s="67">
        <f t="shared" si="16"/>
        <v>0.42857142857142855</v>
      </c>
      <c r="BP119" s="67">
        <f t="shared" si="17"/>
        <v>0.42857142857142855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108</v>
      </c>
      <c r="Y120" s="278">
        <f>IFERROR(SUM(Y113:Y119),"0")</f>
        <v>108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1.6740000000000002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741.6</v>
      </c>
      <c r="Y121" s="278">
        <f>IFERROR(SUMPRODUCT(Y113:Y119*H113:H119),"0")</f>
        <v>741.6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0</v>
      </c>
      <c r="Y134" s="277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56</v>
      </c>
      <c r="Y135" s="278">
        <f>IFERROR(SUM(Y132:Y134),"0")</f>
        <v>56</v>
      </c>
      <c r="Z135" s="278">
        <f>IFERROR(IF(Z132="",0,Z132),"0")+IFERROR(IF(Z133="",0,Z133),"0")+IFERROR(IF(Z134="",0,Z134),"0")</f>
        <v>0.52695999999999998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77.28</v>
      </c>
      <c r="Y136" s="278">
        <f>IFERROR(SUMPRODUCT(Y132:Y134*H132:H134),"0")</f>
        <v>77.28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hidden="1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14</v>
      </c>
      <c r="Y145" s="27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ht="27" hidden="1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14</v>
      </c>
      <c r="Y147" s="278">
        <f>IFERROR(SUM(Y145:Y146),"0")</f>
        <v>14</v>
      </c>
      <c r="Z147" s="278">
        <f>IFERROR(IF(Z145="",0,Z145),"0")+IFERROR(IF(Z146="",0,Z146),"0")</f>
        <v>0.25031999999999999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42</v>
      </c>
      <c r="Y148" s="278">
        <f>IFERROR(SUMPRODUCT(Y145:Y146*H145:H146),"0")</f>
        <v>42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hidden="1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56</v>
      </c>
      <c r="Y152" s="277">
        <f>IFERROR(IF(X152="","",X152),"")</f>
        <v>56</v>
      </c>
      <c r="Z152" s="36">
        <f>IFERROR(IF(X152="","",X152*0.01788),"")</f>
        <v>1.0012799999999999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207.40159999999997</v>
      </c>
      <c r="BN152" s="67">
        <f>IFERROR(Y152*I152,"0")</f>
        <v>207.40159999999997</v>
      </c>
      <c r="BO152" s="67">
        <f>IFERROR(X152/J152,"0")</f>
        <v>0.8</v>
      </c>
      <c r="BP152" s="67">
        <f>IFERROR(Y152/J152,"0")</f>
        <v>0.8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hidden="1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14</v>
      </c>
      <c r="Y159" s="278">
        <f>IFERROR(SUM(Y157:Y158),"0")</f>
        <v>14</v>
      </c>
      <c r="Z159" s="278">
        <f>IFERROR(IF(Z157="",0,Z157),"0")+IFERROR(IF(Z158="",0,Z158),"0")</f>
        <v>0.25031999999999999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33.6</v>
      </c>
      <c r="Y160" s="278">
        <f>IFERROR(SUMPRODUCT(Y157:Y158*H157:H158),"0")</f>
        <v>33.6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28</v>
      </c>
      <c r="Y163" s="277">
        <f>IFERROR(IF(X163="","",X163),"")</f>
        <v>28</v>
      </c>
      <c r="Z163" s="36">
        <f>IFERROR(IF(X163="","",X163*0.01788),"")</f>
        <v>0.50063999999999997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103.70079999999999</v>
      </c>
      <c r="BN163" s="67">
        <f>IFERROR(Y163*I163,"0")</f>
        <v>103.70079999999999</v>
      </c>
      <c r="BO163" s="67">
        <f>IFERROR(X163/J163,"0")</f>
        <v>0.4</v>
      </c>
      <c r="BP163" s="67">
        <f>IFERROR(Y163/J163,"0")</f>
        <v>0.4</v>
      </c>
    </row>
    <row r="164" spans="1:68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28</v>
      </c>
      <c r="Y164" s="278">
        <f>IFERROR(SUM(Y163:Y163),"0")</f>
        <v>28</v>
      </c>
      <c r="Z164" s="278">
        <f>IFERROR(IF(Z163="",0,Z163),"0")</f>
        <v>0.50063999999999997</v>
      </c>
      <c r="AA164" s="279"/>
      <c r="AB164" s="279"/>
      <c r="AC164" s="279"/>
    </row>
    <row r="165" spans="1:68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84</v>
      </c>
      <c r="Y165" s="278">
        <f>IFERROR(SUMPRODUCT(Y163:Y163*H163:H163),"0")</f>
        <v>84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0</v>
      </c>
      <c r="Y180" s="27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0</v>
      </c>
      <c r="Y181" s="278">
        <f>IFERROR(SUM(Y179:Y180),"0")</f>
        <v>0</v>
      </c>
      <c r="Z181" s="278">
        <f>IFERROR(IF(Z179="",0,Z179),"0")+IFERROR(IF(Z180="",0,Z180),"0")</f>
        <v>0</v>
      </c>
      <c r="AA181" s="279"/>
      <c r="AB181" s="279"/>
      <c r="AC181" s="279"/>
    </row>
    <row r="182" spans="1:68" hidden="1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0</v>
      </c>
      <c r="Y182" s="278">
        <f>IFERROR(SUMPRODUCT(Y179:Y180*H179:H180),"0")</f>
        <v>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14</v>
      </c>
      <c r="Y192" s="27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47.432000000000002</v>
      </c>
      <c r="BN192" s="67">
        <f>IFERROR(Y192*I192,"0")</f>
        <v>47.432000000000002</v>
      </c>
      <c r="BO192" s="67">
        <f>IFERROR(X192/J192,"0")</f>
        <v>0.2</v>
      </c>
      <c r="BP192" s="67">
        <f>IFERROR(Y192/J192,"0")</f>
        <v>0.2</v>
      </c>
    </row>
    <row r="193" spans="1:68" ht="27" hidden="1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42</v>
      </c>
      <c r="Y195" s="278">
        <f>IFERROR(SUM(Y191:Y194),"0")</f>
        <v>42</v>
      </c>
      <c r="Z195" s="278">
        <f>IFERROR(IF(Z191="",0,Z191),"0")+IFERROR(IF(Z192="",0,Z192),"0")+IFERROR(IF(Z193="",0,Z193),"0")+IFERROR(IF(Z194="",0,Z194),"0")</f>
        <v>0.75095999999999996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126</v>
      </c>
      <c r="Y196" s="278">
        <f>IFERROR(SUMPRODUCT(Y191:Y194*H191:H194),"0")</f>
        <v>126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28</v>
      </c>
      <c r="Y200" s="277">
        <f>IFERROR(IF(X200="","",X200),"")</f>
        <v>28</v>
      </c>
      <c r="Z200" s="36">
        <f>IFERROR(IF(X200="","",X200*0.01788),"")</f>
        <v>0.50063999999999997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83.44</v>
      </c>
      <c r="BN200" s="67">
        <f>IFERROR(Y200*I200,"0")</f>
        <v>83.44</v>
      </c>
      <c r="BO200" s="67">
        <f>IFERROR(X200/J200,"0")</f>
        <v>0.4</v>
      </c>
      <c r="BP200" s="67">
        <f>IFERROR(Y200/J200,"0")</f>
        <v>0.4</v>
      </c>
    </row>
    <row r="201" spans="1:68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28</v>
      </c>
      <c r="Y201" s="278">
        <f>IFERROR(SUM(Y200:Y200),"0")</f>
        <v>28</v>
      </c>
      <c r="Z201" s="278">
        <f>IFERROR(IF(Z200="",0,Z200),"0")</f>
        <v>0.50063999999999997</v>
      </c>
      <c r="AA201" s="279"/>
      <c r="AB201" s="279"/>
      <c r="AC201" s="279"/>
    </row>
    <row r="202" spans="1:68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77.28</v>
      </c>
      <c r="Y202" s="278">
        <f>IFERROR(SUMPRODUCT(Y200:Y200*H200:H200),"0")</f>
        <v>77.28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84</v>
      </c>
      <c r="Y217" s="277">
        <f>IFERROR(IF(X217="","",X217),"")</f>
        <v>84</v>
      </c>
      <c r="Z217" s="36">
        <f>IFERROR(IF(X217="","",X217*0.0155),"")</f>
        <v>1.302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439.32000000000005</v>
      </c>
      <c r="BN217" s="67">
        <f>IFERROR(Y217*I217,"0")</f>
        <v>439.32000000000005</v>
      </c>
      <c r="BO217" s="67">
        <f>IFERROR(X217/J217,"0")</f>
        <v>1</v>
      </c>
      <c r="BP217" s="67">
        <f>IFERROR(Y217/J217,"0")</f>
        <v>1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84</v>
      </c>
      <c r="Y218" s="278">
        <f>IFERROR(SUM(Y217:Y217),"0")</f>
        <v>84</v>
      </c>
      <c r="Z218" s="278">
        <f>IFERROR(IF(Z217="",0,Z217),"0")</f>
        <v>1.302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420</v>
      </c>
      <c r="Y219" s="278">
        <f>IFERROR(SUMPRODUCT(Y217:Y217*H217:H217),"0")</f>
        <v>420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120</v>
      </c>
      <c r="Y234" s="277">
        <f>IFERROR(IF(X234="","",X234),"")</f>
        <v>120</v>
      </c>
      <c r="Z234" s="36">
        <f>IFERROR(IF(X234="","",X234*0.0155),"")</f>
        <v>1.8599999999999999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631.43999999999994</v>
      </c>
      <c r="BN234" s="67">
        <f>IFERROR(Y234*I234,"0")</f>
        <v>631.43999999999994</v>
      </c>
      <c r="BO234" s="67">
        <f>IFERROR(X234/J234,"0")</f>
        <v>1.4285714285714286</v>
      </c>
      <c r="BP234" s="67">
        <f>IFERROR(Y234/J234,"0")</f>
        <v>1.4285714285714286</v>
      </c>
    </row>
    <row r="235" spans="1:68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120</v>
      </c>
      <c r="Y235" s="278">
        <f>IFERROR(SUM(Y234:Y234),"0")</f>
        <v>120</v>
      </c>
      <c r="Z235" s="278">
        <f>IFERROR(IF(Z234="",0,Z234),"0")</f>
        <v>1.8599999999999999</v>
      </c>
      <c r="AA235" s="279"/>
      <c r="AB235" s="279"/>
      <c r="AC235" s="279"/>
    </row>
    <row r="236" spans="1:68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600</v>
      </c>
      <c r="Y236" s="278">
        <f>IFERROR(SUMPRODUCT(Y234:Y234*H234:H234),"0")</f>
        <v>600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132</v>
      </c>
      <c r="Y261" s="277">
        <f>IFERROR(IF(X261="","",X261),"")</f>
        <v>132</v>
      </c>
      <c r="Z261" s="36">
        <f>IFERROR(IF(X261="","",X261*0.0155),"")</f>
        <v>2.0459999999999998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826.31999999999994</v>
      </c>
      <c r="BN261" s="67">
        <f>IFERROR(Y261*I261,"0")</f>
        <v>826.31999999999994</v>
      </c>
      <c r="BO261" s="67">
        <f>IFERROR(X261/J261,"0")</f>
        <v>1.5714285714285714</v>
      </c>
      <c r="BP261" s="67">
        <f>IFERROR(Y261/J261,"0")</f>
        <v>1.5714285714285714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132</v>
      </c>
      <c r="Y262" s="278">
        <f>IFERROR(SUM(Y261:Y261),"0")</f>
        <v>132</v>
      </c>
      <c r="Z262" s="278">
        <f>IFERROR(IF(Z261="",0,Z261),"0")</f>
        <v>2.0459999999999998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792</v>
      </c>
      <c r="Y263" s="278">
        <f>IFERROR(SUMPRODUCT(Y261:Y261*H261:H261),"0")</f>
        <v>792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hidden="1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hidden="1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0</v>
      </c>
      <c r="Y266" s="277">
        <f>IFERROR(IF(X266="","",X266),"")</f>
        <v>0</v>
      </c>
      <c r="Z266" s="36">
        <f>IFERROR(IF(X266="","",X266*0.0155),"")</f>
        <v>0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idden="1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0</v>
      </c>
      <c r="Y268" s="278">
        <f>IFERROR(SUM(Y265:Y267),"0")</f>
        <v>0</v>
      </c>
      <c r="Z268" s="278">
        <f>IFERROR(IF(Z265="",0,Z265),"0")+IFERROR(IF(Z266="",0,Z266),"0")+IFERROR(IF(Z267="",0,Z267),"0")</f>
        <v>0</v>
      </c>
      <c r="AA268" s="279"/>
      <c r="AB268" s="279"/>
      <c r="AC268" s="279"/>
    </row>
    <row r="269" spans="1:68" hidden="1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0</v>
      </c>
      <c r="Y269" s="278">
        <f>IFERROR(SUMPRODUCT(Y265:Y267*H265:H267),"0")</f>
        <v>0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28</v>
      </c>
      <c r="Y272" s="277">
        <f t="shared" si="18"/>
        <v>28</v>
      </c>
      <c r="Z272" s="36">
        <f>IFERROR(IF(X272="","",X272*0.0155),"")</f>
        <v>0.434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146.44</v>
      </c>
      <c r="BN272" s="67">
        <f t="shared" si="20"/>
        <v>146.44</v>
      </c>
      <c r="BO272" s="67">
        <f t="shared" si="21"/>
        <v>0.33333333333333331</v>
      </c>
      <c r="BP272" s="67">
        <f t="shared" si="22"/>
        <v>0.33333333333333331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hidden="1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80</v>
      </c>
      <c r="Y281" s="278">
        <f>IFERROR(SUM(Y271:Y280),"0")</f>
        <v>80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1.0680800000000001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356</v>
      </c>
      <c r="Y282" s="278">
        <f>IFERROR(SUMPRODUCT(Y271:Y280*H271:H280),"0")</f>
        <v>356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6328.52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6328.52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6850.3139999999976</v>
      </c>
      <c r="Y284" s="278">
        <f>IFERROR(SUM(BN22:BN280),"0")</f>
        <v>6850.3139999999976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17</v>
      </c>
      <c r="Y285" s="38">
        <f>ROUNDUP(SUM(BP22:BP280),0)</f>
        <v>17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7275.3139999999976</v>
      </c>
      <c r="Y286" s="278">
        <f>GrossWeightTotalR+PalletQtyTotalR*25</f>
        <v>7275.3139999999976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1384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1384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20.898099999999999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604.79999999999995</v>
      </c>
      <c r="C293" s="46">
        <f>IFERROR(X32*H32,"0")+IFERROR(X33*H33,"0")</f>
        <v>0</v>
      </c>
      <c r="D293" s="46">
        <f>IFERROR(X39*H39,"0")+IFERROR(X40*H40,"0")</f>
        <v>63</v>
      </c>
      <c r="E293" s="46">
        <f>IFERROR(X45*H45,"0")+IFERROR(X46*H46,"0")+IFERROR(X47*H47,"0")</f>
        <v>335.99999999999994</v>
      </c>
      <c r="F293" s="46">
        <f>IFERROR(X52*H52,"0")+IFERROR(X53*H53,"0")+IFERROR(X54*H54,"0")+IFERROR(X55*H55,"0")</f>
        <v>672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300</v>
      </c>
      <c r="I293" s="46">
        <f>IFERROR(X86*H86,"0")</f>
        <v>100.8</v>
      </c>
      <c r="J293" s="46">
        <f>IFERROR(X91*H91,"0")+IFERROR(X92*H92,"0")</f>
        <v>0</v>
      </c>
      <c r="K293" s="46">
        <f>IFERROR(X97*H97,"0")+IFERROR(X98*H98,"0")+IFERROR(X99*H99,"0")+IFERROR(X100*H100,"0")+IFERROR(X101*H101,"0")+IFERROR(X102*H102,"0")</f>
        <v>502.32</v>
      </c>
      <c r="L293" s="46">
        <f>IFERROR(X107*H107,"0")+IFERROR(X108*H108,"0")</f>
        <v>100.8</v>
      </c>
      <c r="M293" s="46">
        <f>IFERROR(X113*H113,"0")+IFERROR(X114*H114,"0")+IFERROR(X115*H115,"0")+IFERROR(X116*H116,"0")+IFERROR(X117*H117,"0")+IFERROR(X118*H118,"0")+IFERROR(X119*H119,"0")+IFERROR(X123*H123,"0")+IFERROR(X127*H127,"0")</f>
        <v>778.56000000000006</v>
      </c>
      <c r="N293" s="274"/>
      <c r="O293" s="46">
        <f>IFERROR(X132*H132,"0")+IFERROR(X133*H133,"0")+IFERROR(X134*H134,"0")+IFERROR(X138*H138,"0")+IFERROR(X139*H139,"0")+IFERROR(X140*H140,"0")</f>
        <v>77.28</v>
      </c>
      <c r="P293" s="46">
        <f>IFERROR(X145*H145,"0")+IFERROR(X146*H146,"0")</f>
        <v>42</v>
      </c>
      <c r="Q293" s="46">
        <f>IFERROR(X151*H151,"0")+IFERROR(X152*H152,"0")</f>
        <v>168</v>
      </c>
      <c r="R293" s="46">
        <f>IFERROR(X157*H157,"0")+IFERROR(X158*H158,"0")</f>
        <v>33.6</v>
      </c>
      <c r="S293" s="46">
        <f>IFERROR(X163*H163,"0")</f>
        <v>84</v>
      </c>
      <c r="T293" s="46">
        <f>IFERROR(X168*H168,"0")</f>
        <v>0</v>
      </c>
      <c r="U293" s="46">
        <f>IFERROR(X173*H173,"0")</f>
        <v>94.08</v>
      </c>
      <c r="V293" s="46">
        <f>IFERROR(X179*H179,"0")+IFERROR(X180*H180,"0")+IFERROR(X184*H184,"0")+IFERROR(X185*H185,"0")</f>
        <v>0</v>
      </c>
      <c r="W293" s="46">
        <f>IFERROR(X191*H191,"0")+IFERROR(X192*H192,"0")+IFERROR(X193*H193,"0")+IFERROR(X194*H194,"0")</f>
        <v>126</v>
      </c>
      <c r="X293" s="46">
        <f>IFERROR(X200*H200,"0")+IFERROR(X204*H204,"0")+IFERROR(X205*H205,"0")+IFERROR(X206*H206,"0")</f>
        <v>77.28</v>
      </c>
      <c r="Y293" s="46">
        <f>IFERROR(X211*H211,"0")+IFERROR(X212*H212,"0")</f>
        <v>0</v>
      </c>
      <c r="Z293" s="46">
        <f>IFERROR(X217*H217,"0")</f>
        <v>420</v>
      </c>
      <c r="AA293" s="46">
        <f>IFERROR(X222*H222,"0")</f>
        <v>0</v>
      </c>
      <c r="AB293" s="46">
        <f>IFERROR(X228*H228,"0")</f>
        <v>0</v>
      </c>
      <c r="AC293" s="46">
        <f>IFERROR(X234*H234,"0")</f>
        <v>600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1148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3674.4000000000005</v>
      </c>
      <c r="B296" s="60">
        <f>SUMPRODUCT(--(BB:BB="ПГП"),--(W:W="кор"),H:H,Y:Y)+SUMPRODUCT(--(BB:BB="ПГП"),--(W:W="кг"),Y:Y)</f>
        <v>2654.12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4,00"/>
        <filter val="100,80"/>
        <filter val="108,00"/>
        <filter val="12,00"/>
        <filter val="120,00"/>
        <filter val="126,00"/>
        <filter val="132,00"/>
        <filter val="14,00"/>
        <filter val="154,00"/>
        <filter val="168,00"/>
        <filter val="17"/>
        <filter val="24,00"/>
        <filter val="28,00"/>
        <filter val="300,00"/>
        <filter val="33,60"/>
        <filter val="336,00"/>
        <filter val="356,00"/>
        <filter val="36,00"/>
        <filter val="36,96"/>
        <filter val="42,00"/>
        <filter val="420,00"/>
        <filter val="48,00"/>
        <filter val="502,32"/>
        <filter val="56,00"/>
        <filter val="6 328,52"/>
        <filter val="6 850,31"/>
        <filter val="60,00"/>
        <filter val="600,00"/>
        <filter val="604,80"/>
        <filter val="63,00"/>
        <filter val="672,00"/>
        <filter val="7 275,31"/>
        <filter val="741,60"/>
        <filter val="77,28"/>
        <filter val="792,00"/>
        <filter val="80,00"/>
        <filter val="84,00"/>
        <filter val="94,08"/>
        <filter val="96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