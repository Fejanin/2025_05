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1828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заказа'!$X$532:$X$532</definedName>
    <definedName name="GrossWeightTotalR">'Бланк заказа'!$Y$532:$Y$532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заказа'!$X$533:$X$533</definedName>
    <definedName name="PalletQtyTotalR">'Бланк заказа'!$Y$533:$Y$533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заказа'!$B$372:$B$372</definedName>
    <definedName name="ProductId191">'Бланк заказа'!$B$376:$B$376</definedName>
    <definedName name="ProductId192">'Бланк заказа'!$B$377:$B$377</definedName>
    <definedName name="ProductId193">'Бланк заказа'!$B$378:$B$378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заказа'!$B$385:$B$385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заказа'!$B$391:$B$391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заказа'!$B$411:$B$411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заказа'!$B$421:$B$421</definedName>
    <definedName name="ProductId216">'Бланк заказа'!$B$422:$B$422</definedName>
    <definedName name="ProductId217">'Бланк заказа'!$B$426:$B$426</definedName>
    <definedName name="ProductId218">'Бланк заказа'!$B$431:$B$431</definedName>
    <definedName name="ProductId219">'Бланк заказа'!$B$432:$B$432</definedName>
    <definedName name="ProductId22">'Бланк заказа'!$B$63:$B$63</definedName>
    <definedName name="ProductId220">'Бланк заказа'!$B$436:$B$436</definedName>
    <definedName name="ProductId221">'Бланк заказа'!$B$440:$B$440</definedName>
    <definedName name="ProductId222">'Бланк заказа'!$B$441:$B$441</definedName>
    <definedName name="ProductId223">'Бланк заказа'!$B$442:$B$442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заказа'!$B$457:$B$457</definedName>
    <definedName name="ProductId231">'Бланк заказа'!$B$458:$B$458</definedName>
    <definedName name="ProductId232">'Бланк заказа'!$B$463:$B$463</definedName>
    <definedName name="ProductId233">'Бланк заказа'!$B$467:$B$467</definedName>
    <definedName name="ProductId234">'Бланк заказа'!$B$468:$B$468</definedName>
    <definedName name="ProductId235">'Бланк заказа'!$B$469:$B$469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заказа'!$B$505:$B$505</definedName>
    <definedName name="ProductId256">'Бланк заказа'!$B$509:$B$509</definedName>
    <definedName name="ProductId257">'Бланк заказа'!$B$513:$B$513</definedName>
    <definedName name="ProductId258">'Бланк заказа'!$B$514:$B$514</definedName>
    <definedName name="ProductId259">'Бланк заказа'!$B$518:$B$518</definedName>
    <definedName name="ProductId26">'Бланк заказа'!$B$67:$B$67</definedName>
    <definedName name="ProductId260">'Бланк заказа'!$B$522:$B$522</definedName>
    <definedName name="ProductId261">'Бланк заказа'!$B$523:$B$523</definedName>
    <definedName name="ProductId262">'Бланк заказа'!$B$528:$B$528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заказа'!$X$372:$X$372</definedName>
    <definedName name="SalesQty191">'Бланк заказа'!$X$376:$X$376</definedName>
    <definedName name="SalesQty192">'Бланк заказа'!$X$377:$X$377</definedName>
    <definedName name="SalesQty193">'Бланк заказа'!$X$378:$X$378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заказа'!$X$385:$X$385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заказа'!$X$391:$X$391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заказа'!$X$411:$X$411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заказа'!$X$421:$X$421</definedName>
    <definedName name="SalesQty216">'Бланк заказа'!$X$422:$X$422</definedName>
    <definedName name="SalesQty217">'Бланк заказа'!$X$426:$X$426</definedName>
    <definedName name="SalesQty218">'Бланк заказа'!$X$431:$X$431</definedName>
    <definedName name="SalesQty219">'Бланк заказа'!$X$432:$X$432</definedName>
    <definedName name="SalesQty22">'Бланк заказа'!$X$63:$X$63</definedName>
    <definedName name="SalesQty220">'Бланк заказа'!$X$436:$X$436</definedName>
    <definedName name="SalesQty221">'Бланк заказа'!$X$440:$X$440</definedName>
    <definedName name="SalesQty222">'Бланк заказа'!$X$441:$X$441</definedName>
    <definedName name="SalesQty223">'Бланк заказа'!$X$442:$X$442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заказа'!$X$457:$X$457</definedName>
    <definedName name="SalesQty231">'Бланк заказа'!$X$458:$X$458</definedName>
    <definedName name="SalesQty232">'Бланк заказа'!$X$463:$X$463</definedName>
    <definedName name="SalesQty233">'Бланк заказа'!$X$467:$X$467</definedName>
    <definedName name="SalesQty234">'Бланк заказа'!$X$468:$X$468</definedName>
    <definedName name="SalesQty235">'Бланк заказа'!$X$469:$X$469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заказа'!$X$505:$X$505</definedName>
    <definedName name="SalesQty256">'Бланк заказа'!$X$509:$X$509</definedName>
    <definedName name="SalesQty257">'Бланк заказа'!$X$513:$X$513</definedName>
    <definedName name="SalesQty258">'Бланк заказа'!$X$514:$X$514</definedName>
    <definedName name="SalesQty259">'Бланк заказа'!$X$518:$X$518</definedName>
    <definedName name="SalesQty26">'Бланк заказа'!$X$67:$X$67</definedName>
    <definedName name="SalesQty260">'Бланк заказа'!$X$522:$X$522</definedName>
    <definedName name="SalesQty261">'Бланк заказа'!$X$523:$X$523</definedName>
    <definedName name="SalesQty262">'Бланк заказа'!$X$528:$X$528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заказа'!$Y$372:$Y$372</definedName>
    <definedName name="SalesRoundBox191">'Бланк заказа'!$Y$376:$Y$376</definedName>
    <definedName name="SalesRoundBox192">'Бланк заказа'!$Y$377:$Y$377</definedName>
    <definedName name="SalesRoundBox193">'Бланк заказа'!$Y$378:$Y$378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заказа'!$Y$385:$Y$385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заказа'!$Y$391:$Y$391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заказа'!$Y$411:$Y$411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заказа'!$Y$421:$Y$421</definedName>
    <definedName name="SalesRoundBox216">'Бланк заказа'!$Y$422:$Y$422</definedName>
    <definedName name="SalesRoundBox217">'Бланк заказа'!$Y$426:$Y$426</definedName>
    <definedName name="SalesRoundBox218">'Бланк заказа'!$Y$431:$Y$431</definedName>
    <definedName name="SalesRoundBox219">'Бланк заказа'!$Y$432:$Y$432</definedName>
    <definedName name="SalesRoundBox22">'Бланк заказа'!$Y$63:$Y$63</definedName>
    <definedName name="SalesRoundBox220">'Бланк заказа'!$Y$436:$Y$436</definedName>
    <definedName name="SalesRoundBox221">'Бланк заказа'!$Y$440:$Y$440</definedName>
    <definedName name="SalesRoundBox222">'Бланк заказа'!$Y$441:$Y$441</definedName>
    <definedName name="SalesRoundBox223">'Бланк заказа'!$Y$442:$Y$442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заказа'!$Y$457:$Y$457</definedName>
    <definedName name="SalesRoundBox231">'Бланк заказа'!$Y$458:$Y$458</definedName>
    <definedName name="SalesRoundBox232">'Бланк заказа'!$Y$463:$Y$463</definedName>
    <definedName name="SalesRoundBox233">'Бланк заказа'!$Y$467:$Y$467</definedName>
    <definedName name="SalesRoundBox234">'Бланк заказа'!$Y$468:$Y$468</definedName>
    <definedName name="SalesRoundBox235">'Бланк заказа'!$Y$469:$Y$469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заказа'!$Y$505:$Y$505</definedName>
    <definedName name="SalesRoundBox256">'Бланк заказа'!$Y$509:$Y$509</definedName>
    <definedName name="SalesRoundBox257">'Бланк заказа'!$Y$513:$Y$513</definedName>
    <definedName name="SalesRoundBox258">'Бланк заказа'!$Y$514:$Y$514</definedName>
    <definedName name="SalesRoundBox259">'Бланк заказа'!$Y$518:$Y$518</definedName>
    <definedName name="SalesRoundBox26">'Бланк заказа'!$Y$67:$Y$67</definedName>
    <definedName name="SalesRoundBox260">'Бланк заказа'!$Y$522:$Y$522</definedName>
    <definedName name="SalesRoundBox261">'Бланк заказа'!$Y$523:$Y$523</definedName>
    <definedName name="SalesRoundBox262">'Бланк заказа'!$Y$528:$Y$528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заказа'!$W$372:$W$372</definedName>
    <definedName name="UnitOfMeasure191">'Бланк заказа'!$W$376:$W$376</definedName>
    <definedName name="UnitOfMeasure192">'Бланк заказа'!$W$377:$W$377</definedName>
    <definedName name="UnitOfMeasure193">'Бланк заказа'!$W$378:$W$378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заказа'!$W$385:$W$385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заказа'!$W$391:$W$391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заказа'!$W$411:$W$411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заказа'!$W$421:$W$421</definedName>
    <definedName name="UnitOfMeasure216">'Бланк заказа'!$W$422:$W$422</definedName>
    <definedName name="UnitOfMeasure217">'Бланк заказа'!$W$426:$W$426</definedName>
    <definedName name="UnitOfMeasure218">'Бланк заказа'!$W$431:$W$431</definedName>
    <definedName name="UnitOfMeasure219">'Бланк заказа'!$W$432:$W$432</definedName>
    <definedName name="UnitOfMeasure22">'Бланк заказа'!$W$63:$W$63</definedName>
    <definedName name="UnitOfMeasure220">'Бланк заказа'!$W$436:$W$436</definedName>
    <definedName name="UnitOfMeasure221">'Бланк заказа'!$W$440:$W$440</definedName>
    <definedName name="UnitOfMeasure222">'Бланк заказа'!$W$441:$W$441</definedName>
    <definedName name="UnitOfMeasure223">'Бланк заказа'!$W$442:$W$442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заказа'!$W$457:$W$457</definedName>
    <definedName name="UnitOfMeasure231">'Бланк заказа'!$W$458:$W$458</definedName>
    <definedName name="UnitOfMeasure232">'Бланк заказа'!$W$463:$W$463</definedName>
    <definedName name="UnitOfMeasure233">'Бланк заказа'!$W$467:$W$467</definedName>
    <definedName name="UnitOfMeasure234">'Бланк заказа'!$W$468:$W$468</definedName>
    <definedName name="UnitOfMeasure235">'Бланк заказа'!$W$469:$W$469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заказа'!$W$505:$W$505</definedName>
    <definedName name="UnitOfMeasure256">'Бланк заказа'!$W$509:$W$509</definedName>
    <definedName name="UnitOfMeasure257">'Бланк заказа'!$W$513:$W$513</definedName>
    <definedName name="UnitOfMeasure258">'Бланк заказа'!$W$514:$W$514</definedName>
    <definedName name="UnitOfMeasure259">'Бланк заказа'!$W$518:$W$518</definedName>
    <definedName name="UnitOfMeasure26">'Бланк заказа'!$W$67:$W$67</definedName>
    <definedName name="UnitOfMeasure260">'Бланк заказа'!$W$522:$W$522</definedName>
    <definedName name="UnitOfMeasure261">'Бланк заказа'!$W$523:$W$523</definedName>
    <definedName name="UnitOfMeasure262">'Бланк заказа'!$W$528:$W$528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0" i="2" l="1"/>
  <c r="X529" i="2"/>
  <c r="BO528" i="2"/>
  <c r="BM528" i="2"/>
  <c r="Y528" i="2"/>
  <c r="AB541" i="2" s="1"/>
  <c r="P528" i="2"/>
  <c r="X525" i="2"/>
  <c r="X524" i="2"/>
  <c r="BO523" i="2"/>
  <c r="BM523" i="2"/>
  <c r="Y523" i="2"/>
  <c r="BP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X507" i="2"/>
  <c r="X506" i="2"/>
  <c r="BO505" i="2"/>
  <c r="BM505" i="2"/>
  <c r="Y505" i="2"/>
  <c r="Y506" i="2" s="1"/>
  <c r="P505" i="2"/>
  <c r="X501" i="2"/>
  <c r="X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Z463" i="2" s="1"/>
  <c r="Z464" i="2" s="1"/>
  <c r="P463" i="2"/>
  <c r="X460" i="2"/>
  <c r="X459" i="2"/>
  <c r="BO458" i="2"/>
  <c r="BM458" i="2"/>
  <c r="Y458" i="2"/>
  <c r="BN458" i="2" s="1"/>
  <c r="P458" i="2"/>
  <c r="BO457" i="2"/>
  <c r="BM457" i="2"/>
  <c r="Y457" i="2"/>
  <c r="Z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BP448" i="2" s="1"/>
  <c r="P448" i="2"/>
  <c r="X444" i="2"/>
  <c r="X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Y444" i="2" s="1"/>
  <c r="P440" i="2"/>
  <c r="X438" i="2"/>
  <c r="X437" i="2"/>
  <c r="BO436" i="2"/>
  <c r="BM436" i="2"/>
  <c r="Y436" i="2"/>
  <c r="Y438" i="2" s="1"/>
  <c r="P436" i="2"/>
  <c r="X434" i="2"/>
  <c r="X433" i="2"/>
  <c r="BO432" i="2"/>
  <c r="BM432" i="2"/>
  <c r="Y432" i="2"/>
  <c r="BP432" i="2" s="1"/>
  <c r="P432" i="2"/>
  <c r="BO431" i="2"/>
  <c r="BM431" i="2"/>
  <c r="Y431" i="2"/>
  <c r="Y433" i="2" s="1"/>
  <c r="P431" i="2"/>
  <c r="X428" i="2"/>
  <c r="X427" i="2"/>
  <c r="BO426" i="2"/>
  <c r="BM426" i="2"/>
  <c r="Y426" i="2"/>
  <c r="Y428" i="2" s="1"/>
  <c r="P426" i="2"/>
  <c r="X424" i="2"/>
  <c r="X423" i="2"/>
  <c r="BO422" i="2"/>
  <c r="BM422" i="2"/>
  <c r="Y422" i="2"/>
  <c r="BN422" i="2" s="1"/>
  <c r="P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Z415" i="2" s="1"/>
  <c r="P415" i="2"/>
  <c r="X413" i="2"/>
  <c r="X412" i="2"/>
  <c r="BO411" i="2"/>
  <c r="BM411" i="2"/>
  <c r="Y411" i="2"/>
  <c r="P411" i="2"/>
  <c r="BO410" i="2"/>
  <c r="BM410" i="2"/>
  <c r="Y410" i="2"/>
  <c r="Z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P406" i="2"/>
  <c r="BO405" i="2"/>
  <c r="BM405" i="2"/>
  <c r="Y405" i="2"/>
  <c r="Z405" i="2" s="1"/>
  <c r="P405" i="2"/>
  <c r="BO404" i="2"/>
  <c r="BM404" i="2"/>
  <c r="Y404" i="2"/>
  <c r="P404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U541" i="2" s="1"/>
  <c r="P396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N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X380" i="2"/>
  <c r="X379" i="2"/>
  <c r="BO378" i="2"/>
  <c r="BM378" i="2"/>
  <c r="Y378" i="2"/>
  <c r="BN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N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Z350" i="2" s="1"/>
  <c r="P350" i="2"/>
  <c r="X347" i="2"/>
  <c r="X346" i="2"/>
  <c r="BO345" i="2"/>
  <c r="BM345" i="2"/>
  <c r="Y345" i="2"/>
  <c r="BN345" i="2" s="1"/>
  <c r="P345" i="2"/>
  <c r="BO344" i="2"/>
  <c r="BM344" i="2"/>
  <c r="Y344" i="2"/>
  <c r="Z344" i="2" s="1"/>
  <c r="P344" i="2"/>
  <c r="BO343" i="2"/>
  <c r="BM343" i="2"/>
  <c r="Y343" i="2"/>
  <c r="BP343" i="2" s="1"/>
  <c r="P343" i="2"/>
  <c r="X340" i="2"/>
  <c r="X339" i="2"/>
  <c r="BO338" i="2"/>
  <c r="BM338" i="2"/>
  <c r="Y338" i="2"/>
  <c r="P338" i="2"/>
  <c r="BO337" i="2"/>
  <c r="BM337" i="2"/>
  <c r="Y337" i="2"/>
  <c r="P337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BN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BO314" i="2"/>
  <c r="BM314" i="2"/>
  <c r="Y314" i="2"/>
  <c r="Z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Z308" i="2" s="1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2" i="2"/>
  <c r="X301" i="2"/>
  <c r="BO300" i="2"/>
  <c r="BM300" i="2"/>
  <c r="Y300" i="2"/>
  <c r="BP300" i="2" s="1"/>
  <c r="P300" i="2"/>
  <c r="X298" i="2"/>
  <c r="X297" i="2"/>
  <c r="BO296" i="2"/>
  <c r="BM296" i="2"/>
  <c r="Y296" i="2"/>
  <c r="Y298" i="2" s="1"/>
  <c r="P296" i="2"/>
  <c r="X294" i="2"/>
  <c r="X293" i="2"/>
  <c r="BO292" i="2"/>
  <c r="BM292" i="2"/>
  <c r="Y292" i="2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BN281" i="2" s="1"/>
  <c r="P281" i="2"/>
  <c r="BO280" i="2"/>
  <c r="BM280" i="2"/>
  <c r="Y280" i="2"/>
  <c r="P280" i="2"/>
  <c r="X278" i="2"/>
  <c r="X277" i="2"/>
  <c r="BO276" i="2"/>
  <c r="BM276" i="2"/>
  <c r="Y276" i="2"/>
  <c r="BN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N267" i="2" s="1"/>
  <c r="P267" i="2"/>
  <c r="BO266" i="2"/>
  <c r="BM266" i="2"/>
  <c r="Y266" i="2"/>
  <c r="BN266" i="2" s="1"/>
  <c r="P266" i="2"/>
  <c r="BO265" i="2"/>
  <c r="BM265" i="2"/>
  <c r="Y265" i="2"/>
  <c r="P265" i="2"/>
  <c r="X263" i="2"/>
  <c r="X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Z250" i="2" s="1"/>
  <c r="P250" i="2"/>
  <c r="BO249" i="2"/>
  <c r="BM249" i="2"/>
  <c r="Y249" i="2"/>
  <c r="P249" i="2"/>
  <c r="X247" i="2"/>
  <c r="X246" i="2"/>
  <c r="BO245" i="2"/>
  <c r="BM245" i="2"/>
  <c r="Y245" i="2"/>
  <c r="Z245" i="2" s="1"/>
  <c r="P245" i="2"/>
  <c r="BO244" i="2"/>
  <c r="BM244" i="2"/>
  <c r="Y244" i="2"/>
  <c r="Y247" i="2" s="1"/>
  <c r="P244" i="2"/>
  <c r="X241" i="2"/>
  <c r="X240" i="2"/>
  <c r="BO239" i="2"/>
  <c r="BM239" i="2"/>
  <c r="Y239" i="2"/>
  <c r="P239" i="2"/>
  <c r="X237" i="2"/>
  <c r="X236" i="2"/>
  <c r="BO235" i="2"/>
  <c r="BM235" i="2"/>
  <c r="Y235" i="2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X226" i="2"/>
  <c r="X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Z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X204" i="2"/>
  <c r="X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Z193" i="2" s="1"/>
  <c r="Z194" i="2" s="1"/>
  <c r="P193" i="2"/>
  <c r="X191" i="2"/>
  <c r="X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P169" i="2"/>
  <c r="X167" i="2"/>
  <c r="X166" i="2"/>
  <c r="BO165" i="2"/>
  <c r="BM165" i="2"/>
  <c r="Y165" i="2"/>
  <c r="Y167" i="2" s="1"/>
  <c r="P165" i="2"/>
  <c r="X163" i="2"/>
  <c r="X162" i="2"/>
  <c r="BO161" i="2"/>
  <c r="BM161" i="2"/>
  <c r="Y161" i="2"/>
  <c r="P161" i="2"/>
  <c r="BO160" i="2"/>
  <c r="BM160" i="2"/>
  <c r="Y160" i="2"/>
  <c r="P160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P92" i="2"/>
  <c r="BO91" i="2"/>
  <c r="BM91" i="2"/>
  <c r="Y91" i="2"/>
  <c r="BP91" i="2" s="1"/>
  <c r="P91" i="2"/>
  <c r="X88" i="2"/>
  <c r="X87" i="2"/>
  <c r="BO86" i="2"/>
  <c r="BM86" i="2"/>
  <c r="Y86" i="2"/>
  <c r="BN86" i="2" s="1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Z76" i="2" s="1"/>
  <c r="P76" i="2"/>
  <c r="BO75" i="2"/>
  <c r="BM75" i="2"/>
  <c r="Y75" i="2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P64" i="2"/>
  <c r="BO63" i="2"/>
  <c r="BM63" i="2"/>
  <c r="Y63" i="2"/>
  <c r="BP63" i="2" s="1"/>
  <c r="P63" i="2"/>
  <c r="X60" i="2"/>
  <c r="X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Z55" i="2" s="1"/>
  <c r="P55" i="2"/>
  <c r="X51" i="2"/>
  <c r="X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BO46" i="2"/>
  <c r="BM46" i="2"/>
  <c r="Y46" i="2"/>
  <c r="P46" i="2"/>
  <c r="X42" i="2"/>
  <c r="X41" i="2"/>
  <c r="BO40" i="2"/>
  <c r="BM40" i="2"/>
  <c r="Y40" i="2"/>
  <c r="P40" i="2"/>
  <c r="X38" i="2"/>
  <c r="X37" i="2"/>
  <c r="BO36" i="2"/>
  <c r="BM36" i="2"/>
  <c r="Y36" i="2"/>
  <c r="P36" i="2"/>
  <c r="BO35" i="2"/>
  <c r="BM35" i="2"/>
  <c r="Y35" i="2"/>
  <c r="Z35" i="2" s="1"/>
  <c r="P35" i="2"/>
  <c r="BO34" i="2"/>
  <c r="BM34" i="2"/>
  <c r="Y34" i="2"/>
  <c r="Z34" i="2" s="1"/>
  <c r="P34" i="2"/>
  <c r="BO33" i="2"/>
  <c r="BM33" i="2"/>
  <c r="Y33" i="2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X26" i="2"/>
  <c r="X25" i="2"/>
  <c r="BO24" i="2"/>
  <c r="BM24" i="2"/>
  <c r="Y24" i="2"/>
  <c r="Z24" i="2" s="1"/>
  <c r="P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Z256" i="2" l="1"/>
  <c r="BN256" i="2"/>
  <c r="BP31" i="2"/>
  <c r="BP382" i="2"/>
  <c r="BP170" i="2"/>
  <c r="Z513" i="2"/>
  <c r="BN513" i="2"/>
  <c r="Z117" i="2"/>
  <c r="BN117" i="2"/>
  <c r="BP267" i="2"/>
  <c r="Z372" i="2"/>
  <c r="BN372" i="2"/>
  <c r="Z376" i="2"/>
  <c r="BN376" i="2"/>
  <c r="Z432" i="2"/>
  <c r="BN432" i="2"/>
  <c r="Y301" i="2"/>
  <c r="Z29" i="2"/>
  <c r="BN29" i="2"/>
  <c r="BP49" i="2"/>
  <c r="Z154" i="2"/>
  <c r="BN154" i="2"/>
  <c r="BP214" i="2"/>
  <c r="BP258" i="2"/>
  <c r="Y310" i="2"/>
  <c r="BP378" i="2"/>
  <c r="Z385" i="2"/>
  <c r="BN385" i="2"/>
  <c r="BP477" i="2"/>
  <c r="Y519" i="2"/>
  <c r="Z522" i="2"/>
  <c r="B541" i="2"/>
  <c r="BP22" i="2"/>
  <c r="BN28" i="2"/>
  <c r="BN30" i="2"/>
  <c r="BN32" i="2"/>
  <c r="BP32" i="2"/>
  <c r="BP36" i="2"/>
  <c r="BN36" i="2"/>
  <c r="Z36" i="2"/>
  <c r="Y42" i="2"/>
  <c r="Y41" i="2"/>
  <c r="BP40" i="2"/>
  <c r="BN40" i="2"/>
  <c r="Z40" i="2"/>
  <c r="Z41" i="2" s="1"/>
  <c r="BN48" i="2"/>
  <c r="BP48" i="2"/>
  <c r="BN67" i="2"/>
  <c r="BN99" i="2"/>
  <c r="BN110" i="2"/>
  <c r="BN125" i="2"/>
  <c r="BP127" i="2"/>
  <c r="BN127" i="2"/>
  <c r="Z127" i="2"/>
  <c r="Y133" i="2"/>
  <c r="Y132" i="2"/>
  <c r="BP131" i="2"/>
  <c r="BN131" i="2"/>
  <c r="Z131" i="2"/>
  <c r="Z132" i="2" s="1"/>
  <c r="Y148" i="2"/>
  <c r="BP146" i="2"/>
  <c r="BN172" i="2"/>
  <c r="BP174" i="2"/>
  <c r="BN174" i="2"/>
  <c r="Z174" i="2"/>
  <c r="BP178" i="2"/>
  <c r="BN178" i="2"/>
  <c r="Z178" i="2"/>
  <c r="BN188" i="2"/>
  <c r="BN201" i="2"/>
  <c r="BN215" i="2"/>
  <c r="BP215" i="2"/>
  <c r="BN223" i="2"/>
  <c r="Z223" i="2"/>
  <c r="BP229" i="2"/>
  <c r="BN229" i="2"/>
  <c r="Z229" i="2"/>
  <c r="BN234" i="2"/>
  <c r="BP234" i="2"/>
  <c r="BN254" i="2"/>
  <c r="BN257" i="2"/>
  <c r="BP257" i="2"/>
  <c r="BP56" i="2"/>
  <c r="BN56" i="2"/>
  <c r="Z56" i="2"/>
  <c r="BN63" i="2"/>
  <c r="Y83" i="2"/>
  <c r="BN85" i="2"/>
  <c r="BN106" i="2"/>
  <c r="BN116" i="2"/>
  <c r="BN169" i="2"/>
  <c r="BP169" i="2"/>
  <c r="BP213" i="2"/>
  <c r="BN213" i="2"/>
  <c r="Z213" i="2"/>
  <c r="BN261" i="2"/>
  <c r="BN271" i="2"/>
  <c r="BN308" i="2"/>
  <c r="BN350" i="2"/>
  <c r="BN365" i="2"/>
  <c r="Y379" i="2"/>
  <c r="Z397" i="2"/>
  <c r="BN398" i="2"/>
  <c r="BN407" i="2"/>
  <c r="BN415" i="2"/>
  <c r="BP422" i="2"/>
  <c r="Z448" i="2"/>
  <c r="BN448" i="2"/>
  <c r="BN449" i="2"/>
  <c r="BP452" i="2"/>
  <c r="BN457" i="2"/>
  <c r="BN467" i="2"/>
  <c r="BP482" i="2"/>
  <c r="BN489" i="2"/>
  <c r="BN518" i="2"/>
  <c r="BN314" i="2"/>
  <c r="BN24" i="2"/>
  <c r="BN34" i="2"/>
  <c r="BN57" i="2"/>
  <c r="BN66" i="2"/>
  <c r="BN76" i="2"/>
  <c r="BN91" i="2"/>
  <c r="BN100" i="2"/>
  <c r="BN107" i="2"/>
  <c r="BN112" i="2"/>
  <c r="BN120" i="2"/>
  <c r="I541" i="2"/>
  <c r="BN182" i="2"/>
  <c r="BN211" i="2"/>
  <c r="BN218" i="2"/>
  <c r="BN224" i="2"/>
  <c r="BN245" i="2"/>
  <c r="BN250" i="2"/>
  <c r="BN275" i="2"/>
  <c r="BP289" i="2"/>
  <c r="BN291" i="2"/>
  <c r="Z296" i="2"/>
  <c r="Z297" i="2" s="1"/>
  <c r="BN296" i="2"/>
  <c r="BP296" i="2"/>
  <c r="Y297" i="2"/>
  <c r="BN300" i="2"/>
  <c r="BN304" i="2"/>
  <c r="BN316" i="2"/>
  <c r="Z331" i="2"/>
  <c r="BN331" i="2"/>
  <c r="BN332" i="2"/>
  <c r="BP333" i="2"/>
  <c r="BN344" i="2"/>
  <c r="BN352" i="2"/>
  <c r="Z361" i="2"/>
  <c r="BN361" i="2"/>
  <c r="BP377" i="2"/>
  <c r="BN405" i="2"/>
  <c r="BN410" i="2"/>
  <c r="BN463" i="2"/>
  <c r="BN479" i="2"/>
  <c r="BN494" i="2"/>
  <c r="Z177" i="2"/>
  <c r="BN177" i="2"/>
  <c r="BN239" i="2"/>
  <c r="BP239" i="2"/>
  <c r="Z260" i="2"/>
  <c r="BN260" i="2"/>
  <c r="BP265" i="2"/>
  <c r="Z265" i="2"/>
  <c r="Z270" i="2"/>
  <c r="BN270" i="2"/>
  <c r="BP315" i="2"/>
  <c r="BN315" i="2"/>
  <c r="Z370" i="2"/>
  <c r="BN370" i="2"/>
  <c r="BP442" i="2"/>
  <c r="Z442" i="2"/>
  <c r="Z481" i="2"/>
  <c r="BN481" i="2"/>
  <c r="Y500" i="2"/>
  <c r="BN493" i="2"/>
  <c r="BP493" i="2"/>
  <c r="Y78" i="2"/>
  <c r="Z86" i="2"/>
  <c r="Z173" i="2"/>
  <c r="BN173" i="2"/>
  <c r="BN189" i="2"/>
  <c r="BP189" i="2"/>
  <c r="Z202" i="2"/>
  <c r="BP212" i="2"/>
  <c r="BP222" i="2"/>
  <c r="BN235" i="2"/>
  <c r="BP235" i="2"/>
  <c r="Y236" i="2"/>
  <c r="BP255" i="2"/>
  <c r="BP266" i="2"/>
  <c r="Z276" i="2"/>
  <c r="Y293" i="2"/>
  <c r="BP287" i="2"/>
  <c r="Z287" i="2"/>
  <c r="Y318" i="2"/>
  <c r="BN323" i="2"/>
  <c r="BP323" i="2"/>
  <c r="Z330" i="2"/>
  <c r="BN338" i="2"/>
  <c r="BP338" i="2"/>
  <c r="BP359" i="2"/>
  <c r="Y367" i="2"/>
  <c r="Z360" i="2"/>
  <c r="BN360" i="2"/>
  <c r="Y393" i="2"/>
  <c r="BN389" i="2"/>
  <c r="BP406" i="2"/>
  <c r="Z406" i="2"/>
  <c r="BP411" i="2"/>
  <c r="Z411" i="2"/>
  <c r="Y427" i="2"/>
  <c r="Y437" i="2"/>
  <c r="Z458" i="2"/>
  <c r="BP468" i="2"/>
  <c r="Z468" i="2"/>
  <c r="Z541" i="2"/>
  <c r="Z493" i="2"/>
  <c r="Z509" i="2"/>
  <c r="Z510" i="2" s="1"/>
  <c r="BN509" i="2"/>
  <c r="BP514" i="2"/>
  <c r="Z514" i="2"/>
  <c r="Y88" i="2"/>
  <c r="Z207" i="2"/>
  <c r="Z208" i="2" s="1"/>
  <c r="Y208" i="2"/>
  <c r="BN207" i="2"/>
  <c r="BP217" i="2"/>
  <c r="BP276" i="2"/>
  <c r="BP292" i="2"/>
  <c r="BN292" i="2"/>
  <c r="BP351" i="2"/>
  <c r="BN351" i="2"/>
  <c r="F9" i="2"/>
  <c r="BP35" i="2"/>
  <c r="BP55" i="2"/>
  <c r="Y70" i="2"/>
  <c r="Z73" i="2"/>
  <c r="Z111" i="2"/>
  <c r="BP111" i="2"/>
  <c r="BP155" i="2"/>
  <c r="Z155" i="2"/>
  <c r="H9" i="2"/>
  <c r="Z63" i="2"/>
  <c r="Z67" i="2"/>
  <c r="BN68" i="2"/>
  <c r="BP76" i="2"/>
  <c r="Z107" i="2"/>
  <c r="Y156" i="2"/>
  <c r="BP182" i="2"/>
  <c r="BN183" i="2"/>
  <c r="BP184" i="2"/>
  <c r="BN184" i="2"/>
  <c r="Y204" i="2"/>
  <c r="BP201" i="2"/>
  <c r="Y209" i="2"/>
  <c r="Z212" i="2"/>
  <c r="BN217" i="2"/>
  <c r="BP218" i="2"/>
  <c r="BN228" i="2"/>
  <c r="Y237" i="2"/>
  <c r="BN233" i="2"/>
  <c r="BP233" i="2"/>
  <c r="BP249" i="2"/>
  <c r="Y252" i="2"/>
  <c r="BP250" i="2"/>
  <c r="Z255" i="2"/>
  <c r="BN265" i="2"/>
  <c r="Z266" i="2"/>
  <c r="BP272" i="2"/>
  <c r="BN272" i="2"/>
  <c r="BN288" i="2"/>
  <c r="BP288" i="2"/>
  <c r="BP305" i="2"/>
  <c r="BN305" i="2"/>
  <c r="Z355" i="2"/>
  <c r="BN355" i="2"/>
  <c r="BP384" i="2"/>
  <c r="BP409" i="2"/>
  <c r="Z416" i="2"/>
  <c r="BP417" i="2"/>
  <c r="Z417" i="2"/>
  <c r="BN442" i="2"/>
  <c r="Y471" i="2"/>
  <c r="BN469" i="2"/>
  <c r="Y515" i="2"/>
  <c r="Y529" i="2"/>
  <c r="BP183" i="2"/>
  <c r="BP202" i="2"/>
  <c r="BP219" i="2"/>
  <c r="BN219" i="2"/>
  <c r="BN268" i="2"/>
  <c r="BP268" i="2"/>
  <c r="Z280" i="2"/>
  <c r="BN280" i="2"/>
  <c r="BP330" i="2"/>
  <c r="BP345" i="2"/>
  <c r="Z345" i="2"/>
  <c r="BP362" i="2"/>
  <c r="Z362" i="2"/>
  <c r="Y443" i="2"/>
  <c r="BP440" i="2"/>
  <c r="BP458" i="2"/>
  <c r="Y490" i="2"/>
  <c r="Y491" i="2"/>
  <c r="BP86" i="2"/>
  <c r="Z126" i="2"/>
  <c r="BN126" i="2"/>
  <c r="BP24" i="2"/>
  <c r="Z30" i="2"/>
  <c r="BP34" i="2"/>
  <c r="BN35" i="2"/>
  <c r="BN55" i="2"/>
  <c r="E541" i="2"/>
  <c r="BP66" i="2"/>
  <c r="BN73" i="2"/>
  <c r="Z81" i="2"/>
  <c r="BP81" i="2"/>
  <c r="BN94" i="2"/>
  <c r="BP94" i="2"/>
  <c r="Z100" i="2"/>
  <c r="BN101" i="2"/>
  <c r="BP152" i="2"/>
  <c r="BN153" i="2"/>
  <c r="BN155" i="2"/>
  <c r="Y166" i="2"/>
  <c r="BP177" i="2"/>
  <c r="Z184" i="2"/>
  <c r="Z185" i="2" s="1"/>
  <c r="Y185" i="2"/>
  <c r="Z188" i="2"/>
  <c r="BP207" i="2"/>
  <c r="BN222" i="2"/>
  <c r="BP223" i="2"/>
  <c r="Y230" i="2"/>
  <c r="Z233" i="2"/>
  <c r="Z254" i="2"/>
  <c r="BP260" i="2"/>
  <c r="BP270" i="2"/>
  <c r="Z272" i="2"/>
  <c r="BP280" i="2"/>
  <c r="BN287" i="2"/>
  <c r="Z305" i="2"/>
  <c r="BP370" i="2"/>
  <c r="Z384" i="2"/>
  <c r="BP397" i="2"/>
  <c r="Z409" i="2"/>
  <c r="BN411" i="2"/>
  <c r="Y460" i="2"/>
  <c r="BN468" i="2"/>
  <c r="BP480" i="2"/>
  <c r="Z480" i="2"/>
  <c r="BP481" i="2"/>
  <c r="BP487" i="2"/>
  <c r="BN497" i="2"/>
  <c r="BP497" i="2"/>
  <c r="BP499" i="2"/>
  <c r="Z499" i="2"/>
  <c r="BN514" i="2"/>
  <c r="Z523" i="2"/>
  <c r="Z524" i="2" s="1"/>
  <c r="Y524" i="2"/>
  <c r="BP275" i="2"/>
  <c r="O541" i="2"/>
  <c r="BP291" i="2"/>
  <c r="BP308" i="2"/>
  <c r="BP350" i="2"/>
  <c r="Z418" i="2"/>
  <c r="BP415" i="2"/>
  <c r="Y424" i="2"/>
  <c r="Z459" i="2"/>
  <c r="BP457" i="2"/>
  <c r="BP463" i="2"/>
  <c r="Y470" i="2"/>
  <c r="AA541" i="2"/>
  <c r="BP505" i="2"/>
  <c r="Y507" i="2"/>
  <c r="X541" i="2"/>
  <c r="BP99" i="2"/>
  <c r="BP110" i="2"/>
  <c r="BP116" i="2"/>
  <c r="BP120" i="2"/>
  <c r="BP125" i="2"/>
  <c r="BP172" i="2"/>
  <c r="BP245" i="2"/>
  <c r="Y262" i="2"/>
  <c r="Y283" i="2"/>
  <c r="Z286" i="2"/>
  <c r="BP286" i="2"/>
  <c r="BP314" i="2"/>
  <c r="Z316" i="2"/>
  <c r="Y325" i="2"/>
  <c r="Z332" i="2"/>
  <c r="BP344" i="2"/>
  <c r="Z352" i="2"/>
  <c r="Y357" i="2"/>
  <c r="BP365" i="2"/>
  <c r="Z371" i="2"/>
  <c r="Y380" i="2"/>
  <c r="Y387" i="2"/>
  <c r="BP398" i="2"/>
  <c r="Y413" i="2"/>
  <c r="BP405" i="2"/>
  <c r="Z407" i="2"/>
  <c r="BP410" i="2"/>
  <c r="Y418" i="2"/>
  <c r="Z421" i="2"/>
  <c r="BP421" i="2"/>
  <c r="Y434" i="2"/>
  <c r="Y455" i="2"/>
  <c r="Z467" i="2"/>
  <c r="Z479" i="2"/>
  <c r="Z489" i="2"/>
  <c r="Z505" i="2"/>
  <c r="Z506" i="2" s="1"/>
  <c r="Y541" i="2"/>
  <c r="BP119" i="2"/>
  <c r="Z119" i="2"/>
  <c r="BN119" i="2"/>
  <c r="BP161" i="2"/>
  <c r="BN161" i="2"/>
  <c r="Y143" i="2"/>
  <c r="Z161" i="2"/>
  <c r="BP221" i="2"/>
  <c r="Z221" i="2"/>
  <c r="BN221" i="2"/>
  <c r="L541" i="2"/>
  <c r="X533" i="2"/>
  <c r="BP23" i="2"/>
  <c r="BN23" i="2"/>
  <c r="Z23" i="2"/>
  <c r="BP142" i="2"/>
  <c r="Z142" i="2"/>
  <c r="BN142" i="2"/>
  <c r="Y225" i="2"/>
  <c r="BP92" i="2"/>
  <c r="Z92" i="2"/>
  <c r="BN92" i="2"/>
  <c r="BP200" i="2"/>
  <c r="BN200" i="2"/>
  <c r="Z200" i="2"/>
  <c r="K541" i="2"/>
  <c r="BP33" i="2"/>
  <c r="BN33" i="2"/>
  <c r="Z33" i="2"/>
  <c r="Y37" i="2"/>
  <c r="Y122" i="2"/>
  <c r="Y139" i="2"/>
  <c r="H541" i="2"/>
  <c r="Y138" i="2"/>
  <c r="BP136" i="2"/>
  <c r="BN136" i="2"/>
  <c r="Z136" i="2"/>
  <c r="Z138" i="2" s="1"/>
  <c r="BP98" i="2"/>
  <c r="Z98" i="2"/>
  <c r="BN98" i="2"/>
  <c r="Y103" i="2"/>
  <c r="Y60" i="2"/>
  <c r="BP58" i="2"/>
  <c r="Z58" i="2"/>
  <c r="BN58" i="2"/>
  <c r="BP65" i="2"/>
  <c r="BN65" i="2"/>
  <c r="Y102" i="2"/>
  <c r="Y392" i="2"/>
  <c r="BP390" i="2"/>
  <c r="BN390" i="2"/>
  <c r="Z390" i="2"/>
  <c r="BP47" i="2"/>
  <c r="BN47" i="2"/>
  <c r="Z65" i="2"/>
  <c r="BP109" i="2"/>
  <c r="Z109" i="2"/>
  <c r="BN109" i="2"/>
  <c r="Y144" i="2"/>
  <c r="BP274" i="2"/>
  <c r="Z274" i="2"/>
  <c r="BN274" i="2"/>
  <c r="BP307" i="2"/>
  <c r="Z307" i="2"/>
  <c r="BN307" i="2"/>
  <c r="BP337" i="2"/>
  <c r="BN337" i="2"/>
  <c r="Z337" i="2"/>
  <c r="Y340" i="2"/>
  <c r="Y339" i="2"/>
  <c r="Z47" i="2"/>
  <c r="BP93" i="2"/>
  <c r="BN93" i="2"/>
  <c r="Y51" i="2"/>
  <c r="C541" i="2"/>
  <c r="Y50" i="2"/>
  <c r="BP46" i="2"/>
  <c r="Z46" i="2"/>
  <c r="BN46" i="2"/>
  <c r="X535" i="2"/>
  <c r="X531" i="2"/>
  <c r="Z93" i="2"/>
  <c r="G541" i="2"/>
  <c r="BP137" i="2"/>
  <c r="BN137" i="2"/>
  <c r="X532" i="2"/>
  <c r="Y26" i="2"/>
  <c r="Y59" i="2"/>
  <c r="BP244" i="2"/>
  <c r="Z244" i="2"/>
  <c r="Z246" i="2" s="1"/>
  <c r="BN244" i="2"/>
  <c r="Y246" i="2"/>
  <c r="M541" i="2"/>
  <c r="R541" i="2"/>
  <c r="BP391" i="2"/>
  <c r="BN391" i="2"/>
  <c r="Z391" i="2"/>
  <c r="BP69" i="2"/>
  <c r="Z69" i="2"/>
  <c r="BN69" i="2"/>
  <c r="Z75" i="2"/>
  <c r="BP75" i="2"/>
  <c r="BN75" i="2"/>
  <c r="Y113" i="2"/>
  <c r="Y163" i="2"/>
  <c r="Y162" i="2"/>
  <c r="BP160" i="2"/>
  <c r="Z160" i="2"/>
  <c r="BN160" i="2"/>
  <c r="J541" i="2"/>
  <c r="BP176" i="2"/>
  <c r="Z176" i="2"/>
  <c r="BN176" i="2"/>
  <c r="Y195" i="2"/>
  <c r="Y194" i="2"/>
  <c r="BP193" i="2"/>
  <c r="BN193" i="2"/>
  <c r="Y128" i="2"/>
  <c r="Y373" i="2"/>
  <c r="Z74" i="2"/>
  <c r="Y334" i="2"/>
  <c r="Z363" i="2"/>
  <c r="Z396" i="2"/>
  <c r="Z399" i="2" s="1"/>
  <c r="Z408" i="2"/>
  <c r="Y501" i="2"/>
  <c r="Z32" i="2"/>
  <c r="Y95" i="2"/>
  <c r="Y114" i="2"/>
  <c r="Z146" i="2"/>
  <c r="Z215" i="2"/>
  <c r="Y226" i="2"/>
  <c r="Z235" i="2"/>
  <c r="Y240" i="2"/>
  <c r="Z258" i="2"/>
  <c r="Z268" i="2"/>
  <c r="Z289" i="2"/>
  <c r="Y302" i="2"/>
  <c r="Z323" i="2"/>
  <c r="Z378" i="2"/>
  <c r="Z436" i="2"/>
  <c r="Z437" i="2" s="1"/>
  <c r="BN450" i="2"/>
  <c r="BN475" i="2"/>
  <c r="Z483" i="2"/>
  <c r="BN495" i="2"/>
  <c r="BP509" i="2"/>
  <c r="Y520" i="2"/>
  <c r="Z475" i="2"/>
  <c r="Z118" i="2"/>
  <c r="Z165" i="2"/>
  <c r="Z166" i="2" s="1"/>
  <c r="Z175" i="2"/>
  <c r="Z306" i="2"/>
  <c r="Z353" i="2"/>
  <c r="Z22" i="2"/>
  <c r="Z170" i="2"/>
  <c r="Y38" i="2"/>
  <c r="Z49" i="2"/>
  <c r="BN64" i="2"/>
  <c r="BN74" i="2"/>
  <c r="Y77" i="2"/>
  <c r="BN108" i="2"/>
  <c r="BN118" i="2"/>
  <c r="Y121" i="2"/>
  <c r="Y129" i="2"/>
  <c r="BN141" i="2"/>
  <c r="Z152" i="2"/>
  <c r="BN165" i="2"/>
  <c r="BN175" i="2"/>
  <c r="Y186" i="2"/>
  <c r="BN199" i="2"/>
  <c r="BN220" i="2"/>
  <c r="Y231" i="2"/>
  <c r="BN273" i="2"/>
  <c r="BN306" i="2"/>
  <c r="Y309" i="2"/>
  <c r="BN317" i="2"/>
  <c r="Z329" i="2"/>
  <c r="BN353" i="2"/>
  <c r="Y356" i="2"/>
  <c r="BN363" i="2"/>
  <c r="Y366" i="2"/>
  <c r="Y374" i="2"/>
  <c r="Z383" i="2"/>
  <c r="BN396" i="2"/>
  <c r="Y399" i="2"/>
  <c r="BN408" i="2"/>
  <c r="Y419" i="2"/>
  <c r="BN431" i="2"/>
  <c r="Z441" i="2"/>
  <c r="Z453" i="2"/>
  <c r="Z478" i="2"/>
  <c r="Z488" i="2"/>
  <c r="Z498" i="2"/>
  <c r="Y525" i="2"/>
  <c r="Y326" i="2"/>
  <c r="Z64" i="2"/>
  <c r="Z108" i="2"/>
  <c r="Z273" i="2"/>
  <c r="Z431" i="2"/>
  <c r="Z433" i="2" s="1"/>
  <c r="BN22" i="2"/>
  <c r="Y25" i="2"/>
  <c r="Y335" i="2"/>
  <c r="BN436" i="2"/>
  <c r="BP450" i="2"/>
  <c r="Y464" i="2"/>
  <c r="BP475" i="2"/>
  <c r="BN483" i="2"/>
  <c r="BP495" i="2"/>
  <c r="Y510" i="2"/>
  <c r="P541" i="2"/>
  <c r="Y149" i="2"/>
  <c r="Z450" i="2"/>
  <c r="Z141" i="2"/>
  <c r="Y190" i="2"/>
  <c r="Z199" i="2"/>
  <c r="Z220" i="2"/>
  <c r="Z317" i="2"/>
  <c r="Y423" i="2"/>
  <c r="Y82" i="2"/>
  <c r="BN146" i="2"/>
  <c r="Y191" i="2"/>
  <c r="Y251" i="2"/>
  <c r="BP64" i="2"/>
  <c r="Y87" i="2"/>
  <c r="Y96" i="2"/>
  <c r="Z106" i="2"/>
  <c r="BP141" i="2"/>
  <c r="BN152" i="2"/>
  <c r="BP165" i="2"/>
  <c r="BP199" i="2"/>
  <c r="Z228" i="2"/>
  <c r="Z230" i="2" s="1"/>
  <c r="Y241" i="2"/>
  <c r="Z261" i="2"/>
  <c r="Z271" i="2"/>
  <c r="Z281" i="2"/>
  <c r="Z292" i="2"/>
  <c r="Z304" i="2"/>
  <c r="Z315" i="2"/>
  <c r="BN329" i="2"/>
  <c r="BN383" i="2"/>
  <c r="Y386" i="2"/>
  <c r="BP396" i="2"/>
  <c r="BP431" i="2"/>
  <c r="BN441" i="2"/>
  <c r="BN453" i="2"/>
  <c r="BN478" i="2"/>
  <c r="BN488" i="2"/>
  <c r="BN498" i="2"/>
  <c r="Q541" i="2"/>
  <c r="Y400" i="2"/>
  <c r="BP436" i="2"/>
  <c r="Z469" i="2"/>
  <c r="BN505" i="2"/>
  <c r="Z528" i="2"/>
  <c r="Z529" i="2" s="1"/>
  <c r="BN371" i="2"/>
  <c r="BN406" i="2"/>
  <c r="BN416" i="2"/>
  <c r="Z426" i="2"/>
  <c r="Z427" i="2" s="1"/>
  <c r="Z451" i="2"/>
  <c r="Y465" i="2"/>
  <c r="Z476" i="2"/>
  <c r="Z496" i="2"/>
  <c r="Y511" i="2"/>
  <c r="BN522" i="2"/>
  <c r="S541" i="2"/>
  <c r="Y484" i="2"/>
  <c r="Y516" i="2"/>
  <c r="BN528" i="2"/>
  <c r="T541" i="2"/>
  <c r="Z249" i="2"/>
  <c r="Z251" i="2" s="1"/>
  <c r="Z259" i="2"/>
  <c r="Z269" i="2"/>
  <c r="BP281" i="2"/>
  <c r="Z290" i="2"/>
  <c r="Z313" i="2"/>
  <c r="Z324" i="2"/>
  <c r="Z359" i="2"/>
  <c r="Z369" i="2"/>
  <c r="Z404" i="2"/>
  <c r="BN426" i="2"/>
  <c r="BN451" i="2"/>
  <c r="Y454" i="2"/>
  <c r="BN476" i="2"/>
  <c r="BN496" i="2"/>
  <c r="Z354" i="2"/>
  <c r="Z364" i="2"/>
  <c r="Y71" i="2"/>
  <c r="Z80" i="2"/>
  <c r="Z147" i="2"/>
  <c r="Z171" i="2"/>
  <c r="Z28" i="2"/>
  <c r="Z85" i="2"/>
  <c r="Z153" i="2"/>
  <c r="Y179" i="2"/>
  <c r="Y203" i="2"/>
  <c r="Z211" i="2"/>
  <c r="Y277" i="2"/>
  <c r="Y319" i="2"/>
  <c r="BN343" i="2"/>
  <c r="Y346" i="2"/>
  <c r="BN354" i="2"/>
  <c r="BN364" i="2"/>
  <c r="Y412" i="2"/>
  <c r="Y459" i="2"/>
  <c r="BP528" i="2"/>
  <c r="V541" i="2"/>
  <c r="Z124" i="2"/>
  <c r="Z216" i="2"/>
  <c r="Z57" i="2"/>
  <c r="Z59" i="2" s="1"/>
  <c r="Z68" i="2"/>
  <c r="BN80" i="2"/>
  <c r="Z91" i="2"/>
  <c r="Z101" i="2"/>
  <c r="Z112" i="2"/>
  <c r="BN124" i="2"/>
  <c r="BN147" i="2"/>
  <c r="BN171" i="2"/>
  <c r="BN216" i="2"/>
  <c r="Z224" i="2"/>
  <c r="BN249" i="2"/>
  <c r="BN259" i="2"/>
  <c r="BN269" i="2"/>
  <c r="Y282" i="2"/>
  <c r="BN290" i="2"/>
  <c r="Z300" i="2"/>
  <c r="Z301" i="2" s="1"/>
  <c r="BN313" i="2"/>
  <c r="BN324" i="2"/>
  <c r="BN359" i="2"/>
  <c r="BN369" i="2"/>
  <c r="Z389" i="2"/>
  <c r="BN404" i="2"/>
  <c r="BP426" i="2"/>
  <c r="Z449" i="2"/>
  <c r="Y485" i="2"/>
  <c r="Z494" i="2"/>
  <c r="Z518" i="2"/>
  <c r="Z519" i="2" s="1"/>
  <c r="D541" i="2"/>
  <c r="W541" i="2"/>
  <c r="Z343" i="2"/>
  <c r="Y180" i="2"/>
  <c r="Z234" i="2"/>
  <c r="Z257" i="2"/>
  <c r="Z267" i="2"/>
  <c r="Y278" i="2"/>
  <c r="Z288" i="2"/>
  <c r="Z322" i="2"/>
  <c r="Z333" i="2"/>
  <c r="Y347" i="2"/>
  <c r="Z377" i="2"/>
  <c r="BP404" i="2"/>
  <c r="Z422" i="2"/>
  <c r="Z423" i="2" s="1"/>
  <c r="Z482" i="2"/>
  <c r="F541" i="2"/>
  <c r="Z31" i="2"/>
  <c r="Z169" i="2"/>
  <c r="Z189" i="2"/>
  <c r="Z190" i="2" s="1"/>
  <c r="Z214" i="2"/>
  <c r="J9" i="2"/>
  <c r="Z94" i="2"/>
  <c r="Z239" i="2"/>
  <c r="Z240" i="2" s="1"/>
  <c r="Y263" i="2"/>
  <c r="Y294" i="2"/>
  <c r="Z338" i="2"/>
  <c r="Z382" i="2"/>
  <c r="Z440" i="2"/>
  <c r="Z452" i="2"/>
  <c r="Z477" i="2"/>
  <c r="Z487" i="2"/>
  <c r="Z497" i="2"/>
  <c r="BN523" i="2"/>
  <c r="A10" i="2"/>
  <c r="Y157" i="2"/>
  <c r="BN322" i="2"/>
  <c r="BP389" i="2"/>
  <c r="Y530" i="2"/>
  <c r="Z48" i="2"/>
  <c r="BN440" i="2"/>
  <c r="BN487" i="2"/>
  <c r="Z515" i="2" l="1"/>
  <c r="Z373" i="2"/>
  <c r="Z277" i="2"/>
  <c r="Z346" i="2"/>
  <c r="Z128" i="2"/>
  <c r="Z318" i="2"/>
  <c r="Z309" i="2"/>
  <c r="Z282" i="2"/>
  <c r="Z203" i="2"/>
  <c r="Z143" i="2"/>
  <c r="Z162" i="2"/>
  <c r="Z50" i="2"/>
  <c r="Z392" i="2"/>
  <c r="Z82" i="2"/>
  <c r="Z470" i="2"/>
  <c r="Z262" i="2"/>
  <c r="Z148" i="2"/>
  <c r="Y533" i="2"/>
  <c r="Z443" i="2"/>
  <c r="Z293" i="2"/>
  <c r="Z356" i="2"/>
  <c r="Z121" i="2"/>
  <c r="Z77" i="2"/>
  <c r="Z236" i="2"/>
  <c r="Z386" i="2"/>
  <c r="Z95" i="2"/>
  <c r="Z87" i="2"/>
  <c r="Z484" i="2"/>
  <c r="Z379" i="2"/>
  <c r="Z102" i="2"/>
  <c r="Z325" i="2"/>
  <c r="Z156" i="2"/>
  <c r="Y532" i="2"/>
  <c r="Z334" i="2"/>
  <c r="Y531" i="2"/>
  <c r="Z37" i="2"/>
  <c r="X534" i="2"/>
  <c r="Z179" i="2"/>
  <c r="Z113" i="2"/>
  <c r="Z25" i="2"/>
  <c r="Z412" i="2"/>
  <c r="Z339" i="2"/>
  <c r="Y535" i="2"/>
  <c r="Z490" i="2"/>
  <c r="Z70" i="2"/>
  <c r="Z500" i="2"/>
  <c r="Z454" i="2"/>
  <c r="Z225" i="2"/>
  <c r="Z366" i="2"/>
  <c r="Y534" i="2" l="1"/>
  <c r="Z536" i="2"/>
</calcChain>
</file>

<file path=xl/sharedStrings.xml><?xml version="1.0" encoding="utf-8"?>
<sst xmlns="http://schemas.openxmlformats.org/spreadsheetml/2006/main" count="4009" uniqueCount="857">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</sst>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35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41"/>
  <sheetViews>
    <sheetView showGridLines="0" tabSelected="1" topLeftCell="F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948" t="s">
        <v>26</v>
      </c>
      <c r="E1" s="948"/>
      <c r="F1" s="948"/>
      <c r="G1" s="14" t="s">
        <v>67</v>
      </c>
      <c r="H1" s="948" t="s">
        <v>47</v>
      </c>
      <c r="I1" s="948"/>
      <c r="J1" s="948"/>
      <c r="K1" s="948"/>
      <c r="L1" s="948"/>
      <c r="M1" s="948"/>
      <c r="N1" s="948"/>
      <c r="O1" s="948"/>
      <c r="P1" s="948"/>
      <c r="Q1" s="948"/>
      <c r="R1" s="949" t="s">
        <v>68</v>
      </c>
      <c r="S1" s="950"/>
      <c r="T1" s="9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51"/>
      <c r="R2" s="951"/>
      <c r="S2" s="951"/>
      <c r="T2" s="951"/>
      <c r="U2" s="951"/>
      <c r="V2" s="951"/>
      <c r="W2" s="9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51"/>
      <c r="Q3" s="951"/>
      <c r="R3" s="951"/>
      <c r="S3" s="951"/>
      <c r="T3" s="951"/>
      <c r="U3" s="951"/>
      <c r="V3" s="951"/>
      <c r="W3" s="9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30" t="s">
        <v>8</v>
      </c>
      <c r="B5" s="930"/>
      <c r="C5" s="930"/>
      <c r="D5" s="952"/>
      <c r="E5" s="952"/>
      <c r="F5" s="953" t="s">
        <v>14</v>
      </c>
      <c r="G5" s="953"/>
      <c r="H5" s="952" t="s">
        <v>856</v>
      </c>
      <c r="I5" s="952"/>
      <c r="J5" s="952"/>
      <c r="K5" s="952"/>
      <c r="L5" s="952"/>
      <c r="M5" s="952"/>
      <c r="N5" s="72"/>
      <c r="P5" s="27" t="s">
        <v>4</v>
      </c>
      <c r="Q5" s="954">
        <v>46200</v>
      </c>
      <c r="R5" s="954"/>
      <c r="T5" s="955" t="s">
        <v>3</v>
      </c>
      <c r="U5" s="956"/>
      <c r="V5" s="957" t="s">
        <v>832</v>
      </c>
      <c r="W5" s="958"/>
      <c r="AB5" s="59"/>
      <c r="AC5" s="59"/>
      <c r="AD5" s="59"/>
      <c r="AE5" s="59"/>
    </row>
    <row r="6" spans="1:32" s="17" customFormat="1" ht="24" customHeight="1" x14ac:dyDescent="0.25">
      <c r="A6" s="930" t="s">
        <v>1</v>
      </c>
      <c r="B6" s="930"/>
      <c r="C6" s="930"/>
      <c r="D6" s="931" t="s">
        <v>839</v>
      </c>
      <c r="E6" s="931"/>
      <c r="F6" s="931"/>
      <c r="G6" s="931"/>
      <c r="H6" s="931"/>
      <c r="I6" s="931"/>
      <c r="J6" s="931"/>
      <c r="K6" s="931"/>
      <c r="L6" s="931"/>
      <c r="M6" s="931"/>
      <c r="N6" s="73"/>
      <c r="P6" s="27" t="s">
        <v>27</v>
      </c>
      <c r="Q6" s="932" t="str">
        <f>IF(Q5=0," ",CHOOSE(WEEKDAY(Q5,2),"Понедельник","Вторник","Среда","Четверг","Пятница","Суббота","Воскресенье"))</f>
        <v>Суббота</v>
      </c>
      <c r="R6" s="932"/>
      <c r="T6" s="933" t="s">
        <v>5</v>
      </c>
      <c r="U6" s="934"/>
      <c r="V6" s="935" t="s">
        <v>70</v>
      </c>
      <c r="W6" s="936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41" t="str">
        <f>IFERROR(VLOOKUP(DeliveryAddress,Table,3,0),1)</f>
        <v>3</v>
      </c>
      <c r="E7" s="942"/>
      <c r="F7" s="942"/>
      <c r="G7" s="942"/>
      <c r="H7" s="942"/>
      <c r="I7" s="942"/>
      <c r="J7" s="942"/>
      <c r="K7" s="942"/>
      <c r="L7" s="942"/>
      <c r="M7" s="943"/>
      <c r="N7" s="74"/>
      <c r="P7" s="29"/>
      <c r="Q7" s="48"/>
      <c r="R7" s="48"/>
      <c r="T7" s="933"/>
      <c r="U7" s="934"/>
      <c r="V7" s="937"/>
      <c r="W7" s="938"/>
      <c r="AB7" s="59"/>
      <c r="AC7" s="59"/>
      <c r="AD7" s="59"/>
      <c r="AE7" s="59"/>
    </row>
    <row r="8" spans="1:32" s="17" customFormat="1" ht="25.5" customHeight="1" x14ac:dyDescent="0.25">
      <c r="A8" s="944" t="s">
        <v>58</v>
      </c>
      <c r="B8" s="944"/>
      <c r="C8" s="944"/>
      <c r="D8" s="945"/>
      <c r="E8" s="945"/>
      <c r="F8" s="945"/>
      <c r="G8" s="945"/>
      <c r="H8" s="945"/>
      <c r="I8" s="945"/>
      <c r="J8" s="945"/>
      <c r="K8" s="945"/>
      <c r="L8" s="945"/>
      <c r="M8" s="945"/>
      <c r="N8" s="75"/>
      <c r="P8" s="27" t="s">
        <v>11</v>
      </c>
      <c r="Q8" s="928">
        <v>0.58333333333333337</v>
      </c>
      <c r="R8" s="928"/>
      <c r="T8" s="933"/>
      <c r="U8" s="934"/>
      <c r="V8" s="937"/>
      <c r="W8" s="938"/>
      <c r="AB8" s="59"/>
      <c r="AC8" s="59"/>
      <c r="AD8" s="59"/>
      <c r="AE8" s="59"/>
    </row>
    <row r="9" spans="1:32" s="17" customFormat="1" ht="39.9" customHeight="1" x14ac:dyDescent="0.25">
      <c r="A9" s="92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0"/>
      <c r="C9" s="920"/>
      <c r="D9" s="921" t="s">
        <v>46</v>
      </c>
      <c r="E9" s="922"/>
      <c r="F9" s="92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0"/>
      <c r="H9" s="946" t="str">
        <f>IF(AND($A$9="Тип доверенности/получателя при получении в адресе перегруза:",$D$9="Разовая доверенность"),"Введите ФИО","")</f>
        <v/>
      </c>
      <c r="I9" s="946"/>
      <c r="J9" s="94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46"/>
      <c r="L9" s="946"/>
      <c r="M9" s="946"/>
      <c r="N9" s="70"/>
      <c r="P9" s="31" t="s">
        <v>15</v>
      </c>
      <c r="Q9" s="947"/>
      <c r="R9" s="947"/>
      <c r="T9" s="933"/>
      <c r="U9" s="934"/>
      <c r="V9" s="939"/>
      <c r="W9" s="94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2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0"/>
      <c r="C10" s="920"/>
      <c r="D10" s="921"/>
      <c r="E10" s="922"/>
      <c r="F10" s="92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0"/>
      <c r="H10" s="923" t="str">
        <f>IFERROR(VLOOKUP($D$10,Proxy,2,FALSE),"")</f>
        <v/>
      </c>
      <c r="I10" s="923"/>
      <c r="J10" s="923"/>
      <c r="K10" s="923"/>
      <c r="L10" s="923"/>
      <c r="M10" s="923"/>
      <c r="N10" s="71"/>
      <c r="P10" s="31" t="s">
        <v>32</v>
      </c>
      <c r="Q10" s="924"/>
      <c r="R10" s="924"/>
      <c r="U10" s="29" t="s">
        <v>12</v>
      </c>
      <c r="V10" s="925" t="s">
        <v>71</v>
      </c>
      <c r="W10" s="92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27"/>
      <c r="R11" s="927"/>
      <c r="U11" s="29" t="s">
        <v>28</v>
      </c>
      <c r="V11" s="906" t="s">
        <v>55</v>
      </c>
      <c r="W11" s="90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05" t="s">
        <v>72</v>
      </c>
      <c r="B12" s="905"/>
      <c r="C12" s="905"/>
      <c r="D12" s="905"/>
      <c r="E12" s="905"/>
      <c r="F12" s="905"/>
      <c r="G12" s="905"/>
      <c r="H12" s="905"/>
      <c r="I12" s="905"/>
      <c r="J12" s="905"/>
      <c r="K12" s="905"/>
      <c r="L12" s="905"/>
      <c r="M12" s="905"/>
      <c r="N12" s="76"/>
      <c r="P12" s="27" t="s">
        <v>30</v>
      </c>
      <c r="Q12" s="928"/>
      <c r="R12" s="928"/>
      <c r="S12" s="28"/>
      <c r="T12"/>
      <c r="U12" s="29" t="s">
        <v>46</v>
      </c>
      <c r="V12" s="929"/>
      <c r="W12" s="929"/>
      <c r="X12"/>
      <c r="AB12" s="59"/>
      <c r="AC12" s="59"/>
      <c r="AD12" s="59"/>
      <c r="AE12" s="59"/>
    </row>
    <row r="13" spans="1:32" s="17" customFormat="1" ht="23.25" customHeight="1" x14ac:dyDescent="0.25">
      <c r="A13" s="905" t="s">
        <v>73</v>
      </c>
      <c r="B13" s="905"/>
      <c r="C13" s="905"/>
      <c r="D13" s="905"/>
      <c r="E13" s="905"/>
      <c r="F13" s="905"/>
      <c r="G13" s="905"/>
      <c r="H13" s="905"/>
      <c r="I13" s="905"/>
      <c r="J13" s="905"/>
      <c r="K13" s="905"/>
      <c r="L13" s="905"/>
      <c r="M13" s="905"/>
      <c r="N13" s="76"/>
      <c r="O13" s="31"/>
      <c r="P13" s="31" t="s">
        <v>31</v>
      </c>
      <c r="Q13" s="906"/>
      <c r="R13" s="90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05" t="s">
        <v>74</v>
      </c>
      <c r="B14" s="905"/>
      <c r="C14" s="905"/>
      <c r="D14" s="905"/>
      <c r="E14" s="905"/>
      <c r="F14" s="905"/>
      <c r="G14" s="905"/>
      <c r="H14" s="905"/>
      <c r="I14" s="905"/>
      <c r="J14" s="905"/>
      <c r="K14" s="905"/>
      <c r="L14" s="905"/>
      <c r="M14" s="90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07" t="s">
        <v>75</v>
      </c>
      <c r="B15" s="907"/>
      <c r="C15" s="907"/>
      <c r="D15" s="907"/>
      <c r="E15" s="907"/>
      <c r="F15" s="907"/>
      <c r="G15" s="907"/>
      <c r="H15" s="907"/>
      <c r="I15" s="907"/>
      <c r="J15" s="907"/>
      <c r="K15" s="907"/>
      <c r="L15" s="907"/>
      <c r="M15" s="907"/>
      <c r="N15" s="77"/>
      <c r="O15"/>
      <c r="P15" s="908" t="s">
        <v>61</v>
      </c>
      <c r="Q15" s="908"/>
      <c r="R15" s="908"/>
      <c r="S15" s="908"/>
      <c r="T15" s="90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09"/>
      <c r="Q16" s="909"/>
      <c r="R16" s="909"/>
      <c r="S16" s="909"/>
      <c r="T16" s="90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891" t="s">
        <v>59</v>
      </c>
      <c r="B17" s="891" t="s">
        <v>49</v>
      </c>
      <c r="C17" s="912" t="s">
        <v>48</v>
      </c>
      <c r="D17" s="914" t="s">
        <v>50</v>
      </c>
      <c r="E17" s="915"/>
      <c r="F17" s="891" t="s">
        <v>21</v>
      </c>
      <c r="G17" s="891" t="s">
        <v>24</v>
      </c>
      <c r="H17" s="891" t="s">
        <v>22</v>
      </c>
      <c r="I17" s="891" t="s">
        <v>23</v>
      </c>
      <c r="J17" s="891" t="s">
        <v>16</v>
      </c>
      <c r="K17" s="891" t="s">
        <v>66</v>
      </c>
      <c r="L17" s="891" t="s">
        <v>64</v>
      </c>
      <c r="M17" s="891" t="s">
        <v>2</v>
      </c>
      <c r="N17" s="891" t="s">
        <v>63</v>
      </c>
      <c r="O17" s="891" t="s">
        <v>25</v>
      </c>
      <c r="P17" s="914" t="s">
        <v>17</v>
      </c>
      <c r="Q17" s="918"/>
      <c r="R17" s="918"/>
      <c r="S17" s="918"/>
      <c r="T17" s="915"/>
      <c r="U17" s="910" t="s">
        <v>56</v>
      </c>
      <c r="V17" s="911"/>
      <c r="W17" s="891" t="s">
        <v>6</v>
      </c>
      <c r="X17" s="891" t="s">
        <v>41</v>
      </c>
      <c r="Y17" s="893" t="s">
        <v>54</v>
      </c>
      <c r="Z17" s="895" t="s">
        <v>18</v>
      </c>
      <c r="AA17" s="897" t="s">
        <v>60</v>
      </c>
      <c r="AB17" s="897" t="s">
        <v>19</v>
      </c>
      <c r="AC17" s="897" t="s">
        <v>65</v>
      </c>
      <c r="AD17" s="899" t="s">
        <v>57</v>
      </c>
      <c r="AE17" s="900"/>
      <c r="AF17" s="901"/>
      <c r="AG17" s="82"/>
      <c r="BD17" s="81" t="s">
        <v>62</v>
      </c>
    </row>
    <row r="18" spans="1:68" ht="14.25" customHeight="1" x14ac:dyDescent="0.25">
      <c r="A18" s="892"/>
      <c r="B18" s="892"/>
      <c r="C18" s="913"/>
      <c r="D18" s="916"/>
      <c r="E18" s="917"/>
      <c r="F18" s="892"/>
      <c r="G18" s="892"/>
      <c r="H18" s="892"/>
      <c r="I18" s="892"/>
      <c r="J18" s="892"/>
      <c r="K18" s="892"/>
      <c r="L18" s="892"/>
      <c r="M18" s="892"/>
      <c r="N18" s="892"/>
      <c r="O18" s="892"/>
      <c r="P18" s="916"/>
      <c r="Q18" s="919"/>
      <c r="R18" s="919"/>
      <c r="S18" s="919"/>
      <c r="T18" s="917"/>
      <c r="U18" s="83" t="s">
        <v>44</v>
      </c>
      <c r="V18" s="83" t="s">
        <v>43</v>
      </c>
      <c r="W18" s="892"/>
      <c r="X18" s="892"/>
      <c r="Y18" s="894"/>
      <c r="Z18" s="896"/>
      <c r="AA18" s="898"/>
      <c r="AB18" s="898"/>
      <c r="AC18" s="898"/>
      <c r="AD18" s="902"/>
      <c r="AE18" s="903"/>
      <c r="AF18" s="904"/>
      <c r="AG18" s="82"/>
      <c r="BD18" s="81"/>
    </row>
    <row r="19" spans="1:68" ht="27.75" customHeight="1" x14ac:dyDescent="0.25">
      <c r="A19" s="635" t="s">
        <v>76</v>
      </c>
      <c r="B19" s="635"/>
      <c r="C19" s="635"/>
      <c r="D19" s="635"/>
      <c r="E19" s="635"/>
      <c r="F19" s="635"/>
      <c r="G19" s="635"/>
      <c r="H19" s="635"/>
      <c r="I19" s="635"/>
      <c r="J19" s="635"/>
      <c r="K19" s="635"/>
      <c r="L19" s="635"/>
      <c r="M19" s="635"/>
      <c r="N19" s="635"/>
      <c r="O19" s="635"/>
      <c r="P19" s="635"/>
      <c r="Q19" s="635"/>
      <c r="R19" s="635"/>
      <c r="S19" s="635"/>
      <c r="T19" s="635"/>
      <c r="U19" s="635"/>
      <c r="V19" s="635"/>
      <c r="W19" s="635"/>
      <c r="X19" s="635"/>
      <c r="Y19" s="635"/>
      <c r="Z19" s="635"/>
      <c r="AA19" s="54"/>
      <c r="AB19" s="54"/>
      <c r="AC19" s="54"/>
    </row>
    <row r="20" spans="1:68" ht="16.5" customHeight="1" x14ac:dyDescent="0.25">
      <c r="A20" s="630" t="s">
        <v>76</v>
      </c>
      <c r="B20" s="630"/>
      <c r="C20" s="630"/>
      <c r="D20" s="630"/>
      <c r="E20" s="630"/>
      <c r="F20" s="630"/>
      <c r="G20" s="630"/>
      <c r="H20" s="630"/>
      <c r="I20" s="630"/>
      <c r="J20" s="630"/>
      <c r="K20" s="630"/>
      <c r="L20" s="630"/>
      <c r="M20" s="630"/>
      <c r="N20" s="630"/>
      <c r="O20" s="630"/>
      <c r="P20" s="630"/>
      <c r="Q20" s="630"/>
      <c r="R20" s="630"/>
      <c r="S20" s="630"/>
      <c r="T20" s="630"/>
      <c r="U20" s="630"/>
      <c r="V20" s="630"/>
      <c r="W20" s="630"/>
      <c r="X20" s="630"/>
      <c r="Y20" s="630"/>
      <c r="Z20" s="630"/>
      <c r="AA20" s="65"/>
      <c r="AB20" s="65"/>
      <c r="AC20" s="79"/>
    </row>
    <row r="21" spans="1:68" ht="14.25" customHeight="1" x14ac:dyDescent="0.25">
      <c r="A21" s="614" t="s">
        <v>77</v>
      </c>
      <c r="B21" s="614"/>
      <c r="C21" s="614"/>
      <c r="D21" s="614"/>
      <c r="E21" s="614"/>
      <c r="F21" s="614"/>
      <c r="G21" s="614"/>
      <c r="H21" s="614"/>
      <c r="I21" s="614"/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614"/>
      <c r="W21" s="614"/>
      <c r="X21" s="614"/>
      <c r="Y21" s="614"/>
      <c r="Z21" s="6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15">
        <v>4680115887510</v>
      </c>
      <c r="E22" s="61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8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7"/>
      <c r="R22" s="617"/>
      <c r="S22" s="617"/>
      <c r="T22" s="6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15">
        <v>4680115886643</v>
      </c>
      <c r="E23" s="61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7"/>
      <c r="R23" s="617"/>
      <c r="S23" s="617"/>
      <c r="T23" s="6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15">
        <v>4680115889071</v>
      </c>
      <c r="E24" s="615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89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17"/>
      <c r="R24" s="617"/>
      <c r="S24" s="617"/>
      <c r="T24" s="618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5">
      <c r="A25" s="622"/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3"/>
      <c r="P25" s="619" t="s">
        <v>40</v>
      </c>
      <c r="Q25" s="620"/>
      <c r="R25" s="620"/>
      <c r="S25" s="620"/>
      <c r="T25" s="620"/>
      <c r="U25" s="620"/>
      <c r="V25" s="621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5">
      <c r="A26" s="622"/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3"/>
      <c r="P26" s="619" t="s">
        <v>40</v>
      </c>
      <c r="Q26" s="620"/>
      <c r="R26" s="620"/>
      <c r="S26" s="620"/>
      <c r="T26" s="620"/>
      <c r="U26" s="620"/>
      <c r="V26" s="621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14" t="s">
        <v>90</v>
      </c>
      <c r="B27" s="614"/>
      <c r="C27" s="614"/>
      <c r="D27" s="614"/>
      <c r="E27" s="614"/>
      <c r="F27" s="614"/>
      <c r="G27" s="614"/>
      <c r="H27" s="614"/>
      <c r="I27" s="614"/>
      <c r="J27" s="614"/>
      <c r="K27" s="614"/>
      <c r="L27" s="614"/>
      <c r="M27" s="614"/>
      <c r="N27" s="614"/>
      <c r="O27" s="614"/>
      <c r="P27" s="614"/>
      <c r="Q27" s="614"/>
      <c r="R27" s="614"/>
      <c r="S27" s="614"/>
      <c r="T27" s="614"/>
      <c r="U27" s="614"/>
      <c r="V27" s="614"/>
      <c r="W27" s="614"/>
      <c r="X27" s="614"/>
      <c r="Y27" s="614"/>
      <c r="Z27" s="614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15">
        <v>4680115885912</v>
      </c>
      <c r="E28" s="6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88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17"/>
      <c r="R28" s="617"/>
      <c r="S28" s="617"/>
      <c r="T28" s="61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15">
        <v>4607091388237</v>
      </c>
      <c r="E29" s="615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8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17"/>
      <c r="R29" s="617"/>
      <c r="S29" s="617"/>
      <c r="T29" s="61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15">
        <v>4680115887350</v>
      </c>
      <c r="E30" s="6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88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17"/>
      <c r="R30" s="617"/>
      <c r="S30" s="617"/>
      <c r="T30" s="61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15">
        <v>4680115886230</v>
      </c>
      <c r="E31" s="615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887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17"/>
      <c r="R31" s="617"/>
      <c r="S31" s="617"/>
      <c r="T31" s="61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15">
        <v>4680115886278</v>
      </c>
      <c r="E32" s="615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8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17"/>
      <c r="R32" s="617"/>
      <c r="S32" s="617"/>
      <c r="T32" s="61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15">
        <v>4680115886247</v>
      </c>
      <c r="E33" s="615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8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17"/>
      <c r="R33" s="617"/>
      <c r="S33" s="617"/>
      <c r="T33" s="61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15">
        <v>4680115885905</v>
      </c>
      <c r="E34" s="615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8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17"/>
      <c r="R34" s="617"/>
      <c r="S34" s="617"/>
      <c r="T34" s="618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15">
        <v>4680115887657</v>
      </c>
      <c r="E35" s="615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8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17"/>
      <c r="R35" s="617"/>
      <c r="S35" s="617"/>
      <c r="T35" s="618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15">
        <v>4680115887619</v>
      </c>
      <c r="E36" s="615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8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17"/>
      <c r="R36" s="617"/>
      <c r="S36" s="617"/>
      <c r="T36" s="618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5">
      <c r="A37" s="622"/>
      <c r="B37" s="622"/>
      <c r="C37" s="622"/>
      <c r="D37" s="622"/>
      <c r="E37" s="622"/>
      <c r="F37" s="622"/>
      <c r="G37" s="622"/>
      <c r="H37" s="622"/>
      <c r="I37" s="622"/>
      <c r="J37" s="622"/>
      <c r="K37" s="622"/>
      <c r="L37" s="622"/>
      <c r="M37" s="622"/>
      <c r="N37" s="622"/>
      <c r="O37" s="623"/>
      <c r="P37" s="619" t="s">
        <v>40</v>
      </c>
      <c r="Q37" s="620"/>
      <c r="R37" s="620"/>
      <c r="S37" s="620"/>
      <c r="T37" s="620"/>
      <c r="U37" s="620"/>
      <c r="V37" s="621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5">
      <c r="A38" s="622"/>
      <c r="B38" s="622"/>
      <c r="C38" s="622"/>
      <c r="D38" s="622"/>
      <c r="E38" s="622"/>
      <c r="F38" s="622"/>
      <c r="G38" s="622"/>
      <c r="H38" s="622"/>
      <c r="I38" s="622"/>
      <c r="J38" s="622"/>
      <c r="K38" s="622"/>
      <c r="L38" s="622"/>
      <c r="M38" s="622"/>
      <c r="N38" s="622"/>
      <c r="O38" s="623"/>
      <c r="P38" s="619" t="s">
        <v>40</v>
      </c>
      <c r="Q38" s="620"/>
      <c r="R38" s="620"/>
      <c r="S38" s="620"/>
      <c r="T38" s="620"/>
      <c r="U38" s="620"/>
      <c r="V38" s="621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14" t="s">
        <v>118</v>
      </c>
      <c r="B39" s="614"/>
      <c r="C39" s="614"/>
      <c r="D39" s="614"/>
      <c r="E39" s="614"/>
      <c r="F39" s="614"/>
      <c r="G39" s="614"/>
      <c r="H39" s="614"/>
      <c r="I39" s="614"/>
      <c r="J39" s="614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/>
      <c r="V39" s="614"/>
      <c r="W39" s="614"/>
      <c r="X39" s="614"/>
      <c r="Y39" s="614"/>
      <c r="Z39" s="614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15">
        <v>4607091388503</v>
      </c>
      <c r="E40" s="615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87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17"/>
      <c r="R40" s="617"/>
      <c r="S40" s="617"/>
      <c r="T40" s="6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5">
      <c r="A41" s="622"/>
      <c r="B41" s="622"/>
      <c r="C41" s="622"/>
      <c r="D41" s="622"/>
      <c r="E41" s="622"/>
      <c r="F41" s="622"/>
      <c r="G41" s="622"/>
      <c r="H41" s="622"/>
      <c r="I41" s="622"/>
      <c r="J41" s="622"/>
      <c r="K41" s="622"/>
      <c r="L41" s="622"/>
      <c r="M41" s="622"/>
      <c r="N41" s="622"/>
      <c r="O41" s="623"/>
      <c r="P41" s="619" t="s">
        <v>40</v>
      </c>
      <c r="Q41" s="620"/>
      <c r="R41" s="620"/>
      <c r="S41" s="620"/>
      <c r="T41" s="620"/>
      <c r="U41" s="620"/>
      <c r="V41" s="621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5">
      <c r="A42" s="622"/>
      <c r="B42" s="622"/>
      <c r="C42" s="622"/>
      <c r="D42" s="622"/>
      <c r="E42" s="622"/>
      <c r="F42" s="622"/>
      <c r="G42" s="622"/>
      <c r="H42" s="622"/>
      <c r="I42" s="622"/>
      <c r="J42" s="622"/>
      <c r="K42" s="622"/>
      <c r="L42" s="622"/>
      <c r="M42" s="622"/>
      <c r="N42" s="622"/>
      <c r="O42" s="623"/>
      <c r="P42" s="619" t="s">
        <v>40</v>
      </c>
      <c r="Q42" s="620"/>
      <c r="R42" s="620"/>
      <c r="S42" s="620"/>
      <c r="T42" s="620"/>
      <c r="U42" s="620"/>
      <c r="V42" s="621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5">
      <c r="A43" s="635" t="s">
        <v>45</v>
      </c>
      <c r="B43" s="635"/>
      <c r="C43" s="635"/>
      <c r="D43" s="635"/>
      <c r="E43" s="635"/>
      <c r="F43" s="635"/>
      <c r="G43" s="635"/>
      <c r="H43" s="635"/>
      <c r="I43" s="635"/>
      <c r="J43" s="635"/>
      <c r="K43" s="635"/>
      <c r="L43" s="635"/>
      <c r="M43" s="635"/>
      <c r="N43" s="635"/>
      <c r="O43" s="635"/>
      <c r="P43" s="635"/>
      <c r="Q43" s="635"/>
      <c r="R43" s="635"/>
      <c r="S43" s="635"/>
      <c r="T43" s="635"/>
      <c r="U43" s="635"/>
      <c r="V43" s="635"/>
      <c r="W43" s="635"/>
      <c r="X43" s="635"/>
      <c r="Y43" s="635"/>
      <c r="Z43" s="635"/>
      <c r="AA43" s="54"/>
      <c r="AB43" s="54"/>
      <c r="AC43" s="54"/>
    </row>
    <row r="44" spans="1:68" ht="16.5" customHeight="1" x14ac:dyDescent="0.25">
      <c r="A44" s="630" t="s">
        <v>124</v>
      </c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0"/>
      <c r="P44" s="630"/>
      <c r="Q44" s="630"/>
      <c r="R44" s="630"/>
      <c r="S44" s="630"/>
      <c r="T44" s="630"/>
      <c r="U44" s="630"/>
      <c r="V44" s="630"/>
      <c r="W44" s="630"/>
      <c r="X44" s="630"/>
      <c r="Y44" s="630"/>
      <c r="Z44" s="630"/>
      <c r="AA44" s="65"/>
      <c r="AB44" s="65"/>
      <c r="AC44" s="79"/>
    </row>
    <row r="45" spans="1:68" ht="14.25" customHeight="1" x14ac:dyDescent="0.25">
      <c r="A45" s="614" t="s">
        <v>90</v>
      </c>
      <c r="B45" s="614"/>
      <c r="C45" s="614"/>
      <c r="D45" s="614"/>
      <c r="E45" s="614"/>
      <c r="F45" s="614"/>
      <c r="G45" s="614"/>
      <c r="H45" s="614"/>
      <c r="I45" s="614"/>
      <c r="J45" s="614"/>
      <c r="K45" s="614"/>
      <c r="L45" s="614"/>
      <c r="M45" s="614"/>
      <c r="N45" s="614"/>
      <c r="O45" s="614"/>
      <c r="P45" s="614"/>
      <c r="Q45" s="614"/>
      <c r="R45" s="614"/>
      <c r="S45" s="614"/>
      <c r="T45" s="614"/>
      <c r="U45" s="614"/>
      <c r="V45" s="614"/>
      <c r="W45" s="614"/>
      <c r="X45" s="614"/>
      <c r="Y45" s="614"/>
      <c r="Z45" s="614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15">
        <v>4680115888463</v>
      </c>
      <c r="E46" s="615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8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17"/>
      <c r="R46" s="617"/>
      <c r="S46" s="617"/>
      <c r="T46" s="618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15">
        <v>4680115888494</v>
      </c>
      <c r="E47" s="615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87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17"/>
      <c r="R47" s="617"/>
      <c r="S47" s="617"/>
      <c r="T47" s="6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15">
        <v>4680115888272</v>
      </c>
      <c r="E48" s="615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87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17"/>
      <c r="R48" s="617"/>
      <c r="S48" s="617"/>
      <c r="T48" s="6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15">
        <v>4680115888364</v>
      </c>
      <c r="E49" s="615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87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17"/>
      <c r="R49" s="617"/>
      <c r="S49" s="617"/>
      <c r="T49" s="6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5">
      <c r="A50" s="622"/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3"/>
      <c r="P50" s="619" t="s">
        <v>40</v>
      </c>
      <c r="Q50" s="620"/>
      <c r="R50" s="620"/>
      <c r="S50" s="620"/>
      <c r="T50" s="620"/>
      <c r="U50" s="620"/>
      <c r="V50" s="621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5">
      <c r="A51" s="622"/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3"/>
      <c r="P51" s="619" t="s">
        <v>40</v>
      </c>
      <c r="Q51" s="620"/>
      <c r="R51" s="620"/>
      <c r="S51" s="620"/>
      <c r="T51" s="620"/>
      <c r="U51" s="620"/>
      <c r="V51" s="621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5">
      <c r="A52" s="635" t="s">
        <v>137</v>
      </c>
      <c r="B52" s="635"/>
      <c r="C52" s="635"/>
      <c r="D52" s="635"/>
      <c r="E52" s="635"/>
      <c r="F52" s="635"/>
      <c r="G52" s="635"/>
      <c r="H52" s="635"/>
      <c r="I52" s="635"/>
      <c r="J52" s="635"/>
      <c r="K52" s="635"/>
      <c r="L52" s="635"/>
      <c r="M52" s="635"/>
      <c r="N52" s="635"/>
      <c r="O52" s="635"/>
      <c r="P52" s="635"/>
      <c r="Q52" s="635"/>
      <c r="R52" s="635"/>
      <c r="S52" s="635"/>
      <c r="T52" s="635"/>
      <c r="U52" s="635"/>
      <c r="V52" s="635"/>
      <c r="W52" s="635"/>
      <c r="X52" s="635"/>
      <c r="Y52" s="635"/>
      <c r="Z52" s="635"/>
      <c r="AA52" s="54"/>
      <c r="AB52" s="54"/>
      <c r="AC52" s="54"/>
    </row>
    <row r="53" spans="1:68" ht="16.5" customHeight="1" x14ac:dyDescent="0.25">
      <c r="A53" s="630" t="s">
        <v>138</v>
      </c>
      <c r="B53" s="630"/>
      <c r="C53" s="630"/>
      <c r="D53" s="630"/>
      <c r="E53" s="630"/>
      <c r="F53" s="630"/>
      <c r="G53" s="630"/>
      <c r="H53" s="630"/>
      <c r="I53" s="630"/>
      <c r="J53" s="630"/>
      <c r="K53" s="630"/>
      <c r="L53" s="630"/>
      <c r="M53" s="630"/>
      <c r="N53" s="630"/>
      <c r="O53" s="630"/>
      <c r="P53" s="630"/>
      <c r="Q53" s="630"/>
      <c r="R53" s="630"/>
      <c r="S53" s="630"/>
      <c r="T53" s="630"/>
      <c r="U53" s="630"/>
      <c r="V53" s="630"/>
      <c r="W53" s="630"/>
      <c r="X53" s="630"/>
      <c r="Y53" s="630"/>
      <c r="Z53" s="630"/>
      <c r="AA53" s="65"/>
      <c r="AB53" s="65"/>
      <c r="AC53" s="79"/>
    </row>
    <row r="54" spans="1:68" ht="14.25" customHeight="1" x14ac:dyDescent="0.25">
      <c r="A54" s="614" t="s">
        <v>139</v>
      </c>
      <c r="B54" s="614"/>
      <c r="C54" s="614"/>
      <c r="D54" s="614"/>
      <c r="E54" s="614"/>
      <c r="F54" s="614"/>
      <c r="G54" s="614"/>
      <c r="H54" s="614"/>
      <c r="I54" s="614"/>
      <c r="J54" s="614"/>
      <c r="K54" s="614"/>
      <c r="L54" s="614"/>
      <c r="M54" s="614"/>
      <c r="N54" s="614"/>
      <c r="O54" s="614"/>
      <c r="P54" s="614"/>
      <c r="Q54" s="614"/>
      <c r="R54" s="614"/>
      <c r="S54" s="614"/>
      <c r="T54" s="614"/>
      <c r="U54" s="614"/>
      <c r="V54" s="614"/>
      <c r="W54" s="614"/>
      <c r="X54" s="614"/>
      <c r="Y54" s="614"/>
      <c r="Z54" s="614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15">
        <v>4607091385670</v>
      </c>
      <c r="E55" s="615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8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17"/>
      <c r="R55" s="617"/>
      <c r="S55" s="617"/>
      <c r="T55" s="618"/>
      <c r="U55" s="39" t="s">
        <v>46</v>
      </c>
      <c r="V55" s="39" t="s">
        <v>46</v>
      </c>
      <c r="W55" s="40" t="s">
        <v>0</v>
      </c>
      <c r="X55" s="58">
        <v>216</v>
      </c>
      <c r="Y55" s="55">
        <f>IFERROR(IF(X55="",0,CEILING((X55/$H55),1)*$H55),"")</f>
        <v>216</v>
      </c>
      <c r="Z55" s="41">
        <f>IFERROR(IF(Y55=0,"",ROUNDUP(Y55/H55,0)*0.01898),"")</f>
        <v>0.37959999999999999</v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224.2</v>
      </c>
      <c r="BN55" s="78">
        <f>IFERROR(Y55*I55/H55,"0")</f>
        <v>224.2</v>
      </c>
      <c r="BO55" s="78">
        <f>IFERROR(1/J55*(X55/H55),"0")</f>
        <v>0.3125</v>
      </c>
      <c r="BP55" s="78">
        <f>IFERROR(1/J55*(Y55/H55),"0")</f>
        <v>0.3125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15">
        <v>4680115887725</v>
      </c>
      <c r="E56" s="615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87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17"/>
      <c r="R56" s="617"/>
      <c r="S56" s="617"/>
      <c r="T56" s="618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15">
        <v>4607091385687</v>
      </c>
      <c r="E57" s="615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8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17"/>
      <c r="R57" s="617"/>
      <c r="S57" s="617"/>
      <c r="T57" s="618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15">
        <v>4680115882539</v>
      </c>
      <c r="E58" s="615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87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17"/>
      <c r="R58" s="617"/>
      <c r="S58" s="617"/>
      <c r="T58" s="618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5">
      <c r="A59" s="622"/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3"/>
      <c r="P59" s="619" t="s">
        <v>40</v>
      </c>
      <c r="Q59" s="620"/>
      <c r="R59" s="620"/>
      <c r="S59" s="620"/>
      <c r="T59" s="620"/>
      <c r="U59" s="620"/>
      <c r="V59" s="621"/>
      <c r="W59" s="42" t="s">
        <v>39</v>
      </c>
      <c r="X59" s="43">
        <f>IFERROR(X55/H55,"0")+IFERROR(X56/H56,"0")+IFERROR(X57/H57,"0")+IFERROR(X58/H58,"0")</f>
        <v>20</v>
      </c>
      <c r="Y59" s="43">
        <f>IFERROR(Y55/H55,"0")+IFERROR(Y56/H56,"0")+IFERROR(Y57/H57,"0")+IFERROR(Y58/H58,"0")</f>
        <v>20</v>
      </c>
      <c r="Z59" s="43">
        <f>IFERROR(IF(Z55="",0,Z55),"0")+IFERROR(IF(Z56="",0,Z56),"0")+IFERROR(IF(Z57="",0,Z57),"0")+IFERROR(IF(Z58="",0,Z58),"0")</f>
        <v>0.37959999999999999</v>
      </c>
      <c r="AA59" s="67"/>
      <c r="AB59" s="67"/>
      <c r="AC59" s="67"/>
    </row>
    <row r="60" spans="1:68" x14ac:dyDescent="0.25">
      <c r="A60" s="622"/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3"/>
      <c r="P60" s="619" t="s">
        <v>40</v>
      </c>
      <c r="Q60" s="620"/>
      <c r="R60" s="620"/>
      <c r="S60" s="620"/>
      <c r="T60" s="620"/>
      <c r="U60" s="620"/>
      <c r="V60" s="621"/>
      <c r="W60" s="42" t="s">
        <v>0</v>
      </c>
      <c r="X60" s="43">
        <f>IFERROR(SUM(X55:X58),"0")</f>
        <v>216</v>
      </c>
      <c r="Y60" s="43">
        <f>IFERROR(SUM(Y55:Y58),"0")</f>
        <v>216</v>
      </c>
      <c r="Z60" s="42"/>
      <c r="AA60" s="67"/>
      <c r="AB60" s="67"/>
      <c r="AC60" s="67"/>
    </row>
    <row r="61" spans="1:68" ht="16.5" customHeight="1" x14ac:dyDescent="0.25">
      <c r="A61" s="630" t="s">
        <v>154</v>
      </c>
      <c r="B61" s="630"/>
      <c r="C61" s="630"/>
      <c r="D61" s="630"/>
      <c r="E61" s="630"/>
      <c r="F61" s="630"/>
      <c r="G61" s="630"/>
      <c r="H61" s="630"/>
      <c r="I61" s="630"/>
      <c r="J61" s="630"/>
      <c r="K61" s="630"/>
      <c r="L61" s="630"/>
      <c r="M61" s="630"/>
      <c r="N61" s="630"/>
      <c r="O61" s="630"/>
      <c r="P61" s="630"/>
      <c r="Q61" s="630"/>
      <c r="R61" s="630"/>
      <c r="S61" s="630"/>
      <c r="T61" s="630"/>
      <c r="U61" s="630"/>
      <c r="V61" s="630"/>
      <c r="W61" s="630"/>
      <c r="X61" s="630"/>
      <c r="Y61" s="630"/>
      <c r="Z61" s="630"/>
      <c r="AA61" s="65"/>
      <c r="AB61" s="65"/>
      <c r="AC61" s="79"/>
    </row>
    <row r="62" spans="1:68" ht="14.25" customHeight="1" x14ac:dyDescent="0.25">
      <c r="A62" s="614" t="s">
        <v>139</v>
      </c>
      <c r="B62" s="614"/>
      <c r="C62" s="614"/>
      <c r="D62" s="614"/>
      <c r="E62" s="614"/>
      <c r="F62" s="614"/>
      <c r="G62" s="614"/>
      <c r="H62" s="614"/>
      <c r="I62" s="614"/>
      <c r="J62" s="614"/>
      <c r="K62" s="614"/>
      <c r="L62" s="614"/>
      <c r="M62" s="614"/>
      <c r="N62" s="614"/>
      <c r="O62" s="614"/>
      <c r="P62" s="614"/>
      <c r="Q62" s="614"/>
      <c r="R62" s="614"/>
      <c r="S62" s="614"/>
      <c r="T62" s="614"/>
      <c r="U62" s="614"/>
      <c r="V62" s="614"/>
      <c r="W62" s="614"/>
      <c r="X62" s="614"/>
      <c r="Y62" s="614"/>
      <c r="Z62" s="614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15">
        <v>4680115885882</v>
      </c>
      <c r="E63" s="615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8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17"/>
      <c r="R63" s="617"/>
      <c r="S63" s="617"/>
      <c r="T63" s="6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15">
        <v>4680115885882</v>
      </c>
      <c r="E64" s="615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86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17"/>
      <c r="R64" s="617"/>
      <c r="S64" s="617"/>
      <c r="T64" s="6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15">
        <v>4680115881426</v>
      </c>
      <c r="E65" s="615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86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17"/>
      <c r="R65" s="617"/>
      <c r="S65" s="617"/>
      <c r="T65" s="618"/>
      <c r="U65" s="39" t="s">
        <v>46</v>
      </c>
      <c r="V65" s="39" t="s">
        <v>46</v>
      </c>
      <c r="W65" s="40" t="s">
        <v>0</v>
      </c>
      <c r="X65" s="58">
        <v>540</v>
      </c>
      <c r="Y65" s="55">
        <f t="shared" si="6"/>
        <v>540</v>
      </c>
      <c r="Z65" s="41">
        <f>IFERROR(IF(Y65=0,"",ROUNDUP(Y65/H65,0)*0.01898),"")</f>
        <v>0.94900000000000007</v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560.5</v>
      </c>
      <c r="BN65" s="78">
        <f t="shared" si="8"/>
        <v>560.5</v>
      </c>
      <c r="BO65" s="78">
        <f t="shared" si="9"/>
        <v>0.78125</v>
      </c>
      <c r="BP65" s="78">
        <f t="shared" si="10"/>
        <v>0.78125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15">
        <v>4680115880283</v>
      </c>
      <c r="E66" s="615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86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17"/>
      <c r="R66" s="617"/>
      <c r="S66" s="617"/>
      <c r="T66" s="6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15">
        <v>4680115881525</v>
      </c>
      <c r="E67" s="615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86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17"/>
      <c r="R67" s="617"/>
      <c r="S67" s="617"/>
      <c r="T67" s="61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15">
        <v>4680115885899</v>
      </c>
      <c r="E68" s="615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86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17"/>
      <c r="R68" s="617"/>
      <c r="S68" s="617"/>
      <c r="T68" s="61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15">
        <v>4680115881419</v>
      </c>
      <c r="E69" s="615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8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17"/>
      <c r="R69" s="617"/>
      <c r="S69" s="617"/>
      <c r="T69" s="61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5">
      <c r="A70" s="622"/>
      <c r="B70" s="622"/>
      <c r="C70" s="622"/>
      <c r="D70" s="622"/>
      <c r="E70" s="622"/>
      <c r="F70" s="622"/>
      <c r="G70" s="622"/>
      <c r="H70" s="622"/>
      <c r="I70" s="622"/>
      <c r="J70" s="622"/>
      <c r="K70" s="622"/>
      <c r="L70" s="622"/>
      <c r="M70" s="622"/>
      <c r="N70" s="622"/>
      <c r="O70" s="623"/>
      <c r="P70" s="619" t="s">
        <v>40</v>
      </c>
      <c r="Q70" s="620"/>
      <c r="R70" s="620"/>
      <c r="S70" s="620"/>
      <c r="T70" s="620"/>
      <c r="U70" s="620"/>
      <c r="V70" s="621"/>
      <c r="W70" s="42" t="s">
        <v>39</v>
      </c>
      <c r="X70" s="43">
        <f>IFERROR(X63/H63,"0")+IFERROR(X64/H64,"0")+IFERROR(X65/H65,"0")+IFERROR(X66/H66,"0")+IFERROR(X67/H67,"0")+IFERROR(X68/H68,"0")+IFERROR(X69/H69,"0")</f>
        <v>50</v>
      </c>
      <c r="Y70" s="43">
        <f>IFERROR(Y63/H63,"0")+IFERROR(Y64/H64,"0")+IFERROR(Y65/H65,"0")+IFERROR(Y66/H66,"0")+IFERROR(Y67/H67,"0")+IFERROR(Y68/H68,"0")+IFERROR(Y69/H69,"0")</f>
        <v>50</v>
      </c>
      <c r="Z70" s="43">
        <f>IFERROR(IF(Z63="",0,Z63),"0")+IFERROR(IF(Z64="",0,Z64),"0")+IFERROR(IF(Z65="",0,Z65),"0")+IFERROR(IF(Z66="",0,Z66),"0")+IFERROR(IF(Z67="",0,Z67),"0")+IFERROR(IF(Z68="",0,Z68),"0")+IFERROR(IF(Z69="",0,Z69),"0")</f>
        <v>0.94900000000000007</v>
      </c>
      <c r="AA70" s="67"/>
      <c r="AB70" s="67"/>
      <c r="AC70" s="67"/>
    </row>
    <row r="71" spans="1:68" x14ac:dyDescent="0.25">
      <c r="A71" s="622"/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3"/>
      <c r="P71" s="619" t="s">
        <v>40</v>
      </c>
      <c r="Q71" s="620"/>
      <c r="R71" s="620"/>
      <c r="S71" s="620"/>
      <c r="T71" s="620"/>
      <c r="U71" s="620"/>
      <c r="V71" s="621"/>
      <c r="W71" s="42" t="s">
        <v>0</v>
      </c>
      <c r="X71" s="43">
        <f>IFERROR(SUM(X63:X69),"0")</f>
        <v>540</v>
      </c>
      <c r="Y71" s="43">
        <f>IFERROR(SUM(Y63:Y69),"0")</f>
        <v>540</v>
      </c>
      <c r="Z71" s="42"/>
      <c r="AA71" s="67"/>
      <c r="AB71" s="67"/>
      <c r="AC71" s="67"/>
    </row>
    <row r="72" spans="1:68" ht="14.25" customHeight="1" x14ac:dyDescent="0.25">
      <c r="A72" s="614" t="s">
        <v>174</v>
      </c>
      <c r="B72" s="614"/>
      <c r="C72" s="614"/>
      <c r="D72" s="614"/>
      <c r="E72" s="614"/>
      <c r="F72" s="614"/>
      <c r="G72" s="614"/>
      <c r="H72" s="614"/>
      <c r="I72" s="614"/>
      <c r="J72" s="614"/>
      <c r="K72" s="614"/>
      <c r="L72" s="614"/>
      <c r="M72" s="614"/>
      <c r="N72" s="614"/>
      <c r="O72" s="614"/>
      <c r="P72" s="614"/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15">
        <v>4680115881440</v>
      </c>
      <c r="E73" s="615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17"/>
      <c r="R73" s="617"/>
      <c r="S73" s="617"/>
      <c r="T73" s="6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15">
        <v>4680115885950</v>
      </c>
      <c r="E74" s="615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8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17"/>
      <c r="R74" s="617"/>
      <c r="S74" s="617"/>
      <c r="T74" s="6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15">
        <v>4680115887688</v>
      </c>
      <c r="E75" s="615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86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17"/>
      <c r="R75" s="617"/>
      <c r="S75" s="617"/>
      <c r="T75" s="618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15">
        <v>4680115881433</v>
      </c>
      <c r="E76" s="615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8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17"/>
      <c r="R76" s="617"/>
      <c r="S76" s="617"/>
      <c r="T76" s="61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5">
      <c r="A77" s="622"/>
      <c r="B77" s="622"/>
      <c r="C77" s="622"/>
      <c r="D77" s="622"/>
      <c r="E77" s="622"/>
      <c r="F77" s="622"/>
      <c r="G77" s="622"/>
      <c r="H77" s="622"/>
      <c r="I77" s="622"/>
      <c r="J77" s="622"/>
      <c r="K77" s="622"/>
      <c r="L77" s="622"/>
      <c r="M77" s="622"/>
      <c r="N77" s="622"/>
      <c r="O77" s="623"/>
      <c r="P77" s="619" t="s">
        <v>40</v>
      </c>
      <c r="Q77" s="620"/>
      <c r="R77" s="620"/>
      <c r="S77" s="620"/>
      <c r="T77" s="620"/>
      <c r="U77" s="620"/>
      <c r="V77" s="621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5">
      <c r="A78" s="622"/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3"/>
      <c r="P78" s="619" t="s">
        <v>40</v>
      </c>
      <c r="Q78" s="620"/>
      <c r="R78" s="620"/>
      <c r="S78" s="620"/>
      <c r="T78" s="620"/>
      <c r="U78" s="620"/>
      <c r="V78" s="621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14" t="s">
        <v>90</v>
      </c>
      <c r="B79" s="614"/>
      <c r="C79" s="614"/>
      <c r="D79" s="614"/>
      <c r="E79" s="614"/>
      <c r="F79" s="614"/>
      <c r="G79" s="614"/>
      <c r="H79" s="614"/>
      <c r="I79" s="614"/>
      <c r="J79" s="614"/>
      <c r="K79" s="614"/>
      <c r="L79" s="614"/>
      <c r="M79" s="614"/>
      <c r="N79" s="614"/>
      <c r="O79" s="614"/>
      <c r="P79" s="614"/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15">
        <v>4680115884311</v>
      </c>
      <c r="E80" s="615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8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17"/>
      <c r="R80" s="617"/>
      <c r="S80" s="617"/>
      <c r="T80" s="61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15">
        <v>4680115884403</v>
      </c>
      <c r="E81" s="615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8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17"/>
      <c r="R81" s="617"/>
      <c r="S81" s="617"/>
      <c r="T81" s="61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5">
      <c r="A82" s="622"/>
      <c r="B82" s="622"/>
      <c r="C82" s="622"/>
      <c r="D82" s="622"/>
      <c r="E82" s="622"/>
      <c r="F82" s="622"/>
      <c r="G82" s="622"/>
      <c r="H82" s="622"/>
      <c r="I82" s="622"/>
      <c r="J82" s="622"/>
      <c r="K82" s="622"/>
      <c r="L82" s="622"/>
      <c r="M82" s="622"/>
      <c r="N82" s="622"/>
      <c r="O82" s="623"/>
      <c r="P82" s="619" t="s">
        <v>40</v>
      </c>
      <c r="Q82" s="620"/>
      <c r="R82" s="620"/>
      <c r="S82" s="620"/>
      <c r="T82" s="620"/>
      <c r="U82" s="620"/>
      <c r="V82" s="621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5">
      <c r="A83" s="622"/>
      <c r="B83" s="622"/>
      <c r="C83" s="622"/>
      <c r="D83" s="622"/>
      <c r="E83" s="622"/>
      <c r="F83" s="622"/>
      <c r="G83" s="622"/>
      <c r="H83" s="622"/>
      <c r="I83" s="622"/>
      <c r="J83" s="622"/>
      <c r="K83" s="622"/>
      <c r="L83" s="622"/>
      <c r="M83" s="622"/>
      <c r="N83" s="622"/>
      <c r="O83" s="623"/>
      <c r="P83" s="619" t="s">
        <v>40</v>
      </c>
      <c r="Q83" s="620"/>
      <c r="R83" s="620"/>
      <c r="S83" s="620"/>
      <c r="T83" s="620"/>
      <c r="U83" s="620"/>
      <c r="V83" s="621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14" t="s">
        <v>191</v>
      </c>
      <c r="B84" s="614"/>
      <c r="C84" s="614"/>
      <c r="D84" s="614"/>
      <c r="E84" s="614"/>
      <c r="F84" s="614"/>
      <c r="G84" s="614"/>
      <c r="H84" s="614"/>
      <c r="I84" s="614"/>
      <c r="J84" s="614"/>
      <c r="K84" s="614"/>
      <c r="L84" s="614"/>
      <c r="M84" s="614"/>
      <c r="N84" s="614"/>
      <c r="O84" s="614"/>
      <c r="P84" s="614"/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15">
        <v>4680115881532</v>
      </c>
      <c r="E85" s="615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85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17"/>
      <c r="R85" s="617"/>
      <c r="S85" s="617"/>
      <c r="T85" s="6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15">
        <v>4680115881464</v>
      </c>
      <c r="E86" s="615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8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17"/>
      <c r="R86" s="617"/>
      <c r="S86" s="617"/>
      <c r="T86" s="6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5">
      <c r="A87" s="622"/>
      <c r="B87" s="622"/>
      <c r="C87" s="622"/>
      <c r="D87" s="622"/>
      <c r="E87" s="622"/>
      <c r="F87" s="622"/>
      <c r="G87" s="622"/>
      <c r="H87" s="622"/>
      <c r="I87" s="622"/>
      <c r="J87" s="622"/>
      <c r="K87" s="622"/>
      <c r="L87" s="622"/>
      <c r="M87" s="622"/>
      <c r="N87" s="622"/>
      <c r="O87" s="623"/>
      <c r="P87" s="619" t="s">
        <v>40</v>
      </c>
      <c r="Q87" s="620"/>
      <c r="R87" s="620"/>
      <c r="S87" s="620"/>
      <c r="T87" s="620"/>
      <c r="U87" s="620"/>
      <c r="V87" s="621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5">
      <c r="A88" s="622"/>
      <c r="B88" s="622"/>
      <c r="C88" s="622"/>
      <c r="D88" s="622"/>
      <c r="E88" s="622"/>
      <c r="F88" s="622"/>
      <c r="G88" s="622"/>
      <c r="H88" s="622"/>
      <c r="I88" s="622"/>
      <c r="J88" s="622"/>
      <c r="K88" s="622"/>
      <c r="L88" s="622"/>
      <c r="M88" s="622"/>
      <c r="N88" s="622"/>
      <c r="O88" s="623"/>
      <c r="P88" s="619" t="s">
        <v>40</v>
      </c>
      <c r="Q88" s="620"/>
      <c r="R88" s="620"/>
      <c r="S88" s="620"/>
      <c r="T88" s="620"/>
      <c r="U88" s="620"/>
      <c r="V88" s="621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30" t="s">
        <v>198</v>
      </c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0"/>
      <c r="P89" s="630"/>
      <c r="Q89" s="630"/>
      <c r="R89" s="630"/>
      <c r="S89" s="630"/>
      <c r="T89" s="630"/>
      <c r="U89" s="630"/>
      <c r="V89" s="630"/>
      <c r="W89" s="630"/>
      <c r="X89" s="630"/>
      <c r="Y89" s="630"/>
      <c r="Z89" s="630"/>
      <c r="AA89" s="65"/>
      <c r="AB89" s="65"/>
      <c r="AC89" s="79"/>
    </row>
    <row r="90" spans="1:68" ht="14.25" customHeight="1" x14ac:dyDescent="0.25">
      <c r="A90" s="614" t="s">
        <v>139</v>
      </c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15">
        <v>4680115881327</v>
      </c>
      <c r="E91" s="615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17"/>
      <c r="R91" s="617"/>
      <c r="S91" s="617"/>
      <c r="T91" s="618"/>
      <c r="U91" s="39" t="s">
        <v>46</v>
      </c>
      <c r="V91" s="39" t="s">
        <v>46</v>
      </c>
      <c r="W91" s="40" t="s">
        <v>0</v>
      </c>
      <c r="X91" s="58">
        <v>540</v>
      </c>
      <c r="Y91" s="55">
        <f>IFERROR(IF(X91="",0,CEILING((X91/$H91),1)*$H91),"")</f>
        <v>540</v>
      </c>
      <c r="Z91" s="41">
        <f>IFERROR(IF(Y91=0,"",ROUNDUP(Y91/H91,0)*0.01898),"")</f>
        <v>0.94900000000000007</v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560.5</v>
      </c>
      <c r="BN91" s="78">
        <f>IFERROR(Y91*I91/H91,"0")</f>
        <v>560.5</v>
      </c>
      <c r="BO91" s="78">
        <f>IFERROR(1/J91*(X91/H91),"0")</f>
        <v>0.78125</v>
      </c>
      <c r="BP91" s="78">
        <f>IFERROR(1/J91*(Y91/H91),"0")</f>
        <v>0.78125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15">
        <v>4680115887732</v>
      </c>
      <c r="E92" s="615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85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17"/>
      <c r="R92" s="617"/>
      <c r="S92" s="617"/>
      <c r="T92" s="6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15">
        <v>4680115881518</v>
      </c>
      <c r="E93" s="6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17"/>
      <c r="R93" s="617"/>
      <c r="S93" s="617"/>
      <c r="T93" s="6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15">
        <v>4680115881303</v>
      </c>
      <c r="E94" s="6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85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17"/>
      <c r="R94" s="617"/>
      <c r="S94" s="617"/>
      <c r="T94" s="6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5">
      <c r="A95" s="622"/>
      <c r="B95" s="622"/>
      <c r="C95" s="622"/>
      <c r="D95" s="622"/>
      <c r="E95" s="622"/>
      <c r="F95" s="622"/>
      <c r="G95" s="622"/>
      <c r="H95" s="622"/>
      <c r="I95" s="622"/>
      <c r="J95" s="622"/>
      <c r="K95" s="622"/>
      <c r="L95" s="622"/>
      <c r="M95" s="622"/>
      <c r="N95" s="622"/>
      <c r="O95" s="623"/>
      <c r="P95" s="619" t="s">
        <v>40</v>
      </c>
      <c r="Q95" s="620"/>
      <c r="R95" s="620"/>
      <c r="S95" s="620"/>
      <c r="T95" s="620"/>
      <c r="U95" s="620"/>
      <c r="V95" s="621"/>
      <c r="W95" s="42" t="s">
        <v>39</v>
      </c>
      <c r="X95" s="43">
        <f>IFERROR(X91/H91,"0")+IFERROR(X92/H92,"0")+IFERROR(X93/H93,"0")+IFERROR(X94/H94,"0")</f>
        <v>50</v>
      </c>
      <c r="Y95" s="43">
        <f>IFERROR(Y91/H91,"0")+IFERROR(Y92/H92,"0")+IFERROR(Y93/H93,"0")+IFERROR(Y94/H94,"0")</f>
        <v>50</v>
      </c>
      <c r="Z95" s="43">
        <f>IFERROR(IF(Z91="",0,Z91),"0")+IFERROR(IF(Z92="",0,Z92),"0")+IFERROR(IF(Z93="",0,Z93),"0")+IFERROR(IF(Z94="",0,Z94),"0")</f>
        <v>0.94900000000000007</v>
      </c>
      <c r="AA95" s="67"/>
      <c r="AB95" s="67"/>
      <c r="AC95" s="67"/>
    </row>
    <row r="96" spans="1:68" x14ac:dyDescent="0.25">
      <c r="A96" s="622"/>
      <c r="B96" s="622"/>
      <c r="C96" s="622"/>
      <c r="D96" s="622"/>
      <c r="E96" s="622"/>
      <c r="F96" s="622"/>
      <c r="G96" s="622"/>
      <c r="H96" s="622"/>
      <c r="I96" s="622"/>
      <c r="J96" s="622"/>
      <c r="K96" s="622"/>
      <c r="L96" s="622"/>
      <c r="M96" s="622"/>
      <c r="N96" s="622"/>
      <c r="O96" s="623"/>
      <c r="P96" s="619" t="s">
        <v>40</v>
      </c>
      <c r="Q96" s="620"/>
      <c r="R96" s="620"/>
      <c r="S96" s="620"/>
      <c r="T96" s="620"/>
      <c r="U96" s="620"/>
      <c r="V96" s="621"/>
      <c r="W96" s="42" t="s">
        <v>0</v>
      </c>
      <c r="X96" s="43">
        <f>IFERROR(SUM(X91:X94),"0")</f>
        <v>540</v>
      </c>
      <c r="Y96" s="43">
        <f>IFERROR(SUM(Y91:Y94),"0")</f>
        <v>540</v>
      </c>
      <c r="Z96" s="42"/>
      <c r="AA96" s="67"/>
      <c r="AB96" s="67"/>
      <c r="AC96" s="67"/>
    </row>
    <row r="97" spans="1:68" ht="14.25" customHeight="1" x14ac:dyDescent="0.25">
      <c r="A97" s="614" t="s">
        <v>90</v>
      </c>
      <c r="B97" s="614"/>
      <c r="C97" s="614"/>
      <c r="D97" s="614"/>
      <c r="E97" s="614"/>
      <c r="F97" s="614"/>
      <c r="G97" s="614"/>
      <c r="H97" s="614"/>
      <c r="I97" s="614"/>
      <c r="J97" s="614"/>
      <c r="K97" s="614"/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15">
        <v>4607091386967</v>
      </c>
      <c r="E98" s="6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84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17"/>
      <c r="R98" s="617"/>
      <c r="S98" s="617"/>
      <c r="T98" s="618"/>
      <c r="U98" s="39" t="s">
        <v>46</v>
      </c>
      <c r="V98" s="39" t="s">
        <v>46</v>
      </c>
      <c r="W98" s="40" t="s">
        <v>0</v>
      </c>
      <c r="X98" s="58">
        <v>405</v>
      </c>
      <c r="Y98" s="55">
        <f>IFERROR(IF(X98="",0,CEILING((X98/$H98),1)*$H98),"")</f>
        <v>405</v>
      </c>
      <c r="Z98" s="41">
        <f>IFERROR(IF(Y98=0,"",ROUNDUP(Y98/H98,0)*0.01898),"")</f>
        <v>0.94900000000000007</v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429.7</v>
      </c>
      <c r="BN98" s="78">
        <f>IFERROR(Y98*I98/H98,"0")</f>
        <v>429.7</v>
      </c>
      <c r="BO98" s="78">
        <f>IFERROR(1/J98*(X98/H98),"0")</f>
        <v>0.78125</v>
      </c>
      <c r="BP98" s="78">
        <f>IFERROR(1/J98*(Y98/H98),"0")</f>
        <v>0.78125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15">
        <v>4680115884953</v>
      </c>
      <c r="E99" s="6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84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17"/>
      <c r="R99" s="617"/>
      <c r="S99" s="617"/>
      <c r="T99" s="6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15">
        <v>4607091385731</v>
      </c>
      <c r="E100" s="6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17"/>
      <c r="R100" s="617"/>
      <c r="S100" s="617"/>
      <c r="T100" s="6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15">
        <v>4680115880894</v>
      </c>
      <c r="E101" s="6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8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17"/>
      <c r="R101" s="617"/>
      <c r="S101" s="617"/>
      <c r="T101" s="6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5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O102" s="623"/>
      <c r="P102" s="619" t="s">
        <v>40</v>
      </c>
      <c r="Q102" s="620"/>
      <c r="R102" s="620"/>
      <c r="S102" s="620"/>
      <c r="T102" s="620"/>
      <c r="U102" s="620"/>
      <c r="V102" s="621"/>
      <c r="W102" s="42" t="s">
        <v>39</v>
      </c>
      <c r="X102" s="43">
        <f>IFERROR(X98/H98,"0")+IFERROR(X99/H99,"0")+IFERROR(X100/H100,"0")+IFERROR(X101/H101,"0")</f>
        <v>50</v>
      </c>
      <c r="Y102" s="43">
        <f>IFERROR(Y98/H98,"0")+IFERROR(Y99/H99,"0")+IFERROR(Y100/H100,"0")+IFERROR(Y101/H101,"0")</f>
        <v>50</v>
      </c>
      <c r="Z102" s="43">
        <f>IFERROR(IF(Z98="",0,Z98),"0")+IFERROR(IF(Z99="",0,Z99),"0")+IFERROR(IF(Z100="",0,Z100),"0")+IFERROR(IF(Z101="",0,Z101),"0")</f>
        <v>0.94900000000000007</v>
      </c>
      <c r="AA102" s="67"/>
      <c r="AB102" s="67"/>
      <c r="AC102" s="67"/>
    </row>
    <row r="103" spans="1:68" x14ac:dyDescent="0.25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O103" s="623"/>
      <c r="P103" s="619" t="s">
        <v>40</v>
      </c>
      <c r="Q103" s="620"/>
      <c r="R103" s="620"/>
      <c r="S103" s="620"/>
      <c r="T103" s="620"/>
      <c r="U103" s="620"/>
      <c r="V103" s="621"/>
      <c r="W103" s="42" t="s">
        <v>0</v>
      </c>
      <c r="X103" s="43">
        <f>IFERROR(SUM(X98:X101),"0")</f>
        <v>405</v>
      </c>
      <c r="Y103" s="43">
        <f>IFERROR(SUM(Y98:Y101),"0")</f>
        <v>405</v>
      </c>
      <c r="Z103" s="42"/>
      <c r="AA103" s="67"/>
      <c r="AB103" s="67"/>
      <c r="AC103" s="67"/>
    </row>
    <row r="104" spans="1:68" ht="16.5" customHeight="1" x14ac:dyDescent="0.25">
      <c r="A104" s="630" t="s">
        <v>219</v>
      </c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0"/>
      <c r="P104" s="630"/>
      <c r="Q104" s="630"/>
      <c r="R104" s="630"/>
      <c r="S104" s="630"/>
      <c r="T104" s="630"/>
      <c r="U104" s="630"/>
      <c r="V104" s="630"/>
      <c r="W104" s="630"/>
      <c r="X104" s="630"/>
      <c r="Y104" s="630"/>
      <c r="Z104" s="630"/>
      <c r="AA104" s="65"/>
      <c r="AB104" s="65"/>
      <c r="AC104" s="79"/>
    </row>
    <row r="105" spans="1:68" ht="14.25" customHeight="1" x14ac:dyDescent="0.25">
      <c r="A105" s="614" t="s">
        <v>139</v>
      </c>
      <c r="B105" s="614"/>
      <c r="C105" s="614"/>
      <c r="D105" s="614"/>
      <c r="E105" s="614"/>
      <c r="F105" s="614"/>
      <c r="G105" s="614"/>
      <c r="H105" s="614"/>
      <c r="I105" s="614"/>
      <c r="J105" s="614"/>
      <c r="K105" s="614"/>
      <c r="L105" s="614"/>
      <c r="M105" s="614"/>
      <c r="N105" s="614"/>
      <c r="O105" s="614"/>
      <c r="P105" s="614"/>
      <c r="Q105" s="614"/>
      <c r="R105" s="614"/>
      <c r="S105" s="614"/>
      <c r="T105" s="614"/>
      <c r="U105" s="614"/>
      <c r="V105" s="614"/>
      <c r="W105" s="614"/>
      <c r="X105" s="614"/>
      <c r="Y105" s="614"/>
      <c r="Z105" s="614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15">
        <v>4680115882133</v>
      </c>
      <c r="E106" s="6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8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17"/>
      <c r="R106" s="617"/>
      <c r="S106" s="617"/>
      <c r="T106" s="6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15">
        <v>4680115887718</v>
      </c>
      <c r="E107" s="615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84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17"/>
      <c r="R107" s="617"/>
      <c r="S107" s="617"/>
      <c r="T107" s="6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15">
        <v>4680115887718</v>
      </c>
      <c r="E108" s="615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84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17"/>
      <c r="R108" s="617"/>
      <c r="S108" s="617"/>
      <c r="T108" s="6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15">
        <v>4680115887749</v>
      </c>
      <c r="E109" s="615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84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17"/>
      <c r="R109" s="617"/>
      <c r="S109" s="617"/>
      <c r="T109" s="6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15">
        <v>4680115880269</v>
      </c>
      <c r="E110" s="615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8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17"/>
      <c r="R110" s="617"/>
      <c r="S110" s="617"/>
      <c r="T110" s="6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15">
        <v>4680115880429</v>
      </c>
      <c r="E111" s="615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8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17"/>
      <c r="R111" s="617"/>
      <c r="S111" s="617"/>
      <c r="T111" s="6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15">
        <v>4680115881457</v>
      </c>
      <c r="E112" s="615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8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17"/>
      <c r="R112" s="617"/>
      <c r="S112" s="617"/>
      <c r="T112" s="6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5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O113" s="623"/>
      <c r="P113" s="619" t="s">
        <v>40</v>
      </c>
      <c r="Q113" s="620"/>
      <c r="R113" s="620"/>
      <c r="S113" s="620"/>
      <c r="T113" s="620"/>
      <c r="U113" s="620"/>
      <c r="V113" s="6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5">
      <c r="A114" s="622"/>
      <c r="B114" s="622"/>
      <c r="C114" s="622"/>
      <c r="D114" s="622"/>
      <c r="E114" s="622"/>
      <c r="F114" s="622"/>
      <c r="G114" s="622"/>
      <c r="H114" s="622"/>
      <c r="I114" s="622"/>
      <c r="J114" s="622"/>
      <c r="K114" s="622"/>
      <c r="L114" s="622"/>
      <c r="M114" s="622"/>
      <c r="N114" s="622"/>
      <c r="O114" s="623"/>
      <c r="P114" s="619" t="s">
        <v>40</v>
      </c>
      <c r="Q114" s="620"/>
      <c r="R114" s="620"/>
      <c r="S114" s="620"/>
      <c r="T114" s="620"/>
      <c r="U114" s="620"/>
      <c r="V114" s="6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14" t="s">
        <v>174</v>
      </c>
      <c r="B115" s="614"/>
      <c r="C115" s="614"/>
      <c r="D115" s="614"/>
      <c r="E115" s="614"/>
      <c r="F115" s="614"/>
      <c r="G115" s="614"/>
      <c r="H115" s="614"/>
      <c r="I115" s="614"/>
      <c r="J115" s="614"/>
      <c r="K115" s="614"/>
      <c r="L115" s="614"/>
      <c r="M115" s="614"/>
      <c r="N115" s="614"/>
      <c r="O115" s="614"/>
      <c r="P115" s="614"/>
      <c r="Q115" s="614"/>
      <c r="R115" s="614"/>
      <c r="S115" s="614"/>
      <c r="T115" s="614"/>
      <c r="U115" s="614"/>
      <c r="V115" s="614"/>
      <c r="W115" s="614"/>
      <c r="X115" s="614"/>
      <c r="Y115" s="614"/>
      <c r="Z115" s="614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15">
        <v>4680115881488</v>
      </c>
      <c r="E116" s="6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83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17"/>
      <c r="R116" s="617"/>
      <c r="S116" s="617"/>
      <c r="T116" s="6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15">
        <v>4680115887664</v>
      </c>
      <c r="E117" s="615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84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17"/>
      <c r="R117" s="617"/>
      <c r="S117" s="617"/>
      <c r="T117" s="6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15">
        <v>4680115887664</v>
      </c>
      <c r="E118" s="6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8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17"/>
      <c r="R118" s="617"/>
      <c r="S118" s="617"/>
      <c r="T118" s="6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15">
        <v>4680115882775</v>
      </c>
      <c r="E119" s="6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8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17"/>
      <c r="R119" s="617"/>
      <c r="S119" s="617"/>
      <c r="T119" s="6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15">
        <v>4680115880658</v>
      </c>
      <c r="E120" s="6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8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17"/>
      <c r="R120" s="617"/>
      <c r="S120" s="617"/>
      <c r="T120" s="6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5">
      <c r="A121" s="622"/>
      <c r="B121" s="622"/>
      <c r="C121" s="622"/>
      <c r="D121" s="622"/>
      <c r="E121" s="622"/>
      <c r="F121" s="622"/>
      <c r="G121" s="622"/>
      <c r="H121" s="622"/>
      <c r="I121" s="622"/>
      <c r="J121" s="622"/>
      <c r="K121" s="622"/>
      <c r="L121" s="622"/>
      <c r="M121" s="622"/>
      <c r="N121" s="622"/>
      <c r="O121" s="623"/>
      <c r="P121" s="619" t="s">
        <v>40</v>
      </c>
      <c r="Q121" s="620"/>
      <c r="R121" s="620"/>
      <c r="S121" s="620"/>
      <c r="T121" s="620"/>
      <c r="U121" s="620"/>
      <c r="V121" s="6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5">
      <c r="A122" s="622"/>
      <c r="B122" s="622"/>
      <c r="C122" s="622"/>
      <c r="D122" s="622"/>
      <c r="E122" s="622"/>
      <c r="F122" s="622"/>
      <c r="G122" s="622"/>
      <c r="H122" s="622"/>
      <c r="I122" s="622"/>
      <c r="J122" s="622"/>
      <c r="K122" s="622"/>
      <c r="L122" s="622"/>
      <c r="M122" s="622"/>
      <c r="N122" s="622"/>
      <c r="O122" s="623"/>
      <c r="P122" s="619" t="s">
        <v>40</v>
      </c>
      <c r="Q122" s="620"/>
      <c r="R122" s="620"/>
      <c r="S122" s="620"/>
      <c r="T122" s="620"/>
      <c r="U122" s="620"/>
      <c r="V122" s="6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14" t="s">
        <v>90</v>
      </c>
      <c r="B123" s="614"/>
      <c r="C123" s="614"/>
      <c r="D123" s="614"/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15">
        <v>4607091385168</v>
      </c>
      <c r="E124" s="6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8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17"/>
      <c r="R124" s="617"/>
      <c r="S124" s="617"/>
      <c r="T124" s="618"/>
      <c r="U124" s="39" t="s">
        <v>46</v>
      </c>
      <c r="V124" s="39" t="s">
        <v>46</v>
      </c>
      <c r="W124" s="40" t="s">
        <v>0</v>
      </c>
      <c r="X124" s="58">
        <v>405</v>
      </c>
      <c r="Y124" s="55">
        <f>IFERROR(IF(X124="",0,CEILING((X124/$H124),1)*$H124),"")</f>
        <v>405</v>
      </c>
      <c r="Z124" s="41">
        <f>IFERROR(IF(Y124=0,"",ROUNDUP(Y124/H124,0)*0.01898),"")</f>
        <v>0.94900000000000007</v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429.4</v>
      </c>
      <c r="BN124" s="78">
        <f>IFERROR(Y124*I124/H124,"0")</f>
        <v>429.4</v>
      </c>
      <c r="BO124" s="78">
        <f>IFERROR(1/J124*(X124/H124),"0")</f>
        <v>0.78125</v>
      </c>
      <c r="BP124" s="78">
        <f>IFERROR(1/J124*(Y124/H124),"0")</f>
        <v>0.78125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15">
        <v>4607091383256</v>
      </c>
      <c r="E125" s="6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8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17"/>
      <c r="R125" s="617"/>
      <c r="S125" s="617"/>
      <c r="T125" s="6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15">
        <v>4607091385748</v>
      </c>
      <c r="E126" s="6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83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17"/>
      <c r="R126" s="617"/>
      <c r="S126" s="617"/>
      <c r="T126" s="6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15">
        <v>4680115884533</v>
      </c>
      <c r="E127" s="6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8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17"/>
      <c r="R127" s="617"/>
      <c r="S127" s="617"/>
      <c r="T127" s="6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5">
      <c r="A128" s="622"/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3"/>
      <c r="P128" s="619" t="s">
        <v>40</v>
      </c>
      <c r="Q128" s="620"/>
      <c r="R128" s="620"/>
      <c r="S128" s="620"/>
      <c r="T128" s="620"/>
      <c r="U128" s="620"/>
      <c r="V128" s="621"/>
      <c r="W128" s="42" t="s">
        <v>39</v>
      </c>
      <c r="X128" s="43">
        <f>IFERROR(X124/H124,"0")+IFERROR(X125/H125,"0")+IFERROR(X126/H126,"0")+IFERROR(X127/H127,"0")</f>
        <v>50</v>
      </c>
      <c r="Y128" s="43">
        <f>IFERROR(Y124/H124,"0")+IFERROR(Y125/H125,"0")+IFERROR(Y126/H126,"0")+IFERROR(Y127/H127,"0")</f>
        <v>50</v>
      </c>
      <c r="Z128" s="43">
        <f>IFERROR(IF(Z124="",0,Z124),"0")+IFERROR(IF(Z125="",0,Z125),"0")+IFERROR(IF(Z126="",0,Z126),"0")+IFERROR(IF(Z127="",0,Z127),"0")</f>
        <v>0.94900000000000007</v>
      </c>
      <c r="AA128" s="67"/>
      <c r="AB128" s="67"/>
      <c r="AC128" s="67"/>
    </row>
    <row r="129" spans="1:68" x14ac:dyDescent="0.25">
      <c r="A129" s="622"/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3"/>
      <c r="P129" s="619" t="s">
        <v>40</v>
      </c>
      <c r="Q129" s="620"/>
      <c r="R129" s="620"/>
      <c r="S129" s="620"/>
      <c r="T129" s="620"/>
      <c r="U129" s="620"/>
      <c r="V129" s="621"/>
      <c r="W129" s="42" t="s">
        <v>0</v>
      </c>
      <c r="X129" s="43">
        <f>IFERROR(SUM(X124:X127),"0")</f>
        <v>405</v>
      </c>
      <c r="Y129" s="43">
        <f>IFERROR(SUM(Y124:Y127),"0")</f>
        <v>405</v>
      </c>
      <c r="Z129" s="42"/>
      <c r="AA129" s="67"/>
      <c r="AB129" s="67"/>
      <c r="AC129" s="67"/>
    </row>
    <row r="130" spans="1:68" ht="14.25" customHeight="1" x14ac:dyDescent="0.25">
      <c r="A130" s="614" t="s">
        <v>191</v>
      </c>
      <c r="B130" s="614"/>
      <c r="C130" s="614"/>
      <c r="D130" s="614"/>
      <c r="E130" s="614"/>
      <c r="F130" s="614"/>
      <c r="G130" s="614"/>
      <c r="H130" s="614"/>
      <c r="I130" s="614"/>
      <c r="J130" s="614"/>
      <c r="K130" s="614"/>
      <c r="L130" s="614"/>
      <c r="M130" s="614"/>
      <c r="N130" s="614"/>
      <c r="O130" s="614"/>
      <c r="P130" s="614"/>
      <c r="Q130" s="614"/>
      <c r="R130" s="614"/>
      <c r="S130" s="614"/>
      <c r="T130" s="614"/>
      <c r="U130" s="614"/>
      <c r="V130" s="614"/>
      <c r="W130" s="614"/>
      <c r="X130" s="614"/>
      <c r="Y130" s="614"/>
      <c r="Z130" s="614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15">
        <v>4680115880238</v>
      </c>
      <c r="E131" s="6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17"/>
      <c r="R131" s="617"/>
      <c r="S131" s="617"/>
      <c r="T131" s="6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5">
      <c r="A132" s="622"/>
      <c r="B132" s="622"/>
      <c r="C132" s="622"/>
      <c r="D132" s="622"/>
      <c r="E132" s="622"/>
      <c r="F132" s="622"/>
      <c r="G132" s="622"/>
      <c r="H132" s="622"/>
      <c r="I132" s="622"/>
      <c r="J132" s="622"/>
      <c r="K132" s="622"/>
      <c r="L132" s="622"/>
      <c r="M132" s="622"/>
      <c r="N132" s="622"/>
      <c r="O132" s="623"/>
      <c r="P132" s="619" t="s">
        <v>40</v>
      </c>
      <c r="Q132" s="620"/>
      <c r="R132" s="620"/>
      <c r="S132" s="620"/>
      <c r="T132" s="620"/>
      <c r="U132" s="620"/>
      <c r="V132" s="6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5">
      <c r="A133" s="622"/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3"/>
      <c r="P133" s="619" t="s">
        <v>40</v>
      </c>
      <c r="Q133" s="620"/>
      <c r="R133" s="620"/>
      <c r="S133" s="620"/>
      <c r="T133" s="620"/>
      <c r="U133" s="620"/>
      <c r="V133" s="6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30" t="s">
        <v>261</v>
      </c>
      <c r="B134" s="630"/>
      <c r="C134" s="630"/>
      <c r="D134" s="630"/>
      <c r="E134" s="630"/>
      <c r="F134" s="630"/>
      <c r="G134" s="630"/>
      <c r="H134" s="630"/>
      <c r="I134" s="630"/>
      <c r="J134" s="630"/>
      <c r="K134" s="630"/>
      <c r="L134" s="630"/>
      <c r="M134" s="630"/>
      <c r="N134" s="630"/>
      <c r="O134" s="630"/>
      <c r="P134" s="630"/>
      <c r="Q134" s="630"/>
      <c r="R134" s="630"/>
      <c r="S134" s="630"/>
      <c r="T134" s="630"/>
      <c r="U134" s="630"/>
      <c r="V134" s="630"/>
      <c r="W134" s="630"/>
      <c r="X134" s="630"/>
      <c r="Y134" s="630"/>
      <c r="Z134" s="630"/>
      <c r="AA134" s="65"/>
      <c r="AB134" s="65"/>
      <c r="AC134" s="79"/>
    </row>
    <row r="135" spans="1:68" ht="14.25" customHeight="1" x14ac:dyDescent="0.25">
      <c r="A135" s="614" t="s">
        <v>139</v>
      </c>
      <c r="B135" s="614"/>
      <c r="C135" s="614"/>
      <c r="D135" s="614"/>
      <c r="E135" s="614"/>
      <c r="F135" s="614"/>
      <c r="G135" s="614"/>
      <c r="H135" s="614"/>
      <c r="I135" s="614"/>
      <c r="J135" s="614"/>
      <c r="K135" s="614"/>
      <c r="L135" s="614"/>
      <c r="M135" s="614"/>
      <c r="N135" s="614"/>
      <c r="O135" s="614"/>
      <c r="P135" s="614"/>
      <c r="Q135" s="614"/>
      <c r="R135" s="614"/>
      <c r="S135" s="614"/>
      <c r="T135" s="614"/>
      <c r="U135" s="614"/>
      <c r="V135" s="614"/>
      <c r="W135" s="614"/>
      <c r="X135" s="614"/>
      <c r="Y135" s="614"/>
      <c r="Z135" s="614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15">
        <v>4680115882577</v>
      </c>
      <c r="E136" s="6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17"/>
      <c r="R136" s="617"/>
      <c r="S136" s="617"/>
      <c r="T136" s="6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15">
        <v>4680115882577</v>
      </c>
      <c r="E137" s="6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82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17"/>
      <c r="R137" s="617"/>
      <c r="S137" s="617"/>
      <c r="T137" s="6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5">
      <c r="A138" s="622"/>
      <c r="B138" s="622"/>
      <c r="C138" s="622"/>
      <c r="D138" s="622"/>
      <c r="E138" s="622"/>
      <c r="F138" s="622"/>
      <c r="G138" s="622"/>
      <c r="H138" s="622"/>
      <c r="I138" s="622"/>
      <c r="J138" s="622"/>
      <c r="K138" s="622"/>
      <c r="L138" s="622"/>
      <c r="M138" s="622"/>
      <c r="N138" s="622"/>
      <c r="O138" s="623"/>
      <c r="P138" s="619" t="s">
        <v>40</v>
      </c>
      <c r="Q138" s="620"/>
      <c r="R138" s="620"/>
      <c r="S138" s="620"/>
      <c r="T138" s="620"/>
      <c r="U138" s="620"/>
      <c r="V138" s="6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5">
      <c r="A139" s="622"/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3"/>
      <c r="P139" s="619" t="s">
        <v>40</v>
      </c>
      <c r="Q139" s="620"/>
      <c r="R139" s="620"/>
      <c r="S139" s="620"/>
      <c r="T139" s="620"/>
      <c r="U139" s="620"/>
      <c r="V139" s="6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14" t="s">
        <v>77</v>
      </c>
      <c r="B140" s="614"/>
      <c r="C140" s="614"/>
      <c r="D140" s="614"/>
      <c r="E140" s="614"/>
      <c r="F140" s="614"/>
      <c r="G140" s="614"/>
      <c r="H140" s="614"/>
      <c r="I140" s="614"/>
      <c r="J140" s="614"/>
      <c r="K140" s="614"/>
      <c r="L140" s="614"/>
      <c r="M140" s="614"/>
      <c r="N140" s="614"/>
      <c r="O140" s="614"/>
      <c r="P140" s="614"/>
      <c r="Q140" s="614"/>
      <c r="R140" s="614"/>
      <c r="S140" s="614"/>
      <c r="T140" s="614"/>
      <c r="U140" s="614"/>
      <c r="V140" s="614"/>
      <c r="W140" s="614"/>
      <c r="X140" s="614"/>
      <c r="Y140" s="614"/>
      <c r="Z140" s="614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15">
        <v>4680115883444</v>
      </c>
      <c r="E141" s="6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82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17"/>
      <c r="R141" s="617"/>
      <c r="S141" s="617"/>
      <c r="T141" s="6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15">
        <v>4680115883444</v>
      </c>
      <c r="E142" s="6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17"/>
      <c r="R142" s="617"/>
      <c r="S142" s="617"/>
      <c r="T142" s="6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5">
      <c r="A143" s="622"/>
      <c r="B143" s="622"/>
      <c r="C143" s="622"/>
      <c r="D143" s="622"/>
      <c r="E143" s="622"/>
      <c r="F143" s="622"/>
      <c r="G143" s="622"/>
      <c r="H143" s="622"/>
      <c r="I143" s="622"/>
      <c r="J143" s="622"/>
      <c r="K143" s="622"/>
      <c r="L143" s="622"/>
      <c r="M143" s="622"/>
      <c r="N143" s="622"/>
      <c r="O143" s="623"/>
      <c r="P143" s="619" t="s">
        <v>40</v>
      </c>
      <c r="Q143" s="620"/>
      <c r="R143" s="620"/>
      <c r="S143" s="620"/>
      <c r="T143" s="620"/>
      <c r="U143" s="620"/>
      <c r="V143" s="6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5">
      <c r="A144" s="622"/>
      <c r="B144" s="622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O144" s="623"/>
      <c r="P144" s="619" t="s">
        <v>40</v>
      </c>
      <c r="Q144" s="620"/>
      <c r="R144" s="620"/>
      <c r="S144" s="620"/>
      <c r="T144" s="620"/>
      <c r="U144" s="620"/>
      <c r="V144" s="6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14" t="s">
        <v>90</v>
      </c>
      <c r="B145" s="614"/>
      <c r="C145" s="614"/>
      <c r="D145" s="614"/>
      <c r="E145" s="614"/>
      <c r="F145" s="614"/>
      <c r="G145" s="614"/>
      <c r="H145" s="614"/>
      <c r="I145" s="614"/>
      <c r="J145" s="614"/>
      <c r="K145" s="614"/>
      <c r="L145" s="614"/>
      <c r="M145" s="614"/>
      <c r="N145" s="614"/>
      <c r="O145" s="614"/>
      <c r="P145" s="614"/>
      <c r="Q145" s="614"/>
      <c r="R145" s="614"/>
      <c r="S145" s="614"/>
      <c r="T145" s="614"/>
      <c r="U145" s="614"/>
      <c r="V145" s="614"/>
      <c r="W145" s="614"/>
      <c r="X145" s="614"/>
      <c r="Y145" s="614"/>
      <c r="Z145" s="614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15">
        <v>4680115882584</v>
      </c>
      <c r="E146" s="6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8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17"/>
      <c r="R146" s="617"/>
      <c r="S146" s="617"/>
      <c r="T146" s="6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15">
        <v>4680115882584</v>
      </c>
      <c r="E147" s="6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82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17"/>
      <c r="R147" s="617"/>
      <c r="S147" s="617"/>
      <c r="T147" s="6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5">
      <c r="A148" s="622"/>
      <c r="B148" s="622"/>
      <c r="C148" s="622"/>
      <c r="D148" s="622"/>
      <c r="E148" s="622"/>
      <c r="F148" s="622"/>
      <c r="G148" s="622"/>
      <c r="H148" s="622"/>
      <c r="I148" s="622"/>
      <c r="J148" s="622"/>
      <c r="K148" s="622"/>
      <c r="L148" s="622"/>
      <c r="M148" s="622"/>
      <c r="N148" s="622"/>
      <c r="O148" s="623"/>
      <c r="P148" s="619" t="s">
        <v>40</v>
      </c>
      <c r="Q148" s="620"/>
      <c r="R148" s="620"/>
      <c r="S148" s="620"/>
      <c r="T148" s="620"/>
      <c r="U148" s="620"/>
      <c r="V148" s="6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5">
      <c r="A149" s="622"/>
      <c r="B149" s="622"/>
      <c r="C149" s="622"/>
      <c r="D149" s="622"/>
      <c r="E149" s="622"/>
      <c r="F149" s="622"/>
      <c r="G149" s="622"/>
      <c r="H149" s="622"/>
      <c r="I149" s="622"/>
      <c r="J149" s="622"/>
      <c r="K149" s="622"/>
      <c r="L149" s="622"/>
      <c r="M149" s="622"/>
      <c r="N149" s="622"/>
      <c r="O149" s="623"/>
      <c r="P149" s="619" t="s">
        <v>40</v>
      </c>
      <c r="Q149" s="620"/>
      <c r="R149" s="620"/>
      <c r="S149" s="620"/>
      <c r="T149" s="620"/>
      <c r="U149" s="620"/>
      <c r="V149" s="6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30" t="s">
        <v>273</v>
      </c>
      <c r="B150" s="630"/>
      <c r="C150" s="630"/>
      <c r="D150" s="630"/>
      <c r="E150" s="630"/>
      <c r="F150" s="630"/>
      <c r="G150" s="630"/>
      <c r="H150" s="630"/>
      <c r="I150" s="630"/>
      <c r="J150" s="630"/>
      <c r="K150" s="630"/>
      <c r="L150" s="630"/>
      <c r="M150" s="630"/>
      <c r="N150" s="630"/>
      <c r="O150" s="630"/>
      <c r="P150" s="630"/>
      <c r="Q150" s="630"/>
      <c r="R150" s="630"/>
      <c r="S150" s="630"/>
      <c r="T150" s="630"/>
      <c r="U150" s="630"/>
      <c r="V150" s="630"/>
      <c r="W150" s="630"/>
      <c r="X150" s="630"/>
      <c r="Y150" s="630"/>
      <c r="Z150" s="630"/>
      <c r="AA150" s="65"/>
      <c r="AB150" s="65"/>
      <c r="AC150" s="79"/>
    </row>
    <row r="151" spans="1:68" ht="14.25" customHeight="1" x14ac:dyDescent="0.25">
      <c r="A151" s="614" t="s">
        <v>90</v>
      </c>
      <c r="B151" s="614"/>
      <c r="C151" s="614"/>
      <c r="D151" s="614"/>
      <c r="E151" s="614"/>
      <c r="F151" s="614"/>
      <c r="G151" s="614"/>
      <c r="H151" s="614"/>
      <c r="I151" s="614"/>
      <c r="J151" s="614"/>
      <c r="K151" s="614"/>
      <c r="L151" s="614"/>
      <c r="M151" s="614"/>
      <c r="N151" s="614"/>
      <c r="O151" s="614"/>
      <c r="P151" s="614"/>
      <c r="Q151" s="614"/>
      <c r="R151" s="614"/>
      <c r="S151" s="614"/>
      <c r="T151" s="614"/>
      <c r="U151" s="614"/>
      <c r="V151" s="614"/>
      <c r="W151" s="614"/>
      <c r="X151" s="614"/>
      <c r="Y151" s="614"/>
      <c r="Z151" s="614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15">
        <v>4680115888203</v>
      </c>
      <c r="E152" s="6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82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17"/>
      <c r="R152" s="617"/>
      <c r="S152" s="617"/>
      <c r="T152" s="6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15">
        <v>4680115888180</v>
      </c>
      <c r="E153" s="615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82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17"/>
      <c r="R153" s="617"/>
      <c r="S153" s="617"/>
      <c r="T153" s="6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15">
        <v>4680115888197</v>
      </c>
      <c r="E154" s="6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82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17"/>
      <c r="R154" s="617"/>
      <c r="S154" s="617"/>
      <c r="T154" s="6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15">
        <v>4680115888210</v>
      </c>
      <c r="E155" s="61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82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17"/>
      <c r="R155" s="617"/>
      <c r="S155" s="617"/>
      <c r="T155" s="6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5">
      <c r="A156" s="622"/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O156" s="623"/>
      <c r="P156" s="619" t="s">
        <v>40</v>
      </c>
      <c r="Q156" s="620"/>
      <c r="R156" s="620"/>
      <c r="S156" s="620"/>
      <c r="T156" s="620"/>
      <c r="U156" s="620"/>
      <c r="V156" s="6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5">
      <c r="A157" s="622"/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3"/>
      <c r="P157" s="619" t="s">
        <v>40</v>
      </c>
      <c r="Q157" s="620"/>
      <c r="R157" s="620"/>
      <c r="S157" s="620"/>
      <c r="T157" s="620"/>
      <c r="U157" s="620"/>
      <c r="V157" s="6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30" t="s">
        <v>137</v>
      </c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0"/>
      <c r="P158" s="630"/>
      <c r="Q158" s="630"/>
      <c r="R158" s="630"/>
      <c r="S158" s="630"/>
      <c r="T158" s="630"/>
      <c r="U158" s="630"/>
      <c r="V158" s="630"/>
      <c r="W158" s="630"/>
      <c r="X158" s="630"/>
      <c r="Y158" s="630"/>
      <c r="Z158" s="630"/>
      <c r="AA158" s="65"/>
      <c r="AB158" s="65"/>
      <c r="AC158" s="79"/>
    </row>
    <row r="159" spans="1:68" ht="14.25" customHeight="1" x14ac:dyDescent="0.25">
      <c r="A159" s="614" t="s">
        <v>139</v>
      </c>
      <c r="B159" s="614"/>
      <c r="C159" s="614"/>
      <c r="D159" s="614"/>
      <c r="E159" s="614"/>
      <c r="F159" s="614"/>
      <c r="G159" s="614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15">
        <v>4680115887374</v>
      </c>
      <c r="E160" s="615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81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17"/>
      <c r="R160" s="617"/>
      <c r="S160" s="617"/>
      <c r="T160" s="618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15">
        <v>4607091384604</v>
      </c>
      <c r="E161" s="615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81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17"/>
      <c r="R161" s="617"/>
      <c r="S161" s="617"/>
      <c r="T161" s="618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5">
      <c r="A162" s="622"/>
      <c r="B162" s="622"/>
      <c r="C162" s="622"/>
      <c r="D162" s="622"/>
      <c r="E162" s="622"/>
      <c r="F162" s="622"/>
      <c r="G162" s="622"/>
      <c r="H162" s="622"/>
      <c r="I162" s="622"/>
      <c r="J162" s="622"/>
      <c r="K162" s="622"/>
      <c r="L162" s="622"/>
      <c r="M162" s="622"/>
      <c r="N162" s="622"/>
      <c r="O162" s="623"/>
      <c r="P162" s="619" t="s">
        <v>40</v>
      </c>
      <c r="Q162" s="620"/>
      <c r="R162" s="620"/>
      <c r="S162" s="620"/>
      <c r="T162" s="620"/>
      <c r="U162" s="620"/>
      <c r="V162" s="621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5">
      <c r="A163" s="622"/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O163" s="623"/>
      <c r="P163" s="619" t="s">
        <v>40</v>
      </c>
      <c r="Q163" s="620"/>
      <c r="R163" s="620"/>
      <c r="S163" s="620"/>
      <c r="T163" s="620"/>
      <c r="U163" s="620"/>
      <c r="V163" s="621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14" t="s">
        <v>174</v>
      </c>
      <c r="B164" s="614"/>
      <c r="C164" s="614"/>
      <c r="D164" s="614"/>
      <c r="E164" s="614"/>
      <c r="F164" s="614"/>
      <c r="G164" s="614"/>
      <c r="H164" s="614"/>
      <c r="I164" s="614"/>
      <c r="J164" s="614"/>
      <c r="K164" s="614"/>
      <c r="L164" s="614"/>
      <c r="M164" s="614"/>
      <c r="N164" s="614"/>
      <c r="O164" s="614"/>
      <c r="P164" s="614"/>
      <c r="Q164" s="614"/>
      <c r="R164" s="614"/>
      <c r="S164" s="614"/>
      <c r="T164" s="614"/>
      <c r="U164" s="614"/>
      <c r="V164" s="614"/>
      <c r="W164" s="614"/>
      <c r="X164" s="614"/>
      <c r="Y164" s="614"/>
      <c r="Z164" s="614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15">
        <v>4680115887695</v>
      </c>
      <c r="E165" s="615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17"/>
      <c r="R165" s="617"/>
      <c r="S165" s="617"/>
      <c r="T165" s="6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5">
      <c r="A166" s="622"/>
      <c r="B166" s="622"/>
      <c r="C166" s="622"/>
      <c r="D166" s="622"/>
      <c r="E166" s="622"/>
      <c r="F166" s="622"/>
      <c r="G166" s="622"/>
      <c r="H166" s="622"/>
      <c r="I166" s="622"/>
      <c r="J166" s="622"/>
      <c r="K166" s="622"/>
      <c r="L166" s="622"/>
      <c r="M166" s="622"/>
      <c r="N166" s="622"/>
      <c r="O166" s="623"/>
      <c r="P166" s="619" t="s">
        <v>40</v>
      </c>
      <c r="Q166" s="620"/>
      <c r="R166" s="620"/>
      <c r="S166" s="620"/>
      <c r="T166" s="620"/>
      <c r="U166" s="620"/>
      <c r="V166" s="621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5">
      <c r="A167" s="622"/>
      <c r="B167" s="622"/>
      <c r="C167" s="622"/>
      <c r="D167" s="622"/>
      <c r="E167" s="622"/>
      <c r="F167" s="622"/>
      <c r="G167" s="622"/>
      <c r="H167" s="622"/>
      <c r="I167" s="622"/>
      <c r="J167" s="622"/>
      <c r="K167" s="622"/>
      <c r="L167" s="622"/>
      <c r="M167" s="622"/>
      <c r="N167" s="622"/>
      <c r="O167" s="623"/>
      <c r="P167" s="619" t="s">
        <v>40</v>
      </c>
      <c r="Q167" s="620"/>
      <c r="R167" s="620"/>
      <c r="S167" s="620"/>
      <c r="T167" s="620"/>
      <c r="U167" s="620"/>
      <c r="V167" s="621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14" t="s">
        <v>77</v>
      </c>
      <c r="B168" s="614"/>
      <c r="C168" s="614"/>
      <c r="D168" s="614"/>
      <c r="E168" s="614"/>
      <c r="F168" s="614"/>
      <c r="G168" s="614"/>
      <c r="H168" s="614"/>
      <c r="I168" s="614"/>
      <c r="J168" s="614"/>
      <c r="K168" s="614"/>
      <c r="L168" s="614"/>
      <c r="M168" s="614"/>
      <c r="N168" s="614"/>
      <c r="O168" s="614"/>
      <c r="P168" s="614"/>
      <c r="Q168" s="614"/>
      <c r="R168" s="614"/>
      <c r="S168" s="614"/>
      <c r="T168" s="614"/>
      <c r="U168" s="614"/>
      <c r="V168" s="614"/>
      <c r="W168" s="614"/>
      <c r="X168" s="614"/>
      <c r="Y168" s="614"/>
      <c r="Z168" s="614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15">
        <v>4680115887428</v>
      </c>
      <c r="E169" s="615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81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17"/>
      <c r="R169" s="617"/>
      <c r="S169" s="617"/>
      <c r="T169" s="618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15">
        <v>4607091382426</v>
      </c>
      <c r="E170" s="615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17"/>
      <c r="R170" s="617"/>
      <c r="S170" s="617"/>
      <c r="T170" s="61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15">
        <v>4680115887398</v>
      </c>
      <c r="E171" s="615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81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17"/>
      <c r="R171" s="617"/>
      <c r="S171" s="617"/>
      <c r="T171" s="61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15">
        <v>4680115887336</v>
      </c>
      <c r="E172" s="615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81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17"/>
      <c r="R172" s="617"/>
      <c r="S172" s="617"/>
      <c r="T172" s="61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15">
        <v>4680115887787</v>
      </c>
      <c r="E173" s="615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81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17"/>
      <c r="R173" s="617"/>
      <c r="S173" s="617"/>
      <c r="T173" s="61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15">
        <v>4680115887503</v>
      </c>
      <c r="E174" s="615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81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17"/>
      <c r="R174" s="617"/>
      <c r="S174" s="617"/>
      <c r="T174" s="61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15">
        <v>4680115887763</v>
      </c>
      <c r="E175" s="615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8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17"/>
      <c r="R175" s="617"/>
      <c r="S175" s="617"/>
      <c r="T175" s="6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15">
        <v>4680115887480</v>
      </c>
      <c r="E176" s="615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80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17"/>
      <c r="R176" s="617"/>
      <c r="S176" s="617"/>
      <c r="T176" s="6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15">
        <v>4680115888067</v>
      </c>
      <c r="E177" s="615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17"/>
      <c r="R177" s="617"/>
      <c r="S177" s="617"/>
      <c r="T177" s="6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15">
        <v>4680115887435</v>
      </c>
      <c r="E178" s="615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81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17"/>
      <c r="R178" s="617"/>
      <c r="S178" s="617"/>
      <c r="T178" s="6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5">
      <c r="A179" s="622"/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623"/>
      <c r="P179" s="619" t="s">
        <v>40</v>
      </c>
      <c r="Q179" s="620"/>
      <c r="R179" s="620"/>
      <c r="S179" s="620"/>
      <c r="T179" s="620"/>
      <c r="U179" s="620"/>
      <c r="V179" s="621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5">
      <c r="A180" s="622"/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3"/>
      <c r="P180" s="619" t="s">
        <v>40</v>
      </c>
      <c r="Q180" s="620"/>
      <c r="R180" s="620"/>
      <c r="S180" s="620"/>
      <c r="T180" s="620"/>
      <c r="U180" s="620"/>
      <c r="V180" s="621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14" t="s">
        <v>90</v>
      </c>
      <c r="B181" s="614"/>
      <c r="C181" s="614"/>
      <c r="D181" s="614"/>
      <c r="E181" s="614"/>
      <c r="F181" s="614"/>
      <c r="G181" s="614"/>
      <c r="H181" s="614"/>
      <c r="I181" s="614"/>
      <c r="J181" s="614"/>
      <c r="K181" s="614"/>
      <c r="L181" s="614"/>
      <c r="M181" s="614"/>
      <c r="N181" s="614"/>
      <c r="O181" s="614"/>
      <c r="P181" s="614"/>
      <c r="Q181" s="614"/>
      <c r="R181" s="614"/>
      <c r="S181" s="614"/>
      <c r="T181" s="614"/>
      <c r="U181" s="614"/>
      <c r="V181" s="614"/>
      <c r="W181" s="614"/>
      <c r="X181" s="614"/>
      <c r="Y181" s="614"/>
      <c r="Z181" s="614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15">
        <v>4680115888395</v>
      </c>
      <c r="E182" s="615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8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17"/>
      <c r="R182" s="617"/>
      <c r="S182" s="617"/>
      <c r="T182" s="618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15">
        <v>4680115888371</v>
      </c>
      <c r="E183" s="615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17"/>
      <c r="R183" s="617"/>
      <c r="S183" s="617"/>
      <c r="T183" s="618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15">
        <v>4680115887459</v>
      </c>
      <c r="E184" s="615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8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17"/>
      <c r="R184" s="617"/>
      <c r="S184" s="617"/>
      <c r="T184" s="618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5">
      <c r="A185" s="622"/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3"/>
      <c r="P185" s="619" t="s">
        <v>40</v>
      </c>
      <c r="Q185" s="620"/>
      <c r="R185" s="620"/>
      <c r="S185" s="620"/>
      <c r="T185" s="620"/>
      <c r="U185" s="620"/>
      <c r="V185" s="621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22"/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623"/>
      <c r="P186" s="619" t="s">
        <v>40</v>
      </c>
      <c r="Q186" s="620"/>
      <c r="R186" s="620"/>
      <c r="S186" s="620"/>
      <c r="T186" s="620"/>
      <c r="U186" s="620"/>
      <c r="V186" s="621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14" t="s">
        <v>118</v>
      </c>
      <c r="B187" s="614"/>
      <c r="C187" s="614"/>
      <c r="D187" s="614"/>
      <c r="E187" s="614"/>
      <c r="F187" s="614"/>
      <c r="G187" s="614"/>
      <c r="H187" s="614"/>
      <c r="I187" s="614"/>
      <c r="J187" s="614"/>
      <c r="K187" s="614"/>
      <c r="L187" s="614"/>
      <c r="M187" s="614"/>
      <c r="N187" s="614"/>
      <c r="O187" s="614"/>
      <c r="P187" s="614"/>
      <c r="Q187" s="614"/>
      <c r="R187" s="614"/>
      <c r="S187" s="614"/>
      <c r="T187" s="614"/>
      <c r="U187" s="614"/>
      <c r="V187" s="614"/>
      <c r="W187" s="614"/>
      <c r="X187" s="614"/>
      <c r="Y187" s="614"/>
      <c r="Z187" s="614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15">
        <v>4680115889026</v>
      </c>
      <c r="E188" s="615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17"/>
      <c r="R188" s="617"/>
      <c r="S188" s="617"/>
      <c r="T188" s="618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15">
        <v>4680115889088</v>
      </c>
      <c r="E189" s="615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80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17"/>
      <c r="R189" s="617"/>
      <c r="S189" s="617"/>
      <c r="T189" s="6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5">
      <c r="A190" s="622"/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3"/>
      <c r="P190" s="619" t="s">
        <v>40</v>
      </c>
      <c r="Q190" s="620"/>
      <c r="R190" s="620"/>
      <c r="S190" s="620"/>
      <c r="T190" s="620"/>
      <c r="U190" s="620"/>
      <c r="V190" s="621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5">
      <c r="A191" s="622"/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O191" s="623"/>
      <c r="P191" s="619" t="s">
        <v>40</v>
      </c>
      <c r="Q191" s="620"/>
      <c r="R191" s="620"/>
      <c r="S191" s="620"/>
      <c r="T191" s="620"/>
      <c r="U191" s="620"/>
      <c r="V191" s="621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14" t="s">
        <v>340</v>
      </c>
      <c r="B192" s="614"/>
      <c r="C192" s="614"/>
      <c r="D192" s="614"/>
      <c r="E192" s="614"/>
      <c r="F192" s="614"/>
      <c r="G192" s="614"/>
      <c r="H192" s="614"/>
      <c r="I192" s="614"/>
      <c r="J192" s="614"/>
      <c r="K192" s="614"/>
      <c r="L192" s="614"/>
      <c r="M192" s="614"/>
      <c r="N192" s="614"/>
      <c r="O192" s="614"/>
      <c r="P192" s="614"/>
      <c r="Q192" s="614"/>
      <c r="R192" s="614"/>
      <c r="S192" s="614"/>
      <c r="T192" s="614"/>
      <c r="U192" s="614"/>
      <c r="V192" s="614"/>
      <c r="W192" s="614"/>
      <c r="X192" s="614"/>
      <c r="Y192" s="614"/>
      <c r="Z192" s="614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15">
        <v>4680115889033</v>
      </c>
      <c r="E193" s="615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80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17"/>
      <c r="R193" s="617"/>
      <c r="S193" s="617"/>
      <c r="T193" s="618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5">
      <c r="A194" s="622"/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3"/>
      <c r="P194" s="619" t="s">
        <v>40</v>
      </c>
      <c r="Q194" s="620"/>
      <c r="R194" s="620"/>
      <c r="S194" s="620"/>
      <c r="T194" s="620"/>
      <c r="U194" s="620"/>
      <c r="V194" s="621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5">
      <c r="A195" s="622"/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3"/>
      <c r="P195" s="619" t="s">
        <v>40</v>
      </c>
      <c r="Q195" s="620"/>
      <c r="R195" s="620"/>
      <c r="S195" s="620"/>
      <c r="T195" s="620"/>
      <c r="U195" s="620"/>
      <c r="V195" s="621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5">
      <c r="A196" s="635" t="s">
        <v>344</v>
      </c>
      <c r="B196" s="635"/>
      <c r="C196" s="635"/>
      <c r="D196" s="635"/>
      <c r="E196" s="635"/>
      <c r="F196" s="635"/>
      <c r="G196" s="635"/>
      <c r="H196" s="635"/>
      <c r="I196" s="635"/>
      <c r="J196" s="635"/>
      <c r="K196" s="635"/>
      <c r="L196" s="635"/>
      <c r="M196" s="635"/>
      <c r="N196" s="635"/>
      <c r="O196" s="635"/>
      <c r="P196" s="635"/>
      <c r="Q196" s="635"/>
      <c r="R196" s="635"/>
      <c r="S196" s="635"/>
      <c r="T196" s="635"/>
      <c r="U196" s="635"/>
      <c r="V196" s="635"/>
      <c r="W196" s="635"/>
      <c r="X196" s="635"/>
      <c r="Y196" s="635"/>
      <c r="Z196" s="635"/>
      <c r="AA196" s="54"/>
      <c r="AB196" s="54"/>
      <c r="AC196" s="54"/>
    </row>
    <row r="197" spans="1:68" ht="16.5" customHeight="1" x14ac:dyDescent="0.25">
      <c r="A197" s="630" t="s">
        <v>345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5"/>
      <c r="AB197" s="65"/>
      <c r="AC197" s="79"/>
    </row>
    <row r="198" spans="1:68" ht="14.25" customHeight="1" x14ac:dyDescent="0.25">
      <c r="A198" s="614" t="s">
        <v>139</v>
      </c>
      <c r="B198" s="614"/>
      <c r="C198" s="614"/>
      <c r="D198" s="614"/>
      <c r="E198" s="614"/>
      <c r="F198" s="614"/>
      <c r="G198" s="614"/>
      <c r="H198" s="614"/>
      <c r="I198" s="614"/>
      <c r="J198" s="614"/>
      <c r="K198" s="614"/>
      <c r="L198" s="614"/>
      <c r="M198" s="614"/>
      <c r="N198" s="614"/>
      <c r="O198" s="614"/>
      <c r="P198" s="614"/>
      <c r="Q198" s="614"/>
      <c r="R198" s="614"/>
      <c r="S198" s="614"/>
      <c r="T198" s="614"/>
      <c r="U198" s="614"/>
      <c r="V198" s="614"/>
      <c r="W198" s="614"/>
      <c r="X198" s="614"/>
      <c r="Y198" s="614"/>
      <c r="Z198" s="614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15">
        <v>4607091383423</v>
      </c>
      <c r="E199" s="615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8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17"/>
      <c r="R199" s="617"/>
      <c r="S199" s="617"/>
      <c r="T199" s="6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15">
        <v>4680115886957</v>
      </c>
      <c r="E200" s="615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97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17"/>
      <c r="R200" s="617"/>
      <c r="S200" s="617"/>
      <c r="T200" s="6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15">
        <v>4680115885660</v>
      </c>
      <c r="E201" s="615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9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17"/>
      <c r="R201" s="617"/>
      <c r="S201" s="617"/>
      <c r="T201" s="61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15">
        <v>4680115886773</v>
      </c>
      <c r="E202" s="615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99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17"/>
      <c r="R202" s="617"/>
      <c r="S202" s="617"/>
      <c r="T202" s="618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5">
      <c r="A203" s="622"/>
      <c r="B203" s="622"/>
      <c r="C203" s="622"/>
      <c r="D203" s="622"/>
      <c r="E203" s="622"/>
      <c r="F203" s="622"/>
      <c r="G203" s="622"/>
      <c r="H203" s="622"/>
      <c r="I203" s="622"/>
      <c r="J203" s="622"/>
      <c r="K203" s="622"/>
      <c r="L203" s="622"/>
      <c r="M203" s="622"/>
      <c r="N203" s="622"/>
      <c r="O203" s="623"/>
      <c r="P203" s="619" t="s">
        <v>40</v>
      </c>
      <c r="Q203" s="620"/>
      <c r="R203" s="620"/>
      <c r="S203" s="620"/>
      <c r="T203" s="620"/>
      <c r="U203" s="620"/>
      <c r="V203" s="621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5">
      <c r="A204" s="622"/>
      <c r="B204" s="622"/>
      <c r="C204" s="622"/>
      <c r="D204" s="622"/>
      <c r="E204" s="622"/>
      <c r="F204" s="622"/>
      <c r="G204" s="622"/>
      <c r="H204" s="622"/>
      <c r="I204" s="622"/>
      <c r="J204" s="622"/>
      <c r="K204" s="622"/>
      <c r="L204" s="622"/>
      <c r="M204" s="622"/>
      <c r="N204" s="622"/>
      <c r="O204" s="623"/>
      <c r="P204" s="619" t="s">
        <v>40</v>
      </c>
      <c r="Q204" s="620"/>
      <c r="R204" s="620"/>
      <c r="S204" s="620"/>
      <c r="T204" s="620"/>
      <c r="U204" s="620"/>
      <c r="V204" s="621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30" t="s">
        <v>357</v>
      </c>
      <c r="B205" s="630"/>
      <c r="C205" s="630"/>
      <c r="D205" s="630"/>
      <c r="E205" s="630"/>
      <c r="F205" s="630"/>
      <c r="G205" s="630"/>
      <c r="H205" s="630"/>
      <c r="I205" s="630"/>
      <c r="J205" s="630"/>
      <c r="K205" s="630"/>
      <c r="L205" s="630"/>
      <c r="M205" s="630"/>
      <c r="N205" s="630"/>
      <c r="O205" s="630"/>
      <c r="P205" s="630"/>
      <c r="Q205" s="630"/>
      <c r="R205" s="630"/>
      <c r="S205" s="630"/>
      <c r="T205" s="630"/>
      <c r="U205" s="630"/>
      <c r="V205" s="630"/>
      <c r="W205" s="630"/>
      <c r="X205" s="630"/>
      <c r="Y205" s="630"/>
      <c r="Z205" s="630"/>
      <c r="AA205" s="65"/>
      <c r="AB205" s="65"/>
      <c r="AC205" s="79"/>
    </row>
    <row r="206" spans="1:68" ht="14.25" customHeight="1" x14ac:dyDescent="0.25">
      <c r="A206" s="614" t="s">
        <v>174</v>
      </c>
      <c r="B206" s="614"/>
      <c r="C206" s="614"/>
      <c r="D206" s="614"/>
      <c r="E206" s="614"/>
      <c r="F206" s="614"/>
      <c r="G206" s="614"/>
      <c r="H206" s="614"/>
      <c r="I206" s="614"/>
      <c r="J206" s="614"/>
      <c r="K206" s="614"/>
      <c r="L206" s="614"/>
      <c r="M206" s="614"/>
      <c r="N206" s="614"/>
      <c r="O206" s="614"/>
      <c r="P206" s="614"/>
      <c r="Q206" s="614"/>
      <c r="R206" s="614"/>
      <c r="S206" s="614"/>
      <c r="T206" s="614"/>
      <c r="U206" s="614"/>
      <c r="V206" s="614"/>
      <c r="W206" s="614"/>
      <c r="X206" s="614"/>
      <c r="Y206" s="614"/>
      <c r="Z206" s="614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15">
        <v>4680115886223</v>
      </c>
      <c r="E207" s="615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17"/>
      <c r="R207" s="617"/>
      <c r="S207" s="617"/>
      <c r="T207" s="61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5">
      <c r="A208" s="622"/>
      <c r="B208" s="622"/>
      <c r="C208" s="622"/>
      <c r="D208" s="622"/>
      <c r="E208" s="622"/>
      <c r="F208" s="622"/>
      <c r="G208" s="622"/>
      <c r="H208" s="622"/>
      <c r="I208" s="622"/>
      <c r="J208" s="622"/>
      <c r="K208" s="622"/>
      <c r="L208" s="622"/>
      <c r="M208" s="622"/>
      <c r="N208" s="622"/>
      <c r="O208" s="623"/>
      <c r="P208" s="619" t="s">
        <v>40</v>
      </c>
      <c r="Q208" s="620"/>
      <c r="R208" s="620"/>
      <c r="S208" s="620"/>
      <c r="T208" s="620"/>
      <c r="U208" s="620"/>
      <c r="V208" s="621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5">
      <c r="A209" s="622"/>
      <c r="B209" s="622"/>
      <c r="C209" s="622"/>
      <c r="D209" s="622"/>
      <c r="E209" s="622"/>
      <c r="F209" s="622"/>
      <c r="G209" s="622"/>
      <c r="H209" s="622"/>
      <c r="I209" s="622"/>
      <c r="J209" s="622"/>
      <c r="K209" s="622"/>
      <c r="L209" s="622"/>
      <c r="M209" s="622"/>
      <c r="N209" s="622"/>
      <c r="O209" s="623"/>
      <c r="P209" s="619" t="s">
        <v>40</v>
      </c>
      <c r="Q209" s="620"/>
      <c r="R209" s="620"/>
      <c r="S209" s="620"/>
      <c r="T209" s="620"/>
      <c r="U209" s="620"/>
      <c r="V209" s="621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14" t="s">
        <v>77</v>
      </c>
      <c r="B210" s="614"/>
      <c r="C210" s="614"/>
      <c r="D210" s="614"/>
      <c r="E210" s="614"/>
      <c r="F210" s="614"/>
      <c r="G210" s="614"/>
      <c r="H210" s="614"/>
      <c r="I210" s="614"/>
      <c r="J210" s="614"/>
      <c r="K210" s="614"/>
      <c r="L210" s="614"/>
      <c r="M210" s="614"/>
      <c r="N210" s="614"/>
      <c r="O210" s="614"/>
      <c r="P210" s="614"/>
      <c r="Q210" s="614"/>
      <c r="R210" s="614"/>
      <c r="S210" s="614"/>
      <c r="T210" s="614"/>
      <c r="U210" s="614"/>
      <c r="V210" s="614"/>
      <c r="W210" s="614"/>
      <c r="X210" s="614"/>
      <c r="Y210" s="614"/>
      <c r="Z210" s="614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15">
        <v>4680115880993</v>
      </c>
      <c r="E211" s="615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17"/>
      <c r="R211" s="617"/>
      <c r="S211" s="617"/>
      <c r="T211" s="6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15">
        <v>4680115881761</v>
      </c>
      <c r="E212" s="615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17"/>
      <c r="R212" s="617"/>
      <c r="S212" s="617"/>
      <c r="T212" s="6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15">
        <v>4680115881563</v>
      </c>
      <c r="E213" s="615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9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17"/>
      <c r="R213" s="617"/>
      <c r="S213" s="617"/>
      <c r="T213" s="61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15">
        <v>4680115887565</v>
      </c>
      <c r="E214" s="615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9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17"/>
      <c r="R214" s="617"/>
      <c r="S214" s="617"/>
      <c r="T214" s="61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15">
        <v>4680115880986</v>
      </c>
      <c r="E215" s="615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17"/>
      <c r="R215" s="617"/>
      <c r="S215" s="617"/>
      <c r="T215" s="61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15">
        <v>4680115887213</v>
      </c>
      <c r="E216" s="615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17"/>
      <c r="R216" s="617"/>
      <c r="S216" s="617"/>
      <c r="T216" s="61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15">
        <v>4680115881785</v>
      </c>
      <c r="E217" s="615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8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17"/>
      <c r="R217" s="617"/>
      <c r="S217" s="617"/>
      <c r="T217" s="61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15">
        <v>4680115888432</v>
      </c>
      <c r="E218" s="615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8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17"/>
      <c r="R218" s="617"/>
      <c r="S218" s="617"/>
      <c r="T218" s="61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15">
        <v>4680115888104</v>
      </c>
      <c r="E219" s="615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8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17"/>
      <c r="R219" s="617"/>
      <c r="S219" s="617"/>
      <c r="T219" s="61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15">
        <v>4680115886537</v>
      </c>
      <c r="E220" s="61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17"/>
      <c r="R220" s="617"/>
      <c r="S220" s="617"/>
      <c r="T220" s="61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15">
        <v>4680115887596</v>
      </c>
      <c r="E221" s="615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17"/>
      <c r="R221" s="617"/>
      <c r="S221" s="617"/>
      <c r="T221" s="6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15">
        <v>4680115881679</v>
      </c>
      <c r="E222" s="615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17"/>
      <c r="R222" s="617"/>
      <c r="S222" s="617"/>
      <c r="T222" s="6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15">
        <v>4680115880191</v>
      </c>
      <c r="E223" s="615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17"/>
      <c r="R223" s="617"/>
      <c r="S223" s="617"/>
      <c r="T223" s="6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15">
        <v>4680115883963</v>
      </c>
      <c r="E224" s="615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17"/>
      <c r="R224" s="617"/>
      <c r="S224" s="617"/>
      <c r="T224" s="6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5">
      <c r="A225" s="622"/>
      <c r="B225" s="622"/>
      <c r="C225" s="622"/>
      <c r="D225" s="622"/>
      <c r="E225" s="622"/>
      <c r="F225" s="622"/>
      <c r="G225" s="622"/>
      <c r="H225" s="622"/>
      <c r="I225" s="622"/>
      <c r="J225" s="622"/>
      <c r="K225" s="622"/>
      <c r="L225" s="622"/>
      <c r="M225" s="622"/>
      <c r="N225" s="622"/>
      <c r="O225" s="623"/>
      <c r="P225" s="619" t="s">
        <v>40</v>
      </c>
      <c r="Q225" s="620"/>
      <c r="R225" s="620"/>
      <c r="S225" s="620"/>
      <c r="T225" s="620"/>
      <c r="U225" s="620"/>
      <c r="V225" s="621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5">
      <c r="A226" s="622"/>
      <c r="B226" s="622"/>
      <c r="C226" s="622"/>
      <c r="D226" s="622"/>
      <c r="E226" s="622"/>
      <c r="F226" s="622"/>
      <c r="G226" s="622"/>
      <c r="H226" s="622"/>
      <c r="I226" s="622"/>
      <c r="J226" s="622"/>
      <c r="K226" s="622"/>
      <c r="L226" s="622"/>
      <c r="M226" s="622"/>
      <c r="N226" s="622"/>
      <c r="O226" s="623"/>
      <c r="P226" s="619" t="s">
        <v>40</v>
      </c>
      <c r="Q226" s="620"/>
      <c r="R226" s="620"/>
      <c r="S226" s="620"/>
      <c r="T226" s="620"/>
      <c r="U226" s="620"/>
      <c r="V226" s="621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14" t="s">
        <v>90</v>
      </c>
      <c r="B227" s="614"/>
      <c r="C227" s="614"/>
      <c r="D227" s="614"/>
      <c r="E227" s="614"/>
      <c r="F227" s="614"/>
      <c r="G227" s="614"/>
      <c r="H227" s="614"/>
      <c r="I227" s="614"/>
      <c r="J227" s="614"/>
      <c r="K227" s="614"/>
      <c r="L227" s="614"/>
      <c r="M227" s="614"/>
      <c r="N227" s="614"/>
      <c r="O227" s="614"/>
      <c r="P227" s="614"/>
      <c r="Q227" s="614"/>
      <c r="R227" s="614"/>
      <c r="S227" s="614"/>
      <c r="T227" s="614"/>
      <c r="U227" s="614"/>
      <c r="V227" s="614"/>
      <c r="W227" s="614"/>
      <c r="X227" s="614"/>
      <c r="Y227" s="614"/>
      <c r="Z227" s="614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15">
        <v>4680115888982</v>
      </c>
      <c r="E228" s="615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8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17"/>
      <c r="R228" s="617"/>
      <c r="S228" s="617"/>
      <c r="T228" s="618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15">
        <v>4680115888951</v>
      </c>
      <c r="E229" s="615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8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17"/>
      <c r="R229" s="617"/>
      <c r="S229" s="617"/>
      <c r="T229" s="618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5">
      <c r="A230" s="622"/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623"/>
      <c r="P230" s="619" t="s">
        <v>40</v>
      </c>
      <c r="Q230" s="620"/>
      <c r="R230" s="620"/>
      <c r="S230" s="620"/>
      <c r="T230" s="620"/>
      <c r="U230" s="620"/>
      <c r="V230" s="621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5">
      <c r="A231" s="622"/>
      <c r="B231" s="622"/>
      <c r="C231" s="622"/>
      <c r="D231" s="622"/>
      <c r="E231" s="622"/>
      <c r="F231" s="622"/>
      <c r="G231" s="622"/>
      <c r="H231" s="622"/>
      <c r="I231" s="622"/>
      <c r="J231" s="622"/>
      <c r="K231" s="622"/>
      <c r="L231" s="622"/>
      <c r="M231" s="622"/>
      <c r="N231" s="622"/>
      <c r="O231" s="623"/>
      <c r="P231" s="619" t="s">
        <v>40</v>
      </c>
      <c r="Q231" s="620"/>
      <c r="R231" s="620"/>
      <c r="S231" s="620"/>
      <c r="T231" s="620"/>
      <c r="U231" s="620"/>
      <c r="V231" s="621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14" t="s">
        <v>118</v>
      </c>
      <c r="B232" s="614"/>
      <c r="C232" s="614"/>
      <c r="D232" s="614"/>
      <c r="E232" s="614"/>
      <c r="F232" s="614"/>
      <c r="G232" s="614"/>
      <c r="H232" s="614"/>
      <c r="I232" s="614"/>
      <c r="J232" s="614"/>
      <c r="K232" s="614"/>
      <c r="L232" s="614"/>
      <c r="M232" s="614"/>
      <c r="N232" s="614"/>
      <c r="O232" s="614"/>
      <c r="P232" s="614"/>
      <c r="Q232" s="614"/>
      <c r="R232" s="614"/>
      <c r="S232" s="614"/>
      <c r="T232" s="614"/>
      <c r="U232" s="614"/>
      <c r="V232" s="614"/>
      <c r="W232" s="614"/>
      <c r="X232" s="614"/>
      <c r="Y232" s="614"/>
      <c r="Z232" s="614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15">
        <v>4680115886780</v>
      </c>
      <c r="E233" s="615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17"/>
      <c r="R233" s="617"/>
      <c r="S233" s="617"/>
      <c r="T233" s="61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15">
        <v>4680115886742</v>
      </c>
      <c r="E234" s="615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7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17"/>
      <c r="R234" s="617"/>
      <c r="S234" s="617"/>
      <c r="T234" s="61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15">
        <v>4680115886766</v>
      </c>
      <c r="E235" s="615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17"/>
      <c r="R235" s="617"/>
      <c r="S235" s="617"/>
      <c r="T235" s="618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5">
      <c r="A236" s="622"/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  <c r="O236" s="623"/>
      <c r="P236" s="619" t="s">
        <v>40</v>
      </c>
      <c r="Q236" s="620"/>
      <c r="R236" s="620"/>
      <c r="S236" s="620"/>
      <c r="T236" s="620"/>
      <c r="U236" s="620"/>
      <c r="V236" s="621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5">
      <c r="A237" s="622"/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3"/>
      <c r="P237" s="619" t="s">
        <v>40</v>
      </c>
      <c r="Q237" s="620"/>
      <c r="R237" s="620"/>
      <c r="S237" s="620"/>
      <c r="T237" s="620"/>
      <c r="U237" s="620"/>
      <c r="V237" s="621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14" t="s">
        <v>413</v>
      </c>
      <c r="B238" s="614"/>
      <c r="C238" s="614"/>
      <c r="D238" s="614"/>
      <c r="E238" s="614"/>
      <c r="F238" s="614"/>
      <c r="G238" s="614"/>
      <c r="H238" s="614"/>
      <c r="I238" s="614"/>
      <c r="J238" s="614"/>
      <c r="K238" s="614"/>
      <c r="L238" s="614"/>
      <c r="M238" s="614"/>
      <c r="N238" s="614"/>
      <c r="O238" s="614"/>
      <c r="P238" s="614"/>
      <c r="Q238" s="614"/>
      <c r="R238" s="614"/>
      <c r="S238" s="614"/>
      <c r="T238" s="614"/>
      <c r="U238" s="614"/>
      <c r="V238" s="614"/>
      <c r="W238" s="614"/>
      <c r="X238" s="614"/>
      <c r="Y238" s="614"/>
      <c r="Z238" s="614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15">
        <v>4680115886797</v>
      </c>
      <c r="E239" s="61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7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17"/>
      <c r="R239" s="617"/>
      <c r="S239" s="617"/>
      <c r="T239" s="6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5">
      <c r="A240" s="622"/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  <c r="O240" s="623"/>
      <c r="P240" s="619" t="s">
        <v>40</v>
      </c>
      <c r="Q240" s="620"/>
      <c r="R240" s="620"/>
      <c r="S240" s="620"/>
      <c r="T240" s="620"/>
      <c r="U240" s="620"/>
      <c r="V240" s="621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5">
      <c r="A241" s="622"/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3"/>
      <c r="P241" s="619" t="s">
        <v>40</v>
      </c>
      <c r="Q241" s="620"/>
      <c r="R241" s="620"/>
      <c r="S241" s="620"/>
      <c r="T241" s="620"/>
      <c r="U241" s="620"/>
      <c r="V241" s="621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30" t="s">
        <v>416</v>
      </c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0"/>
      <c r="P242" s="630"/>
      <c r="Q242" s="630"/>
      <c r="R242" s="630"/>
      <c r="S242" s="630"/>
      <c r="T242" s="630"/>
      <c r="U242" s="630"/>
      <c r="V242" s="630"/>
      <c r="W242" s="630"/>
      <c r="X242" s="630"/>
      <c r="Y242" s="630"/>
      <c r="Z242" s="630"/>
      <c r="AA242" s="65"/>
      <c r="AB242" s="65"/>
      <c r="AC242" s="79"/>
    </row>
    <row r="243" spans="1:68" ht="14.25" customHeight="1" x14ac:dyDescent="0.25">
      <c r="A243" s="614" t="s">
        <v>139</v>
      </c>
      <c r="B243" s="614"/>
      <c r="C243" s="614"/>
      <c r="D243" s="614"/>
      <c r="E243" s="614"/>
      <c r="F243" s="614"/>
      <c r="G243" s="614"/>
      <c r="H243" s="614"/>
      <c r="I243" s="614"/>
      <c r="J243" s="614"/>
      <c r="K243" s="614"/>
      <c r="L243" s="614"/>
      <c r="M243" s="614"/>
      <c r="N243" s="614"/>
      <c r="O243" s="614"/>
      <c r="P243" s="614"/>
      <c r="Q243" s="614"/>
      <c r="R243" s="614"/>
      <c r="S243" s="614"/>
      <c r="T243" s="614"/>
      <c r="U243" s="614"/>
      <c r="V243" s="614"/>
      <c r="W243" s="614"/>
      <c r="X243" s="614"/>
      <c r="Y243" s="614"/>
      <c r="Z243" s="614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15">
        <v>4680115881402</v>
      </c>
      <c r="E244" s="615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17"/>
      <c r="R244" s="617"/>
      <c r="S244" s="617"/>
      <c r="T244" s="6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15">
        <v>4680115881396</v>
      </c>
      <c r="E245" s="615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77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17"/>
      <c r="R245" s="617"/>
      <c r="S245" s="617"/>
      <c r="T245" s="6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5">
      <c r="A246" s="622"/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  <c r="O246" s="623"/>
      <c r="P246" s="619" t="s">
        <v>40</v>
      </c>
      <c r="Q246" s="620"/>
      <c r="R246" s="620"/>
      <c r="S246" s="620"/>
      <c r="T246" s="620"/>
      <c r="U246" s="620"/>
      <c r="V246" s="621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5">
      <c r="A247" s="622"/>
      <c r="B247" s="622"/>
      <c r="C247" s="622"/>
      <c r="D247" s="622"/>
      <c r="E247" s="622"/>
      <c r="F247" s="622"/>
      <c r="G247" s="622"/>
      <c r="H247" s="622"/>
      <c r="I247" s="622"/>
      <c r="J247" s="622"/>
      <c r="K247" s="622"/>
      <c r="L247" s="622"/>
      <c r="M247" s="622"/>
      <c r="N247" s="622"/>
      <c r="O247" s="623"/>
      <c r="P247" s="619" t="s">
        <v>40</v>
      </c>
      <c r="Q247" s="620"/>
      <c r="R247" s="620"/>
      <c r="S247" s="620"/>
      <c r="T247" s="620"/>
      <c r="U247" s="620"/>
      <c r="V247" s="621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14" t="s">
        <v>174</v>
      </c>
      <c r="B248" s="614"/>
      <c r="C248" s="614"/>
      <c r="D248" s="614"/>
      <c r="E248" s="614"/>
      <c r="F248" s="614"/>
      <c r="G248" s="614"/>
      <c r="H248" s="614"/>
      <c r="I248" s="614"/>
      <c r="J248" s="614"/>
      <c r="K248" s="614"/>
      <c r="L248" s="614"/>
      <c r="M248" s="614"/>
      <c r="N248" s="614"/>
      <c r="O248" s="614"/>
      <c r="P248" s="614"/>
      <c r="Q248" s="614"/>
      <c r="R248" s="614"/>
      <c r="S248" s="614"/>
      <c r="T248" s="614"/>
      <c r="U248" s="614"/>
      <c r="V248" s="614"/>
      <c r="W248" s="614"/>
      <c r="X248" s="614"/>
      <c r="Y248" s="614"/>
      <c r="Z248" s="614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15">
        <v>4680115882935</v>
      </c>
      <c r="E249" s="61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7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17"/>
      <c r="R249" s="617"/>
      <c r="S249" s="617"/>
      <c r="T249" s="61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15">
        <v>4680115880764</v>
      </c>
      <c r="E250" s="615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77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17"/>
      <c r="R250" s="617"/>
      <c r="S250" s="617"/>
      <c r="T250" s="6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5">
      <c r="A251" s="622"/>
      <c r="B251" s="622"/>
      <c r="C251" s="622"/>
      <c r="D251" s="622"/>
      <c r="E251" s="622"/>
      <c r="F251" s="622"/>
      <c r="G251" s="622"/>
      <c r="H251" s="622"/>
      <c r="I251" s="622"/>
      <c r="J251" s="622"/>
      <c r="K251" s="622"/>
      <c r="L251" s="622"/>
      <c r="M251" s="622"/>
      <c r="N251" s="622"/>
      <c r="O251" s="623"/>
      <c r="P251" s="619" t="s">
        <v>40</v>
      </c>
      <c r="Q251" s="620"/>
      <c r="R251" s="620"/>
      <c r="S251" s="620"/>
      <c r="T251" s="620"/>
      <c r="U251" s="620"/>
      <c r="V251" s="621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5">
      <c r="A252" s="622"/>
      <c r="B252" s="622"/>
      <c r="C252" s="622"/>
      <c r="D252" s="622"/>
      <c r="E252" s="622"/>
      <c r="F252" s="622"/>
      <c r="G252" s="622"/>
      <c r="H252" s="622"/>
      <c r="I252" s="622"/>
      <c r="J252" s="622"/>
      <c r="K252" s="622"/>
      <c r="L252" s="622"/>
      <c r="M252" s="622"/>
      <c r="N252" s="622"/>
      <c r="O252" s="623"/>
      <c r="P252" s="619" t="s">
        <v>40</v>
      </c>
      <c r="Q252" s="620"/>
      <c r="R252" s="620"/>
      <c r="S252" s="620"/>
      <c r="T252" s="620"/>
      <c r="U252" s="620"/>
      <c r="V252" s="621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14" t="s">
        <v>77</v>
      </c>
      <c r="B253" s="614"/>
      <c r="C253" s="614"/>
      <c r="D253" s="614"/>
      <c r="E253" s="614"/>
      <c r="F253" s="614"/>
      <c r="G253" s="614"/>
      <c r="H253" s="614"/>
      <c r="I253" s="614"/>
      <c r="J253" s="614"/>
      <c r="K253" s="614"/>
      <c r="L253" s="614"/>
      <c r="M253" s="614"/>
      <c r="N253" s="614"/>
      <c r="O253" s="614"/>
      <c r="P253" s="614"/>
      <c r="Q253" s="614"/>
      <c r="R253" s="614"/>
      <c r="S253" s="614"/>
      <c r="T253" s="614"/>
      <c r="U253" s="614"/>
      <c r="V253" s="614"/>
      <c r="W253" s="614"/>
      <c r="X253" s="614"/>
      <c r="Y253" s="614"/>
      <c r="Z253" s="614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15">
        <v>4680115882683</v>
      </c>
      <c r="E254" s="615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76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17"/>
      <c r="R254" s="617"/>
      <c r="S254" s="617"/>
      <c r="T254" s="618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15">
        <v>4680115882690</v>
      </c>
      <c r="E255" s="615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77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17"/>
      <c r="R255" s="617"/>
      <c r="S255" s="617"/>
      <c r="T255" s="618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15">
        <v>4680115882669</v>
      </c>
      <c r="E256" s="615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17"/>
      <c r="R256" s="617"/>
      <c r="S256" s="617"/>
      <c r="T256" s="618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15">
        <v>4680115882676</v>
      </c>
      <c r="E257" s="615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7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17"/>
      <c r="R257" s="617"/>
      <c r="S257" s="617"/>
      <c r="T257" s="618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15">
        <v>4680115884014</v>
      </c>
      <c r="E258" s="615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7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17"/>
      <c r="R258" s="617"/>
      <c r="S258" s="617"/>
      <c r="T258" s="618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15">
        <v>4680115884007</v>
      </c>
      <c r="E259" s="615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17"/>
      <c r="R259" s="617"/>
      <c r="S259" s="617"/>
      <c r="T259" s="618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15">
        <v>4680115884038</v>
      </c>
      <c r="E260" s="615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7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17"/>
      <c r="R260" s="617"/>
      <c r="S260" s="617"/>
      <c r="T260" s="61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15">
        <v>4680115884021</v>
      </c>
      <c r="E261" s="615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7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17"/>
      <c r="R261" s="617"/>
      <c r="S261" s="617"/>
      <c r="T261" s="61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5">
      <c r="A262" s="622"/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  <c r="O262" s="623"/>
      <c r="P262" s="619" t="s">
        <v>40</v>
      </c>
      <c r="Q262" s="620"/>
      <c r="R262" s="620"/>
      <c r="S262" s="620"/>
      <c r="T262" s="620"/>
      <c r="U262" s="620"/>
      <c r="V262" s="621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5">
      <c r="A263" s="622"/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3"/>
      <c r="P263" s="619" t="s">
        <v>40</v>
      </c>
      <c r="Q263" s="620"/>
      <c r="R263" s="620"/>
      <c r="S263" s="620"/>
      <c r="T263" s="620"/>
      <c r="U263" s="620"/>
      <c r="V263" s="621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14" t="s">
        <v>90</v>
      </c>
      <c r="B264" s="614"/>
      <c r="C264" s="614"/>
      <c r="D264" s="614"/>
      <c r="E264" s="614"/>
      <c r="F264" s="614"/>
      <c r="G264" s="614"/>
      <c r="H264" s="614"/>
      <c r="I264" s="614"/>
      <c r="J264" s="614"/>
      <c r="K264" s="614"/>
      <c r="L264" s="614"/>
      <c r="M264" s="614"/>
      <c r="N264" s="614"/>
      <c r="O264" s="614"/>
      <c r="P264" s="614"/>
      <c r="Q264" s="614"/>
      <c r="R264" s="614"/>
      <c r="S264" s="614"/>
      <c r="T264" s="614"/>
      <c r="U264" s="614"/>
      <c r="V264" s="614"/>
      <c r="W264" s="614"/>
      <c r="X264" s="614"/>
      <c r="Y264" s="614"/>
      <c r="Z264" s="614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15">
        <v>4680115889064</v>
      </c>
      <c r="E265" s="615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7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17"/>
      <c r="R265" s="617"/>
      <c r="S265" s="617"/>
      <c r="T265" s="61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15">
        <v>4680115881594</v>
      </c>
      <c r="E266" s="615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76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17"/>
      <c r="R266" s="617"/>
      <c r="S266" s="617"/>
      <c r="T266" s="6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15">
        <v>4680115881617</v>
      </c>
      <c r="E267" s="615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76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17"/>
      <c r="R267" s="617"/>
      <c r="S267" s="617"/>
      <c r="T267" s="6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15">
        <v>4680115880573</v>
      </c>
      <c r="E268" s="615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7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17"/>
      <c r="R268" s="617"/>
      <c r="S268" s="617"/>
      <c r="T268" s="6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15">
        <v>4680115882195</v>
      </c>
      <c r="E269" s="615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17"/>
      <c r="R269" s="617"/>
      <c r="S269" s="617"/>
      <c r="T269" s="6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15">
        <v>4680115882607</v>
      </c>
      <c r="E270" s="615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7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17"/>
      <c r="R270" s="617"/>
      <c r="S270" s="617"/>
      <c r="T270" s="6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15">
        <v>4680115882607</v>
      </c>
      <c r="E271" s="615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17"/>
      <c r="R271" s="617"/>
      <c r="S271" s="617"/>
      <c r="T271" s="6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15">
        <v>4680115880092</v>
      </c>
      <c r="E272" s="615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7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17"/>
      <c r="R272" s="617"/>
      <c r="S272" s="617"/>
      <c r="T272" s="6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15">
        <v>4680115880221</v>
      </c>
      <c r="E273" s="61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17"/>
      <c r="R273" s="617"/>
      <c r="S273" s="617"/>
      <c r="T273" s="6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15">
        <v>4680115880504</v>
      </c>
      <c r="E274" s="615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7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17"/>
      <c r="R274" s="617"/>
      <c r="S274" s="617"/>
      <c r="T274" s="6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15">
        <v>4680115882164</v>
      </c>
      <c r="E275" s="615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17"/>
      <c r="R275" s="617"/>
      <c r="S275" s="617"/>
      <c r="T275" s="61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15">
        <v>4680115888340</v>
      </c>
      <c r="E276" s="615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75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17"/>
      <c r="R276" s="617"/>
      <c r="S276" s="617"/>
      <c r="T276" s="61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5">
      <c r="A277" s="622"/>
      <c r="B277" s="622"/>
      <c r="C277" s="622"/>
      <c r="D277" s="622"/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623"/>
      <c r="P277" s="619" t="s">
        <v>40</v>
      </c>
      <c r="Q277" s="620"/>
      <c r="R277" s="620"/>
      <c r="S277" s="620"/>
      <c r="T277" s="620"/>
      <c r="U277" s="620"/>
      <c r="V277" s="621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0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0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5">
      <c r="A278" s="622"/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3"/>
      <c r="P278" s="619" t="s">
        <v>40</v>
      </c>
      <c r="Q278" s="620"/>
      <c r="R278" s="620"/>
      <c r="S278" s="620"/>
      <c r="T278" s="620"/>
      <c r="U278" s="620"/>
      <c r="V278" s="621"/>
      <c r="W278" s="42" t="s">
        <v>0</v>
      </c>
      <c r="X278" s="43">
        <f>IFERROR(SUM(X265:X276),"0")</f>
        <v>0</v>
      </c>
      <c r="Y278" s="43">
        <f>IFERROR(SUM(Y265:Y276),"0")</f>
        <v>0</v>
      </c>
      <c r="Z278" s="42"/>
      <c r="AA278" s="67"/>
      <c r="AB278" s="67"/>
      <c r="AC278" s="67"/>
    </row>
    <row r="279" spans="1:68" ht="14.25" customHeight="1" x14ac:dyDescent="0.25">
      <c r="A279" s="614" t="s">
        <v>191</v>
      </c>
      <c r="B279" s="614"/>
      <c r="C279" s="614"/>
      <c r="D279" s="614"/>
      <c r="E279" s="614"/>
      <c r="F279" s="614"/>
      <c r="G279" s="614"/>
      <c r="H279" s="614"/>
      <c r="I279" s="614"/>
      <c r="J279" s="614"/>
      <c r="K279" s="614"/>
      <c r="L279" s="614"/>
      <c r="M279" s="614"/>
      <c r="N279" s="614"/>
      <c r="O279" s="614"/>
      <c r="P279" s="614"/>
      <c r="Q279" s="614"/>
      <c r="R279" s="614"/>
      <c r="S279" s="614"/>
      <c r="T279" s="614"/>
      <c r="U279" s="614"/>
      <c r="V279" s="614"/>
      <c r="W279" s="614"/>
      <c r="X279" s="614"/>
      <c r="Y279" s="614"/>
      <c r="Z279" s="61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15">
        <v>4680115880818</v>
      </c>
      <c r="E280" s="615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7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17"/>
      <c r="R280" s="617"/>
      <c r="S280" s="617"/>
      <c r="T280" s="618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15">
        <v>4680115880801</v>
      </c>
      <c r="E281" s="61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7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17"/>
      <c r="R281" s="617"/>
      <c r="S281" s="617"/>
      <c r="T281" s="618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5">
      <c r="A282" s="622"/>
      <c r="B282" s="622"/>
      <c r="C282" s="622"/>
      <c r="D282" s="622"/>
      <c r="E282" s="622"/>
      <c r="F282" s="622"/>
      <c r="G282" s="622"/>
      <c r="H282" s="622"/>
      <c r="I282" s="622"/>
      <c r="J282" s="622"/>
      <c r="K282" s="622"/>
      <c r="L282" s="622"/>
      <c r="M282" s="622"/>
      <c r="N282" s="622"/>
      <c r="O282" s="623"/>
      <c r="P282" s="619" t="s">
        <v>40</v>
      </c>
      <c r="Q282" s="620"/>
      <c r="R282" s="620"/>
      <c r="S282" s="620"/>
      <c r="T282" s="620"/>
      <c r="U282" s="620"/>
      <c r="V282" s="621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5">
      <c r="A283" s="622"/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3"/>
      <c r="P283" s="619" t="s">
        <v>40</v>
      </c>
      <c r="Q283" s="620"/>
      <c r="R283" s="620"/>
      <c r="S283" s="620"/>
      <c r="T283" s="620"/>
      <c r="U283" s="620"/>
      <c r="V283" s="621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30" t="s">
        <v>484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5"/>
      <c r="AB284" s="65"/>
      <c r="AC284" s="79"/>
    </row>
    <row r="285" spans="1:68" ht="14.25" customHeight="1" x14ac:dyDescent="0.25">
      <c r="A285" s="614" t="s">
        <v>139</v>
      </c>
      <c r="B285" s="614"/>
      <c r="C285" s="614"/>
      <c r="D285" s="614"/>
      <c r="E285" s="614"/>
      <c r="F285" s="614"/>
      <c r="G285" s="614"/>
      <c r="H285" s="614"/>
      <c r="I285" s="614"/>
      <c r="J285" s="614"/>
      <c r="K285" s="614"/>
      <c r="L285" s="614"/>
      <c r="M285" s="614"/>
      <c r="N285" s="614"/>
      <c r="O285" s="614"/>
      <c r="P285" s="614"/>
      <c r="Q285" s="614"/>
      <c r="R285" s="614"/>
      <c r="S285" s="614"/>
      <c r="T285" s="614"/>
      <c r="U285" s="614"/>
      <c r="V285" s="614"/>
      <c r="W285" s="614"/>
      <c r="X285" s="614"/>
      <c r="Y285" s="614"/>
      <c r="Z285" s="614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15">
        <v>4680115884137</v>
      </c>
      <c r="E286" s="615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7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17"/>
      <c r="R286" s="617"/>
      <c r="S286" s="617"/>
      <c r="T286" s="6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15">
        <v>4680115884236</v>
      </c>
      <c r="E287" s="615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17"/>
      <c r="R287" s="617"/>
      <c r="S287" s="617"/>
      <c r="T287" s="6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15">
        <v>4680115884175</v>
      </c>
      <c r="E288" s="615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7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17"/>
      <c r="R288" s="617"/>
      <c r="S288" s="617"/>
      <c r="T288" s="6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15">
        <v>4680115884144</v>
      </c>
      <c r="E289" s="615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17"/>
      <c r="R289" s="617"/>
      <c r="S289" s="617"/>
      <c r="T289" s="6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15">
        <v>4680115886551</v>
      </c>
      <c r="E290" s="615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17"/>
      <c r="R290" s="617"/>
      <c r="S290" s="617"/>
      <c r="T290" s="61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15">
        <v>4680115887282</v>
      </c>
      <c r="E291" s="615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7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17"/>
      <c r="R291" s="617"/>
      <c r="S291" s="617"/>
      <c r="T291" s="61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15">
        <v>4680115884205</v>
      </c>
      <c r="E292" s="615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17"/>
      <c r="R292" s="617"/>
      <c r="S292" s="617"/>
      <c r="T292" s="61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5">
      <c r="A293" s="622"/>
      <c r="B293" s="622"/>
      <c r="C293" s="622"/>
      <c r="D293" s="622"/>
      <c r="E293" s="622"/>
      <c r="F293" s="622"/>
      <c r="G293" s="622"/>
      <c r="H293" s="622"/>
      <c r="I293" s="622"/>
      <c r="J293" s="622"/>
      <c r="K293" s="622"/>
      <c r="L293" s="622"/>
      <c r="M293" s="622"/>
      <c r="N293" s="622"/>
      <c r="O293" s="623"/>
      <c r="P293" s="619" t="s">
        <v>40</v>
      </c>
      <c r="Q293" s="620"/>
      <c r="R293" s="620"/>
      <c r="S293" s="620"/>
      <c r="T293" s="620"/>
      <c r="U293" s="620"/>
      <c r="V293" s="621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5">
      <c r="A294" s="622"/>
      <c r="B294" s="622"/>
      <c r="C294" s="622"/>
      <c r="D294" s="622"/>
      <c r="E294" s="622"/>
      <c r="F294" s="622"/>
      <c r="G294" s="622"/>
      <c r="H294" s="622"/>
      <c r="I294" s="622"/>
      <c r="J294" s="622"/>
      <c r="K294" s="622"/>
      <c r="L294" s="622"/>
      <c r="M294" s="622"/>
      <c r="N294" s="622"/>
      <c r="O294" s="623"/>
      <c r="P294" s="619" t="s">
        <v>40</v>
      </c>
      <c r="Q294" s="620"/>
      <c r="R294" s="620"/>
      <c r="S294" s="620"/>
      <c r="T294" s="620"/>
      <c r="U294" s="620"/>
      <c r="V294" s="621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14" t="s">
        <v>174</v>
      </c>
      <c r="B295" s="614"/>
      <c r="C295" s="614"/>
      <c r="D295" s="614"/>
      <c r="E295" s="614"/>
      <c r="F295" s="614"/>
      <c r="G295" s="614"/>
      <c r="H295" s="614"/>
      <c r="I295" s="614"/>
      <c r="J295" s="614"/>
      <c r="K295" s="614"/>
      <c r="L295" s="614"/>
      <c r="M295" s="614"/>
      <c r="N295" s="614"/>
      <c r="O295" s="614"/>
      <c r="P295" s="614"/>
      <c r="Q295" s="614"/>
      <c r="R295" s="614"/>
      <c r="S295" s="614"/>
      <c r="T295" s="614"/>
      <c r="U295" s="614"/>
      <c r="V295" s="614"/>
      <c r="W295" s="614"/>
      <c r="X295" s="614"/>
      <c r="Y295" s="614"/>
      <c r="Z295" s="614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15">
        <v>4680115885981</v>
      </c>
      <c r="E296" s="615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7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17"/>
      <c r="R296" s="617"/>
      <c r="S296" s="617"/>
      <c r="T296" s="618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5">
      <c r="A297" s="622"/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3"/>
      <c r="P297" s="619" t="s">
        <v>40</v>
      </c>
      <c r="Q297" s="620"/>
      <c r="R297" s="620"/>
      <c r="S297" s="620"/>
      <c r="T297" s="620"/>
      <c r="U297" s="620"/>
      <c r="V297" s="621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5">
      <c r="A298" s="622"/>
      <c r="B298" s="622"/>
      <c r="C298" s="622"/>
      <c r="D298" s="622"/>
      <c r="E298" s="622"/>
      <c r="F298" s="622"/>
      <c r="G298" s="622"/>
      <c r="H298" s="622"/>
      <c r="I298" s="622"/>
      <c r="J298" s="622"/>
      <c r="K298" s="622"/>
      <c r="L298" s="622"/>
      <c r="M298" s="622"/>
      <c r="N298" s="622"/>
      <c r="O298" s="623"/>
      <c r="P298" s="619" t="s">
        <v>40</v>
      </c>
      <c r="Q298" s="620"/>
      <c r="R298" s="620"/>
      <c r="S298" s="620"/>
      <c r="T298" s="620"/>
      <c r="U298" s="620"/>
      <c r="V298" s="621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14" t="s">
        <v>506</v>
      </c>
      <c r="B299" s="614"/>
      <c r="C299" s="614"/>
      <c r="D299" s="614"/>
      <c r="E299" s="614"/>
      <c r="F299" s="614"/>
      <c r="G299" s="614"/>
      <c r="H299" s="614"/>
      <c r="I299" s="614"/>
      <c r="J299" s="614"/>
      <c r="K299" s="614"/>
      <c r="L299" s="614"/>
      <c r="M299" s="614"/>
      <c r="N299" s="614"/>
      <c r="O299" s="614"/>
      <c r="P299" s="614"/>
      <c r="Q299" s="614"/>
      <c r="R299" s="614"/>
      <c r="S299" s="614"/>
      <c r="T299" s="614"/>
      <c r="U299" s="614"/>
      <c r="V299" s="614"/>
      <c r="W299" s="614"/>
      <c r="X299" s="614"/>
      <c r="Y299" s="614"/>
      <c r="Z299" s="614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15">
        <v>4680115886803</v>
      </c>
      <c r="E300" s="615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74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17"/>
      <c r="R300" s="617"/>
      <c r="S300" s="617"/>
      <c r="T300" s="61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5">
      <c r="A301" s="622"/>
      <c r="B301" s="622"/>
      <c r="C301" s="622"/>
      <c r="D301" s="622"/>
      <c r="E301" s="622"/>
      <c r="F301" s="622"/>
      <c r="G301" s="622"/>
      <c r="H301" s="622"/>
      <c r="I301" s="622"/>
      <c r="J301" s="622"/>
      <c r="K301" s="622"/>
      <c r="L301" s="622"/>
      <c r="M301" s="622"/>
      <c r="N301" s="622"/>
      <c r="O301" s="623"/>
      <c r="P301" s="619" t="s">
        <v>40</v>
      </c>
      <c r="Q301" s="620"/>
      <c r="R301" s="620"/>
      <c r="S301" s="620"/>
      <c r="T301" s="620"/>
      <c r="U301" s="620"/>
      <c r="V301" s="621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5">
      <c r="A302" s="622"/>
      <c r="B302" s="622"/>
      <c r="C302" s="622"/>
      <c r="D302" s="622"/>
      <c r="E302" s="622"/>
      <c r="F302" s="622"/>
      <c r="G302" s="622"/>
      <c r="H302" s="622"/>
      <c r="I302" s="622"/>
      <c r="J302" s="622"/>
      <c r="K302" s="622"/>
      <c r="L302" s="622"/>
      <c r="M302" s="622"/>
      <c r="N302" s="622"/>
      <c r="O302" s="623"/>
      <c r="P302" s="619" t="s">
        <v>40</v>
      </c>
      <c r="Q302" s="620"/>
      <c r="R302" s="620"/>
      <c r="S302" s="620"/>
      <c r="T302" s="620"/>
      <c r="U302" s="620"/>
      <c r="V302" s="621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14" t="s">
        <v>340</v>
      </c>
      <c r="B303" s="614"/>
      <c r="C303" s="614"/>
      <c r="D303" s="614"/>
      <c r="E303" s="614"/>
      <c r="F303" s="614"/>
      <c r="G303" s="614"/>
      <c r="H303" s="614"/>
      <c r="I303" s="614"/>
      <c r="J303" s="614"/>
      <c r="K303" s="614"/>
      <c r="L303" s="614"/>
      <c r="M303" s="614"/>
      <c r="N303" s="614"/>
      <c r="O303" s="614"/>
      <c r="P303" s="614"/>
      <c r="Q303" s="614"/>
      <c r="R303" s="614"/>
      <c r="S303" s="614"/>
      <c r="T303" s="614"/>
      <c r="U303" s="614"/>
      <c r="V303" s="614"/>
      <c r="W303" s="614"/>
      <c r="X303" s="614"/>
      <c r="Y303" s="614"/>
      <c r="Z303" s="614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15">
        <v>4680115886704</v>
      </c>
      <c r="E304" s="615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73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17"/>
      <c r="R304" s="617"/>
      <c r="S304" s="617"/>
      <c r="T304" s="61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15">
        <v>4680115886681</v>
      </c>
      <c r="E305" s="615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7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17"/>
      <c r="R305" s="617"/>
      <c r="S305" s="617"/>
      <c r="T305" s="61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15">
        <v>4680115886735</v>
      </c>
      <c r="E306" s="615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74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17"/>
      <c r="R306" s="617"/>
      <c r="S306" s="617"/>
      <c r="T306" s="618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15">
        <v>4680115886728</v>
      </c>
      <c r="E307" s="615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73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17"/>
      <c r="R307" s="617"/>
      <c r="S307" s="617"/>
      <c r="T307" s="6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15">
        <v>4680115886711</v>
      </c>
      <c r="E308" s="615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73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17"/>
      <c r="R308" s="617"/>
      <c r="S308" s="617"/>
      <c r="T308" s="618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5">
      <c r="A309" s="622"/>
      <c r="B309" s="622"/>
      <c r="C309" s="622"/>
      <c r="D309" s="622"/>
      <c r="E309" s="622"/>
      <c r="F309" s="622"/>
      <c r="G309" s="622"/>
      <c r="H309" s="622"/>
      <c r="I309" s="622"/>
      <c r="J309" s="622"/>
      <c r="K309" s="622"/>
      <c r="L309" s="622"/>
      <c r="M309" s="622"/>
      <c r="N309" s="622"/>
      <c r="O309" s="623"/>
      <c r="P309" s="619" t="s">
        <v>40</v>
      </c>
      <c r="Q309" s="620"/>
      <c r="R309" s="620"/>
      <c r="S309" s="620"/>
      <c r="T309" s="620"/>
      <c r="U309" s="620"/>
      <c r="V309" s="621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5">
      <c r="A310" s="622"/>
      <c r="B310" s="622"/>
      <c r="C310" s="622"/>
      <c r="D310" s="622"/>
      <c r="E310" s="622"/>
      <c r="F310" s="622"/>
      <c r="G310" s="622"/>
      <c r="H310" s="622"/>
      <c r="I310" s="622"/>
      <c r="J310" s="622"/>
      <c r="K310" s="622"/>
      <c r="L310" s="622"/>
      <c r="M310" s="622"/>
      <c r="N310" s="622"/>
      <c r="O310" s="623"/>
      <c r="P310" s="619" t="s">
        <v>40</v>
      </c>
      <c r="Q310" s="620"/>
      <c r="R310" s="620"/>
      <c r="S310" s="620"/>
      <c r="T310" s="620"/>
      <c r="U310" s="620"/>
      <c r="V310" s="621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30" t="s">
        <v>521</v>
      </c>
      <c r="B311" s="630"/>
      <c r="C311" s="630"/>
      <c r="D311" s="630"/>
      <c r="E311" s="630"/>
      <c r="F311" s="630"/>
      <c r="G311" s="630"/>
      <c r="H311" s="630"/>
      <c r="I311" s="630"/>
      <c r="J311" s="630"/>
      <c r="K311" s="630"/>
      <c r="L311" s="630"/>
      <c r="M311" s="630"/>
      <c r="N311" s="630"/>
      <c r="O311" s="630"/>
      <c r="P311" s="630"/>
      <c r="Q311" s="630"/>
      <c r="R311" s="630"/>
      <c r="S311" s="630"/>
      <c r="T311" s="630"/>
      <c r="U311" s="630"/>
      <c r="V311" s="630"/>
      <c r="W311" s="630"/>
      <c r="X311" s="630"/>
      <c r="Y311" s="630"/>
      <c r="Z311" s="630"/>
      <c r="AA311" s="65"/>
      <c r="AB311" s="65"/>
      <c r="AC311" s="79"/>
    </row>
    <row r="312" spans="1:68" ht="14.25" customHeight="1" x14ac:dyDescent="0.25">
      <c r="A312" s="614" t="s">
        <v>139</v>
      </c>
      <c r="B312" s="614"/>
      <c r="C312" s="614"/>
      <c r="D312" s="614"/>
      <c r="E312" s="614"/>
      <c r="F312" s="614"/>
      <c r="G312" s="614"/>
      <c r="H312" s="614"/>
      <c r="I312" s="614"/>
      <c r="J312" s="614"/>
      <c r="K312" s="614"/>
      <c r="L312" s="614"/>
      <c r="M312" s="614"/>
      <c r="N312" s="614"/>
      <c r="O312" s="614"/>
      <c r="P312" s="614"/>
      <c r="Q312" s="614"/>
      <c r="R312" s="614"/>
      <c r="S312" s="614"/>
      <c r="T312" s="614"/>
      <c r="U312" s="614"/>
      <c r="V312" s="614"/>
      <c r="W312" s="614"/>
      <c r="X312" s="614"/>
      <c r="Y312" s="614"/>
      <c r="Z312" s="614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15">
        <v>4680115885837</v>
      </c>
      <c r="E313" s="61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7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17"/>
      <c r="R313" s="617"/>
      <c r="S313" s="617"/>
      <c r="T313" s="6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15">
        <v>4680115887237</v>
      </c>
      <c r="E314" s="61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73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17"/>
      <c r="R314" s="617"/>
      <c r="S314" s="617"/>
      <c r="T314" s="618"/>
      <c r="U314" s="39" t="s">
        <v>46</v>
      </c>
      <c r="V314" s="39" t="s">
        <v>46</v>
      </c>
      <c r="W314" s="40" t="s">
        <v>0</v>
      </c>
      <c r="X314" s="58">
        <v>32.4</v>
      </c>
      <c r="Y314" s="55">
        <f>IFERROR(IF(X314="",0,CEILING((X314/$H314),1)*$H314),"")</f>
        <v>32.400000000000006</v>
      </c>
      <c r="Z314" s="41">
        <f>IFERROR(IF(Y314=0,"",ROUNDUP(Y314/H314,0)*0.01898),"")</f>
        <v>5.6940000000000004E-2</v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33.629999999999995</v>
      </c>
      <c r="BN314" s="78">
        <f>IFERROR(Y314*I314/H314,"0")</f>
        <v>33.630000000000003</v>
      </c>
      <c r="BO314" s="78">
        <f>IFERROR(1/J314*(X314/H314),"0")</f>
        <v>4.6874999999999993E-2</v>
      </c>
      <c r="BP314" s="78">
        <f>IFERROR(1/J314*(Y314/H314),"0")</f>
        <v>4.6875000000000007E-2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15">
        <v>4680115885806</v>
      </c>
      <c r="E315" s="615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7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17"/>
      <c r="R315" s="617"/>
      <c r="S315" s="617"/>
      <c r="T315" s="618"/>
      <c r="U315" s="39" t="s">
        <v>46</v>
      </c>
      <c r="V315" s="39" t="s">
        <v>46</v>
      </c>
      <c r="W315" s="40" t="s">
        <v>0</v>
      </c>
      <c r="X315" s="58">
        <v>108</v>
      </c>
      <c r="Y315" s="55">
        <f>IFERROR(IF(X315="",0,CEILING((X315/$H315),1)*$H315),"")</f>
        <v>108</v>
      </c>
      <c r="Z315" s="41">
        <f>IFERROR(IF(Y315=0,"",ROUNDUP(Y315/H315,0)*0.01898),"")</f>
        <v>0.1898</v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112.1</v>
      </c>
      <c r="BN315" s="78">
        <f>IFERROR(Y315*I315/H315,"0")</f>
        <v>112.1</v>
      </c>
      <c r="BO315" s="78">
        <f>IFERROR(1/J315*(X315/H315),"0")</f>
        <v>0.15625</v>
      </c>
      <c r="BP315" s="78">
        <f>IFERROR(1/J315*(Y315/H315),"0")</f>
        <v>0.15625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15">
        <v>4680115885844</v>
      </c>
      <c r="E316" s="61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7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17"/>
      <c r="R316" s="617"/>
      <c r="S316" s="617"/>
      <c r="T316" s="6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15">
        <v>4680115885820</v>
      </c>
      <c r="E317" s="61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73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17"/>
      <c r="R317" s="617"/>
      <c r="S317" s="617"/>
      <c r="T317" s="6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5">
      <c r="A318" s="622"/>
      <c r="B318" s="622"/>
      <c r="C318" s="622"/>
      <c r="D318" s="622"/>
      <c r="E318" s="622"/>
      <c r="F318" s="622"/>
      <c r="G318" s="622"/>
      <c r="H318" s="622"/>
      <c r="I318" s="622"/>
      <c r="J318" s="622"/>
      <c r="K318" s="622"/>
      <c r="L318" s="622"/>
      <c r="M318" s="622"/>
      <c r="N318" s="622"/>
      <c r="O318" s="623"/>
      <c r="P318" s="619" t="s">
        <v>40</v>
      </c>
      <c r="Q318" s="620"/>
      <c r="R318" s="620"/>
      <c r="S318" s="620"/>
      <c r="T318" s="620"/>
      <c r="U318" s="620"/>
      <c r="V318" s="621"/>
      <c r="W318" s="42" t="s">
        <v>39</v>
      </c>
      <c r="X318" s="43">
        <f>IFERROR(X313/H313,"0")+IFERROR(X314/H314,"0")+IFERROR(X315/H315,"0")+IFERROR(X316/H316,"0")+IFERROR(X317/H317,"0")</f>
        <v>13</v>
      </c>
      <c r="Y318" s="43">
        <f>IFERROR(Y313/H313,"0")+IFERROR(Y314/H314,"0")+IFERROR(Y315/H315,"0")+IFERROR(Y316/H316,"0")+IFERROR(Y317/H317,"0")</f>
        <v>13</v>
      </c>
      <c r="Z318" s="43">
        <f>IFERROR(IF(Z313="",0,Z313),"0")+IFERROR(IF(Z314="",0,Z314),"0")+IFERROR(IF(Z315="",0,Z315),"0")+IFERROR(IF(Z316="",0,Z316),"0")+IFERROR(IF(Z317="",0,Z317),"0")</f>
        <v>0.24674000000000001</v>
      </c>
      <c r="AA318" s="67"/>
      <c r="AB318" s="67"/>
      <c r="AC318" s="67"/>
    </row>
    <row r="319" spans="1:68" x14ac:dyDescent="0.25">
      <c r="A319" s="622"/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3"/>
      <c r="P319" s="619" t="s">
        <v>40</v>
      </c>
      <c r="Q319" s="620"/>
      <c r="R319" s="620"/>
      <c r="S319" s="620"/>
      <c r="T319" s="620"/>
      <c r="U319" s="620"/>
      <c r="V319" s="621"/>
      <c r="W319" s="42" t="s">
        <v>0</v>
      </c>
      <c r="X319" s="43">
        <f>IFERROR(SUM(X313:X317),"0")</f>
        <v>140.4</v>
      </c>
      <c r="Y319" s="43">
        <f>IFERROR(SUM(Y313:Y317),"0")</f>
        <v>140.4</v>
      </c>
      <c r="Z319" s="42"/>
      <c r="AA319" s="67"/>
      <c r="AB319" s="67"/>
      <c r="AC319" s="67"/>
    </row>
    <row r="320" spans="1:68" ht="16.5" customHeight="1" x14ac:dyDescent="0.25">
      <c r="A320" s="630" t="s">
        <v>537</v>
      </c>
      <c r="B320" s="630"/>
      <c r="C320" s="630"/>
      <c r="D320" s="630"/>
      <c r="E320" s="630"/>
      <c r="F320" s="630"/>
      <c r="G320" s="630"/>
      <c r="H320" s="630"/>
      <c r="I320" s="630"/>
      <c r="J320" s="630"/>
      <c r="K320" s="630"/>
      <c r="L320" s="630"/>
      <c r="M320" s="630"/>
      <c r="N320" s="630"/>
      <c r="O320" s="630"/>
      <c r="P320" s="630"/>
      <c r="Q320" s="630"/>
      <c r="R320" s="630"/>
      <c r="S320" s="630"/>
      <c r="T320" s="630"/>
      <c r="U320" s="630"/>
      <c r="V320" s="630"/>
      <c r="W320" s="630"/>
      <c r="X320" s="630"/>
      <c r="Y320" s="630"/>
      <c r="Z320" s="630"/>
      <c r="AA320" s="65"/>
      <c r="AB320" s="65"/>
      <c r="AC320" s="79"/>
    </row>
    <row r="321" spans="1:68" ht="14.25" customHeight="1" x14ac:dyDescent="0.25">
      <c r="A321" s="614" t="s">
        <v>90</v>
      </c>
      <c r="B321" s="614"/>
      <c r="C321" s="614"/>
      <c r="D321" s="614"/>
      <c r="E321" s="614"/>
      <c r="F321" s="614"/>
      <c r="G321" s="614"/>
      <c r="H321" s="614"/>
      <c r="I321" s="614"/>
      <c r="J321" s="614"/>
      <c r="K321" s="614"/>
      <c r="L321" s="614"/>
      <c r="M321" s="614"/>
      <c r="N321" s="614"/>
      <c r="O321" s="614"/>
      <c r="P321" s="614"/>
      <c r="Q321" s="614"/>
      <c r="R321" s="614"/>
      <c r="S321" s="614"/>
      <c r="T321" s="614"/>
      <c r="U321" s="614"/>
      <c r="V321" s="614"/>
      <c r="W321" s="614"/>
      <c r="X321" s="614"/>
      <c r="Y321" s="614"/>
      <c r="Z321" s="614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15">
        <v>4680115886186</v>
      </c>
      <c r="E322" s="615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72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17"/>
      <c r="R322" s="617"/>
      <c r="S322" s="617"/>
      <c r="T322" s="61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15">
        <v>4680115881228</v>
      </c>
      <c r="E323" s="615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73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17"/>
      <c r="R323" s="617"/>
      <c r="S323" s="617"/>
      <c r="T323" s="61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15">
        <v>4680115881211</v>
      </c>
      <c r="E324" s="615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72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17"/>
      <c r="R324" s="617"/>
      <c r="S324" s="617"/>
      <c r="T324" s="6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5">
      <c r="A325" s="622"/>
      <c r="B325" s="622"/>
      <c r="C325" s="622"/>
      <c r="D325" s="622"/>
      <c r="E325" s="622"/>
      <c r="F325" s="622"/>
      <c r="G325" s="622"/>
      <c r="H325" s="622"/>
      <c r="I325" s="622"/>
      <c r="J325" s="622"/>
      <c r="K325" s="622"/>
      <c r="L325" s="622"/>
      <c r="M325" s="622"/>
      <c r="N325" s="622"/>
      <c r="O325" s="623"/>
      <c r="P325" s="619" t="s">
        <v>40</v>
      </c>
      <c r="Q325" s="620"/>
      <c r="R325" s="620"/>
      <c r="S325" s="620"/>
      <c r="T325" s="620"/>
      <c r="U325" s="620"/>
      <c r="V325" s="621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5">
      <c r="A326" s="622"/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3"/>
      <c r="P326" s="619" t="s">
        <v>40</v>
      </c>
      <c r="Q326" s="620"/>
      <c r="R326" s="620"/>
      <c r="S326" s="620"/>
      <c r="T326" s="620"/>
      <c r="U326" s="620"/>
      <c r="V326" s="621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30" t="s">
        <v>546</v>
      </c>
      <c r="B327" s="630"/>
      <c r="C327" s="630"/>
      <c r="D327" s="630"/>
      <c r="E327" s="630"/>
      <c r="F327" s="630"/>
      <c r="G327" s="630"/>
      <c r="H327" s="630"/>
      <c r="I327" s="630"/>
      <c r="J327" s="630"/>
      <c r="K327" s="630"/>
      <c r="L327" s="630"/>
      <c r="M327" s="630"/>
      <c r="N327" s="630"/>
      <c r="O327" s="630"/>
      <c r="P327" s="630"/>
      <c r="Q327" s="630"/>
      <c r="R327" s="630"/>
      <c r="S327" s="630"/>
      <c r="T327" s="630"/>
      <c r="U327" s="630"/>
      <c r="V327" s="630"/>
      <c r="W327" s="630"/>
      <c r="X327" s="630"/>
      <c r="Y327" s="630"/>
      <c r="Z327" s="630"/>
      <c r="AA327" s="65"/>
      <c r="AB327" s="65"/>
      <c r="AC327" s="79"/>
    </row>
    <row r="328" spans="1:68" ht="14.25" customHeight="1" x14ac:dyDescent="0.25">
      <c r="A328" s="614" t="s">
        <v>77</v>
      </c>
      <c r="B328" s="614"/>
      <c r="C328" s="614"/>
      <c r="D328" s="614"/>
      <c r="E328" s="614"/>
      <c r="F328" s="614"/>
      <c r="G328" s="614"/>
      <c r="H328" s="614"/>
      <c r="I328" s="614"/>
      <c r="J328" s="614"/>
      <c r="K328" s="614"/>
      <c r="L328" s="614"/>
      <c r="M328" s="614"/>
      <c r="N328" s="614"/>
      <c r="O328" s="614"/>
      <c r="P328" s="614"/>
      <c r="Q328" s="614"/>
      <c r="R328" s="614"/>
      <c r="S328" s="614"/>
      <c r="T328" s="614"/>
      <c r="U328" s="614"/>
      <c r="V328" s="614"/>
      <c r="W328" s="614"/>
      <c r="X328" s="614"/>
      <c r="Y328" s="614"/>
      <c r="Z328" s="614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15">
        <v>4680115888319</v>
      </c>
      <c r="E329" s="615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72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17"/>
      <c r="R329" s="617"/>
      <c r="S329" s="617"/>
      <c r="T329" s="61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15">
        <v>4680115884700</v>
      </c>
      <c r="E330" s="615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72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17"/>
      <c r="R330" s="617"/>
      <c r="S330" s="617"/>
      <c r="T330" s="61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15">
        <v>4680115880344</v>
      </c>
      <c r="E331" s="615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72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17"/>
      <c r="R331" s="617"/>
      <c r="S331" s="617"/>
      <c r="T331" s="61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15">
        <v>4680115886919</v>
      </c>
      <c r="E332" s="615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7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17"/>
      <c r="R332" s="617"/>
      <c r="S332" s="617"/>
      <c r="T332" s="61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15">
        <v>4680115883970</v>
      </c>
      <c r="E333" s="615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72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17"/>
      <c r="R333" s="617"/>
      <c r="S333" s="617"/>
      <c r="T333" s="6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22"/>
      <c r="B334" s="622"/>
      <c r="C334" s="622"/>
      <c r="D334" s="622"/>
      <c r="E334" s="622"/>
      <c r="F334" s="622"/>
      <c r="G334" s="622"/>
      <c r="H334" s="622"/>
      <c r="I334" s="622"/>
      <c r="J334" s="622"/>
      <c r="K334" s="622"/>
      <c r="L334" s="622"/>
      <c r="M334" s="622"/>
      <c r="N334" s="622"/>
      <c r="O334" s="623"/>
      <c r="P334" s="619" t="s">
        <v>40</v>
      </c>
      <c r="Q334" s="620"/>
      <c r="R334" s="620"/>
      <c r="S334" s="620"/>
      <c r="T334" s="620"/>
      <c r="U334" s="620"/>
      <c r="V334" s="621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22"/>
      <c r="B335" s="622"/>
      <c r="C335" s="622"/>
      <c r="D335" s="622"/>
      <c r="E335" s="622"/>
      <c r="F335" s="622"/>
      <c r="G335" s="622"/>
      <c r="H335" s="622"/>
      <c r="I335" s="622"/>
      <c r="J335" s="622"/>
      <c r="K335" s="622"/>
      <c r="L335" s="622"/>
      <c r="M335" s="622"/>
      <c r="N335" s="622"/>
      <c r="O335" s="623"/>
      <c r="P335" s="619" t="s">
        <v>40</v>
      </c>
      <c r="Q335" s="620"/>
      <c r="R335" s="620"/>
      <c r="S335" s="620"/>
      <c r="T335" s="620"/>
      <c r="U335" s="620"/>
      <c r="V335" s="621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14" t="s">
        <v>90</v>
      </c>
      <c r="B336" s="614"/>
      <c r="C336" s="614"/>
      <c r="D336" s="614"/>
      <c r="E336" s="614"/>
      <c r="F336" s="614"/>
      <c r="G336" s="614"/>
      <c r="H336" s="614"/>
      <c r="I336" s="614"/>
      <c r="J336" s="614"/>
      <c r="K336" s="614"/>
      <c r="L336" s="614"/>
      <c r="M336" s="614"/>
      <c r="N336" s="614"/>
      <c r="O336" s="614"/>
      <c r="P336" s="614"/>
      <c r="Q336" s="614"/>
      <c r="R336" s="614"/>
      <c r="S336" s="614"/>
      <c r="T336" s="614"/>
      <c r="U336" s="614"/>
      <c r="V336" s="614"/>
      <c r="W336" s="614"/>
      <c r="X336" s="614"/>
      <c r="Y336" s="614"/>
      <c r="Z336" s="614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15">
        <v>4680115884618</v>
      </c>
      <c r="E337" s="615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72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17"/>
      <c r="R337" s="617"/>
      <c r="S337" s="617"/>
      <c r="T337" s="61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15">
        <v>4680115887114</v>
      </c>
      <c r="E338" s="615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72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17"/>
      <c r="R338" s="617"/>
      <c r="S338" s="617"/>
      <c r="T338" s="61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5">
      <c r="A339" s="622"/>
      <c r="B339" s="622"/>
      <c r="C339" s="622"/>
      <c r="D339" s="622"/>
      <c r="E339" s="622"/>
      <c r="F339" s="622"/>
      <c r="G339" s="622"/>
      <c r="H339" s="622"/>
      <c r="I339" s="622"/>
      <c r="J339" s="622"/>
      <c r="K339" s="622"/>
      <c r="L339" s="622"/>
      <c r="M339" s="622"/>
      <c r="N339" s="622"/>
      <c r="O339" s="623"/>
      <c r="P339" s="619" t="s">
        <v>40</v>
      </c>
      <c r="Q339" s="620"/>
      <c r="R339" s="620"/>
      <c r="S339" s="620"/>
      <c r="T339" s="620"/>
      <c r="U339" s="620"/>
      <c r="V339" s="621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5">
      <c r="A340" s="622"/>
      <c r="B340" s="622"/>
      <c r="C340" s="622"/>
      <c r="D340" s="622"/>
      <c r="E340" s="622"/>
      <c r="F340" s="622"/>
      <c r="G340" s="622"/>
      <c r="H340" s="622"/>
      <c r="I340" s="622"/>
      <c r="J340" s="622"/>
      <c r="K340" s="622"/>
      <c r="L340" s="622"/>
      <c r="M340" s="622"/>
      <c r="N340" s="622"/>
      <c r="O340" s="623"/>
      <c r="P340" s="619" t="s">
        <v>40</v>
      </c>
      <c r="Q340" s="620"/>
      <c r="R340" s="620"/>
      <c r="S340" s="620"/>
      <c r="T340" s="620"/>
      <c r="U340" s="620"/>
      <c r="V340" s="621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30" t="s">
        <v>567</v>
      </c>
      <c r="B341" s="630"/>
      <c r="C341" s="630"/>
      <c r="D341" s="630"/>
      <c r="E341" s="630"/>
      <c r="F341" s="630"/>
      <c r="G341" s="630"/>
      <c r="H341" s="630"/>
      <c r="I341" s="630"/>
      <c r="J341" s="630"/>
      <c r="K341" s="630"/>
      <c r="L341" s="630"/>
      <c r="M341" s="630"/>
      <c r="N341" s="630"/>
      <c r="O341" s="630"/>
      <c r="P341" s="630"/>
      <c r="Q341" s="630"/>
      <c r="R341" s="630"/>
      <c r="S341" s="630"/>
      <c r="T341" s="630"/>
      <c r="U341" s="630"/>
      <c r="V341" s="630"/>
      <c r="W341" s="630"/>
      <c r="X341" s="630"/>
      <c r="Y341" s="630"/>
      <c r="Z341" s="630"/>
      <c r="AA341" s="65"/>
      <c r="AB341" s="65"/>
      <c r="AC341" s="79"/>
    </row>
    <row r="342" spans="1:68" ht="14.25" customHeight="1" x14ac:dyDescent="0.25">
      <c r="A342" s="614" t="s">
        <v>139</v>
      </c>
      <c r="B342" s="614"/>
      <c r="C342" s="614"/>
      <c r="D342" s="614"/>
      <c r="E342" s="614"/>
      <c r="F342" s="614"/>
      <c r="G342" s="614"/>
      <c r="H342" s="614"/>
      <c r="I342" s="614"/>
      <c r="J342" s="614"/>
      <c r="K342" s="614"/>
      <c r="L342" s="614"/>
      <c r="M342" s="614"/>
      <c r="N342" s="614"/>
      <c r="O342" s="614"/>
      <c r="P342" s="614"/>
      <c r="Q342" s="614"/>
      <c r="R342" s="614"/>
      <c r="S342" s="614"/>
      <c r="T342" s="614"/>
      <c r="U342" s="614"/>
      <c r="V342" s="614"/>
      <c r="W342" s="614"/>
      <c r="X342" s="614"/>
      <c r="Y342" s="614"/>
      <c r="Z342" s="614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15">
        <v>4680115887947</v>
      </c>
      <c r="E343" s="615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71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17"/>
      <c r="R343" s="617"/>
      <c r="S343" s="617"/>
      <c r="T343" s="6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15">
        <v>4680115887978</v>
      </c>
      <c r="E344" s="615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71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17"/>
      <c r="R344" s="617"/>
      <c r="S344" s="617"/>
      <c r="T344" s="6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15">
        <v>4680115887992</v>
      </c>
      <c r="E345" s="615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7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17"/>
      <c r="R345" s="617"/>
      <c r="S345" s="617"/>
      <c r="T345" s="61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5">
      <c r="A346" s="622"/>
      <c r="B346" s="622"/>
      <c r="C346" s="622"/>
      <c r="D346" s="622"/>
      <c r="E346" s="622"/>
      <c r="F346" s="622"/>
      <c r="G346" s="622"/>
      <c r="H346" s="622"/>
      <c r="I346" s="622"/>
      <c r="J346" s="622"/>
      <c r="K346" s="622"/>
      <c r="L346" s="622"/>
      <c r="M346" s="622"/>
      <c r="N346" s="622"/>
      <c r="O346" s="623"/>
      <c r="P346" s="619" t="s">
        <v>40</v>
      </c>
      <c r="Q346" s="620"/>
      <c r="R346" s="620"/>
      <c r="S346" s="620"/>
      <c r="T346" s="620"/>
      <c r="U346" s="620"/>
      <c r="V346" s="621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5">
      <c r="A347" s="622"/>
      <c r="B347" s="622"/>
      <c r="C347" s="622"/>
      <c r="D347" s="622"/>
      <c r="E347" s="622"/>
      <c r="F347" s="622"/>
      <c r="G347" s="622"/>
      <c r="H347" s="622"/>
      <c r="I347" s="622"/>
      <c r="J347" s="622"/>
      <c r="K347" s="622"/>
      <c r="L347" s="622"/>
      <c r="M347" s="622"/>
      <c r="N347" s="622"/>
      <c r="O347" s="623"/>
      <c r="P347" s="619" t="s">
        <v>40</v>
      </c>
      <c r="Q347" s="620"/>
      <c r="R347" s="620"/>
      <c r="S347" s="620"/>
      <c r="T347" s="620"/>
      <c r="U347" s="620"/>
      <c r="V347" s="621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30" t="s">
        <v>577</v>
      </c>
      <c r="B348" s="630"/>
      <c r="C348" s="630"/>
      <c r="D348" s="630"/>
      <c r="E348" s="630"/>
      <c r="F348" s="630"/>
      <c r="G348" s="630"/>
      <c r="H348" s="630"/>
      <c r="I348" s="630"/>
      <c r="J348" s="630"/>
      <c r="K348" s="630"/>
      <c r="L348" s="630"/>
      <c r="M348" s="630"/>
      <c r="N348" s="630"/>
      <c r="O348" s="630"/>
      <c r="P348" s="630"/>
      <c r="Q348" s="630"/>
      <c r="R348" s="630"/>
      <c r="S348" s="630"/>
      <c r="T348" s="630"/>
      <c r="U348" s="630"/>
      <c r="V348" s="630"/>
      <c r="W348" s="630"/>
      <c r="X348" s="630"/>
      <c r="Y348" s="630"/>
      <c r="Z348" s="630"/>
      <c r="AA348" s="65"/>
      <c r="AB348" s="65"/>
      <c r="AC348" s="79"/>
    </row>
    <row r="349" spans="1:68" ht="14.25" customHeight="1" x14ac:dyDescent="0.25">
      <c r="A349" s="614" t="s">
        <v>139</v>
      </c>
      <c r="B349" s="614"/>
      <c r="C349" s="614"/>
      <c r="D349" s="614"/>
      <c r="E349" s="614"/>
      <c r="F349" s="614"/>
      <c r="G349" s="614"/>
      <c r="H349" s="614"/>
      <c r="I349" s="614"/>
      <c r="J349" s="614"/>
      <c r="K349" s="614"/>
      <c r="L349" s="614"/>
      <c r="M349" s="614"/>
      <c r="N349" s="614"/>
      <c r="O349" s="614"/>
      <c r="P349" s="614"/>
      <c r="Q349" s="614"/>
      <c r="R349" s="614"/>
      <c r="S349" s="614"/>
      <c r="T349" s="614"/>
      <c r="U349" s="614"/>
      <c r="V349" s="614"/>
      <c r="W349" s="614"/>
      <c r="X349" s="614"/>
      <c r="Y349" s="614"/>
      <c r="Z349" s="614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4301012126</v>
      </c>
      <c r="D350" s="615">
        <v>4607091386004</v>
      </c>
      <c r="E350" s="615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71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0" s="617"/>
      <c r="R350" s="617"/>
      <c r="S350" s="617"/>
      <c r="T350" s="618"/>
      <c r="U350" s="39" t="s">
        <v>46</v>
      </c>
      <c r="V350" s="39" t="s">
        <v>46</v>
      </c>
      <c r="W350" s="40" t="s">
        <v>0</v>
      </c>
      <c r="X350" s="58">
        <v>4320</v>
      </c>
      <c r="Y350" s="55">
        <f t="shared" ref="Y350:Y355" si="42">IFERROR(IF(X350="",0,CEILING((X350/$H350),1)*$H350),"")</f>
        <v>4320</v>
      </c>
      <c r="Z350" s="41">
        <f>IFERROR(IF(Y350=0,"",ROUNDUP(Y350/H350,0)*0.01898),"")</f>
        <v>7.5920000000000005</v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 t="shared" ref="BM350:BM355" si="43">IFERROR(X350*I350/H350,"0")</f>
        <v>4484</v>
      </c>
      <c r="BN350" s="78">
        <f t="shared" ref="BN350:BN355" si="44">IFERROR(Y350*I350/H350,"0")</f>
        <v>4484</v>
      </c>
      <c r="BO350" s="78">
        <f t="shared" ref="BO350:BO355" si="45">IFERROR(1/J350*(X350/H350),"0")</f>
        <v>6.25</v>
      </c>
      <c r="BP350" s="78">
        <f t="shared" ref="BP350:BP355" si="46">IFERROR(1/J350*(Y350/H350),"0")</f>
        <v>6.25</v>
      </c>
    </row>
    <row r="351" spans="1:68" ht="27" customHeight="1" x14ac:dyDescent="0.25">
      <c r="A351" s="63" t="s">
        <v>581</v>
      </c>
      <c r="B351" s="63" t="s">
        <v>582</v>
      </c>
      <c r="C351" s="36">
        <v>4301012235</v>
      </c>
      <c r="D351" s="615">
        <v>4680115887190</v>
      </c>
      <c r="E351" s="615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7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1" s="617"/>
      <c r="R351" s="617"/>
      <c r="S351" s="617"/>
      <c r="T351" s="618"/>
      <c r="U351" s="39" t="s">
        <v>46</v>
      </c>
      <c r="V351" s="39" t="s">
        <v>46</v>
      </c>
      <c r="W351" s="40" t="s">
        <v>0</v>
      </c>
      <c r="X351" s="58">
        <v>324</v>
      </c>
      <c r="Y351" s="55">
        <f t="shared" si="42"/>
        <v>324</v>
      </c>
      <c r="Z351" s="41">
        <f>IFERROR(IF(Y351=0,"",ROUNDUP(Y351/H351,0)*0.01898),"")</f>
        <v>0.56940000000000002</v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 t="shared" si="43"/>
        <v>336.3</v>
      </c>
      <c r="BN351" s="78">
        <f t="shared" si="44"/>
        <v>336.3</v>
      </c>
      <c r="BO351" s="78">
        <f t="shared" si="45"/>
        <v>0.46874999999999994</v>
      </c>
      <c r="BP351" s="78">
        <f t="shared" si="46"/>
        <v>0.46874999999999994</v>
      </c>
    </row>
    <row r="352" spans="1:68" ht="37.5" customHeight="1" x14ac:dyDescent="0.25">
      <c r="A352" s="63" t="s">
        <v>584</v>
      </c>
      <c r="B352" s="63" t="s">
        <v>585</v>
      </c>
      <c r="C352" s="36">
        <v>4301012233</v>
      </c>
      <c r="D352" s="615">
        <v>4680115887138</v>
      </c>
      <c r="E352" s="615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143</v>
      </c>
      <c r="N352" s="38"/>
      <c r="O352" s="37">
        <v>55</v>
      </c>
      <c r="P352" s="7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2" s="617"/>
      <c r="R352" s="617"/>
      <c r="S352" s="617"/>
      <c r="T352" s="618"/>
      <c r="U352" s="39" t="s">
        <v>46</v>
      </c>
      <c r="V352" s="39" t="s">
        <v>46</v>
      </c>
      <c r="W352" s="40" t="s">
        <v>0</v>
      </c>
      <c r="X352" s="58">
        <v>1080</v>
      </c>
      <c r="Y352" s="55">
        <f t="shared" si="42"/>
        <v>1080</v>
      </c>
      <c r="Z352" s="41">
        <f>IFERROR(IF(Y352=0,"",ROUNDUP(Y352/H352,0)*0.01898),"")</f>
        <v>1.8980000000000001</v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 t="shared" si="43"/>
        <v>1121</v>
      </c>
      <c r="BN352" s="78">
        <f t="shared" si="44"/>
        <v>1121</v>
      </c>
      <c r="BO352" s="78">
        <f t="shared" si="45"/>
        <v>1.5625</v>
      </c>
      <c r="BP352" s="78">
        <f t="shared" si="46"/>
        <v>1.5625</v>
      </c>
    </row>
    <row r="353" spans="1:68" ht="27" customHeight="1" x14ac:dyDescent="0.25">
      <c r="A353" s="63" t="s">
        <v>587</v>
      </c>
      <c r="B353" s="63" t="s">
        <v>588</v>
      </c>
      <c r="C353" s="36">
        <v>4301012016</v>
      </c>
      <c r="D353" s="615">
        <v>4680115885554</v>
      </c>
      <c r="E353" s="615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144</v>
      </c>
      <c r="L353" s="37" t="s">
        <v>46</v>
      </c>
      <c r="M353" s="38" t="s">
        <v>94</v>
      </c>
      <c r="N353" s="38"/>
      <c r="O353" s="37">
        <v>55</v>
      </c>
      <c r="P353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3" s="617"/>
      <c r="R353" s="617"/>
      <c r="S353" s="617"/>
      <c r="T353" s="618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si="42"/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589</v>
      </c>
      <c r="AG353" s="78"/>
      <c r="AJ353" s="84" t="s">
        <v>46</v>
      </c>
      <c r="AK353" s="84">
        <v>0</v>
      </c>
      <c r="BB353" s="439" t="s">
        <v>67</v>
      </c>
      <c r="BM353" s="78">
        <f t="shared" si="43"/>
        <v>0</v>
      </c>
      <c r="BN353" s="78">
        <f t="shared" si="44"/>
        <v>0</v>
      </c>
      <c r="BO353" s="78">
        <f t="shared" si="45"/>
        <v>0</v>
      </c>
      <c r="BP353" s="78">
        <f t="shared" si="46"/>
        <v>0</v>
      </c>
    </row>
    <row r="354" spans="1:68" ht="27" customHeight="1" x14ac:dyDescent="0.25">
      <c r="A354" s="63" t="s">
        <v>590</v>
      </c>
      <c r="B354" s="63" t="s">
        <v>591</v>
      </c>
      <c r="C354" s="36">
        <v>4301012236</v>
      </c>
      <c r="D354" s="615">
        <v>4680115887220</v>
      </c>
      <c r="E354" s="615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7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4" s="617"/>
      <c r="R354" s="617"/>
      <c r="S354" s="617"/>
      <c r="T354" s="618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583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4301011859</v>
      </c>
      <c r="D355" s="615">
        <v>4680115885608</v>
      </c>
      <c r="E355" s="615"/>
      <c r="F355" s="62">
        <v>0.4</v>
      </c>
      <c r="G355" s="37">
        <v>10</v>
      </c>
      <c r="H355" s="62">
        <v>4</v>
      </c>
      <c r="I355" s="62">
        <v>4.1900000000000004</v>
      </c>
      <c r="J355" s="37">
        <v>132</v>
      </c>
      <c r="K355" s="37" t="s">
        <v>151</v>
      </c>
      <c r="L355" s="37" t="s">
        <v>46</v>
      </c>
      <c r="M355" s="38" t="s">
        <v>143</v>
      </c>
      <c r="N355" s="38"/>
      <c r="O355" s="37">
        <v>55</v>
      </c>
      <c r="P355" s="7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5" s="617"/>
      <c r="R355" s="617"/>
      <c r="S355" s="617"/>
      <c r="T355" s="618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2" t="s">
        <v>594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x14ac:dyDescent="0.25">
      <c r="A356" s="622"/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3"/>
      <c r="P356" s="619" t="s">
        <v>40</v>
      </c>
      <c r="Q356" s="620"/>
      <c r="R356" s="620"/>
      <c r="S356" s="620"/>
      <c r="T356" s="620"/>
      <c r="U356" s="620"/>
      <c r="V356" s="621"/>
      <c r="W356" s="42" t="s">
        <v>39</v>
      </c>
      <c r="X356" s="43">
        <f>IFERROR(X350/H350,"0")+IFERROR(X351/H351,"0")+IFERROR(X352/H352,"0")+IFERROR(X353/H353,"0")+IFERROR(X354/H354,"0")+IFERROR(X355/H355,"0")</f>
        <v>530</v>
      </c>
      <c r="Y356" s="43">
        <f>IFERROR(Y350/H350,"0")+IFERROR(Y351/H351,"0")+IFERROR(Y352/H352,"0")+IFERROR(Y353/H353,"0")+IFERROR(Y354/H354,"0")+IFERROR(Y355/H355,"0")</f>
        <v>530</v>
      </c>
      <c r="Z356" s="43">
        <f>IFERROR(IF(Z350="",0,Z350),"0")+IFERROR(IF(Z351="",0,Z351),"0")+IFERROR(IF(Z352="",0,Z352),"0")+IFERROR(IF(Z353="",0,Z353),"0")+IFERROR(IF(Z354="",0,Z354),"0")+IFERROR(IF(Z355="",0,Z355),"0")</f>
        <v>10.0594</v>
      </c>
      <c r="AA356" s="67"/>
      <c r="AB356" s="67"/>
      <c r="AC356" s="67"/>
    </row>
    <row r="357" spans="1:68" x14ac:dyDescent="0.25">
      <c r="A357" s="622"/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3"/>
      <c r="P357" s="619" t="s">
        <v>40</v>
      </c>
      <c r="Q357" s="620"/>
      <c r="R357" s="620"/>
      <c r="S357" s="620"/>
      <c r="T357" s="620"/>
      <c r="U357" s="620"/>
      <c r="V357" s="621"/>
      <c r="W357" s="42" t="s">
        <v>0</v>
      </c>
      <c r="X357" s="43">
        <f>IFERROR(SUM(X350:X355),"0")</f>
        <v>5724</v>
      </c>
      <c r="Y357" s="43">
        <f>IFERROR(SUM(Y350:Y355),"0")</f>
        <v>5724</v>
      </c>
      <c r="Z357" s="42"/>
      <c r="AA357" s="67"/>
      <c r="AB357" s="67"/>
      <c r="AC357" s="67"/>
    </row>
    <row r="358" spans="1:68" ht="14.25" customHeight="1" x14ac:dyDescent="0.25">
      <c r="A358" s="614" t="s">
        <v>77</v>
      </c>
      <c r="B358" s="614"/>
      <c r="C358" s="614"/>
      <c r="D358" s="614"/>
      <c r="E358" s="614"/>
      <c r="F358" s="614"/>
      <c r="G358" s="614"/>
      <c r="H358" s="614"/>
      <c r="I358" s="614"/>
      <c r="J358" s="614"/>
      <c r="K358" s="614"/>
      <c r="L358" s="614"/>
      <c r="M358" s="614"/>
      <c r="N358" s="614"/>
      <c r="O358" s="614"/>
      <c r="P358" s="614"/>
      <c r="Q358" s="614"/>
      <c r="R358" s="614"/>
      <c r="S358" s="614"/>
      <c r="T358" s="614"/>
      <c r="U358" s="614"/>
      <c r="V358" s="614"/>
      <c r="W358" s="614"/>
      <c r="X358" s="614"/>
      <c r="Y358" s="614"/>
      <c r="Z358" s="614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4301030878</v>
      </c>
      <c r="D359" s="615">
        <v>4607091387193</v>
      </c>
      <c r="E359" s="615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35</v>
      </c>
      <c r="P359" s="7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9" s="617"/>
      <c r="R359" s="617"/>
      <c r="S359" s="617"/>
      <c r="T359" s="618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47">IFERROR(IF(X359="",0,CEILING((X359/$H359),1)*$H359),"")</f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ref="BM359:BM365" si="48">IFERROR(X359*I359/H359,"0")</f>
        <v>0</v>
      </c>
      <c r="BN359" s="78">
        <f t="shared" ref="BN359:BN365" si="49">IFERROR(Y359*I359/H359,"0")</f>
        <v>0</v>
      </c>
      <c r="BO359" s="78">
        <f t="shared" ref="BO359:BO365" si="50">IFERROR(1/J359*(X359/H359),"0")</f>
        <v>0</v>
      </c>
      <c r="BP359" s="78">
        <f t="shared" ref="BP359:BP365" si="51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4301031153</v>
      </c>
      <c r="D360" s="615">
        <v>4607091387230</v>
      </c>
      <c r="E360" s="615"/>
      <c r="F360" s="62">
        <v>0.7</v>
      </c>
      <c r="G360" s="37">
        <v>6</v>
      </c>
      <c r="H360" s="62">
        <v>4.2</v>
      </c>
      <c r="I360" s="62">
        <v>4.45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40</v>
      </c>
      <c r="P360" s="70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0" s="617"/>
      <c r="R360" s="617"/>
      <c r="S360" s="617"/>
      <c r="T360" s="618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4301031154</v>
      </c>
      <c r="D361" s="615">
        <v>4607091387292</v>
      </c>
      <c r="E361" s="615"/>
      <c r="F361" s="62">
        <v>0.73</v>
      </c>
      <c r="G361" s="37">
        <v>6</v>
      </c>
      <c r="H361" s="62">
        <v>4.38</v>
      </c>
      <c r="I361" s="62">
        <v>4.63</v>
      </c>
      <c r="J361" s="37">
        <v>132</v>
      </c>
      <c r="K361" s="37" t="s">
        <v>151</v>
      </c>
      <c r="L361" s="37" t="s">
        <v>46</v>
      </c>
      <c r="M361" s="38" t="s">
        <v>81</v>
      </c>
      <c r="N361" s="38"/>
      <c r="O361" s="37">
        <v>45</v>
      </c>
      <c r="P361" s="7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1" s="617"/>
      <c r="R361" s="617"/>
      <c r="S361" s="617"/>
      <c r="T361" s="6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603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customHeight="1" x14ac:dyDescent="0.25">
      <c r="A362" s="63" t="s">
        <v>604</v>
      </c>
      <c r="B362" s="63" t="s">
        <v>605</v>
      </c>
      <c r="C362" s="36">
        <v>4301031152</v>
      </c>
      <c r="D362" s="615">
        <v>4607091387285</v>
      </c>
      <c r="E362" s="615"/>
      <c r="F362" s="62">
        <v>0.35</v>
      </c>
      <c r="G362" s="37">
        <v>6</v>
      </c>
      <c r="H362" s="62">
        <v>2.1</v>
      </c>
      <c r="I362" s="62">
        <v>2.23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2" s="617"/>
      <c r="R362" s="617"/>
      <c r="S362" s="617"/>
      <c r="T362" s="6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600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4301031305</v>
      </c>
      <c r="D363" s="615">
        <v>4607091389845</v>
      </c>
      <c r="E363" s="615"/>
      <c r="F363" s="62">
        <v>0.35</v>
      </c>
      <c r="G363" s="37">
        <v>6</v>
      </c>
      <c r="H363" s="62">
        <v>2.1</v>
      </c>
      <c r="I363" s="62">
        <v>2.2000000000000002</v>
      </c>
      <c r="J363" s="37">
        <v>234</v>
      </c>
      <c r="K363" s="37" t="s">
        <v>86</v>
      </c>
      <c r="L363" s="37" t="s">
        <v>46</v>
      </c>
      <c r="M363" s="38" t="s">
        <v>81</v>
      </c>
      <c r="N363" s="38"/>
      <c r="O363" s="37">
        <v>40</v>
      </c>
      <c r="P363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3" s="617"/>
      <c r="R363" s="617"/>
      <c r="S363" s="617"/>
      <c r="T363" s="6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IFERROR(IF(Y363=0,"",ROUNDUP(Y363/H363,0)*0.00502),"")</f>
        <v/>
      </c>
      <c r="AA363" s="68" t="s">
        <v>46</v>
      </c>
      <c r="AB363" s="69" t="s">
        <v>46</v>
      </c>
      <c r="AC363" s="452" t="s">
        <v>608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4301031460</v>
      </c>
      <c r="D364" s="615">
        <v>4680115887442</v>
      </c>
      <c r="E364" s="615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151</v>
      </c>
      <c r="L364" s="37" t="s">
        <v>46</v>
      </c>
      <c r="M364" s="38" t="s">
        <v>81</v>
      </c>
      <c r="N364" s="38"/>
      <c r="O364" s="37">
        <v>45</v>
      </c>
      <c r="P364" s="7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4" s="617"/>
      <c r="R364" s="617"/>
      <c r="S364" s="617"/>
      <c r="T364" s="6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4301031066</v>
      </c>
      <c r="D365" s="615">
        <v>4607091383836</v>
      </c>
      <c r="E365" s="615"/>
      <c r="F365" s="62">
        <v>0.3</v>
      </c>
      <c r="G365" s="37">
        <v>6</v>
      </c>
      <c r="H365" s="62">
        <v>1.8</v>
      </c>
      <c r="I365" s="62">
        <v>2.028</v>
      </c>
      <c r="J365" s="37">
        <v>182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0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5" s="617"/>
      <c r="R365" s="617"/>
      <c r="S365" s="617"/>
      <c r="T365" s="6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IFERROR(IF(Y365=0,"",ROUNDUP(Y365/H365,0)*0.00651),"")</f>
        <v/>
      </c>
      <c r="AA365" s="68" t="s">
        <v>46</v>
      </c>
      <c r="AB365" s="69" t="s">
        <v>46</v>
      </c>
      <c r="AC365" s="456" t="s">
        <v>613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x14ac:dyDescent="0.25">
      <c r="A366" s="622"/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3"/>
      <c r="P366" s="619" t="s">
        <v>40</v>
      </c>
      <c r="Q366" s="620"/>
      <c r="R366" s="620"/>
      <c r="S366" s="620"/>
      <c r="T366" s="620"/>
      <c r="U366" s="620"/>
      <c r="V366" s="621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5">
      <c r="A367" s="622"/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3"/>
      <c r="P367" s="619" t="s">
        <v>40</v>
      </c>
      <c r="Q367" s="620"/>
      <c r="R367" s="620"/>
      <c r="S367" s="620"/>
      <c r="T367" s="620"/>
      <c r="U367" s="620"/>
      <c r="V367" s="621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customHeight="1" x14ac:dyDescent="0.25">
      <c r="A368" s="614" t="s">
        <v>90</v>
      </c>
      <c r="B368" s="614"/>
      <c r="C368" s="614"/>
      <c r="D368" s="614"/>
      <c r="E368" s="614"/>
      <c r="F368" s="614"/>
      <c r="G368" s="614"/>
      <c r="H368" s="614"/>
      <c r="I368" s="614"/>
      <c r="J368" s="614"/>
      <c r="K368" s="614"/>
      <c r="L368" s="614"/>
      <c r="M368" s="614"/>
      <c r="N368" s="614"/>
      <c r="O368" s="614"/>
      <c r="P368" s="614"/>
      <c r="Q368" s="614"/>
      <c r="R368" s="614"/>
      <c r="S368" s="614"/>
      <c r="T368" s="614"/>
      <c r="U368" s="614"/>
      <c r="V368" s="614"/>
      <c r="W368" s="614"/>
      <c r="X368" s="614"/>
      <c r="Y368" s="614"/>
      <c r="Z368" s="614"/>
      <c r="AA368" s="66"/>
      <c r="AB368" s="66"/>
      <c r="AC368" s="80"/>
    </row>
    <row r="369" spans="1:68" ht="27" customHeight="1" x14ac:dyDescent="0.25">
      <c r="A369" s="63" t="s">
        <v>614</v>
      </c>
      <c r="B369" s="63" t="s">
        <v>615</v>
      </c>
      <c r="C369" s="36">
        <v>4301051100</v>
      </c>
      <c r="D369" s="615">
        <v>4607091387766</v>
      </c>
      <c r="E369" s="615"/>
      <c r="F369" s="62">
        <v>1.3</v>
      </c>
      <c r="G369" s="37">
        <v>6</v>
      </c>
      <c r="H369" s="62">
        <v>7.8</v>
      </c>
      <c r="I369" s="62">
        <v>8.2880000000000003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70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9" s="617"/>
      <c r="R369" s="617"/>
      <c r="S369" s="617"/>
      <c r="T369" s="618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617</v>
      </c>
      <c r="B370" s="63" t="s">
        <v>618</v>
      </c>
      <c r="C370" s="36">
        <v>4301051818</v>
      </c>
      <c r="D370" s="615">
        <v>4607091387957</v>
      </c>
      <c r="E370" s="615"/>
      <c r="F370" s="62">
        <v>1.3</v>
      </c>
      <c r="G370" s="37">
        <v>6</v>
      </c>
      <c r="H370" s="62">
        <v>7.8</v>
      </c>
      <c r="I370" s="62">
        <v>8.2940000000000005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0" s="617"/>
      <c r="R370" s="617"/>
      <c r="S370" s="617"/>
      <c r="T370" s="618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customHeight="1" x14ac:dyDescent="0.25">
      <c r="A371" s="63" t="s">
        <v>620</v>
      </c>
      <c r="B371" s="63" t="s">
        <v>621</v>
      </c>
      <c r="C371" s="36">
        <v>4301051819</v>
      </c>
      <c r="D371" s="615">
        <v>4607091387964</v>
      </c>
      <c r="E371" s="615"/>
      <c r="F371" s="62">
        <v>1.35</v>
      </c>
      <c r="G371" s="37">
        <v>6</v>
      </c>
      <c r="H371" s="62">
        <v>8.1</v>
      </c>
      <c r="I371" s="62">
        <v>8.5760000000000005</v>
      </c>
      <c r="J371" s="37">
        <v>64</v>
      </c>
      <c r="K371" s="37" t="s">
        <v>144</v>
      </c>
      <c r="L371" s="37" t="s">
        <v>46</v>
      </c>
      <c r="M371" s="38" t="s">
        <v>94</v>
      </c>
      <c r="N371" s="38"/>
      <c r="O371" s="37">
        <v>40</v>
      </c>
      <c r="P371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1" s="617"/>
      <c r="R371" s="617"/>
      <c r="S371" s="617"/>
      <c r="T371" s="618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622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4301051734</v>
      </c>
      <c r="D372" s="615">
        <v>4680115884588</v>
      </c>
      <c r="E372" s="615"/>
      <c r="F372" s="62">
        <v>0.5</v>
      </c>
      <c r="G372" s="37">
        <v>6</v>
      </c>
      <c r="H372" s="62">
        <v>3</v>
      </c>
      <c r="I372" s="62">
        <v>3.246</v>
      </c>
      <c r="J372" s="37">
        <v>182</v>
      </c>
      <c r="K372" s="37" t="s">
        <v>82</v>
      </c>
      <c r="L372" s="37" t="s">
        <v>46</v>
      </c>
      <c r="M372" s="38" t="s">
        <v>94</v>
      </c>
      <c r="N372" s="38"/>
      <c r="O372" s="37">
        <v>40</v>
      </c>
      <c r="P372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2" s="617"/>
      <c r="R372" s="617"/>
      <c r="S372" s="617"/>
      <c r="T372" s="618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IFERROR(IF(Y372=0,"",ROUNDUP(Y372/H372,0)*0.00651),"")</f>
        <v/>
      </c>
      <c r="AA372" s="68" t="s">
        <v>46</v>
      </c>
      <c r="AB372" s="69" t="s">
        <v>46</v>
      </c>
      <c r="AC372" s="464" t="s">
        <v>616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x14ac:dyDescent="0.25">
      <c r="A373" s="622"/>
      <c r="B373" s="622"/>
      <c r="C373" s="622"/>
      <c r="D373" s="622"/>
      <c r="E373" s="622"/>
      <c r="F373" s="622"/>
      <c r="G373" s="622"/>
      <c r="H373" s="622"/>
      <c r="I373" s="622"/>
      <c r="J373" s="622"/>
      <c r="K373" s="622"/>
      <c r="L373" s="622"/>
      <c r="M373" s="622"/>
      <c r="N373" s="622"/>
      <c r="O373" s="623"/>
      <c r="P373" s="619" t="s">
        <v>40</v>
      </c>
      <c r="Q373" s="620"/>
      <c r="R373" s="620"/>
      <c r="S373" s="620"/>
      <c r="T373" s="620"/>
      <c r="U373" s="620"/>
      <c r="V373" s="621"/>
      <c r="W373" s="42" t="s">
        <v>39</v>
      </c>
      <c r="X373" s="43">
        <f>IFERROR(X369/H369,"0")+IFERROR(X370/H370,"0")+IFERROR(X371/H371,"0")+IFERROR(X372/H372,"0")</f>
        <v>0</v>
      </c>
      <c r="Y373" s="43">
        <f>IFERROR(Y369/H369,"0")+IFERROR(Y370/H370,"0")+IFERROR(Y371/H371,"0")+IFERROR(Y372/H372,"0")</f>
        <v>0</v>
      </c>
      <c r="Z373" s="43">
        <f>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x14ac:dyDescent="0.25">
      <c r="A374" s="622"/>
      <c r="B374" s="622"/>
      <c r="C374" s="622"/>
      <c r="D374" s="622"/>
      <c r="E374" s="622"/>
      <c r="F374" s="622"/>
      <c r="G374" s="622"/>
      <c r="H374" s="622"/>
      <c r="I374" s="622"/>
      <c r="J374" s="622"/>
      <c r="K374" s="622"/>
      <c r="L374" s="622"/>
      <c r="M374" s="622"/>
      <c r="N374" s="622"/>
      <c r="O374" s="623"/>
      <c r="P374" s="619" t="s">
        <v>40</v>
      </c>
      <c r="Q374" s="620"/>
      <c r="R374" s="620"/>
      <c r="S374" s="620"/>
      <c r="T374" s="620"/>
      <c r="U374" s="620"/>
      <c r="V374" s="621"/>
      <c r="W374" s="42" t="s">
        <v>0</v>
      </c>
      <c r="X374" s="43">
        <f>IFERROR(SUM(X369:X372),"0")</f>
        <v>0</v>
      </c>
      <c r="Y374" s="43">
        <f>IFERROR(SUM(Y369:Y372),"0")</f>
        <v>0</v>
      </c>
      <c r="Z374" s="42"/>
      <c r="AA374" s="67"/>
      <c r="AB374" s="67"/>
      <c r="AC374" s="67"/>
    </row>
    <row r="375" spans="1:68" ht="14.25" customHeight="1" x14ac:dyDescent="0.25">
      <c r="A375" s="614" t="s">
        <v>191</v>
      </c>
      <c r="B375" s="614"/>
      <c r="C375" s="614"/>
      <c r="D375" s="614"/>
      <c r="E375" s="614"/>
      <c r="F375" s="614"/>
      <c r="G375" s="614"/>
      <c r="H375" s="614"/>
      <c r="I375" s="614"/>
      <c r="J375" s="614"/>
      <c r="K375" s="614"/>
      <c r="L375" s="614"/>
      <c r="M375" s="614"/>
      <c r="N375" s="614"/>
      <c r="O375" s="614"/>
      <c r="P375" s="614"/>
      <c r="Q375" s="614"/>
      <c r="R375" s="614"/>
      <c r="S375" s="614"/>
      <c r="T375" s="614"/>
      <c r="U375" s="614"/>
      <c r="V375" s="614"/>
      <c r="W375" s="614"/>
      <c r="X375" s="614"/>
      <c r="Y375" s="614"/>
      <c r="Z375" s="614"/>
      <c r="AA375" s="66"/>
      <c r="AB375" s="66"/>
      <c r="AC375" s="80"/>
    </row>
    <row r="376" spans="1:68" ht="27" customHeight="1" x14ac:dyDescent="0.25">
      <c r="A376" s="63" t="s">
        <v>625</v>
      </c>
      <c r="B376" s="63" t="s">
        <v>626</v>
      </c>
      <c r="C376" s="36">
        <v>4301060387</v>
      </c>
      <c r="D376" s="615">
        <v>4607091380880</v>
      </c>
      <c r="E376" s="615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7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6" s="617"/>
      <c r="R376" s="617"/>
      <c r="S376" s="617"/>
      <c r="T376" s="618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628</v>
      </c>
      <c r="B377" s="63" t="s">
        <v>629</v>
      </c>
      <c r="C377" s="36">
        <v>4301060406</v>
      </c>
      <c r="D377" s="615">
        <v>4607091384482</v>
      </c>
      <c r="E377" s="615"/>
      <c r="F377" s="62">
        <v>1.3</v>
      </c>
      <c r="G377" s="37">
        <v>6</v>
      </c>
      <c r="H377" s="62">
        <v>7.8</v>
      </c>
      <c r="I377" s="62">
        <v>8.2940000000000005</v>
      </c>
      <c r="J377" s="37">
        <v>64</v>
      </c>
      <c r="K377" s="37" t="s">
        <v>144</v>
      </c>
      <c r="L377" s="37" t="s">
        <v>46</v>
      </c>
      <c r="M377" s="38" t="s">
        <v>94</v>
      </c>
      <c r="N377" s="38"/>
      <c r="O377" s="37">
        <v>30</v>
      </c>
      <c r="P377" s="6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7" s="617"/>
      <c r="R377" s="617"/>
      <c r="S377" s="617"/>
      <c r="T377" s="61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16.5" customHeight="1" x14ac:dyDescent="0.25">
      <c r="A378" s="63" t="s">
        <v>631</v>
      </c>
      <c r="B378" s="63" t="s">
        <v>632</v>
      </c>
      <c r="C378" s="36">
        <v>4301060484</v>
      </c>
      <c r="D378" s="615">
        <v>4607091380897</v>
      </c>
      <c r="E378" s="615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144</v>
      </c>
      <c r="L378" s="37" t="s">
        <v>46</v>
      </c>
      <c r="M378" s="38" t="s">
        <v>100</v>
      </c>
      <c r="N378" s="38"/>
      <c r="O378" s="37">
        <v>30</v>
      </c>
      <c r="P378" s="6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8" s="617"/>
      <c r="R378" s="617"/>
      <c r="S378" s="617"/>
      <c r="T378" s="618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633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5">
      <c r="A379" s="622"/>
      <c r="B379" s="622"/>
      <c r="C379" s="622"/>
      <c r="D379" s="622"/>
      <c r="E379" s="622"/>
      <c r="F379" s="622"/>
      <c r="G379" s="622"/>
      <c r="H379" s="622"/>
      <c r="I379" s="622"/>
      <c r="J379" s="622"/>
      <c r="K379" s="622"/>
      <c r="L379" s="622"/>
      <c r="M379" s="622"/>
      <c r="N379" s="622"/>
      <c r="O379" s="623"/>
      <c r="P379" s="619" t="s">
        <v>40</v>
      </c>
      <c r="Q379" s="620"/>
      <c r="R379" s="620"/>
      <c r="S379" s="620"/>
      <c r="T379" s="620"/>
      <c r="U379" s="620"/>
      <c r="V379" s="621"/>
      <c r="W379" s="42" t="s">
        <v>39</v>
      </c>
      <c r="X379" s="43">
        <f>IFERROR(X376/H376,"0")+IFERROR(X377/H377,"0")+IFERROR(X378/H378,"0")</f>
        <v>0</v>
      </c>
      <c r="Y379" s="43">
        <f>IFERROR(Y376/H376,"0")+IFERROR(Y377/H377,"0")+IFERROR(Y378/H378,"0")</f>
        <v>0</v>
      </c>
      <c r="Z379" s="43">
        <f>IFERROR(IF(Z376="",0,Z376),"0")+IFERROR(IF(Z377="",0,Z377),"0")+IFERROR(IF(Z378="",0,Z378),"0")</f>
        <v>0</v>
      </c>
      <c r="AA379" s="67"/>
      <c r="AB379" s="67"/>
      <c r="AC379" s="67"/>
    </row>
    <row r="380" spans="1:68" x14ac:dyDescent="0.25">
      <c r="A380" s="622"/>
      <c r="B380" s="622"/>
      <c r="C380" s="622"/>
      <c r="D380" s="622"/>
      <c r="E380" s="622"/>
      <c r="F380" s="622"/>
      <c r="G380" s="622"/>
      <c r="H380" s="622"/>
      <c r="I380" s="622"/>
      <c r="J380" s="622"/>
      <c r="K380" s="622"/>
      <c r="L380" s="622"/>
      <c r="M380" s="622"/>
      <c r="N380" s="622"/>
      <c r="O380" s="623"/>
      <c r="P380" s="619" t="s">
        <v>40</v>
      </c>
      <c r="Q380" s="620"/>
      <c r="R380" s="620"/>
      <c r="S380" s="620"/>
      <c r="T380" s="620"/>
      <c r="U380" s="620"/>
      <c r="V380" s="621"/>
      <c r="W380" s="42" t="s">
        <v>0</v>
      </c>
      <c r="X380" s="43">
        <f>IFERROR(SUM(X376:X378),"0")</f>
        <v>0</v>
      </c>
      <c r="Y380" s="43">
        <f>IFERROR(SUM(Y376:Y378),"0")</f>
        <v>0</v>
      </c>
      <c r="Z380" s="42"/>
      <c r="AA380" s="67"/>
      <c r="AB380" s="67"/>
      <c r="AC380" s="67"/>
    </row>
    <row r="381" spans="1:68" ht="14.25" customHeight="1" x14ac:dyDescent="0.25">
      <c r="A381" s="614" t="s">
        <v>118</v>
      </c>
      <c r="B381" s="614"/>
      <c r="C381" s="614"/>
      <c r="D381" s="614"/>
      <c r="E381" s="614"/>
      <c r="F381" s="614"/>
      <c r="G381" s="614"/>
      <c r="H381" s="614"/>
      <c r="I381" s="614"/>
      <c r="J381" s="614"/>
      <c r="K381" s="614"/>
      <c r="L381" s="614"/>
      <c r="M381" s="614"/>
      <c r="N381" s="614"/>
      <c r="O381" s="614"/>
      <c r="P381" s="614"/>
      <c r="Q381" s="614"/>
      <c r="R381" s="614"/>
      <c r="S381" s="614"/>
      <c r="T381" s="614"/>
      <c r="U381" s="614"/>
      <c r="V381" s="614"/>
      <c r="W381" s="614"/>
      <c r="X381" s="614"/>
      <c r="Y381" s="614"/>
      <c r="Z381" s="614"/>
      <c r="AA381" s="66"/>
      <c r="AB381" s="66"/>
      <c r="AC381" s="80"/>
    </row>
    <row r="382" spans="1:68" ht="27" customHeight="1" x14ac:dyDescent="0.25">
      <c r="A382" s="63" t="s">
        <v>634</v>
      </c>
      <c r="B382" s="63" t="s">
        <v>635</v>
      </c>
      <c r="C382" s="36">
        <v>4301030235</v>
      </c>
      <c r="D382" s="615">
        <v>4607091388381</v>
      </c>
      <c r="E382" s="615"/>
      <c r="F382" s="62">
        <v>0.38</v>
      </c>
      <c r="G382" s="37">
        <v>8</v>
      </c>
      <c r="H382" s="62">
        <v>3.04</v>
      </c>
      <c r="I382" s="62">
        <v>3.31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6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2" s="617"/>
      <c r="R382" s="617"/>
      <c r="S382" s="617"/>
      <c r="T382" s="6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636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637</v>
      </c>
      <c r="B383" s="63" t="s">
        <v>638</v>
      </c>
      <c r="C383" s="36">
        <v>4301030232</v>
      </c>
      <c r="D383" s="615">
        <v>4607091388374</v>
      </c>
      <c r="E383" s="615"/>
      <c r="F383" s="62">
        <v>0.38</v>
      </c>
      <c r="G383" s="37">
        <v>8</v>
      </c>
      <c r="H383" s="62">
        <v>3.04</v>
      </c>
      <c r="I383" s="62">
        <v>3.27</v>
      </c>
      <c r="J383" s="37">
        <v>132</v>
      </c>
      <c r="K383" s="37" t="s">
        <v>151</v>
      </c>
      <c r="L383" s="37" t="s">
        <v>46</v>
      </c>
      <c r="M383" s="38" t="s">
        <v>123</v>
      </c>
      <c r="N383" s="38"/>
      <c r="O383" s="37">
        <v>180</v>
      </c>
      <c r="P383" s="69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3" s="617"/>
      <c r="R383" s="617"/>
      <c r="S383" s="617"/>
      <c r="T383" s="6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4" t="s">
        <v>636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639</v>
      </c>
      <c r="B384" s="63" t="s">
        <v>640</v>
      </c>
      <c r="C384" s="36">
        <v>4301032015</v>
      </c>
      <c r="D384" s="615">
        <v>4607091383102</v>
      </c>
      <c r="E384" s="615"/>
      <c r="F384" s="62">
        <v>0.17</v>
      </c>
      <c r="G384" s="37">
        <v>15</v>
      </c>
      <c r="H384" s="62">
        <v>2.5499999999999998</v>
      </c>
      <c r="I384" s="62">
        <v>2.9550000000000001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6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4" s="617"/>
      <c r="R384" s="617"/>
      <c r="S384" s="617"/>
      <c r="T384" s="61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636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641</v>
      </c>
      <c r="B385" s="63" t="s">
        <v>642</v>
      </c>
      <c r="C385" s="36">
        <v>4301030233</v>
      </c>
      <c r="D385" s="615">
        <v>4607091388404</v>
      </c>
      <c r="E385" s="615"/>
      <c r="F385" s="62">
        <v>0.17</v>
      </c>
      <c r="G385" s="37">
        <v>15</v>
      </c>
      <c r="H385" s="62">
        <v>2.5499999999999998</v>
      </c>
      <c r="I385" s="62">
        <v>2.88</v>
      </c>
      <c r="J385" s="37">
        <v>182</v>
      </c>
      <c r="K385" s="37" t="s">
        <v>82</v>
      </c>
      <c r="L385" s="37" t="s">
        <v>46</v>
      </c>
      <c r="M385" s="38" t="s">
        <v>123</v>
      </c>
      <c r="N385" s="38"/>
      <c r="O385" s="37">
        <v>180</v>
      </c>
      <c r="P385" s="6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5" s="617"/>
      <c r="R385" s="617"/>
      <c r="S385" s="617"/>
      <c r="T385" s="61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78" t="s">
        <v>636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5">
      <c r="A386" s="622"/>
      <c r="B386" s="622"/>
      <c r="C386" s="622"/>
      <c r="D386" s="622"/>
      <c r="E386" s="622"/>
      <c r="F386" s="622"/>
      <c r="G386" s="622"/>
      <c r="H386" s="622"/>
      <c r="I386" s="622"/>
      <c r="J386" s="622"/>
      <c r="K386" s="622"/>
      <c r="L386" s="622"/>
      <c r="M386" s="622"/>
      <c r="N386" s="622"/>
      <c r="O386" s="623"/>
      <c r="P386" s="619" t="s">
        <v>40</v>
      </c>
      <c r="Q386" s="620"/>
      <c r="R386" s="620"/>
      <c r="S386" s="620"/>
      <c r="T386" s="620"/>
      <c r="U386" s="620"/>
      <c r="V386" s="621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5">
      <c r="A387" s="622"/>
      <c r="B387" s="622"/>
      <c r="C387" s="622"/>
      <c r="D387" s="622"/>
      <c r="E387" s="622"/>
      <c r="F387" s="622"/>
      <c r="G387" s="622"/>
      <c r="H387" s="622"/>
      <c r="I387" s="622"/>
      <c r="J387" s="622"/>
      <c r="K387" s="622"/>
      <c r="L387" s="622"/>
      <c r="M387" s="622"/>
      <c r="N387" s="622"/>
      <c r="O387" s="623"/>
      <c r="P387" s="619" t="s">
        <v>40</v>
      </c>
      <c r="Q387" s="620"/>
      <c r="R387" s="620"/>
      <c r="S387" s="620"/>
      <c r="T387" s="620"/>
      <c r="U387" s="620"/>
      <c r="V387" s="621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14" t="s">
        <v>643</v>
      </c>
      <c r="B388" s="614"/>
      <c r="C388" s="614"/>
      <c r="D388" s="614"/>
      <c r="E388" s="614"/>
      <c r="F388" s="614"/>
      <c r="G388" s="614"/>
      <c r="H388" s="614"/>
      <c r="I388" s="614"/>
      <c r="J388" s="614"/>
      <c r="K388" s="614"/>
      <c r="L388" s="614"/>
      <c r="M388" s="614"/>
      <c r="N388" s="614"/>
      <c r="O388" s="614"/>
      <c r="P388" s="614"/>
      <c r="Q388" s="614"/>
      <c r="R388" s="614"/>
      <c r="S388" s="614"/>
      <c r="T388" s="614"/>
      <c r="U388" s="614"/>
      <c r="V388" s="614"/>
      <c r="W388" s="614"/>
      <c r="X388" s="614"/>
      <c r="Y388" s="614"/>
      <c r="Z388" s="614"/>
      <c r="AA388" s="66"/>
      <c r="AB388" s="66"/>
      <c r="AC388" s="80"/>
    </row>
    <row r="389" spans="1:68" ht="16.5" customHeight="1" x14ac:dyDescent="0.25">
      <c r="A389" s="63" t="s">
        <v>644</v>
      </c>
      <c r="B389" s="63" t="s">
        <v>645</v>
      </c>
      <c r="C389" s="36">
        <v>4301180007</v>
      </c>
      <c r="D389" s="615">
        <v>4680115881808</v>
      </c>
      <c r="E389" s="615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647</v>
      </c>
      <c r="N389" s="38"/>
      <c r="O389" s="37">
        <v>731</v>
      </c>
      <c r="P389" s="6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9" s="617"/>
      <c r="R389" s="617"/>
      <c r="S389" s="617"/>
      <c r="T389" s="6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646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648</v>
      </c>
      <c r="B390" s="63" t="s">
        <v>649</v>
      </c>
      <c r="C390" s="36">
        <v>4301180006</v>
      </c>
      <c r="D390" s="615">
        <v>4680115881822</v>
      </c>
      <c r="E390" s="615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647</v>
      </c>
      <c r="N390" s="38"/>
      <c r="O390" s="37">
        <v>731</v>
      </c>
      <c r="P390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0" s="617"/>
      <c r="R390" s="617"/>
      <c r="S390" s="617"/>
      <c r="T390" s="618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646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650</v>
      </c>
      <c r="B391" s="63" t="s">
        <v>651</v>
      </c>
      <c r="C391" s="36">
        <v>4301180001</v>
      </c>
      <c r="D391" s="615">
        <v>4680115880016</v>
      </c>
      <c r="E391" s="615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82</v>
      </c>
      <c r="L391" s="37" t="s">
        <v>46</v>
      </c>
      <c r="M391" s="38" t="s">
        <v>647</v>
      </c>
      <c r="N391" s="38"/>
      <c r="O391" s="37">
        <v>731</v>
      </c>
      <c r="P391" s="6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1" s="617"/>
      <c r="R391" s="617"/>
      <c r="S391" s="617"/>
      <c r="T391" s="6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646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5">
      <c r="A392" s="622"/>
      <c r="B392" s="622"/>
      <c r="C392" s="622"/>
      <c r="D392" s="622"/>
      <c r="E392" s="622"/>
      <c r="F392" s="622"/>
      <c r="G392" s="622"/>
      <c r="H392" s="622"/>
      <c r="I392" s="622"/>
      <c r="J392" s="622"/>
      <c r="K392" s="622"/>
      <c r="L392" s="622"/>
      <c r="M392" s="622"/>
      <c r="N392" s="622"/>
      <c r="O392" s="623"/>
      <c r="P392" s="619" t="s">
        <v>40</v>
      </c>
      <c r="Q392" s="620"/>
      <c r="R392" s="620"/>
      <c r="S392" s="620"/>
      <c r="T392" s="620"/>
      <c r="U392" s="620"/>
      <c r="V392" s="621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5">
      <c r="A393" s="622"/>
      <c r="B393" s="622"/>
      <c r="C393" s="622"/>
      <c r="D393" s="622"/>
      <c r="E393" s="622"/>
      <c r="F393" s="622"/>
      <c r="G393" s="622"/>
      <c r="H393" s="622"/>
      <c r="I393" s="622"/>
      <c r="J393" s="622"/>
      <c r="K393" s="622"/>
      <c r="L393" s="622"/>
      <c r="M393" s="622"/>
      <c r="N393" s="622"/>
      <c r="O393" s="623"/>
      <c r="P393" s="619" t="s">
        <v>40</v>
      </c>
      <c r="Q393" s="620"/>
      <c r="R393" s="620"/>
      <c r="S393" s="620"/>
      <c r="T393" s="620"/>
      <c r="U393" s="620"/>
      <c r="V393" s="621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6.5" customHeight="1" x14ac:dyDescent="0.25">
      <c r="A394" s="630" t="s">
        <v>652</v>
      </c>
      <c r="B394" s="630"/>
      <c r="C394" s="630"/>
      <c r="D394" s="630"/>
      <c r="E394" s="630"/>
      <c r="F394" s="630"/>
      <c r="G394" s="630"/>
      <c r="H394" s="630"/>
      <c r="I394" s="630"/>
      <c r="J394" s="630"/>
      <c r="K394" s="630"/>
      <c r="L394" s="630"/>
      <c r="M394" s="630"/>
      <c r="N394" s="630"/>
      <c r="O394" s="630"/>
      <c r="P394" s="630"/>
      <c r="Q394" s="630"/>
      <c r="R394" s="630"/>
      <c r="S394" s="630"/>
      <c r="T394" s="630"/>
      <c r="U394" s="630"/>
      <c r="V394" s="630"/>
      <c r="W394" s="630"/>
      <c r="X394" s="630"/>
      <c r="Y394" s="630"/>
      <c r="Z394" s="630"/>
      <c r="AA394" s="65"/>
      <c r="AB394" s="65"/>
      <c r="AC394" s="79"/>
    </row>
    <row r="395" spans="1:68" ht="14.25" customHeight="1" x14ac:dyDescent="0.25">
      <c r="A395" s="614" t="s">
        <v>90</v>
      </c>
      <c r="B395" s="614"/>
      <c r="C395" s="614"/>
      <c r="D395" s="614"/>
      <c r="E395" s="614"/>
      <c r="F395" s="614"/>
      <c r="G395" s="614"/>
      <c r="H395" s="614"/>
      <c r="I395" s="614"/>
      <c r="J395" s="614"/>
      <c r="K395" s="614"/>
      <c r="L395" s="614"/>
      <c r="M395" s="614"/>
      <c r="N395" s="614"/>
      <c r="O395" s="614"/>
      <c r="P395" s="614"/>
      <c r="Q395" s="614"/>
      <c r="R395" s="614"/>
      <c r="S395" s="614"/>
      <c r="T395" s="614"/>
      <c r="U395" s="614"/>
      <c r="V395" s="614"/>
      <c r="W395" s="614"/>
      <c r="X395" s="614"/>
      <c r="Y395" s="614"/>
      <c r="Z395" s="614"/>
      <c r="AA395" s="66"/>
      <c r="AB395" s="66"/>
      <c r="AC395" s="80"/>
    </row>
    <row r="396" spans="1:68" ht="37.5" customHeight="1" x14ac:dyDescent="0.25">
      <c r="A396" s="63" t="s">
        <v>653</v>
      </c>
      <c r="B396" s="63" t="s">
        <v>654</v>
      </c>
      <c r="C396" s="36">
        <v>4301051489</v>
      </c>
      <c r="D396" s="615">
        <v>4607091387919</v>
      </c>
      <c r="E396" s="615"/>
      <c r="F396" s="62">
        <v>1.35</v>
      </c>
      <c r="G396" s="37">
        <v>6</v>
      </c>
      <c r="H396" s="62">
        <v>8.1</v>
      </c>
      <c r="I396" s="62">
        <v>8.5939999999999994</v>
      </c>
      <c r="J396" s="37">
        <v>64</v>
      </c>
      <c r="K396" s="37" t="s">
        <v>144</v>
      </c>
      <c r="L396" s="37" t="s">
        <v>46</v>
      </c>
      <c r="M396" s="38" t="s">
        <v>100</v>
      </c>
      <c r="N396" s="38"/>
      <c r="O396" s="37">
        <v>45</v>
      </c>
      <c r="P396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6" s="617"/>
      <c r="R396" s="617"/>
      <c r="S396" s="617"/>
      <c r="T396" s="6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37.5" customHeight="1" x14ac:dyDescent="0.25">
      <c r="A397" s="63" t="s">
        <v>656</v>
      </c>
      <c r="B397" s="63" t="s">
        <v>657</v>
      </c>
      <c r="C397" s="36">
        <v>4301051461</v>
      </c>
      <c r="D397" s="615">
        <v>4680115883604</v>
      </c>
      <c r="E397" s="615"/>
      <c r="F397" s="62">
        <v>0.35</v>
      </c>
      <c r="G397" s="37">
        <v>6</v>
      </c>
      <c r="H397" s="62">
        <v>2.1</v>
      </c>
      <c r="I397" s="62">
        <v>2.3519999999999999</v>
      </c>
      <c r="J397" s="37">
        <v>182</v>
      </c>
      <c r="K397" s="37" t="s">
        <v>82</v>
      </c>
      <c r="L397" s="37" t="s">
        <v>46</v>
      </c>
      <c r="M397" s="38" t="s">
        <v>94</v>
      </c>
      <c r="N397" s="38"/>
      <c r="O397" s="37">
        <v>45</v>
      </c>
      <c r="P397" s="6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7" s="617"/>
      <c r="R397" s="617"/>
      <c r="S397" s="617"/>
      <c r="T397" s="618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659</v>
      </c>
      <c r="B398" s="63" t="s">
        <v>660</v>
      </c>
      <c r="C398" s="36">
        <v>4301051864</v>
      </c>
      <c r="D398" s="615">
        <v>4680115883567</v>
      </c>
      <c r="E398" s="615"/>
      <c r="F398" s="62">
        <v>0.35</v>
      </c>
      <c r="G398" s="37">
        <v>6</v>
      </c>
      <c r="H398" s="62">
        <v>2.1</v>
      </c>
      <c r="I398" s="62">
        <v>2.34</v>
      </c>
      <c r="J398" s="37">
        <v>182</v>
      </c>
      <c r="K398" s="37" t="s">
        <v>82</v>
      </c>
      <c r="L398" s="37" t="s">
        <v>46</v>
      </c>
      <c r="M398" s="38" t="s">
        <v>100</v>
      </c>
      <c r="N398" s="38"/>
      <c r="O398" s="37">
        <v>40</v>
      </c>
      <c r="P398" s="6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8" s="617"/>
      <c r="R398" s="617"/>
      <c r="S398" s="617"/>
      <c r="T398" s="6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0" t="s">
        <v>661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5">
      <c r="A399" s="622"/>
      <c r="B399" s="622"/>
      <c r="C399" s="622"/>
      <c r="D399" s="622"/>
      <c r="E399" s="622"/>
      <c r="F399" s="622"/>
      <c r="G399" s="622"/>
      <c r="H399" s="622"/>
      <c r="I399" s="622"/>
      <c r="J399" s="622"/>
      <c r="K399" s="622"/>
      <c r="L399" s="622"/>
      <c r="M399" s="622"/>
      <c r="N399" s="622"/>
      <c r="O399" s="623"/>
      <c r="P399" s="619" t="s">
        <v>40</v>
      </c>
      <c r="Q399" s="620"/>
      <c r="R399" s="620"/>
      <c r="S399" s="620"/>
      <c r="T399" s="620"/>
      <c r="U399" s="620"/>
      <c r="V399" s="62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x14ac:dyDescent="0.25">
      <c r="A400" s="622"/>
      <c r="B400" s="622"/>
      <c r="C400" s="622"/>
      <c r="D400" s="622"/>
      <c r="E400" s="622"/>
      <c r="F400" s="622"/>
      <c r="G400" s="622"/>
      <c r="H400" s="622"/>
      <c r="I400" s="622"/>
      <c r="J400" s="622"/>
      <c r="K400" s="622"/>
      <c r="L400" s="622"/>
      <c r="M400" s="622"/>
      <c r="N400" s="622"/>
      <c r="O400" s="623"/>
      <c r="P400" s="619" t="s">
        <v>40</v>
      </c>
      <c r="Q400" s="620"/>
      <c r="R400" s="620"/>
      <c r="S400" s="620"/>
      <c r="T400" s="620"/>
      <c r="U400" s="620"/>
      <c r="V400" s="62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27.75" customHeight="1" x14ac:dyDescent="0.25">
      <c r="A401" s="635" t="s">
        <v>662</v>
      </c>
      <c r="B401" s="635"/>
      <c r="C401" s="635"/>
      <c r="D401" s="635"/>
      <c r="E401" s="635"/>
      <c r="F401" s="635"/>
      <c r="G401" s="635"/>
      <c r="H401" s="635"/>
      <c r="I401" s="635"/>
      <c r="J401" s="635"/>
      <c r="K401" s="635"/>
      <c r="L401" s="635"/>
      <c r="M401" s="635"/>
      <c r="N401" s="635"/>
      <c r="O401" s="635"/>
      <c r="P401" s="635"/>
      <c r="Q401" s="635"/>
      <c r="R401" s="635"/>
      <c r="S401" s="635"/>
      <c r="T401" s="635"/>
      <c r="U401" s="635"/>
      <c r="V401" s="635"/>
      <c r="W401" s="635"/>
      <c r="X401" s="635"/>
      <c r="Y401" s="635"/>
      <c r="Z401" s="635"/>
      <c r="AA401" s="54"/>
      <c r="AB401" s="54"/>
      <c r="AC401" s="54"/>
    </row>
    <row r="402" spans="1:68" ht="16.5" customHeight="1" x14ac:dyDescent="0.25">
      <c r="A402" s="630" t="s">
        <v>663</v>
      </c>
      <c r="B402" s="630"/>
      <c r="C402" s="630"/>
      <c r="D402" s="630"/>
      <c r="E402" s="630"/>
      <c r="F402" s="630"/>
      <c r="G402" s="630"/>
      <c r="H402" s="630"/>
      <c r="I402" s="630"/>
      <c r="J402" s="630"/>
      <c r="K402" s="630"/>
      <c r="L402" s="630"/>
      <c r="M402" s="630"/>
      <c r="N402" s="630"/>
      <c r="O402" s="630"/>
      <c r="P402" s="630"/>
      <c r="Q402" s="630"/>
      <c r="R402" s="630"/>
      <c r="S402" s="630"/>
      <c r="T402" s="630"/>
      <c r="U402" s="630"/>
      <c r="V402" s="630"/>
      <c r="W402" s="630"/>
      <c r="X402" s="630"/>
      <c r="Y402" s="630"/>
      <c r="Z402" s="630"/>
      <c r="AA402" s="65"/>
      <c r="AB402" s="65"/>
      <c r="AC402" s="79"/>
    </row>
    <row r="403" spans="1:68" ht="14.25" customHeight="1" x14ac:dyDescent="0.25">
      <c r="A403" s="614" t="s">
        <v>139</v>
      </c>
      <c r="B403" s="614"/>
      <c r="C403" s="614"/>
      <c r="D403" s="614"/>
      <c r="E403" s="614"/>
      <c r="F403" s="614"/>
      <c r="G403" s="614"/>
      <c r="H403" s="614"/>
      <c r="I403" s="614"/>
      <c r="J403" s="614"/>
      <c r="K403" s="614"/>
      <c r="L403" s="614"/>
      <c r="M403" s="614"/>
      <c r="N403" s="614"/>
      <c r="O403" s="614"/>
      <c r="P403" s="614"/>
      <c r="Q403" s="614"/>
      <c r="R403" s="614"/>
      <c r="S403" s="614"/>
      <c r="T403" s="614"/>
      <c r="U403" s="614"/>
      <c r="V403" s="614"/>
      <c r="W403" s="614"/>
      <c r="X403" s="614"/>
      <c r="Y403" s="614"/>
      <c r="Z403" s="614"/>
      <c r="AA403" s="66"/>
      <c r="AB403" s="66"/>
      <c r="AC403" s="80"/>
    </row>
    <row r="404" spans="1:68" ht="27" customHeight="1" x14ac:dyDescent="0.25">
      <c r="A404" s="63" t="s">
        <v>664</v>
      </c>
      <c r="B404" s="63" t="s">
        <v>665</v>
      </c>
      <c r="C404" s="36">
        <v>4301012332</v>
      </c>
      <c r="D404" s="615">
        <v>4680115888401</v>
      </c>
      <c r="E404" s="615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100</v>
      </c>
      <c r="N404" s="38"/>
      <c r="O404" s="37">
        <v>60</v>
      </c>
      <c r="P404" s="6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4" s="617"/>
      <c r="R404" s="617"/>
      <c r="S404" s="617"/>
      <c r="T404" s="618"/>
      <c r="U404" s="39" t="s">
        <v>46</v>
      </c>
      <c r="V404" s="39" t="s">
        <v>46</v>
      </c>
      <c r="W404" s="40" t="s">
        <v>0</v>
      </c>
      <c r="X404" s="58">
        <v>0</v>
      </c>
      <c r="Y404" s="55">
        <f t="shared" ref="Y404:Y411" si="52">IFERROR(IF(X404="",0,CEILING((X404/$H404),1)*$H404),"")</f>
        <v>0</v>
      </c>
      <c r="Z404" s="41" t="str">
        <f>IFERROR(IF(Y404=0,"",ROUNDUP(Y404/H404,0)*0.02175),"")</f>
        <v/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ref="BM404:BM411" si="53">IFERROR(X404*I404/H404,"0")</f>
        <v>0</v>
      </c>
      <c r="BN404" s="78">
        <f t="shared" ref="BN404:BN411" si="54">IFERROR(Y404*I404/H404,"0")</f>
        <v>0</v>
      </c>
      <c r="BO404" s="78">
        <f t="shared" ref="BO404:BO411" si="55">IFERROR(1/J404*(X404/H404),"0")</f>
        <v>0</v>
      </c>
      <c r="BP404" s="78">
        <f t="shared" ref="BP404:BP411" si="56">IFERROR(1/J404*(Y404/H404),"0")</f>
        <v>0</v>
      </c>
    </row>
    <row r="405" spans="1:68" ht="37.5" customHeight="1" x14ac:dyDescent="0.25">
      <c r="A405" s="63" t="s">
        <v>667</v>
      </c>
      <c r="B405" s="63" t="s">
        <v>668</v>
      </c>
      <c r="C405" s="36">
        <v>4301011869</v>
      </c>
      <c r="D405" s="615">
        <v>4680115884847</v>
      </c>
      <c r="E405" s="615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81</v>
      </c>
      <c r="N405" s="38"/>
      <c r="O405" s="37">
        <v>60</v>
      </c>
      <c r="P405" s="6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5" s="617"/>
      <c r="R405" s="617"/>
      <c r="S405" s="617"/>
      <c r="T405" s="618"/>
      <c r="U405" s="39" t="s">
        <v>46</v>
      </c>
      <c r="V405" s="39" t="s">
        <v>46</v>
      </c>
      <c r="W405" s="40" t="s">
        <v>0</v>
      </c>
      <c r="X405" s="58">
        <v>300</v>
      </c>
      <c r="Y405" s="55">
        <f t="shared" si="52"/>
        <v>300</v>
      </c>
      <c r="Z405" s="41">
        <f>IFERROR(IF(Y405=0,"",ROUNDUP(Y405/H405,0)*0.02175),"")</f>
        <v>0.43499999999999994</v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309.39999999999998</v>
      </c>
      <c r="BN405" s="78">
        <f t="shared" si="54"/>
        <v>309.39999999999998</v>
      </c>
      <c r="BO405" s="78">
        <f t="shared" si="55"/>
        <v>0.41666666666666663</v>
      </c>
      <c r="BP405" s="78">
        <f t="shared" si="56"/>
        <v>0.41666666666666663</v>
      </c>
    </row>
    <row r="406" spans="1:68" ht="27" customHeight="1" x14ac:dyDescent="0.25">
      <c r="A406" s="63" t="s">
        <v>670</v>
      </c>
      <c r="B406" s="63" t="s">
        <v>671</v>
      </c>
      <c r="C406" s="36">
        <v>4301012083</v>
      </c>
      <c r="D406" s="615">
        <v>4680115884854</v>
      </c>
      <c r="E406" s="615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143</v>
      </c>
      <c r="N406" s="38"/>
      <c r="O406" s="37">
        <v>60</v>
      </c>
      <c r="P406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6" s="617"/>
      <c r="R406" s="617"/>
      <c r="S406" s="617"/>
      <c r="T406" s="618"/>
      <c r="U406" s="39" t="s">
        <v>46</v>
      </c>
      <c r="V406" s="39" t="s">
        <v>46</v>
      </c>
      <c r="W406" s="40" t="s">
        <v>0</v>
      </c>
      <c r="X406" s="58">
        <v>450</v>
      </c>
      <c r="Y406" s="55">
        <f t="shared" si="52"/>
        <v>450</v>
      </c>
      <c r="Z406" s="41">
        <f>IFERROR(IF(Y406=0,"",ROUNDUP(Y406/H406,0)*0.02175),"")</f>
        <v>0.65249999999999997</v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464.1</v>
      </c>
      <c r="BN406" s="78">
        <f t="shared" si="54"/>
        <v>464.1</v>
      </c>
      <c r="BO406" s="78">
        <f t="shared" si="55"/>
        <v>0.625</v>
      </c>
      <c r="BP406" s="78">
        <f t="shared" si="56"/>
        <v>0.625</v>
      </c>
    </row>
    <row r="407" spans="1:68" ht="27" customHeight="1" x14ac:dyDescent="0.25">
      <c r="A407" s="63" t="s">
        <v>673</v>
      </c>
      <c r="B407" s="63" t="s">
        <v>674</v>
      </c>
      <c r="C407" s="36">
        <v>4301011867</v>
      </c>
      <c r="D407" s="615">
        <v>4680115884830</v>
      </c>
      <c r="E407" s="615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81</v>
      </c>
      <c r="N407" s="38"/>
      <c r="O407" s="37">
        <v>60</v>
      </c>
      <c r="P407" s="6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7" s="617"/>
      <c r="R407" s="617"/>
      <c r="S407" s="617"/>
      <c r="T407" s="618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676</v>
      </c>
      <c r="B408" s="63" t="s">
        <v>677</v>
      </c>
      <c r="C408" s="36">
        <v>4301012215</v>
      </c>
      <c r="D408" s="615">
        <v>4680115887046</v>
      </c>
      <c r="E408" s="615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144</v>
      </c>
      <c r="L408" s="37" t="s">
        <v>46</v>
      </c>
      <c r="M408" s="38" t="s">
        <v>100</v>
      </c>
      <c r="N408" s="38"/>
      <c r="O408" s="37">
        <v>60</v>
      </c>
      <c r="P408" s="6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8" s="617"/>
      <c r="R408" s="617"/>
      <c r="S408" s="617"/>
      <c r="T408" s="618"/>
      <c r="U408" s="39" t="s">
        <v>46</v>
      </c>
      <c r="V408" s="39" t="s">
        <v>46</v>
      </c>
      <c r="W408" s="40" t="s">
        <v>0</v>
      </c>
      <c r="X408" s="58">
        <v>750</v>
      </c>
      <c r="Y408" s="55">
        <f t="shared" si="52"/>
        <v>750</v>
      </c>
      <c r="Z408" s="41">
        <f>IFERROR(IF(Y408=0,"",ROUNDUP(Y408/H408,0)*0.02175),"")</f>
        <v>1.0874999999999999</v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773.5</v>
      </c>
      <c r="BN408" s="78">
        <f t="shared" si="54"/>
        <v>773.5</v>
      </c>
      <c r="BO408" s="78">
        <f t="shared" si="55"/>
        <v>1.0416666666666665</v>
      </c>
      <c r="BP408" s="78">
        <f t="shared" si="56"/>
        <v>1.0416666666666665</v>
      </c>
    </row>
    <row r="409" spans="1:68" ht="27" customHeight="1" x14ac:dyDescent="0.25">
      <c r="A409" s="63" t="s">
        <v>679</v>
      </c>
      <c r="B409" s="63" t="s">
        <v>680</v>
      </c>
      <c r="C409" s="36">
        <v>4301011433</v>
      </c>
      <c r="D409" s="615">
        <v>4680115882638</v>
      </c>
      <c r="E409" s="615"/>
      <c r="F409" s="62">
        <v>0.4</v>
      </c>
      <c r="G409" s="37">
        <v>10</v>
      </c>
      <c r="H409" s="62">
        <v>4</v>
      </c>
      <c r="I409" s="62">
        <v>4.1900000000000004</v>
      </c>
      <c r="J409" s="37">
        <v>132</v>
      </c>
      <c r="K409" s="37" t="s">
        <v>151</v>
      </c>
      <c r="L409" s="37" t="s">
        <v>46</v>
      </c>
      <c r="M409" s="38" t="s">
        <v>143</v>
      </c>
      <c r="N409" s="38"/>
      <c r="O409" s="37">
        <v>90</v>
      </c>
      <c r="P409" s="6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9" s="617"/>
      <c r="R409" s="617"/>
      <c r="S409" s="617"/>
      <c r="T409" s="61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682</v>
      </c>
      <c r="B410" s="63" t="s">
        <v>683</v>
      </c>
      <c r="C410" s="36">
        <v>4301011952</v>
      </c>
      <c r="D410" s="615">
        <v>4680115884922</v>
      </c>
      <c r="E410" s="615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6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0" s="617"/>
      <c r="R410" s="617"/>
      <c r="S410" s="617"/>
      <c r="T410" s="618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37.5" customHeight="1" x14ac:dyDescent="0.25">
      <c r="A411" s="63" t="s">
        <v>685</v>
      </c>
      <c r="B411" s="63" t="s">
        <v>686</v>
      </c>
      <c r="C411" s="36">
        <v>4301011868</v>
      </c>
      <c r="D411" s="615">
        <v>4680115884861</v>
      </c>
      <c r="E411" s="615"/>
      <c r="F411" s="62">
        <v>0.5</v>
      </c>
      <c r="G411" s="37">
        <v>10</v>
      </c>
      <c r="H411" s="62">
        <v>5</v>
      </c>
      <c r="I411" s="62">
        <v>5.19</v>
      </c>
      <c r="J411" s="37">
        <v>132</v>
      </c>
      <c r="K411" s="37" t="s">
        <v>151</v>
      </c>
      <c r="L411" s="37" t="s">
        <v>46</v>
      </c>
      <c r="M411" s="38" t="s">
        <v>81</v>
      </c>
      <c r="N411" s="38"/>
      <c r="O411" s="37">
        <v>60</v>
      </c>
      <c r="P411" s="68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1" s="617"/>
      <c r="R411" s="617"/>
      <c r="S411" s="617"/>
      <c r="T411" s="61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2"/>
        <v>0</v>
      </c>
      <c r="Z411" s="41" t="str">
        <f>IFERROR(IF(Y411=0,"",ROUNDUP(Y411/H411,0)*0.00902),"")</f>
        <v/>
      </c>
      <c r="AA411" s="68" t="s">
        <v>46</v>
      </c>
      <c r="AB411" s="69" t="s">
        <v>46</v>
      </c>
      <c r="AC411" s="506" t="s">
        <v>687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0</v>
      </c>
      <c r="BN411" s="78">
        <f t="shared" si="54"/>
        <v>0</v>
      </c>
      <c r="BO411" s="78">
        <f t="shared" si="55"/>
        <v>0</v>
      </c>
      <c r="BP411" s="78">
        <f t="shared" si="56"/>
        <v>0</v>
      </c>
    </row>
    <row r="412" spans="1:68" x14ac:dyDescent="0.25">
      <c r="A412" s="622"/>
      <c r="B412" s="622"/>
      <c r="C412" s="622"/>
      <c r="D412" s="622"/>
      <c r="E412" s="622"/>
      <c r="F412" s="622"/>
      <c r="G412" s="622"/>
      <c r="H412" s="622"/>
      <c r="I412" s="622"/>
      <c r="J412" s="622"/>
      <c r="K412" s="622"/>
      <c r="L412" s="622"/>
      <c r="M412" s="622"/>
      <c r="N412" s="622"/>
      <c r="O412" s="623"/>
      <c r="P412" s="619" t="s">
        <v>40</v>
      </c>
      <c r="Q412" s="620"/>
      <c r="R412" s="620"/>
      <c r="S412" s="620"/>
      <c r="T412" s="620"/>
      <c r="U412" s="620"/>
      <c r="V412" s="621"/>
      <c r="W412" s="42" t="s">
        <v>39</v>
      </c>
      <c r="X412" s="43">
        <f>IFERROR(X404/H404,"0")+IFERROR(X405/H405,"0")+IFERROR(X406/H406,"0")+IFERROR(X407/H407,"0")+IFERROR(X408/H408,"0")+IFERROR(X409/H409,"0")+IFERROR(X410/H410,"0")+IFERROR(X411/H411,"0")</f>
        <v>100</v>
      </c>
      <c r="Y412" s="43">
        <f>IFERROR(Y404/H404,"0")+IFERROR(Y405/H405,"0")+IFERROR(Y406/H406,"0")+IFERROR(Y407/H407,"0")+IFERROR(Y408/H408,"0")+IFERROR(Y409/H409,"0")+IFERROR(Y410/H410,"0")+IFERROR(Y411/H411,"0")</f>
        <v>100</v>
      </c>
      <c r="Z412" s="43">
        <f>IFERROR(IF(Z404="",0,Z404),"0")+IFERROR(IF(Z405="",0,Z405),"0")+IFERROR(IF(Z406="",0,Z406),"0")+IFERROR(IF(Z407="",0,Z407),"0")+IFERROR(IF(Z408="",0,Z408),"0")+IFERROR(IF(Z409="",0,Z409),"0")+IFERROR(IF(Z410="",0,Z410),"0")+IFERROR(IF(Z411="",0,Z411),"0")</f>
        <v>2.1749999999999998</v>
      </c>
      <c r="AA412" s="67"/>
      <c r="AB412" s="67"/>
      <c r="AC412" s="67"/>
    </row>
    <row r="413" spans="1:68" x14ac:dyDescent="0.25">
      <c r="A413" s="622"/>
      <c r="B413" s="622"/>
      <c r="C413" s="622"/>
      <c r="D413" s="622"/>
      <c r="E413" s="622"/>
      <c r="F413" s="622"/>
      <c r="G413" s="622"/>
      <c r="H413" s="622"/>
      <c r="I413" s="622"/>
      <c r="J413" s="622"/>
      <c r="K413" s="622"/>
      <c r="L413" s="622"/>
      <c r="M413" s="622"/>
      <c r="N413" s="622"/>
      <c r="O413" s="623"/>
      <c r="P413" s="619" t="s">
        <v>40</v>
      </c>
      <c r="Q413" s="620"/>
      <c r="R413" s="620"/>
      <c r="S413" s="620"/>
      <c r="T413" s="620"/>
      <c r="U413" s="620"/>
      <c r="V413" s="621"/>
      <c r="W413" s="42" t="s">
        <v>0</v>
      </c>
      <c r="X413" s="43">
        <f>IFERROR(SUM(X404:X411),"0")</f>
        <v>1500</v>
      </c>
      <c r="Y413" s="43">
        <f>IFERROR(SUM(Y404:Y411),"0")</f>
        <v>1500</v>
      </c>
      <c r="Z413" s="42"/>
      <c r="AA413" s="67"/>
      <c r="AB413" s="67"/>
      <c r="AC413" s="67"/>
    </row>
    <row r="414" spans="1:68" ht="14.25" customHeight="1" x14ac:dyDescent="0.25">
      <c r="A414" s="614" t="s">
        <v>174</v>
      </c>
      <c r="B414" s="614"/>
      <c r="C414" s="614"/>
      <c r="D414" s="614"/>
      <c r="E414" s="614"/>
      <c r="F414" s="614"/>
      <c r="G414" s="614"/>
      <c r="H414" s="614"/>
      <c r="I414" s="614"/>
      <c r="J414" s="614"/>
      <c r="K414" s="614"/>
      <c r="L414" s="614"/>
      <c r="M414" s="614"/>
      <c r="N414" s="614"/>
      <c r="O414" s="614"/>
      <c r="P414" s="614"/>
      <c r="Q414" s="614"/>
      <c r="R414" s="614"/>
      <c r="S414" s="614"/>
      <c r="T414" s="614"/>
      <c r="U414" s="614"/>
      <c r="V414" s="614"/>
      <c r="W414" s="614"/>
      <c r="X414" s="614"/>
      <c r="Y414" s="614"/>
      <c r="Z414" s="614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4301020178</v>
      </c>
      <c r="D415" s="615">
        <v>4607091383980</v>
      </c>
      <c r="E415" s="615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6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5" s="617"/>
      <c r="R415" s="617"/>
      <c r="S415" s="617"/>
      <c r="T415" s="618"/>
      <c r="U415" s="39" t="s">
        <v>46</v>
      </c>
      <c r="V415" s="39" t="s">
        <v>46</v>
      </c>
      <c r="W415" s="40" t="s">
        <v>0</v>
      </c>
      <c r="X415" s="58">
        <v>300</v>
      </c>
      <c r="Y415" s="55">
        <f>IFERROR(IF(X415="",0,CEILING((X415/$H415),1)*$H415),"")</f>
        <v>300</v>
      </c>
      <c r="Z415" s="41">
        <f>IFERROR(IF(Y415=0,"",ROUNDUP(Y415/H415,0)*0.02175),"")</f>
        <v>0.43499999999999994</v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309.39999999999998</v>
      </c>
      <c r="BN415" s="78">
        <f>IFERROR(Y415*I415/H415,"0")</f>
        <v>309.39999999999998</v>
      </c>
      <c r="BO415" s="78">
        <f>IFERROR(1/J415*(X415/H415),"0")</f>
        <v>0.41666666666666663</v>
      </c>
      <c r="BP415" s="78">
        <f>IFERROR(1/J415*(Y415/H415),"0")</f>
        <v>0.41666666666666663</v>
      </c>
    </row>
    <row r="416" spans="1:68" ht="27" customHeight="1" x14ac:dyDescent="0.25">
      <c r="A416" s="63" t="s">
        <v>691</v>
      </c>
      <c r="B416" s="63" t="s">
        <v>692</v>
      </c>
      <c r="C416" s="36">
        <v>4301020355</v>
      </c>
      <c r="D416" s="615">
        <v>4680115888425</v>
      </c>
      <c r="E416" s="615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144</v>
      </c>
      <c r="L416" s="37" t="s">
        <v>46</v>
      </c>
      <c r="M416" s="38" t="s">
        <v>143</v>
      </c>
      <c r="N416" s="38"/>
      <c r="O416" s="37">
        <v>50</v>
      </c>
      <c r="P416" s="6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6" s="617"/>
      <c r="R416" s="617"/>
      <c r="S416" s="617"/>
      <c r="T416" s="618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4301020179</v>
      </c>
      <c r="D417" s="615">
        <v>4607091384178</v>
      </c>
      <c r="E417" s="615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151</v>
      </c>
      <c r="L417" s="37" t="s">
        <v>46</v>
      </c>
      <c r="M417" s="38" t="s">
        <v>143</v>
      </c>
      <c r="N417" s="38"/>
      <c r="O417" s="37">
        <v>50</v>
      </c>
      <c r="P417" s="6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7" s="617"/>
      <c r="R417" s="617"/>
      <c r="S417" s="617"/>
      <c r="T417" s="6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696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5">
      <c r="A418" s="622"/>
      <c r="B418" s="622"/>
      <c r="C418" s="622"/>
      <c r="D418" s="622"/>
      <c r="E418" s="622"/>
      <c r="F418" s="622"/>
      <c r="G418" s="622"/>
      <c r="H418" s="622"/>
      <c r="I418" s="622"/>
      <c r="J418" s="622"/>
      <c r="K418" s="622"/>
      <c r="L418" s="622"/>
      <c r="M418" s="622"/>
      <c r="N418" s="622"/>
      <c r="O418" s="623"/>
      <c r="P418" s="619" t="s">
        <v>40</v>
      </c>
      <c r="Q418" s="620"/>
      <c r="R418" s="620"/>
      <c r="S418" s="620"/>
      <c r="T418" s="620"/>
      <c r="U418" s="620"/>
      <c r="V418" s="621"/>
      <c r="W418" s="42" t="s">
        <v>39</v>
      </c>
      <c r="X418" s="43">
        <f>IFERROR(X415/H415,"0")+IFERROR(X416/H416,"0")+IFERROR(X417/H417,"0")</f>
        <v>20</v>
      </c>
      <c r="Y418" s="43">
        <f>IFERROR(Y415/H415,"0")+IFERROR(Y416/H416,"0")+IFERROR(Y417/H417,"0")</f>
        <v>20</v>
      </c>
      <c r="Z418" s="43">
        <f>IFERROR(IF(Z415="",0,Z415),"0")+IFERROR(IF(Z416="",0,Z416),"0")+IFERROR(IF(Z417="",0,Z417),"0")</f>
        <v>0.43499999999999994</v>
      </c>
      <c r="AA418" s="67"/>
      <c r="AB418" s="67"/>
      <c r="AC418" s="67"/>
    </row>
    <row r="419" spans="1:68" x14ac:dyDescent="0.25">
      <c r="A419" s="622"/>
      <c r="B419" s="622"/>
      <c r="C419" s="622"/>
      <c r="D419" s="622"/>
      <c r="E419" s="622"/>
      <c r="F419" s="622"/>
      <c r="G419" s="622"/>
      <c r="H419" s="622"/>
      <c r="I419" s="622"/>
      <c r="J419" s="622"/>
      <c r="K419" s="622"/>
      <c r="L419" s="622"/>
      <c r="M419" s="622"/>
      <c r="N419" s="622"/>
      <c r="O419" s="623"/>
      <c r="P419" s="619" t="s">
        <v>40</v>
      </c>
      <c r="Q419" s="620"/>
      <c r="R419" s="620"/>
      <c r="S419" s="620"/>
      <c r="T419" s="620"/>
      <c r="U419" s="620"/>
      <c r="V419" s="621"/>
      <c r="W419" s="42" t="s">
        <v>0</v>
      </c>
      <c r="X419" s="43">
        <f>IFERROR(SUM(X415:X417),"0")</f>
        <v>300</v>
      </c>
      <c r="Y419" s="43">
        <f>IFERROR(SUM(Y415:Y417),"0")</f>
        <v>300</v>
      </c>
      <c r="Z419" s="42"/>
      <c r="AA419" s="67"/>
      <c r="AB419" s="67"/>
      <c r="AC419" s="67"/>
    </row>
    <row r="420" spans="1:68" ht="14.25" customHeight="1" x14ac:dyDescent="0.25">
      <c r="A420" s="614" t="s">
        <v>90</v>
      </c>
      <c r="B420" s="614"/>
      <c r="C420" s="614"/>
      <c r="D420" s="614"/>
      <c r="E420" s="614"/>
      <c r="F420" s="614"/>
      <c r="G420" s="614"/>
      <c r="H420" s="614"/>
      <c r="I420" s="614"/>
      <c r="J420" s="614"/>
      <c r="K420" s="614"/>
      <c r="L420" s="614"/>
      <c r="M420" s="614"/>
      <c r="N420" s="614"/>
      <c r="O420" s="614"/>
      <c r="P420" s="614"/>
      <c r="Q420" s="614"/>
      <c r="R420" s="614"/>
      <c r="S420" s="614"/>
      <c r="T420" s="614"/>
      <c r="U420" s="614"/>
      <c r="V420" s="614"/>
      <c r="W420" s="614"/>
      <c r="X420" s="614"/>
      <c r="Y420" s="614"/>
      <c r="Z420" s="614"/>
      <c r="AA420" s="66"/>
      <c r="AB420" s="66"/>
      <c r="AC420" s="80"/>
    </row>
    <row r="421" spans="1:68" ht="27" customHeight="1" x14ac:dyDescent="0.25">
      <c r="A421" s="63" t="s">
        <v>697</v>
      </c>
      <c r="B421" s="63" t="s">
        <v>698</v>
      </c>
      <c r="C421" s="36">
        <v>4301051903</v>
      </c>
      <c r="D421" s="615">
        <v>4607091383928</v>
      </c>
      <c r="E421" s="615"/>
      <c r="F421" s="62">
        <v>1.5</v>
      </c>
      <c r="G421" s="37">
        <v>6</v>
      </c>
      <c r="H421" s="62">
        <v>9</v>
      </c>
      <c r="I421" s="62">
        <v>9.5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6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1" s="617"/>
      <c r="R421" s="617"/>
      <c r="S421" s="617"/>
      <c r="T421" s="6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customHeight="1" x14ac:dyDescent="0.25">
      <c r="A422" s="63" t="s">
        <v>700</v>
      </c>
      <c r="B422" s="63" t="s">
        <v>701</v>
      </c>
      <c r="C422" s="36">
        <v>4301051897</v>
      </c>
      <c r="D422" s="615">
        <v>4607091384260</v>
      </c>
      <c r="E422" s="615"/>
      <c r="F422" s="62">
        <v>1.5</v>
      </c>
      <c r="G422" s="37">
        <v>6</v>
      </c>
      <c r="H422" s="62">
        <v>9</v>
      </c>
      <c r="I422" s="62">
        <v>9.4939999999999998</v>
      </c>
      <c r="J422" s="37">
        <v>64</v>
      </c>
      <c r="K422" s="37" t="s">
        <v>144</v>
      </c>
      <c r="L422" s="37" t="s">
        <v>46</v>
      </c>
      <c r="M422" s="38" t="s">
        <v>94</v>
      </c>
      <c r="N422" s="38"/>
      <c r="O422" s="37">
        <v>40</v>
      </c>
      <c r="P422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2" s="617"/>
      <c r="R422" s="617"/>
      <c r="S422" s="617"/>
      <c r="T422" s="618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6" t="s">
        <v>702</v>
      </c>
      <c r="AG422" s="78"/>
      <c r="AJ422" s="84" t="s">
        <v>46</v>
      </c>
      <c r="AK422" s="84">
        <v>0</v>
      </c>
      <c r="BB422" s="517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5">
      <c r="A423" s="622"/>
      <c r="B423" s="622"/>
      <c r="C423" s="622"/>
      <c r="D423" s="622"/>
      <c r="E423" s="622"/>
      <c r="F423" s="622"/>
      <c r="G423" s="622"/>
      <c r="H423" s="622"/>
      <c r="I423" s="622"/>
      <c r="J423" s="622"/>
      <c r="K423" s="622"/>
      <c r="L423" s="622"/>
      <c r="M423" s="622"/>
      <c r="N423" s="622"/>
      <c r="O423" s="623"/>
      <c r="P423" s="619" t="s">
        <v>40</v>
      </c>
      <c r="Q423" s="620"/>
      <c r="R423" s="620"/>
      <c r="S423" s="620"/>
      <c r="T423" s="620"/>
      <c r="U423" s="620"/>
      <c r="V423" s="621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x14ac:dyDescent="0.25">
      <c r="A424" s="622"/>
      <c r="B424" s="622"/>
      <c r="C424" s="622"/>
      <c r="D424" s="622"/>
      <c r="E424" s="622"/>
      <c r="F424" s="622"/>
      <c r="G424" s="622"/>
      <c r="H424" s="622"/>
      <c r="I424" s="622"/>
      <c r="J424" s="622"/>
      <c r="K424" s="622"/>
      <c r="L424" s="622"/>
      <c r="M424" s="622"/>
      <c r="N424" s="622"/>
      <c r="O424" s="623"/>
      <c r="P424" s="619" t="s">
        <v>40</v>
      </c>
      <c r="Q424" s="620"/>
      <c r="R424" s="620"/>
      <c r="S424" s="620"/>
      <c r="T424" s="620"/>
      <c r="U424" s="620"/>
      <c r="V424" s="621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4.25" customHeight="1" x14ac:dyDescent="0.25">
      <c r="A425" s="614" t="s">
        <v>191</v>
      </c>
      <c r="B425" s="614"/>
      <c r="C425" s="614"/>
      <c r="D425" s="614"/>
      <c r="E425" s="614"/>
      <c r="F425" s="614"/>
      <c r="G425" s="614"/>
      <c r="H425" s="614"/>
      <c r="I425" s="614"/>
      <c r="J425" s="614"/>
      <c r="K425" s="614"/>
      <c r="L425" s="614"/>
      <c r="M425" s="614"/>
      <c r="N425" s="614"/>
      <c r="O425" s="614"/>
      <c r="P425" s="614"/>
      <c r="Q425" s="614"/>
      <c r="R425" s="614"/>
      <c r="S425" s="614"/>
      <c r="T425" s="614"/>
      <c r="U425" s="614"/>
      <c r="V425" s="614"/>
      <c r="W425" s="614"/>
      <c r="X425" s="614"/>
      <c r="Y425" s="614"/>
      <c r="Z425" s="614"/>
      <c r="AA425" s="66"/>
      <c r="AB425" s="66"/>
      <c r="AC425" s="80"/>
    </row>
    <row r="426" spans="1:68" ht="16.5" customHeight="1" x14ac:dyDescent="0.25">
      <c r="A426" s="63" t="s">
        <v>703</v>
      </c>
      <c r="B426" s="63" t="s">
        <v>704</v>
      </c>
      <c r="C426" s="36">
        <v>4301060524</v>
      </c>
      <c r="D426" s="615">
        <v>4607091384673</v>
      </c>
      <c r="E426" s="615"/>
      <c r="F426" s="62">
        <v>1.5</v>
      </c>
      <c r="G426" s="37">
        <v>6</v>
      </c>
      <c r="H426" s="62">
        <v>9</v>
      </c>
      <c r="I426" s="62">
        <v>9.4939999999999998</v>
      </c>
      <c r="J426" s="37">
        <v>64</v>
      </c>
      <c r="K426" s="37" t="s">
        <v>144</v>
      </c>
      <c r="L426" s="37" t="s">
        <v>46</v>
      </c>
      <c r="M426" s="38" t="s">
        <v>94</v>
      </c>
      <c r="N426" s="38"/>
      <c r="O426" s="37">
        <v>40</v>
      </c>
      <c r="P426" s="67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6" s="617"/>
      <c r="R426" s="617"/>
      <c r="S426" s="617"/>
      <c r="T426" s="6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18" t="s">
        <v>705</v>
      </c>
      <c r="AG426" s="78"/>
      <c r="AJ426" s="84" t="s">
        <v>46</v>
      </c>
      <c r="AK426" s="84">
        <v>0</v>
      </c>
      <c r="BB426" s="519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5">
      <c r="A427" s="622"/>
      <c r="B427" s="622"/>
      <c r="C427" s="622"/>
      <c r="D427" s="622"/>
      <c r="E427" s="622"/>
      <c r="F427" s="622"/>
      <c r="G427" s="622"/>
      <c r="H427" s="622"/>
      <c r="I427" s="622"/>
      <c r="J427" s="622"/>
      <c r="K427" s="622"/>
      <c r="L427" s="622"/>
      <c r="M427" s="622"/>
      <c r="N427" s="622"/>
      <c r="O427" s="623"/>
      <c r="P427" s="619" t="s">
        <v>40</v>
      </c>
      <c r="Q427" s="620"/>
      <c r="R427" s="620"/>
      <c r="S427" s="620"/>
      <c r="T427" s="620"/>
      <c r="U427" s="620"/>
      <c r="V427" s="621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5">
      <c r="A428" s="622"/>
      <c r="B428" s="622"/>
      <c r="C428" s="622"/>
      <c r="D428" s="622"/>
      <c r="E428" s="622"/>
      <c r="F428" s="622"/>
      <c r="G428" s="622"/>
      <c r="H428" s="622"/>
      <c r="I428" s="622"/>
      <c r="J428" s="622"/>
      <c r="K428" s="622"/>
      <c r="L428" s="622"/>
      <c r="M428" s="622"/>
      <c r="N428" s="622"/>
      <c r="O428" s="623"/>
      <c r="P428" s="619" t="s">
        <v>40</v>
      </c>
      <c r="Q428" s="620"/>
      <c r="R428" s="620"/>
      <c r="S428" s="620"/>
      <c r="T428" s="620"/>
      <c r="U428" s="620"/>
      <c r="V428" s="621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6.5" customHeight="1" x14ac:dyDescent="0.25">
      <c r="A429" s="630" t="s">
        <v>706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5"/>
      <c r="AB429" s="65"/>
      <c r="AC429" s="79"/>
    </row>
    <row r="430" spans="1:68" ht="14.25" customHeight="1" x14ac:dyDescent="0.25">
      <c r="A430" s="614" t="s">
        <v>139</v>
      </c>
      <c r="B430" s="614"/>
      <c r="C430" s="614"/>
      <c r="D430" s="614"/>
      <c r="E430" s="614"/>
      <c r="F430" s="614"/>
      <c r="G430" s="614"/>
      <c r="H430" s="614"/>
      <c r="I430" s="614"/>
      <c r="J430" s="614"/>
      <c r="K430" s="614"/>
      <c r="L430" s="614"/>
      <c r="M430" s="614"/>
      <c r="N430" s="614"/>
      <c r="O430" s="614"/>
      <c r="P430" s="614"/>
      <c r="Q430" s="614"/>
      <c r="R430" s="614"/>
      <c r="S430" s="614"/>
      <c r="T430" s="614"/>
      <c r="U430" s="614"/>
      <c r="V430" s="614"/>
      <c r="W430" s="614"/>
      <c r="X430" s="614"/>
      <c r="Y430" s="614"/>
      <c r="Z430" s="614"/>
      <c r="AA430" s="66"/>
      <c r="AB430" s="66"/>
      <c r="AC430" s="80"/>
    </row>
    <row r="431" spans="1:68" ht="27" customHeight="1" x14ac:dyDescent="0.25">
      <c r="A431" s="63" t="s">
        <v>707</v>
      </c>
      <c r="B431" s="63" t="s">
        <v>708</v>
      </c>
      <c r="C431" s="36">
        <v>4301011875</v>
      </c>
      <c r="D431" s="615">
        <v>4680115884885</v>
      </c>
      <c r="E431" s="615"/>
      <c r="F431" s="62">
        <v>0.8</v>
      </c>
      <c r="G431" s="37">
        <v>15</v>
      </c>
      <c r="H431" s="62">
        <v>12</v>
      </c>
      <c r="I431" s="62">
        <v>12.41</v>
      </c>
      <c r="J431" s="37">
        <v>64</v>
      </c>
      <c r="K431" s="37" t="s">
        <v>144</v>
      </c>
      <c r="L431" s="37" t="s">
        <v>46</v>
      </c>
      <c r="M431" s="38" t="s">
        <v>81</v>
      </c>
      <c r="N431" s="38"/>
      <c r="O431" s="37">
        <v>60</v>
      </c>
      <c r="P431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1" s="617"/>
      <c r="R431" s="617"/>
      <c r="S431" s="617"/>
      <c r="T431" s="6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0" t="s">
        <v>709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37.5" customHeight="1" x14ac:dyDescent="0.25">
      <c r="A432" s="63" t="s">
        <v>710</v>
      </c>
      <c r="B432" s="63" t="s">
        <v>711</v>
      </c>
      <c r="C432" s="36">
        <v>4301011871</v>
      </c>
      <c r="D432" s="615">
        <v>4680115884908</v>
      </c>
      <c r="E432" s="6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151</v>
      </c>
      <c r="L432" s="37" t="s">
        <v>46</v>
      </c>
      <c r="M432" s="38" t="s">
        <v>81</v>
      </c>
      <c r="N432" s="38"/>
      <c r="O432" s="37">
        <v>60</v>
      </c>
      <c r="P432" s="6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2" s="617"/>
      <c r="R432" s="617"/>
      <c r="S432" s="617"/>
      <c r="T432" s="6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22" t="s">
        <v>709</v>
      </c>
      <c r="AG432" s="78"/>
      <c r="AJ432" s="84" t="s">
        <v>46</v>
      </c>
      <c r="AK432" s="84">
        <v>0</v>
      </c>
      <c r="BB432" s="523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5">
      <c r="A433" s="622"/>
      <c r="B433" s="622"/>
      <c r="C433" s="622"/>
      <c r="D433" s="622"/>
      <c r="E433" s="622"/>
      <c r="F433" s="622"/>
      <c r="G433" s="622"/>
      <c r="H433" s="622"/>
      <c r="I433" s="622"/>
      <c r="J433" s="622"/>
      <c r="K433" s="622"/>
      <c r="L433" s="622"/>
      <c r="M433" s="622"/>
      <c r="N433" s="622"/>
      <c r="O433" s="623"/>
      <c r="P433" s="619" t="s">
        <v>40</v>
      </c>
      <c r="Q433" s="620"/>
      <c r="R433" s="620"/>
      <c r="S433" s="620"/>
      <c r="T433" s="620"/>
      <c r="U433" s="620"/>
      <c r="V433" s="621"/>
      <c r="W433" s="42" t="s">
        <v>39</v>
      </c>
      <c r="X433" s="43">
        <f>IFERROR(X431/H431,"0")+IFERROR(X432/H432,"0")</f>
        <v>0</v>
      </c>
      <c r="Y433" s="43">
        <f>IFERROR(Y431/H431,"0")+IFERROR(Y432/H432,"0")</f>
        <v>0</v>
      </c>
      <c r="Z433" s="43">
        <f>IFERROR(IF(Z431="",0,Z431),"0")+IFERROR(IF(Z432="",0,Z432),"0")</f>
        <v>0</v>
      </c>
      <c r="AA433" s="67"/>
      <c r="AB433" s="67"/>
      <c r="AC433" s="67"/>
    </row>
    <row r="434" spans="1:68" x14ac:dyDescent="0.25">
      <c r="A434" s="622"/>
      <c r="B434" s="622"/>
      <c r="C434" s="622"/>
      <c r="D434" s="622"/>
      <c r="E434" s="622"/>
      <c r="F434" s="622"/>
      <c r="G434" s="622"/>
      <c r="H434" s="622"/>
      <c r="I434" s="622"/>
      <c r="J434" s="622"/>
      <c r="K434" s="622"/>
      <c r="L434" s="622"/>
      <c r="M434" s="622"/>
      <c r="N434" s="622"/>
      <c r="O434" s="623"/>
      <c r="P434" s="619" t="s">
        <v>40</v>
      </c>
      <c r="Q434" s="620"/>
      <c r="R434" s="620"/>
      <c r="S434" s="620"/>
      <c r="T434" s="620"/>
      <c r="U434" s="620"/>
      <c r="V434" s="621"/>
      <c r="W434" s="42" t="s">
        <v>0</v>
      </c>
      <c r="X434" s="43">
        <f>IFERROR(SUM(X431:X432),"0")</f>
        <v>0</v>
      </c>
      <c r="Y434" s="43">
        <f>IFERROR(SUM(Y431:Y432),"0")</f>
        <v>0</v>
      </c>
      <c r="Z434" s="42"/>
      <c r="AA434" s="67"/>
      <c r="AB434" s="67"/>
      <c r="AC434" s="67"/>
    </row>
    <row r="435" spans="1:68" ht="14.25" customHeight="1" x14ac:dyDescent="0.25">
      <c r="A435" s="614" t="s">
        <v>77</v>
      </c>
      <c r="B435" s="614"/>
      <c r="C435" s="614"/>
      <c r="D435" s="614"/>
      <c r="E435" s="614"/>
      <c r="F435" s="614"/>
      <c r="G435" s="614"/>
      <c r="H435" s="614"/>
      <c r="I435" s="614"/>
      <c r="J435" s="614"/>
      <c r="K435" s="614"/>
      <c r="L435" s="614"/>
      <c r="M435" s="614"/>
      <c r="N435" s="614"/>
      <c r="O435" s="614"/>
      <c r="P435" s="614"/>
      <c r="Q435" s="614"/>
      <c r="R435" s="614"/>
      <c r="S435" s="614"/>
      <c r="T435" s="614"/>
      <c r="U435" s="614"/>
      <c r="V435" s="614"/>
      <c r="W435" s="614"/>
      <c r="X435" s="614"/>
      <c r="Y435" s="614"/>
      <c r="Z435" s="614"/>
      <c r="AA435" s="66"/>
      <c r="AB435" s="66"/>
      <c r="AC435" s="80"/>
    </row>
    <row r="436" spans="1:68" ht="27" customHeight="1" x14ac:dyDescent="0.25">
      <c r="A436" s="63" t="s">
        <v>712</v>
      </c>
      <c r="B436" s="63" t="s">
        <v>713</v>
      </c>
      <c r="C436" s="36">
        <v>4301031457</v>
      </c>
      <c r="D436" s="615">
        <v>4607091384802</v>
      </c>
      <c r="E436" s="615"/>
      <c r="F436" s="62">
        <v>0.7</v>
      </c>
      <c r="G436" s="37">
        <v>6</v>
      </c>
      <c r="H436" s="62">
        <v>4.2</v>
      </c>
      <c r="I436" s="62">
        <v>4.45</v>
      </c>
      <c r="J436" s="37">
        <v>132</v>
      </c>
      <c r="K436" s="37" t="s">
        <v>151</v>
      </c>
      <c r="L436" s="37" t="s">
        <v>46</v>
      </c>
      <c r="M436" s="38" t="s">
        <v>81</v>
      </c>
      <c r="N436" s="38"/>
      <c r="O436" s="37">
        <v>50</v>
      </c>
      <c r="P436" s="6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6" s="617"/>
      <c r="R436" s="617"/>
      <c r="S436" s="617"/>
      <c r="T436" s="618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24" t="s">
        <v>714</v>
      </c>
      <c r="AG436" s="78"/>
      <c r="AJ436" s="84" t="s">
        <v>46</v>
      </c>
      <c r="AK436" s="84">
        <v>0</v>
      </c>
      <c r="BB436" s="525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5">
      <c r="A437" s="622"/>
      <c r="B437" s="622"/>
      <c r="C437" s="622"/>
      <c r="D437" s="622"/>
      <c r="E437" s="622"/>
      <c r="F437" s="622"/>
      <c r="G437" s="622"/>
      <c r="H437" s="622"/>
      <c r="I437" s="622"/>
      <c r="J437" s="622"/>
      <c r="K437" s="622"/>
      <c r="L437" s="622"/>
      <c r="M437" s="622"/>
      <c r="N437" s="622"/>
      <c r="O437" s="623"/>
      <c r="P437" s="619" t="s">
        <v>40</v>
      </c>
      <c r="Q437" s="620"/>
      <c r="R437" s="620"/>
      <c r="S437" s="620"/>
      <c r="T437" s="620"/>
      <c r="U437" s="620"/>
      <c r="V437" s="621"/>
      <c r="W437" s="42" t="s">
        <v>39</v>
      </c>
      <c r="X437" s="43">
        <f>IFERROR(X436/H436,"0")</f>
        <v>0</v>
      </c>
      <c r="Y437" s="43">
        <f>IFERROR(Y436/H436,"0")</f>
        <v>0</v>
      </c>
      <c r="Z437" s="43">
        <f>IFERROR(IF(Z436="",0,Z436),"0")</f>
        <v>0</v>
      </c>
      <c r="AA437" s="67"/>
      <c r="AB437" s="67"/>
      <c r="AC437" s="67"/>
    </row>
    <row r="438" spans="1:68" x14ac:dyDescent="0.25">
      <c r="A438" s="622"/>
      <c r="B438" s="622"/>
      <c r="C438" s="622"/>
      <c r="D438" s="622"/>
      <c r="E438" s="622"/>
      <c r="F438" s="622"/>
      <c r="G438" s="622"/>
      <c r="H438" s="622"/>
      <c r="I438" s="622"/>
      <c r="J438" s="622"/>
      <c r="K438" s="622"/>
      <c r="L438" s="622"/>
      <c r="M438" s="622"/>
      <c r="N438" s="622"/>
      <c r="O438" s="623"/>
      <c r="P438" s="619" t="s">
        <v>40</v>
      </c>
      <c r="Q438" s="620"/>
      <c r="R438" s="620"/>
      <c r="S438" s="620"/>
      <c r="T438" s="620"/>
      <c r="U438" s="620"/>
      <c r="V438" s="621"/>
      <c r="W438" s="42" t="s">
        <v>0</v>
      </c>
      <c r="X438" s="43">
        <f>IFERROR(SUM(X436:X436),"0")</f>
        <v>0</v>
      </c>
      <c r="Y438" s="43">
        <f>IFERROR(SUM(Y436:Y436),"0")</f>
        <v>0</v>
      </c>
      <c r="Z438" s="42"/>
      <c r="AA438" s="67"/>
      <c r="AB438" s="67"/>
      <c r="AC438" s="67"/>
    </row>
    <row r="439" spans="1:68" ht="14.25" customHeight="1" x14ac:dyDescent="0.25">
      <c r="A439" s="614" t="s">
        <v>90</v>
      </c>
      <c r="B439" s="614"/>
      <c r="C439" s="614"/>
      <c r="D439" s="614"/>
      <c r="E439" s="614"/>
      <c r="F439" s="614"/>
      <c r="G439" s="614"/>
      <c r="H439" s="614"/>
      <c r="I439" s="614"/>
      <c r="J439" s="614"/>
      <c r="K439" s="614"/>
      <c r="L439" s="614"/>
      <c r="M439" s="614"/>
      <c r="N439" s="614"/>
      <c r="O439" s="614"/>
      <c r="P439" s="614"/>
      <c r="Q439" s="614"/>
      <c r="R439" s="614"/>
      <c r="S439" s="614"/>
      <c r="T439" s="614"/>
      <c r="U439" s="614"/>
      <c r="V439" s="614"/>
      <c r="W439" s="614"/>
      <c r="X439" s="614"/>
      <c r="Y439" s="614"/>
      <c r="Z439" s="614"/>
      <c r="AA439" s="66"/>
      <c r="AB439" s="66"/>
      <c r="AC439" s="80"/>
    </row>
    <row r="440" spans="1:68" ht="27" customHeight="1" x14ac:dyDescent="0.25">
      <c r="A440" s="63" t="s">
        <v>715</v>
      </c>
      <c r="B440" s="63" t="s">
        <v>716</v>
      </c>
      <c r="C440" s="36">
        <v>4301051899</v>
      </c>
      <c r="D440" s="615">
        <v>4607091384246</v>
      </c>
      <c r="E440" s="615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144</v>
      </c>
      <c r="L440" s="37" t="s">
        <v>46</v>
      </c>
      <c r="M440" s="38" t="s">
        <v>94</v>
      </c>
      <c r="N440" s="38"/>
      <c r="O440" s="37">
        <v>40</v>
      </c>
      <c r="P440" s="6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0" s="617"/>
      <c r="R440" s="617"/>
      <c r="S440" s="617"/>
      <c r="T440" s="6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26" t="s">
        <v>717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718</v>
      </c>
      <c r="B441" s="63" t="s">
        <v>719</v>
      </c>
      <c r="C441" s="36">
        <v>4301051660</v>
      </c>
      <c r="D441" s="615">
        <v>4607091384253</v>
      </c>
      <c r="E441" s="615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6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1" s="617"/>
      <c r="R441" s="617"/>
      <c r="S441" s="617"/>
      <c r="T441" s="618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717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customHeight="1" x14ac:dyDescent="0.25">
      <c r="A442" s="63" t="s">
        <v>718</v>
      </c>
      <c r="B442" s="63" t="s">
        <v>720</v>
      </c>
      <c r="C442" s="36">
        <v>4301052069</v>
      </c>
      <c r="D442" s="615">
        <v>4607091384253</v>
      </c>
      <c r="E442" s="615"/>
      <c r="F442" s="62">
        <v>0.4</v>
      </c>
      <c r="G442" s="37">
        <v>6</v>
      </c>
      <c r="H442" s="62">
        <v>2.4</v>
      </c>
      <c r="I442" s="62">
        <v>2.6640000000000001</v>
      </c>
      <c r="J442" s="37">
        <v>182</v>
      </c>
      <c r="K442" s="37" t="s">
        <v>82</v>
      </c>
      <c r="L442" s="37" t="s">
        <v>46</v>
      </c>
      <c r="M442" s="38" t="s">
        <v>94</v>
      </c>
      <c r="N442" s="38"/>
      <c r="O442" s="37">
        <v>40</v>
      </c>
      <c r="P442" s="6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2" s="617"/>
      <c r="R442" s="617"/>
      <c r="S442" s="617"/>
      <c r="T442" s="61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46</v>
      </c>
      <c r="AB442" s="69" t="s">
        <v>46</v>
      </c>
      <c r="AC442" s="530" t="s">
        <v>721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5">
      <c r="A443" s="622"/>
      <c r="B443" s="622"/>
      <c r="C443" s="622"/>
      <c r="D443" s="622"/>
      <c r="E443" s="622"/>
      <c r="F443" s="622"/>
      <c r="G443" s="622"/>
      <c r="H443" s="622"/>
      <c r="I443" s="622"/>
      <c r="J443" s="622"/>
      <c r="K443" s="622"/>
      <c r="L443" s="622"/>
      <c r="M443" s="622"/>
      <c r="N443" s="622"/>
      <c r="O443" s="623"/>
      <c r="P443" s="619" t="s">
        <v>40</v>
      </c>
      <c r="Q443" s="620"/>
      <c r="R443" s="620"/>
      <c r="S443" s="620"/>
      <c r="T443" s="620"/>
      <c r="U443" s="620"/>
      <c r="V443" s="621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5">
      <c r="A444" s="622"/>
      <c r="B444" s="622"/>
      <c r="C444" s="622"/>
      <c r="D444" s="622"/>
      <c r="E444" s="622"/>
      <c r="F444" s="622"/>
      <c r="G444" s="622"/>
      <c r="H444" s="622"/>
      <c r="I444" s="622"/>
      <c r="J444" s="622"/>
      <c r="K444" s="622"/>
      <c r="L444" s="622"/>
      <c r="M444" s="622"/>
      <c r="N444" s="622"/>
      <c r="O444" s="623"/>
      <c r="P444" s="619" t="s">
        <v>40</v>
      </c>
      <c r="Q444" s="620"/>
      <c r="R444" s="620"/>
      <c r="S444" s="620"/>
      <c r="T444" s="620"/>
      <c r="U444" s="620"/>
      <c r="V444" s="621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27.75" customHeight="1" x14ac:dyDescent="0.25">
      <c r="A445" s="635" t="s">
        <v>722</v>
      </c>
      <c r="B445" s="635"/>
      <c r="C445" s="635"/>
      <c r="D445" s="635"/>
      <c r="E445" s="635"/>
      <c r="F445" s="635"/>
      <c r="G445" s="635"/>
      <c r="H445" s="635"/>
      <c r="I445" s="635"/>
      <c r="J445" s="635"/>
      <c r="K445" s="635"/>
      <c r="L445" s="635"/>
      <c r="M445" s="635"/>
      <c r="N445" s="635"/>
      <c r="O445" s="635"/>
      <c r="P445" s="635"/>
      <c r="Q445" s="635"/>
      <c r="R445" s="635"/>
      <c r="S445" s="635"/>
      <c r="T445" s="635"/>
      <c r="U445" s="635"/>
      <c r="V445" s="635"/>
      <c r="W445" s="635"/>
      <c r="X445" s="635"/>
      <c r="Y445" s="635"/>
      <c r="Z445" s="635"/>
      <c r="AA445" s="54"/>
      <c r="AB445" s="54"/>
      <c r="AC445" s="54"/>
    </row>
    <row r="446" spans="1:68" ht="16.5" customHeight="1" x14ac:dyDescent="0.25">
      <c r="A446" s="630" t="s">
        <v>723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5"/>
      <c r="AB446" s="65"/>
      <c r="AC446" s="79"/>
    </row>
    <row r="447" spans="1:68" ht="14.25" customHeight="1" x14ac:dyDescent="0.25">
      <c r="A447" s="614" t="s">
        <v>77</v>
      </c>
      <c r="B447" s="614"/>
      <c r="C447" s="614"/>
      <c r="D447" s="614"/>
      <c r="E447" s="614"/>
      <c r="F447" s="614"/>
      <c r="G447" s="614"/>
      <c r="H447" s="614"/>
      <c r="I447" s="614"/>
      <c r="J447" s="614"/>
      <c r="K447" s="614"/>
      <c r="L447" s="614"/>
      <c r="M447" s="614"/>
      <c r="N447" s="614"/>
      <c r="O447" s="614"/>
      <c r="P447" s="614"/>
      <c r="Q447" s="614"/>
      <c r="R447" s="614"/>
      <c r="S447" s="614"/>
      <c r="T447" s="614"/>
      <c r="U447" s="614"/>
      <c r="V447" s="614"/>
      <c r="W447" s="614"/>
      <c r="X447" s="614"/>
      <c r="Y447" s="614"/>
      <c r="Z447" s="614"/>
      <c r="AA447" s="66"/>
      <c r="AB447" s="66"/>
      <c r="AC447" s="80"/>
    </row>
    <row r="448" spans="1:68" ht="27" customHeight="1" x14ac:dyDescent="0.25">
      <c r="A448" s="63" t="s">
        <v>724</v>
      </c>
      <c r="B448" s="63" t="s">
        <v>725</v>
      </c>
      <c r="C448" s="36">
        <v>4301031405</v>
      </c>
      <c r="D448" s="615">
        <v>4680115886100</v>
      </c>
      <c r="E448" s="615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6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8" s="617"/>
      <c r="R448" s="617"/>
      <c r="S448" s="617"/>
      <c r="T448" s="618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ref="Y448:Y453" si="57"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ref="BM448:BM453" si="58">IFERROR(X448*I448/H448,"0")</f>
        <v>0</v>
      </c>
      <c r="BN448" s="78">
        <f t="shared" ref="BN448:BN453" si="59">IFERROR(Y448*I448/H448,"0")</f>
        <v>0</v>
      </c>
      <c r="BO448" s="78">
        <f t="shared" ref="BO448:BO453" si="60">IFERROR(1/J448*(X448/H448),"0")</f>
        <v>0</v>
      </c>
      <c r="BP448" s="78">
        <f t="shared" ref="BP448:BP453" si="61">IFERROR(1/J448*(Y448/H448),"0")</f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4301031402</v>
      </c>
      <c r="D449" s="615">
        <v>4680115886124</v>
      </c>
      <c r="E449" s="615"/>
      <c r="F449" s="62">
        <v>0.9</v>
      </c>
      <c r="G449" s="37">
        <v>6</v>
      </c>
      <c r="H449" s="62">
        <v>5.4</v>
      </c>
      <c r="I449" s="62">
        <v>5.59</v>
      </c>
      <c r="J449" s="37">
        <v>132</v>
      </c>
      <c r="K449" s="37" t="s">
        <v>151</v>
      </c>
      <c r="L449" s="37" t="s">
        <v>46</v>
      </c>
      <c r="M449" s="38" t="s">
        <v>81</v>
      </c>
      <c r="N449" s="38"/>
      <c r="O449" s="37">
        <v>50</v>
      </c>
      <c r="P449" s="6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9" s="617"/>
      <c r="R449" s="617"/>
      <c r="S449" s="617"/>
      <c r="T449" s="61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34" t="s">
        <v>729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customHeight="1" x14ac:dyDescent="0.25">
      <c r="A450" s="63" t="s">
        <v>730</v>
      </c>
      <c r="B450" s="63" t="s">
        <v>731</v>
      </c>
      <c r="C450" s="36">
        <v>4301031362</v>
      </c>
      <c r="D450" s="615">
        <v>4607091384338</v>
      </c>
      <c r="E450" s="615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0" s="617"/>
      <c r="R450" s="617"/>
      <c r="S450" s="617"/>
      <c r="T450" s="61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726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4301031364</v>
      </c>
      <c r="D451" s="615">
        <v>4680115883161</v>
      </c>
      <c r="E451" s="615"/>
      <c r="F451" s="62">
        <v>0.28000000000000003</v>
      </c>
      <c r="G451" s="37">
        <v>6</v>
      </c>
      <c r="H451" s="62">
        <v>1.68</v>
      </c>
      <c r="I451" s="62">
        <v>1.81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6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1" s="617"/>
      <c r="R451" s="617"/>
      <c r="S451" s="617"/>
      <c r="T451" s="61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735</v>
      </c>
      <c r="B452" s="63" t="s">
        <v>736</v>
      </c>
      <c r="C452" s="36">
        <v>4301031358</v>
      </c>
      <c r="D452" s="615">
        <v>4607091389531</v>
      </c>
      <c r="E452" s="615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6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2" s="617"/>
      <c r="R452" s="617"/>
      <c r="S452" s="617"/>
      <c r="T452" s="618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7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0</v>
      </c>
      <c r="BN452" s="78">
        <f t="shared" si="59"/>
        <v>0</v>
      </c>
      <c r="BO452" s="78">
        <f t="shared" si="60"/>
        <v>0</v>
      </c>
      <c r="BP452" s="78">
        <f t="shared" si="61"/>
        <v>0</v>
      </c>
    </row>
    <row r="453" spans="1:68" ht="37.5" customHeight="1" x14ac:dyDescent="0.25">
      <c r="A453" s="63" t="s">
        <v>738</v>
      </c>
      <c r="B453" s="63" t="s">
        <v>739</v>
      </c>
      <c r="C453" s="36">
        <v>4301031360</v>
      </c>
      <c r="D453" s="615">
        <v>4607091384345</v>
      </c>
      <c r="E453" s="615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86</v>
      </c>
      <c r="L453" s="37" t="s">
        <v>46</v>
      </c>
      <c r="M453" s="38" t="s">
        <v>81</v>
      </c>
      <c r="N453" s="38"/>
      <c r="O453" s="37">
        <v>50</v>
      </c>
      <c r="P453" s="6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3" s="617"/>
      <c r="R453" s="617"/>
      <c r="S453" s="617"/>
      <c r="T453" s="61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7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734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0</v>
      </c>
      <c r="BN453" s="78">
        <f t="shared" si="59"/>
        <v>0</v>
      </c>
      <c r="BO453" s="78">
        <f t="shared" si="60"/>
        <v>0</v>
      </c>
      <c r="BP453" s="78">
        <f t="shared" si="61"/>
        <v>0</v>
      </c>
    </row>
    <row r="454" spans="1:68" x14ac:dyDescent="0.25">
      <c r="A454" s="622"/>
      <c r="B454" s="622"/>
      <c r="C454" s="622"/>
      <c r="D454" s="622"/>
      <c r="E454" s="622"/>
      <c r="F454" s="622"/>
      <c r="G454" s="622"/>
      <c r="H454" s="622"/>
      <c r="I454" s="622"/>
      <c r="J454" s="622"/>
      <c r="K454" s="622"/>
      <c r="L454" s="622"/>
      <c r="M454" s="622"/>
      <c r="N454" s="622"/>
      <c r="O454" s="623"/>
      <c r="P454" s="619" t="s">
        <v>40</v>
      </c>
      <c r="Q454" s="620"/>
      <c r="R454" s="620"/>
      <c r="S454" s="620"/>
      <c r="T454" s="620"/>
      <c r="U454" s="620"/>
      <c r="V454" s="621"/>
      <c r="W454" s="42" t="s">
        <v>39</v>
      </c>
      <c r="X454" s="43">
        <f>IFERROR(X448/H448,"0")+IFERROR(X449/H449,"0")+IFERROR(X450/H450,"0")+IFERROR(X451/H451,"0")+IFERROR(X452/H452,"0")+IFERROR(X453/H453,"0")</f>
        <v>0</v>
      </c>
      <c r="Y454" s="43">
        <f>IFERROR(Y448/H448,"0")+IFERROR(Y449/H449,"0")+IFERROR(Y450/H450,"0")+IFERROR(Y451/H451,"0")+IFERROR(Y452/H452,"0")+IFERROR(Y453/H453,"0")</f>
        <v>0</v>
      </c>
      <c r="Z454" s="43">
        <f>IFERROR(IF(Z448="",0,Z448),"0")+IFERROR(IF(Z449="",0,Z449),"0")+IFERROR(IF(Z450="",0,Z450),"0")+IFERROR(IF(Z451="",0,Z451),"0")+IFERROR(IF(Z452="",0,Z452),"0")+IFERROR(IF(Z453="",0,Z453),"0")</f>
        <v>0</v>
      </c>
      <c r="AA454" s="67"/>
      <c r="AB454" s="67"/>
      <c r="AC454" s="67"/>
    </row>
    <row r="455" spans="1:68" x14ac:dyDescent="0.25">
      <c r="A455" s="622"/>
      <c r="B455" s="622"/>
      <c r="C455" s="622"/>
      <c r="D455" s="622"/>
      <c r="E455" s="622"/>
      <c r="F455" s="622"/>
      <c r="G455" s="622"/>
      <c r="H455" s="622"/>
      <c r="I455" s="622"/>
      <c r="J455" s="622"/>
      <c r="K455" s="622"/>
      <c r="L455" s="622"/>
      <c r="M455" s="622"/>
      <c r="N455" s="622"/>
      <c r="O455" s="623"/>
      <c r="P455" s="619" t="s">
        <v>40</v>
      </c>
      <c r="Q455" s="620"/>
      <c r="R455" s="620"/>
      <c r="S455" s="620"/>
      <c r="T455" s="620"/>
      <c r="U455" s="620"/>
      <c r="V455" s="621"/>
      <c r="W455" s="42" t="s">
        <v>0</v>
      </c>
      <c r="X455" s="43">
        <f>IFERROR(SUM(X448:X453),"0")</f>
        <v>0</v>
      </c>
      <c r="Y455" s="43">
        <f>IFERROR(SUM(Y448:Y453),"0")</f>
        <v>0</v>
      </c>
      <c r="Z455" s="42"/>
      <c r="AA455" s="67"/>
      <c r="AB455" s="67"/>
      <c r="AC455" s="67"/>
    </row>
    <row r="456" spans="1:68" ht="14.25" customHeight="1" x14ac:dyDescent="0.25">
      <c r="A456" s="614" t="s">
        <v>90</v>
      </c>
      <c r="B456" s="614"/>
      <c r="C456" s="614"/>
      <c r="D456" s="614"/>
      <c r="E456" s="614"/>
      <c r="F456" s="614"/>
      <c r="G456" s="614"/>
      <c r="H456" s="614"/>
      <c r="I456" s="614"/>
      <c r="J456" s="614"/>
      <c r="K456" s="614"/>
      <c r="L456" s="614"/>
      <c r="M456" s="614"/>
      <c r="N456" s="614"/>
      <c r="O456" s="614"/>
      <c r="P456" s="614"/>
      <c r="Q456" s="614"/>
      <c r="R456" s="614"/>
      <c r="S456" s="614"/>
      <c r="T456" s="614"/>
      <c r="U456" s="614"/>
      <c r="V456" s="614"/>
      <c r="W456" s="614"/>
      <c r="X456" s="614"/>
      <c r="Y456" s="614"/>
      <c r="Z456" s="614"/>
      <c r="AA456" s="66"/>
      <c r="AB456" s="66"/>
      <c r="AC456" s="80"/>
    </row>
    <row r="457" spans="1:68" ht="27" customHeight="1" x14ac:dyDescent="0.25">
      <c r="A457" s="63" t="s">
        <v>740</v>
      </c>
      <c r="B457" s="63" t="s">
        <v>741</v>
      </c>
      <c r="C457" s="36">
        <v>4301051284</v>
      </c>
      <c r="D457" s="615">
        <v>4607091384352</v>
      </c>
      <c r="E457" s="615"/>
      <c r="F457" s="62">
        <v>0.6</v>
      </c>
      <c r="G457" s="37">
        <v>4</v>
      </c>
      <c r="H457" s="62">
        <v>2.4</v>
      </c>
      <c r="I457" s="62">
        <v>2.6259999999999999</v>
      </c>
      <c r="J457" s="37">
        <v>132</v>
      </c>
      <c r="K457" s="37" t="s">
        <v>151</v>
      </c>
      <c r="L457" s="37" t="s">
        <v>46</v>
      </c>
      <c r="M457" s="38" t="s">
        <v>94</v>
      </c>
      <c r="N457" s="38"/>
      <c r="O457" s="37">
        <v>45</v>
      </c>
      <c r="P457" s="6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7" s="617"/>
      <c r="R457" s="617"/>
      <c r="S457" s="617"/>
      <c r="T457" s="6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743</v>
      </c>
      <c r="B458" s="63" t="s">
        <v>744</v>
      </c>
      <c r="C458" s="36">
        <v>4301051431</v>
      </c>
      <c r="D458" s="615">
        <v>4607091389654</v>
      </c>
      <c r="E458" s="615"/>
      <c r="F458" s="62">
        <v>0.33</v>
      </c>
      <c r="G458" s="37">
        <v>6</v>
      </c>
      <c r="H458" s="62">
        <v>1.98</v>
      </c>
      <c r="I458" s="62">
        <v>2.238</v>
      </c>
      <c r="J458" s="37">
        <v>182</v>
      </c>
      <c r="K458" s="37" t="s">
        <v>82</v>
      </c>
      <c r="L458" s="37" t="s">
        <v>46</v>
      </c>
      <c r="M458" s="38" t="s">
        <v>94</v>
      </c>
      <c r="N458" s="38"/>
      <c r="O458" s="37">
        <v>45</v>
      </c>
      <c r="P458" s="66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8" s="617"/>
      <c r="R458" s="617"/>
      <c r="S458" s="617"/>
      <c r="T458" s="6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46" t="s">
        <v>745</v>
      </c>
      <c r="AG458" s="78"/>
      <c r="AJ458" s="84" t="s">
        <v>46</v>
      </c>
      <c r="AK458" s="84">
        <v>0</v>
      </c>
      <c r="BB458" s="54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5">
      <c r="A459" s="622"/>
      <c r="B459" s="622"/>
      <c r="C459" s="622"/>
      <c r="D459" s="622"/>
      <c r="E459" s="622"/>
      <c r="F459" s="622"/>
      <c r="G459" s="622"/>
      <c r="H459" s="622"/>
      <c r="I459" s="622"/>
      <c r="J459" s="622"/>
      <c r="K459" s="622"/>
      <c r="L459" s="622"/>
      <c r="M459" s="622"/>
      <c r="N459" s="622"/>
      <c r="O459" s="623"/>
      <c r="P459" s="619" t="s">
        <v>40</v>
      </c>
      <c r="Q459" s="620"/>
      <c r="R459" s="620"/>
      <c r="S459" s="620"/>
      <c r="T459" s="620"/>
      <c r="U459" s="620"/>
      <c r="V459" s="621"/>
      <c r="W459" s="42" t="s">
        <v>39</v>
      </c>
      <c r="X459" s="43">
        <f>IFERROR(X457/H457,"0")+IFERROR(X458/H458,"0")</f>
        <v>0</v>
      </c>
      <c r="Y459" s="43">
        <f>IFERROR(Y457/H457,"0")+IFERROR(Y458/H458,"0")</f>
        <v>0</v>
      </c>
      <c r="Z459" s="43">
        <f>IFERROR(IF(Z457="",0,Z457),"0")+IFERROR(IF(Z458="",0,Z458),"0")</f>
        <v>0</v>
      </c>
      <c r="AA459" s="67"/>
      <c r="AB459" s="67"/>
      <c r="AC459" s="67"/>
    </row>
    <row r="460" spans="1:68" x14ac:dyDescent="0.25">
      <c r="A460" s="622"/>
      <c r="B460" s="622"/>
      <c r="C460" s="622"/>
      <c r="D460" s="622"/>
      <c r="E460" s="622"/>
      <c r="F460" s="622"/>
      <c r="G460" s="622"/>
      <c r="H460" s="622"/>
      <c r="I460" s="622"/>
      <c r="J460" s="622"/>
      <c r="K460" s="622"/>
      <c r="L460" s="622"/>
      <c r="M460" s="622"/>
      <c r="N460" s="622"/>
      <c r="O460" s="623"/>
      <c r="P460" s="619" t="s">
        <v>40</v>
      </c>
      <c r="Q460" s="620"/>
      <c r="R460" s="620"/>
      <c r="S460" s="620"/>
      <c r="T460" s="620"/>
      <c r="U460" s="620"/>
      <c r="V460" s="621"/>
      <c r="W460" s="42" t="s">
        <v>0</v>
      </c>
      <c r="X460" s="43">
        <f>IFERROR(SUM(X457:X458),"0")</f>
        <v>0</v>
      </c>
      <c r="Y460" s="43">
        <f>IFERROR(SUM(Y457:Y458),"0")</f>
        <v>0</v>
      </c>
      <c r="Z460" s="42"/>
      <c r="AA460" s="67"/>
      <c r="AB460" s="67"/>
      <c r="AC460" s="67"/>
    </row>
    <row r="461" spans="1:68" ht="16.5" customHeight="1" x14ac:dyDescent="0.25">
      <c r="A461" s="630" t="s">
        <v>746</v>
      </c>
      <c r="B461" s="630"/>
      <c r="C461" s="630"/>
      <c r="D461" s="630"/>
      <c r="E461" s="630"/>
      <c r="F461" s="630"/>
      <c r="G461" s="630"/>
      <c r="H461" s="630"/>
      <c r="I461" s="630"/>
      <c r="J461" s="630"/>
      <c r="K461" s="630"/>
      <c r="L461" s="630"/>
      <c r="M461" s="630"/>
      <c r="N461" s="630"/>
      <c r="O461" s="630"/>
      <c r="P461" s="630"/>
      <c r="Q461" s="630"/>
      <c r="R461" s="630"/>
      <c r="S461" s="630"/>
      <c r="T461" s="630"/>
      <c r="U461" s="630"/>
      <c r="V461" s="630"/>
      <c r="W461" s="630"/>
      <c r="X461" s="630"/>
      <c r="Y461" s="630"/>
      <c r="Z461" s="630"/>
      <c r="AA461" s="65"/>
      <c r="AB461" s="65"/>
      <c r="AC461" s="79"/>
    </row>
    <row r="462" spans="1:68" ht="14.25" customHeight="1" x14ac:dyDescent="0.25">
      <c r="A462" s="614" t="s">
        <v>174</v>
      </c>
      <c r="B462" s="614"/>
      <c r="C462" s="614"/>
      <c r="D462" s="614"/>
      <c r="E462" s="614"/>
      <c r="F462" s="614"/>
      <c r="G462" s="614"/>
      <c r="H462" s="614"/>
      <c r="I462" s="614"/>
      <c r="J462" s="614"/>
      <c r="K462" s="614"/>
      <c r="L462" s="614"/>
      <c r="M462" s="614"/>
      <c r="N462" s="614"/>
      <c r="O462" s="614"/>
      <c r="P462" s="614"/>
      <c r="Q462" s="614"/>
      <c r="R462" s="614"/>
      <c r="S462" s="614"/>
      <c r="T462" s="614"/>
      <c r="U462" s="614"/>
      <c r="V462" s="614"/>
      <c r="W462" s="614"/>
      <c r="X462" s="614"/>
      <c r="Y462" s="614"/>
      <c r="Z462" s="614"/>
      <c r="AA462" s="66"/>
      <c r="AB462" s="66"/>
      <c r="AC462" s="80"/>
    </row>
    <row r="463" spans="1:68" ht="27" customHeight="1" x14ac:dyDescent="0.25">
      <c r="A463" s="63" t="s">
        <v>747</v>
      </c>
      <c r="B463" s="63" t="s">
        <v>748</v>
      </c>
      <c r="C463" s="36">
        <v>4301020416</v>
      </c>
      <c r="D463" s="615">
        <v>4680115885240</v>
      </c>
      <c r="E463" s="615"/>
      <c r="F463" s="62">
        <v>0.35</v>
      </c>
      <c r="G463" s="37">
        <v>6</v>
      </c>
      <c r="H463" s="62">
        <v>2.1</v>
      </c>
      <c r="I463" s="62">
        <v>2.31</v>
      </c>
      <c r="J463" s="37">
        <v>182</v>
      </c>
      <c r="K463" s="37" t="s">
        <v>82</v>
      </c>
      <c r="L463" s="37" t="s">
        <v>46</v>
      </c>
      <c r="M463" s="38" t="s">
        <v>81</v>
      </c>
      <c r="N463" s="38"/>
      <c r="O463" s="37">
        <v>40</v>
      </c>
      <c r="P46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3" s="617"/>
      <c r="R463" s="617"/>
      <c r="S463" s="617"/>
      <c r="T463" s="6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48" t="s">
        <v>749</v>
      </c>
      <c r="AG463" s="78"/>
      <c r="AJ463" s="84" t="s">
        <v>46</v>
      </c>
      <c r="AK463" s="84">
        <v>0</v>
      </c>
      <c r="BB463" s="54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5">
      <c r="A464" s="622"/>
      <c r="B464" s="622"/>
      <c r="C464" s="622"/>
      <c r="D464" s="622"/>
      <c r="E464" s="622"/>
      <c r="F464" s="622"/>
      <c r="G464" s="622"/>
      <c r="H464" s="622"/>
      <c r="I464" s="622"/>
      <c r="J464" s="622"/>
      <c r="K464" s="622"/>
      <c r="L464" s="622"/>
      <c r="M464" s="622"/>
      <c r="N464" s="622"/>
      <c r="O464" s="623"/>
      <c r="P464" s="619" t="s">
        <v>40</v>
      </c>
      <c r="Q464" s="620"/>
      <c r="R464" s="620"/>
      <c r="S464" s="620"/>
      <c r="T464" s="620"/>
      <c r="U464" s="620"/>
      <c r="V464" s="621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x14ac:dyDescent="0.25">
      <c r="A465" s="622"/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3"/>
      <c r="P465" s="619" t="s">
        <v>40</v>
      </c>
      <c r="Q465" s="620"/>
      <c r="R465" s="620"/>
      <c r="S465" s="620"/>
      <c r="T465" s="620"/>
      <c r="U465" s="620"/>
      <c r="V465" s="621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customHeight="1" x14ac:dyDescent="0.25">
      <c r="A466" s="614" t="s">
        <v>77</v>
      </c>
      <c r="B466" s="614"/>
      <c r="C466" s="614"/>
      <c r="D466" s="614"/>
      <c r="E466" s="614"/>
      <c r="F466" s="614"/>
      <c r="G466" s="614"/>
      <c r="H466" s="614"/>
      <c r="I466" s="614"/>
      <c r="J466" s="614"/>
      <c r="K466" s="614"/>
      <c r="L466" s="614"/>
      <c r="M466" s="614"/>
      <c r="N466" s="614"/>
      <c r="O466" s="614"/>
      <c r="P466" s="614"/>
      <c r="Q466" s="614"/>
      <c r="R466" s="614"/>
      <c r="S466" s="614"/>
      <c r="T466" s="614"/>
      <c r="U466" s="614"/>
      <c r="V466" s="614"/>
      <c r="W466" s="614"/>
      <c r="X466" s="614"/>
      <c r="Y466" s="614"/>
      <c r="Z466" s="614"/>
      <c r="AA466" s="66"/>
      <c r="AB466" s="66"/>
      <c r="AC466" s="80"/>
    </row>
    <row r="467" spans="1:68" ht="27" customHeight="1" x14ac:dyDescent="0.25">
      <c r="A467" s="63" t="s">
        <v>750</v>
      </c>
      <c r="B467" s="63" t="s">
        <v>751</v>
      </c>
      <c r="C467" s="36">
        <v>4301031407</v>
      </c>
      <c r="D467" s="615">
        <v>4680115886094</v>
      </c>
      <c r="E467" s="615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151</v>
      </c>
      <c r="L467" s="37" t="s">
        <v>46</v>
      </c>
      <c r="M467" s="38" t="s">
        <v>81</v>
      </c>
      <c r="N467" s="38"/>
      <c r="O467" s="37">
        <v>50</v>
      </c>
      <c r="P467" s="6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7" s="617"/>
      <c r="R467" s="617"/>
      <c r="S467" s="617"/>
      <c r="T467" s="6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4301031373</v>
      </c>
      <c r="D468" s="615">
        <v>4680115880771</v>
      </c>
      <c r="E468" s="615"/>
      <c r="F468" s="62">
        <v>0.28000000000000003</v>
      </c>
      <c r="G468" s="37">
        <v>6</v>
      </c>
      <c r="H468" s="62">
        <v>1.68</v>
      </c>
      <c r="I468" s="62">
        <v>1.81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6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8" s="617"/>
      <c r="R468" s="617"/>
      <c r="S468" s="617"/>
      <c r="T468" s="6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755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756</v>
      </c>
      <c r="B469" s="63" t="s">
        <v>757</v>
      </c>
      <c r="C469" s="36">
        <v>4301031359</v>
      </c>
      <c r="D469" s="615">
        <v>4607091389500</v>
      </c>
      <c r="E469" s="615"/>
      <c r="F469" s="62">
        <v>0.35</v>
      </c>
      <c r="G469" s="37">
        <v>6</v>
      </c>
      <c r="H469" s="62">
        <v>2.1</v>
      </c>
      <c r="I469" s="62">
        <v>2.23</v>
      </c>
      <c r="J469" s="37">
        <v>234</v>
      </c>
      <c r="K469" s="37" t="s">
        <v>86</v>
      </c>
      <c r="L469" s="37" t="s">
        <v>46</v>
      </c>
      <c r="M469" s="38" t="s">
        <v>81</v>
      </c>
      <c r="N469" s="38"/>
      <c r="O469" s="37">
        <v>50</v>
      </c>
      <c r="P469" s="6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9" s="617"/>
      <c r="R469" s="617"/>
      <c r="S469" s="617"/>
      <c r="T469" s="6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54" t="s">
        <v>755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5">
      <c r="A470" s="622"/>
      <c r="B470" s="622"/>
      <c r="C470" s="622"/>
      <c r="D470" s="622"/>
      <c r="E470" s="622"/>
      <c r="F470" s="622"/>
      <c r="G470" s="622"/>
      <c r="H470" s="622"/>
      <c r="I470" s="622"/>
      <c r="J470" s="622"/>
      <c r="K470" s="622"/>
      <c r="L470" s="622"/>
      <c r="M470" s="622"/>
      <c r="N470" s="622"/>
      <c r="O470" s="623"/>
      <c r="P470" s="619" t="s">
        <v>40</v>
      </c>
      <c r="Q470" s="620"/>
      <c r="R470" s="620"/>
      <c r="S470" s="620"/>
      <c r="T470" s="620"/>
      <c r="U470" s="620"/>
      <c r="V470" s="621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x14ac:dyDescent="0.25">
      <c r="A471" s="622"/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3"/>
      <c r="P471" s="619" t="s">
        <v>40</v>
      </c>
      <c r="Q471" s="620"/>
      <c r="R471" s="620"/>
      <c r="S471" s="620"/>
      <c r="T471" s="620"/>
      <c r="U471" s="620"/>
      <c r="V471" s="621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customHeight="1" x14ac:dyDescent="0.25">
      <c r="A472" s="635" t="s">
        <v>758</v>
      </c>
      <c r="B472" s="635"/>
      <c r="C472" s="635"/>
      <c r="D472" s="635"/>
      <c r="E472" s="635"/>
      <c r="F472" s="635"/>
      <c r="G472" s="635"/>
      <c r="H472" s="635"/>
      <c r="I472" s="635"/>
      <c r="J472" s="635"/>
      <c r="K472" s="635"/>
      <c r="L472" s="635"/>
      <c r="M472" s="635"/>
      <c r="N472" s="635"/>
      <c r="O472" s="635"/>
      <c r="P472" s="635"/>
      <c r="Q472" s="635"/>
      <c r="R472" s="635"/>
      <c r="S472" s="635"/>
      <c r="T472" s="635"/>
      <c r="U472" s="635"/>
      <c r="V472" s="635"/>
      <c r="W472" s="635"/>
      <c r="X472" s="635"/>
      <c r="Y472" s="635"/>
      <c r="Z472" s="635"/>
      <c r="AA472" s="54"/>
      <c r="AB472" s="54"/>
      <c r="AC472" s="54"/>
    </row>
    <row r="473" spans="1:68" ht="16.5" customHeight="1" x14ac:dyDescent="0.25">
      <c r="A473" s="630" t="s">
        <v>758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5"/>
      <c r="AB473" s="65"/>
      <c r="AC473" s="79"/>
    </row>
    <row r="474" spans="1:68" ht="14.25" customHeight="1" x14ac:dyDescent="0.25">
      <c r="A474" s="614" t="s">
        <v>139</v>
      </c>
      <c r="B474" s="614"/>
      <c r="C474" s="614"/>
      <c r="D474" s="614"/>
      <c r="E474" s="614"/>
      <c r="F474" s="614"/>
      <c r="G474" s="614"/>
      <c r="H474" s="614"/>
      <c r="I474" s="614"/>
      <c r="J474" s="614"/>
      <c r="K474" s="614"/>
      <c r="L474" s="614"/>
      <c r="M474" s="614"/>
      <c r="N474" s="614"/>
      <c r="O474" s="614"/>
      <c r="P474" s="614"/>
      <c r="Q474" s="614"/>
      <c r="R474" s="614"/>
      <c r="S474" s="614"/>
      <c r="T474" s="614"/>
      <c r="U474" s="614"/>
      <c r="V474" s="614"/>
      <c r="W474" s="614"/>
      <c r="X474" s="614"/>
      <c r="Y474" s="614"/>
      <c r="Z474" s="614"/>
      <c r="AA474" s="66"/>
      <c r="AB474" s="66"/>
      <c r="AC474" s="80"/>
    </row>
    <row r="475" spans="1:68" ht="27" customHeight="1" x14ac:dyDescent="0.25">
      <c r="A475" s="63" t="s">
        <v>759</v>
      </c>
      <c r="B475" s="63" t="s">
        <v>760</v>
      </c>
      <c r="C475" s="36">
        <v>4301011769</v>
      </c>
      <c r="D475" s="615">
        <v>4607091389067</v>
      </c>
      <c r="E475" s="615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94</v>
      </c>
      <c r="N475" s="38"/>
      <c r="O475" s="37">
        <v>60</v>
      </c>
      <c r="P475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5" s="617"/>
      <c r="R475" s="617"/>
      <c r="S475" s="617"/>
      <c r="T475" s="6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3" si="62">IFERROR(IF(X475="",0,CEILING((X475/$H475),1)*$H475),"")</f>
        <v>0</v>
      </c>
      <c r="Z475" s="41" t="str">
        <f t="shared" ref="Z475:Z480" si="63">IFERROR(IF(Y475=0,"",ROUNDUP(Y475/H475,0)*0.01196),"")</f>
        <v/>
      </c>
      <c r="AA475" s="68" t="s">
        <v>46</v>
      </c>
      <c r="AB475" s="69" t="s">
        <v>46</v>
      </c>
      <c r="AC475" s="556" t="s">
        <v>142</v>
      </c>
      <c r="AG475" s="78"/>
      <c r="AJ475" s="84" t="s">
        <v>46</v>
      </c>
      <c r="AK475" s="84">
        <v>0</v>
      </c>
      <c r="BB475" s="557" t="s">
        <v>67</v>
      </c>
      <c r="BM475" s="78">
        <f t="shared" ref="BM475:BM483" si="64">IFERROR(X475*I475/H475,"0")</f>
        <v>0</v>
      </c>
      <c r="BN475" s="78">
        <f t="shared" ref="BN475:BN483" si="65">IFERROR(Y475*I475/H475,"0")</f>
        <v>0</v>
      </c>
      <c r="BO475" s="78">
        <f t="shared" ref="BO475:BO483" si="66">IFERROR(1/J475*(X475/H475),"0")</f>
        <v>0</v>
      </c>
      <c r="BP475" s="78">
        <f t="shared" ref="BP475:BP483" si="67">IFERROR(1/J475*(Y475/H475),"0")</f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4301012210</v>
      </c>
      <c r="D476" s="615">
        <v>4607091383522</v>
      </c>
      <c r="E476" s="615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65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6" s="617"/>
      <c r="R476" s="617"/>
      <c r="S476" s="617"/>
      <c r="T476" s="6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2"/>
        <v>0</v>
      </c>
      <c r="Z476" s="41" t="str">
        <f t="shared" si="63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4301011961</v>
      </c>
      <c r="D477" s="615">
        <v>4680115885271</v>
      </c>
      <c r="E477" s="615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65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7" s="617"/>
      <c r="R477" s="617"/>
      <c r="S477" s="617"/>
      <c r="T477" s="6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767</v>
      </c>
      <c r="B478" s="63" t="s">
        <v>768</v>
      </c>
      <c r="C478" s="36">
        <v>4301011369</v>
      </c>
      <c r="D478" s="615">
        <v>4680115885226</v>
      </c>
      <c r="E478" s="615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143</v>
      </c>
      <c r="N478" s="38"/>
      <c r="O478" s="37">
        <v>60</v>
      </c>
      <c r="P478" s="6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8" s="617"/>
      <c r="R478" s="617"/>
      <c r="S478" s="617"/>
      <c r="T478" s="618"/>
      <c r="U478" s="39" t="s">
        <v>46</v>
      </c>
      <c r="V478" s="39" t="s">
        <v>46</v>
      </c>
      <c r="W478" s="40" t="s">
        <v>0</v>
      </c>
      <c r="X478" s="58">
        <v>52.8</v>
      </c>
      <c r="Y478" s="55">
        <f t="shared" si="62"/>
        <v>52.800000000000004</v>
      </c>
      <c r="Z478" s="41">
        <f t="shared" si="63"/>
        <v>0.1196</v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56.29999999999999</v>
      </c>
      <c r="BN478" s="78">
        <f t="shared" si="65"/>
        <v>56.3</v>
      </c>
      <c r="BO478" s="78">
        <f t="shared" si="66"/>
        <v>9.6153846153846145E-2</v>
      </c>
      <c r="BP478" s="78">
        <f t="shared" si="67"/>
        <v>9.6153846153846159E-2</v>
      </c>
    </row>
    <row r="479" spans="1:68" ht="16.5" customHeight="1" x14ac:dyDescent="0.25">
      <c r="A479" s="63" t="s">
        <v>770</v>
      </c>
      <c r="B479" s="63" t="s">
        <v>771</v>
      </c>
      <c r="C479" s="36">
        <v>4301011797</v>
      </c>
      <c r="D479" s="615">
        <v>4680115884502</v>
      </c>
      <c r="E479" s="615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94</v>
      </c>
      <c r="N479" s="38"/>
      <c r="O479" s="37">
        <v>60</v>
      </c>
      <c r="P479" s="6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9" s="617"/>
      <c r="R479" s="617"/>
      <c r="S479" s="617"/>
      <c r="T479" s="61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773</v>
      </c>
      <c r="B480" s="63" t="s">
        <v>774</v>
      </c>
      <c r="C480" s="36">
        <v>4301011771</v>
      </c>
      <c r="D480" s="615">
        <v>4607091389104</v>
      </c>
      <c r="E480" s="615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144</v>
      </c>
      <c r="L480" s="37" t="s">
        <v>46</v>
      </c>
      <c r="M480" s="38" t="s">
        <v>143</v>
      </c>
      <c r="N480" s="38"/>
      <c r="O480" s="37">
        <v>60</v>
      </c>
      <c r="P480" s="6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0" s="617"/>
      <c r="R480" s="617"/>
      <c r="S480" s="617"/>
      <c r="T480" s="61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775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customHeight="1" x14ac:dyDescent="0.25">
      <c r="A481" s="63" t="s">
        <v>776</v>
      </c>
      <c r="B481" s="63" t="s">
        <v>777</v>
      </c>
      <c r="C481" s="36">
        <v>4301012125</v>
      </c>
      <c r="D481" s="615">
        <v>4680115886391</v>
      </c>
      <c r="E481" s="615"/>
      <c r="F481" s="62">
        <v>0.4</v>
      </c>
      <c r="G481" s="37">
        <v>6</v>
      </c>
      <c r="H481" s="62">
        <v>2.4</v>
      </c>
      <c r="I481" s="62">
        <v>2.58</v>
      </c>
      <c r="J481" s="37">
        <v>182</v>
      </c>
      <c r="K481" s="37" t="s">
        <v>82</v>
      </c>
      <c r="L481" s="37" t="s">
        <v>46</v>
      </c>
      <c r="M481" s="38" t="s">
        <v>94</v>
      </c>
      <c r="N481" s="38"/>
      <c r="O481" s="37">
        <v>60</v>
      </c>
      <c r="P481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1" s="617"/>
      <c r="R481" s="617"/>
      <c r="S481" s="617"/>
      <c r="T481" s="61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778</v>
      </c>
      <c r="B482" s="63" t="s">
        <v>779</v>
      </c>
      <c r="C482" s="36">
        <v>4301012048</v>
      </c>
      <c r="D482" s="615">
        <v>4680115880603</v>
      </c>
      <c r="E482" s="615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94</v>
      </c>
      <c r="N482" s="38"/>
      <c r="O482" s="37">
        <v>60</v>
      </c>
      <c r="P482" s="6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2" s="617"/>
      <c r="R482" s="617"/>
      <c r="S482" s="617"/>
      <c r="T482" s="61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2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142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0</v>
      </c>
      <c r="BN482" s="78">
        <f t="shared" si="65"/>
        <v>0</v>
      </c>
      <c r="BO482" s="78">
        <f t="shared" si="66"/>
        <v>0</v>
      </c>
      <c r="BP482" s="78">
        <f t="shared" si="67"/>
        <v>0</v>
      </c>
    </row>
    <row r="483" spans="1:68" ht="27" customHeight="1" x14ac:dyDescent="0.25">
      <c r="A483" s="63" t="s">
        <v>780</v>
      </c>
      <c r="B483" s="63" t="s">
        <v>781</v>
      </c>
      <c r="C483" s="36">
        <v>4301012034</v>
      </c>
      <c r="D483" s="615">
        <v>4607091389982</v>
      </c>
      <c r="E483" s="615"/>
      <c r="F483" s="62">
        <v>0.6</v>
      </c>
      <c r="G483" s="37">
        <v>8</v>
      </c>
      <c r="H483" s="62">
        <v>4.8</v>
      </c>
      <c r="I483" s="62">
        <v>6.91</v>
      </c>
      <c r="J483" s="37">
        <v>132</v>
      </c>
      <c r="K483" s="37" t="s">
        <v>151</v>
      </c>
      <c r="L483" s="37" t="s">
        <v>46</v>
      </c>
      <c r="M483" s="38" t="s">
        <v>143</v>
      </c>
      <c r="N483" s="38"/>
      <c r="O483" s="37">
        <v>60</v>
      </c>
      <c r="P483" s="6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3" s="617"/>
      <c r="R483" s="617"/>
      <c r="S483" s="617"/>
      <c r="T483" s="61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2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2" t="s">
        <v>775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0</v>
      </c>
      <c r="BN483" s="78">
        <f t="shared" si="65"/>
        <v>0</v>
      </c>
      <c r="BO483" s="78">
        <f t="shared" si="66"/>
        <v>0</v>
      </c>
      <c r="BP483" s="78">
        <f t="shared" si="67"/>
        <v>0</v>
      </c>
    </row>
    <row r="484" spans="1:68" x14ac:dyDescent="0.25">
      <c r="A484" s="622"/>
      <c r="B484" s="622"/>
      <c r="C484" s="622"/>
      <c r="D484" s="622"/>
      <c r="E484" s="622"/>
      <c r="F484" s="622"/>
      <c r="G484" s="622"/>
      <c r="H484" s="622"/>
      <c r="I484" s="622"/>
      <c r="J484" s="622"/>
      <c r="K484" s="622"/>
      <c r="L484" s="622"/>
      <c r="M484" s="622"/>
      <c r="N484" s="622"/>
      <c r="O484" s="623"/>
      <c r="P484" s="619" t="s">
        <v>40</v>
      </c>
      <c r="Q484" s="620"/>
      <c r="R484" s="620"/>
      <c r="S484" s="620"/>
      <c r="T484" s="620"/>
      <c r="U484" s="620"/>
      <c r="V484" s="621"/>
      <c r="W484" s="42" t="s">
        <v>39</v>
      </c>
      <c r="X484" s="43">
        <f>IFERROR(X475/H475,"0")+IFERROR(X476/H476,"0")+IFERROR(X477/H477,"0")+IFERROR(X478/H478,"0")+IFERROR(X479/H479,"0")+IFERROR(X480/H480,"0")+IFERROR(X481/H481,"0")+IFERROR(X482/H482,"0")+IFERROR(X483/H483,"0")</f>
        <v>9.9999999999999982</v>
      </c>
      <c r="Y484" s="43">
        <f>IFERROR(Y475/H475,"0")+IFERROR(Y476/H476,"0")+IFERROR(Y477/H477,"0")+IFERROR(Y478/H478,"0")+IFERROR(Y479/H479,"0")+IFERROR(Y480/H480,"0")+IFERROR(Y481/H481,"0")+IFERROR(Y482/H482,"0")+IFERROR(Y483/H483,"0")</f>
        <v>10</v>
      </c>
      <c r="Z484" s="43">
        <f>IFERROR(IF(Z475="",0,Z475),"0")+IFERROR(IF(Z476="",0,Z476),"0")+IFERROR(IF(Z477="",0,Z477),"0")+IFERROR(IF(Z478="",0,Z478),"0")+IFERROR(IF(Z479="",0,Z479),"0")+IFERROR(IF(Z480="",0,Z480),"0")+IFERROR(IF(Z481="",0,Z481),"0")+IFERROR(IF(Z482="",0,Z482),"0")+IFERROR(IF(Z483="",0,Z483),"0")</f>
        <v>0.1196</v>
      </c>
      <c r="AA484" s="67"/>
      <c r="AB484" s="67"/>
      <c r="AC484" s="67"/>
    </row>
    <row r="485" spans="1:68" x14ac:dyDescent="0.25">
      <c r="A485" s="622"/>
      <c r="B485" s="622"/>
      <c r="C485" s="622"/>
      <c r="D485" s="622"/>
      <c r="E485" s="622"/>
      <c r="F485" s="622"/>
      <c r="G485" s="622"/>
      <c r="H485" s="622"/>
      <c r="I485" s="622"/>
      <c r="J485" s="622"/>
      <c r="K485" s="622"/>
      <c r="L485" s="622"/>
      <c r="M485" s="622"/>
      <c r="N485" s="622"/>
      <c r="O485" s="623"/>
      <c r="P485" s="619" t="s">
        <v>40</v>
      </c>
      <c r="Q485" s="620"/>
      <c r="R485" s="620"/>
      <c r="S485" s="620"/>
      <c r="T485" s="620"/>
      <c r="U485" s="620"/>
      <c r="V485" s="621"/>
      <c r="W485" s="42" t="s">
        <v>0</v>
      </c>
      <c r="X485" s="43">
        <f>IFERROR(SUM(X475:X483),"0")</f>
        <v>52.8</v>
      </c>
      <c r="Y485" s="43">
        <f>IFERROR(SUM(Y475:Y483),"0")</f>
        <v>52.800000000000004</v>
      </c>
      <c r="Z485" s="42"/>
      <c r="AA485" s="67"/>
      <c r="AB485" s="67"/>
      <c r="AC485" s="67"/>
    </row>
    <row r="486" spans="1:68" ht="14.25" customHeight="1" x14ac:dyDescent="0.25">
      <c r="A486" s="614" t="s">
        <v>174</v>
      </c>
      <c r="B486" s="614"/>
      <c r="C486" s="614"/>
      <c r="D486" s="614"/>
      <c r="E486" s="614"/>
      <c r="F486" s="614"/>
      <c r="G486" s="614"/>
      <c r="H486" s="614"/>
      <c r="I486" s="614"/>
      <c r="J486" s="614"/>
      <c r="K486" s="614"/>
      <c r="L486" s="614"/>
      <c r="M486" s="614"/>
      <c r="N486" s="614"/>
      <c r="O486" s="614"/>
      <c r="P486" s="614"/>
      <c r="Q486" s="614"/>
      <c r="R486" s="614"/>
      <c r="S486" s="614"/>
      <c r="T486" s="614"/>
      <c r="U486" s="614"/>
      <c r="V486" s="614"/>
      <c r="W486" s="614"/>
      <c r="X486" s="614"/>
      <c r="Y486" s="614"/>
      <c r="Z486" s="614"/>
      <c r="AA486" s="66"/>
      <c r="AB486" s="66"/>
      <c r="AC486" s="80"/>
    </row>
    <row r="487" spans="1:68" ht="16.5" customHeight="1" x14ac:dyDescent="0.25">
      <c r="A487" s="63" t="s">
        <v>782</v>
      </c>
      <c r="B487" s="63" t="s">
        <v>783</v>
      </c>
      <c r="C487" s="36">
        <v>4301020334</v>
      </c>
      <c r="D487" s="615">
        <v>4607091388930</v>
      </c>
      <c r="E487" s="615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144</v>
      </c>
      <c r="L487" s="37" t="s">
        <v>46</v>
      </c>
      <c r="M487" s="38" t="s">
        <v>94</v>
      </c>
      <c r="N487" s="38"/>
      <c r="O487" s="37">
        <v>70</v>
      </c>
      <c r="P487" s="6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7" s="617"/>
      <c r="R487" s="617"/>
      <c r="S487" s="617"/>
      <c r="T487" s="61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IFERROR(IF(Y487=0,"",ROUNDUP(Y487/H487,0)*0.01196),"")</f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785</v>
      </c>
      <c r="B488" s="63" t="s">
        <v>786</v>
      </c>
      <c r="C488" s="36">
        <v>4301020374</v>
      </c>
      <c r="D488" s="615">
        <v>4680115886407</v>
      </c>
      <c r="E488" s="615"/>
      <c r="F488" s="62">
        <v>0.4</v>
      </c>
      <c r="G488" s="37">
        <v>6</v>
      </c>
      <c r="H488" s="62">
        <v>2.4</v>
      </c>
      <c r="I488" s="62">
        <v>2.58</v>
      </c>
      <c r="J488" s="37">
        <v>182</v>
      </c>
      <c r="K488" s="37" t="s">
        <v>82</v>
      </c>
      <c r="L488" s="37" t="s">
        <v>46</v>
      </c>
      <c r="M488" s="38" t="s">
        <v>143</v>
      </c>
      <c r="N488" s="38"/>
      <c r="O488" s="37">
        <v>70</v>
      </c>
      <c r="P488" s="64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8" s="617"/>
      <c r="R488" s="617"/>
      <c r="S488" s="617"/>
      <c r="T488" s="6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76" t="s">
        <v>784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16.5" customHeight="1" x14ac:dyDescent="0.25">
      <c r="A489" s="63" t="s">
        <v>787</v>
      </c>
      <c r="B489" s="63" t="s">
        <v>788</v>
      </c>
      <c r="C489" s="36">
        <v>4301020385</v>
      </c>
      <c r="D489" s="615">
        <v>4680115880054</v>
      </c>
      <c r="E489" s="615"/>
      <c r="F489" s="62">
        <v>0.6</v>
      </c>
      <c r="G489" s="37">
        <v>8</v>
      </c>
      <c r="H489" s="62">
        <v>4.8</v>
      </c>
      <c r="I489" s="62">
        <v>6.91</v>
      </c>
      <c r="J489" s="37">
        <v>132</v>
      </c>
      <c r="K489" s="37" t="s">
        <v>151</v>
      </c>
      <c r="L489" s="37" t="s">
        <v>46</v>
      </c>
      <c r="M489" s="38" t="s">
        <v>143</v>
      </c>
      <c r="N489" s="38"/>
      <c r="O489" s="37">
        <v>70</v>
      </c>
      <c r="P489" s="64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9" s="617"/>
      <c r="R489" s="617"/>
      <c r="S489" s="617"/>
      <c r="T489" s="618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IFERROR(IF(Y489=0,"",ROUNDUP(Y489/H489,0)*0.00902),"")</f>
        <v/>
      </c>
      <c r="AA489" s="68" t="s">
        <v>46</v>
      </c>
      <c r="AB489" s="69" t="s">
        <v>46</v>
      </c>
      <c r="AC489" s="578" t="s">
        <v>784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5">
      <c r="A490" s="622"/>
      <c r="B490" s="622"/>
      <c r="C490" s="622"/>
      <c r="D490" s="622"/>
      <c r="E490" s="622"/>
      <c r="F490" s="622"/>
      <c r="G490" s="622"/>
      <c r="H490" s="622"/>
      <c r="I490" s="622"/>
      <c r="J490" s="622"/>
      <c r="K490" s="622"/>
      <c r="L490" s="622"/>
      <c r="M490" s="622"/>
      <c r="N490" s="622"/>
      <c r="O490" s="623"/>
      <c r="P490" s="619" t="s">
        <v>40</v>
      </c>
      <c r="Q490" s="620"/>
      <c r="R490" s="620"/>
      <c r="S490" s="620"/>
      <c r="T490" s="620"/>
      <c r="U490" s="620"/>
      <c r="V490" s="621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5">
      <c r="A491" s="622"/>
      <c r="B491" s="622"/>
      <c r="C491" s="622"/>
      <c r="D491" s="622"/>
      <c r="E491" s="622"/>
      <c r="F491" s="622"/>
      <c r="G491" s="622"/>
      <c r="H491" s="622"/>
      <c r="I491" s="622"/>
      <c r="J491" s="622"/>
      <c r="K491" s="622"/>
      <c r="L491" s="622"/>
      <c r="M491" s="622"/>
      <c r="N491" s="622"/>
      <c r="O491" s="623"/>
      <c r="P491" s="619" t="s">
        <v>40</v>
      </c>
      <c r="Q491" s="620"/>
      <c r="R491" s="620"/>
      <c r="S491" s="620"/>
      <c r="T491" s="620"/>
      <c r="U491" s="620"/>
      <c r="V491" s="621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14.25" customHeight="1" x14ac:dyDescent="0.25">
      <c r="A492" s="614" t="s">
        <v>77</v>
      </c>
      <c r="B492" s="614"/>
      <c r="C492" s="614"/>
      <c r="D492" s="614"/>
      <c r="E492" s="614"/>
      <c r="F492" s="614"/>
      <c r="G492" s="614"/>
      <c r="H492" s="614"/>
      <c r="I492" s="614"/>
      <c r="J492" s="614"/>
      <c r="K492" s="614"/>
      <c r="L492" s="614"/>
      <c r="M492" s="614"/>
      <c r="N492" s="614"/>
      <c r="O492" s="614"/>
      <c r="P492" s="614"/>
      <c r="Q492" s="614"/>
      <c r="R492" s="614"/>
      <c r="S492" s="614"/>
      <c r="T492" s="614"/>
      <c r="U492" s="614"/>
      <c r="V492" s="614"/>
      <c r="W492" s="614"/>
      <c r="X492" s="614"/>
      <c r="Y492" s="614"/>
      <c r="Z492" s="614"/>
      <c r="AA492" s="66"/>
      <c r="AB492" s="66"/>
      <c r="AC492" s="80"/>
    </row>
    <row r="493" spans="1:68" ht="27" customHeight="1" x14ac:dyDescent="0.25">
      <c r="A493" s="63" t="s">
        <v>789</v>
      </c>
      <c r="B493" s="63" t="s">
        <v>790</v>
      </c>
      <c r="C493" s="36">
        <v>4301031349</v>
      </c>
      <c r="D493" s="615">
        <v>4680115883116</v>
      </c>
      <c r="E493" s="615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143</v>
      </c>
      <c r="N493" s="38"/>
      <c r="O493" s="37">
        <v>70</v>
      </c>
      <c r="P493" s="6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3" s="617"/>
      <c r="R493" s="617"/>
      <c r="S493" s="617"/>
      <c r="T493" s="618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ref="Y493:Y499" si="68">IFERROR(IF(X493="",0,CEILING((X493/$H493),1)*$H493),"")</f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ref="BM493:BM499" si="69">IFERROR(X493*I493/H493,"0")</f>
        <v>0</v>
      </c>
      <c r="BN493" s="78">
        <f t="shared" ref="BN493:BN499" si="70">IFERROR(Y493*I493/H493,"0")</f>
        <v>0</v>
      </c>
      <c r="BO493" s="78">
        <f t="shared" ref="BO493:BO499" si="71">IFERROR(1/J493*(X493/H493),"0")</f>
        <v>0</v>
      </c>
      <c r="BP493" s="78">
        <f t="shared" ref="BP493:BP499" si="72">IFERROR(1/J493*(Y493/H493),"0")</f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4301031350</v>
      </c>
      <c r="D494" s="615">
        <v>4680115883093</v>
      </c>
      <c r="E494" s="615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64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4" s="617"/>
      <c r="R494" s="617"/>
      <c r="S494" s="617"/>
      <c r="T494" s="618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4301031353</v>
      </c>
      <c r="D495" s="615">
        <v>4680115883109</v>
      </c>
      <c r="E495" s="615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144</v>
      </c>
      <c r="L495" s="37" t="s">
        <v>46</v>
      </c>
      <c r="M495" s="38" t="s">
        <v>81</v>
      </c>
      <c r="N495" s="38"/>
      <c r="O495" s="37">
        <v>70</v>
      </c>
      <c r="P495" s="6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5" s="617"/>
      <c r="R495" s="617"/>
      <c r="S495" s="617"/>
      <c r="T495" s="618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797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customHeight="1" x14ac:dyDescent="0.25">
      <c r="A496" s="63" t="s">
        <v>798</v>
      </c>
      <c r="B496" s="63" t="s">
        <v>799</v>
      </c>
      <c r="C496" s="36">
        <v>4301031419</v>
      </c>
      <c r="D496" s="615">
        <v>4680115882072</v>
      </c>
      <c r="E496" s="615"/>
      <c r="F496" s="62">
        <v>0.6</v>
      </c>
      <c r="G496" s="37">
        <v>8</v>
      </c>
      <c r="H496" s="62">
        <v>4.8</v>
      </c>
      <c r="I496" s="62">
        <v>6.91</v>
      </c>
      <c r="J496" s="37">
        <v>132</v>
      </c>
      <c r="K496" s="37" t="s">
        <v>151</v>
      </c>
      <c r="L496" s="37" t="s">
        <v>46</v>
      </c>
      <c r="M496" s="38" t="s">
        <v>143</v>
      </c>
      <c r="N496" s="38"/>
      <c r="O496" s="37">
        <v>70</v>
      </c>
      <c r="P496" s="6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6" s="617"/>
      <c r="R496" s="617"/>
      <c r="S496" s="617"/>
      <c r="T496" s="618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800</v>
      </c>
      <c r="B497" s="63" t="s">
        <v>801</v>
      </c>
      <c r="C497" s="36">
        <v>4301031352</v>
      </c>
      <c r="D497" s="615">
        <v>4680115882102</v>
      </c>
      <c r="E497" s="615"/>
      <c r="F497" s="62">
        <v>0.6</v>
      </c>
      <c r="G497" s="37">
        <v>6</v>
      </c>
      <c r="H497" s="62">
        <v>3.6</v>
      </c>
      <c r="I497" s="62">
        <v>3.79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6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7" s="617"/>
      <c r="R497" s="617"/>
      <c r="S497" s="617"/>
      <c r="T497" s="618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794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800</v>
      </c>
      <c r="B498" s="63" t="s">
        <v>802</v>
      </c>
      <c r="C498" s="36">
        <v>4301031418</v>
      </c>
      <c r="D498" s="615">
        <v>4680115882102</v>
      </c>
      <c r="E498" s="615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6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8" s="617"/>
      <c r="R498" s="617"/>
      <c r="S498" s="617"/>
      <c r="T498" s="618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803</v>
      </c>
      <c r="B499" s="63" t="s">
        <v>804</v>
      </c>
      <c r="C499" s="36">
        <v>4301031417</v>
      </c>
      <c r="D499" s="615">
        <v>4680115882096</v>
      </c>
      <c r="E499" s="615"/>
      <c r="F499" s="62">
        <v>0.6</v>
      </c>
      <c r="G499" s="37">
        <v>8</v>
      </c>
      <c r="H499" s="62">
        <v>4.8</v>
      </c>
      <c r="I499" s="62">
        <v>6.67</v>
      </c>
      <c r="J499" s="37">
        <v>132</v>
      </c>
      <c r="K499" s="37" t="s">
        <v>151</v>
      </c>
      <c r="L499" s="37" t="s">
        <v>46</v>
      </c>
      <c r="M499" s="38" t="s">
        <v>81</v>
      </c>
      <c r="N499" s="38"/>
      <c r="O499" s="37">
        <v>70</v>
      </c>
      <c r="P499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9" s="617"/>
      <c r="R499" s="617"/>
      <c r="S499" s="617"/>
      <c r="T499" s="61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797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x14ac:dyDescent="0.25">
      <c r="A500" s="622"/>
      <c r="B500" s="622"/>
      <c r="C500" s="622"/>
      <c r="D500" s="622"/>
      <c r="E500" s="622"/>
      <c r="F500" s="622"/>
      <c r="G500" s="622"/>
      <c r="H500" s="622"/>
      <c r="I500" s="622"/>
      <c r="J500" s="622"/>
      <c r="K500" s="622"/>
      <c r="L500" s="622"/>
      <c r="M500" s="622"/>
      <c r="N500" s="622"/>
      <c r="O500" s="623"/>
      <c r="P500" s="619" t="s">
        <v>40</v>
      </c>
      <c r="Q500" s="620"/>
      <c r="R500" s="620"/>
      <c r="S500" s="620"/>
      <c r="T500" s="620"/>
      <c r="U500" s="620"/>
      <c r="V500" s="621"/>
      <c r="W500" s="42" t="s">
        <v>39</v>
      </c>
      <c r="X500" s="43">
        <f>IFERROR(X493/H493,"0")+IFERROR(X494/H494,"0")+IFERROR(X495/H495,"0")+IFERROR(X496/H496,"0")+IFERROR(X497/H497,"0")+IFERROR(X498/H498,"0")+IFERROR(X499/H499,"0")</f>
        <v>0</v>
      </c>
      <c r="Y500" s="43">
        <f>IFERROR(Y493/H493,"0")+IFERROR(Y494/H494,"0")+IFERROR(Y495/H495,"0")+IFERROR(Y496/H496,"0")+IFERROR(Y497/H497,"0")+IFERROR(Y498/H498,"0")+IFERROR(Y499/H499,"0")</f>
        <v>0</v>
      </c>
      <c r="Z500" s="43">
        <f>IFERROR(IF(Z493="",0,Z493),"0")+IFERROR(IF(Z494="",0,Z494),"0")+IFERROR(IF(Z495="",0,Z495),"0")+IFERROR(IF(Z496="",0,Z496),"0")+IFERROR(IF(Z497="",0,Z497),"0")+IFERROR(IF(Z498="",0,Z498),"0")+IFERROR(IF(Z499="",0,Z499),"0")</f>
        <v>0</v>
      </c>
      <c r="AA500" s="67"/>
      <c r="AB500" s="67"/>
      <c r="AC500" s="67"/>
    </row>
    <row r="501" spans="1:68" x14ac:dyDescent="0.25">
      <c r="A501" s="622"/>
      <c r="B501" s="622"/>
      <c r="C501" s="622"/>
      <c r="D501" s="622"/>
      <c r="E501" s="622"/>
      <c r="F501" s="622"/>
      <c r="G501" s="622"/>
      <c r="H501" s="622"/>
      <c r="I501" s="622"/>
      <c r="J501" s="622"/>
      <c r="K501" s="622"/>
      <c r="L501" s="622"/>
      <c r="M501" s="622"/>
      <c r="N501" s="622"/>
      <c r="O501" s="623"/>
      <c r="P501" s="619" t="s">
        <v>40</v>
      </c>
      <c r="Q501" s="620"/>
      <c r="R501" s="620"/>
      <c r="S501" s="620"/>
      <c r="T501" s="620"/>
      <c r="U501" s="620"/>
      <c r="V501" s="621"/>
      <c r="W501" s="42" t="s">
        <v>0</v>
      </c>
      <c r="X501" s="43">
        <f>IFERROR(SUM(X493:X499),"0")</f>
        <v>0</v>
      </c>
      <c r="Y501" s="43">
        <f>IFERROR(SUM(Y493:Y499),"0")</f>
        <v>0</v>
      </c>
      <c r="Z501" s="42"/>
      <c r="AA501" s="67"/>
      <c r="AB501" s="67"/>
      <c r="AC501" s="67"/>
    </row>
    <row r="502" spans="1:68" ht="27.75" customHeight="1" x14ac:dyDescent="0.25">
      <c r="A502" s="635" t="s">
        <v>805</v>
      </c>
      <c r="B502" s="635"/>
      <c r="C502" s="635"/>
      <c r="D502" s="635"/>
      <c r="E502" s="635"/>
      <c r="F502" s="635"/>
      <c r="G502" s="635"/>
      <c r="H502" s="635"/>
      <c r="I502" s="635"/>
      <c r="J502" s="635"/>
      <c r="K502" s="635"/>
      <c r="L502" s="635"/>
      <c r="M502" s="635"/>
      <c r="N502" s="635"/>
      <c r="O502" s="635"/>
      <c r="P502" s="635"/>
      <c r="Q502" s="635"/>
      <c r="R502" s="635"/>
      <c r="S502" s="635"/>
      <c r="T502" s="635"/>
      <c r="U502" s="635"/>
      <c r="V502" s="635"/>
      <c r="W502" s="635"/>
      <c r="X502" s="635"/>
      <c r="Y502" s="635"/>
      <c r="Z502" s="635"/>
      <c r="AA502" s="54"/>
      <c r="AB502" s="54"/>
      <c r="AC502" s="54"/>
    </row>
    <row r="503" spans="1:68" ht="16.5" customHeight="1" x14ac:dyDescent="0.25">
      <c r="A503" s="630" t="s">
        <v>805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5"/>
      <c r="AB503" s="65"/>
      <c r="AC503" s="79"/>
    </row>
    <row r="504" spans="1:68" ht="14.25" customHeight="1" x14ac:dyDescent="0.25">
      <c r="A504" s="614" t="s">
        <v>139</v>
      </c>
      <c r="B504" s="614"/>
      <c r="C504" s="614"/>
      <c r="D504" s="614"/>
      <c r="E504" s="614"/>
      <c r="F504" s="614"/>
      <c r="G504" s="614"/>
      <c r="H504" s="614"/>
      <c r="I504" s="614"/>
      <c r="J504" s="614"/>
      <c r="K504" s="614"/>
      <c r="L504" s="614"/>
      <c r="M504" s="614"/>
      <c r="N504" s="614"/>
      <c r="O504" s="614"/>
      <c r="P504" s="614"/>
      <c r="Q504" s="614"/>
      <c r="R504" s="614"/>
      <c r="S504" s="614"/>
      <c r="T504" s="614"/>
      <c r="U504" s="614"/>
      <c r="V504" s="614"/>
      <c r="W504" s="614"/>
      <c r="X504" s="614"/>
      <c r="Y504" s="614"/>
      <c r="Z504" s="614"/>
      <c r="AA504" s="66"/>
      <c r="AB504" s="66"/>
      <c r="AC504" s="80"/>
    </row>
    <row r="505" spans="1:68" ht="27" customHeight="1" x14ac:dyDescent="0.25">
      <c r="A505" s="63" t="s">
        <v>806</v>
      </c>
      <c r="B505" s="63" t="s">
        <v>807</v>
      </c>
      <c r="C505" s="36">
        <v>4301011584</v>
      </c>
      <c r="D505" s="615">
        <v>4640242180564</v>
      </c>
      <c r="E505" s="615"/>
      <c r="F505" s="62">
        <v>1.5</v>
      </c>
      <c r="G505" s="37">
        <v>8</v>
      </c>
      <c r="H505" s="62">
        <v>12</v>
      </c>
      <c r="I505" s="62">
        <v>12.41</v>
      </c>
      <c r="J505" s="37">
        <v>64</v>
      </c>
      <c r="K505" s="37" t="s">
        <v>144</v>
      </c>
      <c r="L505" s="37" t="s">
        <v>46</v>
      </c>
      <c r="M505" s="38" t="s">
        <v>143</v>
      </c>
      <c r="N505" s="38"/>
      <c r="O505" s="37">
        <v>50</v>
      </c>
      <c r="P505" s="63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5" s="617"/>
      <c r="R505" s="617"/>
      <c r="S505" s="617"/>
      <c r="T505" s="6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IFERROR(IF(Y505=0,"",ROUNDUP(Y505/H505,0)*0.01898),"")</f>
        <v/>
      </c>
      <c r="AA505" s="68" t="s">
        <v>46</v>
      </c>
      <c r="AB505" s="69" t="s">
        <v>46</v>
      </c>
      <c r="AC505" s="594" t="s">
        <v>808</v>
      </c>
      <c r="AG505" s="78"/>
      <c r="AJ505" s="84" t="s">
        <v>46</v>
      </c>
      <c r="AK505" s="84">
        <v>0</v>
      </c>
      <c r="BB505" s="595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5">
      <c r="A506" s="622"/>
      <c r="B506" s="622"/>
      <c r="C506" s="622"/>
      <c r="D506" s="622"/>
      <c r="E506" s="622"/>
      <c r="F506" s="622"/>
      <c r="G506" s="622"/>
      <c r="H506" s="622"/>
      <c r="I506" s="622"/>
      <c r="J506" s="622"/>
      <c r="K506" s="622"/>
      <c r="L506" s="622"/>
      <c r="M506" s="622"/>
      <c r="N506" s="622"/>
      <c r="O506" s="623"/>
      <c r="P506" s="619" t="s">
        <v>40</v>
      </c>
      <c r="Q506" s="620"/>
      <c r="R506" s="620"/>
      <c r="S506" s="620"/>
      <c r="T506" s="620"/>
      <c r="U506" s="620"/>
      <c r="V506" s="621"/>
      <c r="W506" s="42" t="s">
        <v>39</v>
      </c>
      <c r="X506" s="43">
        <f>IFERROR(X505/H505,"0")</f>
        <v>0</v>
      </c>
      <c r="Y506" s="43">
        <f>IFERROR(Y505/H505,"0")</f>
        <v>0</v>
      </c>
      <c r="Z506" s="43">
        <f>IFERROR(IF(Z505="",0,Z505),"0")</f>
        <v>0</v>
      </c>
      <c r="AA506" s="67"/>
      <c r="AB506" s="67"/>
      <c r="AC506" s="67"/>
    </row>
    <row r="507" spans="1:68" x14ac:dyDescent="0.25">
      <c r="A507" s="622"/>
      <c r="B507" s="622"/>
      <c r="C507" s="622"/>
      <c r="D507" s="622"/>
      <c r="E507" s="622"/>
      <c r="F507" s="622"/>
      <c r="G507" s="622"/>
      <c r="H507" s="622"/>
      <c r="I507" s="622"/>
      <c r="J507" s="622"/>
      <c r="K507" s="622"/>
      <c r="L507" s="622"/>
      <c r="M507" s="622"/>
      <c r="N507" s="622"/>
      <c r="O507" s="623"/>
      <c r="P507" s="619" t="s">
        <v>40</v>
      </c>
      <c r="Q507" s="620"/>
      <c r="R507" s="620"/>
      <c r="S507" s="620"/>
      <c r="T507" s="620"/>
      <c r="U507" s="620"/>
      <c r="V507" s="621"/>
      <c r="W507" s="42" t="s">
        <v>0</v>
      </c>
      <c r="X507" s="43">
        <f>IFERROR(SUM(X505:X505),"0")</f>
        <v>0</v>
      </c>
      <c r="Y507" s="43">
        <f>IFERROR(SUM(Y505:Y505),"0")</f>
        <v>0</v>
      </c>
      <c r="Z507" s="42"/>
      <c r="AA507" s="67"/>
      <c r="AB507" s="67"/>
      <c r="AC507" s="67"/>
    </row>
    <row r="508" spans="1:68" ht="14.25" customHeight="1" x14ac:dyDescent="0.25">
      <c r="A508" s="614" t="s">
        <v>174</v>
      </c>
      <c r="B508" s="614"/>
      <c r="C508" s="614"/>
      <c r="D508" s="614"/>
      <c r="E508" s="614"/>
      <c r="F508" s="614"/>
      <c r="G508" s="614"/>
      <c r="H508" s="614"/>
      <c r="I508" s="614"/>
      <c r="J508" s="614"/>
      <c r="K508" s="614"/>
      <c r="L508" s="614"/>
      <c r="M508" s="614"/>
      <c r="N508" s="614"/>
      <c r="O508" s="614"/>
      <c r="P508" s="614"/>
      <c r="Q508" s="614"/>
      <c r="R508" s="614"/>
      <c r="S508" s="614"/>
      <c r="T508" s="614"/>
      <c r="U508" s="614"/>
      <c r="V508" s="614"/>
      <c r="W508" s="614"/>
      <c r="X508" s="614"/>
      <c r="Y508" s="614"/>
      <c r="Z508" s="614"/>
      <c r="AA508" s="66"/>
      <c r="AB508" s="66"/>
      <c r="AC508" s="80"/>
    </row>
    <row r="509" spans="1:68" ht="27" customHeight="1" x14ac:dyDescent="0.25">
      <c r="A509" s="63" t="s">
        <v>809</v>
      </c>
      <c r="B509" s="63" t="s">
        <v>810</v>
      </c>
      <c r="C509" s="36">
        <v>4301020400</v>
      </c>
      <c r="D509" s="615">
        <v>4640242180519</v>
      </c>
      <c r="E509" s="615"/>
      <c r="F509" s="62">
        <v>1.5</v>
      </c>
      <c r="G509" s="37">
        <v>8</v>
      </c>
      <c r="H509" s="62">
        <v>12</v>
      </c>
      <c r="I509" s="62">
        <v>12.41</v>
      </c>
      <c r="J509" s="37">
        <v>64</v>
      </c>
      <c r="K509" s="37" t="s">
        <v>144</v>
      </c>
      <c r="L509" s="37" t="s">
        <v>46</v>
      </c>
      <c r="M509" s="38" t="s">
        <v>143</v>
      </c>
      <c r="N509" s="38"/>
      <c r="O509" s="37">
        <v>50</v>
      </c>
      <c r="P509" s="63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9" s="617"/>
      <c r="R509" s="617"/>
      <c r="S509" s="617"/>
      <c r="T509" s="618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IFERROR(IF(Y509=0,"",ROUNDUP(Y509/H509,0)*0.01898),"")</f>
        <v/>
      </c>
      <c r="AA509" s="68" t="s">
        <v>46</v>
      </c>
      <c r="AB509" s="69" t="s">
        <v>46</v>
      </c>
      <c r="AC509" s="596" t="s">
        <v>811</v>
      </c>
      <c r="AG509" s="78"/>
      <c r="AJ509" s="84" t="s">
        <v>46</v>
      </c>
      <c r="AK509" s="84">
        <v>0</v>
      </c>
      <c r="BB509" s="59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5">
      <c r="A510" s="622"/>
      <c r="B510" s="622"/>
      <c r="C510" s="622"/>
      <c r="D510" s="622"/>
      <c r="E510" s="622"/>
      <c r="F510" s="622"/>
      <c r="G510" s="622"/>
      <c r="H510" s="622"/>
      <c r="I510" s="622"/>
      <c r="J510" s="622"/>
      <c r="K510" s="622"/>
      <c r="L510" s="622"/>
      <c r="M510" s="622"/>
      <c r="N510" s="622"/>
      <c r="O510" s="623"/>
      <c r="P510" s="619" t="s">
        <v>40</v>
      </c>
      <c r="Q510" s="620"/>
      <c r="R510" s="620"/>
      <c r="S510" s="620"/>
      <c r="T510" s="620"/>
      <c r="U510" s="620"/>
      <c r="V510" s="621"/>
      <c r="W510" s="42" t="s">
        <v>39</v>
      </c>
      <c r="X510" s="43">
        <f>IFERROR(X509/H509,"0")</f>
        <v>0</v>
      </c>
      <c r="Y510" s="43">
        <f>IFERROR(Y509/H509,"0")</f>
        <v>0</v>
      </c>
      <c r="Z510" s="43">
        <f>IFERROR(IF(Z509="",0,Z509),"0")</f>
        <v>0</v>
      </c>
      <c r="AA510" s="67"/>
      <c r="AB510" s="67"/>
      <c r="AC510" s="67"/>
    </row>
    <row r="511" spans="1:68" x14ac:dyDescent="0.25">
      <c r="A511" s="622"/>
      <c r="B511" s="622"/>
      <c r="C511" s="622"/>
      <c r="D511" s="622"/>
      <c r="E511" s="622"/>
      <c r="F511" s="622"/>
      <c r="G511" s="622"/>
      <c r="H511" s="622"/>
      <c r="I511" s="622"/>
      <c r="J511" s="622"/>
      <c r="K511" s="622"/>
      <c r="L511" s="622"/>
      <c r="M511" s="622"/>
      <c r="N511" s="622"/>
      <c r="O511" s="623"/>
      <c r="P511" s="619" t="s">
        <v>40</v>
      </c>
      <c r="Q511" s="620"/>
      <c r="R511" s="620"/>
      <c r="S511" s="620"/>
      <c r="T511" s="620"/>
      <c r="U511" s="620"/>
      <c r="V511" s="621"/>
      <c r="W511" s="42" t="s">
        <v>0</v>
      </c>
      <c r="X511" s="43">
        <f>IFERROR(SUM(X509:X509),"0")</f>
        <v>0</v>
      </c>
      <c r="Y511" s="43">
        <f>IFERROR(SUM(Y509:Y509),"0")</f>
        <v>0</v>
      </c>
      <c r="Z511" s="42"/>
      <c r="AA511" s="67"/>
      <c r="AB511" s="67"/>
      <c r="AC511" s="67"/>
    </row>
    <row r="512" spans="1:68" ht="14.25" customHeight="1" x14ac:dyDescent="0.25">
      <c r="A512" s="614" t="s">
        <v>77</v>
      </c>
      <c r="B512" s="614"/>
      <c r="C512" s="614"/>
      <c r="D512" s="614"/>
      <c r="E512" s="614"/>
      <c r="F512" s="614"/>
      <c r="G512" s="614"/>
      <c r="H512" s="614"/>
      <c r="I512" s="614"/>
      <c r="J512" s="614"/>
      <c r="K512" s="614"/>
      <c r="L512" s="614"/>
      <c r="M512" s="614"/>
      <c r="N512" s="614"/>
      <c r="O512" s="614"/>
      <c r="P512" s="614"/>
      <c r="Q512" s="614"/>
      <c r="R512" s="614"/>
      <c r="S512" s="614"/>
      <c r="T512" s="614"/>
      <c r="U512" s="614"/>
      <c r="V512" s="614"/>
      <c r="W512" s="614"/>
      <c r="X512" s="614"/>
      <c r="Y512" s="614"/>
      <c r="Z512" s="614"/>
      <c r="AA512" s="66"/>
      <c r="AB512" s="66"/>
      <c r="AC512" s="80"/>
    </row>
    <row r="513" spans="1:68" ht="27" customHeight="1" x14ac:dyDescent="0.25">
      <c r="A513" s="63" t="s">
        <v>812</v>
      </c>
      <c r="B513" s="63" t="s">
        <v>813</v>
      </c>
      <c r="C513" s="36">
        <v>4301031467</v>
      </c>
      <c r="D513" s="615">
        <v>4640242180595</v>
      </c>
      <c r="E513" s="615"/>
      <c r="F513" s="62">
        <v>0.8</v>
      </c>
      <c r="G513" s="37">
        <v>6</v>
      </c>
      <c r="H513" s="62">
        <v>4.8</v>
      </c>
      <c r="I513" s="62">
        <v>5.05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6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17"/>
      <c r="R513" s="617"/>
      <c r="S513" s="617"/>
      <c r="T513" s="6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814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27" customHeight="1" x14ac:dyDescent="0.25">
      <c r="A514" s="63" t="s">
        <v>812</v>
      </c>
      <c r="B514" s="63" t="s">
        <v>815</v>
      </c>
      <c r="C514" s="36">
        <v>4301031500</v>
      </c>
      <c r="D514" s="615">
        <v>4640242180595</v>
      </c>
      <c r="E514" s="615"/>
      <c r="F514" s="62">
        <v>0.7</v>
      </c>
      <c r="G514" s="37">
        <v>6</v>
      </c>
      <c r="H514" s="62">
        <v>4.2</v>
      </c>
      <c r="I514" s="62">
        <v>4.45</v>
      </c>
      <c r="J514" s="37">
        <v>132</v>
      </c>
      <c r="K514" s="37" t="s">
        <v>151</v>
      </c>
      <c r="L514" s="37" t="s">
        <v>46</v>
      </c>
      <c r="M514" s="38" t="s">
        <v>81</v>
      </c>
      <c r="N514" s="38"/>
      <c r="O514" s="37">
        <v>40</v>
      </c>
      <c r="P514" s="63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4" s="617"/>
      <c r="R514" s="617"/>
      <c r="S514" s="617"/>
      <c r="T514" s="6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0" t="s">
        <v>816</v>
      </c>
      <c r="AG514" s="78"/>
      <c r="AJ514" s="84" t="s">
        <v>46</v>
      </c>
      <c r="AK514" s="84">
        <v>0</v>
      </c>
      <c r="BB514" s="601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5">
      <c r="A515" s="622"/>
      <c r="B515" s="622"/>
      <c r="C515" s="622"/>
      <c r="D515" s="622"/>
      <c r="E515" s="622"/>
      <c r="F515" s="622"/>
      <c r="G515" s="622"/>
      <c r="H515" s="622"/>
      <c r="I515" s="622"/>
      <c r="J515" s="622"/>
      <c r="K515" s="622"/>
      <c r="L515" s="622"/>
      <c r="M515" s="622"/>
      <c r="N515" s="622"/>
      <c r="O515" s="623"/>
      <c r="P515" s="619" t="s">
        <v>40</v>
      </c>
      <c r="Q515" s="620"/>
      <c r="R515" s="620"/>
      <c r="S515" s="620"/>
      <c r="T515" s="620"/>
      <c r="U515" s="620"/>
      <c r="V515" s="621"/>
      <c r="W515" s="42" t="s">
        <v>39</v>
      </c>
      <c r="X515" s="43">
        <f>IFERROR(X513/H513,"0")+IFERROR(X514/H514,"0")</f>
        <v>0</v>
      </c>
      <c r="Y515" s="43">
        <f>IFERROR(Y513/H513,"0")+IFERROR(Y514/H514,"0")</f>
        <v>0</v>
      </c>
      <c r="Z515" s="43">
        <f>IFERROR(IF(Z513="",0,Z513),"0")+IFERROR(IF(Z514="",0,Z514),"0")</f>
        <v>0</v>
      </c>
      <c r="AA515" s="67"/>
      <c r="AB515" s="67"/>
      <c r="AC515" s="67"/>
    </row>
    <row r="516" spans="1:68" x14ac:dyDescent="0.25">
      <c r="A516" s="622"/>
      <c r="B516" s="622"/>
      <c r="C516" s="622"/>
      <c r="D516" s="622"/>
      <c r="E516" s="622"/>
      <c r="F516" s="622"/>
      <c r="G516" s="622"/>
      <c r="H516" s="622"/>
      <c r="I516" s="622"/>
      <c r="J516" s="622"/>
      <c r="K516" s="622"/>
      <c r="L516" s="622"/>
      <c r="M516" s="622"/>
      <c r="N516" s="622"/>
      <c r="O516" s="623"/>
      <c r="P516" s="619" t="s">
        <v>40</v>
      </c>
      <c r="Q516" s="620"/>
      <c r="R516" s="620"/>
      <c r="S516" s="620"/>
      <c r="T516" s="620"/>
      <c r="U516" s="620"/>
      <c r="V516" s="621"/>
      <c r="W516" s="42" t="s">
        <v>0</v>
      </c>
      <c r="X516" s="43">
        <f>IFERROR(SUM(X513:X514),"0")</f>
        <v>0</v>
      </c>
      <c r="Y516" s="43">
        <f>IFERROR(SUM(Y513:Y514),"0")</f>
        <v>0</v>
      </c>
      <c r="Z516" s="42"/>
      <c r="AA516" s="67"/>
      <c r="AB516" s="67"/>
      <c r="AC516" s="67"/>
    </row>
    <row r="517" spans="1:68" ht="14.25" customHeight="1" x14ac:dyDescent="0.25">
      <c r="A517" s="614" t="s">
        <v>90</v>
      </c>
      <c r="B517" s="614"/>
      <c r="C517" s="614"/>
      <c r="D517" s="614"/>
      <c r="E517" s="614"/>
      <c r="F517" s="614"/>
      <c r="G517" s="614"/>
      <c r="H517" s="614"/>
      <c r="I517" s="614"/>
      <c r="J517" s="614"/>
      <c r="K517" s="614"/>
      <c r="L517" s="614"/>
      <c r="M517" s="614"/>
      <c r="N517" s="614"/>
      <c r="O517" s="614"/>
      <c r="P517" s="614"/>
      <c r="Q517" s="614"/>
      <c r="R517" s="614"/>
      <c r="S517" s="614"/>
      <c r="T517" s="614"/>
      <c r="U517" s="614"/>
      <c r="V517" s="614"/>
      <c r="W517" s="614"/>
      <c r="X517" s="614"/>
      <c r="Y517" s="614"/>
      <c r="Z517" s="614"/>
      <c r="AA517" s="66"/>
      <c r="AB517" s="66"/>
      <c r="AC517" s="80"/>
    </row>
    <row r="518" spans="1:68" ht="27" customHeight="1" x14ac:dyDescent="0.25">
      <c r="A518" s="63" t="s">
        <v>817</v>
      </c>
      <c r="B518" s="63" t="s">
        <v>818</v>
      </c>
      <c r="C518" s="36">
        <v>4301052046</v>
      </c>
      <c r="D518" s="615">
        <v>4640242180533</v>
      </c>
      <c r="E518" s="615"/>
      <c r="F518" s="62">
        <v>1.5</v>
      </c>
      <c r="G518" s="37">
        <v>6</v>
      </c>
      <c r="H518" s="62">
        <v>9</v>
      </c>
      <c r="I518" s="62">
        <v>9.4939999999999998</v>
      </c>
      <c r="J518" s="37">
        <v>64</v>
      </c>
      <c r="K518" s="37" t="s">
        <v>144</v>
      </c>
      <c r="L518" s="37" t="s">
        <v>46</v>
      </c>
      <c r="M518" s="38" t="s">
        <v>100</v>
      </c>
      <c r="N518" s="38"/>
      <c r="O518" s="37">
        <v>45</v>
      </c>
      <c r="P518" s="6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8" s="617"/>
      <c r="R518" s="617"/>
      <c r="S518" s="617"/>
      <c r="T518" s="61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IFERROR(IF(Y518=0,"",ROUNDUP(Y518/H518,0)*0.01898),"")</f>
        <v/>
      </c>
      <c r="AA518" s="68" t="s">
        <v>46</v>
      </c>
      <c r="AB518" s="69" t="s">
        <v>46</v>
      </c>
      <c r="AC518" s="602" t="s">
        <v>819</v>
      </c>
      <c r="AG518" s="78"/>
      <c r="AJ518" s="84" t="s">
        <v>46</v>
      </c>
      <c r="AK518" s="84">
        <v>0</v>
      </c>
      <c r="BB518" s="60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5">
      <c r="A519" s="622"/>
      <c r="B519" s="622"/>
      <c r="C519" s="622"/>
      <c r="D519" s="622"/>
      <c r="E519" s="622"/>
      <c r="F519" s="622"/>
      <c r="G519" s="622"/>
      <c r="H519" s="622"/>
      <c r="I519" s="622"/>
      <c r="J519" s="622"/>
      <c r="K519" s="622"/>
      <c r="L519" s="622"/>
      <c r="M519" s="622"/>
      <c r="N519" s="622"/>
      <c r="O519" s="623"/>
      <c r="P519" s="619" t="s">
        <v>40</v>
      </c>
      <c r="Q519" s="620"/>
      <c r="R519" s="620"/>
      <c r="S519" s="620"/>
      <c r="T519" s="620"/>
      <c r="U519" s="620"/>
      <c r="V519" s="621"/>
      <c r="W519" s="42" t="s">
        <v>39</v>
      </c>
      <c r="X519" s="43">
        <f>IFERROR(X518/H518,"0")</f>
        <v>0</v>
      </c>
      <c r="Y519" s="43">
        <f>IFERROR(Y518/H518,"0")</f>
        <v>0</v>
      </c>
      <c r="Z519" s="43">
        <f>IFERROR(IF(Z518="",0,Z518),"0")</f>
        <v>0</v>
      </c>
      <c r="AA519" s="67"/>
      <c r="AB519" s="67"/>
      <c r="AC519" s="67"/>
    </row>
    <row r="520" spans="1:68" x14ac:dyDescent="0.25">
      <c r="A520" s="622"/>
      <c r="B520" s="622"/>
      <c r="C520" s="622"/>
      <c r="D520" s="622"/>
      <c r="E520" s="622"/>
      <c r="F520" s="622"/>
      <c r="G520" s="622"/>
      <c r="H520" s="622"/>
      <c r="I520" s="622"/>
      <c r="J520" s="622"/>
      <c r="K520" s="622"/>
      <c r="L520" s="622"/>
      <c r="M520" s="622"/>
      <c r="N520" s="622"/>
      <c r="O520" s="623"/>
      <c r="P520" s="619" t="s">
        <v>40</v>
      </c>
      <c r="Q520" s="620"/>
      <c r="R520" s="620"/>
      <c r="S520" s="620"/>
      <c r="T520" s="620"/>
      <c r="U520" s="620"/>
      <c r="V520" s="621"/>
      <c r="W520" s="42" t="s">
        <v>0</v>
      </c>
      <c r="X520" s="43">
        <f>IFERROR(SUM(X518:X518),"0")</f>
        <v>0</v>
      </c>
      <c r="Y520" s="43">
        <f>IFERROR(SUM(Y518:Y518),"0")</f>
        <v>0</v>
      </c>
      <c r="Z520" s="42"/>
      <c r="AA520" s="67"/>
      <c r="AB520" s="67"/>
      <c r="AC520" s="67"/>
    </row>
    <row r="521" spans="1:68" ht="14.25" customHeight="1" x14ac:dyDescent="0.25">
      <c r="A521" s="614" t="s">
        <v>191</v>
      </c>
      <c r="B521" s="614"/>
      <c r="C521" s="614"/>
      <c r="D521" s="614"/>
      <c r="E521" s="614"/>
      <c r="F521" s="614"/>
      <c r="G521" s="614"/>
      <c r="H521" s="614"/>
      <c r="I521" s="614"/>
      <c r="J521" s="614"/>
      <c r="K521" s="614"/>
      <c r="L521" s="614"/>
      <c r="M521" s="614"/>
      <c r="N521" s="614"/>
      <c r="O521" s="614"/>
      <c r="P521" s="614"/>
      <c r="Q521" s="614"/>
      <c r="R521" s="614"/>
      <c r="S521" s="614"/>
      <c r="T521" s="614"/>
      <c r="U521" s="614"/>
      <c r="V521" s="614"/>
      <c r="W521" s="614"/>
      <c r="X521" s="614"/>
      <c r="Y521" s="614"/>
      <c r="Z521" s="614"/>
      <c r="AA521" s="66"/>
      <c r="AB521" s="66"/>
      <c r="AC521" s="80"/>
    </row>
    <row r="522" spans="1:68" ht="27" customHeight="1" x14ac:dyDescent="0.25">
      <c r="A522" s="63" t="s">
        <v>820</v>
      </c>
      <c r="B522" s="63" t="s">
        <v>821</v>
      </c>
      <c r="C522" s="36">
        <v>4301060491</v>
      </c>
      <c r="D522" s="615">
        <v>4640242180120</v>
      </c>
      <c r="E522" s="615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62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2" s="617"/>
      <c r="R522" s="617"/>
      <c r="S522" s="617"/>
      <c r="T522" s="6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27" customHeight="1" x14ac:dyDescent="0.25">
      <c r="A523" s="63" t="s">
        <v>823</v>
      </c>
      <c r="B523" s="63" t="s">
        <v>824</v>
      </c>
      <c r="C523" s="36">
        <v>4301060536</v>
      </c>
      <c r="D523" s="615">
        <v>4640242180137</v>
      </c>
      <c r="E523" s="615"/>
      <c r="F523" s="62">
        <v>1.5</v>
      </c>
      <c r="G523" s="37">
        <v>6</v>
      </c>
      <c r="H523" s="62">
        <v>9</v>
      </c>
      <c r="I523" s="62">
        <v>9.41</v>
      </c>
      <c r="J523" s="37">
        <v>64</v>
      </c>
      <c r="K523" s="37" t="s">
        <v>144</v>
      </c>
      <c r="L523" s="37" t="s">
        <v>46</v>
      </c>
      <c r="M523" s="38" t="s">
        <v>94</v>
      </c>
      <c r="N523" s="38"/>
      <c r="O523" s="37">
        <v>40</v>
      </c>
      <c r="P523" s="62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3" s="617"/>
      <c r="R523" s="617"/>
      <c r="S523" s="617"/>
      <c r="T523" s="6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IFERROR(IF(Y523=0,"",ROUNDUP(Y523/H523,0)*0.01898),"")</f>
        <v/>
      </c>
      <c r="AA523" s="68" t="s">
        <v>46</v>
      </c>
      <c r="AB523" s="69" t="s">
        <v>46</v>
      </c>
      <c r="AC523" s="606" t="s">
        <v>825</v>
      </c>
      <c r="AG523" s="78"/>
      <c r="AJ523" s="84" t="s">
        <v>46</v>
      </c>
      <c r="AK523" s="84">
        <v>0</v>
      </c>
      <c r="BB523" s="607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5">
      <c r="A524" s="622"/>
      <c r="B524" s="622"/>
      <c r="C524" s="622"/>
      <c r="D524" s="622"/>
      <c r="E524" s="622"/>
      <c r="F524" s="622"/>
      <c r="G524" s="622"/>
      <c r="H524" s="622"/>
      <c r="I524" s="622"/>
      <c r="J524" s="622"/>
      <c r="K524" s="622"/>
      <c r="L524" s="622"/>
      <c r="M524" s="622"/>
      <c r="N524" s="622"/>
      <c r="O524" s="623"/>
      <c r="P524" s="619" t="s">
        <v>40</v>
      </c>
      <c r="Q524" s="620"/>
      <c r="R524" s="620"/>
      <c r="S524" s="620"/>
      <c r="T524" s="620"/>
      <c r="U524" s="620"/>
      <c r="V524" s="621"/>
      <c r="W524" s="42" t="s">
        <v>39</v>
      </c>
      <c r="X524" s="43">
        <f>IFERROR(X522/H522,"0")+IFERROR(X523/H523,"0")</f>
        <v>0</v>
      </c>
      <c r="Y524" s="43">
        <f>IFERROR(Y522/H522,"0")+IFERROR(Y523/H523,"0")</f>
        <v>0</v>
      </c>
      <c r="Z524" s="43">
        <f>IFERROR(IF(Z522="",0,Z522),"0")+IFERROR(IF(Z523="",0,Z523),"0")</f>
        <v>0</v>
      </c>
      <c r="AA524" s="67"/>
      <c r="AB524" s="67"/>
      <c r="AC524" s="67"/>
    </row>
    <row r="525" spans="1:68" x14ac:dyDescent="0.25">
      <c r="A525" s="622"/>
      <c r="B525" s="622"/>
      <c r="C525" s="622"/>
      <c r="D525" s="622"/>
      <c r="E525" s="622"/>
      <c r="F525" s="622"/>
      <c r="G525" s="622"/>
      <c r="H525" s="622"/>
      <c r="I525" s="622"/>
      <c r="J525" s="622"/>
      <c r="K525" s="622"/>
      <c r="L525" s="622"/>
      <c r="M525" s="622"/>
      <c r="N525" s="622"/>
      <c r="O525" s="623"/>
      <c r="P525" s="619" t="s">
        <v>40</v>
      </c>
      <c r="Q525" s="620"/>
      <c r="R525" s="620"/>
      <c r="S525" s="620"/>
      <c r="T525" s="620"/>
      <c r="U525" s="620"/>
      <c r="V525" s="621"/>
      <c r="W525" s="42" t="s">
        <v>0</v>
      </c>
      <c r="X525" s="43">
        <f>IFERROR(SUM(X522:X523),"0")</f>
        <v>0</v>
      </c>
      <c r="Y525" s="43">
        <f>IFERROR(SUM(Y522:Y523),"0")</f>
        <v>0</v>
      </c>
      <c r="Z525" s="42"/>
      <c r="AA525" s="67"/>
      <c r="AB525" s="67"/>
      <c r="AC525" s="67"/>
    </row>
    <row r="526" spans="1:68" ht="16.5" customHeight="1" x14ac:dyDescent="0.25">
      <c r="A526" s="630" t="s">
        <v>826</v>
      </c>
      <c r="B526" s="630"/>
      <c r="C526" s="630"/>
      <c r="D526" s="630"/>
      <c r="E526" s="630"/>
      <c r="F526" s="630"/>
      <c r="G526" s="630"/>
      <c r="H526" s="630"/>
      <c r="I526" s="630"/>
      <c r="J526" s="630"/>
      <c r="K526" s="630"/>
      <c r="L526" s="630"/>
      <c r="M526" s="630"/>
      <c r="N526" s="630"/>
      <c r="O526" s="630"/>
      <c r="P526" s="630"/>
      <c r="Q526" s="630"/>
      <c r="R526" s="630"/>
      <c r="S526" s="630"/>
      <c r="T526" s="630"/>
      <c r="U526" s="630"/>
      <c r="V526" s="630"/>
      <c r="W526" s="630"/>
      <c r="X526" s="630"/>
      <c r="Y526" s="630"/>
      <c r="Z526" s="630"/>
      <c r="AA526" s="65"/>
      <c r="AB526" s="65"/>
      <c r="AC526" s="79"/>
    </row>
    <row r="527" spans="1:68" ht="14.25" customHeight="1" x14ac:dyDescent="0.25">
      <c r="A527" s="614" t="s">
        <v>174</v>
      </c>
      <c r="B527" s="614"/>
      <c r="C527" s="614"/>
      <c r="D527" s="614"/>
      <c r="E527" s="614"/>
      <c r="F527" s="614"/>
      <c r="G527" s="614"/>
      <c r="H527" s="614"/>
      <c r="I527" s="614"/>
      <c r="J527" s="614"/>
      <c r="K527" s="614"/>
      <c r="L527" s="614"/>
      <c r="M527" s="614"/>
      <c r="N527" s="614"/>
      <c r="O527" s="614"/>
      <c r="P527" s="614"/>
      <c r="Q527" s="614"/>
      <c r="R527" s="614"/>
      <c r="S527" s="614"/>
      <c r="T527" s="614"/>
      <c r="U527" s="614"/>
      <c r="V527" s="614"/>
      <c r="W527" s="614"/>
      <c r="X527" s="614"/>
      <c r="Y527" s="614"/>
      <c r="Z527" s="614"/>
      <c r="AA527" s="66"/>
      <c r="AB527" s="66"/>
      <c r="AC527" s="80"/>
    </row>
    <row r="528" spans="1:68" ht="27" customHeight="1" x14ac:dyDescent="0.25">
      <c r="A528" s="63" t="s">
        <v>827</v>
      </c>
      <c r="B528" s="63" t="s">
        <v>828</v>
      </c>
      <c r="C528" s="36">
        <v>4301020428</v>
      </c>
      <c r="D528" s="615">
        <v>4640242180090</v>
      </c>
      <c r="E528" s="615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144</v>
      </c>
      <c r="L528" s="37" t="s">
        <v>46</v>
      </c>
      <c r="M528" s="38" t="s">
        <v>143</v>
      </c>
      <c r="N528" s="38"/>
      <c r="O528" s="37">
        <v>50</v>
      </c>
      <c r="P528" s="61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8" s="617"/>
      <c r="R528" s="617"/>
      <c r="S528" s="617"/>
      <c r="T528" s="618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08" t="s">
        <v>829</v>
      </c>
      <c r="AG528" s="78"/>
      <c r="AJ528" s="84" t="s">
        <v>46</v>
      </c>
      <c r="AK528" s="84">
        <v>0</v>
      </c>
      <c r="BB528" s="609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32" x14ac:dyDescent="0.25">
      <c r="A529" s="622"/>
      <c r="B529" s="622"/>
      <c r="C529" s="622"/>
      <c r="D529" s="622"/>
      <c r="E529" s="622"/>
      <c r="F529" s="622"/>
      <c r="G529" s="622"/>
      <c r="H529" s="622"/>
      <c r="I529" s="622"/>
      <c r="J529" s="622"/>
      <c r="K529" s="622"/>
      <c r="L529" s="622"/>
      <c r="M529" s="622"/>
      <c r="N529" s="622"/>
      <c r="O529" s="623"/>
      <c r="P529" s="619" t="s">
        <v>40</v>
      </c>
      <c r="Q529" s="620"/>
      <c r="R529" s="620"/>
      <c r="S529" s="620"/>
      <c r="T529" s="620"/>
      <c r="U529" s="620"/>
      <c r="V529" s="621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32" x14ac:dyDescent="0.25">
      <c r="A530" s="622"/>
      <c r="B530" s="622"/>
      <c r="C530" s="622"/>
      <c r="D530" s="622"/>
      <c r="E530" s="622"/>
      <c r="F530" s="622"/>
      <c r="G530" s="622"/>
      <c r="H530" s="622"/>
      <c r="I530" s="622"/>
      <c r="J530" s="622"/>
      <c r="K530" s="622"/>
      <c r="L530" s="622"/>
      <c r="M530" s="622"/>
      <c r="N530" s="622"/>
      <c r="O530" s="623"/>
      <c r="P530" s="619" t="s">
        <v>40</v>
      </c>
      <c r="Q530" s="620"/>
      <c r="R530" s="620"/>
      <c r="S530" s="620"/>
      <c r="T530" s="620"/>
      <c r="U530" s="620"/>
      <c r="V530" s="621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32" ht="15" customHeight="1" x14ac:dyDescent="0.25">
      <c r="A531" s="622"/>
      <c r="B531" s="622"/>
      <c r="C531" s="622"/>
      <c r="D531" s="622"/>
      <c r="E531" s="622"/>
      <c r="F531" s="622"/>
      <c r="G531" s="622"/>
      <c r="H531" s="622"/>
      <c r="I531" s="622"/>
      <c r="J531" s="622"/>
      <c r="K531" s="622"/>
      <c r="L531" s="622"/>
      <c r="M531" s="622"/>
      <c r="N531" s="622"/>
      <c r="O531" s="627"/>
      <c r="P531" s="624" t="s">
        <v>33</v>
      </c>
      <c r="Q531" s="625"/>
      <c r="R531" s="625"/>
      <c r="S531" s="625"/>
      <c r="T531" s="625"/>
      <c r="U531" s="625"/>
      <c r="V531" s="626"/>
      <c r="W531" s="42" t="s">
        <v>0</v>
      </c>
      <c r="X531" s="43">
        <f>IFERROR(X26+X38+X42+X51+X60+X71+X78+X83+X88+X96+X103+X114+X122+X129+X133+X139+X144+X149+X157+X163+X167+X180+X186+X191+X195+X204+X209+X226+X231+X237+X241+X247+X252+X263+X278+X283+X294+X298+X302+X310+X319+X326+X335+X340+X347+X357+X367+X374+X380+X387+X393+X400+X413+X419+X424+X428+X434+X438+X444+X455+X460+X465+X471+X485+X491+X501+X507+X511+X516+X520+X525+X530,"0")</f>
        <v>9823.1999999999989</v>
      </c>
      <c r="Y531" s="43">
        <f>IFERROR(Y26+Y38+Y42+Y51+Y60+Y71+Y78+Y83+Y88+Y96+Y103+Y114+Y122+Y129+Y133+Y139+Y144+Y149+Y157+Y163+Y167+Y180+Y186+Y191+Y195+Y204+Y209+Y226+Y231+Y237+Y241+Y247+Y252+Y263+Y278+Y283+Y294+Y298+Y302+Y310+Y319+Y326+Y335+Y340+Y347+Y357+Y367+Y374+Y380+Y387+Y393+Y400+Y413+Y419+Y424+Y428+Y434+Y438+Y444+Y455+Y460+Y465+Y471+Y485+Y491+Y501+Y507+Y511+Y516+Y520+Y525+Y530,"0")</f>
        <v>9823.1999999999989</v>
      </c>
      <c r="Z531" s="42"/>
      <c r="AA531" s="67"/>
      <c r="AB531" s="67"/>
      <c r="AC531" s="67"/>
    </row>
    <row r="532" spans="1:32" x14ac:dyDescent="0.25">
      <c r="A532" s="622"/>
      <c r="B532" s="622"/>
      <c r="C532" s="622"/>
      <c r="D532" s="622"/>
      <c r="E532" s="622"/>
      <c r="F532" s="622"/>
      <c r="G532" s="622"/>
      <c r="H532" s="622"/>
      <c r="I532" s="622"/>
      <c r="J532" s="622"/>
      <c r="K532" s="622"/>
      <c r="L532" s="622"/>
      <c r="M532" s="622"/>
      <c r="N532" s="622"/>
      <c r="O532" s="627"/>
      <c r="P532" s="624" t="s">
        <v>34</v>
      </c>
      <c r="Q532" s="625"/>
      <c r="R532" s="625"/>
      <c r="S532" s="625"/>
      <c r="T532" s="625"/>
      <c r="U532" s="625"/>
      <c r="V532" s="626"/>
      <c r="W532" s="42" t="s">
        <v>0</v>
      </c>
      <c r="X532" s="43">
        <f>IFERROR(SUM(BM22:BM528),"0")</f>
        <v>10204.030000000001</v>
      </c>
      <c r="Y532" s="43">
        <f>IFERROR(SUM(BN22:BN528),"0")</f>
        <v>10204.030000000001</v>
      </c>
      <c r="Z532" s="42"/>
      <c r="AA532" s="67"/>
      <c r="AB532" s="67"/>
      <c r="AC532" s="67"/>
    </row>
    <row r="533" spans="1:32" x14ac:dyDescent="0.25">
      <c r="A533" s="622"/>
      <c r="B533" s="622"/>
      <c r="C533" s="622"/>
      <c r="D533" s="622"/>
      <c r="E533" s="622"/>
      <c r="F533" s="622"/>
      <c r="G533" s="622"/>
      <c r="H533" s="622"/>
      <c r="I533" s="622"/>
      <c r="J533" s="622"/>
      <c r="K533" s="622"/>
      <c r="L533" s="622"/>
      <c r="M533" s="622"/>
      <c r="N533" s="622"/>
      <c r="O533" s="627"/>
      <c r="P533" s="624" t="s">
        <v>35</v>
      </c>
      <c r="Q533" s="625"/>
      <c r="R533" s="625"/>
      <c r="S533" s="625"/>
      <c r="T533" s="625"/>
      <c r="U533" s="625"/>
      <c r="V533" s="626"/>
      <c r="W533" s="42" t="s">
        <v>20</v>
      </c>
      <c r="X533" s="44">
        <f>ROUNDUP(SUM(BO22:BO528),0)</f>
        <v>15</v>
      </c>
      <c r="Y533" s="44">
        <f>ROUNDUP(SUM(BP22:BP528),0)</f>
        <v>15</v>
      </c>
      <c r="Z533" s="42"/>
      <c r="AA533" s="67"/>
      <c r="AB533" s="67"/>
      <c r="AC533" s="67"/>
    </row>
    <row r="534" spans="1:32" x14ac:dyDescent="0.25">
      <c r="A534" s="622"/>
      <c r="B534" s="622"/>
      <c r="C534" s="622"/>
      <c r="D534" s="622"/>
      <c r="E534" s="622"/>
      <c r="F534" s="622"/>
      <c r="G534" s="622"/>
      <c r="H534" s="622"/>
      <c r="I534" s="622"/>
      <c r="J534" s="622"/>
      <c r="K534" s="622"/>
      <c r="L534" s="622"/>
      <c r="M534" s="622"/>
      <c r="N534" s="622"/>
      <c r="O534" s="627"/>
      <c r="P534" s="624" t="s">
        <v>36</v>
      </c>
      <c r="Q534" s="625"/>
      <c r="R534" s="625"/>
      <c r="S534" s="625"/>
      <c r="T534" s="625"/>
      <c r="U534" s="625"/>
      <c r="V534" s="626"/>
      <c r="W534" s="42" t="s">
        <v>0</v>
      </c>
      <c r="X534" s="43">
        <f>GrossWeightTotal+PalletQtyTotal*25</f>
        <v>10579.03</v>
      </c>
      <c r="Y534" s="43">
        <f>GrossWeightTotalR+PalletQtyTotalR*25</f>
        <v>10579.03</v>
      </c>
      <c r="Z534" s="42"/>
      <c r="AA534" s="67"/>
      <c r="AB534" s="67"/>
      <c r="AC534" s="67"/>
    </row>
    <row r="535" spans="1:32" x14ac:dyDescent="0.25">
      <c r="A535" s="622"/>
      <c r="B535" s="622"/>
      <c r="C535" s="622"/>
      <c r="D535" s="622"/>
      <c r="E535" s="622"/>
      <c r="F535" s="622"/>
      <c r="G535" s="622"/>
      <c r="H535" s="622"/>
      <c r="I535" s="622"/>
      <c r="J535" s="622"/>
      <c r="K535" s="622"/>
      <c r="L535" s="622"/>
      <c r="M535" s="622"/>
      <c r="N535" s="622"/>
      <c r="O535" s="627"/>
      <c r="P535" s="624" t="s">
        <v>37</v>
      </c>
      <c r="Q535" s="625"/>
      <c r="R535" s="625"/>
      <c r="S535" s="625"/>
      <c r="T535" s="625"/>
      <c r="U535" s="625"/>
      <c r="V535" s="626"/>
      <c r="W535" s="42" t="s">
        <v>20</v>
      </c>
      <c r="X535" s="43">
        <f>IFERROR(X25+X37+X41+X50+X59+X70+X77+X82+X87+X95+X102+X113+X121+X128+X132+X138+X143+X148+X156+X162+X166+X179+X185+X190+X194+X203+X208+X225+X230+X236+X240+X246+X251+X262+X277+X282+X293+X297+X301+X309+X318+X325+X334+X339+X346+X356+X366+X373+X379+X386+X392+X399+X412+X418+X423+X427+X433+X437+X443+X454+X459+X464+X470+X484+X490+X500+X506+X510+X515+X519+X524+X529,"0")</f>
        <v>893</v>
      </c>
      <c r="Y535" s="43">
        <f>IFERROR(Y25+Y37+Y41+Y50+Y59+Y70+Y77+Y82+Y87+Y95+Y102+Y113+Y121+Y128+Y132+Y138+Y143+Y148+Y156+Y162+Y166+Y179+Y185+Y190+Y194+Y203+Y208+Y225+Y230+Y236+Y240+Y246+Y251+Y262+Y277+Y282+Y293+Y297+Y301+Y309+Y318+Y325+Y334+Y339+Y346+Y356+Y366+Y373+Y379+Y386+Y392+Y399+Y412+Y418+Y423+Y427+Y433+Y437+Y443+Y454+Y459+Y464+Y470+Y484+Y490+Y500+Y506+Y510+Y515+Y519+Y524+Y529,"0")</f>
        <v>893</v>
      </c>
      <c r="Z535" s="42"/>
      <c r="AA535" s="67"/>
      <c r="AB535" s="67"/>
      <c r="AC535" s="67"/>
    </row>
    <row r="536" spans="1:32" ht="15.6" x14ac:dyDescent="0.25">
      <c r="A536" s="622"/>
      <c r="B536" s="622"/>
      <c r="C536" s="622"/>
      <c r="D536" s="622"/>
      <c r="E536" s="622"/>
      <c r="F536" s="622"/>
      <c r="G536" s="622"/>
      <c r="H536" s="622"/>
      <c r="I536" s="622"/>
      <c r="J536" s="622"/>
      <c r="K536" s="622"/>
      <c r="L536" s="622"/>
      <c r="M536" s="622"/>
      <c r="N536" s="622"/>
      <c r="O536" s="627"/>
      <c r="P536" s="624" t="s">
        <v>38</v>
      </c>
      <c r="Q536" s="625"/>
      <c r="R536" s="625"/>
      <c r="S536" s="625"/>
      <c r="T536" s="625"/>
      <c r="U536" s="625"/>
      <c r="V536" s="626"/>
      <c r="W536" s="45" t="s">
        <v>52</v>
      </c>
      <c r="X536" s="42"/>
      <c r="Y536" s="42"/>
      <c r="Z536" s="42">
        <f>IFERROR(Z25+Z37+Z41+Z50+Z59+Z70+Z77+Z82+Z87+Z95+Z102+Z113+Z121+Z128+Z132+Z138+Z143+Z148+Z156+Z162+Z166+Z179+Z185+Z190+Z194+Z203+Z208+Z225+Z230+Z236+Z240+Z246+Z251+Z262+Z277+Z282+Z293+Z297+Z301+Z309+Z318+Z325+Z334+Z339+Z346+Z356+Z366+Z373+Z379+Z386+Z392+Z399+Z412+Z418+Z423+Z427+Z433+Z437+Z443+Z454+Z459+Z464+Z470+Z484+Z490+Z500+Z506+Z510+Z515+Z519+Z524+Z529,"0")</f>
        <v>17.211339999999996</v>
      </c>
      <c r="AA536" s="67"/>
      <c r="AB536" s="67"/>
      <c r="AC536" s="67"/>
    </row>
    <row r="537" spans="1:32" ht="13.8" thickBot="1" x14ac:dyDescent="0.3"/>
    <row r="538" spans="1:32" ht="28.8" thickTop="1" thickBot="1" x14ac:dyDescent="0.3">
      <c r="A538" s="46" t="s">
        <v>9</v>
      </c>
      <c r="B538" s="85" t="s">
        <v>76</v>
      </c>
      <c r="C538" s="85" t="s">
        <v>45</v>
      </c>
      <c r="D538" s="610" t="s">
        <v>137</v>
      </c>
      <c r="E538" s="610" t="s">
        <v>137</v>
      </c>
      <c r="F538" s="610" t="s">
        <v>137</v>
      </c>
      <c r="G538" s="610" t="s">
        <v>137</v>
      </c>
      <c r="H538" s="610" t="s">
        <v>137</v>
      </c>
      <c r="I538" s="610" t="s">
        <v>137</v>
      </c>
      <c r="J538" s="610" t="s">
        <v>137</v>
      </c>
      <c r="K538" s="610" t="s">
        <v>344</v>
      </c>
      <c r="L538" s="610" t="s">
        <v>344</v>
      </c>
      <c r="M538" s="610" t="s">
        <v>344</v>
      </c>
      <c r="N538" s="611"/>
      <c r="O538" s="610" t="s">
        <v>344</v>
      </c>
      <c r="P538" s="610" t="s">
        <v>344</v>
      </c>
      <c r="Q538" s="610" t="s">
        <v>344</v>
      </c>
      <c r="R538" s="610" t="s">
        <v>344</v>
      </c>
      <c r="S538" s="610" t="s">
        <v>344</v>
      </c>
      <c r="T538" s="610" t="s">
        <v>344</v>
      </c>
      <c r="U538" s="610" t="s">
        <v>344</v>
      </c>
      <c r="V538" s="610" t="s">
        <v>662</v>
      </c>
      <c r="W538" s="610" t="s">
        <v>662</v>
      </c>
      <c r="X538" s="610" t="s">
        <v>722</v>
      </c>
      <c r="Y538" s="610" t="s">
        <v>722</v>
      </c>
      <c r="Z538" s="85" t="s">
        <v>758</v>
      </c>
      <c r="AA538" s="610" t="s">
        <v>805</v>
      </c>
      <c r="AB538" s="610" t="s">
        <v>805</v>
      </c>
      <c r="AC538" s="60"/>
      <c r="AF538" s="1"/>
    </row>
    <row r="539" spans="1:32" ht="14.25" customHeight="1" thickTop="1" x14ac:dyDescent="0.25">
      <c r="A539" s="612" t="s">
        <v>10</v>
      </c>
      <c r="B539" s="610" t="s">
        <v>76</v>
      </c>
      <c r="C539" s="610" t="s">
        <v>124</v>
      </c>
      <c r="D539" s="610" t="s">
        <v>138</v>
      </c>
      <c r="E539" s="610" t="s">
        <v>154</v>
      </c>
      <c r="F539" s="610" t="s">
        <v>198</v>
      </c>
      <c r="G539" s="610" t="s">
        <v>219</v>
      </c>
      <c r="H539" s="610" t="s">
        <v>261</v>
      </c>
      <c r="I539" s="610" t="s">
        <v>273</v>
      </c>
      <c r="J539" s="610" t="s">
        <v>137</v>
      </c>
      <c r="K539" s="610" t="s">
        <v>345</v>
      </c>
      <c r="L539" s="610" t="s">
        <v>357</v>
      </c>
      <c r="M539" s="610" t="s">
        <v>416</v>
      </c>
      <c r="N539" s="1"/>
      <c r="O539" s="610" t="s">
        <v>484</v>
      </c>
      <c r="P539" s="610" t="s">
        <v>521</v>
      </c>
      <c r="Q539" s="610" t="s">
        <v>537</v>
      </c>
      <c r="R539" s="610" t="s">
        <v>546</v>
      </c>
      <c r="S539" s="610" t="s">
        <v>567</v>
      </c>
      <c r="T539" s="610" t="s">
        <v>577</v>
      </c>
      <c r="U539" s="610" t="s">
        <v>652</v>
      </c>
      <c r="V539" s="610" t="s">
        <v>663</v>
      </c>
      <c r="W539" s="610" t="s">
        <v>706</v>
      </c>
      <c r="X539" s="610" t="s">
        <v>723</v>
      </c>
      <c r="Y539" s="610" t="s">
        <v>746</v>
      </c>
      <c r="Z539" s="610" t="s">
        <v>758</v>
      </c>
      <c r="AA539" s="610" t="s">
        <v>805</v>
      </c>
      <c r="AB539" s="610" t="s">
        <v>826</v>
      </c>
      <c r="AC539" s="60"/>
      <c r="AF539" s="1"/>
    </row>
    <row r="540" spans="1:32" ht="13.8" thickBot="1" x14ac:dyDescent="0.3">
      <c r="A540" s="613"/>
      <c r="B540" s="610"/>
      <c r="C540" s="610"/>
      <c r="D540" s="610"/>
      <c r="E540" s="610"/>
      <c r="F540" s="610"/>
      <c r="G540" s="610"/>
      <c r="H540" s="610"/>
      <c r="I540" s="610"/>
      <c r="J540" s="610"/>
      <c r="K540" s="610"/>
      <c r="L540" s="610"/>
      <c r="M540" s="610"/>
      <c r="N540" s="1"/>
      <c r="O540" s="610"/>
      <c r="P540" s="610"/>
      <c r="Q540" s="610"/>
      <c r="R540" s="610"/>
      <c r="S540" s="610"/>
      <c r="T540" s="610"/>
      <c r="U540" s="610"/>
      <c r="V540" s="610"/>
      <c r="W540" s="610"/>
      <c r="X540" s="610"/>
      <c r="Y540" s="610"/>
      <c r="Z540" s="610"/>
      <c r="AA540" s="610"/>
      <c r="AB540" s="610"/>
      <c r="AC540" s="60"/>
      <c r="AF540" s="1"/>
    </row>
    <row r="541" spans="1:32" ht="15" thickTop="1" thickBot="1" x14ac:dyDescent="0.3">
      <c r="A541" s="46" t="s">
        <v>13</v>
      </c>
      <c r="B541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1" s="52">
        <f>IFERROR(Y46*1,"0")+IFERROR(Y47*1,"0")+IFERROR(Y48*1,"0")+IFERROR(Y49*1,"0")</f>
        <v>0</v>
      </c>
      <c r="D541" s="52">
        <f>IFERROR(Y55*1,"0")+IFERROR(Y56*1,"0")+IFERROR(Y57*1,"0")+IFERROR(Y58*1,"0")</f>
        <v>216</v>
      </c>
      <c r="E541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540</v>
      </c>
      <c r="F541" s="52">
        <f>IFERROR(Y91*1,"0")+IFERROR(Y92*1,"0")+IFERROR(Y93*1,"0")+IFERROR(Y94*1,"0")+IFERROR(Y98*1,"0")+IFERROR(Y99*1,"0")+IFERROR(Y100*1,"0")+IFERROR(Y101*1,"0")</f>
        <v>945</v>
      </c>
      <c r="G541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405</v>
      </c>
      <c r="H541" s="52">
        <f>IFERROR(Y136*1,"0")+IFERROR(Y137*1,"0")+IFERROR(Y141*1,"0")+IFERROR(Y142*1,"0")+IFERROR(Y146*1,"0")+IFERROR(Y147*1,"0")</f>
        <v>0</v>
      </c>
      <c r="I541" s="52">
        <f>IFERROR(Y152*1,"0")+IFERROR(Y153*1,"0")+IFERROR(Y154*1,"0")+IFERROR(Y155*1,"0")</f>
        <v>0</v>
      </c>
      <c r="J541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1" s="52">
        <f>IFERROR(Y199*1,"0")+IFERROR(Y200*1,"0")+IFERROR(Y201*1,"0")+IFERROR(Y202*1,"0")</f>
        <v>0</v>
      </c>
      <c r="L541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1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0</v>
      </c>
      <c r="N541" s="1"/>
      <c r="O541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1" s="52">
        <f>IFERROR(Y313*1,"0")+IFERROR(Y314*1,"0")+IFERROR(Y315*1,"0")+IFERROR(Y316*1,"0")+IFERROR(Y317*1,"0")</f>
        <v>140.4</v>
      </c>
      <c r="Q541" s="52">
        <f>IFERROR(Y322*1,"0")+IFERROR(Y323*1,"0")+IFERROR(Y324*1,"0")</f>
        <v>0</v>
      </c>
      <c r="R541" s="52">
        <f>IFERROR(Y329*1,"0")+IFERROR(Y330*1,"0")+IFERROR(Y331*1,"0")+IFERROR(Y332*1,"0")+IFERROR(Y333*1,"0")+IFERROR(Y337*1,"0")+IFERROR(Y338*1,"0")</f>
        <v>0</v>
      </c>
      <c r="S541" s="52">
        <f>IFERROR(Y343*1,"0")+IFERROR(Y344*1,"0")+IFERROR(Y345*1,"0")</f>
        <v>0</v>
      </c>
      <c r="T541" s="52">
        <f>IFERROR(Y350*1,"0")+IFERROR(Y351*1,"0")+IFERROR(Y352*1,"0")+IFERROR(Y353*1,"0")+IFERROR(Y354*1,"0")+IFERROR(Y355*1,"0")+IFERROR(Y359*1,"0")+IFERROR(Y360*1,"0")+IFERROR(Y361*1,"0")+IFERROR(Y362*1,"0")+IFERROR(Y363*1,"0")+IFERROR(Y364*1,"0")+IFERROR(Y365*1,"0")+IFERROR(Y369*1,"0")+IFERROR(Y370*1,"0")+IFERROR(Y371*1,"0")+IFERROR(Y372*1,"0")+IFERROR(Y376*1,"0")+IFERROR(Y377*1,"0")+IFERROR(Y378*1,"0")+IFERROR(Y382*1,"0")+IFERROR(Y383*1,"0")+IFERROR(Y384*1,"0")+IFERROR(Y385*1,"0")+IFERROR(Y389*1,"0")+IFERROR(Y390*1,"0")+IFERROR(Y391*1,"0")</f>
        <v>5724</v>
      </c>
      <c r="U541" s="52">
        <f>IFERROR(Y396*1,"0")+IFERROR(Y397*1,"0")+IFERROR(Y398*1,"0")</f>
        <v>0</v>
      </c>
      <c r="V541" s="52">
        <f>IFERROR(Y404*1,"0")+IFERROR(Y405*1,"0")+IFERROR(Y406*1,"0")+IFERROR(Y407*1,"0")+IFERROR(Y408*1,"0")+IFERROR(Y409*1,"0")+IFERROR(Y410*1,"0")+IFERROR(Y411*1,"0")+IFERROR(Y415*1,"0")+IFERROR(Y416*1,"0")+IFERROR(Y417*1,"0")+IFERROR(Y421*1,"0")+IFERROR(Y422*1,"0")+IFERROR(Y426*1,"0")</f>
        <v>1800</v>
      </c>
      <c r="W541" s="52">
        <f>IFERROR(Y431*1,"0")+IFERROR(Y432*1,"0")+IFERROR(Y436*1,"0")+IFERROR(Y440*1,"0")+IFERROR(Y441*1,"0")+IFERROR(Y442*1,"0")</f>
        <v>0</v>
      </c>
      <c r="X541" s="52">
        <f>IFERROR(Y448*1,"0")+IFERROR(Y449*1,"0")+IFERROR(Y450*1,"0")+IFERROR(Y451*1,"0")+IFERROR(Y452*1,"0")+IFERROR(Y453*1,"0")+IFERROR(Y457*1,"0")+IFERROR(Y458*1,"0")</f>
        <v>0</v>
      </c>
      <c r="Y541" s="52">
        <f>IFERROR(Y463*1,"0")+IFERROR(Y467*1,"0")+IFERROR(Y468*1,"0")+IFERROR(Y469*1,"0")</f>
        <v>0</v>
      </c>
      <c r="Z541" s="52">
        <f>IFERROR(Y475*1,"0")+IFERROR(Y476*1,"0")+IFERROR(Y477*1,"0")+IFERROR(Y478*1,"0")+IFERROR(Y479*1,"0")+IFERROR(Y480*1,"0")+IFERROR(Y481*1,"0")+IFERROR(Y482*1,"0")+IFERROR(Y483*1,"0")+IFERROR(Y487*1,"0")+IFERROR(Y488*1,"0")+IFERROR(Y489*1,"0")+IFERROR(Y493*1,"0")+IFERROR(Y494*1,"0")+IFERROR(Y495*1,"0")+IFERROR(Y496*1,"0")+IFERROR(Y497*1,"0")+IFERROR(Y498*1,"0")+IFERROR(Y499*1,"0")</f>
        <v>52.800000000000004</v>
      </c>
      <c r="AA541" s="52">
        <f>IFERROR(Y505*1,"0")+IFERROR(Y509*1,"0")+IFERROR(Y513*1,"0")+IFERROR(Y514*1,"0")+IFERROR(Y518*1,"0")+IFERROR(Y522*1,"0")+IFERROR(Y523*1,"0")</f>
        <v>0</v>
      </c>
      <c r="AB541" s="52">
        <f>IFERROR(Y528*1,"0")</f>
        <v>0</v>
      </c>
      <c r="AC541" s="60"/>
      <c r="AF541" s="1"/>
    </row>
  </sheetData>
  <sheetProtection algorithmName="SHA-512" hashValue="yyuTFFsFlhnLMXL5Clbwg+YPSzm3E5K2ZvGQOYlNXkGu3CYiGb55U+Z40Je7nu5sMFxwbyBntuSGs6UIoyBTIA==" saltValue="aSsNWvAKocQ5svwoAvcDag==" spinCount="100000" sheet="1" objects="1" scenarios="1" sort="0" autoFilter="0" pivotTables="0"/>
  <autoFilter ref="A18:AF536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A446:Z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D528:E528"/>
    <mergeCell ref="P528:T528"/>
    <mergeCell ref="P529:V529"/>
    <mergeCell ref="A529:O530"/>
    <mergeCell ref="P530:V530"/>
    <mergeCell ref="P531:V531"/>
    <mergeCell ref="A531:O536"/>
    <mergeCell ref="P532:V532"/>
    <mergeCell ref="P533:V533"/>
    <mergeCell ref="P534:V534"/>
    <mergeCell ref="P535:V535"/>
    <mergeCell ref="P536:V536"/>
    <mergeCell ref="A539:A540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U539:U540"/>
    <mergeCell ref="V539:V540"/>
    <mergeCell ref="W539:W540"/>
    <mergeCell ref="X539:X540"/>
    <mergeCell ref="Y539:Y540"/>
    <mergeCell ref="Z539:Z540"/>
    <mergeCell ref="AA539:AA540"/>
    <mergeCell ref="AB539:AB540"/>
    <mergeCell ref="D538:J538"/>
    <mergeCell ref="K538:U538"/>
    <mergeCell ref="V538:W538"/>
    <mergeCell ref="X538:Y538"/>
    <mergeCell ref="AA538:AB538"/>
    <mergeCell ref="J539:J540"/>
    <mergeCell ref="K539:K540"/>
    <mergeCell ref="L539:L540"/>
    <mergeCell ref="M539:M540"/>
    <mergeCell ref="O539:O540"/>
    <mergeCell ref="P539:P540"/>
    <mergeCell ref="Q539:Q540"/>
    <mergeCell ref="R539:R540"/>
    <mergeCell ref="S539:S540"/>
    <mergeCell ref="T539:T54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830</v>
      </c>
      <c r="H1" s="9"/>
    </row>
    <row r="3" spans="2:8" x14ac:dyDescent="0.25">
      <c r="B3" s="53" t="s">
        <v>831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832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833</v>
      </c>
      <c r="C6" s="53" t="s">
        <v>834</v>
      </c>
      <c r="D6" s="53" t="s">
        <v>835</v>
      </c>
      <c r="E6" s="53" t="s">
        <v>46</v>
      </c>
    </row>
    <row r="7" spans="2:8" x14ac:dyDescent="0.25">
      <c r="B7" s="53" t="s">
        <v>836</v>
      </c>
      <c r="C7" s="53" t="s">
        <v>837</v>
      </c>
      <c r="D7" s="53" t="s">
        <v>838</v>
      </c>
      <c r="E7" s="53" t="s">
        <v>46</v>
      </c>
    </row>
    <row r="8" spans="2:8" x14ac:dyDescent="0.25">
      <c r="B8" s="53" t="s">
        <v>839</v>
      </c>
      <c r="C8" s="53" t="s">
        <v>840</v>
      </c>
      <c r="D8" s="53" t="s">
        <v>841</v>
      </c>
      <c r="E8" s="53" t="s">
        <v>46</v>
      </c>
    </row>
    <row r="10" spans="2:8" x14ac:dyDescent="0.25">
      <c r="B10" s="53" t="s">
        <v>842</v>
      </c>
      <c r="C10" s="53" t="s">
        <v>834</v>
      </c>
      <c r="D10" s="53" t="s">
        <v>46</v>
      </c>
      <c r="E10" s="53" t="s">
        <v>46</v>
      </c>
    </row>
    <row r="12" spans="2:8" x14ac:dyDescent="0.25">
      <c r="B12" s="53" t="s">
        <v>843</v>
      </c>
      <c r="C12" s="53" t="s">
        <v>837</v>
      </c>
      <c r="D12" s="53" t="s">
        <v>46</v>
      </c>
      <c r="E12" s="53" t="s">
        <v>46</v>
      </c>
    </row>
    <row r="14" spans="2:8" x14ac:dyDescent="0.25">
      <c r="B14" s="53" t="s">
        <v>844</v>
      </c>
      <c r="C14" s="53" t="s">
        <v>840</v>
      </c>
      <c r="D14" s="53" t="s">
        <v>46</v>
      </c>
      <c r="E14" s="53" t="s">
        <v>46</v>
      </c>
    </row>
    <row r="16" spans="2:8" x14ac:dyDescent="0.25">
      <c r="B16" s="53" t="s">
        <v>845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846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847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848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849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850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851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852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853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854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855</v>
      </c>
      <c r="C26" s="53" t="s">
        <v>46</v>
      </c>
      <c r="D26" s="53" t="s">
        <v>46</v>
      </c>
      <c r="E26" s="53" t="s">
        <v>46</v>
      </c>
    </row>
  </sheetData>
  <sheetProtection algorithmName="SHA-512" hashValue="JLNQkVz//TeZW/Qq16yV1Umb1gytTxKsqIc9Z6mprRyYZqr08sy1IZsTaPo/ZuhxCUteEtkYOUMvFc1COkp0vQ==" saltValue="bgBRHjdt4ZGLtqLmIwqu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2026-06-25T10:52:31Z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