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3016" windowHeight="8892" tabRatio="420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62913"/>
</workbook>
</file>

<file path=xl/calcChain.xml><?xml version="1.0" encoding="utf-8"?>
<calcChain xmlns="http://schemas.openxmlformats.org/spreadsheetml/2006/main">
  <c r="Q537" i="1" l="1"/>
  <c r="X526" i="1"/>
  <c r="X525" i="1"/>
  <c r="BO524" i="1"/>
  <c r="BM524" i="1"/>
  <c r="Y524" i="1"/>
  <c r="P524" i="1"/>
  <c r="X521" i="1"/>
  <c r="X520" i="1"/>
  <c r="BO519" i="1"/>
  <c r="BM519" i="1"/>
  <c r="Y519" i="1"/>
  <c r="P519" i="1"/>
  <c r="BO518" i="1"/>
  <c r="BM518" i="1"/>
  <c r="Y518" i="1"/>
  <c r="Y521" i="1" s="1"/>
  <c r="P518" i="1"/>
  <c r="X516" i="1"/>
  <c r="Y515" i="1"/>
  <c r="X515" i="1"/>
  <c r="BO514" i="1"/>
  <c r="BM514" i="1"/>
  <c r="Y514" i="1"/>
  <c r="BP514" i="1" s="1"/>
  <c r="P514" i="1"/>
  <c r="X512" i="1"/>
  <c r="Y511" i="1"/>
  <c r="X511" i="1"/>
  <c r="BO510" i="1"/>
  <c r="BM510" i="1"/>
  <c r="Y510" i="1"/>
  <c r="BP510" i="1" s="1"/>
  <c r="P510" i="1"/>
  <c r="BP509" i="1"/>
  <c r="BO509" i="1"/>
  <c r="BN509" i="1"/>
  <c r="BM509" i="1"/>
  <c r="Y509" i="1"/>
  <c r="Z509" i="1" s="1"/>
  <c r="P509" i="1"/>
  <c r="X507" i="1"/>
  <c r="Y506" i="1"/>
  <c r="X506" i="1"/>
  <c r="BO505" i="1"/>
  <c r="BN505" i="1"/>
  <c r="BM505" i="1"/>
  <c r="Y505" i="1"/>
  <c r="Z505" i="1" s="1"/>
  <c r="Z506" i="1" s="1"/>
  <c r="P505" i="1"/>
  <c r="X503" i="1"/>
  <c r="Y502" i="1"/>
  <c r="X502" i="1"/>
  <c r="BO501" i="1"/>
  <c r="BN501" i="1"/>
  <c r="BM501" i="1"/>
  <c r="Y501" i="1"/>
  <c r="Z501" i="1" s="1"/>
  <c r="Z502" i="1" s="1"/>
  <c r="P501" i="1"/>
  <c r="X497" i="1"/>
  <c r="X496" i="1"/>
  <c r="BO495" i="1"/>
  <c r="BN495" i="1"/>
  <c r="BM495" i="1"/>
  <c r="Y495" i="1"/>
  <c r="Z495" i="1" s="1"/>
  <c r="P495" i="1"/>
  <c r="BO494" i="1"/>
  <c r="BM494" i="1"/>
  <c r="Z494" i="1"/>
  <c r="Y494" i="1"/>
  <c r="BP494" i="1" s="1"/>
  <c r="P494" i="1"/>
  <c r="BP493" i="1"/>
  <c r="BO493" i="1"/>
  <c r="BM493" i="1"/>
  <c r="Y493" i="1"/>
  <c r="BN493" i="1" s="1"/>
  <c r="P493" i="1"/>
  <c r="BO492" i="1"/>
  <c r="BM492" i="1"/>
  <c r="Y492" i="1"/>
  <c r="P492" i="1"/>
  <c r="BO491" i="1"/>
  <c r="BM491" i="1"/>
  <c r="Y491" i="1"/>
  <c r="BP491" i="1" s="1"/>
  <c r="P491" i="1"/>
  <c r="BP490" i="1"/>
  <c r="BO490" i="1"/>
  <c r="BN490" i="1"/>
  <c r="BM490" i="1"/>
  <c r="Z490" i="1"/>
  <c r="Y490" i="1"/>
  <c r="P490" i="1"/>
  <c r="BO489" i="1"/>
  <c r="BM489" i="1"/>
  <c r="Y489" i="1"/>
  <c r="BP489" i="1" s="1"/>
  <c r="P489" i="1"/>
  <c r="X487" i="1"/>
  <c r="X486" i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Y486" i="1" s="1"/>
  <c r="P483" i="1"/>
  <c r="Y481" i="1"/>
  <c r="X481" i="1"/>
  <c r="X480" i="1"/>
  <c r="BO479" i="1"/>
  <c r="BM479" i="1"/>
  <c r="Y479" i="1"/>
  <c r="BP479" i="1" s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BP476" i="1"/>
  <c r="BO476" i="1"/>
  <c r="BM476" i="1"/>
  <c r="Y476" i="1"/>
  <c r="BN476" i="1" s="1"/>
  <c r="P476" i="1"/>
  <c r="BO475" i="1"/>
  <c r="BN475" i="1"/>
  <c r="BM475" i="1"/>
  <c r="Y475" i="1"/>
  <c r="Z475" i="1" s="1"/>
  <c r="P475" i="1"/>
  <c r="BO474" i="1"/>
  <c r="BM474" i="1"/>
  <c r="Z474" i="1"/>
  <c r="Y474" i="1"/>
  <c r="BP474" i="1" s="1"/>
  <c r="P474" i="1"/>
  <c r="BP473" i="1"/>
  <c r="BO473" i="1"/>
  <c r="BM473" i="1"/>
  <c r="Y473" i="1"/>
  <c r="BN473" i="1" s="1"/>
  <c r="P473" i="1"/>
  <c r="BO472" i="1"/>
  <c r="BM472" i="1"/>
  <c r="Y472" i="1"/>
  <c r="P472" i="1"/>
  <c r="BP471" i="1"/>
  <c r="BO471" i="1"/>
  <c r="BM471" i="1"/>
  <c r="Y471" i="1"/>
  <c r="P471" i="1"/>
  <c r="X467" i="1"/>
  <c r="Y466" i="1"/>
  <c r="X466" i="1"/>
  <c r="BP465" i="1"/>
  <c r="BO465" i="1"/>
  <c r="BM465" i="1"/>
  <c r="Y465" i="1"/>
  <c r="BN465" i="1" s="1"/>
  <c r="P465" i="1"/>
  <c r="BP464" i="1"/>
  <c r="BO464" i="1"/>
  <c r="BN464" i="1"/>
  <c r="BM464" i="1"/>
  <c r="Z464" i="1"/>
  <c r="Y464" i="1"/>
  <c r="P464" i="1"/>
  <c r="BO463" i="1"/>
  <c r="BM463" i="1"/>
  <c r="Y463" i="1"/>
  <c r="BP463" i="1" s="1"/>
  <c r="P463" i="1"/>
  <c r="X461" i="1"/>
  <c r="X460" i="1"/>
  <c r="BO459" i="1"/>
  <c r="BM459" i="1"/>
  <c r="Y459" i="1"/>
  <c r="Y460" i="1" s="1"/>
  <c r="P459" i="1"/>
  <c r="X456" i="1"/>
  <c r="X455" i="1"/>
  <c r="BO454" i="1"/>
  <c r="BM454" i="1"/>
  <c r="Y454" i="1"/>
  <c r="Y455" i="1" s="1"/>
  <c r="P454" i="1"/>
  <c r="BP453" i="1"/>
  <c r="BO453" i="1"/>
  <c r="BN453" i="1"/>
  <c r="BM453" i="1"/>
  <c r="Z453" i="1"/>
  <c r="Y453" i="1"/>
  <c r="P453" i="1"/>
  <c r="X451" i="1"/>
  <c r="X450" i="1"/>
  <c r="BP449" i="1"/>
  <c r="BO449" i="1"/>
  <c r="BN449" i="1"/>
  <c r="BM449" i="1"/>
  <c r="Z449" i="1"/>
  <c r="Y449" i="1"/>
  <c r="P449" i="1"/>
  <c r="BO448" i="1"/>
  <c r="BM448" i="1"/>
  <c r="Y448" i="1"/>
  <c r="BP448" i="1" s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M445" i="1"/>
  <c r="Y445" i="1"/>
  <c r="BN445" i="1" s="1"/>
  <c r="P445" i="1"/>
  <c r="BO444" i="1"/>
  <c r="BN444" i="1"/>
  <c r="BM444" i="1"/>
  <c r="Y444" i="1"/>
  <c r="Z444" i="1" s="1"/>
  <c r="P444" i="1"/>
  <c r="X440" i="1"/>
  <c r="X439" i="1"/>
  <c r="BO438" i="1"/>
  <c r="BN438" i="1"/>
  <c r="BM438" i="1"/>
  <c r="Y438" i="1"/>
  <c r="Z438" i="1" s="1"/>
  <c r="P438" i="1"/>
  <c r="BO437" i="1"/>
  <c r="BM437" i="1"/>
  <c r="Z437" i="1"/>
  <c r="Y437" i="1"/>
  <c r="BP437" i="1" s="1"/>
  <c r="P437" i="1"/>
  <c r="BP436" i="1"/>
  <c r="BO436" i="1"/>
  <c r="BM436" i="1"/>
  <c r="Y436" i="1"/>
  <c r="BN436" i="1" s="1"/>
  <c r="P436" i="1"/>
  <c r="X434" i="1"/>
  <c r="Y433" i="1"/>
  <c r="X433" i="1"/>
  <c r="BP432" i="1"/>
  <c r="BO432" i="1"/>
  <c r="BM432" i="1"/>
  <c r="Y432" i="1"/>
  <c r="BN432" i="1" s="1"/>
  <c r="P432" i="1"/>
  <c r="X430" i="1"/>
  <c r="X429" i="1"/>
  <c r="BP428" i="1"/>
  <c r="BO428" i="1"/>
  <c r="BM428" i="1"/>
  <c r="Y428" i="1"/>
  <c r="BN428" i="1" s="1"/>
  <c r="P428" i="1"/>
  <c r="BO427" i="1"/>
  <c r="BM427" i="1"/>
  <c r="Y427" i="1"/>
  <c r="P427" i="1"/>
  <c r="X424" i="1"/>
  <c r="X423" i="1"/>
  <c r="BO422" i="1"/>
  <c r="BM422" i="1"/>
  <c r="Y422" i="1"/>
  <c r="P422" i="1"/>
  <c r="X420" i="1"/>
  <c r="X419" i="1"/>
  <c r="BO418" i="1"/>
  <c r="BM418" i="1"/>
  <c r="Y418" i="1"/>
  <c r="P418" i="1"/>
  <c r="BO417" i="1"/>
  <c r="BM417" i="1"/>
  <c r="Z417" i="1"/>
  <c r="Y417" i="1"/>
  <c r="P417" i="1"/>
  <c r="X415" i="1"/>
  <c r="Y414" i="1"/>
  <c r="X414" i="1"/>
  <c r="BO413" i="1"/>
  <c r="BM413" i="1"/>
  <c r="Z413" i="1"/>
  <c r="Y413" i="1"/>
  <c r="BP413" i="1" s="1"/>
  <c r="P413" i="1"/>
  <c r="BP412" i="1"/>
  <c r="BO412" i="1"/>
  <c r="BN412" i="1"/>
  <c r="BM412" i="1"/>
  <c r="Z412" i="1"/>
  <c r="Y412" i="1"/>
  <c r="P412" i="1"/>
  <c r="BO411" i="1"/>
  <c r="BM411" i="1"/>
  <c r="Y411" i="1"/>
  <c r="BP411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Z403" i="1"/>
  <c r="Y403" i="1"/>
  <c r="P403" i="1"/>
  <c r="BP402" i="1"/>
  <c r="BO402" i="1"/>
  <c r="BM402" i="1"/>
  <c r="Y402" i="1"/>
  <c r="BN402" i="1" s="1"/>
  <c r="P402" i="1"/>
  <c r="BO401" i="1"/>
  <c r="BN401" i="1"/>
  <c r="BM401" i="1"/>
  <c r="Y401" i="1"/>
  <c r="Z401" i="1" s="1"/>
  <c r="P401" i="1"/>
  <c r="BO400" i="1"/>
  <c r="BM400" i="1"/>
  <c r="Z400" i="1"/>
  <c r="Y400" i="1"/>
  <c r="Y408" i="1" s="1"/>
  <c r="P400" i="1"/>
  <c r="X396" i="1"/>
  <c r="X395" i="1"/>
  <c r="BO394" i="1"/>
  <c r="BM394" i="1"/>
  <c r="Z394" i="1"/>
  <c r="Y394" i="1"/>
  <c r="BP394" i="1" s="1"/>
  <c r="P394" i="1"/>
  <c r="BP393" i="1"/>
  <c r="BO393" i="1"/>
  <c r="BM393" i="1"/>
  <c r="Y393" i="1"/>
  <c r="BN393" i="1" s="1"/>
  <c r="P393" i="1"/>
  <c r="BO392" i="1"/>
  <c r="BM392" i="1"/>
  <c r="Y392" i="1"/>
  <c r="P392" i="1"/>
  <c r="X389" i="1"/>
  <c r="X388" i="1"/>
  <c r="BO387" i="1"/>
  <c r="BM387" i="1"/>
  <c r="Y387" i="1"/>
  <c r="P387" i="1"/>
  <c r="BO386" i="1"/>
  <c r="BN386" i="1"/>
  <c r="BM386" i="1"/>
  <c r="Z386" i="1"/>
  <c r="Y386" i="1"/>
  <c r="BP386" i="1" s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Y383" i="1" s="1"/>
  <c r="P378" i="1"/>
  <c r="Y376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Z368" i="1" s="1"/>
  <c r="P368" i="1"/>
  <c r="BP367" i="1"/>
  <c r="BO367" i="1"/>
  <c r="BM367" i="1"/>
  <c r="Y367" i="1"/>
  <c r="BN367" i="1" s="1"/>
  <c r="P367" i="1"/>
  <c r="BO366" i="1"/>
  <c r="BN366" i="1"/>
  <c r="BM366" i="1"/>
  <c r="Y366" i="1"/>
  <c r="Z366" i="1" s="1"/>
  <c r="P366" i="1"/>
  <c r="BO365" i="1"/>
  <c r="BM365" i="1"/>
  <c r="Z365" i="1"/>
  <c r="Y365" i="1"/>
  <c r="BP365" i="1" s="1"/>
  <c r="P365" i="1"/>
  <c r="X363" i="1"/>
  <c r="X362" i="1"/>
  <c r="BO361" i="1"/>
  <c r="BM361" i="1"/>
  <c r="Z361" i="1"/>
  <c r="Y361" i="1"/>
  <c r="BP361" i="1" s="1"/>
  <c r="P361" i="1"/>
  <c r="BP360" i="1"/>
  <c r="BO360" i="1"/>
  <c r="BM360" i="1"/>
  <c r="Z360" i="1"/>
  <c r="Y360" i="1"/>
  <c r="BN360" i="1" s="1"/>
  <c r="P360" i="1"/>
  <c r="BO359" i="1"/>
  <c r="BM359" i="1"/>
  <c r="Y359" i="1"/>
  <c r="P359" i="1"/>
  <c r="BO358" i="1"/>
  <c r="BN358" i="1"/>
  <c r="BM358" i="1"/>
  <c r="Z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2" i="1" s="1"/>
  <c r="P356" i="1"/>
  <c r="BP355" i="1"/>
  <c r="BO355" i="1"/>
  <c r="BN355" i="1"/>
  <c r="BM355" i="1"/>
  <c r="Z355" i="1"/>
  <c r="Y355" i="1"/>
  <c r="P355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Y349" i="1"/>
  <c r="Z349" i="1" s="1"/>
  <c r="P349" i="1"/>
  <c r="BO348" i="1"/>
  <c r="BM348" i="1"/>
  <c r="Y348" i="1"/>
  <c r="P348" i="1"/>
  <c r="BP347" i="1"/>
  <c r="BO347" i="1"/>
  <c r="BM347" i="1"/>
  <c r="Y347" i="1"/>
  <c r="BN347" i="1" s="1"/>
  <c r="P347" i="1"/>
  <c r="BO346" i="1"/>
  <c r="BN346" i="1"/>
  <c r="BM346" i="1"/>
  <c r="Y346" i="1"/>
  <c r="Z346" i="1" s="1"/>
  <c r="P346" i="1"/>
  <c r="X343" i="1"/>
  <c r="X342" i="1"/>
  <c r="BO341" i="1"/>
  <c r="BN341" i="1"/>
  <c r="BM341" i="1"/>
  <c r="Y341" i="1"/>
  <c r="Z341" i="1" s="1"/>
  <c r="P341" i="1"/>
  <c r="BO340" i="1"/>
  <c r="BM340" i="1"/>
  <c r="Z340" i="1"/>
  <c r="Y340" i="1"/>
  <c r="BP340" i="1" s="1"/>
  <c r="P340" i="1"/>
  <c r="BP339" i="1"/>
  <c r="BO339" i="1"/>
  <c r="BM339" i="1"/>
  <c r="Z339" i="1"/>
  <c r="Z342" i="1" s="1"/>
  <c r="Y339" i="1"/>
  <c r="BN339" i="1" s="1"/>
  <c r="P339" i="1"/>
  <c r="X336" i="1"/>
  <c r="X335" i="1"/>
  <c r="BP334" i="1"/>
  <c r="BO334" i="1"/>
  <c r="BM334" i="1"/>
  <c r="Z334" i="1"/>
  <c r="Y334" i="1"/>
  <c r="BN334" i="1" s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N328" i="1"/>
  <c r="BM328" i="1"/>
  <c r="Z328" i="1"/>
  <c r="Y328" i="1"/>
  <c r="BP328" i="1" s="1"/>
  <c r="P328" i="1"/>
  <c r="BP327" i="1"/>
  <c r="BO327" i="1"/>
  <c r="BN327" i="1"/>
  <c r="BM327" i="1"/>
  <c r="Z327" i="1"/>
  <c r="Y327" i="1"/>
  <c r="P327" i="1"/>
  <c r="BO326" i="1"/>
  <c r="BM326" i="1"/>
  <c r="Y326" i="1"/>
  <c r="BP326" i="1" s="1"/>
  <c r="P326" i="1"/>
  <c r="BP325" i="1"/>
  <c r="BO325" i="1"/>
  <c r="BN325" i="1"/>
  <c r="BM325" i="1"/>
  <c r="Z325" i="1"/>
  <c r="Y325" i="1"/>
  <c r="Y331" i="1" s="1"/>
  <c r="P325" i="1"/>
  <c r="X322" i="1"/>
  <c r="Y321" i="1"/>
  <c r="X321" i="1"/>
  <c r="BP320" i="1"/>
  <c r="BO320" i="1"/>
  <c r="BN320" i="1"/>
  <c r="BM320" i="1"/>
  <c r="Z320" i="1"/>
  <c r="Y320" i="1"/>
  <c r="P320" i="1"/>
  <c r="BO319" i="1"/>
  <c r="BM319" i="1"/>
  <c r="Y319" i="1"/>
  <c r="BP319" i="1" s="1"/>
  <c r="P319" i="1"/>
  <c r="BP318" i="1"/>
  <c r="BO318" i="1"/>
  <c r="BN318" i="1"/>
  <c r="BM318" i="1"/>
  <c r="Y318" i="1"/>
  <c r="Z318" i="1" s="1"/>
  <c r="P318" i="1"/>
  <c r="X315" i="1"/>
  <c r="X314" i="1"/>
  <c r="BP313" i="1"/>
  <c r="BO313" i="1"/>
  <c r="BN313" i="1"/>
  <c r="BM313" i="1"/>
  <c r="Y313" i="1"/>
  <c r="Z313" i="1" s="1"/>
  <c r="P313" i="1"/>
  <c r="BO312" i="1"/>
  <c r="BM312" i="1"/>
  <c r="Z312" i="1"/>
  <c r="Y312" i="1"/>
  <c r="P312" i="1"/>
  <c r="BP311" i="1"/>
  <c r="BO311" i="1"/>
  <c r="BM311" i="1"/>
  <c r="Y311" i="1"/>
  <c r="BN311" i="1" s="1"/>
  <c r="P311" i="1"/>
  <c r="BO310" i="1"/>
  <c r="BN310" i="1"/>
  <c r="BM310" i="1"/>
  <c r="Y310" i="1"/>
  <c r="Z310" i="1" s="1"/>
  <c r="P310" i="1"/>
  <c r="BO309" i="1"/>
  <c r="BM309" i="1"/>
  <c r="Z309" i="1"/>
  <c r="Y309" i="1"/>
  <c r="P537" i="1" s="1"/>
  <c r="P309" i="1"/>
  <c r="X306" i="1"/>
  <c r="X305" i="1"/>
  <c r="BO304" i="1"/>
  <c r="BM304" i="1"/>
  <c r="Z304" i="1"/>
  <c r="Y304" i="1"/>
  <c r="BP304" i="1" s="1"/>
  <c r="P304" i="1"/>
  <c r="BP303" i="1"/>
  <c r="BO303" i="1"/>
  <c r="BM303" i="1"/>
  <c r="Z303" i="1"/>
  <c r="Y303" i="1"/>
  <c r="BN303" i="1" s="1"/>
  <c r="P303" i="1"/>
  <c r="BO302" i="1"/>
  <c r="BM302" i="1"/>
  <c r="Y302" i="1"/>
  <c r="Y306" i="1" s="1"/>
  <c r="P302" i="1"/>
  <c r="BO301" i="1"/>
  <c r="BN301" i="1"/>
  <c r="BM301" i="1"/>
  <c r="Z301" i="1"/>
  <c r="Y301" i="1"/>
  <c r="BP301" i="1" s="1"/>
  <c r="P301" i="1"/>
  <c r="Y299" i="1"/>
  <c r="X299" i="1"/>
  <c r="Z298" i="1"/>
  <c r="Y298" i="1"/>
  <c r="X298" i="1"/>
  <c r="BO297" i="1"/>
  <c r="BN297" i="1"/>
  <c r="BM297" i="1"/>
  <c r="Z297" i="1"/>
  <c r="Y297" i="1"/>
  <c r="BP297" i="1" s="1"/>
  <c r="P297" i="1"/>
  <c r="Y295" i="1"/>
  <c r="X295" i="1"/>
  <c r="Z294" i="1"/>
  <c r="Y294" i="1"/>
  <c r="X294" i="1"/>
  <c r="BO293" i="1"/>
  <c r="BN293" i="1"/>
  <c r="BM293" i="1"/>
  <c r="Z293" i="1"/>
  <c r="Y293" i="1"/>
  <c r="BP293" i="1" s="1"/>
  <c r="P293" i="1"/>
  <c r="X291" i="1"/>
  <c r="X290" i="1"/>
  <c r="BO289" i="1"/>
  <c r="BN289" i="1"/>
  <c r="BM289" i="1"/>
  <c r="Z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P284" i="1"/>
  <c r="BO284" i="1"/>
  <c r="BN284" i="1"/>
  <c r="BM284" i="1"/>
  <c r="Y284" i="1"/>
  <c r="Z284" i="1" s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M277" i="1"/>
  <c r="Y277" i="1"/>
  <c r="BN277" i="1" s="1"/>
  <c r="P277" i="1"/>
  <c r="X275" i="1"/>
  <c r="Y274" i="1"/>
  <c r="X274" i="1"/>
  <c r="BP273" i="1"/>
  <c r="BO273" i="1"/>
  <c r="BM273" i="1"/>
  <c r="Y273" i="1"/>
  <c r="BN273" i="1" s="1"/>
  <c r="P273" i="1"/>
  <c r="BO272" i="1"/>
  <c r="BN272" i="1"/>
  <c r="BM272" i="1"/>
  <c r="Y272" i="1"/>
  <c r="Z272" i="1" s="1"/>
  <c r="P272" i="1"/>
  <c r="BO271" i="1"/>
  <c r="BM271" i="1"/>
  <c r="Z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Y263" i="1"/>
  <c r="Z263" i="1" s="1"/>
  <c r="P263" i="1"/>
  <c r="BO262" i="1"/>
  <c r="BM262" i="1"/>
  <c r="Y262" i="1"/>
  <c r="P262" i="1"/>
  <c r="X260" i="1"/>
  <c r="X259" i="1"/>
  <c r="BO258" i="1"/>
  <c r="BM258" i="1"/>
  <c r="Z258" i="1"/>
  <c r="Y258" i="1"/>
  <c r="P258" i="1"/>
  <c r="BP257" i="1"/>
  <c r="BO257" i="1"/>
  <c r="BM257" i="1"/>
  <c r="Y257" i="1"/>
  <c r="BN257" i="1" s="1"/>
  <c r="P257" i="1"/>
  <c r="BO256" i="1"/>
  <c r="BN256" i="1"/>
  <c r="BM256" i="1"/>
  <c r="Y256" i="1"/>
  <c r="Z256" i="1" s="1"/>
  <c r="P256" i="1"/>
  <c r="BO255" i="1"/>
  <c r="BM255" i="1"/>
  <c r="Z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P251" i="1"/>
  <c r="BO251" i="1"/>
  <c r="BN251" i="1"/>
  <c r="BM251" i="1"/>
  <c r="Z251" i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Y249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Y243" i="1" s="1"/>
  <c r="P241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Y230" i="1"/>
  <c r="Z230" i="1" s="1"/>
  <c r="P230" i="1"/>
  <c r="X228" i="1"/>
  <c r="X227" i="1"/>
  <c r="BP226" i="1"/>
  <c r="BO226" i="1"/>
  <c r="BN226" i="1"/>
  <c r="BM226" i="1"/>
  <c r="Y226" i="1"/>
  <c r="Z226" i="1" s="1"/>
  <c r="P226" i="1"/>
  <c r="BO225" i="1"/>
  <c r="BM225" i="1"/>
  <c r="Y225" i="1"/>
  <c r="P225" i="1"/>
  <c r="X223" i="1"/>
  <c r="X222" i="1"/>
  <c r="BO221" i="1"/>
  <c r="BM221" i="1"/>
  <c r="Y221" i="1"/>
  <c r="Z221" i="1" s="1"/>
  <c r="P221" i="1"/>
  <c r="BP220" i="1"/>
  <c r="BO220" i="1"/>
  <c r="BM220" i="1"/>
  <c r="Y220" i="1"/>
  <c r="BN220" i="1" s="1"/>
  <c r="P220" i="1"/>
  <c r="BO219" i="1"/>
  <c r="BN219" i="1"/>
  <c r="BM219" i="1"/>
  <c r="Y219" i="1"/>
  <c r="Z219" i="1" s="1"/>
  <c r="P219" i="1"/>
  <c r="BO218" i="1"/>
  <c r="BM218" i="1"/>
  <c r="Z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N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Y210" i="1"/>
  <c r="Z210" i="1" s="1"/>
  <c r="P210" i="1"/>
  <c r="BO209" i="1"/>
  <c r="BM209" i="1"/>
  <c r="Y209" i="1"/>
  <c r="P209" i="1"/>
  <c r="BP208" i="1"/>
  <c r="BO208" i="1"/>
  <c r="BM208" i="1"/>
  <c r="Y208" i="1"/>
  <c r="BN208" i="1" s="1"/>
  <c r="P208" i="1"/>
  <c r="X206" i="1"/>
  <c r="Y205" i="1"/>
  <c r="X205" i="1"/>
  <c r="BP204" i="1"/>
  <c r="BO204" i="1"/>
  <c r="BM204" i="1"/>
  <c r="Y204" i="1"/>
  <c r="P204" i="1"/>
  <c r="X201" i="1"/>
  <c r="Y200" i="1"/>
  <c r="X200" i="1"/>
  <c r="BP199" i="1"/>
  <c r="BO199" i="1"/>
  <c r="BM199" i="1"/>
  <c r="Y199" i="1"/>
  <c r="BN199" i="1" s="1"/>
  <c r="P199" i="1"/>
  <c r="BO198" i="1"/>
  <c r="BN198" i="1"/>
  <c r="BM198" i="1"/>
  <c r="Y198" i="1"/>
  <c r="Z198" i="1" s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Y196" i="1"/>
  <c r="K537" i="1" s="1"/>
  <c r="P196" i="1"/>
  <c r="Y192" i="1"/>
  <c r="X192" i="1"/>
  <c r="Z191" i="1"/>
  <c r="Y191" i="1"/>
  <c r="X191" i="1"/>
  <c r="BP190" i="1"/>
  <c r="BO190" i="1"/>
  <c r="BN190" i="1"/>
  <c r="BM190" i="1"/>
  <c r="Z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3" i="1"/>
  <c r="X182" i="1"/>
  <c r="BO181" i="1"/>
  <c r="BM181" i="1"/>
  <c r="Y181" i="1"/>
  <c r="P181" i="1"/>
  <c r="BP180" i="1"/>
  <c r="BO180" i="1"/>
  <c r="BN180" i="1"/>
  <c r="BM180" i="1"/>
  <c r="Z180" i="1"/>
  <c r="Y180" i="1"/>
  <c r="P180" i="1"/>
  <c r="BP179" i="1"/>
  <c r="BO179" i="1"/>
  <c r="BN179" i="1"/>
  <c r="BM179" i="1"/>
  <c r="Z179" i="1"/>
  <c r="Y179" i="1"/>
  <c r="Y183" i="1" s="1"/>
  <c r="P179" i="1"/>
  <c r="X177" i="1"/>
  <c r="X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Y171" i="1"/>
  <c r="Z171" i="1" s="1"/>
  <c r="P171" i="1"/>
  <c r="BO170" i="1"/>
  <c r="BM170" i="1"/>
  <c r="Y170" i="1"/>
  <c r="P170" i="1"/>
  <c r="BP169" i="1"/>
  <c r="BO169" i="1"/>
  <c r="BM169" i="1"/>
  <c r="Y169" i="1"/>
  <c r="BN169" i="1" s="1"/>
  <c r="P169" i="1"/>
  <c r="BO168" i="1"/>
  <c r="BN168" i="1"/>
  <c r="BM168" i="1"/>
  <c r="Y168" i="1"/>
  <c r="Z168" i="1" s="1"/>
  <c r="P168" i="1"/>
  <c r="BO167" i="1"/>
  <c r="BM167" i="1"/>
  <c r="Z167" i="1"/>
  <c r="Y167" i="1"/>
  <c r="P167" i="1"/>
  <c r="BP166" i="1"/>
  <c r="BO166" i="1"/>
  <c r="BN166" i="1"/>
  <c r="BM166" i="1"/>
  <c r="Z166" i="1"/>
  <c r="Y166" i="1"/>
  <c r="P166" i="1"/>
  <c r="Y164" i="1"/>
  <c r="X164" i="1"/>
  <c r="Z163" i="1"/>
  <c r="Y163" i="1"/>
  <c r="X163" i="1"/>
  <c r="BP162" i="1"/>
  <c r="BO162" i="1"/>
  <c r="BN162" i="1"/>
  <c r="BM162" i="1"/>
  <c r="Z162" i="1"/>
  <c r="Y162" i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Z157" i="1"/>
  <c r="Z159" i="1" s="1"/>
  <c r="Y157" i="1"/>
  <c r="P157" i="1"/>
  <c r="X154" i="1"/>
  <c r="X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Y146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Y145" i="1" s="1"/>
  <c r="P143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Y133" i="1"/>
  <c r="Z133" i="1" s="1"/>
  <c r="P133" i="1"/>
  <c r="Y130" i="1"/>
  <c r="X130" i="1"/>
  <c r="Y129" i="1"/>
  <c r="X129" i="1"/>
  <c r="BP128" i="1"/>
  <c r="BO128" i="1"/>
  <c r="BN128" i="1"/>
  <c r="BM128" i="1"/>
  <c r="Y128" i="1"/>
  <c r="Z128" i="1" s="1"/>
  <c r="Z129" i="1" s="1"/>
  <c r="P128" i="1"/>
  <c r="X126" i="1"/>
  <c r="X125" i="1"/>
  <c r="BP124" i="1"/>
  <c r="BO124" i="1"/>
  <c r="BN124" i="1"/>
  <c r="BM124" i="1"/>
  <c r="Y124" i="1"/>
  <c r="Z124" i="1" s="1"/>
  <c r="P124" i="1"/>
  <c r="BO123" i="1"/>
  <c r="BM123" i="1"/>
  <c r="Z123" i="1"/>
  <c r="Y123" i="1"/>
  <c r="P123" i="1"/>
  <c r="BP122" i="1"/>
  <c r="BO122" i="1"/>
  <c r="BM122" i="1"/>
  <c r="Y122" i="1"/>
  <c r="BN122" i="1" s="1"/>
  <c r="P122" i="1"/>
  <c r="BO121" i="1"/>
  <c r="BN121" i="1"/>
  <c r="BM121" i="1"/>
  <c r="Y121" i="1"/>
  <c r="P121" i="1"/>
  <c r="X119" i="1"/>
  <c r="X118" i="1"/>
  <c r="BO117" i="1"/>
  <c r="BN117" i="1"/>
  <c r="BM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Z114" i="1" s="1"/>
  <c r="P114" i="1"/>
  <c r="BP113" i="1"/>
  <c r="BO113" i="1"/>
  <c r="BN113" i="1"/>
  <c r="BM113" i="1"/>
  <c r="Z113" i="1"/>
  <c r="Y113" i="1"/>
  <c r="P113" i="1"/>
  <c r="BP112" i="1"/>
  <c r="BO112" i="1"/>
  <c r="BN112" i="1"/>
  <c r="BM112" i="1"/>
  <c r="Z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P104" i="1"/>
  <c r="BO104" i="1"/>
  <c r="BN104" i="1"/>
  <c r="BM104" i="1"/>
  <c r="Y104" i="1"/>
  <c r="Z104" i="1" s="1"/>
  <c r="P104" i="1"/>
  <c r="BP103" i="1"/>
  <c r="BO103" i="1"/>
  <c r="BM103" i="1"/>
  <c r="Y103" i="1"/>
  <c r="BN103" i="1" s="1"/>
  <c r="P103" i="1"/>
  <c r="BP102" i="1"/>
  <c r="BO102" i="1"/>
  <c r="BM102" i="1"/>
  <c r="Y102" i="1"/>
  <c r="P102" i="1"/>
  <c r="X99" i="1"/>
  <c r="X98" i="1"/>
  <c r="BO97" i="1"/>
  <c r="BM97" i="1"/>
  <c r="Y97" i="1"/>
  <c r="P97" i="1"/>
  <c r="BO96" i="1"/>
  <c r="BM96" i="1"/>
  <c r="Y96" i="1"/>
  <c r="BN96" i="1" s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X92" i="1"/>
  <c r="X91" i="1"/>
  <c r="BP90" i="1"/>
  <c r="BO90" i="1"/>
  <c r="BN90" i="1"/>
  <c r="BM90" i="1"/>
  <c r="Z90" i="1"/>
  <c r="Y90" i="1"/>
  <c r="P90" i="1"/>
  <c r="BO89" i="1"/>
  <c r="BN89" i="1"/>
  <c r="BM89" i="1"/>
  <c r="Z89" i="1"/>
  <c r="Z91" i="1" s="1"/>
  <c r="Y89" i="1"/>
  <c r="P89" i="1"/>
  <c r="BP88" i="1"/>
  <c r="BO88" i="1"/>
  <c r="BN88" i="1"/>
  <c r="BM88" i="1"/>
  <c r="Z88" i="1"/>
  <c r="Y88" i="1"/>
  <c r="P88" i="1"/>
  <c r="BP87" i="1"/>
  <c r="BO87" i="1"/>
  <c r="BN87" i="1"/>
  <c r="BM87" i="1"/>
  <c r="Z87" i="1"/>
  <c r="Y87" i="1"/>
  <c r="Y92" i="1" s="1"/>
  <c r="P87" i="1"/>
  <c r="X84" i="1"/>
  <c r="X83" i="1"/>
  <c r="BP82" i="1"/>
  <c r="BO82" i="1"/>
  <c r="BN82" i="1"/>
  <c r="BM82" i="1"/>
  <c r="Z82" i="1"/>
  <c r="Y82" i="1"/>
  <c r="P82" i="1"/>
  <c r="BP81" i="1"/>
  <c r="BO81" i="1"/>
  <c r="BM81" i="1"/>
  <c r="Y81" i="1"/>
  <c r="P81" i="1"/>
  <c r="X79" i="1"/>
  <c r="X78" i="1"/>
  <c r="BO77" i="1"/>
  <c r="BM77" i="1"/>
  <c r="Z77" i="1"/>
  <c r="Y77" i="1"/>
  <c r="BN77" i="1" s="1"/>
  <c r="P77" i="1"/>
  <c r="BO76" i="1"/>
  <c r="BM76" i="1"/>
  <c r="Y76" i="1"/>
  <c r="Y78" i="1" s="1"/>
  <c r="P76" i="1"/>
  <c r="X74" i="1"/>
  <c r="Y73" i="1"/>
  <c r="X73" i="1"/>
  <c r="BO72" i="1"/>
  <c r="BM72" i="1"/>
  <c r="Z72" i="1"/>
  <c r="Y72" i="1"/>
  <c r="BP72" i="1" s="1"/>
  <c r="P72" i="1"/>
  <c r="BO71" i="1"/>
  <c r="BM71" i="1"/>
  <c r="Z71" i="1"/>
  <c r="Y71" i="1"/>
  <c r="BP71" i="1" s="1"/>
  <c r="P71" i="1"/>
  <c r="BP70" i="1"/>
  <c r="BO70" i="1"/>
  <c r="BN70" i="1"/>
  <c r="BM70" i="1"/>
  <c r="Y70" i="1"/>
  <c r="Z70" i="1" s="1"/>
  <c r="P70" i="1"/>
  <c r="BO69" i="1"/>
  <c r="BN69" i="1"/>
  <c r="BM69" i="1"/>
  <c r="Y69" i="1"/>
  <c r="P69" i="1"/>
  <c r="X67" i="1"/>
  <c r="X66" i="1"/>
  <c r="BO65" i="1"/>
  <c r="BM65" i="1"/>
  <c r="Y65" i="1"/>
  <c r="BN65" i="1" s="1"/>
  <c r="P65" i="1"/>
  <c r="BO64" i="1"/>
  <c r="BM64" i="1"/>
  <c r="Y64" i="1"/>
  <c r="P64" i="1"/>
  <c r="BP63" i="1"/>
  <c r="BO63" i="1"/>
  <c r="BM63" i="1"/>
  <c r="Y63" i="1"/>
  <c r="Z63" i="1" s="1"/>
  <c r="P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BN60" i="1" s="1"/>
  <c r="P60" i="1"/>
  <c r="BP59" i="1"/>
  <c r="BO59" i="1"/>
  <c r="BN59" i="1"/>
  <c r="BM59" i="1"/>
  <c r="Z59" i="1"/>
  <c r="Y59" i="1"/>
  <c r="P59" i="1"/>
  <c r="X56" i="1"/>
  <c r="Y55" i="1"/>
  <c r="X55" i="1"/>
  <c r="BP54" i="1"/>
  <c r="BO54" i="1"/>
  <c r="BN54" i="1"/>
  <c r="BM54" i="1"/>
  <c r="Z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D537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Y43" i="1"/>
  <c r="Z43" i="1" s="1"/>
  <c r="P43" i="1"/>
  <c r="BO42" i="1"/>
  <c r="BM42" i="1"/>
  <c r="Y42" i="1"/>
  <c r="C537" i="1" s="1"/>
  <c r="P42" i="1"/>
  <c r="Y38" i="1"/>
  <c r="X38" i="1"/>
  <c r="X37" i="1"/>
  <c r="BO36" i="1"/>
  <c r="BM36" i="1"/>
  <c r="Y36" i="1"/>
  <c r="Y37" i="1" s="1"/>
  <c r="P36" i="1"/>
  <c r="X34" i="1"/>
  <c r="X33" i="1"/>
  <c r="BO32" i="1"/>
  <c r="BN32" i="1"/>
  <c r="BM32" i="1"/>
  <c r="Y32" i="1"/>
  <c r="BP32" i="1" s="1"/>
  <c r="P32" i="1"/>
  <c r="BO31" i="1"/>
  <c r="BM31" i="1"/>
  <c r="Y31" i="1"/>
  <c r="P31" i="1"/>
  <c r="BO30" i="1"/>
  <c r="BN30" i="1"/>
  <c r="BM30" i="1"/>
  <c r="Y30" i="1"/>
  <c r="Z30" i="1" s="1"/>
  <c r="P30" i="1"/>
  <c r="BO29" i="1"/>
  <c r="BM29" i="1"/>
  <c r="Z29" i="1"/>
  <c r="Y29" i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X25" i="1"/>
  <c r="X24" i="1"/>
  <c r="BO23" i="1"/>
  <c r="BM23" i="1"/>
  <c r="X528" i="1" s="1"/>
  <c r="X530" i="1" s="1"/>
  <c r="Y23" i="1"/>
  <c r="Z23" i="1" s="1"/>
  <c r="P23" i="1"/>
  <c r="BP22" i="1"/>
  <c r="BO22" i="1"/>
  <c r="X529" i="1" s="1"/>
  <c r="BN22" i="1"/>
  <c r="BM22" i="1"/>
  <c r="Z22" i="1"/>
  <c r="Z24" i="1" s="1"/>
  <c r="Y22" i="1"/>
  <c r="P22" i="1"/>
  <c r="H10" i="1"/>
  <c r="A9" i="1"/>
  <c r="J9" i="1" s="1"/>
  <c r="D7" i="1"/>
  <c r="Q6" i="1"/>
  <c r="P2" i="1"/>
  <c r="Y395" i="1" l="1"/>
  <c r="BP392" i="1"/>
  <c r="U537" i="1"/>
  <c r="BN392" i="1"/>
  <c r="Z392" i="1"/>
  <c r="BP446" i="1"/>
  <c r="Y450" i="1"/>
  <c r="BN446" i="1"/>
  <c r="AB537" i="1"/>
  <c r="Y526" i="1"/>
  <c r="Y525" i="1"/>
  <c r="BP524" i="1"/>
  <c r="BN524" i="1"/>
  <c r="F9" i="1"/>
  <c r="Z27" i="1"/>
  <c r="BP29" i="1"/>
  <c r="BN29" i="1"/>
  <c r="BP65" i="1"/>
  <c r="Z76" i="1"/>
  <c r="Z78" i="1" s="1"/>
  <c r="Y98" i="1"/>
  <c r="Z121" i="1"/>
  <c r="Y126" i="1"/>
  <c r="BP121" i="1"/>
  <c r="Y141" i="1"/>
  <c r="BP138" i="1"/>
  <c r="BN138" i="1"/>
  <c r="Z138" i="1"/>
  <c r="Z140" i="1" s="1"/>
  <c r="Z152" i="1"/>
  <c r="BP216" i="1"/>
  <c r="BN216" i="1"/>
  <c r="Z216" i="1"/>
  <c r="Z446" i="1"/>
  <c r="Z524" i="1"/>
  <c r="Z525" i="1" s="1"/>
  <c r="Z42" i="1"/>
  <c r="Z46" i="1" s="1"/>
  <c r="Z60" i="1"/>
  <c r="BP62" i="1"/>
  <c r="BN62" i="1"/>
  <c r="Y67" i="1"/>
  <c r="BN72" i="1"/>
  <c r="O537" i="1"/>
  <c r="BP283" i="1"/>
  <c r="Y291" i="1"/>
  <c r="BN283" i="1"/>
  <c r="BP114" i="1"/>
  <c r="Y118" i="1"/>
  <c r="BN64" i="1"/>
  <c r="Z64" i="1"/>
  <c r="BP221" i="1"/>
  <c r="BN221" i="1"/>
  <c r="BP368" i="1"/>
  <c r="BN368" i="1"/>
  <c r="Y396" i="1"/>
  <c r="A10" i="1"/>
  <c r="F10" i="1"/>
  <c r="Z36" i="1"/>
  <c r="Z37" i="1" s="1"/>
  <c r="Z44" i="1"/>
  <c r="Z62" i="1"/>
  <c r="BP76" i="1"/>
  <c r="BN81" i="1"/>
  <c r="Y83" i="1"/>
  <c r="Y110" i="1"/>
  <c r="BN102" i="1"/>
  <c r="Y109" i="1"/>
  <c r="Z102" i="1"/>
  <c r="Z109" i="1" s="1"/>
  <c r="G537" i="1"/>
  <c r="Y135" i="1"/>
  <c r="BP134" i="1"/>
  <c r="BN134" i="1"/>
  <c r="Z134" i="1"/>
  <c r="Z135" i="1" s="1"/>
  <c r="Y188" i="1"/>
  <c r="BP185" i="1"/>
  <c r="BN185" i="1"/>
  <c r="Y187" i="1"/>
  <c r="Z185" i="1"/>
  <c r="Z187" i="1" s="1"/>
  <c r="Z283" i="1"/>
  <c r="Z290" i="1" s="1"/>
  <c r="Z537" i="1"/>
  <c r="BP519" i="1"/>
  <c r="BN519" i="1"/>
  <c r="Y33" i="1"/>
  <c r="W537" i="1"/>
  <c r="Y430" i="1"/>
  <c r="BP427" i="1"/>
  <c r="BN427" i="1"/>
  <c r="Y429" i="1"/>
  <c r="Z427" i="1"/>
  <c r="Z429" i="1" s="1"/>
  <c r="Y25" i="1"/>
  <c r="BP23" i="1"/>
  <c r="Y529" i="1" s="1"/>
  <c r="Z96" i="1"/>
  <c r="BP96" i="1"/>
  <c r="BN23" i="1"/>
  <c r="Z32" i="1"/>
  <c r="BN42" i="1"/>
  <c r="Y46" i="1"/>
  <c r="Y56" i="1"/>
  <c r="BP64" i="1"/>
  <c r="Y74" i="1"/>
  <c r="Z81" i="1"/>
  <c r="Z83" i="1" s="1"/>
  <c r="Z117" i="1"/>
  <c r="Z118" i="1" s="1"/>
  <c r="BP117" i="1"/>
  <c r="Y154" i="1"/>
  <c r="BP149" i="1"/>
  <c r="Y153" i="1"/>
  <c r="BN149" i="1"/>
  <c r="I537" i="1"/>
  <c r="Z149" i="1"/>
  <c r="BP262" i="1"/>
  <c r="Y275" i="1"/>
  <c r="BN262" i="1"/>
  <c r="BP348" i="1"/>
  <c r="Y352" i="1"/>
  <c r="BN348" i="1"/>
  <c r="BP359" i="1"/>
  <c r="BN359" i="1"/>
  <c r="Z359" i="1"/>
  <c r="Y388" i="1"/>
  <c r="BP387" i="1"/>
  <c r="BN387" i="1"/>
  <c r="Z387" i="1"/>
  <c r="Z388" i="1" s="1"/>
  <c r="Z519" i="1"/>
  <c r="BN31" i="1"/>
  <c r="Z31" i="1"/>
  <c r="Y336" i="1"/>
  <c r="BP333" i="1"/>
  <c r="BN333" i="1"/>
  <c r="Y335" i="1"/>
  <c r="Z333" i="1"/>
  <c r="Z335" i="1" s="1"/>
  <c r="BN36" i="1"/>
  <c r="BN44" i="1"/>
  <c r="Z52" i="1"/>
  <c r="Z55" i="1" s="1"/>
  <c r="Z69" i="1"/>
  <c r="Z73" i="1" s="1"/>
  <c r="Y84" i="1"/>
  <c r="Y177" i="1"/>
  <c r="Z262" i="1"/>
  <c r="Y290" i="1"/>
  <c r="Z348" i="1"/>
  <c r="Z362" i="1"/>
  <c r="Y66" i="1"/>
  <c r="BP60" i="1"/>
  <c r="Y79" i="1"/>
  <c r="B537" i="1"/>
  <c r="J537" i="1"/>
  <c r="Y160" i="1"/>
  <c r="BP157" i="1"/>
  <c r="Y159" i="1"/>
  <c r="BP174" i="1"/>
  <c r="BN174" i="1"/>
  <c r="Z174" i="1"/>
  <c r="L537" i="1"/>
  <c r="BP329" i="1"/>
  <c r="BN329" i="1"/>
  <c r="Z329" i="1"/>
  <c r="BP403" i="1"/>
  <c r="BN403" i="1"/>
  <c r="Y424" i="1"/>
  <c r="Y423" i="1"/>
  <c r="BP422" i="1"/>
  <c r="BN422" i="1"/>
  <c r="Z422" i="1"/>
  <c r="Z423" i="1" s="1"/>
  <c r="H9" i="1"/>
  <c r="Y34" i="1"/>
  <c r="BP31" i="1"/>
  <c r="BN76" i="1"/>
  <c r="BN114" i="1"/>
  <c r="BN152" i="1"/>
  <c r="X531" i="1"/>
  <c r="BP42" i="1"/>
  <c r="BN97" i="1"/>
  <c r="Z97" i="1"/>
  <c r="BP36" i="1"/>
  <c r="Z65" i="1"/>
  <c r="BP107" i="1"/>
  <c r="BN107" i="1"/>
  <c r="Z107" i="1"/>
  <c r="BP172" i="1"/>
  <c r="BN172" i="1"/>
  <c r="Z172" i="1"/>
  <c r="Y260" i="1"/>
  <c r="Y259" i="1"/>
  <c r="BP253" i="1"/>
  <c r="BN253" i="1"/>
  <c r="Z253" i="1"/>
  <c r="Z259" i="1" s="1"/>
  <c r="Y280" i="1"/>
  <c r="BP278" i="1"/>
  <c r="BN278" i="1"/>
  <c r="Y420" i="1"/>
  <c r="E537" i="1"/>
  <c r="BP492" i="1"/>
  <c r="BN492" i="1"/>
  <c r="Z492" i="1"/>
  <c r="Y47" i="1"/>
  <c r="BN52" i="1"/>
  <c r="Z66" i="1"/>
  <c r="X527" i="1"/>
  <c r="BP30" i="1"/>
  <c r="BN71" i="1"/>
  <c r="BP105" i="1"/>
  <c r="BN105" i="1"/>
  <c r="Z105" i="1"/>
  <c r="Y119" i="1"/>
  <c r="Y125" i="1"/>
  <c r="BP144" i="1"/>
  <c r="BN144" i="1"/>
  <c r="Z144" i="1"/>
  <c r="Z145" i="1" s="1"/>
  <c r="BP170" i="1"/>
  <c r="BN170" i="1"/>
  <c r="Y223" i="1"/>
  <c r="BP209" i="1"/>
  <c r="BN209" i="1"/>
  <c r="Y228" i="1"/>
  <c r="BP225" i="1"/>
  <c r="BN225" i="1"/>
  <c r="Y227" i="1"/>
  <c r="BP269" i="1"/>
  <c r="BN269" i="1"/>
  <c r="Z269" i="1"/>
  <c r="Z278" i="1"/>
  <c r="Y363" i="1"/>
  <c r="Y375" i="1"/>
  <c r="BP372" i="1"/>
  <c r="BN372" i="1"/>
  <c r="BP472" i="1"/>
  <c r="BN472" i="1"/>
  <c r="Z472" i="1"/>
  <c r="BP477" i="1"/>
  <c r="BN477" i="1"/>
  <c r="Y305" i="1"/>
  <c r="BP302" i="1"/>
  <c r="BN302" i="1"/>
  <c r="Z302" i="1"/>
  <c r="Z305" i="1" s="1"/>
  <c r="Y419" i="1"/>
  <c r="BP418" i="1"/>
  <c r="BN418" i="1"/>
  <c r="Z418" i="1"/>
  <c r="Z419" i="1" s="1"/>
  <c r="BN27" i="1"/>
  <c r="BN63" i="1"/>
  <c r="Y528" i="1" s="1"/>
  <c r="Y530" i="1" s="1"/>
  <c r="BP69" i="1"/>
  <c r="BP77" i="1"/>
  <c r="BP89" i="1"/>
  <c r="Y91" i="1"/>
  <c r="BP97" i="1"/>
  <c r="Z103" i="1"/>
  <c r="BP123" i="1"/>
  <c r="BN123" i="1"/>
  <c r="Y136" i="1"/>
  <c r="BN157" i="1"/>
  <c r="Z170" i="1"/>
  <c r="BP181" i="1"/>
  <c r="BN181" i="1"/>
  <c r="Z181" i="1"/>
  <c r="Z182" i="1" s="1"/>
  <c r="Z209" i="1"/>
  <c r="Z225" i="1"/>
  <c r="Z227" i="1" s="1"/>
  <c r="BP258" i="1"/>
  <c r="BN258" i="1"/>
  <c r="BP312" i="1"/>
  <c r="BN312" i="1"/>
  <c r="Z372" i="1"/>
  <c r="Z375" i="1" s="1"/>
  <c r="Z477" i="1"/>
  <c r="R537" i="1"/>
  <c r="Y244" i="1"/>
  <c r="Y314" i="1"/>
  <c r="Y409" i="1"/>
  <c r="Y456" i="1"/>
  <c r="Y461" i="1"/>
  <c r="Y487" i="1"/>
  <c r="F537" i="1"/>
  <c r="S537" i="1"/>
  <c r="Y99" i="1"/>
  <c r="BP168" i="1"/>
  <c r="BP198" i="1"/>
  <c r="Y201" i="1"/>
  <c r="Y206" i="1"/>
  <c r="Z211" i="1"/>
  <c r="BP219" i="1"/>
  <c r="Z231" i="1"/>
  <c r="Z233" i="1" s="1"/>
  <c r="BP256" i="1"/>
  <c r="Z264" i="1"/>
  <c r="BP272" i="1"/>
  <c r="Z285" i="1"/>
  <c r="BP310" i="1"/>
  <c r="Z319" i="1"/>
  <c r="Z321" i="1" s="1"/>
  <c r="BP341" i="1"/>
  <c r="BP346" i="1"/>
  <c r="Z350" i="1"/>
  <c r="BP366" i="1"/>
  <c r="Z374" i="1"/>
  <c r="Z378" i="1"/>
  <c r="BP401" i="1"/>
  <c r="Z405" i="1"/>
  <c r="BP438" i="1"/>
  <c r="BP444" i="1"/>
  <c r="Z448" i="1"/>
  <c r="BP475" i="1"/>
  <c r="Z479" i="1"/>
  <c r="Z483" i="1"/>
  <c r="BP495" i="1"/>
  <c r="BP501" i="1"/>
  <c r="BP505" i="1"/>
  <c r="Y512" i="1"/>
  <c r="Y516" i="1"/>
  <c r="T537" i="1"/>
  <c r="Y233" i="1"/>
  <c r="Y415" i="1"/>
  <c r="Y467" i="1"/>
  <c r="H537" i="1"/>
  <c r="BN211" i="1"/>
  <c r="Z213" i="1"/>
  <c r="BN231" i="1"/>
  <c r="Z242" i="1"/>
  <c r="Z243" i="1" s="1"/>
  <c r="Z246" i="1"/>
  <c r="Z248" i="1" s="1"/>
  <c r="BN264" i="1"/>
  <c r="Z266" i="1"/>
  <c r="BN285" i="1"/>
  <c r="Z287" i="1"/>
  <c r="Y315" i="1"/>
  <c r="BN319" i="1"/>
  <c r="Z326" i="1"/>
  <c r="Z330" i="1" s="1"/>
  <c r="Y342" i="1"/>
  <c r="BN350" i="1"/>
  <c r="Z356" i="1"/>
  <c r="BN374" i="1"/>
  <c r="BN378" i="1"/>
  <c r="Z380" i="1"/>
  <c r="BN405" i="1"/>
  <c r="Z407" i="1"/>
  <c r="Z411" i="1"/>
  <c r="Z414" i="1" s="1"/>
  <c r="Y439" i="1"/>
  <c r="BN448" i="1"/>
  <c r="Z454" i="1"/>
  <c r="Z455" i="1" s="1"/>
  <c r="Z459" i="1"/>
  <c r="Z460" i="1" s="1"/>
  <c r="Z463" i="1"/>
  <c r="BN479" i="1"/>
  <c r="BN483" i="1"/>
  <c r="Z485" i="1"/>
  <c r="Z489" i="1"/>
  <c r="Y496" i="1"/>
  <c r="V537" i="1"/>
  <c r="BN95" i="1"/>
  <c r="BN116" i="1"/>
  <c r="Z122" i="1"/>
  <c r="BN167" i="1"/>
  <c r="Z169" i="1"/>
  <c r="Z176" i="1" s="1"/>
  <c r="Y176" i="1"/>
  <c r="BN197" i="1"/>
  <c r="Z199" i="1"/>
  <c r="Z200" i="1" s="1"/>
  <c r="Z204" i="1"/>
  <c r="Z205" i="1" s="1"/>
  <c r="Z208" i="1"/>
  <c r="BN218" i="1"/>
  <c r="Z220" i="1"/>
  <c r="Y248" i="1"/>
  <c r="BN255" i="1"/>
  <c r="Z257" i="1"/>
  <c r="BN271" i="1"/>
  <c r="Z273" i="1"/>
  <c r="Z277" i="1"/>
  <c r="Z279" i="1" s="1"/>
  <c r="BN304" i="1"/>
  <c r="BN309" i="1"/>
  <c r="Z311" i="1"/>
  <c r="Z314" i="1" s="1"/>
  <c r="BN340" i="1"/>
  <c r="Z347" i="1"/>
  <c r="Z352" i="1" s="1"/>
  <c r="BN361" i="1"/>
  <c r="BN365" i="1"/>
  <c r="Z367" i="1"/>
  <c r="Z369" i="1" s="1"/>
  <c r="Y382" i="1"/>
  <c r="BN394" i="1"/>
  <c r="BN400" i="1"/>
  <c r="Z402" i="1"/>
  <c r="Z408" i="1" s="1"/>
  <c r="Y434" i="1"/>
  <c r="BN437" i="1"/>
  <c r="Z445" i="1"/>
  <c r="Z450" i="1" s="1"/>
  <c r="BN474" i="1"/>
  <c r="Z476" i="1"/>
  <c r="BN494" i="1"/>
  <c r="Z510" i="1"/>
  <c r="Z511" i="1" s="1"/>
  <c r="Z514" i="1"/>
  <c r="Z515" i="1" s="1"/>
  <c r="Z518" i="1"/>
  <c r="Z520" i="1" s="1"/>
  <c r="BN213" i="1"/>
  <c r="Y222" i="1"/>
  <c r="Y234" i="1"/>
  <c r="BN242" i="1"/>
  <c r="BN246" i="1"/>
  <c r="BN266" i="1"/>
  <c r="Y279" i="1"/>
  <c r="BN287" i="1"/>
  <c r="Y322" i="1"/>
  <c r="BN326" i="1"/>
  <c r="Y353" i="1"/>
  <c r="BN356" i="1"/>
  <c r="Y369" i="1"/>
  <c r="BP378" i="1"/>
  <c r="BN380" i="1"/>
  <c r="BN407" i="1"/>
  <c r="BN411" i="1"/>
  <c r="Y451" i="1"/>
  <c r="BN454" i="1"/>
  <c r="BN459" i="1"/>
  <c r="BN463" i="1"/>
  <c r="Z465" i="1"/>
  <c r="Z471" i="1"/>
  <c r="BP483" i="1"/>
  <c r="BN485" i="1"/>
  <c r="BN489" i="1"/>
  <c r="Z491" i="1"/>
  <c r="Y520" i="1"/>
  <c r="X537" i="1"/>
  <c r="Y24" i="1"/>
  <c r="BP167" i="1"/>
  <c r="Y182" i="1"/>
  <c r="BN204" i="1"/>
  <c r="BP309" i="1"/>
  <c r="Y330" i="1"/>
  <c r="Y343" i="1"/>
  <c r="BP400" i="1"/>
  <c r="Y440" i="1"/>
  <c r="Y497" i="1"/>
  <c r="Y503" i="1"/>
  <c r="Y507" i="1"/>
  <c r="BN510" i="1"/>
  <c r="BN514" i="1"/>
  <c r="BN518" i="1"/>
  <c r="Y537" i="1"/>
  <c r="BP246" i="1"/>
  <c r="BP356" i="1"/>
  <c r="Z393" i="1"/>
  <c r="BN413" i="1"/>
  <c r="BN417" i="1"/>
  <c r="Z428" i="1"/>
  <c r="Z432" i="1"/>
  <c r="Z433" i="1" s="1"/>
  <c r="Z436" i="1"/>
  <c r="Z439" i="1" s="1"/>
  <c r="BP454" i="1"/>
  <c r="BP459" i="1"/>
  <c r="BN471" i="1"/>
  <c r="Z473" i="1"/>
  <c r="Y480" i="1"/>
  <c r="BN491" i="1"/>
  <c r="Z493" i="1"/>
  <c r="M537" i="1"/>
  <c r="Y370" i="1"/>
  <c r="BP518" i="1"/>
  <c r="AA537" i="1"/>
  <c r="BP417" i="1"/>
  <c r="Z395" i="1" l="1"/>
  <c r="Z274" i="1"/>
  <c r="Y527" i="1"/>
  <c r="Z33" i="1"/>
  <c r="Z98" i="1"/>
  <c r="Z480" i="1"/>
  <c r="Z496" i="1"/>
  <c r="Z382" i="1"/>
  <c r="Y531" i="1"/>
  <c r="Z153" i="1"/>
  <c r="Z125" i="1"/>
  <c r="Z222" i="1"/>
  <c r="Z466" i="1"/>
  <c r="Z486" i="1"/>
  <c r="Z532" i="1" l="1"/>
</calcChain>
</file>

<file path=xl/sharedStrings.xml><?xml version="1.0" encoding="utf-8"?>
<sst xmlns="http://schemas.openxmlformats.org/spreadsheetml/2006/main" count="2342" uniqueCount="844">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</sst>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51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80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2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37"/>
  <sheetViews>
    <sheetView showGridLines="0" tabSelected="1" topLeftCell="F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589" customWidth="1"/>
    <col min="2" max="2" width="10.88671875" style="2" customWidth="1"/>
    <col min="3" max="3" width="12.5546875" style="2" customWidth="1"/>
    <col min="4" max="4" width="6.44140625" style="2" customWidth="1"/>
    <col min="5" max="5" width="6.88671875" style="2" customWidth="1"/>
    <col min="6" max="6" width="8.44140625" style="2" customWidth="1"/>
    <col min="7" max="7" width="9.44140625" style="2" customWidth="1"/>
    <col min="8" max="8" width="11.88671875" style="2" customWidth="1"/>
    <col min="9" max="9" width="9.44140625" style="2" customWidth="1"/>
    <col min="10" max="10" width="9.109375" style="3" customWidth="1"/>
    <col min="11" max="12" width="13.88671875" style="3" customWidth="1"/>
    <col min="13" max="13" width="9.44140625" style="3" customWidth="1"/>
    <col min="14" max="14" width="15.88671875" style="3" hidden="1" customWidth="1"/>
    <col min="15" max="15" width="10.44140625" style="2" customWidth="1"/>
    <col min="16" max="16" width="7.44140625" style="1" customWidth="1"/>
    <col min="17" max="17" width="15.5546875" style="1" customWidth="1"/>
    <col min="18" max="18" width="8.109375" style="589" customWidth="1"/>
    <col min="19" max="19" width="6.109375" style="589" customWidth="1"/>
    <col min="20" max="20" width="10.88671875" style="591" customWidth="1"/>
    <col min="21" max="21" width="10.44140625" style="591" customWidth="1"/>
    <col min="22" max="22" width="9.44140625" style="591" customWidth="1"/>
    <col min="23" max="23" width="8.44140625" style="591" customWidth="1"/>
    <col min="24" max="24" width="10" style="589" customWidth="1"/>
    <col min="25" max="25" width="11" style="589" customWidth="1"/>
    <col min="26" max="26" width="10" style="589" customWidth="1"/>
    <col min="27" max="27" width="11.5546875" style="589" customWidth="1"/>
    <col min="28" max="28" width="10.44140625" style="589" customWidth="1"/>
    <col min="29" max="29" width="30" style="589" customWidth="1"/>
    <col min="30" max="30" width="11.44140625" style="7" bestFit="1" customWidth="1"/>
    <col min="31" max="31" width="9.109375" style="7" customWidth="1"/>
    <col min="32" max="32" width="8.88671875" style="7" customWidth="1"/>
    <col min="33" max="33" width="13.5546875" style="589" customWidth="1"/>
    <col min="34" max="35" width="9.109375" style="589" customWidth="1"/>
    <col min="36" max="16384" width="9.109375" style="589"/>
  </cols>
  <sheetData>
    <row r="1" spans="1:32" s="593" customFormat="1" ht="45" customHeight="1" x14ac:dyDescent="0.25">
      <c r="A1" s="42"/>
      <c r="B1" s="42"/>
      <c r="C1" s="42"/>
      <c r="D1" s="861" t="s">
        <v>0</v>
      </c>
      <c r="E1" s="639"/>
      <c r="F1" s="639"/>
      <c r="G1" s="12" t="s">
        <v>1</v>
      </c>
      <c r="H1" s="861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916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5"/>
      <c r="AC1" s="55"/>
      <c r="AD1" s="55"/>
      <c r="AE1" s="55"/>
      <c r="AF1" s="55"/>
    </row>
    <row r="2" spans="1:32" s="593" customFormat="1" ht="16.5" customHeight="1" x14ac:dyDescent="0.25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7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7"/>
      <c r="R2" s="607"/>
      <c r="S2" s="607"/>
      <c r="T2" s="607"/>
      <c r="U2" s="607"/>
      <c r="V2" s="607"/>
      <c r="W2" s="607"/>
      <c r="X2" s="16"/>
      <c r="Y2" s="16"/>
      <c r="Z2" s="16"/>
      <c r="AA2" s="16"/>
      <c r="AB2" s="54"/>
      <c r="AC2" s="54"/>
      <c r="AD2" s="54"/>
      <c r="AE2" s="54"/>
    </row>
    <row r="3" spans="1:32" s="593" customFormat="1" ht="11.25" customHeight="1" x14ac:dyDescent="0.25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7"/>
      <c r="Q3" s="607"/>
      <c r="R3" s="607"/>
      <c r="S3" s="607"/>
      <c r="T3" s="607"/>
      <c r="U3" s="607"/>
      <c r="V3" s="607"/>
      <c r="W3" s="607"/>
      <c r="X3" s="16"/>
      <c r="Y3" s="16"/>
      <c r="Z3" s="16"/>
      <c r="AA3" s="16"/>
      <c r="AB3" s="54"/>
      <c r="AC3" s="54"/>
      <c r="AD3" s="54"/>
      <c r="AE3" s="54"/>
    </row>
    <row r="4" spans="1:32" s="593" customFormat="1" ht="9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4"/>
      <c r="AC4" s="54"/>
      <c r="AD4" s="54"/>
      <c r="AE4" s="54"/>
    </row>
    <row r="5" spans="1:32" s="593" customFormat="1" ht="23.4" customHeight="1" x14ac:dyDescent="0.25">
      <c r="A5" s="822" t="s">
        <v>8</v>
      </c>
      <c r="B5" s="618"/>
      <c r="C5" s="619"/>
      <c r="D5" s="710"/>
      <c r="E5" s="712"/>
      <c r="F5" s="665" t="s">
        <v>9</v>
      </c>
      <c r="G5" s="619"/>
      <c r="H5" s="710" t="s">
        <v>843</v>
      </c>
      <c r="I5" s="711"/>
      <c r="J5" s="711"/>
      <c r="K5" s="711"/>
      <c r="L5" s="711"/>
      <c r="M5" s="712"/>
      <c r="N5" s="62"/>
      <c r="P5" s="23" t="s">
        <v>10</v>
      </c>
      <c r="Q5" s="667">
        <v>46200</v>
      </c>
      <c r="R5" s="668"/>
      <c r="T5" s="790" t="s">
        <v>11</v>
      </c>
      <c r="U5" s="728"/>
      <c r="V5" s="793" t="s">
        <v>12</v>
      </c>
      <c r="W5" s="668"/>
      <c r="AB5" s="54"/>
      <c r="AC5" s="54"/>
      <c r="AD5" s="54"/>
      <c r="AE5" s="54"/>
    </row>
    <row r="6" spans="1:32" s="593" customFormat="1" ht="24" customHeight="1" x14ac:dyDescent="0.25">
      <c r="A6" s="822" t="s">
        <v>13</v>
      </c>
      <c r="B6" s="618"/>
      <c r="C6" s="619"/>
      <c r="D6" s="714" t="s">
        <v>14</v>
      </c>
      <c r="E6" s="715"/>
      <c r="F6" s="715"/>
      <c r="G6" s="715"/>
      <c r="H6" s="715"/>
      <c r="I6" s="715"/>
      <c r="J6" s="715"/>
      <c r="K6" s="715"/>
      <c r="L6" s="715"/>
      <c r="M6" s="668"/>
      <c r="N6" s="63"/>
      <c r="P6" s="23" t="s">
        <v>15</v>
      </c>
      <c r="Q6" s="636" t="str">
        <f>IF(Q5=0," ",CHOOSE(WEEKDAY(Q5,2),"Понедельник","Вторник","Среда","Четверг","Пятница","Суббота","Воскресенье"))</f>
        <v>Суббота</v>
      </c>
      <c r="R6" s="602"/>
      <c r="T6" s="801" t="s">
        <v>16</v>
      </c>
      <c r="U6" s="728"/>
      <c r="V6" s="732" t="s">
        <v>17</v>
      </c>
      <c r="W6" s="733"/>
      <c r="AB6" s="54"/>
      <c r="AC6" s="54"/>
      <c r="AD6" s="54"/>
      <c r="AE6" s="54"/>
    </row>
    <row r="7" spans="1:32" s="593" customFormat="1" ht="21.75" hidden="1" customHeight="1" x14ac:dyDescent="0.25">
      <c r="A7" s="58"/>
      <c r="B7" s="58"/>
      <c r="C7" s="58"/>
      <c r="D7" s="891" t="str">
        <f>IFERROR(VLOOKUP(DeliveryAddress,Table,3,0),1)</f>
        <v>3</v>
      </c>
      <c r="E7" s="892"/>
      <c r="F7" s="892"/>
      <c r="G7" s="892"/>
      <c r="H7" s="892"/>
      <c r="I7" s="892"/>
      <c r="J7" s="892"/>
      <c r="K7" s="892"/>
      <c r="L7" s="892"/>
      <c r="M7" s="796"/>
      <c r="N7" s="64"/>
      <c r="P7" s="23"/>
      <c r="Q7" s="43"/>
      <c r="R7" s="43"/>
      <c r="T7" s="607"/>
      <c r="U7" s="728"/>
      <c r="V7" s="734"/>
      <c r="W7" s="735"/>
      <c r="AB7" s="54"/>
      <c r="AC7" s="54"/>
      <c r="AD7" s="54"/>
      <c r="AE7" s="54"/>
    </row>
    <row r="8" spans="1:32" s="593" customFormat="1" ht="25.5" customHeight="1" x14ac:dyDescent="0.25">
      <c r="A8" s="621" t="s">
        <v>18</v>
      </c>
      <c r="B8" s="622"/>
      <c r="C8" s="623"/>
      <c r="D8" s="901"/>
      <c r="E8" s="902"/>
      <c r="F8" s="902"/>
      <c r="G8" s="902"/>
      <c r="H8" s="902"/>
      <c r="I8" s="902"/>
      <c r="J8" s="902"/>
      <c r="K8" s="902"/>
      <c r="L8" s="902"/>
      <c r="M8" s="903"/>
      <c r="N8" s="65"/>
      <c r="P8" s="23" t="s">
        <v>19</v>
      </c>
      <c r="Q8" s="795">
        <v>0.54166666666666663</v>
      </c>
      <c r="R8" s="796"/>
      <c r="T8" s="607"/>
      <c r="U8" s="728"/>
      <c r="V8" s="734"/>
      <c r="W8" s="735"/>
      <c r="AB8" s="54"/>
      <c r="AC8" s="54"/>
      <c r="AD8" s="54"/>
      <c r="AE8" s="54"/>
    </row>
    <row r="9" spans="1:32" s="593" customFormat="1" ht="39.9" customHeight="1" x14ac:dyDescent="0.25">
      <c r="A9" s="6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7"/>
      <c r="C9" s="607"/>
      <c r="D9" s="680"/>
      <c r="E9" s="681"/>
      <c r="F9" s="6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7"/>
      <c r="H9" s="763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7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590"/>
      <c r="P9" s="26" t="s">
        <v>20</v>
      </c>
      <c r="Q9" s="836"/>
      <c r="R9" s="653"/>
      <c r="T9" s="607"/>
      <c r="U9" s="728"/>
      <c r="V9" s="736"/>
      <c r="W9" s="737"/>
      <c r="X9" s="44"/>
      <c r="Y9" s="44"/>
      <c r="Z9" s="44"/>
      <c r="AA9" s="44"/>
      <c r="AB9" s="54"/>
      <c r="AC9" s="54"/>
      <c r="AD9" s="54"/>
      <c r="AE9" s="54"/>
    </row>
    <row r="10" spans="1:32" s="593" customFormat="1" ht="26.4" customHeight="1" x14ac:dyDescent="0.25">
      <c r="A10" s="6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7"/>
      <c r="C10" s="607"/>
      <c r="D10" s="680"/>
      <c r="E10" s="681"/>
      <c r="F10" s="6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7"/>
      <c r="H10" s="746" t="str">
        <f>IFERROR(VLOOKUP($D$10,Proxy,2,FALSE),"")</f>
        <v/>
      </c>
      <c r="I10" s="607"/>
      <c r="J10" s="607"/>
      <c r="K10" s="607"/>
      <c r="L10" s="607"/>
      <c r="M10" s="607"/>
      <c r="N10" s="595"/>
      <c r="P10" s="26" t="s">
        <v>21</v>
      </c>
      <c r="Q10" s="781"/>
      <c r="R10" s="782"/>
      <c r="U10" s="23" t="s">
        <v>22</v>
      </c>
      <c r="V10" s="939" t="s">
        <v>23</v>
      </c>
      <c r="W10" s="733"/>
      <c r="X10" s="45"/>
      <c r="Y10" s="45"/>
      <c r="Z10" s="45"/>
      <c r="AA10" s="45"/>
      <c r="AB10" s="54"/>
      <c r="AC10" s="54"/>
      <c r="AD10" s="54"/>
      <c r="AE10" s="54"/>
    </row>
    <row r="11" spans="1:32" s="593" customFormat="1" ht="15.9" customHeight="1" x14ac:dyDescent="0.25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38"/>
      <c r="R11" s="668"/>
      <c r="U11" s="23" t="s">
        <v>26</v>
      </c>
      <c r="V11" s="652" t="s">
        <v>27</v>
      </c>
      <c r="W11" s="653"/>
      <c r="X11" s="46"/>
      <c r="Y11" s="46"/>
      <c r="Z11" s="46"/>
      <c r="AA11" s="46"/>
      <c r="AB11" s="54"/>
      <c r="AC11" s="54"/>
      <c r="AD11" s="54"/>
      <c r="AE11" s="54"/>
    </row>
    <row r="12" spans="1:32" s="593" customFormat="1" ht="18.600000000000001" customHeight="1" x14ac:dyDescent="0.25">
      <c r="A12" s="768" t="s">
        <v>28</v>
      </c>
      <c r="B12" s="618"/>
      <c r="C12" s="618"/>
      <c r="D12" s="618"/>
      <c r="E12" s="618"/>
      <c r="F12" s="618"/>
      <c r="G12" s="618"/>
      <c r="H12" s="618"/>
      <c r="I12" s="618"/>
      <c r="J12" s="618"/>
      <c r="K12" s="618"/>
      <c r="L12" s="618"/>
      <c r="M12" s="619"/>
      <c r="N12" s="66"/>
      <c r="P12" s="23" t="s">
        <v>29</v>
      </c>
      <c r="Q12" s="795"/>
      <c r="R12" s="796"/>
      <c r="S12" s="24"/>
      <c r="U12" s="23"/>
      <c r="V12" s="639"/>
      <c r="W12" s="607"/>
      <c r="AB12" s="54"/>
      <c r="AC12" s="54"/>
      <c r="AD12" s="54"/>
      <c r="AE12" s="54"/>
    </row>
    <row r="13" spans="1:32" s="593" customFormat="1" ht="23.25" customHeight="1" x14ac:dyDescent="0.25">
      <c r="A13" s="768" t="s">
        <v>30</v>
      </c>
      <c r="B13" s="618"/>
      <c r="C13" s="618"/>
      <c r="D13" s="618"/>
      <c r="E13" s="618"/>
      <c r="F13" s="618"/>
      <c r="G13" s="618"/>
      <c r="H13" s="618"/>
      <c r="I13" s="618"/>
      <c r="J13" s="618"/>
      <c r="K13" s="618"/>
      <c r="L13" s="618"/>
      <c r="M13" s="619"/>
      <c r="N13" s="66"/>
      <c r="O13" s="26"/>
      <c r="P13" s="26" t="s">
        <v>31</v>
      </c>
      <c r="Q13" s="652"/>
      <c r="R13" s="653"/>
      <c r="S13" s="24"/>
      <c r="X13" s="51"/>
      <c r="Y13" s="51"/>
      <c r="Z13" s="51"/>
      <c r="AA13" s="51"/>
      <c r="AB13" s="54"/>
      <c r="AC13" s="54"/>
      <c r="AD13" s="54"/>
      <c r="AE13" s="54"/>
    </row>
    <row r="14" spans="1:32" s="593" customFormat="1" ht="18.600000000000001" customHeight="1" x14ac:dyDescent="0.25">
      <c r="A14" s="768" t="s">
        <v>32</v>
      </c>
      <c r="B14" s="618"/>
      <c r="C14" s="618"/>
      <c r="D14" s="618"/>
      <c r="E14" s="618"/>
      <c r="F14" s="618"/>
      <c r="G14" s="618"/>
      <c r="H14" s="618"/>
      <c r="I14" s="618"/>
      <c r="J14" s="618"/>
      <c r="K14" s="618"/>
      <c r="L14" s="618"/>
      <c r="M14" s="619"/>
      <c r="N14" s="66"/>
      <c r="X14" s="52"/>
      <c r="Y14" s="52"/>
      <c r="Z14" s="52"/>
      <c r="AA14" s="52"/>
      <c r="AB14" s="54"/>
      <c r="AC14" s="54"/>
      <c r="AD14" s="54"/>
      <c r="AE14" s="54"/>
    </row>
    <row r="15" spans="1:32" s="593" customFormat="1" ht="22.5" customHeight="1" x14ac:dyDescent="0.25">
      <c r="A15" s="770" t="s">
        <v>33</v>
      </c>
      <c r="B15" s="618"/>
      <c r="C15" s="618"/>
      <c r="D15" s="618"/>
      <c r="E15" s="618"/>
      <c r="F15" s="618"/>
      <c r="G15" s="618"/>
      <c r="H15" s="618"/>
      <c r="I15" s="618"/>
      <c r="J15" s="618"/>
      <c r="K15" s="618"/>
      <c r="L15" s="618"/>
      <c r="M15" s="619"/>
      <c r="N15" s="67"/>
      <c r="P15" s="809" t="s">
        <v>34</v>
      </c>
      <c r="Q15" s="639"/>
      <c r="R15" s="639"/>
      <c r="S15" s="639"/>
      <c r="T15" s="639"/>
      <c r="AB15" s="54"/>
      <c r="AC15" s="54"/>
      <c r="AD15" s="54"/>
      <c r="AE15" s="54"/>
    </row>
    <row r="16" spans="1:32" ht="18.75" customHeight="1" x14ac:dyDescent="0.25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810"/>
      <c r="Q16" s="810"/>
      <c r="R16" s="810"/>
      <c r="S16" s="810"/>
      <c r="T16" s="810"/>
      <c r="U16" s="6"/>
      <c r="V16" s="6"/>
      <c r="W16" s="8"/>
      <c r="X16" s="9"/>
      <c r="Y16" s="9"/>
      <c r="Z16" s="9"/>
      <c r="AA16" s="9"/>
      <c r="AB16" s="9"/>
      <c r="AC16" s="9"/>
    </row>
    <row r="17" spans="1:68" ht="27.75" customHeight="1" x14ac:dyDescent="0.25">
      <c r="A17" s="597" t="s">
        <v>35</v>
      </c>
      <c r="B17" s="597" t="s">
        <v>36</v>
      </c>
      <c r="C17" s="825" t="s">
        <v>37</v>
      </c>
      <c r="D17" s="597" t="s">
        <v>38</v>
      </c>
      <c r="E17" s="598"/>
      <c r="F17" s="597" t="s">
        <v>39</v>
      </c>
      <c r="G17" s="597" t="s">
        <v>40</v>
      </c>
      <c r="H17" s="597" t="s">
        <v>41</v>
      </c>
      <c r="I17" s="597" t="s">
        <v>42</v>
      </c>
      <c r="J17" s="597" t="s">
        <v>43</v>
      </c>
      <c r="K17" s="597" t="s">
        <v>44</v>
      </c>
      <c r="L17" s="597" t="s">
        <v>45</v>
      </c>
      <c r="M17" s="597" t="s">
        <v>46</v>
      </c>
      <c r="N17" s="597" t="s">
        <v>47</v>
      </c>
      <c r="O17" s="597" t="s">
        <v>48</v>
      </c>
      <c r="P17" s="597" t="s">
        <v>49</v>
      </c>
      <c r="Q17" s="851"/>
      <c r="R17" s="851"/>
      <c r="S17" s="851"/>
      <c r="T17" s="598"/>
      <c r="U17" s="620" t="s">
        <v>50</v>
      </c>
      <c r="V17" s="619"/>
      <c r="W17" s="597" t="s">
        <v>51</v>
      </c>
      <c r="X17" s="597" t="s">
        <v>52</v>
      </c>
      <c r="Y17" s="627" t="s">
        <v>53</v>
      </c>
      <c r="Z17" s="724" t="s">
        <v>54</v>
      </c>
      <c r="AA17" s="659" t="s">
        <v>55</v>
      </c>
      <c r="AB17" s="659" t="s">
        <v>56</v>
      </c>
      <c r="AC17" s="659" t="s">
        <v>57</v>
      </c>
      <c r="AD17" s="659" t="s">
        <v>58</v>
      </c>
      <c r="AE17" s="660"/>
      <c r="AF17" s="661"/>
      <c r="AG17" s="70"/>
      <c r="BD17" s="69" t="s">
        <v>59</v>
      </c>
    </row>
    <row r="18" spans="1:68" ht="14.25" customHeight="1" x14ac:dyDescent="0.25">
      <c r="A18" s="609"/>
      <c r="B18" s="609"/>
      <c r="C18" s="609"/>
      <c r="D18" s="599"/>
      <c r="E18" s="600"/>
      <c r="F18" s="609"/>
      <c r="G18" s="609"/>
      <c r="H18" s="609"/>
      <c r="I18" s="609"/>
      <c r="J18" s="609"/>
      <c r="K18" s="609"/>
      <c r="L18" s="609"/>
      <c r="M18" s="609"/>
      <c r="N18" s="609"/>
      <c r="O18" s="609"/>
      <c r="P18" s="599"/>
      <c r="Q18" s="852"/>
      <c r="R18" s="852"/>
      <c r="S18" s="852"/>
      <c r="T18" s="600"/>
      <c r="U18" s="596" t="s">
        <v>60</v>
      </c>
      <c r="V18" s="596" t="s">
        <v>61</v>
      </c>
      <c r="W18" s="609"/>
      <c r="X18" s="609"/>
      <c r="Y18" s="628"/>
      <c r="Z18" s="725"/>
      <c r="AA18" s="726"/>
      <c r="AB18" s="726"/>
      <c r="AC18" s="726"/>
      <c r="AD18" s="662"/>
      <c r="AE18" s="663"/>
      <c r="AF18" s="664"/>
      <c r="AG18" s="70"/>
      <c r="BD18" s="69"/>
    </row>
    <row r="19" spans="1:68" ht="27.75" customHeight="1" x14ac:dyDescent="0.25">
      <c r="A19" s="642" t="s">
        <v>62</v>
      </c>
      <c r="B19" s="643"/>
      <c r="C19" s="643"/>
      <c r="D19" s="643"/>
      <c r="E19" s="643"/>
      <c r="F19" s="643"/>
      <c r="G19" s="643"/>
      <c r="H19" s="643"/>
      <c r="I19" s="643"/>
      <c r="J19" s="643"/>
      <c r="K19" s="643"/>
      <c r="L19" s="643"/>
      <c r="M19" s="643"/>
      <c r="N19" s="643"/>
      <c r="O19" s="643"/>
      <c r="P19" s="643"/>
      <c r="Q19" s="643"/>
      <c r="R19" s="643"/>
      <c r="S19" s="643"/>
      <c r="T19" s="643"/>
      <c r="U19" s="643"/>
      <c r="V19" s="643"/>
      <c r="W19" s="643"/>
      <c r="X19" s="643"/>
      <c r="Y19" s="643"/>
      <c r="Z19" s="643"/>
      <c r="AA19" s="49"/>
      <c r="AB19" s="49"/>
      <c r="AC19" s="49"/>
    </row>
    <row r="20" spans="1:68" ht="16.5" customHeight="1" x14ac:dyDescent="0.25">
      <c r="A20" s="606" t="s">
        <v>62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592"/>
      <c r="AB20" s="592"/>
      <c r="AC20" s="592"/>
    </row>
    <row r="21" spans="1:68" ht="14.25" customHeight="1" x14ac:dyDescent="0.25">
      <c r="A21" s="615" t="s">
        <v>63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588"/>
      <c r="AB21" s="588"/>
      <c r="AC21" s="588"/>
    </row>
    <row r="22" spans="1:68" ht="27" customHeight="1" x14ac:dyDescent="0.25">
      <c r="A22" s="57" t="s">
        <v>64</v>
      </c>
      <c r="B22" s="57" t="s">
        <v>65</v>
      </c>
      <c r="C22" s="31">
        <v>4301031278</v>
      </c>
      <c r="D22" s="601">
        <v>4680115886643</v>
      </c>
      <c r="E22" s="602"/>
      <c r="F22" s="56">
        <v>0.19</v>
      </c>
      <c r="G22" s="32">
        <v>10</v>
      </c>
      <c r="H22" s="56">
        <v>1.9</v>
      </c>
      <c r="I22" s="56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4"/>
      <c r="V22" s="34"/>
      <c r="W22" s="35" t="s">
        <v>68</v>
      </c>
      <c r="X22" s="53">
        <v>0</v>
      </c>
      <c r="Y22" s="50">
        <f>IFERROR(IF(X22="",0,CEILING((X22/$H22),1)*$H22),"")</f>
        <v>0</v>
      </c>
      <c r="Z22" s="36" t="str">
        <f>IFERROR(IF(Y22=0,"",ROUNDUP(Y22/H22,0)*0.00502),"")</f>
        <v/>
      </c>
      <c r="AA22" s="60"/>
      <c r="AB22" s="61"/>
      <c r="AC22" s="72" t="s">
        <v>69</v>
      </c>
      <c r="AG22" s="68"/>
      <c r="AJ22" s="71"/>
      <c r="AK22" s="71">
        <v>0</v>
      </c>
      <c r="BB22" s="73" t="s">
        <v>1</v>
      </c>
      <c r="BM22" s="68">
        <f>IFERROR(X22*I22/H22,"0")</f>
        <v>0</v>
      </c>
      <c r="BN22" s="68">
        <f>IFERROR(Y22*I22/H22,"0")</f>
        <v>0</v>
      </c>
      <c r="BO22" s="68">
        <f>IFERROR(1/J22*(X22/H22),"0")</f>
        <v>0</v>
      </c>
      <c r="BP22" s="68">
        <f>IFERROR(1/J22*(Y22/H22),"0")</f>
        <v>0</v>
      </c>
    </row>
    <row r="23" spans="1:68" ht="27" customHeight="1" x14ac:dyDescent="0.25">
      <c r="A23" s="57" t="s">
        <v>70</v>
      </c>
      <c r="B23" s="57" t="s">
        <v>71</v>
      </c>
      <c r="C23" s="31">
        <v>4301031508</v>
      </c>
      <c r="D23" s="601">
        <v>4680115889071</v>
      </c>
      <c r="E23" s="602"/>
      <c r="F23" s="56">
        <v>0.3</v>
      </c>
      <c r="G23" s="32">
        <v>6</v>
      </c>
      <c r="H23" s="56">
        <v>1.8</v>
      </c>
      <c r="I23" s="56">
        <v>1.93</v>
      </c>
      <c r="J23" s="32">
        <v>234</v>
      </c>
      <c r="K23" s="32" t="s">
        <v>66</v>
      </c>
      <c r="L23" s="32"/>
      <c r="M23" s="33" t="s">
        <v>67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4"/>
      <c r="V23" s="34"/>
      <c r="W23" s="35" t="s">
        <v>68</v>
      </c>
      <c r="X23" s="53">
        <v>0</v>
      </c>
      <c r="Y23" s="50">
        <f>IFERROR(IF(X23="",0,CEILING((X23/$H23),1)*$H23),"")</f>
        <v>0</v>
      </c>
      <c r="Z23" s="36" t="str">
        <f>IFERROR(IF(Y23=0,"",ROUNDUP(Y23/H23,0)*0.00502),"")</f>
        <v/>
      </c>
      <c r="AA23" s="60"/>
      <c r="AB23" s="61"/>
      <c r="AC23" s="74" t="s">
        <v>72</v>
      </c>
      <c r="AG23" s="68"/>
      <c r="AJ23" s="71"/>
      <c r="AK23" s="71">
        <v>0</v>
      </c>
      <c r="BB23" s="75" t="s">
        <v>1</v>
      </c>
      <c r="BM23" s="68">
        <f>IFERROR(X23*I23/H23,"0")</f>
        <v>0</v>
      </c>
      <c r="BN23" s="68">
        <f>IFERROR(Y23*I23/H23,"0")</f>
        <v>0</v>
      </c>
      <c r="BO23" s="68">
        <f>IFERROR(1/J23*(X23/H23),"0")</f>
        <v>0</v>
      </c>
      <c r="BP23" s="68">
        <f>IFERROR(1/J23*(Y23/H23),"0")</f>
        <v>0</v>
      </c>
    </row>
    <row r="24" spans="1:68" x14ac:dyDescent="0.25">
      <c r="A24" s="612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13"/>
      <c r="P24" s="630" t="s">
        <v>73</v>
      </c>
      <c r="Q24" s="622"/>
      <c r="R24" s="622"/>
      <c r="S24" s="622"/>
      <c r="T24" s="622"/>
      <c r="U24" s="622"/>
      <c r="V24" s="623"/>
      <c r="W24" s="37" t="s">
        <v>74</v>
      </c>
      <c r="X24" s="38">
        <f>IFERROR(X22/H22,"0")+IFERROR(X23/H23,"0")</f>
        <v>0</v>
      </c>
      <c r="Y24" s="38">
        <f>IFERROR(Y22/H22,"0")+IFERROR(Y23/H23,"0")</f>
        <v>0</v>
      </c>
      <c r="Z24" s="38">
        <f>IFERROR(IF(Z22="",0,Z22),"0")+IFERROR(IF(Z23="",0,Z23),"0")</f>
        <v>0</v>
      </c>
      <c r="AA24" s="59"/>
      <c r="AB24" s="59"/>
      <c r="AC24" s="59"/>
    </row>
    <row r="25" spans="1:68" x14ac:dyDescent="0.25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13"/>
      <c r="P25" s="630" t="s">
        <v>73</v>
      </c>
      <c r="Q25" s="622"/>
      <c r="R25" s="622"/>
      <c r="S25" s="622"/>
      <c r="T25" s="622"/>
      <c r="U25" s="622"/>
      <c r="V25" s="623"/>
      <c r="W25" s="37" t="s">
        <v>68</v>
      </c>
      <c r="X25" s="38">
        <f>IFERROR(SUM(X22:X23),"0")</f>
        <v>0</v>
      </c>
      <c r="Y25" s="38">
        <f>IFERROR(SUM(Y22:Y23),"0")</f>
        <v>0</v>
      </c>
      <c r="Z25" s="37"/>
      <c r="AA25" s="59"/>
      <c r="AB25" s="59"/>
      <c r="AC25" s="59"/>
    </row>
    <row r="26" spans="1:68" ht="14.25" customHeight="1" x14ac:dyDescent="0.25">
      <c r="A26" s="615" t="s">
        <v>75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588"/>
      <c r="AB26" s="588"/>
      <c r="AC26" s="588"/>
    </row>
    <row r="27" spans="1:68" ht="27" customHeight="1" x14ac:dyDescent="0.25">
      <c r="A27" s="57" t="s">
        <v>76</v>
      </c>
      <c r="B27" s="57" t="s">
        <v>77</v>
      </c>
      <c r="C27" s="31">
        <v>4301051866</v>
      </c>
      <c r="D27" s="601">
        <v>4680115885912</v>
      </c>
      <c r="E27" s="602"/>
      <c r="F27" s="56">
        <v>0.3</v>
      </c>
      <c r="G27" s="32">
        <v>6</v>
      </c>
      <c r="H27" s="56">
        <v>1.8</v>
      </c>
      <c r="I27" s="56">
        <v>3.18</v>
      </c>
      <c r="J27" s="32">
        <v>182</v>
      </c>
      <c r="K27" s="32" t="s">
        <v>78</v>
      </c>
      <c r="L27" s="32"/>
      <c r="M27" s="33" t="s">
        <v>79</v>
      </c>
      <c r="N27" s="33"/>
      <c r="O27" s="32">
        <v>40</v>
      </c>
      <c r="P27" s="7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4"/>
      <c r="V27" s="34"/>
      <c r="W27" s="35" t="s">
        <v>68</v>
      </c>
      <c r="X27" s="53">
        <v>0</v>
      </c>
      <c r="Y27" s="50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60"/>
      <c r="AB27" s="61"/>
      <c r="AC27" s="76" t="s">
        <v>80</v>
      </c>
      <c r="AG27" s="68"/>
      <c r="AJ27" s="71"/>
      <c r="AK27" s="71">
        <v>0</v>
      </c>
      <c r="BB27" s="77" t="s">
        <v>1</v>
      </c>
      <c r="BM27" s="68">
        <f t="shared" ref="BM27:BM32" si="2">IFERROR(X27*I27/H27,"0")</f>
        <v>0</v>
      </c>
      <c r="BN27" s="68">
        <f t="shared" ref="BN27:BN32" si="3">IFERROR(Y27*I27/H27,"0")</f>
        <v>0</v>
      </c>
      <c r="BO27" s="68">
        <f t="shared" ref="BO27:BO32" si="4">IFERROR(1/J27*(X27/H27),"0")</f>
        <v>0</v>
      </c>
      <c r="BP27" s="68">
        <f t="shared" ref="BP27:BP32" si="5">IFERROR(1/J27*(Y27/H27),"0")</f>
        <v>0</v>
      </c>
    </row>
    <row r="28" spans="1:68" ht="27" customHeight="1" x14ac:dyDescent="0.25">
      <c r="A28" s="57" t="s">
        <v>81</v>
      </c>
      <c r="B28" s="57" t="s">
        <v>82</v>
      </c>
      <c r="C28" s="31">
        <v>4301051776</v>
      </c>
      <c r="D28" s="601">
        <v>4607091388237</v>
      </c>
      <c r="E28" s="602"/>
      <c r="F28" s="56">
        <v>0.42</v>
      </c>
      <c r="G28" s="32">
        <v>6</v>
      </c>
      <c r="H28" s="56">
        <v>2.52</v>
      </c>
      <c r="I28" s="56">
        <v>2.766</v>
      </c>
      <c r="J28" s="32">
        <v>182</v>
      </c>
      <c r="K28" s="32" t="s">
        <v>78</v>
      </c>
      <c r="L28" s="32"/>
      <c r="M28" s="33" t="s">
        <v>79</v>
      </c>
      <c r="N28" s="33"/>
      <c r="O28" s="32">
        <v>40</v>
      </c>
      <c r="P28" s="9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4"/>
      <c r="V28" s="34"/>
      <c r="W28" s="35" t="s">
        <v>68</v>
      </c>
      <c r="X28" s="53">
        <v>0</v>
      </c>
      <c r="Y28" s="50">
        <f t="shared" si="0"/>
        <v>0</v>
      </c>
      <c r="Z28" s="36" t="str">
        <f t="shared" si="1"/>
        <v/>
      </c>
      <c r="AA28" s="60"/>
      <c r="AB28" s="61"/>
      <c r="AC28" s="78" t="s">
        <v>80</v>
      </c>
      <c r="AG28" s="68"/>
      <c r="AJ28" s="71"/>
      <c r="AK28" s="71">
        <v>0</v>
      </c>
      <c r="BB28" s="79" t="s">
        <v>1</v>
      </c>
      <c r="BM28" s="68">
        <f t="shared" si="2"/>
        <v>0</v>
      </c>
      <c r="BN28" s="68">
        <f t="shared" si="3"/>
        <v>0</v>
      </c>
      <c r="BO28" s="68">
        <f t="shared" si="4"/>
        <v>0</v>
      </c>
      <c r="BP28" s="68">
        <f t="shared" si="5"/>
        <v>0</v>
      </c>
    </row>
    <row r="29" spans="1:68" ht="27" customHeight="1" x14ac:dyDescent="0.25">
      <c r="A29" s="57" t="s">
        <v>83</v>
      </c>
      <c r="B29" s="57" t="s">
        <v>84</v>
      </c>
      <c r="C29" s="31">
        <v>4301052063</v>
      </c>
      <c r="D29" s="601">
        <v>4680115887350</v>
      </c>
      <c r="E29" s="602"/>
      <c r="F29" s="56">
        <v>0.3</v>
      </c>
      <c r="G29" s="32">
        <v>6</v>
      </c>
      <c r="H29" s="56">
        <v>1.8</v>
      </c>
      <c r="I29" s="56">
        <v>3.18</v>
      </c>
      <c r="J29" s="32">
        <v>182</v>
      </c>
      <c r="K29" s="32" t="s">
        <v>78</v>
      </c>
      <c r="L29" s="32"/>
      <c r="M29" s="33" t="s">
        <v>85</v>
      </c>
      <c r="N29" s="33"/>
      <c r="O29" s="32">
        <v>40</v>
      </c>
      <c r="P29" s="8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4"/>
      <c r="V29" s="34"/>
      <c r="W29" s="35" t="s">
        <v>68</v>
      </c>
      <c r="X29" s="53">
        <v>0</v>
      </c>
      <c r="Y29" s="50">
        <f t="shared" si="0"/>
        <v>0</v>
      </c>
      <c r="Z29" s="36" t="str">
        <f t="shared" si="1"/>
        <v/>
      </c>
      <c r="AA29" s="60"/>
      <c r="AB29" s="61"/>
      <c r="AC29" s="80" t="s">
        <v>86</v>
      </c>
      <c r="AG29" s="68"/>
      <c r="AJ29" s="71"/>
      <c r="AK29" s="71">
        <v>0</v>
      </c>
      <c r="BB29" s="81" t="s">
        <v>1</v>
      </c>
      <c r="BM29" s="68">
        <f t="shared" si="2"/>
        <v>0</v>
      </c>
      <c r="BN29" s="68">
        <f t="shared" si="3"/>
        <v>0</v>
      </c>
      <c r="BO29" s="68">
        <f t="shared" si="4"/>
        <v>0</v>
      </c>
      <c r="BP29" s="68">
        <f t="shared" si="5"/>
        <v>0</v>
      </c>
    </row>
    <row r="30" spans="1:68" ht="27" customHeight="1" x14ac:dyDescent="0.25">
      <c r="A30" s="57" t="s">
        <v>87</v>
      </c>
      <c r="B30" s="57" t="s">
        <v>88</v>
      </c>
      <c r="C30" s="31">
        <v>4301051863</v>
      </c>
      <c r="D30" s="601">
        <v>4680115885905</v>
      </c>
      <c r="E30" s="602"/>
      <c r="F30" s="56">
        <v>0.3</v>
      </c>
      <c r="G30" s="32">
        <v>6</v>
      </c>
      <c r="H30" s="56">
        <v>1.8</v>
      </c>
      <c r="I30" s="56">
        <v>3.18</v>
      </c>
      <c r="J30" s="32">
        <v>182</v>
      </c>
      <c r="K30" s="32" t="s">
        <v>78</v>
      </c>
      <c r="L30" s="32"/>
      <c r="M30" s="33" t="s">
        <v>85</v>
      </c>
      <c r="N30" s="33"/>
      <c r="O30" s="32">
        <v>40</v>
      </c>
      <c r="P30" s="9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4"/>
      <c r="V30" s="34"/>
      <c r="W30" s="35" t="s">
        <v>68</v>
      </c>
      <c r="X30" s="53">
        <v>0</v>
      </c>
      <c r="Y30" s="50">
        <f t="shared" si="0"/>
        <v>0</v>
      </c>
      <c r="Z30" s="36" t="str">
        <f t="shared" si="1"/>
        <v/>
      </c>
      <c r="AA30" s="60"/>
      <c r="AB30" s="61"/>
      <c r="AC30" s="82" t="s">
        <v>89</v>
      </c>
      <c r="AG30" s="68"/>
      <c r="AJ30" s="71"/>
      <c r="AK30" s="71">
        <v>0</v>
      </c>
      <c r="BB30" s="83" t="s">
        <v>1</v>
      </c>
      <c r="BM30" s="68">
        <f t="shared" si="2"/>
        <v>0</v>
      </c>
      <c r="BN30" s="68">
        <f t="shared" si="3"/>
        <v>0</v>
      </c>
      <c r="BO30" s="68">
        <f t="shared" si="4"/>
        <v>0</v>
      </c>
      <c r="BP30" s="68">
        <f t="shared" si="5"/>
        <v>0</v>
      </c>
    </row>
    <row r="31" spans="1:68" ht="27" customHeight="1" x14ac:dyDescent="0.25">
      <c r="A31" s="57" t="s">
        <v>90</v>
      </c>
      <c r="B31" s="57" t="s">
        <v>91</v>
      </c>
      <c r="C31" s="31">
        <v>4301052078</v>
      </c>
      <c r="D31" s="601">
        <v>4680115887657</v>
      </c>
      <c r="E31" s="602"/>
      <c r="F31" s="56">
        <v>0.33</v>
      </c>
      <c r="G31" s="32">
        <v>6</v>
      </c>
      <c r="H31" s="56">
        <v>1.98</v>
      </c>
      <c r="I31" s="56">
        <v>2.16</v>
      </c>
      <c r="J31" s="32">
        <v>182</v>
      </c>
      <c r="K31" s="32" t="s">
        <v>78</v>
      </c>
      <c r="L31" s="32"/>
      <c r="M31" s="33" t="s">
        <v>85</v>
      </c>
      <c r="N31" s="33"/>
      <c r="O31" s="32">
        <v>40</v>
      </c>
      <c r="P31" s="90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4"/>
      <c r="V31" s="34"/>
      <c r="W31" s="35" t="s">
        <v>68</v>
      </c>
      <c r="X31" s="53">
        <v>0</v>
      </c>
      <c r="Y31" s="50">
        <f t="shared" si="0"/>
        <v>0</v>
      </c>
      <c r="Z31" s="36" t="str">
        <f t="shared" si="1"/>
        <v/>
      </c>
      <c r="AA31" s="60"/>
      <c r="AB31" s="61"/>
      <c r="AC31" s="84" t="s">
        <v>92</v>
      </c>
      <c r="AG31" s="68"/>
      <c r="AJ31" s="71"/>
      <c r="AK31" s="71">
        <v>0</v>
      </c>
      <c r="BB31" s="85" t="s">
        <v>1</v>
      </c>
      <c r="BM31" s="68">
        <f t="shared" si="2"/>
        <v>0</v>
      </c>
      <c r="BN31" s="68">
        <f t="shared" si="3"/>
        <v>0</v>
      </c>
      <c r="BO31" s="68">
        <f t="shared" si="4"/>
        <v>0</v>
      </c>
      <c r="BP31" s="68">
        <f t="shared" si="5"/>
        <v>0</v>
      </c>
    </row>
    <row r="32" spans="1:68" ht="27" customHeight="1" x14ac:dyDescent="0.25">
      <c r="A32" s="57" t="s">
        <v>93</v>
      </c>
      <c r="B32" s="57" t="s">
        <v>94</v>
      </c>
      <c r="C32" s="31">
        <v>4301052071</v>
      </c>
      <c r="D32" s="601">
        <v>4680115887619</v>
      </c>
      <c r="E32" s="602"/>
      <c r="F32" s="56">
        <v>0.33</v>
      </c>
      <c r="G32" s="32">
        <v>6</v>
      </c>
      <c r="H32" s="56">
        <v>1.98</v>
      </c>
      <c r="I32" s="56">
        <v>2.16</v>
      </c>
      <c r="J32" s="32">
        <v>182</v>
      </c>
      <c r="K32" s="32" t="s">
        <v>78</v>
      </c>
      <c r="L32" s="32"/>
      <c r="M32" s="33" t="s">
        <v>79</v>
      </c>
      <c r="N32" s="33"/>
      <c r="O32" s="32">
        <v>40</v>
      </c>
      <c r="P32" s="86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4"/>
      <c r="V32" s="34"/>
      <c r="W32" s="35" t="s">
        <v>68</v>
      </c>
      <c r="X32" s="53">
        <v>0</v>
      </c>
      <c r="Y32" s="50">
        <f t="shared" si="0"/>
        <v>0</v>
      </c>
      <c r="Z32" s="36" t="str">
        <f t="shared" si="1"/>
        <v/>
      </c>
      <c r="AA32" s="60"/>
      <c r="AB32" s="61"/>
      <c r="AC32" s="86" t="s">
        <v>95</v>
      </c>
      <c r="AG32" s="68"/>
      <c r="AJ32" s="71"/>
      <c r="AK32" s="71">
        <v>0</v>
      </c>
      <c r="BB32" s="87" t="s">
        <v>1</v>
      </c>
      <c r="BM32" s="68">
        <f t="shared" si="2"/>
        <v>0</v>
      </c>
      <c r="BN32" s="68">
        <f t="shared" si="3"/>
        <v>0</v>
      </c>
      <c r="BO32" s="68">
        <f t="shared" si="4"/>
        <v>0</v>
      </c>
      <c r="BP32" s="68">
        <f t="shared" si="5"/>
        <v>0</v>
      </c>
    </row>
    <row r="33" spans="1:68" x14ac:dyDescent="0.25">
      <c r="A33" s="612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13"/>
      <c r="P33" s="630" t="s">
        <v>73</v>
      </c>
      <c r="Q33" s="622"/>
      <c r="R33" s="622"/>
      <c r="S33" s="622"/>
      <c r="T33" s="622"/>
      <c r="U33" s="622"/>
      <c r="V33" s="623"/>
      <c r="W33" s="37" t="s">
        <v>74</v>
      </c>
      <c r="X33" s="38">
        <f>IFERROR(X27/H27,"0")+IFERROR(X28/H28,"0")+IFERROR(X29/H29,"0")+IFERROR(X30/H30,"0")+IFERROR(X31/H31,"0")+IFERROR(X32/H32,"0")</f>
        <v>0</v>
      </c>
      <c r="Y33" s="38">
        <f>IFERROR(Y27/H27,"0")+IFERROR(Y28/H28,"0")+IFERROR(Y29/H29,"0")+IFERROR(Y30/H30,"0")+IFERROR(Y31/H31,"0")+IFERROR(Y32/H32,"0")</f>
        <v>0</v>
      </c>
      <c r="Z33" s="38">
        <f>IFERROR(IF(Z27="",0,Z27),"0")+IFERROR(IF(Z28="",0,Z28),"0")+IFERROR(IF(Z29="",0,Z29),"0")+IFERROR(IF(Z30="",0,Z30),"0")+IFERROR(IF(Z31="",0,Z31),"0")+IFERROR(IF(Z32="",0,Z32),"0")</f>
        <v>0</v>
      </c>
      <c r="AA33" s="59"/>
      <c r="AB33" s="59"/>
      <c r="AC33" s="59"/>
    </row>
    <row r="34" spans="1:68" x14ac:dyDescent="0.25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13"/>
      <c r="P34" s="630" t="s">
        <v>73</v>
      </c>
      <c r="Q34" s="622"/>
      <c r="R34" s="622"/>
      <c r="S34" s="622"/>
      <c r="T34" s="622"/>
      <c r="U34" s="622"/>
      <c r="V34" s="623"/>
      <c r="W34" s="37" t="s">
        <v>68</v>
      </c>
      <c r="X34" s="38">
        <f>IFERROR(SUM(X27:X32),"0")</f>
        <v>0</v>
      </c>
      <c r="Y34" s="38">
        <f>IFERROR(SUM(Y27:Y32),"0")</f>
        <v>0</v>
      </c>
      <c r="Z34" s="37"/>
      <c r="AA34" s="59"/>
      <c r="AB34" s="59"/>
      <c r="AC34" s="59"/>
    </row>
    <row r="35" spans="1:68" ht="14.25" customHeight="1" x14ac:dyDescent="0.25">
      <c r="A35" s="615" t="s">
        <v>96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588"/>
      <c r="AB35" s="588"/>
      <c r="AC35" s="588"/>
    </row>
    <row r="36" spans="1:68" ht="27" customHeight="1" x14ac:dyDescent="0.25">
      <c r="A36" s="57" t="s">
        <v>97</v>
      </c>
      <c r="B36" s="57" t="s">
        <v>98</v>
      </c>
      <c r="C36" s="31">
        <v>4301032013</v>
      </c>
      <c r="D36" s="601">
        <v>4607091388503</v>
      </c>
      <c r="E36" s="602"/>
      <c r="F36" s="56">
        <v>0.05</v>
      </c>
      <c r="G36" s="32">
        <v>12</v>
      </c>
      <c r="H36" s="56">
        <v>0.6</v>
      </c>
      <c r="I36" s="56">
        <v>0.82199999999999995</v>
      </c>
      <c r="J36" s="32">
        <v>182</v>
      </c>
      <c r="K36" s="32" t="s">
        <v>78</v>
      </c>
      <c r="L36" s="32"/>
      <c r="M36" s="33" t="s">
        <v>99</v>
      </c>
      <c r="N36" s="33"/>
      <c r="O36" s="32">
        <v>120</v>
      </c>
      <c r="P36" s="7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4"/>
      <c r="V36" s="34"/>
      <c r="W36" s="35" t="s">
        <v>68</v>
      </c>
      <c r="X36" s="53">
        <v>0</v>
      </c>
      <c r="Y36" s="50">
        <f>IFERROR(IF(X36="",0,CEILING((X36/$H36),1)*$H36),"")</f>
        <v>0</v>
      </c>
      <c r="Z36" s="36" t="str">
        <f>IFERROR(IF(Y36=0,"",ROUNDUP(Y36/H36,0)*0.00651),"")</f>
        <v/>
      </c>
      <c r="AA36" s="60"/>
      <c r="AB36" s="61"/>
      <c r="AC36" s="88" t="s">
        <v>100</v>
      </c>
      <c r="AG36" s="68"/>
      <c r="AJ36" s="71"/>
      <c r="AK36" s="71">
        <v>0</v>
      </c>
      <c r="BB36" s="89" t="s">
        <v>101</v>
      </c>
      <c r="BM36" s="68">
        <f>IFERROR(X36*I36/H36,"0")</f>
        <v>0</v>
      </c>
      <c r="BN36" s="68">
        <f>IFERROR(Y36*I36/H36,"0")</f>
        <v>0</v>
      </c>
      <c r="BO36" s="68">
        <f>IFERROR(1/J36*(X36/H36),"0")</f>
        <v>0</v>
      </c>
      <c r="BP36" s="68">
        <f>IFERROR(1/J36*(Y36/H36),"0")</f>
        <v>0</v>
      </c>
    </row>
    <row r="37" spans="1:68" x14ac:dyDescent="0.25">
      <c r="A37" s="612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13"/>
      <c r="P37" s="630" t="s">
        <v>73</v>
      </c>
      <c r="Q37" s="622"/>
      <c r="R37" s="622"/>
      <c r="S37" s="622"/>
      <c r="T37" s="622"/>
      <c r="U37" s="622"/>
      <c r="V37" s="623"/>
      <c r="W37" s="37" t="s">
        <v>74</v>
      </c>
      <c r="X37" s="38">
        <f>IFERROR(X36/H36,"0")</f>
        <v>0</v>
      </c>
      <c r="Y37" s="38">
        <f>IFERROR(Y36/H36,"0")</f>
        <v>0</v>
      </c>
      <c r="Z37" s="38">
        <f>IFERROR(IF(Z36="",0,Z36),"0")</f>
        <v>0</v>
      </c>
      <c r="AA37" s="59"/>
      <c r="AB37" s="59"/>
      <c r="AC37" s="59"/>
    </row>
    <row r="38" spans="1:68" x14ac:dyDescent="0.25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13"/>
      <c r="P38" s="630" t="s">
        <v>73</v>
      </c>
      <c r="Q38" s="622"/>
      <c r="R38" s="622"/>
      <c r="S38" s="622"/>
      <c r="T38" s="622"/>
      <c r="U38" s="622"/>
      <c r="V38" s="623"/>
      <c r="W38" s="37" t="s">
        <v>68</v>
      </c>
      <c r="X38" s="38">
        <f>IFERROR(SUM(X36:X36),"0")</f>
        <v>0</v>
      </c>
      <c r="Y38" s="38">
        <f>IFERROR(SUM(Y36:Y36),"0")</f>
        <v>0</v>
      </c>
      <c r="Z38" s="37"/>
      <c r="AA38" s="59"/>
      <c r="AB38" s="59"/>
      <c r="AC38" s="59"/>
    </row>
    <row r="39" spans="1:68" ht="27.75" customHeight="1" x14ac:dyDescent="0.25">
      <c r="A39" s="642" t="s">
        <v>102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49"/>
      <c r="AB39" s="49"/>
      <c r="AC39" s="49"/>
    </row>
    <row r="40" spans="1:68" ht="16.5" customHeight="1" x14ac:dyDescent="0.25">
      <c r="A40" s="606" t="s">
        <v>103</v>
      </c>
      <c r="B40" s="607"/>
      <c r="C40" s="607"/>
      <c r="D40" s="607"/>
      <c r="E40" s="607"/>
      <c r="F40" s="607"/>
      <c r="G40" s="607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07"/>
      <c r="Z40" s="607"/>
      <c r="AA40" s="592"/>
      <c r="AB40" s="592"/>
      <c r="AC40" s="592"/>
    </row>
    <row r="41" spans="1:68" ht="14.25" customHeight="1" x14ac:dyDescent="0.25">
      <c r="A41" s="615" t="s">
        <v>75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588"/>
      <c r="AB41" s="588"/>
      <c r="AC41" s="588"/>
    </row>
    <row r="42" spans="1:68" ht="27" customHeight="1" x14ac:dyDescent="0.25">
      <c r="A42" s="57" t="s">
        <v>104</v>
      </c>
      <c r="B42" s="57" t="s">
        <v>105</v>
      </c>
      <c r="C42" s="31">
        <v>4301052198</v>
      </c>
      <c r="D42" s="601">
        <v>4680115888463</v>
      </c>
      <c r="E42" s="602"/>
      <c r="F42" s="56">
        <v>0.32</v>
      </c>
      <c r="G42" s="32">
        <v>6</v>
      </c>
      <c r="H42" s="56">
        <v>1.92</v>
      </c>
      <c r="I42" s="56">
        <v>2.1</v>
      </c>
      <c r="J42" s="32">
        <v>182</v>
      </c>
      <c r="K42" s="32" t="s">
        <v>78</v>
      </c>
      <c r="L42" s="32"/>
      <c r="M42" s="33" t="s">
        <v>79</v>
      </c>
      <c r="N42" s="33"/>
      <c r="O42" s="32">
        <v>40</v>
      </c>
      <c r="P42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4"/>
      <c r="V42" s="34"/>
      <c r="W42" s="35" t="s">
        <v>68</v>
      </c>
      <c r="X42" s="53">
        <v>0</v>
      </c>
      <c r="Y42" s="50">
        <f>IFERROR(IF(X42="",0,CEILING((X42/$H42),1)*$H42),"")</f>
        <v>0</v>
      </c>
      <c r="Z42" s="36" t="str">
        <f>IFERROR(IF(Y42=0,"",ROUNDUP(Y42/H42,0)*0.00651),"")</f>
        <v/>
      </c>
      <c r="AA42" s="60"/>
      <c r="AB42" s="61"/>
      <c r="AC42" s="90" t="s">
        <v>106</v>
      </c>
      <c r="AG42" s="68"/>
      <c r="AJ42" s="71"/>
      <c r="AK42" s="71">
        <v>0</v>
      </c>
      <c r="BB42" s="91" t="s">
        <v>1</v>
      </c>
      <c r="BM42" s="68">
        <f>IFERROR(X42*I42/H42,"0")</f>
        <v>0</v>
      </c>
      <c r="BN42" s="68">
        <f>IFERROR(Y42*I42/H42,"0")</f>
        <v>0</v>
      </c>
      <c r="BO42" s="68">
        <f>IFERROR(1/J42*(X42/H42),"0")</f>
        <v>0</v>
      </c>
      <c r="BP42" s="68">
        <f>IFERROR(1/J42*(Y42/H42),"0")</f>
        <v>0</v>
      </c>
    </row>
    <row r="43" spans="1:68" ht="27" customHeight="1" x14ac:dyDescent="0.25">
      <c r="A43" s="57" t="s">
        <v>107</v>
      </c>
      <c r="B43" s="57" t="s">
        <v>108</v>
      </c>
      <c r="C43" s="31">
        <v>4301052202</v>
      </c>
      <c r="D43" s="601">
        <v>4680115888494</v>
      </c>
      <c r="E43" s="602"/>
      <c r="F43" s="56">
        <v>0.32</v>
      </c>
      <c r="G43" s="32">
        <v>6</v>
      </c>
      <c r="H43" s="56">
        <v>1.92</v>
      </c>
      <c r="I43" s="56">
        <v>2.1</v>
      </c>
      <c r="J43" s="32">
        <v>182</v>
      </c>
      <c r="K43" s="32" t="s">
        <v>78</v>
      </c>
      <c r="L43" s="32"/>
      <c r="M43" s="33" t="s">
        <v>79</v>
      </c>
      <c r="N43" s="33"/>
      <c r="O43" s="32">
        <v>40</v>
      </c>
      <c r="P43" s="85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4"/>
      <c r="V43" s="34"/>
      <c r="W43" s="35" t="s">
        <v>68</v>
      </c>
      <c r="X43" s="53">
        <v>0</v>
      </c>
      <c r="Y43" s="50">
        <f>IFERROR(IF(X43="",0,CEILING((X43/$H43),1)*$H43),"")</f>
        <v>0</v>
      </c>
      <c r="Z43" s="36" t="str">
        <f>IFERROR(IF(Y43=0,"",ROUNDUP(Y43/H43,0)*0.00651),"")</f>
        <v/>
      </c>
      <c r="AA43" s="60"/>
      <c r="AB43" s="61"/>
      <c r="AC43" s="92" t="s">
        <v>109</v>
      </c>
      <c r="AG43" s="68"/>
      <c r="AJ43" s="71"/>
      <c r="AK43" s="71">
        <v>0</v>
      </c>
      <c r="BB43" s="93" t="s">
        <v>1</v>
      </c>
      <c r="BM43" s="68">
        <f>IFERROR(X43*I43/H43,"0")</f>
        <v>0</v>
      </c>
      <c r="BN43" s="68">
        <f>IFERROR(Y43*I43/H43,"0")</f>
        <v>0</v>
      </c>
      <c r="BO43" s="68">
        <f>IFERROR(1/J43*(X43/H43),"0")</f>
        <v>0</v>
      </c>
      <c r="BP43" s="68">
        <f>IFERROR(1/J43*(Y43/H43),"0")</f>
        <v>0</v>
      </c>
    </row>
    <row r="44" spans="1:68" ht="27" customHeight="1" x14ac:dyDescent="0.25">
      <c r="A44" s="57" t="s">
        <v>110</v>
      </c>
      <c r="B44" s="57" t="s">
        <v>111</v>
      </c>
      <c r="C44" s="31">
        <v>4301052184</v>
      </c>
      <c r="D44" s="601">
        <v>4680115888272</v>
      </c>
      <c r="E44" s="602"/>
      <c r="F44" s="56">
        <v>0.32</v>
      </c>
      <c r="G44" s="32">
        <v>6</v>
      </c>
      <c r="H44" s="56">
        <v>1.92</v>
      </c>
      <c r="I44" s="56">
        <v>2.1</v>
      </c>
      <c r="J44" s="32">
        <v>182</v>
      </c>
      <c r="K44" s="32" t="s">
        <v>78</v>
      </c>
      <c r="L44" s="32"/>
      <c r="M44" s="33" t="s">
        <v>79</v>
      </c>
      <c r="N44" s="33"/>
      <c r="O44" s="32">
        <v>40</v>
      </c>
      <c r="P44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4"/>
      <c r="V44" s="34"/>
      <c r="W44" s="35" t="s">
        <v>68</v>
      </c>
      <c r="X44" s="53">
        <v>0</v>
      </c>
      <c r="Y44" s="50">
        <f>IFERROR(IF(X44="",0,CEILING((X44/$H44),1)*$H44),"")</f>
        <v>0</v>
      </c>
      <c r="Z44" s="36" t="str">
        <f>IFERROR(IF(Y44=0,"",ROUNDUP(Y44/H44,0)*0.00651),"")</f>
        <v/>
      </c>
      <c r="AA44" s="60"/>
      <c r="AB44" s="61"/>
      <c r="AC44" s="94" t="s">
        <v>112</v>
      </c>
      <c r="AG44" s="68"/>
      <c r="AJ44" s="71"/>
      <c r="AK44" s="71">
        <v>0</v>
      </c>
      <c r="BB44" s="95" t="s">
        <v>1</v>
      </c>
      <c r="BM44" s="68">
        <f>IFERROR(X44*I44/H44,"0")</f>
        <v>0</v>
      </c>
      <c r="BN44" s="68">
        <f>IFERROR(Y44*I44/H44,"0")</f>
        <v>0</v>
      </c>
      <c r="BO44" s="68">
        <f>IFERROR(1/J44*(X44/H44),"0")</f>
        <v>0</v>
      </c>
      <c r="BP44" s="68">
        <f>IFERROR(1/J44*(Y44/H44),"0")</f>
        <v>0</v>
      </c>
    </row>
    <row r="45" spans="1:68" ht="27" customHeight="1" x14ac:dyDescent="0.25">
      <c r="A45" s="57" t="s">
        <v>113</v>
      </c>
      <c r="B45" s="57" t="s">
        <v>114</v>
      </c>
      <c r="C45" s="31">
        <v>4301052188</v>
      </c>
      <c r="D45" s="601">
        <v>4680115888364</v>
      </c>
      <c r="E45" s="602"/>
      <c r="F45" s="56">
        <v>0.32</v>
      </c>
      <c r="G45" s="32">
        <v>6</v>
      </c>
      <c r="H45" s="56">
        <v>1.92</v>
      </c>
      <c r="I45" s="56">
        <v>2.1</v>
      </c>
      <c r="J45" s="32">
        <v>182</v>
      </c>
      <c r="K45" s="32" t="s">
        <v>78</v>
      </c>
      <c r="L45" s="32"/>
      <c r="M45" s="33" t="s">
        <v>79</v>
      </c>
      <c r="N45" s="33"/>
      <c r="O45" s="32">
        <v>40</v>
      </c>
      <c r="P45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4"/>
      <c r="V45" s="34"/>
      <c r="W45" s="35" t="s">
        <v>68</v>
      </c>
      <c r="X45" s="53">
        <v>0</v>
      </c>
      <c r="Y45" s="50">
        <f>IFERROR(IF(X45="",0,CEILING((X45/$H45),1)*$H45),"")</f>
        <v>0</v>
      </c>
      <c r="Z45" s="36" t="str">
        <f>IFERROR(IF(Y45=0,"",ROUNDUP(Y45/H45,0)*0.00651),"")</f>
        <v/>
      </c>
      <c r="AA45" s="60"/>
      <c r="AB45" s="61"/>
      <c r="AC45" s="96" t="s">
        <v>115</v>
      </c>
      <c r="AG45" s="68"/>
      <c r="AJ45" s="71"/>
      <c r="AK45" s="71">
        <v>0</v>
      </c>
      <c r="BB45" s="97" t="s">
        <v>1</v>
      </c>
      <c r="BM45" s="68">
        <f>IFERROR(X45*I45/H45,"0")</f>
        <v>0</v>
      </c>
      <c r="BN45" s="68">
        <f>IFERROR(Y45*I45/H45,"0")</f>
        <v>0</v>
      </c>
      <c r="BO45" s="68">
        <f>IFERROR(1/J45*(X45/H45),"0")</f>
        <v>0</v>
      </c>
      <c r="BP45" s="68">
        <f>IFERROR(1/J45*(Y45/H45),"0")</f>
        <v>0</v>
      </c>
    </row>
    <row r="46" spans="1:68" x14ac:dyDescent="0.25">
      <c r="A46" s="612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13"/>
      <c r="P46" s="630" t="s">
        <v>73</v>
      </c>
      <c r="Q46" s="622"/>
      <c r="R46" s="622"/>
      <c r="S46" s="622"/>
      <c r="T46" s="622"/>
      <c r="U46" s="622"/>
      <c r="V46" s="623"/>
      <c r="W46" s="37" t="s">
        <v>74</v>
      </c>
      <c r="X46" s="38">
        <f>IFERROR(X42/H42,"0")+IFERROR(X43/H43,"0")+IFERROR(X44/H44,"0")+IFERROR(X45/H45,"0")</f>
        <v>0</v>
      </c>
      <c r="Y46" s="38">
        <f>IFERROR(Y42/H42,"0")+IFERROR(Y43/H43,"0")+IFERROR(Y44/H44,"0")+IFERROR(Y45/H45,"0")</f>
        <v>0</v>
      </c>
      <c r="Z46" s="38">
        <f>IFERROR(IF(Z42="",0,Z42),"0")+IFERROR(IF(Z43="",0,Z43),"0")+IFERROR(IF(Z44="",0,Z44),"0")+IFERROR(IF(Z45="",0,Z45),"0")</f>
        <v>0</v>
      </c>
      <c r="AA46" s="59"/>
      <c r="AB46" s="59"/>
      <c r="AC46" s="59"/>
    </row>
    <row r="47" spans="1:68" x14ac:dyDescent="0.25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13"/>
      <c r="P47" s="630" t="s">
        <v>73</v>
      </c>
      <c r="Q47" s="622"/>
      <c r="R47" s="622"/>
      <c r="S47" s="622"/>
      <c r="T47" s="622"/>
      <c r="U47" s="622"/>
      <c r="V47" s="623"/>
      <c r="W47" s="37" t="s">
        <v>68</v>
      </c>
      <c r="X47" s="38">
        <f>IFERROR(SUM(X42:X45),"0")</f>
        <v>0</v>
      </c>
      <c r="Y47" s="38">
        <f>IFERROR(SUM(Y42:Y45),"0")</f>
        <v>0</v>
      </c>
      <c r="Z47" s="37"/>
      <c r="AA47" s="59"/>
      <c r="AB47" s="59"/>
      <c r="AC47" s="59"/>
    </row>
    <row r="48" spans="1:68" ht="27.75" customHeight="1" x14ac:dyDescent="0.25">
      <c r="A48" s="642" t="s">
        <v>116</v>
      </c>
      <c r="B48" s="643"/>
      <c r="C48" s="643"/>
      <c r="D48" s="643"/>
      <c r="E48" s="643"/>
      <c r="F48" s="643"/>
      <c r="G48" s="643"/>
      <c r="H48" s="643"/>
      <c r="I48" s="643"/>
      <c r="J48" s="643"/>
      <c r="K48" s="643"/>
      <c r="L48" s="643"/>
      <c r="M48" s="643"/>
      <c r="N48" s="643"/>
      <c r="O48" s="643"/>
      <c r="P48" s="643"/>
      <c r="Q48" s="643"/>
      <c r="R48" s="643"/>
      <c r="S48" s="643"/>
      <c r="T48" s="643"/>
      <c r="U48" s="643"/>
      <c r="V48" s="643"/>
      <c r="W48" s="643"/>
      <c r="X48" s="643"/>
      <c r="Y48" s="643"/>
      <c r="Z48" s="643"/>
      <c r="AA48" s="49"/>
      <c r="AB48" s="49"/>
      <c r="AC48" s="49"/>
    </row>
    <row r="49" spans="1:68" ht="16.5" customHeight="1" x14ac:dyDescent="0.25">
      <c r="A49" s="606" t="s">
        <v>117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592"/>
      <c r="AB49" s="592"/>
      <c r="AC49" s="592"/>
    </row>
    <row r="50" spans="1:68" ht="14.25" customHeight="1" x14ac:dyDescent="0.25">
      <c r="A50" s="615" t="s">
        <v>118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588"/>
      <c r="AB50" s="588"/>
      <c r="AC50" s="588"/>
    </row>
    <row r="51" spans="1:68" ht="16.5" customHeight="1" x14ac:dyDescent="0.25">
      <c r="A51" s="57" t="s">
        <v>119</v>
      </c>
      <c r="B51" s="57" t="s">
        <v>120</v>
      </c>
      <c r="C51" s="31">
        <v>4301011380</v>
      </c>
      <c r="D51" s="601">
        <v>4607091385670</v>
      </c>
      <c r="E51" s="602"/>
      <c r="F51" s="56">
        <v>1.35</v>
      </c>
      <c r="G51" s="32">
        <v>8</v>
      </c>
      <c r="H51" s="56">
        <v>10.8</v>
      </c>
      <c r="I51" s="56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4"/>
      <c r="V51" s="34"/>
      <c r="W51" s="35" t="s">
        <v>68</v>
      </c>
      <c r="X51" s="53">
        <v>500</v>
      </c>
      <c r="Y51" s="50">
        <f>IFERROR(IF(X51="",0,CEILING((X51/$H51),1)*$H51),"")</f>
        <v>507.6</v>
      </c>
      <c r="Z51" s="36">
        <f>IFERROR(IF(Y51=0,"",ROUNDUP(Y51/H51,0)*0.01898),"")</f>
        <v>0.89205999999999996</v>
      </c>
      <c r="AA51" s="60"/>
      <c r="AB51" s="61"/>
      <c r="AC51" s="98" t="s">
        <v>123</v>
      </c>
      <c r="AG51" s="68"/>
      <c r="AJ51" s="71"/>
      <c r="AK51" s="71">
        <v>0</v>
      </c>
      <c r="BB51" s="99" t="s">
        <v>1</v>
      </c>
      <c r="BM51" s="68">
        <f>IFERROR(X51*I51/H51,"0")</f>
        <v>518.98148148148141</v>
      </c>
      <c r="BN51" s="68">
        <f>IFERROR(Y51*I51/H51,"0")</f>
        <v>526.87</v>
      </c>
      <c r="BO51" s="68">
        <f>IFERROR(1/J51*(X51/H51),"0")</f>
        <v>0.72337962962962954</v>
      </c>
      <c r="BP51" s="68">
        <f>IFERROR(1/J51*(Y51/H51),"0")</f>
        <v>0.734375</v>
      </c>
    </row>
    <row r="52" spans="1:68" ht="27" customHeight="1" x14ac:dyDescent="0.25">
      <c r="A52" s="57" t="s">
        <v>124</v>
      </c>
      <c r="B52" s="57" t="s">
        <v>125</v>
      </c>
      <c r="C52" s="31">
        <v>4301012053</v>
      </c>
      <c r="D52" s="601">
        <v>4680115887725</v>
      </c>
      <c r="E52" s="602"/>
      <c r="F52" s="56">
        <v>0.11</v>
      </c>
      <c r="G52" s="32">
        <v>10</v>
      </c>
      <c r="H52" s="56">
        <v>1.1000000000000001</v>
      </c>
      <c r="I52" s="56">
        <v>1.31</v>
      </c>
      <c r="J52" s="32">
        <v>192</v>
      </c>
      <c r="K52" s="32" t="s">
        <v>126</v>
      </c>
      <c r="L52" s="32"/>
      <c r="M52" s="33" t="s">
        <v>67</v>
      </c>
      <c r="N52" s="33"/>
      <c r="O52" s="32">
        <v>30</v>
      </c>
      <c r="P52" s="85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4"/>
      <c r="V52" s="34"/>
      <c r="W52" s="35" t="s">
        <v>68</v>
      </c>
      <c r="X52" s="53">
        <v>0</v>
      </c>
      <c r="Y52" s="50">
        <f>IFERROR(IF(X52="",0,CEILING((X52/$H52),1)*$H52),"")</f>
        <v>0</v>
      </c>
      <c r="Z52" s="36" t="str">
        <f>IFERROR(IF(Y52=0,"",ROUNDUP(Y52/H52,0)*0.00726),"")</f>
        <v/>
      </c>
      <c r="AA52" s="60"/>
      <c r="AB52" s="61"/>
      <c r="AC52" s="100" t="s">
        <v>127</v>
      </c>
      <c r="AG52" s="68"/>
      <c r="AJ52" s="71"/>
      <c r="AK52" s="71">
        <v>0</v>
      </c>
      <c r="BB52" s="101" t="s">
        <v>1</v>
      </c>
      <c r="BM52" s="68">
        <f>IFERROR(X52*I52/H52,"0")</f>
        <v>0</v>
      </c>
      <c r="BN52" s="68">
        <f>IFERROR(Y52*I52/H52,"0")</f>
        <v>0</v>
      </c>
      <c r="BO52" s="68">
        <f>IFERROR(1/J52*(X52/H52),"0")</f>
        <v>0</v>
      </c>
      <c r="BP52" s="68">
        <f>IFERROR(1/J52*(Y52/H52),"0")</f>
        <v>0</v>
      </c>
    </row>
    <row r="53" spans="1:68" ht="27" customHeight="1" x14ac:dyDescent="0.25">
      <c r="A53" s="57" t="s">
        <v>128</v>
      </c>
      <c r="B53" s="57" t="s">
        <v>129</v>
      </c>
      <c r="C53" s="31">
        <v>4301011382</v>
      </c>
      <c r="D53" s="601">
        <v>4607091385687</v>
      </c>
      <c r="E53" s="602"/>
      <c r="F53" s="56">
        <v>0.4</v>
      </c>
      <c r="G53" s="32">
        <v>10</v>
      </c>
      <c r="H53" s="56">
        <v>4</v>
      </c>
      <c r="I53" s="56">
        <v>4.1900000000000004</v>
      </c>
      <c r="J53" s="32">
        <v>132</v>
      </c>
      <c r="K53" s="32" t="s">
        <v>130</v>
      </c>
      <c r="L53" s="32"/>
      <c r="M53" s="33" t="s">
        <v>79</v>
      </c>
      <c r="N53" s="33"/>
      <c r="O53" s="32">
        <v>50</v>
      </c>
      <c r="P53" s="8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4"/>
      <c r="V53" s="34"/>
      <c r="W53" s="35" t="s">
        <v>68</v>
      </c>
      <c r="X53" s="53">
        <v>0</v>
      </c>
      <c r="Y53" s="50">
        <f>IFERROR(IF(X53="",0,CEILING((X53/$H53),1)*$H53),"")</f>
        <v>0</v>
      </c>
      <c r="Z53" s="36" t="str">
        <f>IFERROR(IF(Y53=0,"",ROUNDUP(Y53/H53,0)*0.00902),"")</f>
        <v/>
      </c>
      <c r="AA53" s="60"/>
      <c r="AB53" s="61"/>
      <c r="AC53" s="102" t="s">
        <v>123</v>
      </c>
      <c r="AG53" s="68"/>
      <c r="AJ53" s="71"/>
      <c r="AK53" s="71">
        <v>0</v>
      </c>
      <c r="BB53" s="103" t="s">
        <v>1</v>
      </c>
      <c r="BM53" s="68">
        <f>IFERROR(X53*I53/H53,"0")</f>
        <v>0</v>
      </c>
      <c r="BN53" s="68">
        <f>IFERROR(Y53*I53/H53,"0")</f>
        <v>0</v>
      </c>
      <c r="BO53" s="68">
        <f>IFERROR(1/J53*(X53/H53),"0")</f>
        <v>0</v>
      </c>
      <c r="BP53" s="68">
        <f>IFERROR(1/J53*(Y53/H53),"0")</f>
        <v>0</v>
      </c>
    </row>
    <row r="54" spans="1:68" ht="27" customHeight="1" x14ac:dyDescent="0.25">
      <c r="A54" s="57" t="s">
        <v>131</v>
      </c>
      <c r="B54" s="57" t="s">
        <v>132</v>
      </c>
      <c r="C54" s="31">
        <v>4301011565</v>
      </c>
      <c r="D54" s="601">
        <v>4680115882539</v>
      </c>
      <c r="E54" s="602"/>
      <c r="F54" s="56">
        <v>0.37</v>
      </c>
      <c r="G54" s="32">
        <v>10</v>
      </c>
      <c r="H54" s="56">
        <v>3.7</v>
      </c>
      <c r="I54" s="56">
        <v>3.89</v>
      </c>
      <c r="J54" s="32">
        <v>132</v>
      </c>
      <c r="K54" s="32" t="s">
        <v>130</v>
      </c>
      <c r="L54" s="32"/>
      <c r="M54" s="33" t="s">
        <v>79</v>
      </c>
      <c r="N54" s="33"/>
      <c r="O54" s="32">
        <v>50</v>
      </c>
      <c r="P54" s="6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4"/>
      <c r="V54" s="34"/>
      <c r="W54" s="35" t="s">
        <v>68</v>
      </c>
      <c r="X54" s="53">
        <v>0</v>
      </c>
      <c r="Y54" s="50">
        <f>IFERROR(IF(X54="",0,CEILING((X54/$H54),1)*$H54),"")</f>
        <v>0</v>
      </c>
      <c r="Z54" s="36" t="str">
        <f>IFERROR(IF(Y54=0,"",ROUNDUP(Y54/H54,0)*0.00902),"")</f>
        <v/>
      </c>
      <c r="AA54" s="60"/>
      <c r="AB54" s="61"/>
      <c r="AC54" s="104" t="s">
        <v>123</v>
      </c>
      <c r="AG54" s="68"/>
      <c r="AJ54" s="71"/>
      <c r="AK54" s="71">
        <v>0</v>
      </c>
      <c r="BB54" s="105" t="s">
        <v>1</v>
      </c>
      <c r="BM54" s="68">
        <f>IFERROR(X54*I54/H54,"0")</f>
        <v>0</v>
      </c>
      <c r="BN54" s="68">
        <f>IFERROR(Y54*I54/H54,"0")</f>
        <v>0</v>
      </c>
      <c r="BO54" s="68">
        <f>IFERROR(1/J54*(X54/H54),"0")</f>
        <v>0</v>
      </c>
      <c r="BP54" s="68">
        <f>IFERROR(1/J54*(Y54/H54),"0")</f>
        <v>0</v>
      </c>
    </row>
    <row r="55" spans="1:68" x14ac:dyDescent="0.25">
      <c r="A55" s="612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13"/>
      <c r="P55" s="630" t="s">
        <v>73</v>
      </c>
      <c r="Q55" s="622"/>
      <c r="R55" s="622"/>
      <c r="S55" s="622"/>
      <c r="T55" s="622"/>
      <c r="U55" s="622"/>
      <c r="V55" s="623"/>
      <c r="W55" s="37" t="s">
        <v>74</v>
      </c>
      <c r="X55" s="38">
        <f>IFERROR(X51/H51,"0")+IFERROR(X52/H52,"0")+IFERROR(X53/H53,"0")+IFERROR(X54/H54,"0")</f>
        <v>46.296296296296291</v>
      </c>
      <c r="Y55" s="38">
        <f>IFERROR(Y51/H51,"0")+IFERROR(Y52/H52,"0")+IFERROR(Y53/H53,"0")+IFERROR(Y54/H54,"0")</f>
        <v>47</v>
      </c>
      <c r="Z55" s="38">
        <f>IFERROR(IF(Z51="",0,Z51),"0")+IFERROR(IF(Z52="",0,Z52),"0")+IFERROR(IF(Z53="",0,Z53),"0")+IFERROR(IF(Z54="",0,Z54),"0")</f>
        <v>0.89205999999999996</v>
      </c>
      <c r="AA55" s="59"/>
      <c r="AB55" s="59"/>
      <c r="AC55" s="59"/>
    </row>
    <row r="56" spans="1:68" x14ac:dyDescent="0.25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13"/>
      <c r="P56" s="630" t="s">
        <v>73</v>
      </c>
      <c r="Q56" s="622"/>
      <c r="R56" s="622"/>
      <c r="S56" s="622"/>
      <c r="T56" s="622"/>
      <c r="U56" s="622"/>
      <c r="V56" s="623"/>
      <c r="W56" s="37" t="s">
        <v>68</v>
      </c>
      <c r="X56" s="38">
        <f>IFERROR(SUM(X51:X54),"0")</f>
        <v>500</v>
      </c>
      <c r="Y56" s="38">
        <f>IFERROR(SUM(Y51:Y54),"0")</f>
        <v>507.6</v>
      </c>
      <c r="Z56" s="37"/>
      <c r="AA56" s="59"/>
      <c r="AB56" s="59"/>
      <c r="AC56" s="59"/>
    </row>
    <row r="57" spans="1:68" ht="16.5" customHeight="1" x14ac:dyDescent="0.25">
      <c r="A57" s="606" t="s">
        <v>133</v>
      </c>
      <c r="B57" s="607"/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592"/>
      <c r="AB57" s="592"/>
      <c r="AC57" s="592"/>
    </row>
    <row r="58" spans="1:68" ht="14.25" customHeight="1" x14ac:dyDescent="0.25">
      <c r="A58" s="615" t="s">
        <v>118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588"/>
      <c r="AB58" s="588"/>
      <c r="AC58" s="588"/>
    </row>
    <row r="59" spans="1:68" ht="27" customHeight="1" x14ac:dyDescent="0.25">
      <c r="A59" s="57" t="s">
        <v>134</v>
      </c>
      <c r="B59" s="57" t="s">
        <v>135</v>
      </c>
      <c r="C59" s="31">
        <v>4301012030</v>
      </c>
      <c r="D59" s="601">
        <v>4680115885882</v>
      </c>
      <c r="E59" s="602"/>
      <c r="F59" s="56">
        <v>1.4</v>
      </c>
      <c r="G59" s="32">
        <v>8</v>
      </c>
      <c r="H59" s="56">
        <v>11.2</v>
      </c>
      <c r="I59" s="56">
        <v>11.61</v>
      </c>
      <c r="J59" s="32">
        <v>64</v>
      </c>
      <c r="K59" s="32" t="s">
        <v>121</v>
      </c>
      <c r="L59" s="32"/>
      <c r="M59" s="33" t="s">
        <v>79</v>
      </c>
      <c r="N59" s="33"/>
      <c r="O59" s="32">
        <v>50</v>
      </c>
      <c r="P59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4"/>
      <c r="V59" s="34"/>
      <c r="W59" s="35" t="s">
        <v>68</v>
      </c>
      <c r="X59" s="53">
        <v>0</v>
      </c>
      <c r="Y59" s="50">
        <f t="shared" ref="Y59:Y65" si="6">IFERROR(IF(X59="",0,CEILING((X59/$H59),1)*$H59),"")</f>
        <v>0</v>
      </c>
      <c r="Z59" s="36" t="str">
        <f>IFERROR(IF(Y59=0,"",ROUNDUP(Y59/H59,0)*0.01898),"")</f>
        <v/>
      </c>
      <c r="AA59" s="60"/>
      <c r="AB59" s="61"/>
      <c r="AC59" s="106" t="s">
        <v>136</v>
      </c>
      <c r="AG59" s="68"/>
      <c r="AJ59" s="71"/>
      <c r="AK59" s="71">
        <v>0</v>
      </c>
      <c r="BB59" s="107" t="s">
        <v>1</v>
      </c>
      <c r="BM59" s="68">
        <f t="shared" ref="BM59:BM65" si="7">IFERROR(X59*I59/H59,"0")</f>
        <v>0</v>
      </c>
      <c r="BN59" s="68">
        <f t="shared" ref="BN59:BN65" si="8">IFERROR(Y59*I59/H59,"0")</f>
        <v>0</v>
      </c>
      <c r="BO59" s="68">
        <f t="shared" ref="BO59:BO65" si="9">IFERROR(1/J59*(X59/H59),"0")</f>
        <v>0</v>
      </c>
      <c r="BP59" s="68">
        <f t="shared" ref="BP59:BP65" si="10">IFERROR(1/J59*(Y59/H59),"0")</f>
        <v>0</v>
      </c>
    </row>
    <row r="60" spans="1:68" ht="27" customHeight="1" x14ac:dyDescent="0.25">
      <c r="A60" s="57" t="s">
        <v>134</v>
      </c>
      <c r="B60" s="57" t="s">
        <v>137</v>
      </c>
      <c r="C60" s="31">
        <v>4301012161</v>
      </c>
      <c r="D60" s="601">
        <v>4680115885882</v>
      </c>
      <c r="E60" s="602"/>
      <c r="F60" s="56">
        <v>1.4</v>
      </c>
      <c r="G60" s="32">
        <v>8</v>
      </c>
      <c r="H60" s="56">
        <v>11.2</v>
      </c>
      <c r="I60" s="56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69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4"/>
      <c r="V60" s="34"/>
      <c r="W60" s="35" t="s">
        <v>68</v>
      </c>
      <c r="X60" s="53">
        <v>0</v>
      </c>
      <c r="Y60" s="50">
        <f t="shared" si="6"/>
        <v>0</v>
      </c>
      <c r="Z60" s="36" t="str">
        <f>IFERROR(IF(Y60=0,"",ROUNDUP(Y60/H60,0)*0.01898),"")</f>
        <v/>
      </c>
      <c r="AA60" s="60"/>
      <c r="AB60" s="61"/>
      <c r="AC60" s="108" t="s">
        <v>138</v>
      </c>
      <c r="AG60" s="68"/>
      <c r="AJ60" s="71"/>
      <c r="AK60" s="71">
        <v>0</v>
      </c>
      <c r="BB60" s="109" t="s">
        <v>1</v>
      </c>
      <c r="BM60" s="68">
        <f t="shared" si="7"/>
        <v>0</v>
      </c>
      <c r="BN60" s="68">
        <f t="shared" si="8"/>
        <v>0</v>
      </c>
      <c r="BO60" s="68">
        <f t="shared" si="9"/>
        <v>0</v>
      </c>
      <c r="BP60" s="68">
        <f t="shared" si="10"/>
        <v>0</v>
      </c>
    </row>
    <row r="61" spans="1:68" ht="27" customHeight="1" x14ac:dyDescent="0.25">
      <c r="A61" s="57" t="s">
        <v>139</v>
      </c>
      <c r="B61" s="57" t="s">
        <v>140</v>
      </c>
      <c r="C61" s="31">
        <v>4301011816</v>
      </c>
      <c r="D61" s="601">
        <v>4680115881426</v>
      </c>
      <c r="E61" s="602"/>
      <c r="F61" s="56">
        <v>1.35</v>
      </c>
      <c r="G61" s="32">
        <v>8</v>
      </c>
      <c r="H61" s="56">
        <v>10.8</v>
      </c>
      <c r="I61" s="56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7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4"/>
      <c r="V61" s="34"/>
      <c r="W61" s="35" t="s">
        <v>68</v>
      </c>
      <c r="X61" s="53">
        <v>0</v>
      </c>
      <c r="Y61" s="50">
        <f t="shared" si="6"/>
        <v>0</v>
      </c>
      <c r="Z61" s="36" t="str">
        <f>IFERROR(IF(Y61=0,"",ROUNDUP(Y61/H61,0)*0.01898),"")</f>
        <v/>
      </c>
      <c r="AA61" s="60"/>
      <c r="AB61" s="61"/>
      <c r="AC61" s="110" t="s">
        <v>141</v>
      </c>
      <c r="AG61" s="68"/>
      <c r="AJ61" s="71"/>
      <c r="AK61" s="71">
        <v>0</v>
      </c>
      <c r="BB61" s="111" t="s">
        <v>1</v>
      </c>
      <c r="BM61" s="68">
        <f t="shared" si="7"/>
        <v>0</v>
      </c>
      <c r="BN61" s="68">
        <f t="shared" si="8"/>
        <v>0</v>
      </c>
      <c r="BO61" s="68">
        <f t="shared" si="9"/>
        <v>0</v>
      </c>
      <c r="BP61" s="68">
        <f t="shared" si="10"/>
        <v>0</v>
      </c>
    </row>
    <row r="62" spans="1:68" ht="27" customHeight="1" x14ac:dyDescent="0.25">
      <c r="A62" s="57" t="s">
        <v>142</v>
      </c>
      <c r="B62" s="57" t="s">
        <v>143</v>
      </c>
      <c r="C62" s="31">
        <v>4301011386</v>
      </c>
      <c r="D62" s="601">
        <v>4680115880283</v>
      </c>
      <c r="E62" s="602"/>
      <c r="F62" s="56">
        <v>0.6</v>
      </c>
      <c r="G62" s="32">
        <v>8</v>
      </c>
      <c r="H62" s="56">
        <v>4.8</v>
      </c>
      <c r="I62" s="56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4"/>
      <c r="V62" s="34"/>
      <c r="W62" s="35" t="s">
        <v>68</v>
      </c>
      <c r="X62" s="53">
        <v>0</v>
      </c>
      <c r="Y62" s="50">
        <f t="shared" si="6"/>
        <v>0</v>
      </c>
      <c r="Z62" s="36" t="str">
        <f>IFERROR(IF(Y62=0,"",ROUNDUP(Y62/H62,0)*0.00902),"")</f>
        <v/>
      </c>
      <c r="AA62" s="60"/>
      <c r="AB62" s="61"/>
      <c r="AC62" s="112" t="s">
        <v>144</v>
      </c>
      <c r="AG62" s="68"/>
      <c r="AJ62" s="71"/>
      <c r="AK62" s="71">
        <v>0</v>
      </c>
      <c r="BB62" s="113" t="s">
        <v>1</v>
      </c>
      <c r="BM62" s="68">
        <f t="shared" si="7"/>
        <v>0</v>
      </c>
      <c r="BN62" s="68">
        <f t="shared" si="8"/>
        <v>0</v>
      </c>
      <c r="BO62" s="68">
        <f t="shared" si="9"/>
        <v>0</v>
      </c>
      <c r="BP62" s="68">
        <f t="shared" si="10"/>
        <v>0</v>
      </c>
    </row>
    <row r="63" spans="1:68" ht="27" customHeight="1" x14ac:dyDescent="0.25">
      <c r="A63" s="57" t="s">
        <v>145</v>
      </c>
      <c r="B63" s="57" t="s">
        <v>146</v>
      </c>
      <c r="C63" s="31">
        <v>4301011806</v>
      </c>
      <c r="D63" s="601">
        <v>4680115881525</v>
      </c>
      <c r="E63" s="602"/>
      <c r="F63" s="56">
        <v>0.4</v>
      </c>
      <c r="G63" s="32">
        <v>10</v>
      </c>
      <c r="H63" s="56">
        <v>4</v>
      </c>
      <c r="I63" s="56">
        <v>4.1900000000000004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50</v>
      </c>
      <c r="P63" s="85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4"/>
      <c r="V63" s="34"/>
      <c r="W63" s="35" t="s">
        <v>68</v>
      </c>
      <c r="X63" s="53">
        <v>0</v>
      </c>
      <c r="Y63" s="50">
        <f t="shared" si="6"/>
        <v>0</v>
      </c>
      <c r="Z63" s="36" t="str">
        <f>IFERROR(IF(Y63=0,"",ROUNDUP(Y63/H63,0)*0.00902),"")</f>
        <v/>
      </c>
      <c r="AA63" s="60"/>
      <c r="AB63" s="61"/>
      <c r="AC63" s="114" t="s">
        <v>147</v>
      </c>
      <c r="AG63" s="68"/>
      <c r="AJ63" s="71"/>
      <c r="AK63" s="71">
        <v>0</v>
      </c>
      <c r="BB63" s="115" t="s">
        <v>1</v>
      </c>
      <c r="BM63" s="68">
        <f t="shared" si="7"/>
        <v>0</v>
      </c>
      <c r="BN63" s="68">
        <f t="shared" si="8"/>
        <v>0</v>
      </c>
      <c r="BO63" s="68">
        <f t="shared" si="9"/>
        <v>0</v>
      </c>
      <c r="BP63" s="68">
        <f t="shared" si="10"/>
        <v>0</v>
      </c>
    </row>
    <row r="64" spans="1:68" ht="27" customHeight="1" x14ac:dyDescent="0.25">
      <c r="A64" s="57" t="s">
        <v>148</v>
      </c>
      <c r="B64" s="57" t="s">
        <v>149</v>
      </c>
      <c r="C64" s="31">
        <v>4301012165</v>
      </c>
      <c r="D64" s="601">
        <v>4680115885899</v>
      </c>
      <c r="E64" s="602"/>
      <c r="F64" s="56">
        <v>0.35</v>
      </c>
      <c r="G64" s="32">
        <v>6</v>
      </c>
      <c r="H64" s="56">
        <v>2.1</v>
      </c>
      <c r="I64" s="56">
        <v>2.2799999999999998</v>
      </c>
      <c r="J64" s="32">
        <v>182</v>
      </c>
      <c r="K64" s="32" t="s">
        <v>78</v>
      </c>
      <c r="L64" s="32"/>
      <c r="M64" s="33" t="s">
        <v>122</v>
      </c>
      <c r="N64" s="33"/>
      <c r="O64" s="32">
        <v>50</v>
      </c>
      <c r="P64" s="6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4"/>
      <c r="V64" s="34"/>
      <c r="W64" s="35" t="s">
        <v>68</v>
      </c>
      <c r="X64" s="53">
        <v>0</v>
      </c>
      <c r="Y64" s="50">
        <f t="shared" si="6"/>
        <v>0</v>
      </c>
      <c r="Z64" s="36" t="str">
        <f>IFERROR(IF(Y64=0,"",ROUNDUP(Y64/H64,0)*0.00651),"")</f>
        <v/>
      </c>
      <c r="AA64" s="60"/>
      <c r="AB64" s="61"/>
      <c r="AC64" s="116" t="s">
        <v>138</v>
      </c>
      <c r="AG64" s="68"/>
      <c r="AJ64" s="71"/>
      <c r="AK64" s="71">
        <v>0</v>
      </c>
      <c r="BB64" s="117" t="s">
        <v>1</v>
      </c>
      <c r="BM64" s="68">
        <f t="shared" si="7"/>
        <v>0</v>
      </c>
      <c r="BN64" s="68">
        <f t="shared" si="8"/>
        <v>0</v>
      </c>
      <c r="BO64" s="68">
        <f t="shared" si="9"/>
        <v>0</v>
      </c>
      <c r="BP64" s="68">
        <f t="shared" si="10"/>
        <v>0</v>
      </c>
    </row>
    <row r="65" spans="1:68" ht="37.5" customHeight="1" x14ac:dyDescent="0.25">
      <c r="A65" s="57" t="s">
        <v>150</v>
      </c>
      <c r="B65" s="57" t="s">
        <v>151</v>
      </c>
      <c r="C65" s="31">
        <v>4301011801</v>
      </c>
      <c r="D65" s="601">
        <v>4680115881419</v>
      </c>
      <c r="E65" s="602"/>
      <c r="F65" s="56">
        <v>0.45</v>
      </c>
      <c r="G65" s="32">
        <v>10</v>
      </c>
      <c r="H65" s="56">
        <v>4.5</v>
      </c>
      <c r="I65" s="56">
        <v>4.6900000000000004</v>
      </c>
      <c r="J65" s="32">
        <v>132</v>
      </c>
      <c r="K65" s="32" t="s">
        <v>130</v>
      </c>
      <c r="L65" s="32"/>
      <c r="M65" s="33" t="s">
        <v>122</v>
      </c>
      <c r="N65" s="33"/>
      <c r="O65" s="32">
        <v>50</v>
      </c>
      <c r="P65" s="6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4"/>
      <c r="V65" s="34"/>
      <c r="W65" s="35" t="s">
        <v>68</v>
      </c>
      <c r="X65" s="53">
        <v>22.5</v>
      </c>
      <c r="Y65" s="50">
        <f t="shared" si="6"/>
        <v>22.5</v>
      </c>
      <c r="Z65" s="36">
        <f>IFERROR(IF(Y65=0,"",ROUNDUP(Y65/H65,0)*0.00902),"")</f>
        <v>4.5100000000000001E-2</v>
      </c>
      <c r="AA65" s="60"/>
      <c r="AB65" s="61"/>
      <c r="AC65" s="118" t="s">
        <v>152</v>
      </c>
      <c r="AG65" s="68"/>
      <c r="AJ65" s="71"/>
      <c r="AK65" s="71">
        <v>0</v>
      </c>
      <c r="BB65" s="119" t="s">
        <v>1</v>
      </c>
      <c r="BM65" s="68">
        <f t="shared" si="7"/>
        <v>23.450000000000003</v>
      </c>
      <c r="BN65" s="68">
        <f t="shared" si="8"/>
        <v>23.450000000000003</v>
      </c>
      <c r="BO65" s="68">
        <f t="shared" si="9"/>
        <v>3.787878787878788E-2</v>
      </c>
      <c r="BP65" s="68">
        <f t="shared" si="10"/>
        <v>3.787878787878788E-2</v>
      </c>
    </row>
    <row r="66" spans="1:68" x14ac:dyDescent="0.25">
      <c r="A66" s="612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13"/>
      <c r="P66" s="630" t="s">
        <v>73</v>
      </c>
      <c r="Q66" s="622"/>
      <c r="R66" s="622"/>
      <c r="S66" s="622"/>
      <c r="T66" s="622"/>
      <c r="U66" s="622"/>
      <c r="V66" s="623"/>
      <c r="W66" s="37" t="s">
        <v>74</v>
      </c>
      <c r="X66" s="38">
        <f>IFERROR(X59/H59,"0")+IFERROR(X60/H60,"0")+IFERROR(X61/H61,"0")+IFERROR(X62/H62,"0")+IFERROR(X63/H63,"0")+IFERROR(X64/H64,"0")+IFERROR(X65/H65,"0")</f>
        <v>5</v>
      </c>
      <c r="Y66" s="38">
        <f>IFERROR(Y59/H59,"0")+IFERROR(Y60/H60,"0")+IFERROR(Y61/H61,"0")+IFERROR(Y62/H62,"0")+IFERROR(Y63/H63,"0")+IFERROR(Y64/H64,"0")+IFERROR(Y65/H65,"0")</f>
        <v>5</v>
      </c>
      <c r="Z66" s="38">
        <f>IFERROR(IF(Z59="",0,Z59),"0")+IFERROR(IF(Z60="",0,Z60),"0")+IFERROR(IF(Z61="",0,Z61),"0")+IFERROR(IF(Z62="",0,Z62),"0")+IFERROR(IF(Z63="",0,Z63),"0")+IFERROR(IF(Z64="",0,Z64),"0")+IFERROR(IF(Z65="",0,Z65),"0")</f>
        <v>4.5100000000000001E-2</v>
      </c>
      <c r="AA66" s="59"/>
      <c r="AB66" s="59"/>
      <c r="AC66" s="59"/>
    </row>
    <row r="67" spans="1:68" x14ac:dyDescent="0.25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13"/>
      <c r="P67" s="630" t="s">
        <v>73</v>
      </c>
      <c r="Q67" s="622"/>
      <c r="R67" s="622"/>
      <c r="S67" s="622"/>
      <c r="T67" s="622"/>
      <c r="U67" s="622"/>
      <c r="V67" s="623"/>
      <c r="W67" s="37" t="s">
        <v>68</v>
      </c>
      <c r="X67" s="38">
        <f>IFERROR(SUM(X59:X65),"0")</f>
        <v>22.5</v>
      </c>
      <c r="Y67" s="38">
        <f>IFERROR(SUM(Y59:Y65),"0")</f>
        <v>22.5</v>
      </c>
      <c r="Z67" s="37"/>
      <c r="AA67" s="59"/>
      <c r="AB67" s="59"/>
      <c r="AC67" s="59"/>
    </row>
    <row r="68" spans="1:68" ht="14.25" customHeight="1" x14ac:dyDescent="0.25">
      <c r="A68" s="615" t="s">
        <v>153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588"/>
      <c r="AB68" s="588"/>
      <c r="AC68" s="588"/>
    </row>
    <row r="69" spans="1:68" ht="16.5" customHeight="1" x14ac:dyDescent="0.25">
      <c r="A69" s="57" t="s">
        <v>154</v>
      </c>
      <c r="B69" s="57" t="s">
        <v>155</v>
      </c>
      <c r="C69" s="31">
        <v>4301020298</v>
      </c>
      <c r="D69" s="601">
        <v>4680115881440</v>
      </c>
      <c r="E69" s="602"/>
      <c r="F69" s="56">
        <v>1.35</v>
      </c>
      <c r="G69" s="32">
        <v>8</v>
      </c>
      <c r="H69" s="56">
        <v>10.8</v>
      </c>
      <c r="I69" s="56">
        <v>11.21</v>
      </c>
      <c r="J69" s="32">
        <v>64</v>
      </c>
      <c r="K69" s="32" t="s">
        <v>121</v>
      </c>
      <c r="L69" s="32"/>
      <c r="M69" s="33" t="s">
        <v>122</v>
      </c>
      <c r="N69" s="33"/>
      <c r="O69" s="32">
        <v>50</v>
      </c>
      <c r="P69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4"/>
      <c r="V69" s="34"/>
      <c r="W69" s="35" t="s">
        <v>68</v>
      </c>
      <c r="X69" s="53">
        <v>0</v>
      </c>
      <c r="Y69" s="50">
        <f>IFERROR(IF(X69="",0,CEILING((X69/$H69),1)*$H69),"")</f>
        <v>0</v>
      </c>
      <c r="Z69" s="36" t="str">
        <f>IFERROR(IF(Y69=0,"",ROUNDUP(Y69/H69,0)*0.01898),"")</f>
        <v/>
      </c>
      <c r="AA69" s="60"/>
      <c r="AB69" s="61"/>
      <c r="AC69" s="120" t="s">
        <v>156</v>
      </c>
      <c r="AG69" s="68"/>
      <c r="AJ69" s="71"/>
      <c r="AK69" s="71">
        <v>0</v>
      </c>
      <c r="BB69" s="121" t="s">
        <v>1</v>
      </c>
      <c r="BM69" s="68">
        <f>IFERROR(X69*I69/H69,"0")</f>
        <v>0</v>
      </c>
      <c r="BN69" s="68">
        <f>IFERROR(Y69*I69/H69,"0")</f>
        <v>0</v>
      </c>
      <c r="BO69" s="68">
        <f>IFERROR(1/J69*(X69/H69),"0")</f>
        <v>0</v>
      </c>
      <c r="BP69" s="68">
        <f>IFERROR(1/J69*(Y69/H69),"0")</f>
        <v>0</v>
      </c>
    </row>
    <row r="70" spans="1:68" ht="16.5" customHeight="1" x14ac:dyDescent="0.25">
      <c r="A70" s="57" t="s">
        <v>157</v>
      </c>
      <c r="B70" s="57" t="s">
        <v>158</v>
      </c>
      <c r="C70" s="31">
        <v>4301020358</v>
      </c>
      <c r="D70" s="601">
        <v>4680115885950</v>
      </c>
      <c r="E70" s="602"/>
      <c r="F70" s="56">
        <v>0.37</v>
      </c>
      <c r="G70" s="32">
        <v>6</v>
      </c>
      <c r="H70" s="56">
        <v>2.2200000000000002</v>
      </c>
      <c r="I70" s="56">
        <v>2.4</v>
      </c>
      <c r="J70" s="32">
        <v>182</v>
      </c>
      <c r="K70" s="32" t="s">
        <v>78</v>
      </c>
      <c r="L70" s="32"/>
      <c r="M70" s="33" t="s">
        <v>79</v>
      </c>
      <c r="N70" s="33"/>
      <c r="O70" s="32">
        <v>50</v>
      </c>
      <c r="P70" s="67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4"/>
      <c r="V70" s="34"/>
      <c r="W70" s="35" t="s">
        <v>68</v>
      </c>
      <c r="X70" s="53">
        <v>0</v>
      </c>
      <c r="Y70" s="50">
        <f>IFERROR(IF(X70="",0,CEILING((X70/$H70),1)*$H70),"")</f>
        <v>0</v>
      </c>
      <c r="Z70" s="36" t="str">
        <f>IFERROR(IF(Y70=0,"",ROUNDUP(Y70/H70,0)*0.00651),"")</f>
        <v/>
      </c>
      <c r="AA70" s="60"/>
      <c r="AB70" s="61"/>
      <c r="AC70" s="122" t="s">
        <v>156</v>
      </c>
      <c r="AG70" s="68"/>
      <c r="AJ70" s="71"/>
      <c r="AK70" s="71">
        <v>0</v>
      </c>
      <c r="BB70" s="123" t="s">
        <v>1</v>
      </c>
      <c r="BM70" s="68">
        <f>IFERROR(X70*I70/H70,"0")</f>
        <v>0</v>
      </c>
      <c r="BN70" s="68">
        <f>IFERROR(Y70*I70/H70,"0")</f>
        <v>0</v>
      </c>
      <c r="BO70" s="68">
        <f>IFERROR(1/J70*(X70/H70),"0")</f>
        <v>0</v>
      </c>
      <c r="BP70" s="68">
        <f>IFERROR(1/J70*(Y70/H70),"0")</f>
        <v>0</v>
      </c>
    </row>
    <row r="71" spans="1:68" ht="16.5" customHeight="1" x14ac:dyDescent="0.25">
      <c r="A71" s="57" t="s">
        <v>159</v>
      </c>
      <c r="B71" s="57" t="s">
        <v>160</v>
      </c>
      <c r="C71" s="31">
        <v>4301020371</v>
      </c>
      <c r="D71" s="601">
        <v>4680115887688</v>
      </c>
      <c r="E71" s="602"/>
      <c r="F71" s="56">
        <v>0.1</v>
      </c>
      <c r="G71" s="32">
        <v>10</v>
      </c>
      <c r="H71" s="56">
        <v>1</v>
      </c>
      <c r="I71" s="56">
        <v>1.21</v>
      </c>
      <c r="J71" s="32">
        <v>192</v>
      </c>
      <c r="K71" s="32" t="s">
        <v>126</v>
      </c>
      <c r="L71" s="32"/>
      <c r="M71" s="33" t="s">
        <v>67</v>
      </c>
      <c r="N71" s="33"/>
      <c r="O71" s="32">
        <v>30</v>
      </c>
      <c r="P71" s="6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4"/>
      <c r="V71" s="34"/>
      <c r="W71" s="35" t="s">
        <v>68</v>
      </c>
      <c r="X71" s="53">
        <v>0</v>
      </c>
      <c r="Y71" s="50">
        <f>IFERROR(IF(X71="",0,CEILING((X71/$H71),1)*$H71),"")</f>
        <v>0</v>
      </c>
      <c r="Z71" s="36" t="str">
        <f>IFERROR(IF(Y71=0,"",ROUNDUP(Y71/H71,0)*0.00726),"")</f>
        <v/>
      </c>
      <c r="AA71" s="60"/>
      <c r="AB71" s="61"/>
      <c r="AC71" s="124" t="s">
        <v>161</v>
      </c>
      <c r="AG71" s="68"/>
      <c r="AJ71" s="71"/>
      <c r="AK71" s="71">
        <v>0</v>
      </c>
      <c r="BB71" s="125" t="s">
        <v>1</v>
      </c>
      <c r="BM71" s="68">
        <f>IFERROR(X71*I71/H71,"0")</f>
        <v>0</v>
      </c>
      <c r="BN71" s="68">
        <f>IFERROR(Y71*I71/H71,"0")</f>
        <v>0</v>
      </c>
      <c r="BO71" s="68">
        <f>IFERROR(1/J71*(X71/H71),"0")</f>
        <v>0</v>
      </c>
      <c r="BP71" s="68">
        <f>IFERROR(1/J71*(Y71/H71),"0")</f>
        <v>0</v>
      </c>
    </row>
    <row r="72" spans="1:68" ht="27" customHeight="1" x14ac:dyDescent="0.25">
      <c r="A72" s="57" t="s">
        <v>162</v>
      </c>
      <c r="B72" s="57" t="s">
        <v>163</v>
      </c>
      <c r="C72" s="31">
        <v>4301020296</v>
      </c>
      <c r="D72" s="601">
        <v>4680115881433</v>
      </c>
      <c r="E72" s="602"/>
      <c r="F72" s="56">
        <v>0.45</v>
      </c>
      <c r="G72" s="32">
        <v>6</v>
      </c>
      <c r="H72" s="56">
        <v>2.7</v>
      </c>
      <c r="I72" s="56">
        <v>2.88</v>
      </c>
      <c r="J72" s="32">
        <v>182</v>
      </c>
      <c r="K72" s="32" t="s">
        <v>78</v>
      </c>
      <c r="L72" s="32"/>
      <c r="M72" s="33" t="s">
        <v>122</v>
      </c>
      <c r="N72" s="33"/>
      <c r="O72" s="32">
        <v>50</v>
      </c>
      <c r="P72" s="6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4"/>
      <c r="V72" s="34"/>
      <c r="W72" s="35" t="s">
        <v>68</v>
      </c>
      <c r="X72" s="53">
        <v>0</v>
      </c>
      <c r="Y72" s="50">
        <f>IFERROR(IF(X72="",0,CEILING((X72/$H72),1)*$H72),"")</f>
        <v>0</v>
      </c>
      <c r="Z72" s="36" t="str">
        <f>IFERROR(IF(Y72=0,"",ROUNDUP(Y72/H72,0)*0.00651),"")</f>
        <v/>
      </c>
      <c r="AA72" s="60"/>
      <c r="AB72" s="61"/>
      <c r="AC72" s="126" t="s">
        <v>156</v>
      </c>
      <c r="AG72" s="68"/>
      <c r="AJ72" s="71"/>
      <c r="AK72" s="71">
        <v>0</v>
      </c>
      <c r="BB72" s="127" t="s">
        <v>1</v>
      </c>
      <c r="BM72" s="68">
        <f>IFERROR(X72*I72/H72,"0")</f>
        <v>0</v>
      </c>
      <c r="BN72" s="68">
        <f>IFERROR(Y72*I72/H72,"0")</f>
        <v>0</v>
      </c>
      <c r="BO72" s="68">
        <f>IFERROR(1/J72*(X72/H72),"0")</f>
        <v>0</v>
      </c>
      <c r="BP72" s="68">
        <f>IFERROR(1/J72*(Y72/H72),"0")</f>
        <v>0</v>
      </c>
    </row>
    <row r="73" spans="1:68" x14ac:dyDescent="0.25">
      <c r="A73" s="612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13"/>
      <c r="P73" s="630" t="s">
        <v>73</v>
      </c>
      <c r="Q73" s="622"/>
      <c r="R73" s="622"/>
      <c r="S73" s="622"/>
      <c r="T73" s="622"/>
      <c r="U73" s="622"/>
      <c r="V73" s="623"/>
      <c r="W73" s="37" t="s">
        <v>74</v>
      </c>
      <c r="X73" s="38">
        <f>IFERROR(X69/H69,"0")+IFERROR(X70/H70,"0")+IFERROR(X71/H71,"0")+IFERROR(X72/H72,"0")</f>
        <v>0</v>
      </c>
      <c r="Y73" s="38">
        <f>IFERROR(Y69/H69,"0")+IFERROR(Y70/H70,"0")+IFERROR(Y71/H71,"0")+IFERROR(Y72/H72,"0")</f>
        <v>0</v>
      </c>
      <c r="Z73" s="38">
        <f>IFERROR(IF(Z69="",0,Z69),"0")+IFERROR(IF(Z70="",0,Z70),"0")+IFERROR(IF(Z71="",0,Z71),"0")+IFERROR(IF(Z72="",0,Z72),"0")</f>
        <v>0</v>
      </c>
      <c r="AA73" s="59"/>
      <c r="AB73" s="59"/>
      <c r="AC73" s="59"/>
    </row>
    <row r="74" spans="1:68" x14ac:dyDescent="0.25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13"/>
      <c r="P74" s="630" t="s">
        <v>73</v>
      </c>
      <c r="Q74" s="622"/>
      <c r="R74" s="622"/>
      <c r="S74" s="622"/>
      <c r="T74" s="622"/>
      <c r="U74" s="622"/>
      <c r="V74" s="623"/>
      <c r="W74" s="37" t="s">
        <v>68</v>
      </c>
      <c r="X74" s="38">
        <f>IFERROR(SUM(X69:X72),"0")</f>
        <v>0</v>
      </c>
      <c r="Y74" s="38">
        <f>IFERROR(SUM(Y69:Y72),"0")</f>
        <v>0</v>
      </c>
      <c r="Z74" s="37"/>
      <c r="AA74" s="59"/>
      <c r="AB74" s="59"/>
      <c r="AC74" s="59"/>
    </row>
    <row r="75" spans="1:68" ht="14.25" customHeight="1" x14ac:dyDescent="0.25">
      <c r="A75" s="615" t="s">
        <v>75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588"/>
      <c r="AB75" s="588"/>
      <c r="AC75" s="588"/>
    </row>
    <row r="76" spans="1:68" ht="16.5" customHeight="1" x14ac:dyDescent="0.25">
      <c r="A76" s="57" t="s">
        <v>164</v>
      </c>
      <c r="B76" s="57" t="s">
        <v>165</v>
      </c>
      <c r="C76" s="31">
        <v>4301051837</v>
      </c>
      <c r="D76" s="601">
        <v>4680115884311</v>
      </c>
      <c r="E76" s="602"/>
      <c r="F76" s="56">
        <v>0.3</v>
      </c>
      <c r="G76" s="32">
        <v>6</v>
      </c>
      <c r="H76" s="56">
        <v>1.8</v>
      </c>
      <c r="I76" s="56">
        <v>2.0459999999999998</v>
      </c>
      <c r="J76" s="32">
        <v>182</v>
      </c>
      <c r="K76" s="32" t="s">
        <v>78</v>
      </c>
      <c r="L76" s="32"/>
      <c r="M76" s="33" t="s">
        <v>79</v>
      </c>
      <c r="N76" s="33"/>
      <c r="O76" s="32">
        <v>40</v>
      </c>
      <c r="P76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4"/>
      <c r="V76" s="34"/>
      <c r="W76" s="35" t="s">
        <v>68</v>
      </c>
      <c r="X76" s="53">
        <v>0</v>
      </c>
      <c r="Y76" s="50">
        <f>IFERROR(IF(X76="",0,CEILING((X76/$H76),1)*$H76),"")</f>
        <v>0</v>
      </c>
      <c r="Z76" s="36" t="str">
        <f>IFERROR(IF(Y76=0,"",ROUNDUP(Y76/H76,0)*0.00651),"")</f>
        <v/>
      </c>
      <c r="AA76" s="60"/>
      <c r="AB76" s="61"/>
      <c r="AC76" s="128" t="s">
        <v>166</v>
      </c>
      <c r="AG76" s="68"/>
      <c r="AJ76" s="71"/>
      <c r="AK76" s="71">
        <v>0</v>
      </c>
      <c r="BB76" s="129" t="s">
        <v>1</v>
      </c>
      <c r="BM76" s="68">
        <f>IFERROR(X76*I76/H76,"0")</f>
        <v>0</v>
      </c>
      <c r="BN76" s="68">
        <f>IFERROR(Y76*I76/H76,"0")</f>
        <v>0</v>
      </c>
      <c r="BO76" s="68">
        <f>IFERROR(1/J76*(X76/H76),"0")</f>
        <v>0</v>
      </c>
      <c r="BP76" s="68">
        <f>IFERROR(1/J76*(Y76/H76),"0")</f>
        <v>0</v>
      </c>
    </row>
    <row r="77" spans="1:68" ht="27" customHeight="1" x14ac:dyDescent="0.25">
      <c r="A77" s="57" t="s">
        <v>167</v>
      </c>
      <c r="B77" s="57" t="s">
        <v>168</v>
      </c>
      <c r="C77" s="31">
        <v>4301051929</v>
      </c>
      <c r="D77" s="601">
        <v>4680115884403</v>
      </c>
      <c r="E77" s="602"/>
      <c r="F77" s="56">
        <v>0.3</v>
      </c>
      <c r="G77" s="32">
        <v>6</v>
      </c>
      <c r="H77" s="56">
        <v>1.8</v>
      </c>
      <c r="I77" s="56">
        <v>1.98</v>
      </c>
      <c r="J77" s="32">
        <v>182</v>
      </c>
      <c r="K77" s="32" t="s">
        <v>78</v>
      </c>
      <c r="L77" s="32"/>
      <c r="M77" s="33" t="s">
        <v>79</v>
      </c>
      <c r="N77" s="33"/>
      <c r="O77" s="32">
        <v>40</v>
      </c>
      <c r="P77" s="77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4"/>
      <c r="V77" s="34"/>
      <c r="W77" s="35" t="s">
        <v>68</v>
      </c>
      <c r="X77" s="53">
        <v>0</v>
      </c>
      <c r="Y77" s="50">
        <f>IFERROR(IF(X77="",0,CEILING((X77/$H77),1)*$H77),"")</f>
        <v>0</v>
      </c>
      <c r="Z77" s="36" t="str">
        <f>IFERROR(IF(Y77=0,"",ROUNDUP(Y77/H77,0)*0.00651),"")</f>
        <v/>
      </c>
      <c r="AA77" s="60"/>
      <c r="AB77" s="61"/>
      <c r="AC77" s="130" t="s">
        <v>169</v>
      </c>
      <c r="AG77" s="68"/>
      <c r="AJ77" s="71"/>
      <c r="AK77" s="71">
        <v>0</v>
      </c>
      <c r="BB77" s="131" t="s">
        <v>1</v>
      </c>
      <c r="BM77" s="68">
        <f>IFERROR(X77*I77/H77,"0")</f>
        <v>0</v>
      </c>
      <c r="BN77" s="68">
        <f>IFERROR(Y77*I77/H77,"0")</f>
        <v>0</v>
      </c>
      <c r="BO77" s="68">
        <f>IFERROR(1/J77*(X77/H77),"0")</f>
        <v>0</v>
      </c>
      <c r="BP77" s="68">
        <f>IFERROR(1/J77*(Y77/H77),"0")</f>
        <v>0</v>
      </c>
    </row>
    <row r="78" spans="1:68" x14ac:dyDescent="0.25">
      <c r="A78" s="612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13"/>
      <c r="P78" s="630" t="s">
        <v>73</v>
      </c>
      <c r="Q78" s="622"/>
      <c r="R78" s="622"/>
      <c r="S78" s="622"/>
      <c r="T78" s="622"/>
      <c r="U78" s="622"/>
      <c r="V78" s="623"/>
      <c r="W78" s="37" t="s">
        <v>74</v>
      </c>
      <c r="X78" s="38">
        <f>IFERROR(X76/H76,"0")+IFERROR(X77/H77,"0")</f>
        <v>0</v>
      </c>
      <c r="Y78" s="38">
        <f>IFERROR(Y76/H76,"0")+IFERROR(Y77/H77,"0")</f>
        <v>0</v>
      </c>
      <c r="Z78" s="38">
        <f>IFERROR(IF(Z76="",0,Z76),"0")+IFERROR(IF(Z77="",0,Z77),"0")</f>
        <v>0</v>
      </c>
      <c r="AA78" s="59"/>
      <c r="AB78" s="59"/>
      <c r="AC78" s="59"/>
    </row>
    <row r="79" spans="1:68" x14ac:dyDescent="0.25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13"/>
      <c r="P79" s="630" t="s">
        <v>73</v>
      </c>
      <c r="Q79" s="622"/>
      <c r="R79" s="622"/>
      <c r="S79" s="622"/>
      <c r="T79" s="622"/>
      <c r="U79" s="622"/>
      <c r="V79" s="623"/>
      <c r="W79" s="37" t="s">
        <v>68</v>
      </c>
      <c r="X79" s="38">
        <f>IFERROR(SUM(X76:X77),"0")</f>
        <v>0</v>
      </c>
      <c r="Y79" s="38">
        <f>IFERROR(SUM(Y76:Y77),"0")</f>
        <v>0</v>
      </c>
      <c r="Z79" s="37"/>
      <c r="AA79" s="59"/>
      <c r="AB79" s="59"/>
      <c r="AC79" s="59"/>
    </row>
    <row r="80" spans="1:68" ht="14.25" customHeight="1" x14ac:dyDescent="0.25">
      <c r="A80" s="615" t="s">
        <v>170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588"/>
      <c r="AB80" s="588"/>
      <c r="AC80" s="588"/>
    </row>
    <row r="81" spans="1:68" ht="27" customHeight="1" x14ac:dyDescent="0.25">
      <c r="A81" s="57" t="s">
        <v>171</v>
      </c>
      <c r="B81" s="57" t="s">
        <v>172</v>
      </c>
      <c r="C81" s="31">
        <v>4301060455</v>
      </c>
      <c r="D81" s="601">
        <v>4680115881532</v>
      </c>
      <c r="E81" s="602"/>
      <c r="F81" s="56">
        <v>1.3</v>
      </c>
      <c r="G81" s="32">
        <v>6</v>
      </c>
      <c r="H81" s="56">
        <v>7.8</v>
      </c>
      <c r="I81" s="56">
        <v>8.2100000000000009</v>
      </c>
      <c r="J81" s="32">
        <v>64</v>
      </c>
      <c r="K81" s="32" t="s">
        <v>121</v>
      </c>
      <c r="L81" s="32"/>
      <c r="M81" s="33" t="s">
        <v>85</v>
      </c>
      <c r="N81" s="33"/>
      <c r="O81" s="32">
        <v>30</v>
      </c>
      <c r="P81" s="93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4"/>
      <c r="V81" s="34"/>
      <c r="W81" s="35" t="s">
        <v>68</v>
      </c>
      <c r="X81" s="53">
        <v>0</v>
      </c>
      <c r="Y81" s="50">
        <f>IFERROR(IF(X81="",0,CEILING((X81/$H81),1)*$H81),"")</f>
        <v>0</v>
      </c>
      <c r="Z81" s="36" t="str">
        <f>IFERROR(IF(Y81=0,"",ROUNDUP(Y81/H81,0)*0.01898),"")</f>
        <v/>
      </c>
      <c r="AA81" s="60"/>
      <c r="AB81" s="61"/>
      <c r="AC81" s="132" t="s">
        <v>173</v>
      </c>
      <c r="AG81" s="68"/>
      <c r="AJ81" s="71"/>
      <c r="AK81" s="71">
        <v>0</v>
      </c>
      <c r="BB81" s="133" t="s">
        <v>1</v>
      </c>
      <c r="BM81" s="68">
        <f>IFERROR(X81*I81/H81,"0")</f>
        <v>0</v>
      </c>
      <c r="BN81" s="68">
        <f>IFERROR(Y81*I81/H81,"0")</f>
        <v>0</v>
      </c>
      <c r="BO81" s="68">
        <f>IFERROR(1/J81*(X81/H81),"0")</f>
        <v>0</v>
      </c>
      <c r="BP81" s="68">
        <f>IFERROR(1/J81*(Y81/H81),"0")</f>
        <v>0</v>
      </c>
    </row>
    <row r="82" spans="1:68" ht="27" customHeight="1" x14ac:dyDescent="0.25">
      <c r="A82" s="57" t="s">
        <v>174</v>
      </c>
      <c r="B82" s="57" t="s">
        <v>175</v>
      </c>
      <c r="C82" s="31">
        <v>4301060351</v>
      </c>
      <c r="D82" s="601">
        <v>4680115881464</v>
      </c>
      <c r="E82" s="602"/>
      <c r="F82" s="56">
        <v>0.4</v>
      </c>
      <c r="G82" s="32">
        <v>6</v>
      </c>
      <c r="H82" s="56">
        <v>2.4</v>
      </c>
      <c r="I82" s="56">
        <v>2.59</v>
      </c>
      <c r="J82" s="32">
        <v>132</v>
      </c>
      <c r="K82" s="32" t="s">
        <v>130</v>
      </c>
      <c r="L82" s="32"/>
      <c r="M82" s="33" t="s">
        <v>79</v>
      </c>
      <c r="N82" s="33"/>
      <c r="O82" s="32">
        <v>30</v>
      </c>
      <c r="P82" s="6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4"/>
      <c r="V82" s="34"/>
      <c r="W82" s="35" t="s">
        <v>68</v>
      </c>
      <c r="X82" s="53">
        <v>0</v>
      </c>
      <c r="Y82" s="50">
        <f>IFERROR(IF(X82="",0,CEILING((X82/$H82),1)*$H82),"")</f>
        <v>0</v>
      </c>
      <c r="Z82" s="36" t="str">
        <f>IFERROR(IF(Y82=0,"",ROUNDUP(Y82/H82,0)*0.00902),"")</f>
        <v/>
      </c>
      <c r="AA82" s="60"/>
      <c r="AB82" s="61"/>
      <c r="AC82" s="134" t="s">
        <v>176</v>
      </c>
      <c r="AG82" s="68"/>
      <c r="AJ82" s="71"/>
      <c r="AK82" s="71">
        <v>0</v>
      </c>
      <c r="BB82" s="135" t="s">
        <v>1</v>
      </c>
      <c r="BM82" s="68">
        <f>IFERROR(X82*I82/H82,"0")</f>
        <v>0</v>
      </c>
      <c r="BN82" s="68">
        <f>IFERROR(Y82*I82/H82,"0")</f>
        <v>0</v>
      </c>
      <c r="BO82" s="68">
        <f>IFERROR(1/J82*(X82/H82),"0")</f>
        <v>0</v>
      </c>
      <c r="BP82" s="68">
        <f>IFERROR(1/J82*(Y82/H82),"0")</f>
        <v>0</v>
      </c>
    </row>
    <row r="83" spans="1:68" x14ac:dyDescent="0.25">
      <c r="A83" s="612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13"/>
      <c r="P83" s="630" t="s">
        <v>73</v>
      </c>
      <c r="Q83" s="622"/>
      <c r="R83" s="622"/>
      <c r="S83" s="622"/>
      <c r="T83" s="622"/>
      <c r="U83" s="622"/>
      <c r="V83" s="623"/>
      <c r="W83" s="37" t="s">
        <v>74</v>
      </c>
      <c r="X83" s="38">
        <f>IFERROR(X81/H81,"0")+IFERROR(X82/H82,"0")</f>
        <v>0</v>
      </c>
      <c r="Y83" s="38">
        <f>IFERROR(Y81/H81,"0")+IFERROR(Y82/H82,"0")</f>
        <v>0</v>
      </c>
      <c r="Z83" s="38">
        <f>IFERROR(IF(Z81="",0,Z81),"0")+IFERROR(IF(Z82="",0,Z82),"0")</f>
        <v>0</v>
      </c>
      <c r="AA83" s="59"/>
      <c r="AB83" s="59"/>
      <c r="AC83" s="59"/>
    </row>
    <row r="84" spans="1:68" x14ac:dyDescent="0.25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13"/>
      <c r="P84" s="630" t="s">
        <v>73</v>
      </c>
      <c r="Q84" s="622"/>
      <c r="R84" s="622"/>
      <c r="S84" s="622"/>
      <c r="T84" s="622"/>
      <c r="U84" s="622"/>
      <c r="V84" s="623"/>
      <c r="W84" s="37" t="s">
        <v>68</v>
      </c>
      <c r="X84" s="38">
        <f>IFERROR(SUM(X81:X82),"0")</f>
        <v>0</v>
      </c>
      <c r="Y84" s="38">
        <f>IFERROR(SUM(Y81:Y82),"0")</f>
        <v>0</v>
      </c>
      <c r="Z84" s="37"/>
      <c r="AA84" s="59"/>
      <c r="AB84" s="59"/>
      <c r="AC84" s="59"/>
    </row>
    <row r="85" spans="1:68" ht="16.5" customHeight="1" x14ac:dyDescent="0.25">
      <c r="A85" s="606" t="s">
        <v>177</v>
      </c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592"/>
      <c r="AB85" s="592"/>
      <c r="AC85" s="592"/>
    </row>
    <row r="86" spans="1:68" ht="14.25" customHeight="1" x14ac:dyDescent="0.25">
      <c r="A86" s="615" t="s">
        <v>118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588"/>
      <c r="AB86" s="588"/>
      <c r="AC86" s="588"/>
    </row>
    <row r="87" spans="1:68" ht="27" customHeight="1" x14ac:dyDescent="0.25">
      <c r="A87" s="57" t="s">
        <v>178</v>
      </c>
      <c r="B87" s="57" t="s">
        <v>179</v>
      </c>
      <c r="C87" s="31">
        <v>4301011468</v>
      </c>
      <c r="D87" s="601">
        <v>4680115881327</v>
      </c>
      <c r="E87" s="602"/>
      <c r="F87" s="56">
        <v>1.35</v>
      </c>
      <c r="G87" s="32">
        <v>8</v>
      </c>
      <c r="H87" s="56">
        <v>10.8</v>
      </c>
      <c r="I87" s="56">
        <v>11.21</v>
      </c>
      <c r="J87" s="32">
        <v>64</v>
      </c>
      <c r="K87" s="32" t="s">
        <v>121</v>
      </c>
      <c r="L87" s="32"/>
      <c r="M87" s="33" t="s">
        <v>85</v>
      </c>
      <c r="N87" s="33"/>
      <c r="O87" s="32">
        <v>50</v>
      </c>
      <c r="P87" s="78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4"/>
      <c r="V87" s="34"/>
      <c r="W87" s="35" t="s">
        <v>68</v>
      </c>
      <c r="X87" s="53">
        <v>150</v>
      </c>
      <c r="Y87" s="50">
        <f>IFERROR(IF(X87="",0,CEILING((X87/$H87),1)*$H87),"")</f>
        <v>151.20000000000002</v>
      </c>
      <c r="Z87" s="36">
        <f>IFERROR(IF(Y87=0,"",ROUNDUP(Y87/H87,0)*0.01898),"")</f>
        <v>0.26572000000000001</v>
      </c>
      <c r="AA87" s="60"/>
      <c r="AB87" s="61"/>
      <c r="AC87" s="136" t="s">
        <v>180</v>
      </c>
      <c r="AG87" s="68"/>
      <c r="AJ87" s="71"/>
      <c r="AK87" s="71">
        <v>0</v>
      </c>
      <c r="BB87" s="137" t="s">
        <v>1</v>
      </c>
      <c r="BM87" s="68">
        <f>IFERROR(X87*I87/H87,"0")</f>
        <v>155.69444444444446</v>
      </c>
      <c r="BN87" s="68">
        <f>IFERROR(Y87*I87/H87,"0")</f>
        <v>156.94</v>
      </c>
      <c r="BO87" s="68">
        <f>IFERROR(1/J87*(X87/H87),"0")</f>
        <v>0.21701388888888887</v>
      </c>
      <c r="BP87" s="68">
        <f>IFERROR(1/J87*(Y87/H87),"0")</f>
        <v>0.21875</v>
      </c>
    </row>
    <row r="88" spans="1:68" ht="27" customHeight="1" x14ac:dyDescent="0.25">
      <c r="A88" s="57" t="s">
        <v>181</v>
      </c>
      <c r="B88" s="57" t="s">
        <v>182</v>
      </c>
      <c r="C88" s="31">
        <v>4301011261</v>
      </c>
      <c r="D88" s="601">
        <v>4680115887732</v>
      </c>
      <c r="E88" s="602"/>
      <c r="F88" s="56">
        <v>0.17</v>
      </c>
      <c r="G88" s="32">
        <v>10</v>
      </c>
      <c r="H88" s="56">
        <v>1.7</v>
      </c>
      <c r="I88" s="56">
        <v>1.8</v>
      </c>
      <c r="J88" s="32">
        <v>192</v>
      </c>
      <c r="K88" s="32" t="s">
        <v>126</v>
      </c>
      <c r="L88" s="32"/>
      <c r="M88" s="33" t="s">
        <v>67</v>
      </c>
      <c r="N88" s="33"/>
      <c r="O88" s="32">
        <v>30</v>
      </c>
      <c r="P88" s="8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4"/>
      <c r="V88" s="34"/>
      <c r="W88" s="35" t="s">
        <v>68</v>
      </c>
      <c r="X88" s="53">
        <v>0</v>
      </c>
      <c r="Y88" s="50">
        <f>IFERROR(IF(X88="",0,CEILING((X88/$H88),1)*$H88),"")</f>
        <v>0</v>
      </c>
      <c r="Z88" s="36" t="str">
        <f>IFERROR(IF(Y88=0,"",ROUNDUP(Y88/H88,0)*0.00726),"")</f>
        <v/>
      </c>
      <c r="AA88" s="60"/>
      <c r="AB88" s="61"/>
      <c r="AC88" s="138" t="s">
        <v>183</v>
      </c>
      <c r="AG88" s="68"/>
      <c r="AJ88" s="71"/>
      <c r="AK88" s="71">
        <v>0</v>
      </c>
      <c r="BB88" s="139" t="s">
        <v>1</v>
      </c>
      <c r="BM88" s="68">
        <f>IFERROR(X88*I88/H88,"0")</f>
        <v>0</v>
      </c>
      <c r="BN88" s="68">
        <f>IFERROR(Y88*I88/H88,"0")</f>
        <v>0</v>
      </c>
      <c r="BO88" s="68">
        <f>IFERROR(1/J88*(X88/H88),"0")</f>
        <v>0</v>
      </c>
      <c r="BP88" s="68">
        <f>IFERROR(1/J88*(Y88/H88),"0")</f>
        <v>0</v>
      </c>
    </row>
    <row r="89" spans="1:68" ht="27" customHeight="1" x14ac:dyDescent="0.25">
      <c r="A89" s="57" t="s">
        <v>184</v>
      </c>
      <c r="B89" s="57" t="s">
        <v>185</v>
      </c>
      <c r="C89" s="31">
        <v>4301011476</v>
      </c>
      <c r="D89" s="601">
        <v>4680115881518</v>
      </c>
      <c r="E89" s="602"/>
      <c r="F89" s="56">
        <v>0.4</v>
      </c>
      <c r="G89" s="32">
        <v>10</v>
      </c>
      <c r="H89" s="56">
        <v>4</v>
      </c>
      <c r="I89" s="56">
        <v>4.1900000000000004</v>
      </c>
      <c r="J89" s="32">
        <v>132</v>
      </c>
      <c r="K89" s="32" t="s">
        <v>130</v>
      </c>
      <c r="L89" s="32"/>
      <c r="M89" s="33" t="s">
        <v>79</v>
      </c>
      <c r="N89" s="33"/>
      <c r="O89" s="32">
        <v>50</v>
      </c>
      <c r="P89" s="8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4"/>
      <c r="V89" s="34"/>
      <c r="W89" s="35" t="s">
        <v>68</v>
      </c>
      <c r="X89" s="53">
        <v>0</v>
      </c>
      <c r="Y89" s="50">
        <f>IFERROR(IF(X89="",0,CEILING((X89/$H89),1)*$H89),"")</f>
        <v>0</v>
      </c>
      <c r="Z89" s="36" t="str">
        <f>IFERROR(IF(Y89=0,"",ROUNDUP(Y89/H89,0)*0.00902),"")</f>
        <v/>
      </c>
      <c r="AA89" s="60"/>
      <c r="AB89" s="61"/>
      <c r="AC89" s="140" t="s">
        <v>180</v>
      </c>
      <c r="AG89" s="68"/>
      <c r="AJ89" s="71"/>
      <c r="AK89" s="71">
        <v>0</v>
      </c>
      <c r="BB89" s="141" t="s">
        <v>1</v>
      </c>
      <c r="BM89" s="68">
        <f>IFERROR(X89*I89/H89,"0")</f>
        <v>0</v>
      </c>
      <c r="BN89" s="68">
        <f>IFERROR(Y89*I89/H89,"0")</f>
        <v>0</v>
      </c>
      <c r="BO89" s="68">
        <f>IFERROR(1/J89*(X89/H89),"0")</f>
        <v>0</v>
      </c>
      <c r="BP89" s="68">
        <f>IFERROR(1/J89*(Y89/H89),"0")</f>
        <v>0</v>
      </c>
    </row>
    <row r="90" spans="1:68" ht="27" customHeight="1" x14ac:dyDescent="0.25">
      <c r="A90" s="57" t="s">
        <v>186</v>
      </c>
      <c r="B90" s="57" t="s">
        <v>187</v>
      </c>
      <c r="C90" s="31">
        <v>4301011443</v>
      </c>
      <c r="D90" s="601">
        <v>4680115881303</v>
      </c>
      <c r="E90" s="602"/>
      <c r="F90" s="56">
        <v>0.45</v>
      </c>
      <c r="G90" s="32">
        <v>10</v>
      </c>
      <c r="H90" s="56">
        <v>4.5</v>
      </c>
      <c r="I90" s="56">
        <v>4.6900000000000004</v>
      </c>
      <c r="J90" s="32">
        <v>132</v>
      </c>
      <c r="K90" s="32" t="s">
        <v>130</v>
      </c>
      <c r="L90" s="32"/>
      <c r="M90" s="33" t="s">
        <v>85</v>
      </c>
      <c r="N90" s="33"/>
      <c r="O90" s="32">
        <v>50</v>
      </c>
      <c r="P90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4"/>
      <c r="V90" s="34"/>
      <c r="W90" s="35" t="s">
        <v>68</v>
      </c>
      <c r="X90" s="53">
        <v>0</v>
      </c>
      <c r="Y90" s="50">
        <f>IFERROR(IF(X90="",0,CEILING((X90/$H90),1)*$H90),"")</f>
        <v>0</v>
      </c>
      <c r="Z90" s="36" t="str">
        <f>IFERROR(IF(Y90=0,"",ROUNDUP(Y90/H90,0)*0.00902),"")</f>
        <v/>
      </c>
      <c r="AA90" s="60"/>
      <c r="AB90" s="61"/>
      <c r="AC90" s="142" t="s">
        <v>180</v>
      </c>
      <c r="AG90" s="68"/>
      <c r="AJ90" s="71"/>
      <c r="AK90" s="71">
        <v>0</v>
      </c>
      <c r="BB90" s="143" t="s">
        <v>1</v>
      </c>
      <c r="BM90" s="68">
        <f>IFERROR(X90*I90/H90,"0")</f>
        <v>0</v>
      </c>
      <c r="BN90" s="68">
        <f>IFERROR(Y90*I90/H90,"0")</f>
        <v>0</v>
      </c>
      <c r="BO90" s="68">
        <f>IFERROR(1/J90*(X90/H90),"0")</f>
        <v>0</v>
      </c>
      <c r="BP90" s="68">
        <f>IFERROR(1/J90*(Y90/H90),"0")</f>
        <v>0</v>
      </c>
    </row>
    <row r="91" spans="1:68" x14ac:dyDescent="0.25">
      <c r="A91" s="612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13"/>
      <c r="P91" s="630" t="s">
        <v>73</v>
      </c>
      <c r="Q91" s="622"/>
      <c r="R91" s="622"/>
      <c r="S91" s="622"/>
      <c r="T91" s="622"/>
      <c r="U91" s="622"/>
      <c r="V91" s="623"/>
      <c r="W91" s="37" t="s">
        <v>74</v>
      </c>
      <c r="X91" s="38">
        <f>IFERROR(X87/H87,"0")+IFERROR(X88/H88,"0")+IFERROR(X89/H89,"0")+IFERROR(X90/H90,"0")</f>
        <v>13.888888888888888</v>
      </c>
      <c r="Y91" s="38">
        <f>IFERROR(Y87/H87,"0")+IFERROR(Y88/H88,"0")+IFERROR(Y89/H89,"0")+IFERROR(Y90/H90,"0")</f>
        <v>14</v>
      </c>
      <c r="Z91" s="38">
        <f>IFERROR(IF(Z87="",0,Z87),"0")+IFERROR(IF(Z88="",0,Z88),"0")+IFERROR(IF(Z89="",0,Z89),"0")+IFERROR(IF(Z90="",0,Z90),"0")</f>
        <v>0.26572000000000001</v>
      </c>
      <c r="AA91" s="59"/>
      <c r="AB91" s="59"/>
      <c r="AC91" s="59"/>
    </row>
    <row r="92" spans="1:68" x14ac:dyDescent="0.25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13"/>
      <c r="P92" s="630" t="s">
        <v>73</v>
      </c>
      <c r="Q92" s="622"/>
      <c r="R92" s="622"/>
      <c r="S92" s="622"/>
      <c r="T92" s="622"/>
      <c r="U92" s="622"/>
      <c r="V92" s="623"/>
      <c r="W92" s="37" t="s">
        <v>68</v>
      </c>
      <c r="X92" s="38">
        <f>IFERROR(SUM(X87:X90),"0")</f>
        <v>150</v>
      </c>
      <c r="Y92" s="38">
        <f>IFERROR(SUM(Y87:Y90),"0")</f>
        <v>151.20000000000002</v>
      </c>
      <c r="Z92" s="37"/>
      <c r="AA92" s="59"/>
      <c r="AB92" s="59"/>
      <c r="AC92" s="59"/>
    </row>
    <row r="93" spans="1:68" ht="14.25" customHeight="1" x14ac:dyDescent="0.25">
      <c r="A93" s="615" t="s">
        <v>75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588"/>
      <c r="AB93" s="588"/>
      <c r="AC93" s="588"/>
    </row>
    <row r="94" spans="1:68" ht="27" customHeight="1" x14ac:dyDescent="0.25">
      <c r="A94" s="57" t="s">
        <v>188</v>
      </c>
      <c r="B94" s="57" t="s">
        <v>189</v>
      </c>
      <c r="C94" s="31">
        <v>4301051712</v>
      </c>
      <c r="D94" s="601">
        <v>4607091386967</v>
      </c>
      <c r="E94" s="602"/>
      <c r="F94" s="56">
        <v>1.35</v>
      </c>
      <c r="G94" s="32">
        <v>6</v>
      </c>
      <c r="H94" s="56">
        <v>8.1</v>
      </c>
      <c r="I94" s="56">
        <v>8.5939999999999994</v>
      </c>
      <c r="J94" s="32">
        <v>64</v>
      </c>
      <c r="K94" s="32" t="s">
        <v>121</v>
      </c>
      <c r="L94" s="32"/>
      <c r="M94" s="33" t="s">
        <v>85</v>
      </c>
      <c r="N94" s="33"/>
      <c r="O94" s="32">
        <v>45</v>
      </c>
      <c r="P94" s="9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4"/>
      <c r="V94" s="34"/>
      <c r="W94" s="35" t="s">
        <v>68</v>
      </c>
      <c r="X94" s="53">
        <v>60</v>
      </c>
      <c r="Y94" s="50">
        <f>IFERROR(IF(X94="",0,CEILING((X94/$H94),1)*$H94),"")</f>
        <v>64.8</v>
      </c>
      <c r="Z94" s="36">
        <f>IFERROR(IF(Y94=0,"",ROUNDUP(Y94/H94,0)*0.01898),"")</f>
        <v>0.15184</v>
      </c>
      <c r="AA94" s="60"/>
      <c r="AB94" s="61"/>
      <c r="AC94" s="144" t="s">
        <v>190</v>
      </c>
      <c r="AG94" s="68"/>
      <c r="AJ94" s="71"/>
      <c r="AK94" s="71">
        <v>0</v>
      </c>
      <c r="BB94" s="145" t="s">
        <v>1</v>
      </c>
      <c r="BM94" s="68">
        <f>IFERROR(X94*I94/H94,"0")</f>
        <v>63.659259259259258</v>
      </c>
      <c r="BN94" s="68">
        <f>IFERROR(Y94*I94/H94,"0")</f>
        <v>68.751999999999995</v>
      </c>
      <c r="BO94" s="68">
        <f>IFERROR(1/J94*(X94/H94),"0")</f>
        <v>0.11574074074074074</v>
      </c>
      <c r="BP94" s="68">
        <f>IFERROR(1/J94*(Y94/H94),"0")</f>
        <v>0.125</v>
      </c>
    </row>
    <row r="95" spans="1:68" ht="27" customHeight="1" x14ac:dyDescent="0.25">
      <c r="A95" s="57" t="s">
        <v>191</v>
      </c>
      <c r="B95" s="57" t="s">
        <v>192</v>
      </c>
      <c r="C95" s="31">
        <v>4301051788</v>
      </c>
      <c r="D95" s="601">
        <v>4680115884953</v>
      </c>
      <c r="E95" s="602"/>
      <c r="F95" s="56">
        <v>0.37</v>
      </c>
      <c r="G95" s="32">
        <v>6</v>
      </c>
      <c r="H95" s="56">
        <v>2.2200000000000002</v>
      </c>
      <c r="I95" s="56">
        <v>2.472</v>
      </c>
      <c r="J95" s="32">
        <v>182</v>
      </c>
      <c r="K95" s="32" t="s">
        <v>78</v>
      </c>
      <c r="L95" s="32"/>
      <c r="M95" s="33" t="s">
        <v>79</v>
      </c>
      <c r="N95" s="33"/>
      <c r="O95" s="32">
        <v>45</v>
      </c>
      <c r="P95" s="9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4"/>
      <c r="V95" s="34"/>
      <c r="W95" s="35" t="s">
        <v>68</v>
      </c>
      <c r="X95" s="53">
        <v>0</v>
      </c>
      <c r="Y95" s="50">
        <f>IFERROR(IF(X95="",0,CEILING((X95/$H95),1)*$H95),"")</f>
        <v>0</v>
      </c>
      <c r="Z95" s="36" t="str">
        <f>IFERROR(IF(Y95=0,"",ROUNDUP(Y95/H95,0)*0.00651),"")</f>
        <v/>
      </c>
      <c r="AA95" s="60"/>
      <c r="AB95" s="61"/>
      <c r="AC95" s="146" t="s">
        <v>190</v>
      </c>
      <c r="AG95" s="68"/>
      <c r="AJ95" s="71"/>
      <c r="AK95" s="71">
        <v>0</v>
      </c>
      <c r="BB95" s="147" t="s">
        <v>1</v>
      </c>
      <c r="BM95" s="68">
        <f>IFERROR(X95*I95/H95,"0")</f>
        <v>0</v>
      </c>
      <c r="BN95" s="68">
        <f>IFERROR(Y95*I95/H95,"0")</f>
        <v>0</v>
      </c>
      <c r="BO95" s="68">
        <f>IFERROR(1/J95*(X95/H95),"0")</f>
        <v>0</v>
      </c>
      <c r="BP95" s="68">
        <f>IFERROR(1/J95*(Y95/H95),"0")</f>
        <v>0</v>
      </c>
    </row>
    <row r="96" spans="1:68" ht="27" customHeight="1" x14ac:dyDescent="0.25">
      <c r="A96" s="57" t="s">
        <v>193</v>
      </c>
      <c r="B96" s="57" t="s">
        <v>194</v>
      </c>
      <c r="C96" s="31">
        <v>4301051718</v>
      </c>
      <c r="D96" s="601">
        <v>4607091385731</v>
      </c>
      <c r="E96" s="602"/>
      <c r="F96" s="56">
        <v>0.45</v>
      </c>
      <c r="G96" s="32">
        <v>6</v>
      </c>
      <c r="H96" s="56">
        <v>2.7</v>
      </c>
      <c r="I96" s="56">
        <v>2.952</v>
      </c>
      <c r="J96" s="32">
        <v>182</v>
      </c>
      <c r="K96" s="32" t="s">
        <v>78</v>
      </c>
      <c r="L96" s="32"/>
      <c r="M96" s="33" t="s">
        <v>85</v>
      </c>
      <c r="N96" s="33"/>
      <c r="O96" s="32">
        <v>45</v>
      </c>
      <c r="P96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4"/>
      <c r="V96" s="34"/>
      <c r="W96" s="35" t="s">
        <v>68</v>
      </c>
      <c r="X96" s="53">
        <v>54</v>
      </c>
      <c r="Y96" s="50">
        <f>IFERROR(IF(X96="",0,CEILING((X96/$H96),1)*$H96),"")</f>
        <v>54</v>
      </c>
      <c r="Z96" s="36">
        <f>IFERROR(IF(Y96=0,"",ROUNDUP(Y96/H96,0)*0.00651),"")</f>
        <v>0.13020000000000001</v>
      </c>
      <c r="AA96" s="60"/>
      <c r="AB96" s="61"/>
      <c r="AC96" s="148" t="s">
        <v>190</v>
      </c>
      <c r="AG96" s="68"/>
      <c r="AJ96" s="71"/>
      <c r="AK96" s="71">
        <v>0</v>
      </c>
      <c r="BB96" s="149" t="s">
        <v>1</v>
      </c>
      <c r="BM96" s="68">
        <f>IFERROR(X96*I96/H96,"0")</f>
        <v>59.039999999999992</v>
      </c>
      <c r="BN96" s="68">
        <f>IFERROR(Y96*I96/H96,"0")</f>
        <v>59.039999999999992</v>
      </c>
      <c r="BO96" s="68">
        <f>IFERROR(1/J96*(X96/H96),"0")</f>
        <v>0.1098901098901099</v>
      </c>
      <c r="BP96" s="68">
        <f>IFERROR(1/J96*(Y96/H96),"0")</f>
        <v>0.1098901098901099</v>
      </c>
    </row>
    <row r="97" spans="1:68" ht="16.5" customHeight="1" x14ac:dyDescent="0.25">
      <c r="A97" s="57" t="s">
        <v>195</v>
      </c>
      <c r="B97" s="57" t="s">
        <v>196</v>
      </c>
      <c r="C97" s="31">
        <v>4301052092</v>
      </c>
      <c r="D97" s="601">
        <v>4680115880894</v>
      </c>
      <c r="E97" s="602"/>
      <c r="F97" s="56">
        <v>0.33</v>
      </c>
      <c r="G97" s="32">
        <v>6</v>
      </c>
      <c r="H97" s="56">
        <v>1.98</v>
      </c>
      <c r="I97" s="56">
        <v>2.238</v>
      </c>
      <c r="J97" s="32">
        <v>182</v>
      </c>
      <c r="K97" s="32" t="s">
        <v>78</v>
      </c>
      <c r="L97" s="32"/>
      <c r="M97" s="33" t="s">
        <v>79</v>
      </c>
      <c r="N97" s="33"/>
      <c r="O97" s="32">
        <v>45</v>
      </c>
      <c r="P97" s="87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4"/>
      <c r="V97" s="34"/>
      <c r="W97" s="35" t="s">
        <v>68</v>
      </c>
      <c r="X97" s="53">
        <v>0</v>
      </c>
      <c r="Y97" s="50">
        <f>IFERROR(IF(X97="",0,CEILING((X97/$H97),1)*$H97),"")</f>
        <v>0</v>
      </c>
      <c r="Z97" s="36" t="str">
        <f>IFERROR(IF(Y97=0,"",ROUNDUP(Y97/H97,0)*0.00651),"")</f>
        <v/>
      </c>
      <c r="AA97" s="60"/>
      <c r="AB97" s="61"/>
      <c r="AC97" s="150" t="s">
        <v>197</v>
      </c>
      <c r="AG97" s="68"/>
      <c r="AJ97" s="71"/>
      <c r="AK97" s="71">
        <v>0</v>
      </c>
      <c r="BB97" s="151" t="s">
        <v>1</v>
      </c>
      <c r="BM97" s="68">
        <f>IFERROR(X97*I97/H97,"0")</f>
        <v>0</v>
      </c>
      <c r="BN97" s="68">
        <f>IFERROR(Y97*I97/H97,"0")</f>
        <v>0</v>
      </c>
      <c r="BO97" s="68">
        <f>IFERROR(1/J97*(X97/H97),"0")</f>
        <v>0</v>
      </c>
      <c r="BP97" s="68">
        <f>IFERROR(1/J97*(Y97/H97),"0")</f>
        <v>0</v>
      </c>
    </row>
    <row r="98" spans="1:68" x14ac:dyDescent="0.25">
      <c r="A98" s="612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13"/>
      <c r="P98" s="630" t="s">
        <v>73</v>
      </c>
      <c r="Q98" s="622"/>
      <c r="R98" s="622"/>
      <c r="S98" s="622"/>
      <c r="T98" s="622"/>
      <c r="U98" s="622"/>
      <c r="V98" s="623"/>
      <c r="W98" s="37" t="s">
        <v>74</v>
      </c>
      <c r="X98" s="38">
        <f>IFERROR(X94/H94,"0")+IFERROR(X95/H95,"0")+IFERROR(X96/H96,"0")+IFERROR(X97/H97,"0")</f>
        <v>27.407407407407408</v>
      </c>
      <c r="Y98" s="38">
        <f>IFERROR(Y94/H94,"0")+IFERROR(Y95/H95,"0")+IFERROR(Y96/H96,"0")+IFERROR(Y97/H97,"0")</f>
        <v>28</v>
      </c>
      <c r="Z98" s="38">
        <f>IFERROR(IF(Z94="",0,Z94),"0")+IFERROR(IF(Z95="",0,Z95),"0")+IFERROR(IF(Z96="",0,Z96),"0")+IFERROR(IF(Z97="",0,Z97),"0")</f>
        <v>0.28204000000000001</v>
      </c>
      <c r="AA98" s="59"/>
      <c r="AB98" s="59"/>
      <c r="AC98" s="59"/>
    </row>
    <row r="99" spans="1:68" x14ac:dyDescent="0.25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13"/>
      <c r="P99" s="630" t="s">
        <v>73</v>
      </c>
      <c r="Q99" s="622"/>
      <c r="R99" s="622"/>
      <c r="S99" s="622"/>
      <c r="T99" s="622"/>
      <c r="U99" s="622"/>
      <c r="V99" s="623"/>
      <c r="W99" s="37" t="s">
        <v>68</v>
      </c>
      <c r="X99" s="38">
        <f>IFERROR(SUM(X94:X97),"0")</f>
        <v>114</v>
      </c>
      <c r="Y99" s="38">
        <f>IFERROR(SUM(Y94:Y97),"0")</f>
        <v>118.8</v>
      </c>
      <c r="Z99" s="37"/>
      <c r="AA99" s="59"/>
      <c r="AB99" s="59"/>
      <c r="AC99" s="59"/>
    </row>
    <row r="100" spans="1:68" ht="16.5" customHeight="1" x14ac:dyDescent="0.25">
      <c r="A100" s="606" t="s">
        <v>198</v>
      </c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592"/>
      <c r="AB100" s="592"/>
      <c r="AC100" s="592"/>
    </row>
    <row r="101" spans="1:68" ht="14.25" customHeight="1" x14ac:dyDescent="0.25">
      <c r="A101" s="615" t="s">
        <v>118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588"/>
      <c r="AB101" s="588"/>
      <c r="AC101" s="588"/>
    </row>
    <row r="102" spans="1:68" ht="37.5" customHeight="1" x14ac:dyDescent="0.25">
      <c r="A102" s="57" t="s">
        <v>199</v>
      </c>
      <c r="B102" s="57" t="s">
        <v>200</v>
      </c>
      <c r="C102" s="31">
        <v>4301011514</v>
      </c>
      <c r="D102" s="601">
        <v>4680115882133</v>
      </c>
      <c r="E102" s="602"/>
      <c r="F102" s="56">
        <v>1.35</v>
      </c>
      <c r="G102" s="32">
        <v>8</v>
      </c>
      <c r="H102" s="56">
        <v>10.8</v>
      </c>
      <c r="I102" s="56">
        <v>11.21</v>
      </c>
      <c r="J102" s="32">
        <v>64</v>
      </c>
      <c r="K102" s="32" t="s">
        <v>121</v>
      </c>
      <c r="L102" s="32"/>
      <c r="M102" s="33" t="s">
        <v>122</v>
      </c>
      <c r="N102" s="33"/>
      <c r="O102" s="32">
        <v>50</v>
      </c>
      <c r="P102" s="6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4"/>
      <c r="V102" s="34"/>
      <c r="W102" s="35" t="s">
        <v>68</v>
      </c>
      <c r="X102" s="53">
        <v>50</v>
      </c>
      <c r="Y102" s="50">
        <f t="shared" ref="Y102:Y108" si="11">IFERROR(IF(X102="",0,CEILING((X102/$H102),1)*$H102),"")</f>
        <v>54</v>
      </c>
      <c r="Z102" s="36">
        <f>IFERROR(IF(Y102=0,"",ROUNDUP(Y102/H102,0)*0.01898),"")</f>
        <v>9.4899999999999998E-2</v>
      </c>
      <c r="AA102" s="60"/>
      <c r="AB102" s="61"/>
      <c r="AC102" s="152" t="s">
        <v>201</v>
      </c>
      <c r="AG102" s="68"/>
      <c r="AJ102" s="71"/>
      <c r="AK102" s="71">
        <v>0</v>
      </c>
      <c r="BB102" s="153" t="s">
        <v>1</v>
      </c>
      <c r="BM102" s="68">
        <f t="shared" ref="BM102:BM108" si="12">IFERROR(X102*I102/H102,"0")</f>
        <v>51.898148148148145</v>
      </c>
      <c r="BN102" s="68">
        <f t="shared" ref="BN102:BN108" si="13">IFERROR(Y102*I102/H102,"0")</f>
        <v>56.05</v>
      </c>
      <c r="BO102" s="68">
        <f t="shared" ref="BO102:BO108" si="14">IFERROR(1/J102*(X102/H102),"0")</f>
        <v>7.2337962962962965E-2</v>
      </c>
      <c r="BP102" s="68">
        <f t="shared" ref="BP102:BP108" si="15">IFERROR(1/J102*(Y102/H102),"0")</f>
        <v>7.8125E-2</v>
      </c>
    </row>
    <row r="103" spans="1:68" ht="27" customHeight="1" x14ac:dyDescent="0.25">
      <c r="A103" s="57" t="s">
        <v>202</v>
      </c>
      <c r="B103" s="57" t="s">
        <v>203</v>
      </c>
      <c r="C103" s="31">
        <v>4301012051</v>
      </c>
      <c r="D103" s="601">
        <v>4680115887718</v>
      </c>
      <c r="E103" s="602"/>
      <c r="F103" s="56">
        <v>0.11</v>
      </c>
      <c r="G103" s="32">
        <v>10</v>
      </c>
      <c r="H103" s="56">
        <v>1.1000000000000001</v>
      </c>
      <c r="I103" s="56">
        <v>1.31</v>
      </c>
      <c r="J103" s="32">
        <v>192</v>
      </c>
      <c r="K103" s="32" t="s">
        <v>126</v>
      </c>
      <c r="L103" s="32"/>
      <c r="M103" s="33" t="s">
        <v>67</v>
      </c>
      <c r="N103" s="33"/>
      <c r="O103" s="32">
        <v>30</v>
      </c>
      <c r="P103" s="86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4"/>
      <c r="V103" s="34"/>
      <c r="W103" s="35" t="s">
        <v>68</v>
      </c>
      <c r="X103" s="53">
        <v>0</v>
      </c>
      <c r="Y103" s="50">
        <f t="shared" si="11"/>
        <v>0</v>
      </c>
      <c r="Z103" s="36" t="str">
        <f>IFERROR(IF(Y103=0,"",ROUNDUP(Y103/H103,0)*0.00726),"")</f>
        <v/>
      </c>
      <c r="AA103" s="60"/>
      <c r="AB103" s="61"/>
      <c r="AC103" s="154" t="s">
        <v>204</v>
      </c>
      <c r="AG103" s="68"/>
      <c r="AJ103" s="71"/>
      <c r="AK103" s="71">
        <v>0</v>
      </c>
      <c r="BB103" s="155" t="s">
        <v>1</v>
      </c>
      <c r="BM103" s="68">
        <f t="shared" si="12"/>
        <v>0</v>
      </c>
      <c r="BN103" s="68">
        <f t="shared" si="13"/>
        <v>0</v>
      </c>
      <c r="BO103" s="68">
        <f t="shared" si="14"/>
        <v>0</v>
      </c>
      <c r="BP103" s="68">
        <f t="shared" si="15"/>
        <v>0</v>
      </c>
    </row>
    <row r="104" spans="1:68" ht="27" customHeight="1" x14ac:dyDescent="0.25">
      <c r="A104" s="57" t="s">
        <v>202</v>
      </c>
      <c r="B104" s="57" t="s">
        <v>205</v>
      </c>
      <c r="C104" s="31">
        <v>4301012334</v>
      </c>
      <c r="D104" s="601">
        <v>4680115887718</v>
      </c>
      <c r="E104" s="602"/>
      <c r="F104" s="56">
        <v>0.11</v>
      </c>
      <c r="G104" s="32">
        <v>8</v>
      </c>
      <c r="H104" s="56">
        <v>0.88</v>
      </c>
      <c r="I104" s="56">
        <v>1.0680000000000001</v>
      </c>
      <c r="J104" s="32">
        <v>192</v>
      </c>
      <c r="K104" s="32" t="s">
        <v>126</v>
      </c>
      <c r="L104" s="32"/>
      <c r="M104" s="33" t="s">
        <v>67</v>
      </c>
      <c r="N104" s="33"/>
      <c r="O104" s="32">
        <v>30</v>
      </c>
      <c r="P104" s="92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4"/>
      <c r="V104" s="34"/>
      <c r="W104" s="35" t="s">
        <v>68</v>
      </c>
      <c r="X104" s="53">
        <v>0</v>
      </c>
      <c r="Y104" s="50">
        <f t="shared" si="11"/>
        <v>0</v>
      </c>
      <c r="Z104" s="36" t="str">
        <f>IFERROR(IF(Y104=0,"",ROUNDUP(Y104/H104,0)*0.00726),"")</f>
        <v/>
      </c>
      <c r="AA104" s="60"/>
      <c r="AB104" s="61"/>
      <c r="AC104" s="156" t="s">
        <v>204</v>
      </c>
      <c r="AG104" s="68"/>
      <c r="AJ104" s="71"/>
      <c r="AK104" s="71">
        <v>0</v>
      </c>
      <c r="BB104" s="157" t="s">
        <v>1</v>
      </c>
      <c r="BM104" s="68">
        <f t="shared" si="12"/>
        <v>0</v>
      </c>
      <c r="BN104" s="68">
        <f t="shared" si="13"/>
        <v>0</v>
      </c>
      <c r="BO104" s="68">
        <f t="shared" si="14"/>
        <v>0</v>
      </c>
      <c r="BP104" s="68">
        <f t="shared" si="15"/>
        <v>0</v>
      </c>
    </row>
    <row r="105" spans="1:68" ht="27" customHeight="1" x14ac:dyDescent="0.25">
      <c r="A105" s="57" t="s">
        <v>206</v>
      </c>
      <c r="B105" s="57" t="s">
        <v>207</v>
      </c>
      <c r="C105" s="31">
        <v>4301012226</v>
      </c>
      <c r="D105" s="601">
        <v>4680115887749</v>
      </c>
      <c r="E105" s="602"/>
      <c r="F105" s="56">
        <v>0.17</v>
      </c>
      <c r="G105" s="32">
        <v>10</v>
      </c>
      <c r="H105" s="56">
        <v>1.7</v>
      </c>
      <c r="I105" s="56">
        <v>1.91</v>
      </c>
      <c r="J105" s="32">
        <v>192</v>
      </c>
      <c r="K105" s="32" t="s">
        <v>126</v>
      </c>
      <c r="L105" s="32"/>
      <c r="M105" s="33" t="s">
        <v>67</v>
      </c>
      <c r="N105" s="33"/>
      <c r="O105" s="32">
        <v>30</v>
      </c>
      <c r="P105" s="69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4"/>
      <c r="V105" s="34"/>
      <c r="W105" s="35" t="s">
        <v>68</v>
      </c>
      <c r="X105" s="53">
        <v>0</v>
      </c>
      <c r="Y105" s="50">
        <f t="shared" si="11"/>
        <v>0</v>
      </c>
      <c r="Z105" s="36" t="str">
        <f>IFERROR(IF(Y105=0,"",ROUNDUP(Y105/H105,0)*0.00726),"")</f>
        <v/>
      </c>
      <c r="AA105" s="60"/>
      <c r="AB105" s="61"/>
      <c r="AC105" s="158" t="s">
        <v>204</v>
      </c>
      <c r="AG105" s="68"/>
      <c r="AJ105" s="71"/>
      <c r="AK105" s="71">
        <v>0</v>
      </c>
      <c r="BB105" s="159" t="s">
        <v>1</v>
      </c>
      <c r="BM105" s="68">
        <f t="shared" si="12"/>
        <v>0</v>
      </c>
      <c r="BN105" s="68">
        <f t="shared" si="13"/>
        <v>0</v>
      </c>
      <c r="BO105" s="68">
        <f t="shared" si="14"/>
        <v>0</v>
      </c>
      <c r="BP105" s="68">
        <f t="shared" si="15"/>
        <v>0</v>
      </c>
    </row>
    <row r="106" spans="1:68" ht="37.5" customHeight="1" x14ac:dyDescent="0.25">
      <c r="A106" s="57" t="s">
        <v>208</v>
      </c>
      <c r="B106" s="57" t="s">
        <v>209</v>
      </c>
      <c r="C106" s="31">
        <v>4301011417</v>
      </c>
      <c r="D106" s="601">
        <v>4680115880269</v>
      </c>
      <c r="E106" s="602"/>
      <c r="F106" s="56">
        <v>0.375</v>
      </c>
      <c r="G106" s="32">
        <v>10</v>
      </c>
      <c r="H106" s="56">
        <v>3.75</v>
      </c>
      <c r="I106" s="56">
        <v>3.94</v>
      </c>
      <c r="J106" s="32">
        <v>132</v>
      </c>
      <c r="K106" s="32" t="s">
        <v>130</v>
      </c>
      <c r="L106" s="32"/>
      <c r="M106" s="33" t="s">
        <v>79</v>
      </c>
      <c r="N106" s="33"/>
      <c r="O106" s="32">
        <v>50</v>
      </c>
      <c r="P106" s="70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4"/>
      <c r="V106" s="34"/>
      <c r="W106" s="35" t="s">
        <v>68</v>
      </c>
      <c r="X106" s="53">
        <v>0</v>
      </c>
      <c r="Y106" s="50">
        <f t="shared" si="11"/>
        <v>0</v>
      </c>
      <c r="Z106" s="36" t="str">
        <f>IFERROR(IF(Y106=0,"",ROUNDUP(Y106/H106,0)*0.00902),"")</f>
        <v/>
      </c>
      <c r="AA106" s="60"/>
      <c r="AB106" s="61"/>
      <c r="AC106" s="160" t="s">
        <v>201</v>
      </c>
      <c r="AG106" s="68"/>
      <c r="AJ106" s="71"/>
      <c r="AK106" s="71">
        <v>0</v>
      </c>
      <c r="BB106" s="161" t="s">
        <v>1</v>
      </c>
      <c r="BM106" s="68">
        <f t="shared" si="12"/>
        <v>0</v>
      </c>
      <c r="BN106" s="68">
        <f t="shared" si="13"/>
        <v>0</v>
      </c>
      <c r="BO106" s="68">
        <f t="shared" si="14"/>
        <v>0</v>
      </c>
      <c r="BP106" s="68">
        <f t="shared" si="15"/>
        <v>0</v>
      </c>
    </row>
    <row r="107" spans="1:68" ht="37.5" customHeight="1" x14ac:dyDescent="0.25">
      <c r="A107" s="57" t="s">
        <v>210</v>
      </c>
      <c r="B107" s="57" t="s">
        <v>211</v>
      </c>
      <c r="C107" s="31">
        <v>4301011415</v>
      </c>
      <c r="D107" s="601">
        <v>4680115880429</v>
      </c>
      <c r="E107" s="602"/>
      <c r="F107" s="56">
        <v>0.45</v>
      </c>
      <c r="G107" s="32">
        <v>10</v>
      </c>
      <c r="H107" s="56">
        <v>4.5</v>
      </c>
      <c r="I107" s="56">
        <v>4.6900000000000004</v>
      </c>
      <c r="J107" s="32">
        <v>132</v>
      </c>
      <c r="K107" s="32" t="s">
        <v>130</v>
      </c>
      <c r="L107" s="32"/>
      <c r="M107" s="33" t="s">
        <v>79</v>
      </c>
      <c r="N107" s="33"/>
      <c r="O107" s="32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4"/>
      <c r="V107" s="34"/>
      <c r="W107" s="35" t="s">
        <v>68</v>
      </c>
      <c r="X107" s="53">
        <v>0</v>
      </c>
      <c r="Y107" s="50">
        <f t="shared" si="11"/>
        <v>0</v>
      </c>
      <c r="Z107" s="36" t="str">
        <f>IFERROR(IF(Y107=0,"",ROUNDUP(Y107/H107,0)*0.00902),"")</f>
        <v/>
      </c>
      <c r="AA107" s="60"/>
      <c r="AB107" s="61"/>
      <c r="AC107" s="162" t="s">
        <v>201</v>
      </c>
      <c r="AG107" s="68"/>
      <c r="AJ107" s="71"/>
      <c r="AK107" s="71">
        <v>0</v>
      </c>
      <c r="BB107" s="163" t="s">
        <v>1</v>
      </c>
      <c r="BM107" s="68">
        <f t="shared" si="12"/>
        <v>0</v>
      </c>
      <c r="BN107" s="68">
        <f t="shared" si="13"/>
        <v>0</v>
      </c>
      <c r="BO107" s="68">
        <f t="shared" si="14"/>
        <v>0</v>
      </c>
      <c r="BP107" s="68">
        <f t="shared" si="15"/>
        <v>0</v>
      </c>
    </row>
    <row r="108" spans="1:68" ht="37.5" customHeight="1" x14ac:dyDescent="0.25">
      <c r="A108" s="57" t="s">
        <v>212</v>
      </c>
      <c r="B108" s="57" t="s">
        <v>213</v>
      </c>
      <c r="C108" s="31">
        <v>4301011462</v>
      </c>
      <c r="D108" s="601">
        <v>4680115881457</v>
      </c>
      <c r="E108" s="602"/>
      <c r="F108" s="56">
        <v>0.75</v>
      </c>
      <c r="G108" s="32">
        <v>6</v>
      </c>
      <c r="H108" s="56">
        <v>4.5</v>
      </c>
      <c r="I108" s="56">
        <v>4.6900000000000004</v>
      </c>
      <c r="J108" s="32">
        <v>132</v>
      </c>
      <c r="K108" s="32" t="s">
        <v>130</v>
      </c>
      <c r="L108" s="32"/>
      <c r="M108" s="33" t="s">
        <v>79</v>
      </c>
      <c r="N108" s="33"/>
      <c r="O108" s="32">
        <v>50</v>
      </c>
      <c r="P108" s="7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4"/>
      <c r="V108" s="34"/>
      <c r="W108" s="35" t="s">
        <v>68</v>
      </c>
      <c r="X108" s="53">
        <v>0</v>
      </c>
      <c r="Y108" s="50">
        <f t="shared" si="11"/>
        <v>0</v>
      </c>
      <c r="Z108" s="36" t="str">
        <f>IFERROR(IF(Y108=0,"",ROUNDUP(Y108/H108,0)*0.00902),"")</f>
        <v/>
      </c>
      <c r="AA108" s="60"/>
      <c r="AB108" s="61"/>
      <c r="AC108" s="164" t="s">
        <v>201</v>
      </c>
      <c r="AG108" s="68"/>
      <c r="AJ108" s="71"/>
      <c r="AK108" s="71">
        <v>0</v>
      </c>
      <c r="BB108" s="165" t="s">
        <v>1</v>
      </c>
      <c r="BM108" s="68">
        <f t="shared" si="12"/>
        <v>0</v>
      </c>
      <c r="BN108" s="68">
        <f t="shared" si="13"/>
        <v>0</v>
      </c>
      <c r="BO108" s="68">
        <f t="shared" si="14"/>
        <v>0</v>
      </c>
      <c r="BP108" s="68">
        <f t="shared" si="15"/>
        <v>0</v>
      </c>
    </row>
    <row r="109" spans="1:68" x14ac:dyDescent="0.25">
      <c r="A109" s="612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13"/>
      <c r="P109" s="630" t="s">
        <v>73</v>
      </c>
      <c r="Q109" s="622"/>
      <c r="R109" s="622"/>
      <c r="S109" s="622"/>
      <c r="T109" s="622"/>
      <c r="U109" s="622"/>
      <c r="V109" s="623"/>
      <c r="W109" s="37" t="s">
        <v>74</v>
      </c>
      <c r="X109" s="38">
        <f>IFERROR(X102/H102,"0")+IFERROR(X103/H103,"0")+IFERROR(X104/H104,"0")+IFERROR(X105/H105,"0")+IFERROR(X106/H106,"0")+IFERROR(X107/H107,"0")+IFERROR(X108/H108,"0")</f>
        <v>4.6296296296296298</v>
      </c>
      <c r="Y109" s="38">
        <f>IFERROR(Y102/H102,"0")+IFERROR(Y103/H103,"0")+IFERROR(Y104/H104,"0")+IFERROR(Y105/H105,"0")+IFERROR(Y106/H106,"0")+IFERROR(Y107/H107,"0")+IFERROR(Y108/H108,"0")</f>
        <v>5</v>
      </c>
      <c r="Z109" s="38">
        <f>IFERROR(IF(Z102="",0,Z102),"0")+IFERROR(IF(Z103="",0,Z103),"0")+IFERROR(IF(Z104="",0,Z104),"0")+IFERROR(IF(Z105="",0,Z105),"0")+IFERROR(IF(Z106="",0,Z106),"0")+IFERROR(IF(Z107="",0,Z107),"0")+IFERROR(IF(Z108="",0,Z108),"0")</f>
        <v>9.4899999999999998E-2</v>
      </c>
      <c r="AA109" s="59"/>
      <c r="AB109" s="59"/>
      <c r="AC109" s="59"/>
    </row>
    <row r="110" spans="1:68" x14ac:dyDescent="0.25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13"/>
      <c r="P110" s="630" t="s">
        <v>73</v>
      </c>
      <c r="Q110" s="622"/>
      <c r="R110" s="622"/>
      <c r="S110" s="622"/>
      <c r="T110" s="622"/>
      <c r="U110" s="622"/>
      <c r="V110" s="623"/>
      <c r="W110" s="37" t="s">
        <v>68</v>
      </c>
      <c r="X110" s="38">
        <f>IFERROR(SUM(X102:X108),"0")</f>
        <v>50</v>
      </c>
      <c r="Y110" s="38">
        <f>IFERROR(SUM(Y102:Y108),"0")</f>
        <v>54</v>
      </c>
      <c r="Z110" s="37"/>
      <c r="AA110" s="59"/>
      <c r="AB110" s="59"/>
      <c r="AC110" s="59"/>
    </row>
    <row r="111" spans="1:68" ht="14.25" customHeight="1" x14ac:dyDescent="0.25">
      <c r="A111" s="615" t="s">
        <v>153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588"/>
      <c r="AB111" s="588"/>
      <c r="AC111" s="588"/>
    </row>
    <row r="112" spans="1:68" ht="16.5" customHeight="1" x14ac:dyDescent="0.25">
      <c r="A112" s="57" t="s">
        <v>214</v>
      </c>
      <c r="B112" s="57" t="s">
        <v>215</v>
      </c>
      <c r="C112" s="31">
        <v>4301020345</v>
      </c>
      <c r="D112" s="601">
        <v>4680115881488</v>
      </c>
      <c r="E112" s="602"/>
      <c r="F112" s="56">
        <v>1.35</v>
      </c>
      <c r="G112" s="32">
        <v>8</v>
      </c>
      <c r="H112" s="56">
        <v>10.8</v>
      </c>
      <c r="I112" s="56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72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4"/>
      <c r="V112" s="34"/>
      <c r="W112" s="35" t="s">
        <v>68</v>
      </c>
      <c r="X112" s="53">
        <v>0</v>
      </c>
      <c r="Y112" s="50">
        <f t="shared" ref="Y112:Y117" si="16">IFERROR(IF(X112="",0,CEILING((X112/$H112),1)*$H112),"")</f>
        <v>0</v>
      </c>
      <c r="Z112" s="36" t="str">
        <f>IFERROR(IF(Y112=0,"",ROUNDUP(Y112/H112,0)*0.01898),"")</f>
        <v/>
      </c>
      <c r="AA112" s="60"/>
      <c r="AB112" s="61"/>
      <c r="AC112" s="166" t="s">
        <v>216</v>
      </c>
      <c r="AG112" s="68"/>
      <c r="AJ112" s="71"/>
      <c r="AK112" s="71">
        <v>0</v>
      </c>
      <c r="BB112" s="167" t="s">
        <v>1</v>
      </c>
      <c r="BM112" s="68">
        <f t="shared" ref="BM112:BM117" si="17">IFERROR(X112*I112/H112,"0")</f>
        <v>0</v>
      </c>
      <c r="BN112" s="68">
        <f t="shared" ref="BN112:BN117" si="18">IFERROR(Y112*I112/H112,"0")</f>
        <v>0</v>
      </c>
      <c r="BO112" s="68">
        <f t="shared" ref="BO112:BO117" si="19">IFERROR(1/J112*(X112/H112),"0")</f>
        <v>0</v>
      </c>
      <c r="BP112" s="68">
        <f t="shared" ref="BP112:BP117" si="20">IFERROR(1/J112*(Y112/H112),"0")</f>
        <v>0</v>
      </c>
    </row>
    <row r="113" spans="1:68" ht="27" customHeight="1" x14ac:dyDescent="0.25">
      <c r="A113" s="57" t="s">
        <v>214</v>
      </c>
      <c r="B113" s="57" t="s">
        <v>217</v>
      </c>
      <c r="C113" s="31">
        <v>4301020391</v>
      </c>
      <c r="D113" s="601">
        <v>4680115881488</v>
      </c>
      <c r="E113" s="602"/>
      <c r="F113" s="56">
        <v>1.35</v>
      </c>
      <c r="G113" s="32">
        <v>8</v>
      </c>
      <c r="H113" s="56">
        <v>10.8</v>
      </c>
      <c r="I113" s="56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85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4"/>
      <c r="V113" s="34"/>
      <c r="W113" s="35" t="s">
        <v>68</v>
      </c>
      <c r="X113" s="53">
        <v>50</v>
      </c>
      <c r="Y113" s="50">
        <f t="shared" si="16"/>
        <v>54</v>
      </c>
      <c r="Z113" s="36">
        <f>IFERROR(IF(Y113=0,"",ROUNDUP(Y113/H113,0)*0.01898),"")</f>
        <v>9.4899999999999998E-2</v>
      </c>
      <c r="AA113" s="60"/>
      <c r="AB113" s="61"/>
      <c r="AC113" s="168" t="s">
        <v>218</v>
      </c>
      <c r="AG113" s="68"/>
      <c r="AJ113" s="71"/>
      <c r="AK113" s="71">
        <v>0</v>
      </c>
      <c r="BB113" s="169" t="s">
        <v>1</v>
      </c>
      <c r="BM113" s="68">
        <f t="shared" si="17"/>
        <v>51.898148148148145</v>
      </c>
      <c r="BN113" s="68">
        <f t="shared" si="18"/>
        <v>56.05</v>
      </c>
      <c r="BO113" s="68">
        <f t="shared" si="19"/>
        <v>7.2337962962962965E-2</v>
      </c>
      <c r="BP113" s="68">
        <f t="shared" si="20"/>
        <v>7.8125E-2</v>
      </c>
    </row>
    <row r="114" spans="1:68" ht="27" customHeight="1" x14ac:dyDescent="0.25">
      <c r="A114" s="57" t="s">
        <v>219</v>
      </c>
      <c r="B114" s="57" t="s">
        <v>220</v>
      </c>
      <c r="C114" s="31">
        <v>4301020186</v>
      </c>
      <c r="D114" s="601">
        <v>4680115887664</v>
      </c>
      <c r="E114" s="602"/>
      <c r="F114" s="56">
        <v>0.1</v>
      </c>
      <c r="G114" s="32">
        <v>10</v>
      </c>
      <c r="H114" s="56">
        <v>1</v>
      </c>
      <c r="I114" s="56">
        <v>1.21</v>
      </c>
      <c r="J114" s="32">
        <v>392</v>
      </c>
      <c r="K114" s="32" t="s">
        <v>221</v>
      </c>
      <c r="L114" s="32"/>
      <c r="M114" s="33" t="s">
        <v>67</v>
      </c>
      <c r="N114" s="33"/>
      <c r="O114" s="32">
        <v>30</v>
      </c>
      <c r="P114" s="6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4"/>
      <c r="V114" s="34"/>
      <c r="W114" s="35" t="s">
        <v>68</v>
      </c>
      <c r="X114" s="53">
        <v>0</v>
      </c>
      <c r="Y114" s="50">
        <f t="shared" si="16"/>
        <v>0</v>
      </c>
      <c r="Z114" s="36" t="str">
        <f>IFERROR(IF(Y114=0,"",ROUNDUP(Y114/H114,0)*0.00358),"")</f>
        <v/>
      </c>
      <c r="AA114" s="60"/>
      <c r="AB114" s="61"/>
      <c r="AC114" s="170" t="s">
        <v>222</v>
      </c>
      <c r="AG114" s="68"/>
      <c r="AJ114" s="71"/>
      <c r="AK114" s="71">
        <v>0</v>
      </c>
      <c r="BB114" s="171" t="s">
        <v>1</v>
      </c>
      <c r="BM114" s="68">
        <f t="shared" si="17"/>
        <v>0</v>
      </c>
      <c r="BN114" s="68">
        <f t="shared" si="18"/>
        <v>0</v>
      </c>
      <c r="BO114" s="68">
        <f t="shared" si="19"/>
        <v>0</v>
      </c>
      <c r="BP114" s="68">
        <f t="shared" si="20"/>
        <v>0</v>
      </c>
    </row>
    <row r="115" spans="1:68" ht="27" customHeight="1" x14ac:dyDescent="0.25">
      <c r="A115" s="57" t="s">
        <v>219</v>
      </c>
      <c r="B115" s="57" t="s">
        <v>223</v>
      </c>
      <c r="C115" s="31">
        <v>4301020430</v>
      </c>
      <c r="D115" s="601">
        <v>4680115887664</v>
      </c>
      <c r="E115" s="602"/>
      <c r="F115" s="56">
        <v>0.1</v>
      </c>
      <c r="G115" s="32">
        <v>8</v>
      </c>
      <c r="H115" s="56">
        <v>0.8</v>
      </c>
      <c r="I115" s="56">
        <v>0.98799999999999999</v>
      </c>
      <c r="J115" s="32">
        <v>392</v>
      </c>
      <c r="K115" s="32" t="s">
        <v>221</v>
      </c>
      <c r="L115" s="32"/>
      <c r="M115" s="33" t="s">
        <v>67</v>
      </c>
      <c r="N115" s="33"/>
      <c r="O115" s="32">
        <v>30</v>
      </c>
      <c r="P115" s="76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4"/>
      <c r="V115" s="34"/>
      <c r="W115" s="35" t="s">
        <v>68</v>
      </c>
      <c r="X115" s="53">
        <v>0</v>
      </c>
      <c r="Y115" s="50">
        <f t="shared" si="16"/>
        <v>0</v>
      </c>
      <c r="Z115" s="36" t="str">
        <f>IFERROR(IF(Y115=0,"",ROUNDUP(Y115/H115,0)*0.00358),"")</f>
        <v/>
      </c>
      <c r="AA115" s="60"/>
      <c r="AB115" s="61"/>
      <c r="AC115" s="172" t="s">
        <v>222</v>
      </c>
      <c r="AG115" s="68"/>
      <c r="AJ115" s="71"/>
      <c r="AK115" s="71">
        <v>0</v>
      </c>
      <c r="BB115" s="173" t="s">
        <v>1</v>
      </c>
      <c r="BM115" s="68">
        <f t="shared" si="17"/>
        <v>0</v>
      </c>
      <c r="BN115" s="68">
        <f t="shared" si="18"/>
        <v>0</v>
      </c>
      <c r="BO115" s="68">
        <f t="shared" si="19"/>
        <v>0</v>
      </c>
      <c r="BP115" s="68">
        <f t="shared" si="20"/>
        <v>0</v>
      </c>
    </row>
    <row r="116" spans="1:68" ht="27" customHeight="1" x14ac:dyDescent="0.25">
      <c r="A116" s="57" t="s">
        <v>224</v>
      </c>
      <c r="B116" s="57" t="s">
        <v>225</v>
      </c>
      <c r="C116" s="31">
        <v>4301020393</v>
      </c>
      <c r="D116" s="601">
        <v>4680115882775</v>
      </c>
      <c r="E116" s="602"/>
      <c r="F116" s="56">
        <v>0.3</v>
      </c>
      <c r="G116" s="32">
        <v>8</v>
      </c>
      <c r="H116" s="56">
        <v>2.4</v>
      </c>
      <c r="I116" s="56">
        <v>2.5</v>
      </c>
      <c r="J116" s="32">
        <v>234</v>
      </c>
      <c r="K116" s="32" t="s">
        <v>66</v>
      </c>
      <c r="L116" s="32"/>
      <c r="M116" s="33" t="s">
        <v>122</v>
      </c>
      <c r="N116" s="33"/>
      <c r="O116" s="32">
        <v>55</v>
      </c>
      <c r="P116" s="73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4"/>
      <c r="V116" s="34"/>
      <c r="W116" s="35" t="s">
        <v>68</v>
      </c>
      <c r="X116" s="53">
        <v>0</v>
      </c>
      <c r="Y116" s="50">
        <f t="shared" si="16"/>
        <v>0</v>
      </c>
      <c r="Z116" s="36" t="str">
        <f>IFERROR(IF(Y116=0,"",ROUNDUP(Y116/H116,0)*0.00502),"")</f>
        <v/>
      </c>
      <c r="AA116" s="60"/>
      <c r="AB116" s="61"/>
      <c r="AC116" s="174" t="s">
        <v>218</v>
      </c>
      <c r="AG116" s="68"/>
      <c r="AJ116" s="71"/>
      <c r="AK116" s="71">
        <v>0</v>
      </c>
      <c r="BB116" s="175" t="s">
        <v>1</v>
      </c>
      <c r="BM116" s="68">
        <f t="shared" si="17"/>
        <v>0</v>
      </c>
      <c r="BN116" s="68">
        <f t="shared" si="18"/>
        <v>0</v>
      </c>
      <c r="BO116" s="68">
        <f t="shared" si="19"/>
        <v>0</v>
      </c>
      <c r="BP116" s="68">
        <f t="shared" si="20"/>
        <v>0</v>
      </c>
    </row>
    <row r="117" spans="1:68" ht="16.5" customHeight="1" x14ac:dyDescent="0.25">
      <c r="A117" s="57" t="s">
        <v>226</v>
      </c>
      <c r="B117" s="57" t="s">
        <v>227</v>
      </c>
      <c r="C117" s="31">
        <v>4301020344</v>
      </c>
      <c r="D117" s="601">
        <v>4680115880658</v>
      </c>
      <c r="E117" s="602"/>
      <c r="F117" s="56">
        <v>0.4</v>
      </c>
      <c r="G117" s="32">
        <v>6</v>
      </c>
      <c r="H117" s="56">
        <v>2.4</v>
      </c>
      <c r="I117" s="56">
        <v>2.58</v>
      </c>
      <c r="J117" s="32">
        <v>182</v>
      </c>
      <c r="K117" s="32" t="s">
        <v>78</v>
      </c>
      <c r="L117" s="32"/>
      <c r="M117" s="33" t="s">
        <v>122</v>
      </c>
      <c r="N117" s="33"/>
      <c r="O117" s="32">
        <v>55</v>
      </c>
      <c r="P117" s="8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4"/>
      <c r="V117" s="34"/>
      <c r="W117" s="35" t="s">
        <v>68</v>
      </c>
      <c r="X117" s="53">
        <v>0</v>
      </c>
      <c r="Y117" s="50">
        <f t="shared" si="16"/>
        <v>0</v>
      </c>
      <c r="Z117" s="36" t="str">
        <f>IFERROR(IF(Y117=0,"",ROUNDUP(Y117/H117,0)*0.00651),"")</f>
        <v/>
      </c>
      <c r="AA117" s="60"/>
      <c r="AB117" s="61"/>
      <c r="AC117" s="176" t="s">
        <v>216</v>
      </c>
      <c r="AG117" s="68"/>
      <c r="AJ117" s="71"/>
      <c r="AK117" s="71">
        <v>0</v>
      </c>
      <c r="BB117" s="177" t="s">
        <v>1</v>
      </c>
      <c r="BM117" s="68">
        <f t="shared" si="17"/>
        <v>0</v>
      </c>
      <c r="BN117" s="68">
        <f t="shared" si="18"/>
        <v>0</v>
      </c>
      <c r="BO117" s="68">
        <f t="shared" si="19"/>
        <v>0</v>
      </c>
      <c r="BP117" s="68">
        <f t="shared" si="20"/>
        <v>0</v>
      </c>
    </row>
    <row r="118" spans="1:68" x14ac:dyDescent="0.25">
      <c r="A118" s="612"/>
      <c r="B118" s="607"/>
      <c r="C118" s="607"/>
      <c r="D118" s="607"/>
      <c r="E118" s="607"/>
      <c r="F118" s="607"/>
      <c r="G118" s="607"/>
      <c r="H118" s="607"/>
      <c r="I118" s="607"/>
      <c r="J118" s="607"/>
      <c r="K118" s="607"/>
      <c r="L118" s="607"/>
      <c r="M118" s="607"/>
      <c r="N118" s="607"/>
      <c r="O118" s="613"/>
      <c r="P118" s="630" t="s">
        <v>73</v>
      </c>
      <c r="Q118" s="622"/>
      <c r="R118" s="622"/>
      <c r="S118" s="622"/>
      <c r="T118" s="622"/>
      <c r="U118" s="622"/>
      <c r="V118" s="623"/>
      <c r="W118" s="37" t="s">
        <v>74</v>
      </c>
      <c r="X118" s="38">
        <f>IFERROR(X112/H112,"0")+IFERROR(X113/H113,"0")+IFERROR(X114/H114,"0")+IFERROR(X115/H115,"0")+IFERROR(X116/H116,"0")+IFERROR(X117/H117,"0")</f>
        <v>4.6296296296296298</v>
      </c>
      <c r="Y118" s="38">
        <f>IFERROR(Y112/H112,"0")+IFERROR(Y113/H113,"0")+IFERROR(Y114/H114,"0")+IFERROR(Y115/H115,"0")+IFERROR(Y116/H116,"0")+IFERROR(Y117/H117,"0")</f>
        <v>5</v>
      </c>
      <c r="Z118" s="38">
        <f>IFERROR(IF(Z112="",0,Z112),"0")+IFERROR(IF(Z113="",0,Z113),"0")+IFERROR(IF(Z114="",0,Z114),"0")+IFERROR(IF(Z115="",0,Z115),"0")+IFERROR(IF(Z116="",0,Z116),"0")+IFERROR(IF(Z117="",0,Z117),"0")</f>
        <v>9.4899999999999998E-2</v>
      </c>
      <c r="AA118" s="59"/>
      <c r="AB118" s="59"/>
      <c r="AC118" s="59"/>
    </row>
    <row r="119" spans="1:68" x14ac:dyDescent="0.25">
      <c r="A119" s="607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13"/>
      <c r="P119" s="630" t="s">
        <v>73</v>
      </c>
      <c r="Q119" s="622"/>
      <c r="R119" s="622"/>
      <c r="S119" s="622"/>
      <c r="T119" s="622"/>
      <c r="U119" s="622"/>
      <c r="V119" s="623"/>
      <c r="W119" s="37" t="s">
        <v>68</v>
      </c>
      <c r="X119" s="38">
        <f>IFERROR(SUM(X112:X117),"0")</f>
        <v>50</v>
      </c>
      <c r="Y119" s="38">
        <f>IFERROR(SUM(Y112:Y117),"0")</f>
        <v>54</v>
      </c>
      <c r="Z119" s="37"/>
      <c r="AA119" s="59"/>
      <c r="AB119" s="59"/>
      <c r="AC119" s="59"/>
    </row>
    <row r="120" spans="1:68" ht="14.25" customHeight="1" x14ac:dyDescent="0.25">
      <c r="A120" s="615" t="s">
        <v>75</v>
      </c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607"/>
      <c r="AA120" s="588"/>
      <c r="AB120" s="588"/>
      <c r="AC120" s="588"/>
    </row>
    <row r="121" spans="1:68" ht="27" customHeight="1" x14ac:dyDescent="0.25">
      <c r="A121" s="57" t="s">
        <v>228</v>
      </c>
      <c r="B121" s="57" t="s">
        <v>229</v>
      </c>
      <c r="C121" s="31">
        <v>4301051724</v>
      </c>
      <c r="D121" s="601">
        <v>4607091385168</v>
      </c>
      <c r="E121" s="602"/>
      <c r="F121" s="56">
        <v>1.35</v>
      </c>
      <c r="G121" s="32">
        <v>6</v>
      </c>
      <c r="H121" s="56">
        <v>8.1</v>
      </c>
      <c r="I121" s="56">
        <v>8.5879999999999992</v>
      </c>
      <c r="J121" s="32">
        <v>64</v>
      </c>
      <c r="K121" s="32" t="s">
        <v>121</v>
      </c>
      <c r="L121" s="32"/>
      <c r="M121" s="33" t="s">
        <v>85</v>
      </c>
      <c r="N121" s="33"/>
      <c r="O121" s="32">
        <v>45</v>
      </c>
      <c r="P121" s="6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4"/>
      <c r="V121" s="34"/>
      <c r="W121" s="35" t="s">
        <v>68</v>
      </c>
      <c r="X121" s="53">
        <v>500</v>
      </c>
      <c r="Y121" s="50">
        <f>IFERROR(IF(X121="",0,CEILING((X121/$H121),1)*$H121),"")</f>
        <v>502.2</v>
      </c>
      <c r="Z121" s="36">
        <f>IFERROR(IF(Y121=0,"",ROUNDUP(Y121/H121,0)*0.01898),"")</f>
        <v>1.17676</v>
      </c>
      <c r="AA121" s="60"/>
      <c r="AB121" s="61"/>
      <c r="AC121" s="178" t="s">
        <v>230</v>
      </c>
      <c r="AG121" s="68"/>
      <c r="AJ121" s="71"/>
      <c r="AK121" s="71">
        <v>0</v>
      </c>
      <c r="BB121" s="179" t="s">
        <v>1</v>
      </c>
      <c r="BM121" s="68">
        <f>IFERROR(X121*I121/H121,"0")</f>
        <v>530.12345679012344</v>
      </c>
      <c r="BN121" s="68">
        <f>IFERROR(Y121*I121/H121,"0")</f>
        <v>532.4559999999999</v>
      </c>
      <c r="BO121" s="68">
        <f>IFERROR(1/J121*(X121/H121),"0")</f>
        <v>0.96450617283950624</v>
      </c>
      <c r="BP121" s="68">
        <f>IFERROR(1/J121*(Y121/H121),"0")</f>
        <v>0.96875</v>
      </c>
    </row>
    <row r="122" spans="1:68" ht="27" customHeight="1" x14ac:dyDescent="0.25">
      <c r="A122" s="57" t="s">
        <v>231</v>
      </c>
      <c r="B122" s="57" t="s">
        <v>232</v>
      </c>
      <c r="C122" s="31">
        <v>4301051730</v>
      </c>
      <c r="D122" s="601">
        <v>4607091383256</v>
      </c>
      <c r="E122" s="602"/>
      <c r="F122" s="56">
        <v>0.33</v>
      </c>
      <c r="G122" s="32">
        <v>6</v>
      </c>
      <c r="H122" s="56">
        <v>1.98</v>
      </c>
      <c r="I122" s="56">
        <v>2.226</v>
      </c>
      <c r="J122" s="32">
        <v>182</v>
      </c>
      <c r="K122" s="32" t="s">
        <v>78</v>
      </c>
      <c r="L122" s="32"/>
      <c r="M122" s="33" t="s">
        <v>85</v>
      </c>
      <c r="N122" s="33"/>
      <c r="O122" s="32">
        <v>45</v>
      </c>
      <c r="P122" s="8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4"/>
      <c r="V122" s="34"/>
      <c r="W122" s="35" t="s">
        <v>68</v>
      </c>
      <c r="X122" s="53">
        <v>0</v>
      </c>
      <c r="Y122" s="50">
        <f>IFERROR(IF(X122="",0,CEILING((X122/$H122),1)*$H122),"")</f>
        <v>0</v>
      </c>
      <c r="Z122" s="36" t="str">
        <f>IFERROR(IF(Y122=0,"",ROUNDUP(Y122/H122,0)*0.00651),"")</f>
        <v/>
      </c>
      <c r="AA122" s="60"/>
      <c r="AB122" s="61"/>
      <c r="AC122" s="180" t="s">
        <v>230</v>
      </c>
      <c r="AG122" s="68"/>
      <c r="AJ122" s="71"/>
      <c r="AK122" s="71">
        <v>0</v>
      </c>
      <c r="BB122" s="181" t="s">
        <v>1</v>
      </c>
      <c r="BM122" s="68">
        <f>IFERROR(X122*I122/H122,"0")</f>
        <v>0</v>
      </c>
      <c r="BN122" s="68">
        <f>IFERROR(Y122*I122/H122,"0")</f>
        <v>0</v>
      </c>
      <c r="BO122" s="68">
        <f>IFERROR(1/J122*(X122/H122),"0")</f>
        <v>0</v>
      </c>
      <c r="BP122" s="68">
        <f>IFERROR(1/J122*(Y122/H122),"0")</f>
        <v>0</v>
      </c>
    </row>
    <row r="123" spans="1:68" ht="27" customHeight="1" x14ac:dyDescent="0.25">
      <c r="A123" s="57" t="s">
        <v>233</v>
      </c>
      <c r="B123" s="57" t="s">
        <v>234</v>
      </c>
      <c r="C123" s="31">
        <v>4301051721</v>
      </c>
      <c r="D123" s="601">
        <v>4607091385748</v>
      </c>
      <c r="E123" s="602"/>
      <c r="F123" s="56">
        <v>0.45</v>
      </c>
      <c r="G123" s="32">
        <v>6</v>
      </c>
      <c r="H123" s="56">
        <v>2.7</v>
      </c>
      <c r="I123" s="56">
        <v>2.952</v>
      </c>
      <c r="J123" s="32">
        <v>182</v>
      </c>
      <c r="K123" s="32" t="s">
        <v>78</v>
      </c>
      <c r="L123" s="32"/>
      <c r="M123" s="33" t="s">
        <v>85</v>
      </c>
      <c r="N123" s="33"/>
      <c r="O123" s="32">
        <v>45</v>
      </c>
      <c r="P123" s="65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4"/>
      <c r="V123" s="34"/>
      <c r="W123" s="35" t="s">
        <v>68</v>
      </c>
      <c r="X123" s="53">
        <v>81</v>
      </c>
      <c r="Y123" s="50">
        <f>IFERROR(IF(X123="",0,CEILING((X123/$H123),1)*$H123),"")</f>
        <v>81</v>
      </c>
      <c r="Z123" s="36">
        <f>IFERROR(IF(Y123=0,"",ROUNDUP(Y123/H123,0)*0.00651),"")</f>
        <v>0.1953</v>
      </c>
      <c r="AA123" s="60"/>
      <c r="AB123" s="61"/>
      <c r="AC123" s="182" t="s">
        <v>230</v>
      </c>
      <c r="AG123" s="68"/>
      <c r="AJ123" s="71"/>
      <c r="AK123" s="71">
        <v>0</v>
      </c>
      <c r="BB123" s="183" t="s">
        <v>1</v>
      </c>
      <c r="BM123" s="68">
        <f>IFERROR(X123*I123/H123,"0")</f>
        <v>88.559999999999988</v>
      </c>
      <c r="BN123" s="68">
        <f>IFERROR(Y123*I123/H123,"0")</f>
        <v>88.559999999999988</v>
      </c>
      <c r="BO123" s="68">
        <f>IFERROR(1/J123*(X123/H123),"0")</f>
        <v>0.16483516483516483</v>
      </c>
      <c r="BP123" s="68">
        <f>IFERROR(1/J123*(Y123/H123),"0")</f>
        <v>0.16483516483516483</v>
      </c>
    </row>
    <row r="124" spans="1:68" ht="16.5" customHeight="1" x14ac:dyDescent="0.25">
      <c r="A124" s="57" t="s">
        <v>235</v>
      </c>
      <c r="B124" s="57" t="s">
        <v>236</v>
      </c>
      <c r="C124" s="31">
        <v>4301051740</v>
      </c>
      <c r="D124" s="601">
        <v>4680115884533</v>
      </c>
      <c r="E124" s="602"/>
      <c r="F124" s="56">
        <v>0.3</v>
      </c>
      <c r="G124" s="32">
        <v>6</v>
      </c>
      <c r="H124" s="56">
        <v>1.8</v>
      </c>
      <c r="I124" s="56">
        <v>1.98</v>
      </c>
      <c r="J124" s="32">
        <v>182</v>
      </c>
      <c r="K124" s="32" t="s">
        <v>78</v>
      </c>
      <c r="L124" s="32"/>
      <c r="M124" s="33" t="s">
        <v>79</v>
      </c>
      <c r="N124" s="33"/>
      <c r="O124" s="32">
        <v>45</v>
      </c>
      <c r="P124" s="6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4"/>
      <c r="V124" s="34"/>
      <c r="W124" s="35" t="s">
        <v>68</v>
      </c>
      <c r="X124" s="53">
        <v>0</v>
      </c>
      <c r="Y124" s="50">
        <f>IFERROR(IF(X124="",0,CEILING((X124/$H124),1)*$H124),"")</f>
        <v>0</v>
      </c>
      <c r="Z124" s="36" t="str">
        <f>IFERROR(IF(Y124=0,"",ROUNDUP(Y124/H124,0)*0.00651),"")</f>
        <v/>
      </c>
      <c r="AA124" s="60"/>
      <c r="AB124" s="61"/>
      <c r="AC124" s="184" t="s">
        <v>237</v>
      </c>
      <c r="AG124" s="68"/>
      <c r="AJ124" s="71"/>
      <c r="AK124" s="71">
        <v>0</v>
      </c>
      <c r="BB124" s="185" t="s">
        <v>1</v>
      </c>
      <c r="BM124" s="68">
        <f>IFERROR(X124*I124/H124,"0")</f>
        <v>0</v>
      </c>
      <c r="BN124" s="68">
        <f>IFERROR(Y124*I124/H124,"0")</f>
        <v>0</v>
      </c>
      <c r="BO124" s="68">
        <f>IFERROR(1/J124*(X124/H124),"0")</f>
        <v>0</v>
      </c>
      <c r="BP124" s="68">
        <f>IFERROR(1/J124*(Y124/H124),"0")</f>
        <v>0</v>
      </c>
    </row>
    <row r="125" spans="1:68" x14ac:dyDescent="0.25">
      <c r="A125" s="612"/>
      <c r="B125" s="607"/>
      <c r="C125" s="607"/>
      <c r="D125" s="607"/>
      <c r="E125" s="607"/>
      <c r="F125" s="607"/>
      <c r="G125" s="607"/>
      <c r="H125" s="607"/>
      <c r="I125" s="607"/>
      <c r="J125" s="607"/>
      <c r="K125" s="607"/>
      <c r="L125" s="607"/>
      <c r="M125" s="607"/>
      <c r="N125" s="607"/>
      <c r="O125" s="613"/>
      <c r="P125" s="630" t="s">
        <v>73</v>
      </c>
      <c r="Q125" s="622"/>
      <c r="R125" s="622"/>
      <c r="S125" s="622"/>
      <c r="T125" s="622"/>
      <c r="U125" s="622"/>
      <c r="V125" s="623"/>
      <c r="W125" s="37" t="s">
        <v>74</v>
      </c>
      <c r="X125" s="38">
        <f>IFERROR(X121/H121,"0")+IFERROR(X122/H122,"0")+IFERROR(X123/H123,"0")+IFERROR(X124/H124,"0")</f>
        <v>91.728395061728392</v>
      </c>
      <c r="Y125" s="38">
        <f>IFERROR(Y121/H121,"0")+IFERROR(Y122/H122,"0")+IFERROR(Y123/H123,"0")+IFERROR(Y124/H124,"0")</f>
        <v>92</v>
      </c>
      <c r="Z125" s="38">
        <f>IFERROR(IF(Z121="",0,Z121),"0")+IFERROR(IF(Z122="",0,Z122),"0")+IFERROR(IF(Z123="",0,Z123),"0")+IFERROR(IF(Z124="",0,Z124),"0")</f>
        <v>1.3720600000000001</v>
      </c>
      <c r="AA125" s="59"/>
      <c r="AB125" s="59"/>
      <c r="AC125" s="59"/>
    </row>
    <row r="126" spans="1:68" x14ac:dyDescent="0.25">
      <c r="A126" s="607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13"/>
      <c r="P126" s="630" t="s">
        <v>73</v>
      </c>
      <c r="Q126" s="622"/>
      <c r="R126" s="622"/>
      <c r="S126" s="622"/>
      <c r="T126" s="622"/>
      <c r="U126" s="622"/>
      <c r="V126" s="623"/>
      <c r="W126" s="37" t="s">
        <v>68</v>
      </c>
      <c r="X126" s="38">
        <f>IFERROR(SUM(X121:X124),"0")</f>
        <v>581</v>
      </c>
      <c r="Y126" s="38">
        <f>IFERROR(SUM(Y121:Y124),"0")</f>
        <v>583.20000000000005</v>
      </c>
      <c r="Z126" s="37"/>
      <c r="AA126" s="59"/>
      <c r="AB126" s="59"/>
      <c r="AC126" s="59"/>
    </row>
    <row r="127" spans="1:68" ht="14.25" customHeight="1" x14ac:dyDescent="0.25">
      <c r="A127" s="615" t="s">
        <v>170</v>
      </c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7"/>
      <c r="P127" s="607"/>
      <c r="Q127" s="607"/>
      <c r="R127" s="607"/>
      <c r="S127" s="607"/>
      <c r="T127" s="607"/>
      <c r="U127" s="607"/>
      <c r="V127" s="607"/>
      <c r="W127" s="607"/>
      <c r="X127" s="607"/>
      <c r="Y127" s="607"/>
      <c r="Z127" s="607"/>
      <c r="AA127" s="588"/>
      <c r="AB127" s="588"/>
      <c r="AC127" s="588"/>
    </row>
    <row r="128" spans="1:68" ht="16.5" customHeight="1" x14ac:dyDescent="0.25">
      <c r="A128" s="57" t="s">
        <v>238</v>
      </c>
      <c r="B128" s="57" t="s">
        <v>239</v>
      </c>
      <c r="C128" s="31">
        <v>4301060317</v>
      </c>
      <c r="D128" s="601">
        <v>4680115880238</v>
      </c>
      <c r="E128" s="602"/>
      <c r="F128" s="56">
        <v>0.33</v>
      </c>
      <c r="G128" s="32">
        <v>6</v>
      </c>
      <c r="H128" s="56">
        <v>1.98</v>
      </c>
      <c r="I128" s="56">
        <v>2.238</v>
      </c>
      <c r="J128" s="32">
        <v>182</v>
      </c>
      <c r="K128" s="32" t="s">
        <v>78</v>
      </c>
      <c r="L128" s="32"/>
      <c r="M128" s="33" t="s">
        <v>79</v>
      </c>
      <c r="N128" s="33"/>
      <c r="O128" s="32">
        <v>40</v>
      </c>
      <c r="P128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4"/>
      <c r="V128" s="34"/>
      <c r="W128" s="35" t="s">
        <v>68</v>
      </c>
      <c r="X128" s="53">
        <v>0</v>
      </c>
      <c r="Y128" s="50">
        <f>IFERROR(IF(X128="",0,CEILING((X128/$H128),1)*$H128),"")</f>
        <v>0</v>
      </c>
      <c r="Z128" s="36" t="str">
        <f>IFERROR(IF(Y128=0,"",ROUNDUP(Y128/H128,0)*0.00651),"")</f>
        <v/>
      </c>
      <c r="AA128" s="60"/>
      <c r="AB128" s="61"/>
      <c r="AC128" s="186" t="s">
        <v>240</v>
      </c>
      <c r="AG128" s="68"/>
      <c r="AJ128" s="71"/>
      <c r="AK128" s="71">
        <v>0</v>
      </c>
      <c r="BB128" s="187" t="s">
        <v>1</v>
      </c>
      <c r="BM128" s="68">
        <f>IFERROR(X128*I128/H128,"0")</f>
        <v>0</v>
      </c>
      <c r="BN128" s="68">
        <f>IFERROR(Y128*I128/H128,"0")</f>
        <v>0</v>
      </c>
      <c r="BO128" s="68">
        <f>IFERROR(1/J128*(X128/H128),"0")</f>
        <v>0</v>
      </c>
      <c r="BP128" s="68">
        <f>IFERROR(1/J128*(Y128/H128),"0")</f>
        <v>0</v>
      </c>
    </row>
    <row r="129" spans="1:68" x14ac:dyDescent="0.25">
      <c r="A129" s="612"/>
      <c r="B129" s="607"/>
      <c r="C129" s="607"/>
      <c r="D129" s="607"/>
      <c r="E129" s="607"/>
      <c r="F129" s="607"/>
      <c r="G129" s="607"/>
      <c r="H129" s="607"/>
      <c r="I129" s="607"/>
      <c r="J129" s="607"/>
      <c r="K129" s="607"/>
      <c r="L129" s="607"/>
      <c r="M129" s="607"/>
      <c r="N129" s="607"/>
      <c r="O129" s="613"/>
      <c r="P129" s="630" t="s">
        <v>73</v>
      </c>
      <c r="Q129" s="622"/>
      <c r="R129" s="622"/>
      <c r="S129" s="622"/>
      <c r="T129" s="622"/>
      <c r="U129" s="622"/>
      <c r="V129" s="623"/>
      <c r="W129" s="37" t="s">
        <v>74</v>
      </c>
      <c r="X129" s="38">
        <f>IFERROR(X128/H128,"0")</f>
        <v>0</v>
      </c>
      <c r="Y129" s="38">
        <f>IFERROR(Y128/H128,"0")</f>
        <v>0</v>
      </c>
      <c r="Z129" s="38">
        <f>IFERROR(IF(Z128="",0,Z128),"0")</f>
        <v>0</v>
      </c>
      <c r="AA129" s="59"/>
      <c r="AB129" s="59"/>
      <c r="AC129" s="59"/>
    </row>
    <row r="130" spans="1:68" x14ac:dyDescent="0.25">
      <c r="A130" s="607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13"/>
      <c r="P130" s="630" t="s">
        <v>73</v>
      </c>
      <c r="Q130" s="622"/>
      <c r="R130" s="622"/>
      <c r="S130" s="622"/>
      <c r="T130" s="622"/>
      <c r="U130" s="622"/>
      <c r="V130" s="623"/>
      <c r="W130" s="37" t="s">
        <v>68</v>
      </c>
      <c r="X130" s="38">
        <f>IFERROR(SUM(X128:X128),"0")</f>
        <v>0</v>
      </c>
      <c r="Y130" s="38">
        <f>IFERROR(SUM(Y128:Y128),"0")</f>
        <v>0</v>
      </c>
      <c r="Z130" s="37"/>
      <c r="AA130" s="59"/>
      <c r="AB130" s="59"/>
      <c r="AC130" s="59"/>
    </row>
    <row r="131" spans="1:68" ht="16.5" customHeight="1" x14ac:dyDescent="0.25">
      <c r="A131" s="606" t="s">
        <v>241</v>
      </c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7"/>
      <c r="P131" s="607"/>
      <c r="Q131" s="607"/>
      <c r="R131" s="607"/>
      <c r="S131" s="607"/>
      <c r="T131" s="607"/>
      <c r="U131" s="607"/>
      <c r="V131" s="607"/>
      <c r="W131" s="607"/>
      <c r="X131" s="607"/>
      <c r="Y131" s="607"/>
      <c r="Z131" s="607"/>
      <c r="AA131" s="592"/>
      <c r="AB131" s="592"/>
      <c r="AC131" s="592"/>
    </row>
    <row r="132" spans="1:68" ht="14.25" customHeight="1" x14ac:dyDescent="0.25">
      <c r="A132" s="615" t="s">
        <v>118</v>
      </c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588"/>
      <c r="AB132" s="588"/>
      <c r="AC132" s="588"/>
    </row>
    <row r="133" spans="1:68" ht="27" customHeight="1" x14ac:dyDescent="0.25">
      <c r="A133" s="57" t="s">
        <v>242</v>
      </c>
      <c r="B133" s="57" t="s">
        <v>243</v>
      </c>
      <c r="C133" s="31">
        <v>4301011562</v>
      </c>
      <c r="D133" s="601">
        <v>4680115882577</v>
      </c>
      <c r="E133" s="602"/>
      <c r="F133" s="56">
        <v>0.4</v>
      </c>
      <c r="G133" s="32">
        <v>8</v>
      </c>
      <c r="H133" s="56">
        <v>3.2</v>
      </c>
      <c r="I133" s="56">
        <v>3.38</v>
      </c>
      <c r="J133" s="32">
        <v>182</v>
      </c>
      <c r="K133" s="32" t="s">
        <v>78</v>
      </c>
      <c r="L133" s="32"/>
      <c r="M133" s="33" t="s">
        <v>99</v>
      </c>
      <c r="N133" s="33"/>
      <c r="O133" s="32">
        <v>90</v>
      </c>
      <c r="P133" s="6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4"/>
      <c r="V133" s="34"/>
      <c r="W133" s="35" t="s">
        <v>68</v>
      </c>
      <c r="X133" s="53">
        <v>0</v>
      </c>
      <c r="Y133" s="50">
        <f>IFERROR(IF(X133="",0,CEILING((X133/$H133),1)*$H133),"")</f>
        <v>0</v>
      </c>
      <c r="Z133" s="36" t="str">
        <f>IFERROR(IF(Y133=0,"",ROUNDUP(Y133/H133,0)*0.00651),"")</f>
        <v/>
      </c>
      <c r="AA133" s="60"/>
      <c r="AB133" s="61"/>
      <c r="AC133" s="188" t="s">
        <v>244</v>
      </c>
      <c r="AG133" s="68"/>
      <c r="AJ133" s="71"/>
      <c r="AK133" s="71">
        <v>0</v>
      </c>
      <c r="BB133" s="189" t="s">
        <v>1</v>
      </c>
      <c r="BM133" s="68">
        <f>IFERROR(X133*I133/H133,"0")</f>
        <v>0</v>
      </c>
      <c r="BN133" s="68">
        <f>IFERROR(Y133*I133/H133,"0")</f>
        <v>0</v>
      </c>
      <c r="BO133" s="68">
        <f>IFERROR(1/J133*(X133/H133),"0")</f>
        <v>0</v>
      </c>
      <c r="BP133" s="68">
        <f>IFERROR(1/J133*(Y133/H133),"0")</f>
        <v>0</v>
      </c>
    </row>
    <row r="134" spans="1:68" ht="27" customHeight="1" x14ac:dyDescent="0.25">
      <c r="A134" s="57" t="s">
        <v>242</v>
      </c>
      <c r="B134" s="57" t="s">
        <v>245</v>
      </c>
      <c r="C134" s="31">
        <v>4301011564</v>
      </c>
      <c r="D134" s="601">
        <v>4680115882577</v>
      </c>
      <c r="E134" s="602"/>
      <c r="F134" s="56">
        <v>0.4</v>
      </c>
      <c r="G134" s="32">
        <v>8</v>
      </c>
      <c r="H134" s="56">
        <v>3.2</v>
      </c>
      <c r="I134" s="56">
        <v>3.38</v>
      </c>
      <c r="J134" s="32">
        <v>182</v>
      </c>
      <c r="K134" s="32" t="s">
        <v>78</v>
      </c>
      <c r="L134" s="32"/>
      <c r="M134" s="33" t="s">
        <v>99</v>
      </c>
      <c r="N134" s="33"/>
      <c r="O134" s="32">
        <v>90</v>
      </c>
      <c r="P134" s="63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4"/>
      <c r="V134" s="34"/>
      <c r="W134" s="35" t="s">
        <v>68</v>
      </c>
      <c r="X134" s="53">
        <v>0</v>
      </c>
      <c r="Y134" s="50">
        <f>IFERROR(IF(X134="",0,CEILING((X134/$H134),1)*$H134),"")</f>
        <v>0</v>
      </c>
      <c r="Z134" s="36" t="str">
        <f>IFERROR(IF(Y134=0,"",ROUNDUP(Y134/H134,0)*0.00651),"")</f>
        <v/>
      </c>
      <c r="AA134" s="60"/>
      <c r="AB134" s="61"/>
      <c r="AC134" s="190" t="s">
        <v>244</v>
      </c>
      <c r="AG134" s="68"/>
      <c r="AJ134" s="71"/>
      <c r="AK134" s="71">
        <v>0</v>
      </c>
      <c r="BB134" s="191" t="s">
        <v>1</v>
      </c>
      <c r="BM134" s="68">
        <f>IFERROR(X134*I134/H134,"0")</f>
        <v>0</v>
      </c>
      <c r="BN134" s="68">
        <f>IFERROR(Y134*I134/H134,"0")</f>
        <v>0</v>
      </c>
      <c r="BO134" s="68">
        <f>IFERROR(1/J134*(X134/H134),"0")</f>
        <v>0</v>
      </c>
      <c r="BP134" s="68">
        <f>IFERROR(1/J134*(Y134/H134),"0")</f>
        <v>0</v>
      </c>
    </row>
    <row r="135" spans="1:68" x14ac:dyDescent="0.25">
      <c r="A135" s="612"/>
      <c r="B135" s="607"/>
      <c r="C135" s="607"/>
      <c r="D135" s="607"/>
      <c r="E135" s="607"/>
      <c r="F135" s="607"/>
      <c r="G135" s="607"/>
      <c r="H135" s="607"/>
      <c r="I135" s="607"/>
      <c r="J135" s="607"/>
      <c r="K135" s="607"/>
      <c r="L135" s="607"/>
      <c r="M135" s="607"/>
      <c r="N135" s="607"/>
      <c r="O135" s="613"/>
      <c r="P135" s="630" t="s">
        <v>73</v>
      </c>
      <c r="Q135" s="622"/>
      <c r="R135" s="622"/>
      <c r="S135" s="622"/>
      <c r="T135" s="622"/>
      <c r="U135" s="622"/>
      <c r="V135" s="623"/>
      <c r="W135" s="37" t="s">
        <v>74</v>
      </c>
      <c r="X135" s="38">
        <f>IFERROR(X133/H133,"0")+IFERROR(X134/H134,"0")</f>
        <v>0</v>
      </c>
      <c r="Y135" s="38">
        <f>IFERROR(Y133/H133,"0")+IFERROR(Y134/H134,"0")</f>
        <v>0</v>
      </c>
      <c r="Z135" s="38">
        <f>IFERROR(IF(Z133="",0,Z133),"0")+IFERROR(IF(Z134="",0,Z134),"0")</f>
        <v>0</v>
      </c>
      <c r="AA135" s="59"/>
      <c r="AB135" s="59"/>
      <c r="AC135" s="59"/>
    </row>
    <row r="136" spans="1:68" x14ac:dyDescent="0.25">
      <c r="A136" s="607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13"/>
      <c r="P136" s="630" t="s">
        <v>73</v>
      </c>
      <c r="Q136" s="622"/>
      <c r="R136" s="622"/>
      <c r="S136" s="622"/>
      <c r="T136" s="622"/>
      <c r="U136" s="622"/>
      <c r="V136" s="623"/>
      <c r="W136" s="37" t="s">
        <v>68</v>
      </c>
      <c r="X136" s="38">
        <f>IFERROR(SUM(X133:X134),"0")</f>
        <v>0</v>
      </c>
      <c r="Y136" s="38">
        <f>IFERROR(SUM(Y133:Y134),"0")</f>
        <v>0</v>
      </c>
      <c r="Z136" s="37"/>
      <c r="AA136" s="59"/>
      <c r="AB136" s="59"/>
      <c r="AC136" s="59"/>
    </row>
    <row r="137" spans="1:68" ht="14.25" customHeight="1" x14ac:dyDescent="0.25">
      <c r="A137" s="615" t="s">
        <v>63</v>
      </c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7"/>
      <c r="P137" s="607"/>
      <c r="Q137" s="607"/>
      <c r="R137" s="607"/>
      <c r="S137" s="607"/>
      <c r="T137" s="607"/>
      <c r="U137" s="607"/>
      <c r="V137" s="607"/>
      <c r="W137" s="607"/>
      <c r="X137" s="607"/>
      <c r="Y137" s="607"/>
      <c r="Z137" s="607"/>
      <c r="AA137" s="588"/>
      <c r="AB137" s="588"/>
      <c r="AC137" s="588"/>
    </row>
    <row r="138" spans="1:68" ht="27" customHeight="1" x14ac:dyDescent="0.25">
      <c r="A138" s="57" t="s">
        <v>246</v>
      </c>
      <c r="B138" s="57" t="s">
        <v>247</v>
      </c>
      <c r="C138" s="31">
        <v>4301031234</v>
      </c>
      <c r="D138" s="601">
        <v>4680115883444</v>
      </c>
      <c r="E138" s="602"/>
      <c r="F138" s="56">
        <v>0.35</v>
      </c>
      <c r="G138" s="32">
        <v>8</v>
      </c>
      <c r="H138" s="56">
        <v>2.8</v>
      </c>
      <c r="I138" s="56">
        <v>3.0680000000000001</v>
      </c>
      <c r="J138" s="32">
        <v>182</v>
      </c>
      <c r="K138" s="32" t="s">
        <v>78</v>
      </c>
      <c r="L138" s="32"/>
      <c r="M138" s="33" t="s">
        <v>99</v>
      </c>
      <c r="N138" s="33"/>
      <c r="O138" s="32">
        <v>90</v>
      </c>
      <c r="P138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4"/>
      <c r="V138" s="34"/>
      <c r="W138" s="35" t="s">
        <v>68</v>
      </c>
      <c r="X138" s="53">
        <v>0</v>
      </c>
      <c r="Y138" s="50">
        <f>IFERROR(IF(X138="",0,CEILING((X138/$H138),1)*$H138),"")</f>
        <v>0</v>
      </c>
      <c r="Z138" s="36" t="str">
        <f>IFERROR(IF(Y138=0,"",ROUNDUP(Y138/H138,0)*0.00651),"")</f>
        <v/>
      </c>
      <c r="AA138" s="60"/>
      <c r="AB138" s="61"/>
      <c r="AC138" s="192" t="s">
        <v>248</v>
      </c>
      <c r="AG138" s="68"/>
      <c r="AJ138" s="71"/>
      <c r="AK138" s="71">
        <v>0</v>
      </c>
      <c r="BB138" s="193" t="s">
        <v>1</v>
      </c>
      <c r="BM138" s="68">
        <f>IFERROR(X138*I138/H138,"0")</f>
        <v>0</v>
      </c>
      <c r="BN138" s="68">
        <f>IFERROR(Y138*I138/H138,"0")</f>
        <v>0</v>
      </c>
      <c r="BO138" s="68">
        <f>IFERROR(1/J138*(X138/H138),"0")</f>
        <v>0</v>
      </c>
      <c r="BP138" s="68">
        <f>IFERROR(1/J138*(Y138/H138),"0")</f>
        <v>0</v>
      </c>
    </row>
    <row r="139" spans="1:68" ht="27" customHeight="1" x14ac:dyDescent="0.25">
      <c r="A139" s="57" t="s">
        <v>246</v>
      </c>
      <c r="B139" s="57" t="s">
        <v>249</v>
      </c>
      <c r="C139" s="31">
        <v>4301031235</v>
      </c>
      <c r="D139" s="601">
        <v>4680115883444</v>
      </c>
      <c r="E139" s="602"/>
      <c r="F139" s="56">
        <v>0.35</v>
      </c>
      <c r="G139" s="32">
        <v>8</v>
      </c>
      <c r="H139" s="56">
        <v>2.8</v>
      </c>
      <c r="I139" s="56">
        <v>3.0680000000000001</v>
      </c>
      <c r="J139" s="32">
        <v>182</v>
      </c>
      <c r="K139" s="32" t="s">
        <v>78</v>
      </c>
      <c r="L139" s="32"/>
      <c r="M139" s="33" t="s">
        <v>99</v>
      </c>
      <c r="N139" s="33"/>
      <c r="O139" s="32">
        <v>90</v>
      </c>
      <c r="P139" s="6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4"/>
      <c r="V139" s="34"/>
      <c r="W139" s="35" t="s">
        <v>68</v>
      </c>
      <c r="X139" s="53">
        <v>0</v>
      </c>
      <c r="Y139" s="50">
        <f>IFERROR(IF(X139="",0,CEILING((X139/$H139),1)*$H139),"")</f>
        <v>0</v>
      </c>
      <c r="Z139" s="36" t="str">
        <f>IFERROR(IF(Y139=0,"",ROUNDUP(Y139/H139,0)*0.00651),"")</f>
        <v/>
      </c>
      <c r="AA139" s="60"/>
      <c r="AB139" s="61"/>
      <c r="AC139" s="194" t="s">
        <v>248</v>
      </c>
      <c r="AG139" s="68"/>
      <c r="AJ139" s="71"/>
      <c r="AK139" s="71">
        <v>0</v>
      </c>
      <c r="BB139" s="195" t="s">
        <v>1</v>
      </c>
      <c r="BM139" s="68">
        <f>IFERROR(X139*I139/H139,"0")</f>
        <v>0</v>
      </c>
      <c r="BN139" s="68">
        <f>IFERROR(Y139*I139/H139,"0")</f>
        <v>0</v>
      </c>
      <c r="BO139" s="68">
        <f>IFERROR(1/J139*(X139/H139),"0")</f>
        <v>0</v>
      </c>
      <c r="BP139" s="68">
        <f>IFERROR(1/J139*(Y139/H139),"0")</f>
        <v>0</v>
      </c>
    </row>
    <row r="140" spans="1:68" x14ac:dyDescent="0.25">
      <c r="A140" s="612"/>
      <c r="B140" s="607"/>
      <c r="C140" s="607"/>
      <c r="D140" s="607"/>
      <c r="E140" s="607"/>
      <c r="F140" s="607"/>
      <c r="G140" s="607"/>
      <c r="H140" s="607"/>
      <c r="I140" s="607"/>
      <c r="J140" s="607"/>
      <c r="K140" s="607"/>
      <c r="L140" s="607"/>
      <c r="M140" s="607"/>
      <c r="N140" s="607"/>
      <c r="O140" s="613"/>
      <c r="P140" s="630" t="s">
        <v>73</v>
      </c>
      <c r="Q140" s="622"/>
      <c r="R140" s="622"/>
      <c r="S140" s="622"/>
      <c r="T140" s="622"/>
      <c r="U140" s="622"/>
      <c r="V140" s="623"/>
      <c r="W140" s="37" t="s">
        <v>74</v>
      </c>
      <c r="X140" s="38">
        <f>IFERROR(X138/H138,"0")+IFERROR(X139/H139,"0")</f>
        <v>0</v>
      </c>
      <c r="Y140" s="38">
        <f>IFERROR(Y138/H138,"0")+IFERROR(Y139/H139,"0")</f>
        <v>0</v>
      </c>
      <c r="Z140" s="38">
        <f>IFERROR(IF(Z138="",0,Z138),"0")+IFERROR(IF(Z139="",0,Z139),"0")</f>
        <v>0</v>
      </c>
      <c r="AA140" s="59"/>
      <c r="AB140" s="59"/>
      <c r="AC140" s="59"/>
    </row>
    <row r="141" spans="1:68" x14ac:dyDescent="0.25">
      <c r="A141" s="607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13"/>
      <c r="P141" s="630" t="s">
        <v>73</v>
      </c>
      <c r="Q141" s="622"/>
      <c r="R141" s="622"/>
      <c r="S141" s="622"/>
      <c r="T141" s="622"/>
      <c r="U141" s="622"/>
      <c r="V141" s="623"/>
      <c r="W141" s="37" t="s">
        <v>68</v>
      </c>
      <c r="X141" s="38">
        <f>IFERROR(SUM(X138:X139),"0")</f>
        <v>0</v>
      </c>
      <c r="Y141" s="38">
        <f>IFERROR(SUM(Y138:Y139),"0")</f>
        <v>0</v>
      </c>
      <c r="Z141" s="37"/>
      <c r="AA141" s="59"/>
      <c r="AB141" s="59"/>
      <c r="AC141" s="59"/>
    </row>
    <row r="142" spans="1:68" ht="14.25" customHeight="1" x14ac:dyDescent="0.25">
      <c r="A142" s="615" t="s">
        <v>75</v>
      </c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7"/>
      <c r="P142" s="607"/>
      <c r="Q142" s="607"/>
      <c r="R142" s="607"/>
      <c r="S142" s="607"/>
      <c r="T142" s="607"/>
      <c r="U142" s="607"/>
      <c r="V142" s="607"/>
      <c r="W142" s="607"/>
      <c r="X142" s="607"/>
      <c r="Y142" s="607"/>
      <c r="Z142" s="607"/>
      <c r="AA142" s="588"/>
      <c r="AB142" s="588"/>
      <c r="AC142" s="588"/>
    </row>
    <row r="143" spans="1:68" ht="16.5" customHeight="1" x14ac:dyDescent="0.25">
      <c r="A143" s="57" t="s">
        <v>250</v>
      </c>
      <c r="B143" s="57" t="s">
        <v>251</v>
      </c>
      <c r="C143" s="31">
        <v>4301051476</v>
      </c>
      <c r="D143" s="601">
        <v>4680115882584</v>
      </c>
      <c r="E143" s="602"/>
      <c r="F143" s="56">
        <v>0.33</v>
      </c>
      <c r="G143" s="32">
        <v>8</v>
      </c>
      <c r="H143" s="56">
        <v>2.64</v>
      </c>
      <c r="I143" s="56">
        <v>2.9079999999999999</v>
      </c>
      <c r="J143" s="32">
        <v>182</v>
      </c>
      <c r="K143" s="32" t="s">
        <v>78</v>
      </c>
      <c r="L143" s="32"/>
      <c r="M143" s="33" t="s">
        <v>99</v>
      </c>
      <c r="N143" s="33"/>
      <c r="O143" s="32">
        <v>60</v>
      </c>
      <c r="P143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4"/>
      <c r="V143" s="34"/>
      <c r="W143" s="35" t="s">
        <v>68</v>
      </c>
      <c r="X143" s="53">
        <v>0</v>
      </c>
      <c r="Y143" s="50">
        <f>IFERROR(IF(X143="",0,CEILING((X143/$H143),1)*$H143),"")</f>
        <v>0</v>
      </c>
      <c r="Z143" s="36" t="str">
        <f>IFERROR(IF(Y143=0,"",ROUNDUP(Y143/H143,0)*0.00651),"")</f>
        <v/>
      </c>
      <c r="AA143" s="60"/>
      <c r="AB143" s="61"/>
      <c r="AC143" s="196" t="s">
        <v>244</v>
      </c>
      <c r="AG143" s="68"/>
      <c r="AJ143" s="71"/>
      <c r="AK143" s="71">
        <v>0</v>
      </c>
      <c r="BB143" s="197" t="s">
        <v>1</v>
      </c>
      <c r="BM143" s="68">
        <f>IFERROR(X143*I143/H143,"0")</f>
        <v>0</v>
      </c>
      <c r="BN143" s="68">
        <f>IFERROR(Y143*I143/H143,"0")</f>
        <v>0</v>
      </c>
      <c r="BO143" s="68">
        <f>IFERROR(1/J143*(X143/H143),"0")</f>
        <v>0</v>
      </c>
      <c r="BP143" s="68">
        <f>IFERROR(1/J143*(Y143/H143),"0")</f>
        <v>0</v>
      </c>
    </row>
    <row r="144" spans="1:68" ht="16.5" customHeight="1" x14ac:dyDescent="0.25">
      <c r="A144" s="57" t="s">
        <v>250</v>
      </c>
      <c r="B144" s="57" t="s">
        <v>252</v>
      </c>
      <c r="C144" s="31">
        <v>4301051477</v>
      </c>
      <c r="D144" s="601">
        <v>4680115882584</v>
      </c>
      <c r="E144" s="602"/>
      <c r="F144" s="56">
        <v>0.33</v>
      </c>
      <c r="G144" s="32">
        <v>8</v>
      </c>
      <c r="H144" s="56">
        <v>2.64</v>
      </c>
      <c r="I144" s="56">
        <v>2.9079999999999999</v>
      </c>
      <c r="J144" s="32">
        <v>182</v>
      </c>
      <c r="K144" s="32" t="s">
        <v>78</v>
      </c>
      <c r="L144" s="32"/>
      <c r="M144" s="33" t="s">
        <v>99</v>
      </c>
      <c r="N144" s="33"/>
      <c r="O144" s="32">
        <v>60</v>
      </c>
      <c r="P144" s="9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4"/>
      <c r="V144" s="34"/>
      <c r="W144" s="35" t="s">
        <v>68</v>
      </c>
      <c r="X144" s="53">
        <v>0</v>
      </c>
      <c r="Y144" s="50">
        <f>IFERROR(IF(X144="",0,CEILING((X144/$H144),1)*$H144),"")</f>
        <v>0</v>
      </c>
      <c r="Z144" s="36" t="str">
        <f>IFERROR(IF(Y144=0,"",ROUNDUP(Y144/H144,0)*0.00651),"")</f>
        <v/>
      </c>
      <c r="AA144" s="60"/>
      <c r="AB144" s="61"/>
      <c r="AC144" s="198" t="s">
        <v>244</v>
      </c>
      <c r="AG144" s="68"/>
      <c r="AJ144" s="71"/>
      <c r="AK144" s="71">
        <v>0</v>
      </c>
      <c r="BB144" s="199" t="s">
        <v>1</v>
      </c>
      <c r="BM144" s="68">
        <f>IFERROR(X144*I144/H144,"0")</f>
        <v>0</v>
      </c>
      <c r="BN144" s="68">
        <f>IFERROR(Y144*I144/H144,"0")</f>
        <v>0</v>
      </c>
      <c r="BO144" s="68">
        <f>IFERROR(1/J144*(X144/H144),"0")</f>
        <v>0</v>
      </c>
      <c r="BP144" s="68">
        <f>IFERROR(1/J144*(Y144/H144),"0")</f>
        <v>0</v>
      </c>
    </row>
    <row r="145" spans="1:68" x14ac:dyDescent="0.25">
      <c r="A145" s="612"/>
      <c r="B145" s="607"/>
      <c r="C145" s="607"/>
      <c r="D145" s="607"/>
      <c r="E145" s="607"/>
      <c r="F145" s="607"/>
      <c r="G145" s="607"/>
      <c r="H145" s="607"/>
      <c r="I145" s="607"/>
      <c r="J145" s="607"/>
      <c r="K145" s="607"/>
      <c r="L145" s="607"/>
      <c r="M145" s="607"/>
      <c r="N145" s="607"/>
      <c r="O145" s="613"/>
      <c r="P145" s="630" t="s">
        <v>73</v>
      </c>
      <c r="Q145" s="622"/>
      <c r="R145" s="622"/>
      <c r="S145" s="622"/>
      <c r="T145" s="622"/>
      <c r="U145" s="622"/>
      <c r="V145" s="623"/>
      <c r="W145" s="37" t="s">
        <v>74</v>
      </c>
      <c r="X145" s="38">
        <f>IFERROR(X143/H143,"0")+IFERROR(X144/H144,"0")</f>
        <v>0</v>
      </c>
      <c r="Y145" s="38">
        <f>IFERROR(Y143/H143,"0")+IFERROR(Y144/H144,"0")</f>
        <v>0</v>
      </c>
      <c r="Z145" s="38">
        <f>IFERROR(IF(Z143="",0,Z143),"0")+IFERROR(IF(Z144="",0,Z144),"0")</f>
        <v>0</v>
      </c>
      <c r="AA145" s="59"/>
      <c r="AB145" s="59"/>
      <c r="AC145" s="59"/>
    </row>
    <row r="146" spans="1:68" x14ac:dyDescent="0.25">
      <c r="A146" s="607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13"/>
      <c r="P146" s="630" t="s">
        <v>73</v>
      </c>
      <c r="Q146" s="622"/>
      <c r="R146" s="622"/>
      <c r="S146" s="622"/>
      <c r="T146" s="622"/>
      <c r="U146" s="622"/>
      <c r="V146" s="623"/>
      <c r="W146" s="37" t="s">
        <v>68</v>
      </c>
      <c r="X146" s="38">
        <f>IFERROR(SUM(X143:X144),"0")</f>
        <v>0</v>
      </c>
      <c r="Y146" s="38">
        <f>IFERROR(SUM(Y143:Y144),"0")</f>
        <v>0</v>
      </c>
      <c r="Z146" s="37"/>
      <c r="AA146" s="59"/>
      <c r="AB146" s="59"/>
      <c r="AC146" s="59"/>
    </row>
    <row r="147" spans="1:68" ht="16.5" customHeight="1" x14ac:dyDescent="0.25">
      <c r="A147" s="606" t="s">
        <v>253</v>
      </c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7"/>
      <c r="P147" s="607"/>
      <c r="Q147" s="607"/>
      <c r="R147" s="607"/>
      <c r="S147" s="607"/>
      <c r="T147" s="607"/>
      <c r="U147" s="607"/>
      <c r="V147" s="607"/>
      <c r="W147" s="607"/>
      <c r="X147" s="607"/>
      <c r="Y147" s="607"/>
      <c r="Z147" s="607"/>
      <c r="AA147" s="592"/>
      <c r="AB147" s="592"/>
      <c r="AC147" s="592"/>
    </row>
    <row r="148" spans="1:68" ht="14.25" customHeight="1" x14ac:dyDescent="0.25">
      <c r="A148" s="615" t="s">
        <v>75</v>
      </c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588"/>
      <c r="AB148" s="588"/>
      <c r="AC148" s="588"/>
    </row>
    <row r="149" spans="1:68" ht="27" customHeight="1" x14ac:dyDescent="0.25">
      <c r="A149" s="57" t="s">
        <v>254</v>
      </c>
      <c r="B149" s="57" t="s">
        <v>255</v>
      </c>
      <c r="C149" s="31">
        <v>4301052174</v>
      </c>
      <c r="D149" s="601">
        <v>4680115888203</v>
      </c>
      <c r="E149" s="602"/>
      <c r="F149" s="56">
        <v>0.22</v>
      </c>
      <c r="G149" s="32">
        <v>9</v>
      </c>
      <c r="H149" s="56">
        <v>1.98</v>
      </c>
      <c r="I149" s="56">
        <v>2.2589999999999999</v>
      </c>
      <c r="J149" s="32">
        <v>182</v>
      </c>
      <c r="K149" s="32" t="s">
        <v>78</v>
      </c>
      <c r="L149" s="32"/>
      <c r="M149" s="33" t="s">
        <v>85</v>
      </c>
      <c r="N149" s="33"/>
      <c r="O149" s="32">
        <v>40</v>
      </c>
      <c r="P149" s="69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4"/>
      <c r="V149" s="34"/>
      <c r="W149" s="35" t="s">
        <v>68</v>
      </c>
      <c r="X149" s="53">
        <v>0</v>
      </c>
      <c r="Y149" s="50">
        <f>IFERROR(IF(X149="",0,CEILING((X149/$H149),1)*$H149),"")</f>
        <v>0</v>
      </c>
      <c r="Z149" s="36" t="str">
        <f>IFERROR(IF(Y149=0,"",ROUNDUP(Y149/H149,0)*0.00651),"")</f>
        <v/>
      </c>
      <c r="AA149" s="60"/>
      <c r="AB149" s="61"/>
      <c r="AC149" s="200" t="s">
        <v>256</v>
      </c>
      <c r="AG149" s="68"/>
      <c r="AJ149" s="71"/>
      <c r="AK149" s="71">
        <v>0</v>
      </c>
      <c r="BB149" s="201" t="s">
        <v>1</v>
      </c>
      <c r="BM149" s="68">
        <f>IFERROR(X149*I149/H149,"0")</f>
        <v>0</v>
      </c>
      <c r="BN149" s="68">
        <f>IFERROR(Y149*I149/H149,"0")</f>
        <v>0</v>
      </c>
      <c r="BO149" s="68">
        <f>IFERROR(1/J149*(X149/H149),"0")</f>
        <v>0</v>
      </c>
      <c r="BP149" s="68">
        <f>IFERROR(1/J149*(Y149/H149),"0")</f>
        <v>0</v>
      </c>
    </row>
    <row r="150" spans="1:68" ht="27" customHeight="1" x14ac:dyDescent="0.25">
      <c r="A150" s="57" t="s">
        <v>257</v>
      </c>
      <c r="B150" s="57" t="s">
        <v>258</v>
      </c>
      <c r="C150" s="31">
        <v>4301052172</v>
      </c>
      <c r="D150" s="601">
        <v>4680115888180</v>
      </c>
      <c r="E150" s="602"/>
      <c r="F150" s="56">
        <v>0.22</v>
      </c>
      <c r="G150" s="32">
        <v>9</v>
      </c>
      <c r="H150" s="56">
        <v>1.98</v>
      </c>
      <c r="I150" s="56">
        <v>2.2589999999999999</v>
      </c>
      <c r="J150" s="32">
        <v>182</v>
      </c>
      <c r="K150" s="32" t="s">
        <v>78</v>
      </c>
      <c r="L150" s="32"/>
      <c r="M150" s="33" t="s">
        <v>85</v>
      </c>
      <c r="N150" s="33"/>
      <c r="O150" s="32">
        <v>40</v>
      </c>
      <c r="P150" s="91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4"/>
      <c r="V150" s="34"/>
      <c r="W150" s="35" t="s">
        <v>68</v>
      </c>
      <c r="X150" s="53">
        <v>0</v>
      </c>
      <c r="Y150" s="50">
        <f>IFERROR(IF(X150="",0,CEILING((X150/$H150),1)*$H150),"")</f>
        <v>0</v>
      </c>
      <c r="Z150" s="36" t="str">
        <f>IFERROR(IF(Y150=0,"",ROUNDUP(Y150/H150,0)*0.00651),"")</f>
        <v/>
      </c>
      <c r="AA150" s="60"/>
      <c r="AB150" s="61"/>
      <c r="AC150" s="202" t="s">
        <v>259</v>
      </c>
      <c r="AG150" s="68"/>
      <c r="AJ150" s="71"/>
      <c r="AK150" s="71">
        <v>0</v>
      </c>
      <c r="BB150" s="203" t="s">
        <v>1</v>
      </c>
      <c r="BM150" s="68">
        <f>IFERROR(X150*I150/H150,"0")</f>
        <v>0</v>
      </c>
      <c r="BN150" s="68">
        <f>IFERROR(Y150*I150/H150,"0")</f>
        <v>0</v>
      </c>
      <c r="BO150" s="68">
        <f>IFERROR(1/J150*(X150/H150),"0")</f>
        <v>0</v>
      </c>
      <c r="BP150" s="68">
        <f>IFERROR(1/J150*(Y150/H150),"0")</f>
        <v>0</v>
      </c>
    </row>
    <row r="151" spans="1:68" ht="27" customHeight="1" x14ac:dyDescent="0.25">
      <c r="A151" s="57" t="s">
        <v>260</v>
      </c>
      <c r="B151" s="57" t="s">
        <v>261</v>
      </c>
      <c r="C151" s="31">
        <v>4301052173</v>
      </c>
      <c r="D151" s="601">
        <v>4680115888197</v>
      </c>
      <c r="E151" s="602"/>
      <c r="F151" s="56">
        <v>0.22</v>
      </c>
      <c r="G151" s="32">
        <v>9</v>
      </c>
      <c r="H151" s="56">
        <v>1.98</v>
      </c>
      <c r="I151" s="56">
        <v>2.2589999999999999</v>
      </c>
      <c r="J151" s="32">
        <v>182</v>
      </c>
      <c r="K151" s="32" t="s">
        <v>78</v>
      </c>
      <c r="L151" s="32"/>
      <c r="M151" s="33" t="s">
        <v>85</v>
      </c>
      <c r="N151" s="33"/>
      <c r="O151" s="32">
        <v>40</v>
      </c>
      <c r="P151" s="6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4"/>
      <c r="V151" s="34"/>
      <c r="W151" s="35" t="s">
        <v>68</v>
      </c>
      <c r="X151" s="53">
        <v>0</v>
      </c>
      <c r="Y151" s="50">
        <f>IFERROR(IF(X151="",0,CEILING((X151/$H151),1)*$H151),"")</f>
        <v>0</v>
      </c>
      <c r="Z151" s="36" t="str">
        <f>IFERROR(IF(Y151=0,"",ROUNDUP(Y151/H151,0)*0.00651),"")</f>
        <v/>
      </c>
      <c r="AA151" s="60"/>
      <c r="AB151" s="61"/>
      <c r="AC151" s="204" t="s">
        <v>262</v>
      </c>
      <c r="AG151" s="68"/>
      <c r="AJ151" s="71"/>
      <c r="AK151" s="71">
        <v>0</v>
      </c>
      <c r="BB151" s="205" t="s">
        <v>1</v>
      </c>
      <c r="BM151" s="68">
        <f>IFERROR(X151*I151/H151,"0")</f>
        <v>0</v>
      </c>
      <c r="BN151" s="68">
        <f>IFERROR(Y151*I151/H151,"0")</f>
        <v>0</v>
      </c>
      <c r="BO151" s="68">
        <f>IFERROR(1/J151*(X151/H151),"0")</f>
        <v>0</v>
      </c>
      <c r="BP151" s="68">
        <f>IFERROR(1/J151*(Y151/H151),"0")</f>
        <v>0</v>
      </c>
    </row>
    <row r="152" spans="1:68" ht="27" customHeight="1" x14ac:dyDescent="0.25">
      <c r="A152" s="57" t="s">
        <v>263</v>
      </c>
      <c r="B152" s="57" t="s">
        <v>264</v>
      </c>
      <c r="C152" s="31">
        <v>4301052175</v>
      </c>
      <c r="D152" s="601">
        <v>4680115888210</v>
      </c>
      <c r="E152" s="602"/>
      <c r="F152" s="56">
        <v>0.22</v>
      </c>
      <c r="G152" s="32">
        <v>9</v>
      </c>
      <c r="H152" s="56">
        <v>1.98</v>
      </c>
      <c r="I152" s="56">
        <v>2.2589999999999999</v>
      </c>
      <c r="J152" s="32">
        <v>182</v>
      </c>
      <c r="K152" s="32" t="s">
        <v>78</v>
      </c>
      <c r="L152" s="32"/>
      <c r="M152" s="33" t="s">
        <v>85</v>
      </c>
      <c r="N152" s="33"/>
      <c r="O152" s="32">
        <v>40</v>
      </c>
      <c r="P152" s="92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4"/>
      <c r="V152" s="34"/>
      <c r="W152" s="35" t="s">
        <v>68</v>
      </c>
      <c r="X152" s="53">
        <v>0</v>
      </c>
      <c r="Y152" s="50">
        <f>IFERROR(IF(X152="",0,CEILING((X152/$H152),1)*$H152),"")</f>
        <v>0</v>
      </c>
      <c r="Z152" s="36" t="str">
        <f>IFERROR(IF(Y152=0,"",ROUNDUP(Y152/H152,0)*0.00651),"")</f>
        <v/>
      </c>
      <c r="AA152" s="60"/>
      <c r="AB152" s="61"/>
      <c r="AC152" s="206" t="s">
        <v>265</v>
      </c>
      <c r="AG152" s="68"/>
      <c r="AJ152" s="71"/>
      <c r="AK152" s="71">
        <v>0</v>
      </c>
      <c r="BB152" s="207" t="s">
        <v>1</v>
      </c>
      <c r="BM152" s="68">
        <f>IFERROR(X152*I152/H152,"0")</f>
        <v>0</v>
      </c>
      <c r="BN152" s="68">
        <f>IFERROR(Y152*I152/H152,"0")</f>
        <v>0</v>
      </c>
      <c r="BO152" s="68">
        <f>IFERROR(1/J152*(X152/H152),"0")</f>
        <v>0</v>
      </c>
      <c r="BP152" s="68">
        <f>IFERROR(1/J152*(Y152/H152),"0")</f>
        <v>0</v>
      </c>
    </row>
    <row r="153" spans="1:68" x14ac:dyDescent="0.25">
      <c r="A153" s="612"/>
      <c r="B153" s="607"/>
      <c r="C153" s="607"/>
      <c r="D153" s="607"/>
      <c r="E153" s="607"/>
      <c r="F153" s="607"/>
      <c r="G153" s="607"/>
      <c r="H153" s="607"/>
      <c r="I153" s="607"/>
      <c r="J153" s="607"/>
      <c r="K153" s="607"/>
      <c r="L153" s="607"/>
      <c r="M153" s="607"/>
      <c r="N153" s="607"/>
      <c r="O153" s="613"/>
      <c r="P153" s="630" t="s">
        <v>73</v>
      </c>
      <c r="Q153" s="622"/>
      <c r="R153" s="622"/>
      <c r="S153" s="622"/>
      <c r="T153" s="622"/>
      <c r="U153" s="622"/>
      <c r="V153" s="623"/>
      <c r="W153" s="37" t="s">
        <v>74</v>
      </c>
      <c r="X153" s="38">
        <f>IFERROR(X149/H149,"0")+IFERROR(X150/H150,"0")+IFERROR(X151/H151,"0")+IFERROR(X152/H152,"0")</f>
        <v>0</v>
      </c>
      <c r="Y153" s="38">
        <f>IFERROR(Y149/H149,"0")+IFERROR(Y150/H150,"0")+IFERROR(Y151/H151,"0")+IFERROR(Y152/H152,"0")</f>
        <v>0</v>
      </c>
      <c r="Z153" s="38">
        <f>IFERROR(IF(Z149="",0,Z149),"0")+IFERROR(IF(Z150="",0,Z150),"0")+IFERROR(IF(Z151="",0,Z151),"0")+IFERROR(IF(Z152="",0,Z152),"0")</f>
        <v>0</v>
      </c>
      <c r="AA153" s="59"/>
      <c r="AB153" s="59"/>
      <c r="AC153" s="59"/>
    </row>
    <row r="154" spans="1:68" x14ac:dyDescent="0.25">
      <c r="A154" s="607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13"/>
      <c r="P154" s="630" t="s">
        <v>73</v>
      </c>
      <c r="Q154" s="622"/>
      <c r="R154" s="622"/>
      <c r="S154" s="622"/>
      <c r="T154" s="622"/>
      <c r="U154" s="622"/>
      <c r="V154" s="623"/>
      <c r="W154" s="37" t="s">
        <v>68</v>
      </c>
      <c r="X154" s="38">
        <f>IFERROR(SUM(X149:X152),"0")</f>
        <v>0</v>
      </c>
      <c r="Y154" s="38">
        <f>IFERROR(SUM(Y149:Y152),"0")</f>
        <v>0</v>
      </c>
      <c r="Z154" s="37"/>
      <c r="AA154" s="59"/>
      <c r="AB154" s="59"/>
      <c r="AC154" s="59"/>
    </row>
    <row r="155" spans="1:68" ht="16.5" customHeight="1" x14ac:dyDescent="0.25">
      <c r="A155" s="606" t="s">
        <v>116</v>
      </c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7"/>
      <c r="P155" s="607"/>
      <c r="Q155" s="607"/>
      <c r="R155" s="607"/>
      <c r="S155" s="607"/>
      <c r="T155" s="607"/>
      <c r="U155" s="607"/>
      <c r="V155" s="607"/>
      <c r="W155" s="607"/>
      <c r="X155" s="607"/>
      <c r="Y155" s="607"/>
      <c r="Z155" s="607"/>
      <c r="AA155" s="592"/>
      <c r="AB155" s="592"/>
      <c r="AC155" s="592"/>
    </row>
    <row r="156" spans="1:68" ht="14.25" customHeight="1" x14ac:dyDescent="0.25">
      <c r="A156" s="615" t="s">
        <v>118</v>
      </c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588"/>
      <c r="AB156" s="588"/>
      <c r="AC156" s="588"/>
    </row>
    <row r="157" spans="1:68" ht="27" customHeight="1" x14ac:dyDescent="0.25">
      <c r="A157" s="57" t="s">
        <v>266</v>
      </c>
      <c r="B157" s="57" t="s">
        <v>267</v>
      </c>
      <c r="C157" s="31">
        <v>4301012244</v>
      </c>
      <c r="D157" s="601">
        <v>4680115887374</v>
      </c>
      <c r="E157" s="602"/>
      <c r="F157" s="56">
        <v>1.6</v>
      </c>
      <c r="G157" s="32">
        <v>8</v>
      </c>
      <c r="H157" s="56">
        <v>12.8</v>
      </c>
      <c r="I157" s="56">
        <v>13.21</v>
      </c>
      <c r="J157" s="32">
        <v>64</v>
      </c>
      <c r="K157" s="32" t="s">
        <v>121</v>
      </c>
      <c r="L157" s="32"/>
      <c r="M157" s="33" t="s">
        <v>122</v>
      </c>
      <c r="N157" s="33"/>
      <c r="O157" s="32">
        <v>55</v>
      </c>
      <c r="P157" s="93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4"/>
      <c r="V157" s="34"/>
      <c r="W157" s="35" t="s">
        <v>68</v>
      </c>
      <c r="X157" s="53">
        <v>0</v>
      </c>
      <c r="Y157" s="50">
        <f>IFERROR(IF(X157="",0,CEILING((X157/$H157),1)*$H157),"")</f>
        <v>0</v>
      </c>
      <c r="Z157" s="36" t="str">
        <f>IFERROR(IF(Y157=0,"",ROUNDUP(Y157/H157,0)*0.01898),"")</f>
        <v/>
      </c>
      <c r="AA157" s="60"/>
      <c r="AB157" s="61"/>
      <c r="AC157" s="208" t="s">
        <v>268</v>
      </c>
      <c r="AG157" s="68"/>
      <c r="AJ157" s="71"/>
      <c r="AK157" s="71">
        <v>0</v>
      </c>
      <c r="BB157" s="209" t="s">
        <v>1</v>
      </c>
      <c r="BM157" s="68">
        <f>IFERROR(X157*I157/H157,"0")</f>
        <v>0</v>
      </c>
      <c r="BN157" s="68">
        <f>IFERROR(Y157*I157/H157,"0")</f>
        <v>0</v>
      </c>
      <c r="BO157" s="68">
        <f>IFERROR(1/J157*(X157/H157),"0")</f>
        <v>0</v>
      </c>
      <c r="BP157" s="68">
        <f>IFERROR(1/J157*(Y157/H157),"0")</f>
        <v>0</v>
      </c>
    </row>
    <row r="158" spans="1:68" ht="27" customHeight="1" x14ac:dyDescent="0.25">
      <c r="A158" s="57" t="s">
        <v>269</v>
      </c>
      <c r="B158" s="57" t="s">
        <v>270</v>
      </c>
      <c r="C158" s="31">
        <v>4301011705</v>
      </c>
      <c r="D158" s="601">
        <v>4607091384604</v>
      </c>
      <c r="E158" s="602"/>
      <c r="F158" s="56">
        <v>0.4</v>
      </c>
      <c r="G158" s="32">
        <v>10</v>
      </c>
      <c r="H158" s="56">
        <v>4</v>
      </c>
      <c r="I158" s="56">
        <v>4.1900000000000004</v>
      </c>
      <c r="J158" s="32">
        <v>132</v>
      </c>
      <c r="K158" s="32" t="s">
        <v>130</v>
      </c>
      <c r="L158" s="32"/>
      <c r="M158" s="33" t="s">
        <v>122</v>
      </c>
      <c r="N158" s="33"/>
      <c r="O158" s="32">
        <v>50</v>
      </c>
      <c r="P158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4"/>
      <c r="V158" s="34"/>
      <c r="W158" s="35" t="s">
        <v>68</v>
      </c>
      <c r="X158" s="53">
        <v>0</v>
      </c>
      <c r="Y158" s="50">
        <f>IFERROR(IF(X158="",0,CEILING((X158/$H158),1)*$H158),"")</f>
        <v>0</v>
      </c>
      <c r="Z158" s="36" t="str">
        <f>IFERROR(IF(Y158=0,"",ROUNDUP(Y158/H158,0)*0.00902),"")</f>
        <v/>
      </c>
      <c r="AA158" s="60"/>
      <c r="AB158" s="61"/>
      <c r="AC158" s="210" t="s">
        <v>271</v>
      </c>
      <c r="AG158" s="68"/>
      <c r="AJ158" s="71"/>
      <c r="AK158" s="71">
        <v>0</v>
      </c>
      <c r="BB158" s="211" t="s">
        <v>1</v>
      </c>
      <c r="BM158" s="68">
        <f>IFERROR(X158*I158/H158,"0")</f>
        <v>0</v>
      </c>
      <c r="BN158" s="68">
        <f>IFERROR(Y158*I158/H158,"0")</f>
        <v>0</v>
      </c>
      <c r="BO158" s="68">
        <f>IFERROR(1/J158*(X158/H158),"0")</f>
        <v>0</v>
      </c>
      <c r="BP158" s="68">
        <f>IFERROR(1/J158*(Y158/H158),"0")</f>
        <v>0</v>
      </c>
    </row>
    <row r="159" spans="1:68" x14ac:dyDescent="0.25">
      <c r="A159" s="612"/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13"/>
      <c r="P159" s="630" t="s">
        <v>73</v>
      </c>
      <c r="Q159" s="622"/>
      <c r="R159" s="622"/>
      <c r="S159" s="622"/>
      <c r="T159" s="622"/>
      <c r="U159" s="622"/>
      <c r="V159" s="623"/>
      <c r="W159" s="37" t="s">
        <v>74</v>
      </c>
      <c r="X159" s="38">
        <f>IFERROR(X157/H157,"0")+IFERROR(X158/H158,"0")</f>
        <v>0</v>
      </c>
      <c r="Y159" s="38">
        <f>IFERROR(Y157/H157,"0")+IFERROR(Y158/H158,"0")</f>
        <v>0</v>
      </c>
      <c r="Z159" s="38">
        <f>IFERROR(IF(Z157="",0,Z157),"0")+IFERROR(IF(Z158="",0,Z158),"0")</f>
        <v>0</v>
      </c>
      <c r="AA159" s="59"/>
      <c r="AB159" s="59"/>
      <c r="AC159" s="59"/>
    </row>
    <row r="160" spans="1:68" x14ac:dyDescent="0.25">
      <c r="A160" s="607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13"/>
      <c r="P160" s="630" t="s">
        <v>73</v>
      </c>
      <c r="Q160" s="622"/>
      <c r="R160" s="622"/>
      <c r="S160" s="622"/>
      <c r="T160" s="622"/>
      <c r="U160" s="622"/>
      <c r="V160" s="623"/>
      <c r="W160" s="37" t="s">
        <v>68</v>
      </c>
      <c r="X160" s="38">
        <f>IFERROR(SUM(X157:X158),"0")</f>
        <v>0</v>
      </c>
      <c r="Y160" s="38">
        <f>IFERROR(SUM(Y157:Y158),"0")</f>
        <v>0</v>
      </c>
      <c r="Z160" s="37"/>
      <c r="AA160" s="59"/>
      <c r="AB160" s="59"/>
      <c r="AC160" s="59"/>
    </row>
    <row r="161" spans="1:68" ht="14.25" customHeight="1" x14ac:dyDescent="0.25">
      <c r="A161" s="615" t="s">
        <v>153</v>
      </c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7"/>
      <c r="P161" s="607"/>
      <c r="Q161" s="607"/>
      <c r="R161" s="607"/>
      <c r="S161" s="607"/>
      <c r="T161" s="607"/>
      <c r="U161" s="607"/>
      <c r="V161" s="607"/>
      <c r="W161" s="607"/>
      <c r="X161" s="607"/>
      <c r="Y161" s="607"/>
      <c r="Z161" s="607"/>
      <c r="AA161" s="588"/>
      <c r="AB161" s="588"/>
      <c r="AC161" s="588"/>
    </row>
    <row r="162" spans="1:68" ht="16.5" customHeight="1" x14ac:dyDescent="0.25">
      <c r="A162" s="57" t="s">
        <v>272</v>
      </c>
      <c r="B162" s="57" t="s">
        <v>273</v>
      </c>
      <c r="C162" s="31">
        <v>4301020410</v>
      </c>
      <c r="D162" s="601">
        <v>4680115887695</v>
      </c>
      <c r="E162" s="602"/>
      <c r="F162" s="56">
        <v>0.12</v>
      </c>
      <c r="G162" s="32">
        <v>6</v>
      </c>
      <c r="H162" s="56">
        <v>0.72</v>
      </c>
      <c r="I162" s="56">
        <v>0.85</v>
      </c>
      <c r="J162" s="32">
        <v>252</v>
      </c>
      <c r="K162" s="32" t="s">
        <v>66</v>
      </c>
      <c r="L162" s="32"/>
      <c r="M162" s="33" t="s">
        <v>67</v>
      </c>
      <c r="N162" s="33"/>
      <c r="O162" s="32">
        <v>30</v>
      </c>
      <c r="P162" s="71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4"/>
      <c r="V162" s="34"/>
      <c r="W162" s="35" t="s">
        <v>68</v>
      </c>
      <c r="X162" s="53">
        <v>0</v>
      </c>
      <c r="Y162" s="50">
        <f>IFERROR(IF(X162="",0,CEILING((X162/$H162),1)*$H162),"")</f>
        <v>0</v>
      </c>
      <c r="Z162" s="36" t="str">
        <f>IFERROR(IF(Y162=0,"",ROUNDUP(Y162/H162,0)*0.00556),"")</f>
        <v/>
      </c>
      <c r="AA162" s="60"/>
      <c r="AB162" s="61"/>
      <c r="AC162" s="212" t="s">
        <v>274</v>
      </c>
      <c r="AG162" s="68"/>
      <c r="AJ162" s="71"/>
      <c r="AK162" s="71">
        <v>0</v>
      </c>
      <c r="BB162" s="213" t="s">
        <v>1</v>
      </c>
      <c r="BM162" s="68">
        <f>IFERROR(X162*I162/H162,"0")</f>
        <v>0</v>
      </c>
      <c r="BN162" s="68">
        <f>IFERROR(Y162*I162/H162,"0")</f>
        <v>0</v>
      </c>
      <c r="BO162" s="68">
        <f>IFERROR(1/J162*(X162/H162),"0")</f>
        <v>0</v>
      </c>
      <c r="BP162" s="68">
        <f>IFERROR(1/J162*(Y162/H162),"0")</f>
        <v>0</v>
      </c>
    </row>
    <row r="163" spans="1:68" x14ac:dyDescent="0.25">
      <c r="A163" s="612"/>
      <c r="B163" s="607"/>
      <c r="C163" s="607"/>
      <c r="D163" s="607"/>
      <c r="E163" s="607"/>
      <c r="F163" s="607"/>
      <c r="G163" s="607"/>
      <c r="H163" s="607"/>
      <c r="I163" s="607"/>
      <c r="J163" s="607"/>
      <c r="K163" s="607"/>
      <c r="L163" s="607"/>
      <c r="M163" s="607"/>
      <c r="N163" s="607"/>
      <c r="O163" s="613"/>
      <c r="P163" s="630" t="s">
        <v>73</v>
      </c>
      <c r="Q163" s="622"/>
      <c r="R163" s="622"/>
      <c r="S163" s="622"/>
      <c r="T163" s="622"/>
      <c r="U163" s="622"/>
      <c r="V163" s="623"/>
      <c r="W163" s="37" t="s">
        <v>74</v>
      </c>
      <c r="X163" s="38">
        <f>IFERROR(X162/H162,"0")</f>
        <v>0</v>
      </c>
      <c r="Y163" s="38">
        <f>IFERROR(Y162/H162,"0")</f>
        <v>0</v>
      </c>
      <c r="Z163" s="38">
        <f>IFERROR(IF(Z162="",0,Z162),"0")</f>
        <v>0</v>
      </c>
      <c r="AA163" s="59"/>
      <c r="AB163" s="59"/>
      <c r="AC163" s="59"/>
    </row>
    <row r="164" spans="1:68" x14ac:dyDescent="0.25">
      <c r="A164" s="607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13"/>
      <c r="P164" s="630" t="s">
        <v>73</v>
      </c>
      <c r="Q164" s="622"/>
      <c r="R164" s="622"/>
      <c r="S164" s="622"/>
      <c r="T164" s="622"/>
      <c r="U164" s="622"/>
      <c r="V164" s="623"/>
      <c r="W164" s="37" t="s">
        <v>68</v>
      </c>
      <c r="X164" s="38">
        <f>IFERROR(SUM(X162:X162),"0")</f>
        <v>0</v>
      </c>
      <c r="Y164" s="38">
        <f>IFERROR(SUM(Y162:Y162),"0")</f>
        <v>0</v>
      </c>
      <c r="Z164" s="37"/>
      <c r="AA164" s="59"/>
      <c r="AB164" s="59"/>
      <c r="AC164" s="59"/>
    </row>
    <row r="165" spans="1:68" ht="14.25" customHeight="1" x14ac:dyDescent="0.25">
      <c r="A165" s="615" t="s">
        <v>63</v>
      </c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7"/>
      <c r="P165" s="607"/>
      <c r="Q165" s="607"/>
      <c r="R165" s="607"/>
      <c r="S165" s="607"/>
      <c r="T165" s="607"/>
      <c r="U165" s="607"/>
      <c r="V165" s="607"/>
      <c r="W165" s="607"/>
      <c r="X165" s="607"/>
      <c r="Y165" s="607"/>
      <c r="Z165" s="607"/>
      <c r="AA165" s="588"/>
      <c r="AB165" s="588"/>
      <c r="AC165" s="588"/>
    </row>
    <row r="166" spans="1:68" ht="27" customHeight="1" x14ac:dyDescent="0.25">
      <c r="A166" s="57" t="s">
        <v>275</v>
      </c>
      <c r="B166" s="57" t="s">
        <v>276</v>
      </c>
      <c r="C166" s="31">
        <v>4301031496</v>
      </c>
      <c r="D166" s="601">
        <v>4680115887428</v>
      </c>
      <c r="E166" s="602"/>
      <c r="F166" s="56">
        <v>0.7</v>
      </c>
      <c r="G166" s="32">
        <v>5</v>
      </c>
      <c r="H166" s="56">
        <v>3.5</v>
      </c>
      <c r="I166" s="56">
        <v>3.69</v>
      </c>
      <c r="J166" s="32">
        <v>132</v>
      </c>
      <c r="K166" s="32" t="s">
        <v>130</v>
      </c>
      <c r="L166" s="32"/>
      <c r="M166" s="33" t="s">
        <v>67</v>
      </c>
      <c r="N166" s="33"/>
      <c r="O166" s="32">
        <v>40</v>
      </c>
      <c r="P166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4"/>
      <c r="V166" s="34"/>
      <c r="W166" s="35" t="s">
        <v>68</v>
      </c>
      <c r="X166" s="53">
        <v>0</v>
      </c>
      <c r="Y166" s="50">
        <f t="shared" ref="Y166:Y175" si="21">IFERROR(IF(X166="",0,CEILING((X166/$H166),1)*$H166),"")</f>
        <v>0</v>
      </c>
      <c r="Z166" s="36" t="str">
        <f>IFERROR(IF(Y166=0,"",ROUNDUP(Y166/H166,0)*0.00902),"")</f>
        <v/>
      </c>
      <c r="AA166" s="60"/>
      <c r="AB166" s="61"/>
      <c r="AC166" s="214" t="s">
        <v>277</v>
      </c>
      <c r="AG166" s="68"/>
      <c r="AJ166" s="71"/>
      <c r="AK166" s="71">
        <v>0</v>
      </c>
      <c r="BB166" s="215" t="s">
        <v>1</v>
      </c>
      <c r="BM166" s="68">
        <f t="shared" ref="BM166:BM175" si="22">IFERROR(X166*I166/H166,"0")</f>
        <v>0</v>
      </c>
      <c r="BN166" s="68">
        <f t="shared" ref="BN166:BN175" si="23">IFERROR(Y166*I166/H166,"0")</f>
        <v>0</v>
      </c>
      <c r="BO166" s="68">
        <f t="shared" ref="BO166:BO175" si="24">IFERROR(1/J166*(X166/H166),"0")</f>
        <v>0</v>
      </c>
      <c r="BP166" s="68">
        <f t="shared" ref="BP166:BP175" si="25">IFERROR(1/J166*(Y166/H166),"0")</f>
        <v>0</v>
      </c>
    </row>
    <row r="167" spans="1:68" ht="27" customHeight="1" x14ac:dyDescent="0.25">
      <c r="A167" s="57" t="s">
        <v>278</v>
      </c>
      <c r="B167" s="57" t="s">
        <v>279</v>
      </c>
      <c r="C167" s="31">
        <v>4301030963</v>
      </c>
      <c r="D167" s="601">
        <v>4607091382426</v>
      </c>
      <c r="E167" s="602"/>
      <c r="F167" s="56">
        <v>0.9</v>
      </c>
      <c r="G167" s="32">
        <v>10</v>
      </c>
      <c r="H167" s="56">
        <v>9</v>
      </c>
      <c r="I167" s="56">
        <v>9.56</v>
      </c>
      <c r="J167" s="32">
        <v>64</v>
      </c>
      <c r="K167" s="32" t="s">
        <v>121</v>
      </c>
      <c r="L167" s="32"/>
      <c r="M167" s="33" t="s">
        <v>67</v>
      </c>
      <c r="N167" s="33"/>
      <c r="O167" s="32">
        <v>40</v>
      </c>
      <c r="P167" s="82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4"/>
      <c r="V167" s="34"/>
      <c r="W167" s="35" t="s">
        <v>68</v>
      </c>
      <c r="X167" s="53">
        <v>0</v>
      </c>
      <c r="Y167" s="50">
        <f t="shared" si="21"/>
        <v>0</v>
      </c>
      <c r="Z167" s="36" t="str">
        <f>IFERROR(IF(Y167=0,"",ROUNDUP(Y167/H167,0)*0.01898),"")</f>
        <v/>
      </c>
      <c r="AA167" s="60"/>
      <c r="AB167" s="61"/>
      <c r="AC167" s="216" t="s">
        <v>280</v>
      </c>
      <c r="AG167" s="68"/>
      <c r="AJ167" s="71"/>
      <c r="AK167" s="71">
        <v>0</v>
      </c>
      <c r="BB167" s="217" t="s">
        <v>1</v>
      </c>
      <c r="BM167" s="68">
        <f t="shared" si="22"/>
        <v>0</v>
      </c>
      <c r="BN167" s="68">
        <f t="shared" si="23"/>
        <v>0</v>
      </c>
      <c r="BO167" s="68">
        <f t="shared" si="24"/>
        <v>0</v>
      </c>
      <c r="BP167" s="68">
        <f t="shared" si="25"/>
        <v>0</v>
      </c>
    </row>
    <row r="168" spans="1:68" ht="27" customHeight="1" x14ac:dyDescent="0.25">
      <c r="A168" s="57" t="s">
        <v>281</v>
      </c>
      <c r="B168" s="57" t="s">
        <v>282</v>
      </c>
      <c r="C168" s="31">
        <v>4301031498</v>
      </c>
      <c r="D168" s="601">
        <v>4680115887398</v>
      </c>
      <c r="E168" s="602"/>
      <c r="F168" s="56">
        <v>0.7</v>
      </c>
      <c r="G168" s="32">
        <v>5</v>
      </c>
      <c r="H168" s="56">
        <v>3.5</v>
      </c>
      <c r="I168" s="56">
        <v>3.69</v>
      </c>
      <c r="J168" s="32">
        <v>132</v>
      </c>
      <c r="K168" s="32" t="s">
        <v>130</v>
      </c>
      <c r="L168" s="32"/>
      <c r="M168" s="33" t="s">
        <v>67</v>
      </c>
      <c r="N168" s="33"/>
      <c r="O168" s="32">
        <v>40</v>
      </c>
      <c r="P168" s="8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4"/>
      <c r="V168" s="34"/>
      <c r="W168" s="35" t="s">
        <v>68</v>
      </c>
      <c r="X168" s="53">
        <v>0</v>
      </c>
      <c r="Y168" s="50">
        <f t="shared" si="21"/>
        <v>0</v>
      </c>
      <c r="Z168" s="36" t="str">
        <f>IFERROR(IF(Y168=0,"",ROUNDUP(Y168/H168,0)*0.00902),"")</f>
        <v/>
      </c>
      <c r="AA168" s="60"/>
      <c r="AB168" s="61"/>
      <c r="AC168" s="218" t="s">
        <v>283</v>
      </c>
      <c r="AG168" s="68"/>
      <c r="AJ168" s="71"/>
      <c r="AK168" s="71">
        <v>0</v>
      </c>
      <c r="BB168" s="219" t="s">
        <v>1</v>
      </c>
      <c r="BM168" s="68">
        <f t="shared" si="22"/>
        <v>0</v>
      </c>
      <c r="BN168" s="68">
        <f t="shared" si="23"/>
        <v>0</v>
      </c>
      <c r="BO168" s="68">
        <f t="shared" si="24"/>
        <v>0</v>
      </c>
      <c r="BP168" s="68">
        <f t="shared" si="25"/>
        <v>0</v>
      </c>
    </row>
    <row r="169" spans="1:68" ht="27" customHeight="1" x14ac:dyDescent="0.25">
      <c r="A169" s="57" t="s">
        <v>284</v>
      </c>
      <c r="B169" s="57" t="s">
        <v>285</v>
      </c>
      <c r="C169" s="31">
        <v>4301031497</v>
      </c>
      <c r="D169" s="601">
        <v>4680115887336</v>
      </c>
      <c r="E169" s="602"/>
      <c r="F169" s="56">
        <v>0.7</v>
      </c>
      <c r="G169" s="32">
        <v>5</v>
      </c>
      <c r="H169" s="56">
        <v>3.5</v>
      </c>
      <c r="I169" s="56">
        <v>3.69</v>
      </c>
      <c r="J169" s="32">
        <v>132</v>
      </c>
      <c r="K169" s="32" t="s">
        <v>130</v>
      </c>
      <c r="L169" s="32"/>
      <c r="M169" s="33" t="s">
        <v>67</v>
      </c>
      <c r="N169" s="33"/>
      <c r="O169" s="32">
        <v>40</v>
      </c>
      <c r="P169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4"/>
      <c r="V169" s="34"/>
      <c r="W169" s="35" t="s">
        <v>68</v>
      </c>
      <c r="X169" s="53">
        <v>0</v>
      </c>
      <c r="Y169" s="50">
        <f t="shared" si="21"/>
        <v>0</v>
      </c>
      <c r="Z169" s="36" t="str">
        <f>IFERROR(IF(Y169=0,"",ROUNDUP(Y169/H169,0)*0.00902),"")</f>
        <v/>
      </c>
      <c r="AA169" s="60"/>
      <c r="AB169" s="61"/>
      <c r="AC169" s="220" t="s">
        <v>286</v>
      </c>
      <c r="AG169" s="68"/>
      <c r="AJ169" s="71"/>
      <c r="AK169" s="71">
        <v>0</v>
      </c>
      <c r="BB169" s="221" t="s">
        <v>1</v>
      </c>
      <c r="BM169" s="68">
        <f t="shared" si="22"/>
        <v>0</v>
      </c>
      <c r="BN169" s="68">
        <f t="shared" si="23"/>
        <v>0</v>
      </c>
      <c r="BO169" s="68">
        <f t="shared" si="24"/>
        <v>0</v>
      </c>
      <c r="BP169" s="68">
        <f t="shared" si="25"/>
        <v>0</v>
      </c>
    </row>
    <row r="170" spans="1:68" ht="16.5" customHeight="1" x14ac:dyDescent="0.25">
      <c r="A170" s="57" t="s">
        <v>287</v>
      </c>
      <c r="B170" s="57" t="s">
        <v>288</v>
      </c>
      <c r="C170" s="31">
        <v>4301032049</v>
      </c>
      <c r="D170" s="601">
        <v>4680115887787</v>
      </c>
      <c r="E170" s="602"/>
      <c r="F170" s="56">
        <v>0.09</v>
      </c>
      <c r="G170" s="32">
        <v>10</v>
      </c>
      <c r="H170" s="56">
        <v>0.9</v>
      </c>
      <c r="I170" s="56">
        <v>1.1100000000000001</v>
      </c>
      <c r="J170" s="32">
        <v>336</v>
      </c>
      <c r="K170" s="32" t="s">
        <v>126</v>
      </c>
      <c r="L170" s="32"/>
      <c r="M170" s="33" t="s">
        <v>67</v>
      </c>
      <c r="N170" s="33"/>
      <c r="O170" s="32">
        <v>45</v>
      </c>
      <c r="P170" s="9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4"/>
      <c r="V170" s="34"/>
      <c r="W170" s="35" t="s">
        <v>68</v>
      </c>
      <c r="X170" s="53">
        <v>0</v>
      </c>
      <c r="Y170" s="50">
        <f t="shared" si="21"/>
        <v>0</v>
      </c>
      <c r="Z170" s="36" t="str">
        <f>IFERROR(IF(Y170=0,"",ROUNDUP(Y170/H170,0)*0.00417),"")</f>
        <v/>
      </c>
      <c r="AA170" s="60"/>
      <c r="AB170" s="61"/>
      <c r="AC170" s="222" t="s">
        <v>289</v>
      </c>
      <c r="AG170" s="68"/>
      <c r="AJ170" s="71"/>
      <c r="AK170" s="71">
        <v>0</v>
      </c>
      <c r="BB170" s="223" t="s">
        <v>1</v>
      </c>
      <c r="BM170" s="68">
        <f t="shared" si="22"/>
        <v>0</v>
      </c>
      <c r="BN170" s="68">
        <f t="shared" si="23"/>
        <v>0</v>
      </c>
      <c r="BO170" s="68">
        <f t="shared" si="24"/>
        <v>0</v>
      </c>
      <c r="BP170" s="68">
        <f t="shared" si="25"/>
        <v>0</v>
      </c>
    </row>
    <row r="171" spans="1:68" ht="27" customHeight="1" x14ac:dyDescent="0.25">
      <c r="A171" s="57" t="s">
        <v>290</v>
      </c>
      <c r="B171" s="57" t="s">
        <v>291</v>
      </c>
      <c r="C171" s="31">
        <v>4301031448</v>
      </c>
      <c r="D171" s="601">
        <v>4680115887503</v>
      </c>
      <c r="E171" s="602"/>
      <c r="F171" s="56">
        <v>0.28000000000000003</v>
      </c>
      <c r="G171" s="32">
        <v>6</v>
      </c>
      <c r="H171" s="56">
        <v>1.68</v>
      </c>
      <c r="I171" s="56">
        <v>1.78</v>
      </c>
      <c r="J171" s="32">
        <v>234</v>
      </c>
      <c r="K171" s="32" t="s">
        <v>66</v>
      </c>
      <c r="L171" s="32"/>
      <c r="M171" s="33" t="s">
        <v>67</v>
      </c>
      <c r="N171" s="33"/>
      <c r="O171" s="32">
        <v>40</v>
      </c>
      <c r="P171" s="89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4"/>
      <c r="V171" s="34"/>
      <c r="W171" s="35" t="s">
        <v>68</v>
      </c>
      <c r="X171" s="53">
        <v>0</v>
      </c>
      <c r="Y171" s="50">
        <f t="shared" si="21"/>
        <v>0</v>
      </c>
      <c r="Z171" s="36" t="str">
        <f>IFERROR(IF(Y171=0,"",ROUNDUP(Y171/H171,0)*0.00502),"")</f>
        <v/>
      </c>
      <c r="AA171" s="60"/>
      <c r="AB171" s="61"/>
      <c r="AC171" s="224" t="s">
        <v>277</v>
      </c>
      <c r="AG171" s="68"/>
      <c r="AJ171" s="71"/>
      <c r="AK171" s="71">
        <v>0</v>
      </c>
      <c r="BB171" s="225" t="s">
        <v>1</v>
      </c>
      <c r="BM171" s="68">
        <f t="shared" si="22"/>
        <v>0</v>
      </c>
      <c r="BN171" s="68">
        <f t="shared" si="23"/>
        <v>0</v>
      </c>
      <c r="BO171" s="68">
        <f t="shared" si="24"/>
        <v>0</v>
      </c>
      <c r="BP171" s="68">
        <f t="shared" si="25"/>
        <v>0</v>
      </c>
    </row>
    <row r="172" spans="1:68" ht="27" customHeight="1" x14ac:dyDescent="0.25">
      <c r="A172" s="57" t="s">
        <v>292</v>
      </c>
      <c r="B172" s="57" t="s">
        <v>293</v>
      </c>
      <c r="C172" s="31">
        <v>4301031389</v>
      </c>
      <c r="D172" s="601">
        <v>4680115887763</v>
      </c>
      <c r="E172" s="602"/>
      <c r="F172" s="56">
        <v>0.09</v>
      </c>
      <c r="G172" s="32">
        <v>10</v>
      </c>
      <c r="H172" s="56">
        <v>0.9</v>
      </c>
      <c r="I172" s="56">
        <v>1.1100000000000001</v>
      </c>
      <c r="J172" s="32">
        <v>336</v>
      </c>
      <c r="K172" s="32" t="s">
        <v>126</v>
      </c>
      <c r="L172" s="32"/>
      <c r="M172" s="33" t="s">
        <v>67</v>
      </c>
      <c r="N172" s="33"/>
      <c r="O172" s="32">
        <v>45</v>
      </c>
      <c r="P172" s="91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4"/>
      <c r="V172" s="34"/>
      <c r="W172" s="35" t="s">
        <v>68</v>
      </c>
      <c r="X172" s="53">
        <v>0</v>
      </c>
      <c r="Y172" s="50">
        <f t="shared" si="21"/>
        <v>0</v>
      </c>
      <c r="Z172" s="36" t="str">
        <f>IFERROR(IF(Y172=0,"",ROUNDUP(Y172/H172,0)*0.00417),"")</f>
        <v/>
      </c>
      <c r="AA172" s="60"/>
      <c r="AB172" s="61"/>
      <c r="AC172" s="226" t="s">
        <v>294</v>
      </c>
      <c r="AG172" s="68"/>
      <c r="AJ172" s="71"/>
      <c r="AK172" s="71">
        <v>0</v>
      </c>
      <c r="BB172" s="227" t="s">
        <v>1</v>
      </c>
      <c r="BM172" s="68">
        <f t="shared" si="22"/>
        <v>0</v>
      </c>
      <c r="BN172" s="68">
        <f t="shared" si="23"/>
        <v>0</v>
      </c>
      <c r="BO172" s="68">
        <f t="shared" si="24"/>
        <v>0</v>
      </c>
      <c r="BP172" s="68">
        <f t="shared" si="25"/>
        <v>0</v>
      </c>
    </row>
    <row r="173" spans="1:68" ht="27" customHeight="1" x14ac:dyDescent="0.25">
      <c r="A173" s="57" t="s">
        <v>295</v>
      </c>
      <c r="B173" s="57" t="s">
        <v>296</v>
      </c>
      <c r="C173" s="31">
        <v>4301031454</v>
      </c>
      <c r="D173" s="601">
        <v>4680115887480</v>
      </c>
      <c r="E173" s="602"/>
      <c r="F173" s="56">
        <v>0.28000000000000003</v>
      </c>
      <c r="G173" s="32">
        <v>6</v>
      </c>
      <c r="H173" s="56">
        <v>1.68</v>
      </c>
      <c r="I173" s="56">
        <v>1.78</v>
      </c>
      <c r="J173" s="32">
        <v>234</v>
      </c>
      <c r="K173" s="32" t="s">
        <v>66</v>
      </c>
      <c r="L173" s="32"/>
      <c r="M173" s="33" t="s">
        <v>67</v>
      </c>
      <c r="N173" s="33"/>
      <c r="O173" s="32">
        <v>40</v>
      </c>
      <c r="P173" s="89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4"/>
      <c r="V173" s="34"/>
      <c r="W173" s="35" t="s">
        <v>68</v>
      </c>
      <c r="X173" s="53">
        <v>0</v>
      </c>
      <c r="Y173" s="50">
        <f t="shared" si="21"/>
        <v>0</v>
      </c>
      <c r="Z173" s="36" t="str">
        <f>IFERROR(IF(Y173=0,"",ROUNDUP(Y173/H173,0)*0.00502),"")</f>
        <v/>
      </c>
      <c r="AA173" s="60"/>
      <c r="AB173" s="61"/>
      <c r="AC173" s="228" t="s">
        <v>283</v>
      </c>
      <c r="AG173" s="68"/>
      <c r="AJ173" s="71"/>
      <c r="AK173" s="71">
        <v>0</v>
      </c>
      <c r="BB173" s="229" t="s">
        <v>1</v>
      </c>
      <c r="BM173" s="68">
        <f t="shared" si="22"/>
        <v>0</v>
      </c>
      <c r="BN173" s="68">
        <f t="shared" si="23"/>
        <v>0</v>
      </c>
      <c r="BO173" s="68">
        <f t="shared" si="24"/>
        <v>0</v>
      </c>
      <c r="BP173" s="68">
        <f t="shared" si="25"/>
        <v>0</v>
      </c>
    </row>
    <row r="174" spans="1:68" ht="27" customHeight="1" x14ac:dyDescent="0.25">
      <c r="A174" s="57" t="s">
        <v>297</v>
      </c>
      <c r="B174" s="57" t="s">
        <v>298</v>
      </c>
      <c r="C174" s="31">
        <v>4301031434</v>
      </c>
      <c r="D174" s="601">
        <v>4680115888067</v>
      </c>
      <c r="E174" s="602"/>
      <c r="F174" s="56">
        <v>0.09</v>
      </c>
      <c r="G174" s="32">
        <v>10</v>
      </c>
      <c r="H174" s="56">
        <v>0.9</v>
      </c>
      <c r="I174" s="56">
        <v>1</v>
      </c>
      <c r="J174" s="32">
        <v>336</v>
      </c>
      <c r="K174" s="32" t="s">
        <v>126</v>
      </c>
      <c r="L174" s="32"/>
      <c r="M174" s="33" t="s">
        <v>67</v>
      </c>
      <c r="N174" s="33"/>
      <c r="O174" s="32">
        <v>45</v>
      </c>
      <c r="P174" s="76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4"/>
      <c r="V174" s="34"/>
      <c r="W174" s="35" t="s">
        <v>68</v>
      </c>
      <c r="X174" s="53">
        <v>0</v>
      </c>
      <c r="Y174" s="50">
        <f t="shared" si="21"/>
        <v>0</v>
      </c>
      <c r="Z174" s="36" t="str">
        <f>IFERROR(IF(Y174=0,"",ROUNDUP(Y174/H174,0)*0.00417),"")</f>
        <v/>
      </c>
      <c r="AA174" s="60"/>
      <c r="AB174" s="61"/>
      <c r="AC174" s="230" t="s">
        <v>299</v>
      </c>
      <c r="AG174" s="68"/>
      <c r="AJ174" s="71"/>
      <c r="AK174" s="71">
        <v>0</v>
      </c>
      <c r="BB174" s="231" t="s">
        <v>1</v>
      </c>
      <c r="BM174" s="68">
        <f t="shared" si="22"/>
        <v>0</v>
      </c>
      <c r="BN174" s="68">
        <f t="shared" si="23"/>
        <v>0</v>
      </c>
      <c r="BO174" s="68">
        <f t="shared" si="24"/>
        <v>0</v>
      </c>
      <c r="BP174" s="68">
        <f t="shared" si="25"/>
        <v>0</v>
      </c>
    </row>
    <row r="175" spans="1:68" ht="27" customHeight="1" x14ac:dyDescent="0.25">
      <c r="A175" s="57" t="s">
        <v>300</v>
      </c>
      <c r="B175" s="57" t="s">
        <v>301</v>
      </c>
      <c r="C175" s="31">
        <v>4301031451</v>
      </c>
      <c r="D175" s="601">
        <v>4680115887435</v>
      </c>
      <c r="E175" s="602"/>
      <c r="F175" s="56">
        <v>0.28000000000000003</v>
      </c>
      <c r="G175" s="32">
        <v>6</v>
      </c>
      <c r="H175" s="56">
        <v>1.68</v>
      </c>
      <c r="I175" s="56">
        <v>1.78</v>
      </c>
      <c r="J175" s="32">
        <v>234</v>
      </c>
      <c r="K175" s="32" t="s">
        <v>66</v>
      </c>
      <c r="L175" s="32"/>
      <c r="M175" s="33" t="s">
        <v>67</v>
      </c>
      <c r="N175" s="33"/>
      <c r="O175" s="32">
        <v>40</v>
      </c>
      <c r="P175" s="71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4"/>
      <c r="V175" s="34"/>
      <c r="W175" s="35" t="s">
        <v>68</v>
      </c>
      <c r="X175" s="53">
        <v>0</v>
      </c>
      <c r="Y175" s="50">
        <f t="shared" si="21"/>
        <v>0</v>
      </c>
      <c r="Z175" s="36" t="str">
        <f>IFERROR(IF(Y175=0,"",ROUNDUP(Y175/H175,0)*0.00502),"")</f>
        <v/>
      </c>
      <c r="AA175" s="60"/>
      <c r="AB175" s="61"/>
      <c r="AC175" s="232" t="s">
        <v>286</v>
      </c>
      <c r="AG175" s="68"/>
      <c r="AJ175" s="71"/>
      <c r="AK175" s="71">
        <v>0</v>
      </c>
      <c r="BB175" s="233" t="s">
        <v>1</v>
      </c>
      <c r="BM175" s="68">
        <f t="shared" si="22"/>
        <v>0</v>
      </c>
      <c r="BN175" s="68">
        <f t="shared" si="23"/>
        <v>0</v>
      </c>
      <c r="BO175" s="68">
        <f t="shared" si="24"/>
        <v>0</v>
      </c>
      <c r="BP175" s="68">
        <f t="shared" si="25"/>
        <v>0</v>
      </c>
    </row>
    <row r="176" spans="1:68" x14ac:dyDescent="0.25">
      <c r="A176" s="612"/>
      <c r="B176" s="607"/>
      <c r="C176" s="607"/>
      <c r="D176" s="607"/>
      <c r="E176" s="607"/>
      <c r="F176" s="607"/>
      <c r="G176" s="607"/>
      <c r="H176" s="607"/>
      <c r="I176" s="607"/>
      <c r="J176" s="607"/>
      <c r="K176" s="607"/>
      <c r="L176" s="607"/>
      <c r="M176" s="607"/>
      <c r="N176" s="607"/>
      <c r="O176" s="613"/>
      <c r="P176" s="630" t="s">
        <v>73</v>
      </c>
      <c r="Q176" s="622"/>
      <c r="R176" s="622"/>
      <c r="S176" s="622"/>
      <c r="T176" s="622"/>
      <c r="U176" s="622"/>
      <c r="V176" s="623"/>
      <c r="W176" s="37" t="s">
        <v>74</v>
      </c>
      <c r="X176" s="38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38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38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59"/>
      <c r="AB176" s="59"/>
      <c r="AC176" s="59"/>
    </row>
    <row r="177" spans="1:68" x14ac:dyDescent="0.25">
      <c r="A177" s="607"/>
      <c r="B177" s="607"/>
      <c r="C177" s="607"/>
      <c r="D177" s="607"/>
      <c r="E177" s="607"/>
      <c r="F177" s="607"/>
      <c r="G177" s="607"/>
      <c r="H177" s="607"/>
      <c r="I177" s="607"/>
      <c r="J177" s="607"/>
      <c r="K177" s="607"/>
      <c r="L177" s="607"/>
      <c r="M177" s="607"/>
      <c r="N177" s="607"/>
      <c r="O177" s="613"/>
      <c r="P177" s="630" t="s">
        <v>73</v>
      </c>
      <c r="Q177" s="622"/>
      <c r="R177" s="622"/>
      <c r="S177" s="622"/>
      <c r="T177" s="622"/>
      <c r="U177" s="622"/>
      <c r="V177" s="623"/>
      <c r="W177" s="37" t="s">
        <v>68</v>
      </c>
      <c r="X177" s="38">
        <f>IFERROR(SUM(X166:X175),"0")</f>
        <v>0</v>
      </c>
      <c r="Y177" s="38">
        <f>IFERROR(SUM(Y166:Y175),"0")</f>
        <v>0</v>
      </c>
      <c r="Z177" s="37"/>
      <c r="AA177" s="59"/>
      <c r="AB177" s="59"/>
      <c r="AC177" s="59"/>
    </row>
    <row r="178" spans="1:68" ht="14.25" customHeight="1" x14ac:dyDescent="0.25">
      <c r="A178" s="615" t="s">
        <v>75</v>
      </c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7"/>
      <c r="P178" s="607"/>
      <c r="Q178" s="607"/>
      <c r="R178" s="607"/>
      <c r="S178" s="607"/>
      <c r="T178" s="607"/>
      <c r="U178" s="607"/>
      <c r="V178" s="607"/>
      <c r="W178" s="607"/>
      <c r="X178" s="607"/>
      <c r="Y178" s="607"/>
      <c r="Z178" s="607"/>
      <c r="AA178" s="588"/>
      <c r="AB178" s="588"/>
      <c r="AC178" s="588"/>
    </row>
    <row r="179" spans="1:68" ht="16.5" customHeight="1" x14ac:dyDescent="0.25">
      <c r="A179" s="57" t="s">
        <v>302</v>
      </c>
      <c r="B179" s="57" t="s">
        <v>303</v>
      </c>
      <c r="C179" s="31">
        <v>4301052193</v>
      </c>
      <c r="D179" s="601">
        <v>4680115888395</v>
      </c>
      <c r="E179" s="602"/>
      <c r="F179" s="56">
        <v>0.42</v>
      </c>
      <c r="G179" s="32">
        <v>6</v>
      </c>
      <c r="H179" s="56">
        <v>2.52</v>
      </c>
      <c r="I179" s="56">
        <v>2.766</v>
      </c>
      <c r="J179" s="32">
        <v>182</v>
      </c>
      <c r="K179" s="32" t="s">
        <v>78</v>
      </c>
      <c r="L179" s="32"/>
      <c r="M179" s="33" t="s">
        <v>85</v>
      </c>
      <c r="N179" s="33"/>
      <c r="O179" s="32">
        <v>40</v>
      </c>
      <c r="P179" s="77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4"/>
      <c r="V179" s="34"/>
      <c r="W179" s="35" t="s">
        <v>68</v>
      </c>
      <c r="X179" s="53">
        <v>0</v>
      </c>
      <c r="Y179" s="50">
        <f>IFERROR(IF(X179="",0,CEILING((X179/$H179),1)*$H179),"")</f>
        <v>0</v>
      </c>
      <c r="Z179" s="36" t="str">
        <f>IFERROR(IF(Y179=0,"",ROUNDUP(Y179/H179,0)*0.00651),"")</f>
        <v/>
      </c>
      <c r="AA179" s="60"/>
      <c r="AB179" s="61"/>
      <c r="AC179" s="234" t="s">
        <v>304</v>
      </c>
      <c r="AG179" s="68"/>
      <c r="AJ179" s="71"/>
      <c r="AK179" s="71">
        <v>0</v>
      </c>
      <c r="BB179" s="235" t="s">
        <v>1</v>
      </c>
      <c r="BM179" s="68">
        <f>IFERROR(X179*I179/H179,"0")</f>
        <v>0</v>
      </c>
      <c r="BN179" s="68">
        <f>IFERROR(Y179*I179/H179,"0")</f>
        <v>0</v>
      </c>
      <c r="BO179" s="68">
        <f>IFERROR(1/J179*(X179/H179),"0")</f>
        <v>0</v>
      </c>
      <c r="BP179" s="68">
        <f>IFERROR(1/J179*(Y179/H179),"0")</f>
        <v>0</v>
      </c>
    </row>
    <row r="180" spans="1:68" ht="16.5" customHeight="1" x14ac:dyDescent="0.25">
      <c r="A180" s="57" t="s">
        <v>305</v>
      </c>
      <c r="B180" s="57" t="s">
        <v>306</v>
      </c>
      <c r="C180" s="31">
        <v>4301052191</v>
      </c>
      <c r="D180" s="601">
        <v>4680115888371</v>
      </c>
      <c r="E180" s="602"/>
      <c r="F180" s="56">
        <v>0.42</v>
      </c>
      <c r="G180" s="32">
        <v>6</v>
      </c>
      <c r="H180" s="56">
        <v>2.52</v>
      </c>
      <c r="I180" s="56">
        <v>2.766</v>
      </c>
      <c r="J180" s="32">
        <v>182</v>
      </c>
      <c r="K180" s="32" t="s">
        <v>78</v>
      </c>
      <c r="L180" s="32"/>
      <c r="M180" s="33" t="s">
        <v>85</v>
      </c>
      <c r="N180" s="33"/>
      <c r="O180" s="32">
        <v>40</v>
      </c>
      <c r="P180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4"/>
      <c r="V180" s="34"/>
      <c r="W180" s="35" t="s">
        <v>68</v>
      </c>
      <c r="X180" s="53">
        <v>0</v>
      </c>
      <c r="Y180" s="50">
        <f>IFERROR(IF(X180="",0,CEILING((X180/$H180),1)*$H180),"")</f>
        <v>0</v>
      </c>
      <c r="Z180" s="36" t="str">
        <f>IFERROR(IF(Y180=0,"",ROUNDUP(Y180/H180,0)*0.00651),"")</f>
        <v/>
      </c>
      <c r="AA180" s="60"/>
      <c r="AB180" s="61"/>
      <c r="AC180" s="236" t="s">
        <v>307</v>
      </c>
      <c r="AG180" s="68"/>
      <c r="AJ180" s="71"/>
      <c r="AK180" s="71">
        <v>0</v>
      </c>
      <c r="BB180" s="237" t="s">
        <v>1</v>
      </c>
      <c r="BM180" s="68">
        <f>IFERROR(X180*I180/H180,"0")</f>
        <v>0</v>
      </c>
      <c r="BN180" s="68">
        <f>IFERROR(Y180*I180/H180,"0")</f>
        <v>0</v>
      </c>
      <c r="BO180" s="68">
        <f>IFERROR(1/J180*(X180/H180),"0")</f>
        <v>0</v>
      </c>
      <c r="BP180" s="68">
        <f>IFERROR(1/J180*(Y180/H180),"0")</f>
        <v>0</v>
      </c>
    </row>
    <row r="181" spans="1:68" ht="27" customHeight="1" x14ac:dyDescent="0.25">
      <c r="A181" s="57" t="s">
        <v>308</v>
      </c>
      <c r="B181" s="57" t="s">
        <v>309</v>
      </c>
      <c r="C181" s="31">
        <v>4301052064</v>
      </c>
      <c r="D181" s="601">
        <v>4680115887459</v>
      </c>
      <c r="E181" s="602"/>
      <c r="F181" s="56">
        <v>0.3</v>
      </c>
      <c r="G181" s="32">
        <v>6</v>
      </c>
      <c r="H181" s="56">
        <v>1.8</v>
      </c>
      <c r="I181" s="56">
        <v>2.0579999999999998</v>
      </c>
      <c r="J181" s="32">
        <v>182</v>
      </c>
      <c r="K181" s="32" t="s">
        <v>78</v>
      </c>
      <c r="L181" s="32"/>
      <c r="M181" s="33" t="s">
        <v>79</v>
      </c>
      <c r="N181" s="33"/>
      <c r="O181" s="32">
        <v>45</v>
      </c>
      <c r="P181" s="6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4"/>
      <c r="V181" s="34"/>
      <c r="W181" s="35" t="s">
        <v>68</v>
      </c>
      <c r="X181" s="53">
        <v>0</v>
      </c>
      <c r="Y181" s="50">
        <f>IFERROR(IF(X181="",0,CEILING((X181/$H181),1)*$H181),"")</f>
        <v>0</v>
      </c>
      <c r="Z181" s="36" t="str">
        <f>IFERROR(IF(Y181=0,"",ROUNDUP(Y181/H181,0)*0.00651),"")</f>
        <v/>
      </c>
      <c r="AA181" s="60"/>
      <c r="AB181" s="61"/>
      <c r="AC181" s="238" t="s">
        <v>310</v>
      </c>
      <c r="AG181" s="68"/>
      <c r="AJ181" s="71"/>
      <c r="AK181" s="71">
        <v>0</v>
      </c>
      <c r="BB181" s="239" t="s">
        <v>1</v>
      </c>
      <c r="BM181" s="68">
        <f>IFERROR(X181*I181/H181,"0")</f>
        <v>0</v>
      </c>
      <c r="BN181" s="68">
        <f>IFERROR(Y181*I181/H181,"0")</f>
        <v>0</v>
      </c>
      <c r="BO181" s="68">
        <f>IFERROR(1/J181*(X181/H181),"0")</f>
        <v>0</v>
      </c>
      <c r="BP181" s="68">
        <f>IFERROR(1/J181*(Y181/H181),"0")</f>
        <v>0</v>
      </c>
    </row>
    <row r="182" spans="1:68" x14ac:dyDescent="0.25">
      <c r="A182" s="612"/>
      <c r="B182" s="607"/>
      <c r="C182" s="607"/>
      <c r="D182" s="607"/>
      <c r="E182" s="607"/>
      <c r="F182" s="607"/>
      <c r="G182" s="607"/>
      <c r="H182" s="607"/>
      <c r="I182" s="607"/>
      <c r="J182" s="607"/>
      <c r="K182" s="607"/>
      <c r="L182" s="607"/>
      <c r="M182" s="607"/>
      <c r="N182" s="607"/>
      <c r="O182" s="613"/>
      <c r="P182" s="630" t="s">
        <v>73</v>
      </c>
      <c r="Q182" s="622"/>
      <c r="R182" s="622"/>
      <c r="S182" s="622"/>
      <c r="T182" s="622"/>
      <c r="U182" s="622"/>
      <c r="V182" s="623"/>
      <c r="W182" s="37" t="s">
        <v>74</v>
      </c>
      <c r="X182" s="38">
        <f>IFERROR(X179/H179,"0")+IFERROR(X180/H180,"0")+IFERROR(X181/H181,"0")</f>
        <v>0</v>
      </c>
      <c r="Y182" s="38">
        <f>IFERROR(Y179/H179,"0")+IFERROR(Y180/H180,"0")+IFERROR(Y181/H181,"0")</f>
        <v>0</v>
      </c>
      <c r="Z182" s="38">
        <f>IFERROR(IF(Z179="",0,Z179),"0")+IFERROR(IF(Z180="",0,Z180),"0")+IFERROR(IF(Z181="",0,Z181),"0")</f>
        <v>0</v>
      </c>
      <c r="AA182" s="59"/>
      <c r="AB182" s="59"/>
      <c r="AC182" s="59"/>
    </row>
    <row r="183" spans="1:68" x14ac:dyDescent="0.25">
      <c r="A183" s="607"/>
      <c r="B183" s="607"/>
      <c r="C183" s="607"/>
      <c r="D183" s="607"/>
      <c r="E183" s="607"/>
      <c r="F183" s="607"/>
      <c r="G183" s="607"/>
      <c r="H183" s="607"/>
      <c r="I183" s="607"/>
      <c r="J183" s="607"/>
      <c r="K183" s="607"/>
      <c r="L183" s="607"/>
      <c r="M183" s="607"/>
      <c r="N183" s="607"/>
      <c r="O183" s="613"/>
      <c r="P183" s="630" t="s">
        <v>73</v>
      </c>
      <c r="Q183" s="622"/>
      <c r="R183" s="622"/>
      <c r="S183" s="622"/>
      <c r="T183" s="622"/>
      <c r="U183" s="622"/>
      <c r="V183" s="623"/>
      <c r="W183" s="37" t="s">
        <v>68</v>
      </c>
      <c r="X183" s="38">
        <f>IFERROR(SUM(X179:X181),"0")</f>
        <v>0</v>
      </c>
      <c r="Y183" s="38">
        <f>IFERROR(SUM(Y179:Y181),"0")</f>
        <v>0</v>
      </c>
      <c r="Z183" s="37"/>
      <c r="AA183" s="59"/>
      <c r="AB183" s="59"/>
      <c r="AC183" s="59"/>
    </row>
    <row r="184" spans="1:68" ht="14.25" customHeight="1" x14ac:dyDescent="0.25">
      <c r="A184" s="615" t="s">
        <v>96</v>
      </c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588"/>
      <c r="AB184" s="588"/>
      <c r="AC184" s="588"/>
    </row>
    <row r="185" spans="1:68" ht="16.5" customHeight="1" x14ac:dyDescent="0.25">
      <c r="A185" s="57" t="s">
        <v>311</v>
      </c>
      <c r="B185" s="57" t="s">
        <v>312</v>
      </c>
      <c r="C185" s="31">
        <v>4301032058</v>
      </c>
      <c r="D185" s="601">
        <v>4680115889026</v>
      </c>
      <c r="E185" s="602"/>
      <c r="F185" s="56">
        <v>0.06</v>
      </c>
      <c r="G185" s="32">
        <v>18</v>
      </c>
      <c r="H185" s="56">
        <v>1.08</v>
      </c>
      <c r="I185" s="56">
        <v>1.36</v>
      </c>
      <c r="J185" s="32">
        <v>216</v>
      </c>
      <c r="K185" s="32" t="s">
        <v>313</v>
      </c>
      <c r="L185" s="32"/>
      <c r="M185" s="33" t="s">
        <v>314</v>
      </c>
      <c r="N185" s="33"/>
      <c r="O185" s="32">
        <v>60</v>
      </c>
      <c r="P185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4"/>
      <c r="V185" s="34"/>
      <c r="W185" s="35" t="s">
        <v>68</v>
      </c>
      <c r="X185" s="53">
        <v>0</v>
      </c>
      <c r="Y185" s="50">
        <f>IFERROR(IF(X185="",0,CEILING((X185/$H185),1)*$H185),"")</f>
        <v>0</v>
      </c>
      <c r="Z185" s="36" t="str">
        <f>IFERROR(IF(Y185=0,"",ROUNDUP(Y185/H185,0)*0.0059),"")</f>
        <v/>
      </c>
      <c r="AA185" s="60"/>
      <c r="AB185" s="61"/>
      <c r="AC185" s="240" t="s">
        <v>315</v>
      </c>
      <c r="AG185" s="68"/>
      <c r="AJ185" s="71"/>
      <c r="AK185" s="71">
        <v>0</v>
      </c>
      <c r="BB185" s="241" t="s">
        <v>1</v>
      </c>
      <c r="BM185" s="68">
        <f>IFERROR(X185*I185/H185,"0")</f>
        <v>0</v>
      </c>
      <c r="BN185" s="68">
        <f>IFERROR(Y185*I185/H185,"0")</f>
        <v>0</v>
      </c>
      <c r="BO185" s="68">
        <f>IFERROR(1/J185*(X185/H185),"0")</f>
        <v>0</v>
      </c>
      <c r="BP185" s="68">
        <f>IFERROR(1/J185*(Y185/H185),"0")</f>
        <v>0</v>
      </c>
    </row>
    <row r="186" spans="1:68" ht="27" customHeight="1" x14ac:dyDescent="0.25">
      <c r="A186" s="57" t="s">
        <v>316</v>
      </c>
      <c r="B186" s="57" t="s">
        <v>317</v>
      </c>
      <c r="C186" s="31">
        <v>4301032057</v>
      </c>
      <c r="D186" s="601">
        <v>4680115889088</v>
      </c>
      <c r="E186" s="602"/>
      <c r="F186" s="56">
        <v>0.06</v>
      </c>
      <c r="G186" s="32">
        <v>18</v>
      </c>
      <c r="H186" s="56">
        <v>1.08</v>
      </c>
      <c r="I186" s="56">
        <v>1.36</v>
      </c>
      <c r="J186" s="32">
        <v>216</v>
      </c>
      <c r="K186" s="32" t="s">
        <v>313</v>
      </c>
      <c r="L186" s="32"/>
      <c r="M186" s="33" t="s">
        <v>314</v>
      </c>
      <c r="N186" s="33"/>
      <c r="O186" s="32">
        <v>45</v>
      </c>
      <c r="P186" s="66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4"/>
      <c r="V186" s="34"/>
      <c r="W186" s="35" t="s">
        <v>68</v>
      </c>
      <c r="X186" s="53">
        <v>0</v>
      </c>
      <c r="Y186" s="50">
        <f>IFERROR(IF(X186="",0,CEILING((X186/$H186),1)*$H186),"")</f>
        <v>0</v>
      </c>
      <c r="Z186" s="36" t="str">
        <f>IFERROR(IF(Y186=0,"",ROUNDUP(Y186/H186,0)*0.0059),"")</f>
        <v/>
      </c>
      <c r="AA186" s="60"/>
      <c r="AB186" s="61"/>
      <c r="AC186" s="242" t="s">
        <v>318</v>
      </c>
      <c r="AG186" s="68"/>
      <c r="AJ186" s="71"/>
      <c r="AK186" s="71">
        <v>0</v>
      </c>
      <c r="BB186" s="243" t="s">
        <v>1</v>
      </c>
      <c r="BM186" s="68">
        <f>IFERROR(X186*I186/H186,"0")</f>
        <v>0</v>
      </c>
      <c r="BN186" s="68">
        <f>IFERROR(Y186*I186/H186,"0")</f>
        <v>0</v>
      </c>
      <c r="BO186" s="68">
        <f>IFERROR(1/J186*(X186/H186),"0")</f>
        <v>0</v>
      </c>
      <c r="BP186" s="68">
        <f>IFERROR(1/J186*(Y186/H186),"0")</f>
        <v>0</v>
      </c>
    </row>
    <row r="187" spans="1:68" x14ac:dyDescent="0.25">
      <c r="A187" s="612"/>
      <c r="B187" s="607"/>
      <c r="C187" s="607"/>
      <c r="D187" s="607"/>
      <c r="E187" s="607"/>
      <c r="F187" s="607"/>
      <c r="G187" s="607"/>
      <c r="H187" s="607"/>
      <c r="I187" s="607"/>
      <c r="J187" s="607"/>
      <c r="K187" s="607"/>
      <c r="L187" s="607"/>
      <c r="M187" s="607"/>
      <c r="N187" s="607"/>
      <c r="O187" s="613"/>
      <c r="P187" s="630" t="s">
        <v>73</v>
      </c>
      <c r="Q187" s="622"/>
      <c r="R187" s="622"/>
      <c r="S187" s="622"/>
      <c r="T187" s="622"/>
      <c r="U187" s="622"/>
      <c r="V187" s="623"/>
      <c r="W187" s="37" t="s">
        <v>74</v>
      </c>
      <c r="X187" s="38">
        <f>IFERROR(X185/H185,"0")+IFERROR(X186/H186,"0")</f>
        <v>0</v>
      </c>
      <c r="Y187" s="38">
        <f>IFERROR(Y185/H185,"0")+IFERROR(Y186/H186,"0")</f>
        <v>0</v>
      </c>
      <c r="Z187" s="38">
        <f>IFERROR(IF(Z185="",0,Z185),"0")+IFERROR(IF(Z186="",0,Z186),"0")</f>
        <v>0</v>
      </c>
      <c r="AA187" s="59"/>
      <c r="AB187" s="59"/>
      <c r="AC187" s="59"/>
    </row>
    <row r="188" spans="1:68" x14ac:dyDescent="0.25">
      <c r="A188" s="607"/>
      <c r="B188" s="607"/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13"/>
      <c r="P188" s="630" t="s">
        <v>73</v>
      </c>
      <c r="Q188" s="622"/>
      <c r="R188" s="622"/>
      <c r="S188" s="622"/>
      <c r="T188" s="622"/>
      <c r="U188" s="622"/>
      <c r="V188" s="623"/>
      <c r="W188" s="37" t="s">
        <v>68</v>
      </c>
      <c r="X188" s="38">
        <f>IFERROR(SUM(X185:X186),"0")</f>
        <v>0</v>
      </c>
      <c r="Y188" s="38">
        <f>IFERROR(SUM(Y185:Y186),"0")</f>
        <v>0</v>
      </c>
      <c r="Z188" s="37"/>
      <c r="AA188" s="59"/>
      <c r="AB188" s="59"/>
      <c r="AC188" s="59"/>
    </row>
    <row r="189" spans="1:68" ht="14.25" customHeight="1" x14ac:dyDescent="0.25">
      <c r="A189" s="615" t="s">
        <v>319</v>
      </c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7"/>
      <c r="P189" s="607"/>
      <c r="Q189" s="607"/>
      <c r="R189" s="607"/>
      <c r="S189" s="607"/>
      <c r="T189" s="607"/>
      <c r="U189" s="607"/>
      <c r="V189" s="607"/>
      <c r="W189" s="607"/>
      <c r="X189" s="607"/>
      <c r="Y189" s="607"/>
      <c r="Z189" s="607"/>
      <c r="AA189" s="588"/>
      <c r="AB189" s="588"/>
      <c r="AC189" s="588"/>
    </row>
    <row r="190" spans="1:68" ht="27" customHeight="1" x14ac:dyDescent="0.25">
      <c r="A190" s="57" t="s">
        <v>320</v>
      </c>
      <c r="B190" s="57" t="s">
        <v>321</v>
      </c>
      <c r="C190" s="31">
        <v>4301041009</v>
      </c>
      <c r="D190" s="601">
        <v>4680115889033</v>
      </c>
      <c r="E190" s="602"/>
      <c r="F190" s="56">
        <v>0.11</v>
      </c>
      <c r="G190" s="32">
        <v>15</v>
      </c>
      <c r="H190" s="56">
        <v>1.65</v>
      </c>
      <c r="I190" s="56">
        <v>1.9</v>
      </c>
      <c r="J190" s="32">
        <v>216</v>
      </c>
      <c r="K190" s="32" t="s">
        <v>313</v>
      </c>
      <c r="L190" s="32"/>
      <c r="M190" s="33" t="s">
        <v>314</v>
      </c>
      <c r="N190" s="33"/>
      <c r="O190" s="32">
        <v>60</v>
      </c>
      <c r="P190" s="7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4"/>
      <c r="V190" s="34"/>
      <c r="W190" s="35" t="s">
        <v>68</v>
      </c>
      <c r="X190" s="53">
        <v>0</v>
      </c>
      <c r="Y190" s="50">
        <f>IFERROR(IF(X190="",0,CEILING((X190/$H190),1)*$H190),"")</f>
        <v>0</v>
      </c>
      <c r="Z190" s="36" t="str">
        <f>IFERROR(IF(Y190=0,"",ROUNDUP(Y190/H190,0)*0.0059),"")</f>
        <v/>
      </c>
      <c r="AA190" s="60"/>
      <c r="AB190" s="61"/>
      <c r="AC190" s="244" t="s">
        <v>322</v>
      </c>
      <c r="AG190" s="68"/>
      <c r="AJ190" s="71"/>
      <c r="AK190" s="71">
        <v>0</v>
      </c>
      <c r="BB190" s="245" t="s">
        <v>1</v>
      </c>
      <c r="BM190" s="68">
        <f>IFERROR(X190*I190/H190,"0")</f>
        <v>0</v>
      </c>
      <c r="BN190" s="68">
        <f>IFERROR(Y190*I190/H190,"0")</f>
        <v>0</v>
      </c>
      <c r="BO190" s="68">
        <f>IFERROR(1/J190*(X190/H190),"0")</f>
        <v>0</v>
      </c>
      <c r="BP190" s="68">
        <f>IFERROR(1/J190*(Y190/H190),"0")</f>
        <v>0</v>
      </c>
    </row>
    <row r="191" spans="1:68" x14ac:dyDescent="0.25">
      <c r="A191" s="612"/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13"/>
      <c r="P191" s="630" t="s">
        <v>73</v>
      </c>
      <c r="Q191" s="622"/>
      <c r="R191" s="622"/>
      <c r="S191" s="622"/>
      <c r="T191" s="622"/>
      <c r="U191" s="622"/>
      <c r="V191" s="623"/>
      <c r="W191" s="37" t="s">
        <v>74</v>
      </c>
      <c r="X191" s="38">
        <f>IFERROR(X190/H190,"0")</f>
        <v>0</v>
      </c>
      <c r="Y191" s="38">
        <f>IFERROR(Y190/H190,"0")</f>
        <v>0</v>
      </c>
      <c r="Z191" s="38">
        <f>IFERROR(IF(Z190="",0,Z190),"0")</f>
        <v>0</v>
      </c>
      <c r="AA191" s="59"/>
      <c r="AB191" s="59"/>
      <c r="AC191" s="59"/>
    </row>
    <row r="192" spans="1:68" x14ac:dyDescent="0.25">
      <c r="A192" s="607"/>
      <c r="B192" s="607"/>
      <c r="C192" s="607"/>
      <c r="D192" s="607"/>
      <c r="E192" s="607"/>
      <c r="F192" s="607"/>
      <c r="G192" s="607"/>
      <c r="H192" s="607"/>
      <c r="I192" s="607"/>
      <c r="J192" s="607"/>
      <c r="K192" s="607"/>
      <c r="L192" s="607"/>
      <c r="M192" s="607"/>
      <c r="N192" s="607"/>
      <c r="O192" s="613"/>
      <c r="P192" s="630" t="s">
        <v>73</v>
      </c>
      <c r="Q192" s="622"/>
      <c r="R192" s="622"/>
      <c r="S192" s="622"/>
      <c r="T192" s="622"/>
      <c r="U192" s="622"/>
      <c r="V192" s="623"/>
      <c r="W192" s="37" t="s">
        <v>68</v>
      </c>
      <c r="X192" s="38">
        <f>IFERROR(SUM(X190:X190),"0")</f>
        <v>0</v>
      </c>
      <c r="Y192" s="38">
        <f>IFERROR(SUM(Y190:Y190),"0")</f>
        <v>0</v>
      </c>
      <c r="Z192" s="37"/>
      <c r="AA192" s="59"/>
      <c r="AB192" s="59"/>
      <c r="AC192" s="59"/>
    </row>
    <row r="193" spans="1:68" ht="27.75" customHeight="1" x14ac:dyDescent="0.25">
      <c r="A193" s="642" t="s">
        <v>323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49"/>
      <c r="AB193" s="49"/>
      <c r="AC193" s="49"/>
    </row>
    <row r="194" spans="1:68" ht="16.5" customHeight="1" x14ac:dyDescent="0.25">
      <c r="A194" s="606" t="s">
        <v>324</v>
      </c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592"/>
      <c r="AB194" s="592"/>
      <c r="AC194" s="592"/>
    </row>
    <row r="195" spans="1:68" ht="14.25" customHeight="1" x14ac:dyDescent="0.25">
      <c r="A195" s="615" t="s">
        <v>118</v>
      </c>
      <c r="B195" s="607"/>
      <c r="C195" s="607"/>
      <c r="D195" s="607"/>
      <c r="E195" s="607"/>
      <c r="F195" s="607"/>
      <c r="G195" s="607"/>
      <c r="H195" s="607"/>
      <c r="I195" s="607"/>
      <c r="J195" s="607"/>
      <c r="K195" s="607"/>
      <c r="L195" s="607"/>
      <c r="M195" s="607"/>
      <c r="N195" s="607"/>
      <c r="O195" s="607"/>
      <c r="P195" s="607"/>
      <c r="Q195" s="607"/>
      <c r="R195" s="607"/>
      <c r="S195" s="607"/>
      <c r="T195" s="607"/>
      <c r="U195" s="607"/>
      <c r="V195" s="607"/>
      <c r="W195" s="607"/>
      <c r="X195" s="607"/>
      <c r="Y195" s="607"/>
      <c r="Z195" s="607"/>
      <c r="AA195" s="588"/>
      <c r="AB195" s="588"/>
      <c r="AC195" s="588"/>
    </row>
    <row r="196" spans="1:68" ht="27" customHeight="1" x14ac:dyDescent="0.25">
      <c r="A196" s="57" t="s">
        <v>325</v>
      </c>
      <c r="B196" s="57" t="s">
        <v>326</v>
      </c>
      <c r="C196" s="31">
        <v>4301011223</v>
      </c>
      <c r="D196" s="601">
        <v>4607091383423</v>
      </c>
      <c r="E196" s="602"/>
      <c r="F196" s="56">
        <v>1.35</v>
      </c>
      <c r="G196" s="32">
        <v>8</v>
      </c>
      <c r="H196" s="56">
        <v>10.8</v>
      </c>
      <c r="I196" s="56">
        <v>11.305999999999999</v>
      </c>
      <c r="J196" s="32">
        <v>64</v>
      </c>
      <c r="K196" s="32" t="s">
        <v>121</v>
      </c>
      <c r="L196" s="32"/>
      <c r="M196" s="33" t="s">
        <v>79</v>
      </c>
      <c r="N196" s="33"/>
      <c r="O196" s="32">
        <v>35</v>
      </c>
      <c r="P196" s="6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4"/>
      <c r="V196" s="34"/>
      <c r="W196" s="35" t="s">
        <v>68</v>
      </c>
      <c r="X196" s="53">
        <v>0</v>
      </c>
      <c r="Y196" s="50">
        <f>IFERROR(IF(X196="",0,CEILING((X196/$H196),1)*$H196),"")</f>
        <v>0</v>
      </c>
      <c r="Z196" s="36" t="str">
        <f>IFERROR(IF(Y196=0,"",ROUNDUP(Y196/H196,0)*0.01898),"")</f>
        <v/>
      </c>
      <c r="AA196" s="60"/>
      <c r="AB196" s="61"/>
      <c r="AC196" s="246" t="s">
        <v>123</v>
      </c>
      <c r="AG196" s="68"/>
      <c r="AJ196" s="71"/>
      <c r="AK196" s="71">
        <v>0</v>
      </c>
      <c r="BB196" s="247" t="s">
        <v>1</v>
      </c>
      <c r="BM196" s="68">
        <f>IFERROR(X196*I196/H196,"0")</f>
        <v>0</v>
      </c>
      <c r="BN196" s="68">
        <f>IFERROR(Y196*I196/H196,"0")</f>
        <v>0</v>
      </c>
      <c r="BO196" s="68">
        <f>IFERROR(1/J196*(X196/H196),"0")</f>
        <v>0</v>
      </c>
      <c r="BP196" s="68">
        <f>IFERROR(1/J196*(Y196/H196),"0")</f>
        <v>0</v>
      </c>
    </row>
    <row r="197" spans="1:68" ht="37.5" customHeight="1" x14ac:dyDescent="0.25">
      <c r="A197" s="57" t="s">
        <v>327</v>
      </c>
      <c r="B197" s="57" t="s">
        <v>328</v>
      </c>
      <c r="C197" s="31">
        <v>4301012199</v>
      </c>
      <c r="D197" s="601">
        <v>4680115886957</v>
      </c>
      <c r="E197" s="602"/>
      <c r="F197" s="56">
        <v>1.35</v>
      </c>
      <c r="G197" s="32">
        <v>8</v>
      </c>
      <c r="H197" s="56">
        <v>10.8</v>
      </c>
      <c r="I197" s="56">
        <v>11.21</v>
      </c>
      <c r="J197" s="32">
        <v>64</v>
      </c>
      <c r="K197" s="32" t="s">
        <v>121</v>
      </c>
      <c r="L197" s="32"/>
      <c r="M197" s="33" t="s">
        <v>79</v>
      </c>
      <c r="N197" s="33"/>
      <c r="O197" s="32">
        <v>30</v>
      </c>
      <c r="P197" s="82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4"/>
      <c r="V197" s="34"/>
      <c r="W197" s="35" t="s">
        <v>68</v>
      </c>
      <c r="X197" s="53">
        <v>0</v>
      </c>
      <c r="Y197" s="50">
        <f>IFERROR(IF(X197="",0,CEILING((X197/$H197),1)*$H197),"")</f>
        <v>0</v>
      </c>
      <c r="Z197" s="36" t="str">
        <f>IFERROR(IF(Y197=0,"",ROUNDUP(Y197/H197,0)*0.01898),"")</f>
        <v/>
      </c>
      <c r="AA197" s="60"/>
      <c r="AB197" s="61"/>
      <c r="AC197" s="248" t="s">
        <v>329</v>
      </c>
      <c r="AG197" s="68"/>
      <c r="AJ197" s="71"/>
      <c r="AK197" s="71">
        <v>0</v>
      </c>
      <c r="BB197" s="249" t="s">
        <v>1</v>
      </c>
      <c r="BM197" s="68">
        <f>IFERROR(X197*I197/H197,"0")</f>
        <v>0</v>
      </c>
      <c r="BN197" s="68">
        <f>IFERROR(Y197*I197/H197,"0")</f>
        <v>0</v>
      </c>
      <c r="BO197" s="68">
        <f>IFERROR(1/J197*(X197/H197),"0")</f>
        <v>0</v>
      </c>
      <c r="BP197" s="68">
        <f>IFERROR(1/J197*(Y197/H197),"0")</f>
        <v>0</v>
      </c>
    </row>
    <row r="198" spans="1:68" ht="27" customHeight="1" x14ac:dyDescent="0.25">
      <c r="A198" s="57" t="s">
        <v>330</v>
      </c>
      <c r="B198" s="57" t="s">
        <v>331</v>
      </c>
      <c r="C198" s="31">
        <v>4301012098</v>
      </c>
      <c r="D198" s="601">
        <v>4680115885660</v>
      </c>
      <c r="E198" s="602"/>
      <c r="F198" s="56">
        <v>1.35</v>
      </c>
      <c r="G198" s="32">
        <v>8</v>
      </c>
      <c r="H198" s="56">
        <v>10.8</v>
      </c>
      <c r="I198" s="56">
        <v>11.21</v>
      </c>
      <c r="J198" s="32">
        <v>64</v>
      </c>
      <c r="K198" s="32" t="s">
        <v>121</v>
      </c>
      <c r="L198" s="32"/>
      <c r="M198" s="33" t="s">
        <v>79</v>
      </c>
      <c r="N198" s="33"/>
      <c r="O198" s="32">
        <v>35</v>
      </c>
      <c r="P198" s="67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4"/>
      <c r="V198" s="34"/>
      <c r="W198" s="35" t="s">
        <v>68</v>
      </c>
      <c r="X198" s="53">
        <v>0</v>
      </c>
      <c r="Y198" s="50">
        <f>IFERROR(IF(X198="",0,CEILING((X198/$H198),1)*$H198),"")</f>
        <v>0</v>
      </c>
      <c r="Z198" s="36" t="str">
        <f>IFERROR(IF(Y198=0,"",ROUNDUP(Y198/H198,0)*0.01898),"")</f>
        <v/>
      </c>
      <c r="AA198" s="60"/>
      <c r="AB198" s="61"/>
      <c r="AC198" s="250" t="s">
        <v>332</v>
      </c>
      <c r="AG198" s="68"/>
      <c r="AJ198" s="71"/>
      <c r="AK198" s="71">
        <v>0</v>
      </c>
      <c r="BB198" s="251" t="s">
        <v>1</v>
      </c>
      <c r="BM198" s="68">
        <f>IFERROR(X198*I198/H198,"0")</f>
        <v>0</v>
      </c>
      <c r="BN198" s="68">
        <f>IFERROR(Y198*I198/H198,"0")</f>
        <v>0</v>
      </c>
      <c r="BO198" s="68">
        <f>IFERROR(1/J198*(X198/H198),"0")</f>
        <v>0</v>
      </c>
      <c r="BP198" s="68">
        <f>IFERROR(1/J198*(Y198/H198),"0")</f>
        <v>0</v>
      </c>
    </row>
    <row r="199" spans="1:68" ht="27" customHeight="1" x14ac:dyDescent="0.25">
      <c r="A199" s="57" t="s">
        <v>333</v>
      </c>
      <c r="B199" s="57" t="s">
        <v>334</v>
      </c>
      <c r="C199" s="31">
        <v>4301012176</v>
      </c>
      <c r="D199" s="601">
        <v>4680115886773</v>
      </c>
      <c r="E199" s="602"/>
      <c r="F199" s="56">
        <v>0.9</v>
      </c>
      <c r="G199" s="32">
        <v>10</v>
      </c>
      <c r="H199" s="56">
        <v>9</v>
      </c>
      <c r="I199" s="56">
        <v>9.41</v>
      </c>
      <c r="J199" s="32">
        <v>64</v>
      </c>
      <c r="K199" s="32" t="s">
        <v>121</v>
      </c>
      <c r="L199" s="32"/>
      <c r="M199" s="33" t="s">
        <v>122</v>
      </c>
      <c r="N199" s="33"/>
      <c r="O199" s="32">
        <v>31</v>
      </c>
      <c r="P199" s="64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4"/>
      <c r="V199" s="34"/>
      <c r="W199" s="35" t="s">
        <v>68</v>
      </c>
      <c r="X199" s="53">
        <v>0</v>
      </c>
      <c r="Y199" s="50">
        <f>IFERROR(IF(X199="",0,CEILING((X199/$H199),1)*$H199),"")</f>
        <v>0</v>
      </c>
      <c r="Z199" s="36" t="str">
        <f>IFERROR(IF(Y199=0,"",ROUNDUP(Y199/H199,0)*0.01898),"")</f>
        <v/>
      </c>
      <c r="AA199" s="60"/>
      <c r="AB199" s="61"/>
      <c r="AC199" s="252" t="s">
        <v>335</v>
      </c>
      <c r="AG199" s="68"/>
      <c r="AJ199" s="71"/>
      <c r="AK199" s="71">
        <v>0</v>
      </c>
      <c r="BB199" s="253" t="s">
        <v>1</v>
      </c>
      <c r="BM199" s="68">
        <f>IFERROR(X199*I199/H199,"0")</f>
        <v>0</v>
      </c>
      <c r="BN199" s="68">
        <f>IFERROR(Y199*I199/H199,"0")</f>
        <v>0</v>
      </c>
      <c r="BO199" s="68">
        <f>IFERROR(1/J199*(X199/H199),"0")</f>
        <v>0</v>
      </c>
      <c r="BP199" s="68">
        <f>IFERROR(1/J199*(Y199/H199),"0")</f>
        <v>0</v>
      </c>
    </row>
    <row r="200" spans="1:68" x14ac:dyDescent="0.25">
      <c r="A200" s="612"/>
      <c r="B200" s="607"/>
      <c r="C200" s="607"/>
      <c r="D200" s="607"/>
      <c r="E200" s="607"/>
      <c r="F200" s="607"/>
      <c r="G200" s="607"/>
      <c r="H200" s="607"/>
      <c r="I200" s="607"/>
      <c r="J200" s="607"/>
      <c r="K200" s="607"/>
      <c r="L200" s="607"/>
      <c r="M200" s="607"/>
      <c r="N200" s="607"/>
      <c r="O200" s="613"/>
      <c r="P200" s="630" t="s">
        <v>73</v>
      </c>
      <c r="Q200" s="622"/>
      <c r="R200" s="622"/>
      <c r="S200" s="622"/>
      <c r="T200" s="622"/>
      <c r="U200" s="622"/>
      <c r="V200" s="623"/>
      <c r="W200" s="37" t="s">
        <v>74</v>
      </c>
      <c r="X200" s="38">
        <f>IFERROR(X196/H196,"0")+IFERROR(X197/H197,"0")+IFERROR(X198/H198,"0")+IFERROR(X199/H199,"0")</f>
        <v>0</v>
      </c>
      <c r="Y200" s="38">
        <f>IFERROR(Y196/H196,"0")+IFERROR(Y197/H197,"0")+IFERROR(Y198/H198,"0")+IFERROR(Y199/H199,"0")</f>
        <v>0</v>
      </c>
      <c r="Z200" s="38">
        <f>IFERROR(IF(Z196="",0,Z196),"0")+IFERROR(IF(Z197="",0,Z197),"0")+IFERROR(IF(Z198="",0,Z198),"0")+IFERROR(IF(Z199="",0,Z199),"0")</f>
        <v>0</v>
      </c>
      <c r="AA200" s="59"/>
      <c r="AB200" s="59"/>
      <c r="AC200" s="59"/>
    </row>
    <row r="201" spans="1:68" x14ac:dyDescent="0.25">
      <c r="A201" s="607"/>
      <c r="B201" s="607"/>
      <c r="C201" s="607"/>
      <c r="D201" s="607"/>
      <c r="E201" s="607"/>
      <c r="F201" s="607"/>
      <c r="G201" s="607"/>
      <c r="H201" s="607"/>
      <c r="I201" s="607"/>
      <c r="J201" s="607"/>
      <c r="K201" s="607"/>
      <c r="L201" s="607"/>
      <c r="M201" s="607"/>
      <c r="N201" s="607"/>
      <c r="O201" s="613"/>
      <c r="P201" s="630" t="s">
        <v>73</v>
      </c>
      <c r="Q201" s="622"/>
      <c r="R201" s="622"/>
      <c r="S201" s="622"/>
      <c r="T201" s="622"/>
      <c r="U201" s="622"/>
      <c r="V201" s="623"/>
      <c r="W201" s="37" t="s">
        <v>68</v>
      </c>
      <c r="X201" s="38">
        <f>IFERROR(SUM(X196:X199),"0")</f>
        <v>0</v>
      </c>
      <c r="Y201" s="38">
        <f>IFERROR(SUM(Y196:Y199),"0")</f>
        <v>0</v>
      </c>
      <c r="Z201" s="37"/>
      <c r="AA201" s="59"/>
      <c r="AB201" s="59"/>
      <c r="AC201" s="59"/>
    </row>
    <row r="202" spans="1:68" ht="16.5" customHeight="1" x14ac:dyDescent="0.25">
      <c r="A202" s="606" t="s">
        <v>336</v>
      </c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7"/>
      <c r="P202" s="607"/>
      <c r="Q202" s="607"/>
      <c r="R202" s="607"/>
      <c r="S202" s="607"/>
      <c r="T202" s="607"/>
      <c r="U202" s="607"/>
      <c r="V202" s="607"/>
      <c r="W202" s="607"/>
      <c r="X202" s="607"/>
      <c r="Y202" s="607"/>
      <c r="Z202" s="607"/>
      <c r="AA202" s="592"/>
      <c r="AB202" s="592"/>
      <c r="AC202" s="592"/>
    </row>
    <row r="203" spans="1:68" ht="14.25" customHeight="1" x14ac:dyDescent="0.25">
      <c r="A203" s="615" t="s">
        <v>153</v>
      </c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7"/>
      <c r="P203" s="607"/>
      <c r="Q203" s="607"/>
      <c r="R203" s="607"/>
      <c r="S203" s="607"/>
      <c r="T203" s="607"/>
      <c r="U203" s="607"/>
      <c r="V203" s="607"/>
      <c r="W203" s="607"/>
      <c r="X203" s="607"/>
      <c r="Y203" s="607"/>
      <c r="Z203" s="607"/>
      <c r="AA203" s="588"/>
      <c r="AB203" s="588"/>
      <c r="AC203" s="588"/>
    </row>
    <row r="204" spans="1:68" ht="27" customHeight="1" x14ac:dyDescent="0.25">
      <c r="A204" s="57" t="s">
        <v>337</v>
      </c>
      <c r="B204" s="57" t="s">
        <v>338</v>
      </c>
      <c r="C204" s="31">
        <v>4301020323</v>
      </c>
      <c r="D204" s="601">
        <v>4680115886223</v>
      </c>
      <c r="E204" s="602"/>
      <c r="F204" s="56">
        <v>0.33</v>
      </c>
      <c r="G204" s="32">
        <v>6</v>
      </c>
      <c r="H204" s="56">
        <v>1.98</v>
      </c>
      <c r="I204" s="56">
        <v>2.08</v>
      </c>
      <c r="J204" s="32">
        <v>234</v>
      </c>
      <c r="K204" s="32" t="s">
        <v>66</v>
      </c>
      <c r="L204" s="32"/>
      <c r="M204" s="33" t="s">
        <v>67</v>
      </c>
      <c r="N204" s="33"/>
      <c r="O204" s="32">
        <v>40</v>
      </c>
      <c r="P204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4"/>
      <c r="V204" s="34"/>
      <c r="W204" s="35" t="s">
        <v>68</v>
      </c>
      <c r="X204" s="53">
        <v>0</v>
      </c>
      <c r="Y204" s="50">
        <f>IFERROR(IF(X204="",0,CEILING((X204/$H204),1)*$H204),"")</f>
        <v>0</v>
      </c>
      <c r="Z204" s="36" t="str">
        <f>IFERROR(IF(Y204=0,"",ROUNDUP(Y204/H204,0)*0.00502),"")</f>
        <v/>
      </c>
      <c r="AA204" s="60"/>
      <c r="AB204" s="61"/>
      <c r="AC204" s="254" t="s">
        <v>339</v>
      </c>
      <c r="AG204" s="68"/>
      <c r="AJ204" s="71"/>
      <c r="AK204" s="71">
        <v>0</v>
      </c>
      <c r="BB204" s="255" t="s">
        <v>1</v>
      </c>
      <c r="BM204" s="68">
        <f>IFERROR(X204*I204/H204,"0")</f>
        <v>0</v>
      </c>
      <c r="BN204" s="68">
        <f>IFERROR(Y204*I204/H204,"0")</f>
        <v>0</v>
      </c>
      <c r="BO204" s="68">
        <f>IFERROR(1/J204*(X204/H204),"0")</f>
        <v>0</v>
      </c>
      <c r="BP204" s="68">
        <f>IFERROR(1/J204*(Y204/H204),"0")</f>
        <v>0</v>
      </c>
    </row>
    <row r="205" spans="1:68" x14ac:dyDescent="0.25">
      <c r="A205" s="612"/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13"/>
      <c r="P205" s="630" t="s">
        <v>73</v>
      </c>
      <c r="Q205" s="622"/>
      <c r="R205" s="622"/>
      <c r="S205" s="622"/>
      <c r="T205" s="622"/>
      <c r="U205" s="622"/>
      <c r="V205" s="623"/>
      <c r="W205" s="37" t="s">
        <v>74</v>
      </c>
      <c r="X205" s="38">
        <f>IFERROR(X204/H204,"0")</f>
        <v>0</v>
      </c>
      <c r="Y205" s="38">
        <f>IFERROR(Y204/H204,"0")</f>
        <v>0</v>
      </c>
      <c r="Z205" s="38">
        <f>IFERROR(IF(Z204="",0,Z204),"0")</f>
        <v>0</v>
      </c>
      <c r="AA205" s="59"/>
      <c r="AB205" s="59"/>
      <c r="AC205" s="59"/>
    </row>
    <row r="206" spans="1:68" x14ac:dyDescent="0.25">
      <c r="A206" s="607"/>
      <c r="B206" s="607"/>
      <c r="C206" s="607"/>
      <c r="D206" s="607"/>
      <c r="E206" s="607"/>
      <c r="F206" s="607"/>
      <c r="G206" s="607"/>
      <c r="H206" s="607"/>
      <c r="I206" s="607"/>
      <c r="J206" s="607"/>
      <c r="K206" s="607"/>
      <c r="L206" s="607"/>
      <c r="M206" s="607"/>
      <c r="N206" s="607"/>
      <c r="O206" s="613"/>
      <c r="P206" s="630" t="s">
        <v>73</v>
      </c>
      <c r="Q206" s="622"/>
      <c r="R206" s="622"/>
      <c r="S206" s="622"/>
      <c r="T206" s="622"/>
      <c r="U206" s="622"/>
      <c r="V206" s="623"/>
      <c r="W206" s="37" t="s">
        <v>68</v>
      </c>
      <c r="X206" s="38">
        <f>IFERROR(SUM(X204:X204),"0")</f>
        <v>0</v>
      </c>
      <c r="Y206" s="38">
        <f>IFERROR(SUM(Y204:Y204),"0")</f>
        <v>0</v>
      </c>
      <c r="Z206" s="37"/>
      <c r="AA206" s="59"/>
      <c r="AB206" s="59"/>
      <c r="AC206" s="59"/>
    </row>
    <row r="207" spans="1:68" ht="14.25" customHeight="1" x14ac:dyDescent="0.25">
      <c r="A207" s="615" t="s">
        <v>63</v>
      </c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7"/>
      <c r="P207" s="607"/>
      <c r="Q207" s="607"/>
      <c r="R207" s="607"/>
      <c r="S207" s="607"/>
      <c r="T207" s="607"/>
      <c r="U207" s="607"/>
      <c r="V207" s="607"/>
      <c r="W207" s="607"/>
      <c r="X207" s="607"/>
      <c r="Y207" s="607"/>
      <c r="Z207" s="607"/>
      <c r="AA207" s="588"/>
      <c r="AB207" s="588"/>
      <c r="AC207" s="588"/>
    </row>
    <row r="208" spans="1:68" ht="27" customHeight="1" x14ac:dyDescent="0.25">
      <c r="A208" s="57" t="s">
        <v>340</v>
      </c>
      <c r="B208" s="57" t="s">
        <v>341</v>
      </c>
      <c r="C208" s="31">
        <v>4301031191</v>
      </c>
      <c r="D208" s="601">
        <v>4680115880993</v>
      </c>
      <c r="E208" s="602"/>
      <c r="F208" s="56">
        <v>0.7</v>
      </c>
      <c r="G208" s="32">
        <v>6</v>
      </c>
      <c r="H208" s="56">
        <v>4.2</v>
      </c>
      <c r="I208" s="56">
        <v>4.45</v>
      </c>
      <c r="J208" s="32">
        <v>132</v>
      </c>
      <c r="K208" s="32" t="s">
        <v>130</v>
      </c>
      <c r="L208" s="32"/>
      <c r="M208" s="33" t="s">
        <v>67</v>
      </c>
      <c r="N208" s="33"/>
      <c r="O208" s="32">
        <v>40</v>
      </c>
      <c r="P208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4"/>
      <c r="V208" s="34"/>
      <c r="W208" s="35" t="s">
        <v>68</v>
      </c>
      <c r="X208" s="53">
        <v>0</v>
      </c>
      <c r="Y208" s="50">
        <f t="shared" ref="Y208:Y221" si="26">IFERROR(IF(X208="",0,CEILING((X208/$H208),1)*$H208),"")</f>
        <v>0</v>
      </c>
      <c r="Z208" s="36" t="str">
        <f>IFERROR(IF(Y208=0,"",ROUNDUP(Y208/H208,0)*0.00902),"")</f>
        <v/>
      </c>
      <c r="AA208" s="60"/>
      <c r="AB208" s="61"/>
      <c r="AC208" s="256" t="s">
        <v>342</v>
      </c>
      <c r="AG208" s="68"/>
      <c r="AJ208" s="71"/>
      <c r="AK208" s="71">
        <v>0</v>
      </c>
      <c r="BB208" s="257" t="s">
        <v>1</v>
      </c>
      <c r="BM208" s="68">
        <f t="shared" ref="BM208:BM221" si="27">IFERROR(X208*I208/H208,"0")</f>
        <v>0</v>
      </c>
      <c r="BN208" s="68">
        <f t="shared" ref="BN208:BN221" si="28">IFERROR(Y208*I208/H208,"0")</f>
        <v>0</v>
      </c>
      <c r="BO208" s="68">
        <f t="shared" ref="BO208:BO221" si="29">IFERROR(1/J208*(X208/H208),"0")</f>
        <v>0</v>
      </c>
      <c r="BP208" s="68">
        <f t="shared" ref="BP208:BP221" si="30">IFERROR(1/J208*(Y208/H208),"0")</f>
        <v>0</v>
      </c>
    </row>
    <row r="209" spans="1:68" ht="27" customHeight="1" x14ac:dyDescent="0.25">
      <c r="A209" s="57" t="s">
        <v>343</v>
      </c>
      <c r="B209" s="57" t="s">
        <v>344</v>
      </c>
      <c r="C209" s="31">
        <v>4301031204</v>
      </c>
      <c r="D209" s="601">
        <v>4680115881761</v>
      </c>
      <c r="E209" s="602"/>
      <c r="F209" s="56">
        <v>0.7</v>
      </c>
      <c r="G209" s="32">
        <v>6</v>
      </c>
      <c r="H209" s="56">
        <v>4.2</v>
      </c>
      <c r="I209" s="56">
        <v>4.45</v>
      </c>
      <c r="J209" s="32">
        <v>132</v>
      </c>
      <c r="K209" s="32" t="s">
        <v>130</v>
      </c>
      <c r="L209" s="32"/>
      <c r="M209" s="33" t="s">
        <v>67</v>
      </c>
      <c r="N209" s="33"/>
      <c r="O209" s="32">
        <v>40</v>
      </c>
      <c r="P209" s="91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4"/>
      <c r="V209" s="34"/>
      <c r="W209" s="35" t="s">
        <v>68</v>
      </c>
      <c r="X209" s="53">
        <v>0</v>
      </c>
      <c r="Y209" s="50">
        <f t="shared" si="26"/>
        <v>0</v>
      </c>
      <c r="Z209" s="36" t="str">
        <f>IFERROR(IF(Y209=0,"",ROUNDUP(Y209/H209,0)*0.00902),"")</f>
        <v/>
      </c>
      <c r="AA209" s="60"/>
      <c r="AB209" s="61"/>
      <c r="AC209" s="258" t="s">
        <v>345</v>
      </c>
      <c r="AG209" s="68"/>
      <c r="AJ209" s="71"/>
      <c r="AK209" s="71">
        <v>0</v>
      </c>
      <c r="BB209" s="259" t="s">
        <v>1</v>
      </c>
      <c r="BM209" s="68">
        <f t="shared" si="27"/>
        <v>0</v>
      </c>
      <c r="BN209" s="68">
        <f t="shared" si="28"/>
        <v>0</v>
      </c>
      <c r="BO209" s="68">
        <f t="shared" si="29"/>
        <v>0</v>
      </c>
      <c r="BP209" s="68">
        <f t="shared" si="30"/>
        <v>0</v>
      </c>
    </row>
    <row r="210" spans="1:68" ht="27" customHeight="1" x14ac:dyDescent="0.25">
      <c r="A210" s="57" t="s">
        <v>346</v>
      </c>
      <c r="B210" s="57" t="s">
        <v>347</v>
      </c>
      <c r="C210" s="31">
        <v>4301031201</v>
      </c>
      <c r="D210" s="601">
        <v>4680115881563</v>
      </c>
      <c r="E210" s="602"/>
      <c r="F210" s="56">
        <v>0.7</v>
      </c>
      <c r="G210" s="32">
        <v>6</v>
      </c>
      <c r="H210" s="56">
        <v>4.2</v>
      </c>
      <c r="I210" s="56">
        <v>4.3899999999999997</v>
      </c>
      <c r="J210" s="32">
        <v>132</v>
      </c>
      <c r="K210" s="32" t="s">
        <v>130</v>
      </c>
      <c r="L210" s="32"/>
      <c r="M210" s="33" t="s">
        <v>67</v>
      </c>
      <c r="N210" s="33"/>
      <c r="O210" s="32">
        <v>40</v>
      </c>
      <c r="P210" s="8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4"/>
      <c r="V210" s="34"/>
      <c r="W210" s="35" t="s">
        <v>68</v>
      </c>
      <c r="X210" s="53">
        <v>20</v>
      </c>
      <c r="Y210" s="50">
        <f t="shared" si="26"/>
        <v>21</v>
      </c>
      <c r="Z210" s="36">
        <f>IFERROR(IF(Y210=0,"",ROUNDUP(Y210/H210,0)*0.00902),"")</f>
        <v>4.5100000000000001E-2</v>
      </c>
      <c r="AA210" s="60"/>
      <c r="AB210" s="61"/>
      <c r="AC210" s="260" t="s">
        <v>348</v>
      </c>
      <c r="AG210" s="68"/>
      <c r="AJ210" s="71"/>
      <c r="AK210" s="71">
        <v>0</v>
      </c>
      <c r="BB210" s="261" t="s">
        <v>1</v>
      </c>
      <c r="BM210" s="68">
        <f t="shared" si="27"/>
        <v>20.904761904761902</v>
      </c>
      <c r="BN210" s="68">
        <f t="shared" si="28"/>
        <v>21.95</v>
      </c>
      <c r="BO210" s="68">
        <f t="shared" si="29"/>
        <v>3.6075036075036072E-2</v>
      </c>
      <c r="BP210" s="68">
        <f t="shared" si="30"/>
        <v>3.787878787878788E-2</v>
      </c>
    </row>
    <row r="211" spans="1:68" ht="37.5" customHeight="1" x14ac:dyDescent="0.25">
      <c r="A211" s="57" t="s">
        <v>349</v>
      </c>
      <c r="B211" s="57" t="s">
        <v>350</v>
      </c>
      <c r="C211" s="31">
        <v>4301031447</v>
      </c>
      <c r="D211" s="601">
        <v>4680115887565</v>
      </c>
      <c r="E211" s="602"/>
      <c r="F211" s="56">
        <v>0.08</v>
      </c>
      <c r="G211" s="32">
        <v>10</v>
      </c>
      <c r="H211" s="56">
        <v>0.8</v>
      </c>
      <c r="I211" s="56">
        <v>0.93</v>
      </c>
      <c r="J211" s="32">
        <v>252</v>
      </c>
      <c r="K211" s="32" t="s">
        <v>66</v>
      </c>
      <c r="L211" s="32"/>
      <c r="M211" s="33" t="s">
        <v>67</v>
      </c>
      <c r="N211" s="33"/>
      <c r="O211" s="32">
        <v>45</v>
      </c>
      <c r="P211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4"/>
      <c r="V211" s="34"/>
      <c r="W211" s="35" t="s">
        <v>68</v>
      </c>
      <c r="X211" s="53">
        <v>0</v>
      </c>
      <c r="Y211" s="50">
        <f t="shared" si="26"/>
        <v>0</v>
      </c>
      <c r="Z211" s="36" t="str">
        <f>IFERROR(IF(Y211=0,"",ROUNDUP(Y211/H211,0)*0.00556),"")</f>
        <v/>
      </c>
      <c r="AA211" s="60"/>
      <c r="AB211" s="61"/>
      <c r="AC211" s="262" t="s">
        <v>351</v>
      </c>
      <c r="AG211" s="68"/>
      <c r="AJ211" s="71"/>
      <c r="AK211" s="71">
        <v>0</v>
      </c>
      <c r="BB211" s="263" t="s">
        <v>1</v>
      </c>
      <c r="BM211" s="68">
        <f t="shared" si="27"/>
        <v>0</v>
      </c>
      <c r="BN211" s="68">
        <f t="shared" si="28"/>
        <v>0</v>
      </c>
      <c r="BO211" s="68">
        <f t="shared" si="29"/>
        <v>0</v>
      </c>
      <c r="BP211" s="68">
        <f t="shared" si="30"/>
        <v>0</v>
      </c>
    </row>
    <row r="212" spans="1:68" ht="27" customHeight="1" x14ac:dyDescent="0.25">
      <c r="A212" s="57" t="s">
        <v>352</v>
      </c>
      <c r="B212" s="57" t="s">
        <v>353</v>
      </c>
      <c r="C212" s="31">
        <v>4301031199</v>
      </c>
      <c r="D212" s="601">
        <v>4680115880986</v>
      </c>
      <c r="E212" s="602"/>
      <c r="F212" s="56">
        <v>0.35</v>
      </c>
      <c r="G212" s="32">
        <v>6</v>
      </c>
      <c r="H212" s="56">
        <v>2.1</v>
      </c>
      <c r="I212" s="56">
        <v>2.23</v>
      </c>
      <c r="J212" s="32">
        <v>234</v>
      </c>
      <c r="K212" s="32" t="s">
        <v>66</v>
      </c>
      <c r="L212" s="32"/>
      <c r="M212" s="33" t="s">
        <v>67</v>
      </c>
      <c r="N212" s="33"/>
      <c r="O212" s="32">
        <v>40</v>
      </c>
      <c r="P212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4"/>
      <c r="V212" s="34"/>
      <c r="W212" s="35" t="s">
        <v>68</v>
      </c>
      <c r="X212" s="53">
        <v>0</v>
      </c>
      <c r="Y212" s="50">
        <f t="shared" si="26"/>
        <v>0</v>
      </c>
      <c r="Z212" s="36" t="str">
        <f t="shared" ref="Z212:Z217" si="31">IFERROR(IF(Y212=0,"",ROUNDUP(Y212/H212,0)*0.00502),"")</f>
        <v/>
      </c>
      <c r="AA212" s="60"/>
      <c r="AB212" s="61"/>
      <c r="AC212" s="264" t="s">
        <v>342</v>
      </c>
      <c r="AG212" s="68"/>
      <c r="AJ212" s="71"/>
      <c r="AK212" s="71">
        <v>0</v>
      </c>
      <c r="BB212" s="265" t="s">
        <v>1</v>
      </c>
      <c r="BM212" s="68">
        <f t="shared" si="27"/>
        <v>0</v>
      </c>
      <c r="BN212" s="68">
        <f t="shared" si="28"/>
        <v>0</v>
      </c>
      <c r="BO212" s="68">
        <f t="shared" si="29"/>
        <v>0</v>
      </c>
      <c r="BP212" s="68">
        <f t="shared" si="30"/>
        <v>0</v>
      </c>
    </row>
    <row r="213" spans="1:68" ht="27" customHeight="1" x14ac:dyDescent="0.25">
      <c r="A213" s="57" t="s">
        <v>354</v>
      </c>
      <c r="B213" s="57" t="s">
        <v>355</v>
      </c>
      <c r="C213" s="31">
        <v>4301031443</v>
      </c>
      <c r="D213" s="601">
        <v>4680115887213</v>
      </c>
      <c r="E213" s="602"/>
      <c r="F213" s="56">
        <v>0.3</v>
      </c>
      <c r="G213" s="32">
        <v>6</v>
      </c>
      <c r="H213" s="56">
        <v>1.8</v>
      </c>
      <c r="I213" s="56">
        <v>1.9</v>
      </c>
      <c r="J213" s="32">
        <v>234</v>
      </c>
      <c r="K213" s="32" t="s">
        <v>66</v>
      </c>
      <c r="L213" s="32"/>
      <c r="M213" s="33" t="s">
        <v>67</v>
      </c>
      <c r="N213" s="33"/>
      <c r="O213" s="32">
        <v>45</v>
      </c>
      <c r="P213" s="93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4"/>
      <c r="V213" s="34"/>
      <c r="W213" s="35" t="s">
        <v>68</v>
      </c>
      <c r="X213" s="53">
        <v>0</v>
      </c>
      <c r="Y213" s="50">
        <f t="shared" si="26"/>
        <v>0</v>
      </c>
      <c r="Z213" s="36" t="str">
        <f t="shared" si="31"/>
        <v/>
      </c>
      <c r="AA213" s="60"/>
      <c r="AB213" s="61"/>
      <c r="AC213" s="266" t="s">
        <v>356</v>
      </c>
      <c r="AG213" s="68"/>
      <c r="AJ213" s="71"/>
      <c r="AK213" s="71">
        <v>0</v>
      </c>
      <c r="BB213" s="267" t="s">
        <v>1</v>
      </c>
      <c r="BM213" s="68">
        <f t="shared" si="27"/>
        <v>0</v>
      </c>
      <c r="BN213" s="68">
        <f t="shared" si="28"/>
        <v>0</v>
      </c>
      <c r="BO213" s="68">
        <f t="shared" si="29"/>
        <v>0</v>
      </c>
      <c r="BP213" s="68">
        <f t="shared" si="30"/>
        <v>0</v>
      </c>
    </row>
    <row r="214" spans="1:68" ht="27" customHeight="1" x14ac:dyDescent="0.25">
      <c r="A214" s="57" t="s">
        <v>357</v>
      </c>
      <c r="B214" s="57" t="s">
        <v>358</v>
      </c>
      <c r="C214" s="31">
        <v>4301031205</v>
      </c>
      <c r="D214" s="601">
        <v>4680115881785</v>
      </c>
      <c r="E214" s="602"/>
      <c r="F214" s="56">
        <v>0.35</v>
      </c>
      <c r="G214" s="32">
        <v>6</v>
      </c>
      <c r="H214" s="56">
        <v>2.1</v>
      </c>
      <c r="I214" s="56">
        <v>2.23</v>
      </c>
      <c r="J214" s="32">
        <v>234</v>
      </c>
      <c r="K214" s="32" t="s">
        <v>66</v>
      </c>
      <c r="L214" s="32"/>
      <c r="M214" s="33" t="s">
        <v>67</v>
      </c>
      <c r="N214" s="33"/>
      <c r="O214" s="32">
        <v>40</v>
      </c>
      <c r="P214" s="7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4"/>
      <c r="V214" s="34"/>
      <c r="W214" s="35" t="s">
        <v>68</v>
      </c>
      <c r="X214" s="53">
        <v>0</v>
      </c>
      <c r="Y214" s="50">
        <f t="shared" si="26"/>
        <v>0</v>
      </c>
      <c r="Z214" s="36" t="str">
        <f t="shared" si="31"/>
        <v/>
      </c>
      <c r="AA214" s="60"/>
      <c r="AB214" s="61"/>
      <c r="AC214" s="268" t="s">
        <v>345</v>
      </c>
      <c r="AG214" s="68"/>
      <c r="AJ214" s="71"/>
      <c r="AK214" s="71">
        <v>0</v>
      </c>
      <c r="BB214" s="269" t="s">
        <v>1</v>
      </c>
      <c r="BM214" s="68">
        <f t="shared" si="27"/>
        <v>0</v>
      </c>
      <c r="BN214" s="68">
        <f t="shared" si="28"/>
        <v>0</v>
      </c>
      <c r="BO214" s="68">
        <f t="shared" si="29"/>
        <v>0</v>
      </c>
      <c r="BP214" s="68">
        <f t="shared" si="30"/>
        <v>0</v>
      </c>
    </row>
    <row r="215" spans="1:68" ht="27" customHeight="1" x14ac:dyDescent="0.25">
      <c r="A215" s="57" t="s">
        <v>359</v>
      </c>
      <c r="B215" s="57" t="s">
        <v>360</v>
      </c>
      <c r="C215" s="31">
        <v>4301031499</v>
      </c>
      <c r="D215" s="601">
        <v>4680115888432</v>
      </c>
      <c r="E215" s="602"/>
      <c r="F215" s="56">
        <v>0.3</v>
      </c>
      <c r="G215" s="32">
        <v>6</v>
      </c>
      <c r="H215" s="56">
        <v>1.8</v>
      </c>
      <c r="I215" s="56">
        <v>1.93</v>
      </c>
      <c r="J215" s="32">
        <v>234</v>
      </c>
      <c r="K215" s="32" t="s">
        <v>66</v>
      </c>
      <c r="L215" s="32"/>
      <c r="M215" s="33" t="s">
        <v>67</v>
      </c>
      <c r="N215" s="33"/>
      <c r="O215" s="32">
        <v>45</v>
      </c>
      <c r="P215" s="9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4"/>
      <c r="V215" s="34"/>
      <c r="W215" s="35" t="s">
        <v>68</v>
      </c>
      <c r="X215" s="53">
        <v>0</v>
      </c>
      <c r="Y215" s="50">
        <f t="shared" si="26"/>
        <v>0</v>
      </c>
      <c r="Z215" s="36" t="str">
        <f t="shared" si="31"/>
        <v/>
      </c>
      <c r="AA215" s="60"/>
      <c r="AB215" s="61"/>
      <c r="AC215" s="270" t="s">
        <v>361</v>
      </c>
      <c r="AG215" s="68"/>
      <c r="AJ215" s="71"/>
      <c r="AK215" s="71">
        <v>0</v>
      </c>
      <c r="BB215" s="271" t="s">
        <v>1</v>
      </c>
      <c r="BM215" s="68">
        <f t="shared" si="27"/>
        <v>0</v>
      </c>
      <c r="BN215" s="68">
        <f t="shared" si="28"/>
        <v>0</v>
      </c>
      <c r="BO215" s="68">
        <f t="shared" si="29"/>
        <v>0</v>
      </c>
      <c r="BP215" s="68">
        <f t="shared" si="30"/>
        <v>0</v>
      </c>
    </row>
    <row r="216" spans="1:68" ht="27" customHeight="1" x14ac:dyDescent="0.25">
      <c r="A216" s="57" t="s">
        <v>362</v>
      </c>
      <c r="B216" s="57" t="s">
        <v>363</v>
      </c>
      <c r="C216" s="31">
        <v>4301031427</v>
      </c>
      <c r="D216" s="601">
        <v>4680115888104</v>
      </c>
      <c r="E216" s="602"/>
      <c r="F216" s="56">
        <v>0.35</v>
      </c>
      <c r="G216" s="32">
        <v>6</v>
      </c>
      <c r="H216" s="56">
        <v>2.1</v>
      </c>
      <c r="I216" s="56">
        <v>2.2000000000000002</v>
      </c>
      <c r="J216" s="32">
        <v>234</v>
      </c>
      <c r="K216" s="32" t="s">
        <v>66</v>
      </c>
      <c r="L216" s="32"/>
      <c r="M216" s="33" t="s">
        <v>67</v>
      </c>
      <c r="N216" s="33"/>
      <c r="O216" s="32">
        <v>45</v>
      </c>
      <c r="P216" s="78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4"/>
      <c r="V216" s="34"/>
      <c r="W216" s="35" t="s">
        <v>68</v>
      </c>
      <c r="X216" s="53">
        <v>0</v>
      </c>
      <c r="Y216" s="50">
        <f t="shared" si="26"/>
        <v>0</v>
      </c>
      <c r="Z216" s="36" t="str">
        <f t="shared" si="31"/>
        <v/>
      </c>
      <c r="AA216" s="60"/>
      <c r="AB216" s="61"/>
      <c r="AC216" s="272" t="s">
        <v>364</v>
      </c>
      <c r="AG216" s="68"/>
      <c r="AJ216" s="71"/>
      <c r="AK216" s="71">
        <v>0</v>
      </c>
      <c r="BB216" s="273" t="s">
        <v>1</v>
      </c>
      <c r="BM216" s="68">
        <f t="shared" si="27"/>
        <v>0</v>
      </c>
      <c r="BN216" s="68">
        <f t="shared" si="28"/>
        <v>0</v>
      </c>
      <c r="BO216" s="68">
        <f t="shared" si="29"/>
        <v>0</v>
      </c>
      <c r="BP216" s="68">
        <f t="shared" si="30"/>
        <v>0</v>
      </c>
    </row>
    <row r="217" spans="1:68" ht="27" customHeight="1" x14ac:dyDescent="0.25">
      <c r="A217" s="57" t="s">
        <v>365</v>
      </c>
      <c r="B217" s="57" t="s">
        <v>366</v>
      </c>
      <c r="C217" s="31">
        <v>4301031399</v>
      </c>
      <c r="D217" s="601">
        <v>4680115886537</v>
      </c>
      <c r="E217" s="602"/>
      <c r="F217" s="56">
        <v>0.3</v>
      </c>
      <c r="G217" s="32">
        <v>6</v>
      </c>
      <c r="H217" s="56">
        <v>1.8</v>
      </c>
      <c r="I217" s="56">
        <v>1.93</v>
      </c>
      <c r="J217" s="32">
        <v>234</v>
      </c>
      <c r="K217" s="32" t="s">
        <v>66</v>
      </c>
      <c r="L217" s="32"/>
      <c r="M217" s="33" t="s">
        <v>67</v>
      </c>
      <c r="N217" s="33"/>
      <c r="O217" s="32">
        <v>40</v>
      </c>
      <c r="P217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4"/>
      <c r="V217" s="34"/>
      <c r="W217" s="35" t="s">
        <v>68</v>
      </c>
      <c r="X217" s="53">
        <v>0</v>
      </c>
      <c r="Y217" s="50">
        <f t="shared" si="26"/>
        <v>0</v>
      </c>
      <c r="Z217" s="36" t="str">
        <f t="shared" si="31"/>
        <v/>
      </c>
      <c r="AA217" s="60"/>
      <c r="AB217" s="61"/>
      <c r="AC217" s="274" t="s">
        <v>367</v>
      </c>
      <c r="AG217" s="68"/>
      <c r="AJ217" s="71"/>
      <c r="AK217" s="71">
        <v>0</v>
      </c>
      <c r="BB217" s="275" t="s">
        <v>1</v>
      </c>
      <c r="BM217" s="68">
        <f t="shared" si="27"/>
        <v>0</v>
      </c>
      <c r="BN217" s="68">
        <f t="shared" si="28"/>
        <v>0</v>
      </c>
      <c r="BO217" s="68">
        <f t="shared" si="29"/>
        <v>0</v>
      </c>
      <c r="BP217" s="68">
        <f t="shared" si="30"/>
        <v>0</v>
      </c>
    </row>
    <row r="218" spans="1:68" ht="27" customHeight="1" x14ac:dyDescent="0.25">
      <c r="A218" s="57" t="s">
        <v>368</v>
      </c>
      <c r="B218" s="57" t="s">
        <v>369</v>
      </c>
      <c r="C218" s="31">
        <v>4301031279</v>
      </c>
      <c r="D218" s="601">
        <v>4680115887596</v>
      </c>
      <c r="E218" s="602"/>
      <c r="F218" s="56">
        <v>0.08</v>
      </c>
      <c r="G218" s="32">
        <v>10</v>
      </c>
      <c r="H218" s="56">
        <v>0.8</v>
      </c>
      <c r="I218" s="56">
        <v>1.01</v>
      </c>
      <c r="J218" s="32">
        <v>336</v>
      </c>
      <c r="K218" s="32" t="s">
        <v>126</v>
      </c>
      <c r="L218" s="32"/>
      <c r="M218" s="33" t="s">
        <v>67</v>
      </c>
      <c r="N218" s="33"/>
      <c r="O218" s="32">
        <v>45</v>
      </c>
      <c r="P218" s="6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4"/>
      <c r="V218" s="34"/>
      <c r="W218" s="35" t="s">
        <v>68</v>
      </c>
      <c r="X218" s="53">
        <v>0</v>
      </c>
      <c r="Y218" s="50">
        <f t="shared" si="26"/>
        <v>0</v>
      </c>
      <c r="Z218" s="36" t="str">
        <f>IFERROR(IF(Y218=0,"",ROUNDUP(Y218/H218,0)*0.00417),"")</f>
        <v/>
      </c>
      <c r="AA218" s="60"/>
      <c r="AB218" s="61"/>
      <c r="AC218" s="276" t="s">
        <v>370</v>
      </c>
      <c r="AG218" s="68"/>
      <c r="AJ218" s="71"/>
      <c r="AK218" s="71">
        <v>0</v>
      </c>
      <c r="BB218" s="277" t="s">
        <v>1</v>
      </c>
      <c r="BM218" s="68">
        <f t="shared" si="27"/>
        <v>0</v>
      </c>
      <c r="BN218" s="68">
        <f t="shared" si="28"/>
        <v>0</v>
      </c>
      <c r="BO218" s="68">
        <f t="shared" si="29"/>
        <v>0</v>
      </c>
      <c r="BP218" s="68">
        <f t="shared" si="30"/>
        <v>0</v>
      </c>
    </row>
    <row r="219" spans="1:68" ht="37.5" customHeight="1" x14ac:dyDescent="0.25">
      <c r="A219" s="57" t="s">
        <v>371</v>
      </c>
      <c r="B219" s="57" t="s">
        <v>372</v>
      </c>
      <c r="C219" s="31">
        <v>4301031202</v>
      </c>
      <c r="D219" s="601">
        <v>4680115881679</v>
      </c>
      <c r="E219" s="602"/>
      <c r="F219" s="56">
        <v>0.35</v>
      </c>
      <c r="G219" s="32">
        <v>6</v>
      </c>
      <c r="H219" s="56">
        <v>2.1</v>
      </c>
      <c r="I219" s="56">
        <v>2.2000000000000002</v>
      </c>
      <c r="J219" s="32">
        <v>234</v>
      </c>
      <c r="K219" s="32" t="s">
        <v>66</v>
      </c>
      <c r="L219" s="32"/>
      <c r="M219" s="33" t="s">
        <v>67</v>
      </c>
      <c r="N219" s="33"/>
      <c r="O219" s="32">
        <v>40</v>
      </c>
      <c r="P219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4"/>
      <c r="V219" s="34"/>
      <c r="W219" s="35" t="s">
        <v>68</v>
      </c>
      <c r="X219" s="53">
        <v>0</v>
      </c>
      <c r="Y219" s="50">
        <f t="shared" si="26"/>
        <v>0</v>
      </c>
      <c r="Z219" s="36" t="str">
        <f>IFERROR(IF(Y219=0,"",ROUNDUP(Y219/H219,0)*0.00502),"")</f>
        <v/>
      </c>
      <c r="AA219" s="60"/>
      <c r="AB219" s="61"/>
      <c r="AC219" s="278" t="s">
        <v>348</v>
      </c>
      <c r="AG219" s="68"/>
      <c r="AJ219" s="71"/>
      <c r="AK219" s="71">
        <v>0</v>
      </c>
      <c r="BB219" s="279" t="s">
        <v>1</v>
      </c>
      <c r="BM219" s="68">
        <f t="shared" si="27"/>
        <v>0</v>
      </c>
      <c r="BN219" s="68">
        <f t="shared" si="28"/>
        <v>0</v>
      </c>
      <c r="BO219" s="68">
        <f t="shared" si="29"/>
        <v>0</v>
      </c>
      <c r="BP219" s="68">
        <f t="shared" si="30"/>
        <v>0</v>
      </c>
    </row>
    <row r="220" spans="1:68" ht="27" customHeight="1" x14ac:dyDescent="0.25">
      <c r="A220" s="57" t="s">
        <v>373</v>
      </c>
      <c r="B220" s="57" t="s">
        <v>374</v>
      </c>
      <c r="C220" s="31">
        <v>4301031158</v>
      </c>
      <c r="D220" s="601">
        <v>4680115880191</v>
      </c>
      <c r="E220" s="602"/>
      <c r="F220" s="56">
        <v>0.4</v>
      </c>
      <c r="G220" s="32">
        <v>6</v>
      </c>
      <c r="H220" s="56">
        <v>2.4</v>
      </c>
      <c r="I220" s="56">
        <v>2.58</v>
      </c>
      <c r="J220" s="32">
        <v>182</v>
      </c>
      <c r="K220" s="32" t="s">
        <v>78</v>
      </c>
      <c r="L220" s="32"/>
      <c r="M220" s="33" t="s">
        <v>67</v>
      </c>
      <c r="N220" s="33"/>
      <c r="O220" s="32">
        <v>40</v>
      </c>
      <c r="P220" s="9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4"/>
      <c r="V220" s="34"/>
      <c r="W220" s="35" t="s">
        <v>68</v>
      </c>
      <c r="X220" s="53">
        <v>0</v>
      </c>
      <c r="Y220" s="50">
        <f t="shared" si="26"/>
        <v>0</v>
      </c>
      <c r="Z220" s="36" t="str">
        <f>IFERROR(IF(Y220=0,"",ROUNDUP(Y220/H220,0)*0.00651),"")</f>
        <v/>
      </c>
      <c r="AA220" s="60"/>
      <c r="AB220" s="61"/>
      <c r="AC220" s="280" t="s">
        <v>348</v>
      </c>
      <c r="AG220" s="68"/>
      <c r="AJ220" s="71"/>
      <c r="AK220" s="71">
        <v>0</v>
      </c>
      <c r="BB220" s="281" t="s">
        <v>1</v>
      </c>
      <c r="BM220" s="68">
        <f t="shared" si="27"/>
        <v>0</v>
      </c>
      <c r="BN220" s="68">
        <f t="shared" si="28"/>
        <v>0</v>
      </c>
      <c r="BO220" s="68">
        <f t="shared" si="29"/>
        <v>0</v>
      </c>
      <c r="BP220" s="68">
        <f t="shared" si="30"/>
        <v>0</v>
      </c>
    </row>
    <row r="221" spans="1:68" ht="27" customHeight="1" x14ac:dyDescent="0.25">
      <c r="A221" s="57" t="s">
        <v>375</v>
      </c>
      <c r="B221" s="57" t="s">
        <v>376</v>
      </c>
      <c r="C221" s="31">
        <v>4301031245</v>
      </c>
      <c r="D221" s="601">
        <v>4680115883963</v>
      </c>
      <c r="E221" s="602"/>
      <c r="F221" s="56">
        <v>0.28000000000000003</v>
      </c>
      <c r="G221" s="32">
        <v>6</v>
      </c>
      <c r="H221" s="56">
        <v>1.68</v>
      </c>
      <c r="I221" s="56">
        <v>1.78</v>
      </c>
      <c r="J221" s="32">
        <v>234</v>
      </c>
      <c r="K221" s="32" t="s">
        <v>66</v>
      </c>
      <c r="L221" s="32"/>
      <c r="M221" s="33" t="s">
        <v>67</v>
      </c>
      <c r="N221" s="33"/>
      <c r="O221" s="32">
        <v>40</v>
      </c>
      <c r="P221" s="9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4"/>
      <c r="V221" s="34"/>
      <c r="W221" s="35" t="s">
        <v>68</v>
      </c>
      <c r="X221" s="53">
        <v>0</v>
      </c>
      <c r="Y221" s="50">
        <f t="shared" si="26"/>
        <v>0</v>
      </c>
      <c r="Z221" s="36" t="str">
        <f>IFERROR(IF(Y221=0,"",ROUNDUP(Y221/H221,0)*0.00502),"")</f>
        <v/>
      </c>
      <c r="AA221" s="60"/>
      <c r="AB221" s="61"/>
      <c r="AC221" s="282" t="s">
        <v>377</v>
      </c>
      <c r="AG221" s="68"/>
      <c r="AJ221" s="71"/>
      <c r="AK221" s="71">
        <v>0</v>
      </c>
      <c r="BB221" s="283" t="s">
        <v>1</v>
      </c>
      <c r="BM221" s="68">
        <f t="shared" si="27"/>
        <v>0</v>
      </c>
      <c r="BN221" s="68">
        <f t="shared" si="28"/>
        <v>0</v>
      </c>
      <c r="BO221" s="68">
        <f t="shared" si="29"/>
        <v>0</v>
      </c>
      <c r="BP221" s="68">
        <f t="shared" si="30"/>
        <v>0</v>
      </c>
    </row>
    <row r="222" spans="1:68" x14ac:dyDescent="0.25">
      <c r="A222" s="612"/>
      <c r="B222" s="607"/>
      <c r="C222" s="607"/>
      <c r="D222" s="607"/>
      <c r="E222" s="607"/>
      <c r="F222" s="607"/>
      <c r="G222" s="607"/>
      <c r="H222" s="607"/>
      <c r="I222" s="607"/>
      <c r="J222" s="607"/>
      <c r="K222" s="607"/>
      <c r="L222" s="607"/>
      <c r="M222" s="607"/>
      <c r="N222" s="607"/>
      <c r="O222" s="613"/>
      <c r="P222" s="630" t="s">
        <v>73</v>
      </c>
      <c r="Q222" s="622"/>
      <c r="R222" s="622"/>
      <c r="S222" s="622"/>
      <c r="T222" s="622"/>
      <c r="U222" s="622"/>
      <c r="V222" s="623"/>
      <c r="W222" s="37" t="s">
        <v>74</v>
      </c>
      <c r="X222" s="38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4.7619047619047619</v>
      </c>
      <c r="Y222" s="38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5</v>
      </c>
      <c r="Z222" s="38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4.5100000000000001E-2</v>
      </c>
      <c r="AA222" s="59"/>
      <c r="AB222" s="59"/>
      <c r="AC222" s="59"/>
    </row>
    <row r="223" spans="1:68" x14ac:dyDescent="0.25">
      <c r="A223" s="607"/>
      <c r="B223" s="607"/>
      <c r="C223" s="607"/>
      <c r="D223" s="607"/>
      <c r="E223" s="607"/>
      <c r="F223" s="607"/>
      <c r="G223" s="607"/>
      <c r="H223" s="607"/>
      <c r="I223" s="607"/>
      <c r="J223" s="607"/>
      <c r="K223" s="607"/>
      <c r="L223" s="607"/>
      <c r="M223" s="607"/>
      <c r="N223" s="607"/>
      <c r="O223" s="613"/>
      <c r="P223" s="630" t="s">
        <v>73</v>
      </c>
      <c r="Q223" s="622"/>
      <c r="R223" s="622"/>
      <c r="S223" s="622"/>
      <c r="T223" s="622"/>
      <c r="U223" s="622"/>
      <c r="V223" s="623"/>
      <c r="W223" s="37" t="s">
        <v>68</v>
      </c>
      <c r="X223" s="38">
        <f>IFERROR(SUM(X208:X221),"0")</f>
        <v>20</v>
      </c>
      <c r="Y223" s="38">
        <f>IFERROR(SUM(Y208:Y221),"0")</f>
        <v>21</v>
      </c>
      <c r="Z223" s="37"/>
      <c r="AA223" s="59"/>
      <c r="AB223" s="59"/>
      <c r="AC223" s="59"/>
    </row>
    <row r="224" spans="1:68" ht="14.25" customHeight="1" x14ac:dyDescent="0.25">
      <c r="A224" s="615" t="s">
        <v>75</v>
      </c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7"/>
      <c r="P224" s="607"/>
      <c r="Q224" s="607"/>
      <c r="R224" s="607"/>
      <c r="S224" s="607"/>
      <c r="T224" s="607"/>
      <c r="U224" s="607"/>
      <c r="V224" s="607"/>
      <c r="W224" s="607"/>
      <c r="X224" s="607"/>
      <c r="Y224" s="607"/>
      <c r="Z224" s="607"/>
      <c r="AA224" s="588"/>
      <c r="AB224" s="588"/>
      <c r="AC224" s="588"/>
    </row>
    <row r="225" spans="1:68" ht="27" customHeight="1" x14ac:dyDescent="0.25">
      <c r="A225" s="57" t="s">
        <v>378</v>
      </c>
      <c r="B225" s="57" t="s">
        <v>379</v>
      </c>
      <c r="C225" s="31">
        <v>4301052177</v>
      </c>
      <c r="D225" s="601">
        <v>4680115888951</v>
      </c>
      <c r="E225" s="602"/>
      <c r="F225" s="56">
        <v>0.36</v>
      </c>
      <c r="G225" s="32">
        <v>6</v>
      </c>
      <c r="H225" s="56">
        <v>2.16</v>
      </c>
      <c r="I225" s="56">
        <v>2.4220000000000002</v>
      </c>
      <c r="J225" s="32">
        <v>132</v>
      </c>
      <c r="K225" s="32" t="s">
        <v>130</v>
      </c>
      <c r="L225" s="32"/>
      <c r="M225" s="33" t="s">
        <v>85</v>
      </c>
      <c r="N225" s="33"/>
      <c r="O225" s="32">
        <v>35</v>
      </c>
      <c r="P225" s="71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4"/>
      <c r="V225" s="34"/>
      <c r="W225" s="35" t="s">
        <v>68</v>
      </c>
      <c r="X225" s="53">
        <v>0</v>
      </c>
      <c r="Y225" s="50">
        <f>IFERROR(IF(X225="",0,CEILING((X225/$H225),1)*$H225),"")</f>
        <v>0</v>
      </c>
      <c r="Z225" s="36" t="str">
        <f>IFERROR(IF(Y225=0,"",ROUNDUP(Y225/H225,0)*0.00902),"")</f>
        <v/>
      </c>
      <c r="AA225" s="60"/>
      <c r="AB225" s="61"/>
      <c r="AC225" s="284" t="s">
        <v>380</v>
      </c>
      <c r="AG225" s="68"/>
      <c r="AJ225" s="71"/>
      <c r="AK225" s="71">
        <v>0</v>
      </c>
      <c r="BB225" s="285" t="s">
        <v>1</v>
      </c>
      <c r="BM225" s="68">
        <f>IFERROR(X225*I225/H225,"0")</f>
        <v>0</v>
      </c>
      <c r="BN225" s="68">
        <f>IFERROR(Y225*I225/H225,"0")</f>
        <v>0</v>
      </c>
      <c r="BO225" s="68">
        <f>IFERROR(1/J225*(X225/H225),"0")</f>
        <v>0</v>
      </c>
      <c r="BP225" s="68">
        <f>IFERROR(1/J225*(Y225/H225),"0")</f>
        <v>0</v>
      </c>
    </row>
    <row r="226" spans="1:68" ht="27" customHeight="1" x14ac:dyDescent="0.25">
      <c r="A226" s="57" t="s">
        <v>381</v>
      </c>
      <c r="B226" s="57" t="s">
        <v>382</v>
      </c>
      <c r="C226" s="31">
        <v>4301052176</v>
      </c>
      <c r="D226" s="601">
        <v>4680115888982</v>
      </c>
      <c r="E226" s="602"/>
      <c r="F226" s="56">
        <v>0.36</v>
      </c>
      <c r="G226" s="32">
        <v>6</v>
      </c>
      <c r="H226" s="56">
        <v>2.16</v>
      </c>
      <c r="I226" s="56">
        <v>2.4220000000000002</v>
      </c>
      <c r="J226" s="32">
        <v>132</v>
      </c>
      <c r="K226" s="32" t="s">
        <v>130</v>
      </c>
      <c r="L226" s="32"/>
      <c r="M226" s="33" t="s">
        <v>85</v>
      </c>
      <c r="N226" s="33"/>
      <c r="O226" s="32">
        <v>35</v>
      </c>
      <c r="P226" s="70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4"/>
      <c r="V226" s="34"/>
      <c r="W226" s="35" t="s">
        <v>68</v>
      </c>
      <c r="X226" s="53">
        <v>0</v>
      </c>
      <c r="Y226" s="50">
        <f>IFERROR(IF(X226="",0,CEILING((X226/$H226),1)*$H226),"")</f>
        <v>0</v>
      </c>
      <c r="Z226" s="36" t="str">
        <f>IFERROR(IF(Y226=0,"",ROUNDUP(Y226/H226,0)*0.00902),"")</f>
        <v/>
      </c>
      <c r="AA226" s="60"/>
      <c r="AB226" s="61"/>
      <c r="AC226" s="286" t="s">
        <v>383</v>
      </c>
      <c r="AG226" s="68"/>
      <c r="AJ226" s="71"/>
      <c r="AK226" s="71">
        <v>0</v>
      </c>
      <c r="BB226" s="287" t="s">
        <v>1</v>
      </c>
      <c r="BM226" s="68">
        <f>IFERROR(X226*I226/H226,"0")</f>
        <v>0</v>
      </c>
      <c r="BN226" s="68">
        <f>IFERROR(Y226*I226/H226,"0")</f>
        <v>0</v>
      </c>
      <c r="BO226" s="68">
        <f>IFERROR(1/J226*(X226/H226),"0")</f>
        <v>0</v>
      </c>
      <c r="BP226" s="68">
        <f>IFERROR(1/J226*(Y226/H226),"0")</f>
        <v>0</v>
      </c>
    </row>
    <row r="227" spans="1:68" x14ac:dyDescent="0.25">
      <c r="A227" s="612"/>
      <c r="B227" s="607"/>
      <c r="C227" s="607"/>
      <c r="D227" s="607"/>
      <c r="E227" s="607"/>
      <c r="F227" s="607"/>
      <c r="G227" s="607"/>
      <c r="H227" s="607"/>
      <c r="I227" s="607"/>
      <c r="J227" s="607"/>
      <c r="K227" s="607"/>
      <c r="L227" s="607"/>
      <c r="M227" s="607"/>
      <c r="N227" s="607"/>
      <c r="O227" s="613"/>
      <c r="P227" s="630" t="s">
        <v>73</v>
      </c>
      <c r="Q227" s="622"/>
      <c r="R227" s="622"/>
      <c r="S227" s="622"/>
      <c r="T227" s="622"/>
      <c r="U227" s="622"/>
      <c r="V227" s="623"/>
      <c r="W227" s="37" t="s">
        <v>74</v>
      </c>
      <c r="X227" s="38">
        <f>IFERROR(X225/H225,"0")+IFERROR(X226/H226,"0")</f>
        <v>0</v>
      </c>
      <c r="Y227" s="38">
        <f>IFERROR(Y225/H225,"0")+IFERROR(Y226/H226,"0")</f>
        <v>0</v>
      </c>
      <c r="Z227" s="38">
        <f>IFERROR(IF(Z225="",0,Z225),"0")+IFERROR(IF(Z226="",0,Z226),"0")</f>
        <v>0</v>
      </c>
      <c r="AA227" s="59"/>
      <c r="AB227" s="59"/>
      <c r="AC227" s="59"/>
    </row>
    <row r="228" spans="1:68" x14ac:dyDescent="0.25">
      <c r="A228" s="607"/>
      <c r="B228" s="607"/>
      <c r="C228" s="607"/>
      <c r="D228" s="607"/>
      <c r="E228" s="607"/>
      <c r="F228" s="607"/>
      <c r="G228" s="607"/>
      <c r="H228" s="607"/>
      <c r="I228" s="607"/>
      <c r="J228" s="607"/>
      <c r="K228" s="607"/>
      <c r="L228" s="607"/>
      <c r="M228" s="607"/>
      <c r="N228" s="607"/>
      <c r="O228" s="613"/>
      <c r="P228" s="630" t="s">
        <v>73</v>
      </c>
      <c r="Q228" s="622"/>
      <c r="R228" s="622"/>
      <c r="S228" s="622"/>
      <c r="T228" s="622"/>
      <c r="U228" s="622"/>
      <c r="V228" s="623"/>
      <c r="W228" s="37" t="s">
        <v>68</v>
      </c>
      <c r="X228" s="38">
        <f>IFERROR(SUM(X225:X226),"0")</f>
        <v>0</v>
      </c>
      <c r="Y228" s="38">
        <f>IFERROR(SUM(Y225:Y226),"0")</f>
        <v>0</v>
      </c>
      <c r="Z228" s="37"/>
      <c r="AA228" s="59"/>
      <c r="AB228" s="59"/>
      <c r="AC228" s="59"/>
    </row>
    <row r="229" spans="1:68" ht="14.25" customHeight="1" x14ac:dyDescent="0.25">
      <c r="A229" s="615" t="s">
        <v>96</v>
      </c>
      <c r="B229" s="607"/>
      <c r="C229" s="607"/>
      <c r="D229" s="607"/>
      <c r="E229" s="607"/>
      <c r="F229" s="607"/>
      <c r="G229" s="607"/>
      <c r="H229" s="607"/>
      <c r="I229" s="607"/>
      <c r="J229" s="607"/>
      <c r="K229" s="607"/>
      <c r="L229" s="607"/>
      <c r="M229" s="607"/>
      <c r="N229" s="607"/>
      <c r="O229" s="607"/>
      <c r="P229" s="607"/>
      <c r="Q229" s="607"/>
      <c r="R229" s="607"/>
      <c r="S229" s="607"/>
      <c r="T229" s="607"/>
      <c r="U229" s="607"/>
      <c r="V229" s="607"/>
      <c r="W229" s="607"/>
      <c r="X229" s="607"/>
      <c r="Y229" s="607"/>
      <c r="Z229" s="607"/>
      <c r="AA229" s="588"/>
      <c r="AB229" s="588"/>
      <c r="AC229" s="588"/>
    </row>
    <row r="230" spans="1:68" ht="27" customHeight="1" x14ac:dyDescent="0.25">
      <c r="A230" s="57" t="s">
        <v>384</v>
      </c>
      <c r="B230" s="57" t="s">
        <v>385</v>
      </c>
      <c r="C230" s="31">
        <v>4301032053</v>
      </c>
      <c r="D230" s="601">
        <v>4680115886780</v>
      </c>
      <c r="E230" s="602"/>
      <c r="F230" s="56">
        <v>7.0000000000000007E-2</v>
      </c>
      <c r="G230" s="32">
        <v>18</v>
      </c>
      <c r="H230" s="56">
        <v>1.26</v>
      </c>
      <c r="I230" s="56">
        <v>1.45</v>
      </c>
      <c r="J230" s="32">
        <v>216</v>
      </c>
      <c r="K230" s="32" t="s">
        <v>313</v>
      </c>
      <c r="L230" s="32"/>
      <c r="M230" s="33" t="s">
        <v>314</v>
      </c>
      <c r="N230" s="33"/>
      <c r="O230" s="32">
        <v>60</v>
      </c>
      <c r="P230" s="8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4"/>
      <c r="V230" s="34"/>
      <c r="W230" s="35" t="s">
        <v>68</v>
      </c>
      <c r="X230" s="53">
        <v>0</v>
      </c>
      <c r="Y230" s="50">
        <f>IFERROR(IF(X230="",0,CEILING((X230/$H230),1)*$H230),"")</f>
        <v>0</v>
      </c>
      <c r="Z230" s="36" t="str">
        <f>IFERROR(IF(Y230=0,"",ROUNDUP(Y230/H230,0)*0.0059),"")</f>
        <v/>
      </c>
      <c r="AA230" s="60"/>
      <c r="AB230" s="61"/>
      <c r="AC230" s="288" t="s">
        <v>386</v>
      </c>
      <c r="AG230" s="68"/>
      <c r="AJ230" s="71"/>
      <c r="AK230" s="71">
        <v>0</v>
      </c>
      <c r="BB230" s="289" t="s">
        <v>1</v>
      </c>
      <c r="BM230" s="68">
        <f>IFERROR(X230*I230/H230,"0")</f>
        <v>0</v>
      </c>
      <c r="BN230" s="68">
        <f>IFERROR(Y230*I230/H230,"0")</f>
        <v>0</v>
      </c>
      <c r="BO230" s="68">
        <f>IFERROR(1/J230*(X230/H230),"0")</f>
        <v>0</v>
      </c>
      <c r="BP230" s="68">
        <f>IFERROR(1/J230*(Y230/H230),"0")</f>
        <v>0</v>
      </c>
    </row>
    <row r="231" spans="1:68" ht="27" customHeight="1" x14ac:dyDescent="0.25">
      <c r="A231" s="57" t="s">
        <v>387</v>
      </c>
      <c r="B231" s="57" t="s">
        <v>388</v>
      </c>
      <c r="C231" s="31">
        <v>4301032051</v>
      </c>
      <c r="D231" s="601">
        <v>4680115886742</v>
      </c>
      <c r="E231" s="602"/>
      <c r="F231" s="56">
        <v>7.0000000000000007E-2</v>
      </c>
      <c r="G231" s="32">
        <v>18</v>
      </c>
      <c r="H231" s="56">
        <v>1.26</v>
      </c>
      <c r="I231" s="56">
        <v>1.45</v>
      </c>
      <c r="J231" s="32">
        <v>216</v>
      </c>
      <c r="K231" s="32" t="s">
        <v>313</v>
      </c>
      <c r="L231" s="32"/>
      <c r="M231" s="33" t="s">
        <v>314</v>
      </c>
      <c r="N231" s="33"/>
      <c r="O231" s="32">
        <v>90</v>
      </c>
      <c r="P231" s="94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4"/>
      <c r="V231" s="34"/>
      <c r="W231" s="35" t="s">
        <v>68</v>
      </c>
      <c r="X231" s="53">
        <v>0</v>
      </c>
      <c r="Y231" s="50">
        <f>IFERROR(IF(X231="",0,CEILING((X231/$H231),1)*$H231),"")</f>
        <v>0</v>
      </c>
      <c r="Z231" s="36" t="str">
        <f>IFERROR(IF(Y231=0,"",ROUNDUP(Y231/H231,0)*0.0059),"")</f>
        <v/>
      </c>
      <c r="AA231" s="60"/>
      <c r="AB231" s="61"/>
      <c r="AC231" s="290" t="s">
        <v>389</v>
      </c>
      <c r="AG231" s="68"/>
      <c r="AJ231" s="71"/>
      <c r="AK231" s="71">
        <v>0</v>
      </c>
      <c r="BB231" s="291" t="s">
        <v>1</v>
      </c>
      <c r="BM231" s="68">
        <f>IFERROR(X231*I231/H231,"0")</f>
        <v>0</v>
      </c>
      <c r="BN231" s="68">
        <f>IFERROR(Y231*I231/H231,"0")</f>
        <v>0</v>
      </c>
      <c r="BO231" s="68">
        <f>IFERROR(1/J231*(X231/H231),"0")</f>
        <v>0</v>
      </c>
      <c r="BP231" s="68">
        <f>IFERROR(1/J231*(Y231/H231),"0")</f>
        <v>0</v>
      </c>
    </row>
    <row r="232" spans="1:68" ht="27" customHeight="1" x14ac:dyDescent="0.25">
      <c r="A232" s="57" t="s">
        <v>390</v>
      </c>
      <c r="B232" s="57" t="s">
        <v>391</v>
      </c>
      <c r="C232" s="31">
        <v>4301032052</v>
      </c>
      <c r="D232" s="601">
        <v>4680115886766</v>
      </c>
      <c r="E232" s="602"/>
      <c r="F232" s="56">
        <v>7.0000000000000007E-2</v>
      </c>
      <c r="G232" s="32">
        <v>18</v>
      </c>
      <c r="H232" s="56">
        <v>1.26</v>
      </c>
      <c r="I232" s="56">
        <v>1.45</v>
      </c>
      <c r="J232" s="32">
        <v>216</v>
      </c>
      <c r="K232" s="32" t="s">
        <v>313</v>
      </c>
      <c r="L232" s="32"/>
      <c r="M232" s="33" t="s">
        <v>314</v>
      </c>
      <c r="N232" s="33"/>
      <c r="O232" s="32">
        <v>90</v>
      </c>
      <c r="P232" s="77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4"/>
      <c r="V232" s="34"/>
      <c r="W232" s="35" t="s">
        <v>68</v>
      </c>
      <c r="X232" s="53">
        <v>0</v>
      </c>
      <c r="Y232" s="50">
        <f>IFERROR(IF(X232="",0,CEILING((X232/$H232),1)*$H232),"")</f>
        <v>0</v>
      </c>
      <c r="Z232" s="36" t="str">
        <f>IFERROR(IF(Y232=0,"",ROUNDUP(Y232/H232,0)*0.0059),"")</f>
        <v/>
      </c>
      <c r="AA232" s="60"/>
      <c r="AB232" s="61"/>
      <c r="AC232" s="292" t="s">
        <v>389</v>
      </c>
      <c r="AG232" s="68"/>
      <c r="AJ232" s="71"/>
      <c r="AK232" s="71">
        <v>0</v>
      </c>
      <c r="BB232" s="293" t="s">
        <v>1</v>
      </c>
      <c r="BM232" s="68">
        <f>IFERROR(X232*I232/H232,"0")</f>
        <v>0</v>
      </c>
      <c r="BN232" s="68">
        <f>IFERROR(Y232*I232/H232,"0")</f>
        <v>0</v>
      </c>
      <c r="BO232" s="68">
        <f>IFERROR(1/J232*(X232/H232),"0")</f>
        <v>0</v>
      </c>
      <c r="BP232" s="68">
        <f>IFERROR(1/J232*(Y232/H232),"0")</f>
        <v>0</v>
      </c>
    </row>
    <row r="233" spans="1:68" x14ac:dyDescent="0.25">
      <c r="A233" s="612"/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13"/>
      <c r="P233" s="630" t="s">
        <v>73</v>
      </c>
      <c r="Q233" s="622"/>
      <c r="R233" s="622"/>
      <c r="S233" s="622"/>
      <c r="T233" s="622"/>
      <c r="U233" s="622"/>
      <c r="V233" s="623"/>
      <c r="W233" s="37" t="s">
        <v>74</v>
      </c>
      <c r="X233" s="38">
        <f>IFERROR(X230/H230,"0")+IFERROR(X231/H231,"0")+IFERROR(X232/H232,"0")</f>
        <v>0</v>
      </c>
      <c r="Y233" s="38">
        <f>IFERROR(Y230/H230,"0")+IFERROR(Y231/H231,"0")+IFERROR(Y232/H232,"0")</f>
        <v>0</v>
      </c>
      <c r="Z233" s="38">
        <f>IFERROR(IF(Z230="",0,Z230),"0")+IFERROR(IF(Z231="",0,Z231),"0")+IFERROR(IF(Z232="",0,Z232),"0")</f>
        <v>0</v>
      </c>
      <c r="AA233" s="59"/>
      <c r="AB233" s="59"/>
      <c r="AC233" s="59"/>
    </row>
    <row r="234" spans="1:68" x14ac:dyDescent="0.25">
      <c r="A234" s="607"/>
      <c r="B234" s="607"/>
      <c r="C234" s="607"/>
      <c r="D234" s="607"/>
      <c r="E234" s="607"/>
      <c r="F234" s="607"/>
      <c r="G234" s="607"/>
      <c r="H234" s="607"/>
      <c r="I234" s="607"/>
      <c r="J234" s="607"/>
      <c r="K234" s="607"/>
      <c r="L234" s="607"/>
      <c r="M234" s="607"/>
      <c r="N234" s="607"/>
      <c r="O234" s="613"/>
      <c r="P234" s="630" t="s">
        <v>73</v>
      </c>
      <c r="Q234" s="622"/>
      <c r="R234" s="622"/>
      <c r="S234" s="622"/>
      <c r="T234" s="622"/>
      <c r="U234" s="622"/>
      <c r="V234" s="623"/>
      <c r="W234" s="37" t="s">
        <v>68</v>
      </c>
      <c r="X234" s="38">
        <f>IFERROR(SUM(X230:X232),"0")</f>
        <v>0</v>
      </c>
      <c r="Y234" s="38">
        <f>IFERROR(SUM(Y230:Y232),"0")</f>
        <v>0</v>
      </c>
      <c r="Z234" s="37"/>
      <c r="AA234" s="59"/>
      <c r="AB234" s="59"/>
      <c r="AC234" s="59"/>
    </row>
    <row r="235" spans="1:68" ht="14.25" customHeight="1" x14ac:dyDescent="0.25">
      <c r="A235" s="615" t="s">
        <v>392</v>
      </c>
      <c r="B235" s="607"/>
      <c r="C235" s="607"/>
      <c r="D235" s="607"/>
      <c r="E235" s="607"/>
      <c r="F235" s="607"/>
      <c r="G235" s="607"/>
      <c r="H235" s="607"/>
      <c r="I235" s="607"/>
      <c r="J235" s="607"/>
      <c r="K235" s="607"/>
      <c r="L235" s="607"/>
      <c r="M235" s="607"/>
      <c r="N235" s="607"/>
      <c r="O235" s="607"/>
      <c r="P235" s="607"/>
      <c r="Q235" s="607"/>
      <c r="R235" s="607"/>
      <c r="S235" s="607"/>
      <c r="T235" s="607"/>
      <c r="U235" s="607"/>
      <c r="V235" s="607"/>
      <c r="W235" s="607"/>
      <c r="X235" s="607"/>
      <c r="Y235" s="607"/>
      <c r="Z235" s="607"/>
      <c r="AA235" s="588"/>
      <c r="AB235" s="588"/>
      <c r="AC235" s="588"/>
    </row>
    <row r="236" spans="1:68" ht="27" customHeight="1" x14ac:dyDescent="0.25">
      <c r="A236" s="57" t="s">
        <v>393</v>
      </c>
      <c r="B236" s="57" t="s">
        <v>394</v>
      </c>
      <c r="C236" s="31">
        <v>4301170013</v>
      </c>
      <c r="D236" s="601">
        <v>4680115886797</v>
      </c>
      <c r="E236" s="602"/>
      <c r="F236" s="56">
        <v>7.0000000000000007E-2</v>
      </c>
      <c r="G236" s="32">
        <v>18</v>
      </c>
      <c r="H236" s="56">
        <v>1.26</v>
      </c>
      <c r="I236" s="56">
        <v>1.45</v>
      </c>
      <c r="J236" s="32">
        <v>216</v>
      </c>
      <c r="K236" s="32" t="s">
        <v>313</v>
      </c>
      <c r="L236" s="32"/>
      <c r="M236" s="33" t="s">
        <v>314</v>
      </c>
      <c r="N236" s="33"/>
      <c r="O236" s="32">
        <v>90</v>
      </c>
      <c r="P236" s="89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4"/>
      <c r="V236" s="34"/>
      <c r="W236" s="35" t="s">
        <v>68</v>
      </c>
      <c r="X236" s="53">
        <v>0</v>
      </c>
      <c r="Y236" s="50">
        <f>IFERROR(IF(X236="",0,CEILING((X236/$H236),1)*$H236),"")</f>
        <v>0</v>
      </c>
      <c r="Z236" s="36" t="str">
        <f>IFERROR(IF(Y236=0,"",ROUNDUP(Y236/H236,0)*0.0059),"")</f>
        <v/>
      </c>
      <c r="AA236" s="60"/>
      <c r="AB236" s="61"/>
      <c r="AC236" s="294" t="s">
        <v>389</v>
      </c>
      <c r="AG236" s="68"/>
      <c r="AJ236" s="71"/>
      <c r="AK236" s="71">
        <v>0</v>
      </c>
      <c r="BB236" s="295" t="s">
        <v>1</v>
      </c>
      <c r="BM236" s="68">
        <f>IFERROR(X236*I236/H236,"0")</f>
        <v>0</v>
      </c>
      <c r="BN236" s="68">
        <f>IFERROR(Y236*I236/H236,"0")</f>
        <v>0</v>
      </c>
      <c r="BO236" s="68">
        <f>IFERROR(1/J236*(X236/H236),"0")</f>
        <v>0</v>
      </c>
      <c r="BP236" s="68">
        <f>IFERROR(1/J236*(Y236/H236),"0")</f>
        <v>0</v>
      </c>
    </row>
    <row r="237" spans="1:68" x14ac:dyDescent="0.25">
      <c r="A237" s="612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13"/>
      <c r="P237" s="630" t="s">
        <v>73</v>
      </c>
      <c r="Q237" s="622"/>
      <c r="R237" s="622"/>
      <c r="S237" s="622"/>
      <c r="T237" s="622"/>
      <c r="U237" s="622"/>
      <c r="V237" s="623"/>
      <c r="W237" s="37" t="s">
        <v>74</v>
      </c>
      <c r="X237" s="38">
        <f>IFERROR(X236/H236,"0")</f>
        <v>0</v>
      </c>
      <c r="Y237" s="38">
        <f>IFERROR(Y236/H236,"0")</f>
        <v>0</v>
      </c>
      <c r="Z237" s="38">
        <f>IFERROR(IF(Z236="",0,Z236),"0")</f>
        <v>0</v>
      </c>
      <c r="AA237" s="59"/>
      <c r="AB237" s="59"/>
      <c r="AC237" s="59"/>
    </row>
    <row r="238" spans="1:68" x14ac:dyDescent="0.25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13"/>
      <c r="P238" s="630" t="s">
        <v>73</v>
      </c>
      <c r="Q238" s="622"/>
      <c r="R238" s="622"/>
      <c r="S238" s="622"/>
      <c r="T238" s="622"/>
      <c r="U238" s="622"/>
      <c r="V238" s="623"/>
      <c r="W238" s="37" t="s">
        <v>68</v>
      </c>
      <c r="X238" s="38">
        <f>IFERROR(SUM(X236:X236),"0")</f>
        <v>0</v>
      </c>
      <c r="Y238" s="38">
        <f>IFERROR(SUM(Y236:Y236),"0")</f>
        <v>0</v>
      </c>
      <c r="Z238" s="37"/>
      <c r="AA238" s="59"/>
      <c r="AB238" s="59"/>
      <c r="AC238" s="59"/>
    </row>
    <row r="239" spans="1:68" ht="16.5" customHeight="1" x14ac:dyDescent="0.25">
      <c r="A239" s="606" t="s">
        <v>395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592"/>
      <c r="AB239" s="592"/>
      <c r="AC239" s="592"/>
    </row>
    <row r="240" spans="1:68" ht="14.25" customHeight="1" x14ac:dyDescent="0.25">
      <c r="A240" s="615" t="s">
        <v>118</v>
      </c>
      <c r="B240" s="607"/>
      <c r="C240" s="607"/>
      <c r="D240" s="607"/>
      <c r="E240" s="607"/>
      <c r="F240" s="607"/>
      <c r="G240" s="607"/>
      <c r="H240" s="607"/>
      <c r="I240" s="607"/>
      <c r="J240" s="607"/>
      <c r="K240" s="607"/>
      <c r="L240" s="607"/>
      <c r="M240" s="607"/>
      <c r="N240" s="607"/>
      <c r="O240" s="607"/>
      <c r="P240" s="607"/>
      <c r="Q240" s="607"/>
      <c r="R240" s="607"/>
      <c r="S240" s="607"/>
      <c r="T240" s="607"/>
      <c r="U240" s="607"/>
      <c r="V240" s="607"/>
      <c r="W240" s="607"/>
      <c r="X240" s="607"/>
      <c r="Y240" s="607"/>
      <c r="Z240" s="607"/>
      <c r="AA240" s="588"/>
      <c r="AB240" s="588"/>
      <c r="AC240" s="588"/>
    </row>
    <row r="241" spans="1:68" ht="27" customHeight="1" x14ac:dyDescent="0.25">
      <c r="A241" s="57" t="s">
        <v>396</v>
      </c>
      <c r="B241" s="57" t="s">
        <v>397</v>
      </c>
      <c r="C241" s="31">
        <v>4301011450</v>
      </c>
      <c r="D241" s="601">
        <v>4680115881402</v>
      </c>
      <c r="E241" s="602"/>
      <c r="F241" s="56">
        <v>1.35</v>
      </c>
      <c r="G241" s="32">
        <v>8</v>
      </c>
      <c r="H241" s="56">
        <v>10.8</v>
      </c>
      <c r="I241" s="56">
        <v>11.21</v>
      </c>
      <c r="J241" s="32">
        <v>64</v>
      </c>
      <c r="K241" s="32" t="s">
        <v>121</v>
      </c>
      <c r="L241" s="32"/>
      <c r="M241" s="33" t="s">
        <v>122</v>
      </c>
      <c r="N241" s="33"/>
      <c r="O241" s="32">
        <v>55</v>
      </c>
      <c r="P241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4"/>
      <c r="V241" s="34"/>
      <c r="W241" s="35" t="s">
        <v>68</v>
      </c>
      <c r="X241" s="53">
        <v>0</v>
      </c>
      <c r="Y241" s="50">
        <f>IFERROR(IF(X241="",0,CEILING((X241/$H241),1)*$H241),"")</f>
        <v>0</v>
      </c>
      <c r="Z241" s="36" t="str">
        <f>IFERROR(IF(Y241=0,"",ROUNDUP(Y241/H241,0)*0.01898),"")</f>
        <v/>
      </c>
      <c r="AA241" s="60"/>
      <c r="AB241" s="61"/>
      <c r="AC241" s="296" t="s">
        <v>398</v>
      </c>
      <c r="AG241" s="68"/>
      <c r="AJ241" s="71"/>
      <c r="AK241" s="71">
        <v>0</v>
      </c>
      <c r="BB241" s="297" t="s">
        <v>1</v>
      </c>
      <c r="BM241" s="68">
        <f>IFERROR(X241*I241/H241,"0")</f>
        <v>0</v>
      </c>
      <c r="BN241" s="68">
        <f>IFERROR(Y241*I241/H241,"0")</f>
        <v>0</v>
      </c>
      <c r="BO241" s="68">
        <f>IFERROR(1/J241*(X241/H241),"0")</f>
        <v>0</v>
      </c>
      <c r="BP241" s="68">
        <f>IFERROR(1/J241*(Y241/H241),"0")</f>
        <v>0</v>
      </c>
    </row>
    <row r="242" spans="1:68" ht="27" customHeight="1" x14ac:dyDescent="0.25">
      <c r="A242" s="57" t="s">
        <v>399</v>
      </c>
      <c r="B242" s="57" t="s">
        <v>400</v>
      </c>
      <c r="C242" s="31">
        <v>4301011768</v>
      </c>
      <c r="D242" s="601">
        <v>4680115881396</v>
      </c>
      <c r="E242" s="602"/>
      <c r="F242" s="56">
        <v>0.45</v>
      </c>
      <c r="G242" s="32">
        <v>6</v>
      </c>
      <c r="H242" s="56">
        <v>2.7</v>
      </c>
      <c r="I242" s="56">
        <v>2.88</v>
      </c>
      <c r="J242" s="32">
        <v>182</v>
      </c>
      <c r="K242" s="32" t="s">
        <v>78</v>
      </c>
      <c r="L242" s="32"/>
      <c r="M242" s="33" t="s">
        <v>122</v>
      </c>
      <c r="N242" s="33"/>
      <c r="O242" s="32">
        <v>55</v>
      </c>
      <c r="P242" s="9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4"/>
      <c r="V242" s="34"/>
      <c r="W242" s="35" t="s">
        <v>68</v>
      </c>
      <c r="X242" s="53">
        <v>0</v>
      </c>
      <c r="Y242" s="50">
        <f>IFERROR(IF(X242="",0,CEILING((X242/$H242),1)*$H242),"")</f>
        <v>0</v>
      </c>
      <c r="Z242" s="36" t="str">
        <f>IFERROR(IF(Y242=0,"",ROUNDUP(Y242/H242,0)*0.00651),"")</f>
        <v/>
      </c>
      <c r="AA242" s="60"/>
      <c r="AB242" s="61"/>
      <c r="AC242" s="298" t="s">
        <v>398</v>
      </c>
      <c r="AG242" s="68"/>
      <c r="AJ242" s="71"/>
      <c r="AK242" s="71">
        <v>0</v>
      </c>
      <c r="BB242" s="299" t="s">
        <v>1</v>
      </c>
      <c r="BM242" s="68">
        <f>IFERROR(X242*I242/H242,"0")</f>
        <v>0</v>
      </c>
      <c r="BN242" s="68">
        <f>IFERROR(Y242*I242/H242,"0")</f>
        <v>0</v>
      </c>
      <c r="BO242" s="68">
        <f>IFERROR(1/J242*(X242/H242),"0")</f>
        <v>0</v>
      </c>
      <c r="BP242" s="68">
        <f>IFERROR(1/J242*(Y242/H242),"0")</f>
        <v>0</v>
      </c>
    </row>
    <row r="243" spans="1:68" x14ac:dyDescent="0.25">
      <c r="A243" s="612"/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13"/>
      <c r="P243" s="630" t="s">
        <v>73</v>
      </c>
      <c r="Q243" s="622"/>
      <c r="R243" s="622"/>
      <c r="S243" s="622"/>
      <c r="T243" s="622"/>
      <c r="U243" s="622"/>
      <c r="V243" s="623"/>
      <c r="W243" s="37" t="s">
        <v>74</v>
      </c>
      <c r="X243" s="38">
        <f>IFERROR(X241/H241,"0")+IFERROR(X242/H242,"0")</f>
        <v>0</v>
      </c>
      <c r="Y243" s="38">
        <f>IFERROR(Y241/H241,"0")+IFERROR(Y242/H242,"0")</f>
        <v>0</v>
      </c>
      <c r="Z243" s="38">
        <f>IFERROR(IF(Z241="",0,Z241),"0")+IFERROR(IF(Z242="",0,Z242),"0")</f>
        <v>0</v>
      </c>
      <c r="AA243" s="59"/>
      <c r="AB243" s="59"/>
      <c r="AC243" s="59"/>
    </row>
    <row r="244" spans="1:68" x14ac:dyDescent="0.25">
      <c r="A244" s="607"/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13"/>
      <c r="P244" s="630" t="s">
        <v>73</v>
      </c>
      <c r="Q244" s="622"/>
      <c r="R244" s="622"/>
      <c r="S244" s="622"/>
      <c r="T244" s="622"/>
      <c r="U244" s="622"/>
      <c r="V244" s="623"/>
      <c r="W244" s="37" t="s">
        <v>68</v>
      </c>
      <c r="X244" s="38">
        <f>IFERROR(SUM(X241:X242),"0")</f>
        <v>0</v>
      </c>
      <c r="Y244" s="38">
        <f>IFERROR(SUM(Y241:Y242),"0")</f>
        <v>0</v>
      </c>
      <c r="Z244" s="37"/>
      <c r="AA244" s="59"/>
      <c r="AB244" s="59"/>
      <c r="AC244" s="59"/>
    </row>
    <row r="245" spans="1:68" ht="14.25" customHeight="1" x14ac:dyDescent="0.25">
      <c r="A245" s="615" t="s">
        <v>153</v>
      </c>
      <c r="B245" s="607"/>
      <c r="C245" s="607"/>
      <c r="D245" s="607"/>
      <c r="E245" s="607"/>
      <c r="F245" s="607"/>
      <c r="G245" s="607"/>
      <c r="H245" s="607"/>
      <c r="I245" s="607"/>
      <c r="J245" s="607"/>
      <c r="K245" s="607"/>
      <c r="L245" s="607"/>
      <c r="M245" s="607"/>
      <c r="N245" s="607"/>
      <c r="O245" s="607"/>
      <c r="P245" s="607"/>
      <c r="Q245" s="607"/>
      <c r="R245" s="607"/>
      <c r="S245" s="607"/>
      <c r="T245" s="607"/>
      <c r="U245" s="607"/>
      <c r="V245" s="607"/>
      <c r="W245" s="607"/>
      <c r="X245" s="607"/>
      <c r="Y245" s="607"/>
      <c r="Z245" s="607"/>
      <c r="AA245" s="588"/>
      <c r="AB245" s="588"/>
      <c r="AC245" s="588"/>
    </row>
    <row r="246" spans="1:68" ht="16.5" customHeight="1" x14ac:dyDescent="0.25">
      <c r="A246" s="57" t="s">
        <v>401</v>
      </c>
      <c r="B246" s="57" t="s">
        <v>402</v>
      </c>
      <c r="C246" s="31">
        <v>4301020261</v>
      </c>
      <c r="D246" s="601">
        <v>4680115882935</v>
      </c>
      <c r="E246" s="602"/>
      <c r="F246" s="56">
        <v>1.35</v>
      </c>
      <c r="G246" s="32">
        <v>8</v>
      </c>
      <c r="H246" s="56">
        <v>10.8</v>
      </c>
      <c r="I246" s="56">
        <v>11.21</v>
      </c>
      <c r="J246" s="32">
        <v>64</v>
      </c>
      <c r="K246" s="32" t="s">
        <v>121</v>
      </c>
      <c r="L246" s="32"/>
      <c r="M246" s="33" t="s">
        <v>122</v>
      </c>
      <c r="N246" s="33"/>
      <c r="O246" s="32">
        <v>50</v>
      </c>
      <c r="P246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4"/>
      <c r="V246" s="34"/>
      <c r="W246" s="35" t="s">
        <v>68</v>
      </c>
      <c r="X246" s="53">
        <v>0</v>
      </c>
      <c r="Y246" s="50">
        <f>IFERROR(IF(X246="",0,CEILING((X246/$H246),1)*$H246),"")</f>
        <v>0</v>
      </c>
      <c r="Z246" s="36" t="str">
        <f>IFERROR(IF(Y246=0,"",ROUNDUP(Y246/H246,0)*0.01898),"")</f>
        <v/>
      </c>
      <c r="AA246" s="60"/>
      <c r="AB246" s="61"/>
      <c r="AC246" s="300" t="s">
        <v>403</v>
      </c>
      <c r="AG246" s="68"/>
      <c r="AJ246" s="71"/>
      <c r="AK246" s="71">
        <v>0</v>
      </c>
      <c r="BB246" s="301" t="s">
        <v>1</v>
      </c>
      <c r="BM246" s="68">
        <f>IFERROR(X246*I246/H246,"0")</f>
        <v>0</v>
      </c>
      <c r="BN246" s="68">
        <f>IFERROR(Y246*I246/H246,"0")</f>
        <v>0</v>
      </c>
      <c r="BO246" s="68">
        <f>IFERROR(1/J246*(X246/H246),"0")</f>
        <v>0</v>
      </c>
      <c r="BP246" s="68">
        <f>IFERROR(1/J246*(Y246/H246),"0")</f>
        <v>0</v>
      </c>
    </row>
    <row r="247" spans="1:68" ht="16.5" customHeight="1" x14ac:dyDescent="0.25">
      <c r="A247" s="57" t="s">
        <v>404</v>
      </c>
      <c r="B247" s="57" t="s">
        <v>405</v>
      </c>
      <c r="C247" s="31">
        <v>4301020220</v>
      </c>
      <c r="D247" s="601">
        <v>4680115880764</v>
      </c>
      <c r="E247" s="602"/>
      <c r="F247" s="56">
        <v>0.35</v>
      </c>
      <c r="G247" s="32">
        <v>6</v>
      </c>
      <c r="H247" s="56">
        <v>2.1</v>
      </c>
      <c r="I247" s="56">
        <v>2.2799999999999998</v>
      </c>
      <c r="J247" s="32">
        <v>182</v>
      </c>
      <c r="K247" s="32" t="s">
        <v>78</v>
      </c>
      <c r="L247" s="32"/>
      <c r="M247" s="33" t="s">
        <v>122</v>
      </c>
      <c r="N247" s="33"/>
      <c r="O247" s="32">
        <v>50</v>
      </c>
      <c r="P247" s="69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4"/>
      <c r="V247" s="34"/>
      <c r="W247" s="35" t="s">
        <v>68</v>
      </c>
      <c r="X247" s="53">
        <v>0</v>
      </c>
      <c r="Y247" s="50">
        <f>IFERROR(IF(X247="",0,CEILING((X247/$H247),1)*$H247),"")</f>
        <v>0</v>
      </c>
      <c r="Z247" s="36" t="str">
        <f>IFERROR(IF(Y247=0,"",ROUNDUP(Y247/H247,0)*0.00651),"")</f>
        <v/>
      </c>
      <c r="AA247" s="60"/>
      <c r="AB247" s="61"/>
      <c r="AC247" s="302" t="s">
        <v>403</v>
      </c>
      <c r="AG247" s="68"/>
      <c r="AJ247" s="71"/>
      <c r="AK247" s="71">
        <v>0</v>
      </c>
      <c r="BB247" s="303" t="s">
        <v>1</v>
      </c>
      <c r="BM247" s="68">
        <f>IFERROR(X247*I247/H247,"0")</f>
        <v>0</v>
      </c>
      <c r="BN247" s="68">
        <f>IFERROR(Y247*I247/H247,"0")</f>
        <v>0</v>
      </c>
      <c r="BO247" s="68">
        <f>IFERROR(1/J247*(X247/H247),"0")</f>
        <v>0</v>
      </c>
      <c r="BP247" s="68">
        <f>IFERROR(1/J247*(Y247/H247),"0")</f>
        <v>0</v>
      </c>
    </row>
    <row r="248" spans="1:68" x14ac:dyDescent="0.25">
      <c r="A248" s="612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13"/>
      <c r="P248" s="630" t="s">
        <v>73</v>
      </c>
      <c r="Q248" s="622"/>
      <c r="R248" s="622"/>
      <c r="S248" s="622"/>
      <c r="T248" s="622"/>
      <c r="U248" s="622"/>
      <c r="V248" s="623"/>
      <c r="W248" s="37" t="s">
        <v>74</v>
      </c>
      <c r="X248" s="38">
        <f>IFERROR(X246/H246,"0")+IFERROR(X247/H247,"0")</f>
        <v>0</v>
      </c>
      <c r="Y248" s="38">
        <f>IFERROR(Y246/H246,"0")+IFERROR(Y247/H247,"0")</f>
        <v>0</v>
      </c>
      <c r="Z248" s="38">
        <f>IFERROR(IF(Z246="",0,Z246),"0")+IFERROR(IF(Z247="",0,Z247),"0")</f>
        <v>0</v>
      </c>
      <c r="AA248" s="59"/>
      <c r="AB248" s="59"/>
      <c r="AC248" s="59"/>
    </row>
    <row r="249" spans="1:68" x14ac:dyDescent="0.25">
      <c r="A249" s="607"/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13"/>
      <c r="P249" s="630" t="s">
        <v>73</v>
      </c>
      <c r="Q249" s="622"/>
      <c r="R249" s="622"/>
      <c r="S249" s="622"/>
      <c r="T249" s="622"/>
      <c r="U249" s="622"/>
      <c r="V249" s="623"/>
      <c r="W249" s="37" t="s">
        <v>68</v>
      </c>
      <c r="X249" s="38">
        <f>IFERROR(SUM(X246:X247),"0")</f>
        <v>0</v>
      </c>
      <c r="Y249" s="38">
        <f>IFERROR(SUM(Y246:Y247),"0")</f>
        <v>0</v>
      </c>
      <c r="Z249" s="37"/>
      <c r="AA249" s="59"/>
      <c r="AB249" s="59"/>
      <c r="AC249" s="59"/>
    </row>
    <row r="250" spans="1:68" ht="14.25" customHeight="1" x14ac:dyDescent="0.25">
      <c r="A250" s="615" t="s">
        <v>63</v>
      </c>
      <c r="B250" s="607"/>
      <c r="C250" s="607"/>
      <c r="D250" s="607"/>
      <c r="E250" s="607"/>
      <c r="F250" s="607"/>
      <c r="G250" s="607"/>
      <c r="H250" s="607"/>
      <c r="I250" s="607"/>
      <c r="J250" s="607"/>
      <c r="K250" s="607"/>
      <c r="L250" s="607"/>
      <c r="M250" s="607"/>
      <c r="N250" s="607"/>
      <c r="O250" s="607"/>
      <c r="P250" s="607"/>
      <c r="Q250" s="607"/>
      <c r="R250" s="607"/>
      <c r="S250" s="607"/>
      <c r="T250" s="607"/>
      <c r="U250" s="607"/>
      <c r="V250" s="607"/>
      <c r="W250" s="607"/>
      <c r="X250" s="607"/>
      <c r="Y250" s="607"/>
      <c r="Z250" s="607"/>
      <c r="AA250" s="588"/>
      <c r="AB250" s="588"/>
      <c r="AC250" s="588"/>
    </row>
    <row r="251" spans="1:68" ht="27" customHeight="1" x14ac:dyDescent="0.25">
      <c r="A251" s="57" t="s">
        <v>406</v>
      </c>
      <c r="B251" s="57" t="s">
        <v>407</v>
      </c>
      <c r="C251" s="31">
        <v>4301031224</v>
      </c>
      <c r="D251" s="601">
        <v>4680115882683</v>
      </c>
      <c r="E251" s="602"/>
      <c r="F251" s="56">
        <v>0.9</v>
      </c>
      <c r="G251" s="32">
        <v>6</v>
      </c>
      <c r="H251" s="56">
        <v>5.4</v>
      </c>
      <c r="I251" s="56">
        <v>5.59</v>
      </c>
      <c r="J251" s="32">
        <v>132</v>
      </c>
      <c r="K251" s="32" t="s">
        <v>130</v>
      </c>
      <c r="L251" s="32"/>
      <c r="M251" s="33" t="s">
        <v>67</v>
      </c>
      <c r="N251" s="33"/>
      <c r="O251" s="32">
        <v>40</v>
      </c>
      <c r="P251" s="75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4"/>
      <c r="V251" s="34"/>
      <c r="W251" s="35" t="s">
        <v>68</v>
      </c>
      <c r="X251" s="53">
        <v>80</v>
      </c>
      <c r="Y251" s="50">
        <f t="shared" ref="Y251:Y258" si="32">IFERROR(IF(X251="",0,CEILING((X251/$H251),1)*$H251),"")</f>
        <v>81</v>
      </c>
      <c r="Z251" s="36">
        <f>IFERROR(IF(Y251=0,"",ROUNDUP(Y251/H251,0)*0.00902),"")</f>
        <v>0.1353</v>
      </c>
      <c r="AA251" s="60"/>
      <c r="AB251" s="61"/>
      <c r="AC251" s="304" t="s">
        <v>408</v>
      </c>
      <c r="AG251" s="68"/>
      <c r="AJ251" s="71"/>
      <c r="AK251" s="71">
        <v>0</v>
      </c>
      <c r="BB251" s="305" t="s">
        <v>1</v>
      </c>
      <c r="BM251" s="68">
        <f t="shared" ref="BM251:BM258" si="33">IFERROR(X251*I251/H251,"0")</f>
        <v>82.81481481481481</v>
      </c>
      <c r="BN251" s="68">
        <f t="shared" ref="BN251:BN258" si="34">IFERROR(Y251*I251/H251,"0")</f>
        <v>83.85</v>
      </c>
      <c r="BO251" s="68">
        <f t="shared" ref="BO251:BO258" si="35">IFERROR(1/J251*(X251/H251),"0")</f>
        <v>0.11223344556677889</v>
      </c>
      <c r="BP251" s="68">
        <f t="shared" ref="BP251:BP258" si="36">IFERROR(1/J251*(Y251/H251),"0")</f>
        <v>0.11363636363636363</v>
      </c>
    </row>
    <row r="252" spans="1:68" ht="27" customHeight="1" x14ac:dyDescent="0.25">
      <c r="A252" s="57" t="s">
        <v>409</v>
      </c>
      <c r="B252" s="57" t="s">
        <v>410</v>
      </c>
      <c r="C252" s="31">
        <v>4301031230</v>
      </c>
      <c r="D252" s="601">
        <v>4680115882690</v>
      </c>
      <c r="E252" s="602"/>
      <c r="F252" s="56">
        <v>0.9</v>
      </c>
      <c r="G252" s="32">
        <v>6</v>
      </c>
      <c r="H252" s="56">
        <v>5.4</v>
      </c>
      <c r="I252" s="56">
        <v>5.59</v>
      </c>
      <c r="J252" s="32">
        <v>132</v>
      </c>
      <c r="K252" s="32" t="s">
        <v>130</v>
      </c>
      <c r="L252" s="32"/>
      <c r="M252" s="33" t="s">
        <v>67</v>
      </c>
      <c r="N252" s="33"/>
      <c r="O252" s="32">
        <v>40</v>
      </c>
      <c r="P252" s="9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4"/>
      <c r="V252" s="34"/>
      <c r="W252" s="35" t="s">
        <v>68</v>
      </c>
      <c r="X252" s="53">
        <v>80</v>
      </c>
      <c r="Y252" s="50">
        <f t="shared" si="32"/>
        <v>81</v>
      </c>
      <c r="Z252" s="36">
        <f>IFERROR(IF(Y252=0,"",ROUNDUP(Y252/H252,0)*0.00902),"")</f>
        <v>0.1353</v>
      </c>
      <c r="AA252" s="60"/>
      <c r="AB252" s="61"/>
      <c r="AC252" s="306" t="s">
        <v>411</v>
      </c>
      <c r="AG252" s="68"/>
      <c r="AJ252" s="71"/>
      <c r="AK252" s="71">
        <v>0</v>
      </c>
      <c r="BB252" s="307" t="s">
        <v>1</v>
      </c>
      <c r="BM252" s="68">
        <f t="shared" si="33"/>
        <v>82.81481481481481</v>
      </c>
      <c r="BN252" s="68">
        <f t="shared" si="34"/>
        <v>83.85</v>
      </c>
      <c r="BO252" s="68">
        <f t="shared" si="35"/>
        <v>0.11223344556677889</v>
      </c>
      <c r="BP252" s="68">
        <f t="shared" si="36"/>
        <v>0.11363636363636363</v>
      </c>
    </row>
    <row r="253" spans="1:68" ht="27" customHeight="1" x14ac:dyDescent="0.25">
      <c r="A253" s="57" t="s">
        <v>412</v>
      </c>
      <c r="B253" s="57" t="s">
        <v>413</v>
      </c>
      <c r="C253" s="31">
        <v>4301031220</v>
      </c>
      <c r="D253" s="601">
        <v>4680115882669</v>
      </c>
      <c r="E253" s="602"/>
      <c r="F253" s="56">
        <v>0.9</v>
      </c>
      <c r="G253" s="32">
        <v>6</v>
      </c>
      <c r="H253" s="56">
        <v>5.4</v>
      </c>
      <c r="I253" s="56">
        <v>5.59</v>
      </c>
      <c r="J253" s="32">
        <v>132</v>
      </c>
      <c r="K253" s="32" t="s">
        <v>130</v>
      </c>
      <c r="L253" s="32"/>
      <c r="M253" s="33" t="s">
        <v>67</v>
      </c>
      <c r="N253" s="33"/>
      <c r="O253" s="32">
        <v>40</v>
      </c>
      <c r="P253" s="6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4"/>
      <c r="V253" s="34"/>
      <c r="W253" s="35" t="s">
        <v>68</v>
      </c>
      <c r="X253" s="53">
        <v>0</v>
      </c>
      <c r="Y253" s="50">
        <f t="shared" si="32"/>
        <v>0</v>
      </c>
      <c r="Z253" s="36" t="str">
        <f>IFERROR(IF(Y253=0,"",ROUNDUP(Y253/H253,0)*0.00902),"")</f>
        <v/>
      </c>
      <c r="AA253" s="60"/>
      <c r="AB253" s="61"/>
      <c r="AC253" s="308" t="s">
        <v>414</v>
      </c>
      <c r="AG253" s="68"/>
      <c r="AJ253" s="71"/>
      <c r="AK253" s="71">
        <v>0</v>
      </c>
      <c r="BB253" s="309" t="s">
        <v>1</v>
      </c>
      <c r="BM253" s="68">
        <f t="shared" si="33"/>
        <v>0</v>
      </c>
      <c r="BN253" s="68">
        <f t="shared" si="34"/>
        <v>0</v>
      </c>
      <c r="BO253" s="68">
        <f t="shared" si="35"/>
        <v>0</v>
      </c>
      <c r="BP253" s="68">
        <f t="shared" si="36"/>
        <v>0</v>
      </c>
    </row>
    <row r="254" spans="1:68" ht="27" customHeight="1" x14ac:dyDescent="0.25">
      <c r="A254" s="57" t="s">
        <v>415</v>
      </c>
      <c r="B254" s="57" t="s">
        <v>416</v>
      </c>
      <c r="C254" s="31">
        <v>4301031221</v>
      </c>
      <c r="D254" s="601">
        <v>4680115882676</v>
      </c>
      <c r="E254" s="602"/>
      <c r="F254" s="56">
        <v>0.9</v>
      </c>
      <c r="G254" s="32">
        <v>6</v>
      </c>
      <c r="H254" s="56">
        <v>5.4</v>
      </c>
      <c r="I254" s="56">
        <v>5.59</v>
      </c>
      <c r="J254" s="32">
        <v>132</v>
      </c>
      <c r="K254" s="32" t="s">
        <v>130</v>
      </c>
      <c r="L254" s="32"/>
      <c r="M254" s="33" t="s">
        <v>67</v>
      </c>
      <c r="N254" s="33"/>
      <c r="O254" s="32">
        <v>40</v>
      </c>
      <c r="P254" s="7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4"/>
      <c r="V254" s="34"/>
      <c r="W254" s="35" t="s">
        <v>68</v>
      </c>
      <c r="X254" s="53">
        <v>50</v>
      </c>
      <c r="Y254" s="50">
        <f t="shared" si="32"/>
        <v>54</v>
      </c>
      <c r="Z254" s="36">
        <f>IFERROR(IF(Y254=0,"",ROUNDUP(Y254/H254,0)*0.00902),"")</f>
        <v>9.0200000000000002E-2</v>
      </c>
      <c r="AA254" s="60"/>
      <c r="AB254" s="61"/>
      <c r="AC254" s="310" t="s">
        <v>417</v>
      </c>
      <c r="AG254" s="68"/>
      <c r="AJ254" s="71"/>
      <c r="AK254" s="71">
        <v>0</v>
      </c>
      <c r="BB254" s="311" t="s">
        <v>1</v>
      </c>
      <c r="BM254" s="68">
        <f t="shared" si="33"/>
        <v>51.759259259259252</v>
      </c>
      <c r="BN254" s="68">
        <f t="shared" si="34"/>
        <v>55.9</v>
      </c>
      <c r="BO254" s="68">
        <f t="shared" si="35"/>
        <v>7.0145903479236812E-2</v>
      </c>
      <c r="BP254" s="68">
        <f t="shared" si="36"/>
        <v>7.575757575757576E-2</v>
      </c>
    </row>
    <row r="255" spans="1:68" ht="27" customHeight="1" x14ac:dyDescent="0.25">
      <c r="A255" s="57" t="s">
        <v>418</v>
      </c>
      <c r="B255" s="57" t="s">
        <v>419</v>
      </c>
      <c r="C255" s="31">
        <v>4301031223</v>
      </c>
      <c r="D255" s="601">
        <v>4680115884014</v>
      </c>
      <c r="E255" s="602"/>
      <c r="F255" s="56">
        <v>0.3</v>
      </c>
      <c r="G255" s="32">
        <v>6</v>
      </c>
      <c r="H255" s="56">
        <v>1.8</v>
      </c>
      <c r="I255" s="56">
        <v>1.93</v>
      </c>
      <c r="J255" s="32">
        <v>234</v>
      </c>
      <c r="K255" s="32" t="s">
        <v>66</v>
      </c>
      <c r="L255" s="32"/>
      <c r="M255" s="33" t="s">
        <v>67</v>
      </c>
      <c r="N255" s="33"/>
      <c r="O255" s="32">
        <v>40</v>
      </c>
      <c r="P255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4"/>
      <c r="V255" s="34"/>
      <c r="W255" s="35" t="s">
        <v>68</v>
      </c>
      <c r="X255" s="53">
        <v>0</v>
      </c>
      <c r="Y255" s="50">
        <f t="shared" si="32"/>
        <v>0</v>
      </c>
      <c r="Z255" s="36" t="str">
        <f>IFERROR(IF(Y255=0,"",ROUNDUP(Y255/H255,0)*0.00502),"")</f>
        <v/>
      </c>
      <c r="AA255" s="60"/>
      <c r="AB255" s="61"/>
      <c r="AC255" s="312" t="s">
        <v>408</v>
      </c>
      <c r="AG255" s="68"/>
      <c r="AJ255" s="71"/>
      <c r="AK255" s="71">
        <v>0</v>
      </c>
      <c r="BB255" s="313" t="s">
        <v>1</v>
      </c>
      <c r="BM255" s="68">
        <f t="shared" si="33"/>
        <v>0</v>
      </c>
      <c r="BN255" s="68">
        <f t="shared" si="34"/>
        <v>0</v>
      </c>
      <c r="BO255" s="68">
        <f t="shared" si="35"/>
        <v>0</v>
      </c>
      <c r="BP255" s="68">
        <f t="shared" si="36"/>
        <v>0</v>
      </c>
    </row>
    <row r="256" spans="1:68" ht="27" customHeight="1" x14ac:dyDescent="0.25">
      <c r="A256" s="57" t="s">
        <v>420</v>
      </c>
      <c r="B256" s="57" t="s">
        <v>421</v>
      </c>
      <c r="C256" s="31">
        <v>4301031222</v>
      </c>
      <c r="D256" s="601">
        <v>4680115884007</v>
      </c>
      <c r="E256" s="602"/>
      <c r="F256" s="56">
        <v>0.3</v>
      </c>
      <c r="G256" s="32">
        <v>6</v>
      </c>
      <c r="H256" s="56">
        <v>1.8</v>
      </c>
      <c r="I256" s="56">
        <v>1.9</v>
      </c>
      <c r="J256" s="32">
        <v>234</v>
      </c>
      <c r="K256" s="32" t="s">
        <v>66</v>
      </c>
      <c r="L256" s="32"/>
      <c r="M256" s="33" t="s">
        <v>67</v>
      </c>
      <c r="N256" s="33"/>
      <c r="O256" s="32">
        <v>40</v>
      </c>
      <c r="P256" s="7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4"/>
      <c r="V256" s="34"/>
      <c r="W256" s="35" t="s">
        <v>68</v>
      </c>
      <c r="X256" s="53">
        <v>0</v>
      </c>
      <c r="Y256" s="50">
        <f t="shared" si="32"/>
        <v>0</v>
      </c>
      <c r="Z256" s="36" t="str">
        <f>IFERROR(IF(Y256=0,"",ROUNDUP(Y256/H256,0)*0.00502),"")</f>
        <v/>
      </c>
      <c r="AA256" s="60"/>
      <c r="AB256" s="61"/>
      <c r="AC256" s="314" t="s">
        <v>411</v>
      </c>
      <c r="AG256" s="68"/>
      <c r="AJ256" s="71"/>
      <c r="AK256" s="71">
        <v>0</v>
      </c>
      <c r="BB256" s="315" t="s">
        <v>1</v>
      </c>
      <c r="BM256" s="68">
        <f t="shared" si="33"/>
        <v>0</v>
      </c>
      <c r="BN256" s="68">
        <f t="shared" si="34"/>
        <v>0</v>
      </c>
      <c r="BO256" s="68">
        <f t="shared" si="35"/>
        <v>0</v>
      </c>
      <c r="BP256" s="68">
        <f t="shared" si="36"/>
        <v>0</v>
      </c>
    </row>
    <row r="257" spans="1:68" ht="27" customHeight="1" x14ac:dyDescent="0.25">
      <c r="A257" s="57" t="s">
        <v>422</v>
      </c>
      <c r="B257" s="57" t="s">
        <v>423</v>
      </c>
      <c r="C257" s="31">
        <v>4301031229</v>
      </c>
      <c r="D257" s="601">
        <v>4680115884038</v>
      </c>
      <c r="E257" s="602"/>
      <c r="F257" s="56">
        <v>0.3</v>
      </c>
      <c r="G257" s="32">
        <v>6</v>
      </c>
      <c r="H257" s="56">
        <v>1.8</v>
      </c>
      <c r="I257" s="56">
        <v>1.9</v>
      </c>
      <c r="J257" s="32">
        <v>234</v>
      </c>
      <c r="K257" s="32" t="s">
        <v>66</v>
      </c>
      <c r="L257" s="32"/>
      <c r="M257" s="33" t="s">
        <v>67</v>
      </c>
      <c r="N257" s="33"/>
      <c r="O257" s="32">
        <v>40</v>
      </c>
      <c r="P257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4"/>
      <c r="V257" s="34"/>
      <c r="W257" s="35" t="s">
        <v>68</v>
      </c>
      <c r="X257" s="53">
        <v>0</v>
      </c>
      <c r="Y257" s="50">
        <f t="shared" si="32"/>
        <v>0</v>
      </c>
      <c r="Z257" s="36" t="str">
        <f>IFERROR(IF(Y257=0,"",ROUNDUP(Y257/H257,0)*0.00502),"")</f>
        <v/>
      </c>
      <c r="AA257" s="60"/>
      <c r="AB257" s="61"/>
      <c r="AC257" s="316" t="s">
        <v>414</v>
      </c>
      <c r="AG257" s="68"/>
      <c r="AJ257" s="71"/>
      <c r="AK257" s="71">
        <v>0</v>
      </c>
      <c r="BB257" s="317" t="s">
        <v>1</v>
      </c>
      <c r="BM257" s="68">
        <f t="shared" si="33"/>
        <v>0</v>
      </c>
      <c r="BN257" s="68">
        <f t="shared" si="34"/>
        <v>0</v>
      </c>
      <c r="BO257" s="68">
        <f t="shared" si="35"/>
        <v>0</v>
      </c>
      <c r="BP257" s="68">
        <f t="shared" si="36"/>
        <v>0</v>
      </c>
    </row>
    <row r="258" spans="1:68" ht="27" customHeight="1" x14ac:dyDescent="0.25">
      <c r="A258" s="57" t="s">
        <v>424</v>
      </c>
      <c r="B258" s="57" t="s">
        <v>425</v>
      </c>
      <c r="C258" s="31">
        <v>4301031225</v>
      </c>
      <c r="D258" s="601">
        <v>4680115884021</v>
      </c>
      <c r="E258" s="602"/>
      <c r="F258" s="56">
        <v>0.3</v>
      </c>
      <c r="G258" s="32">
        <v>6</v>
      </c>
      <c r="H258" s="56">
        <v>1.8</v>
      </c>
      <c r="I258" s="56">
        <v>1.9</v>
      </c>
      <c r="J258" s="32">
        <v>234</v>
      </c>
      <c r="K258" s="32" t="s">
        <v>66</v>
      </c>
      <c r="L258" s="32"/>
      <c r="M258" s="33" t="s">
        <v>67</v>
      </c>
      <c r="N258" s="33"/>
      <c r="O258" s="32">
        <v>40</v>
      </c>
      <c r="P258" s="85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4"/>
      <c r="V258" s="34"/>
      <c r="W258" s="35" t="s">
        <v>68</v>
      </c>
      <c r="X258" s="53">
        <v>0</v>
      </c>
      <c r="Y258" s="50">
        <f t="shared" si="32"/>
        <v>0</v>
      </c>
      <c r="Z258" s="36" t="str">
        <f>IFERROR(IF(Y258=0,"",ROUNDUP(Y258/H258,0)*0.00502),"")</f>
        <v/>
      </c>
      <c r="AA258" s="60"/>
      <c r="AB258" s="61"/>
      <c r="AC258" s="318" t="s">
        <v>417</v>
      </c>
      <c r="AG258" s="68"/>
      <c r="AJ258" s="71"/>
      <c r="AK258" s="71">
        <v>0</v>
      </c>
      <c r="BB258" s="319" t="s">
        <v>1</v>
      </c>
      <c r="BM258" s="68">
        <f t="shared" si="33"/>
        <v>0</v>
      </c>
      <c r="BN258" s="68">
        <f t="shared" si="34"/>
        <v>0</v>
      </c>
      <c r="BO258" s="68">
        <f t="shared" si="35"/>
        <v>0</v>
      </c>
      <c r="BP258" s="68">
        <f t="shared" si="36"/>
        <v>0</v>
      </c>
    </row>
    <row r="259" spans="1:68" x14ac:dyDescent="0.25">
      <c r="A259" s="612"/>
      <c r="B259" s="607"/>
      <c r="C259" s="607"/>
      <c r="D259" s="607"/>
      <c r="E259" s="607"/>
      <c r="F259" s="607"/>
      <c r="G259" s="607"/>
      <c r="H259" s="607"/>
      <c r="I259" s="607"/>
      <c r="J259" s="607"/>
      <c r="K259" s="607"/>
      <c r="L259" s="607"/>
      <c r="M259" s="607"/>
      <c r="N259" s="607"/>
      <c r="O259" s="613"/>
      <c r="P259" s="630" t="s">
        <v>73</v>
      </c>
      <c r="Q259" s="622"/>
      <c r="R259" s="622"/>
      <c r="S259" s="622"/>
      <c r="T259" s="622"/>
      <c r="U259" s="622"/>
      <c r="V259" s="623"/>
      <c r="W259" s="37" t="s">
        <v>74</v>
      </c>
      <c r="X259" s="38">
        <f>IFERROR(X251/H251,"0")+IFERROR(X252/H252,"0")+IFERROR(X253/H253,"0")+IFERROR(X254/H254,"0")+IFERROR(X255/H255,"0")+IFERROR(X256/H256,"0")+IFERROR(X257/H257,"0")+IFERROR(X258/H258,"0")</f>
        <v>38.888888888888886</v>
      </c>
      <c r="Y259" s="38">
        <f>IFERROR(Y251/H251,"0")+IFERROR(Y252/H252,"0")+IFERROR(Y253/H253,"0")+IFERROR(Y254/H254,"0")+IFERROR(Y255/H255,"0")+IFERROR(Y256/H256,"0")+IFERROR(Y257/H257,"0")+IFERROR(Y258/H258,"0")</f>
        <v>40</v>
      </c>
      <c r="Z259" s="38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0.36080000000000001</v>
      </c>
      <c r="AA259" s="59"/>
      <c r="AB259" s="59"/>
      <c r="AC259" s="59"/>
    </row>
    <row r="260" spans="1:68" x14ac:dyDescent="0.25">
      <c r="A260" s="607"/>
      <c r="B260" s="607"/>
      <c r="C260" s="607"/>
      <c r="D260" s="607"/>
      <c r="E260" s="607"/>
      <c r="F260" s="607"/>
      <c r="G260" s="607"/>
      <c r="H260" s="607"/>
      <c r="I260" s="607"/>
      <c r="J260" s="607"/>
      <c r="K260" s="607"/>
      <c r="L260" s="607"/>
      <c r="M260" s="607"/>
      <c r="N260" s="607"/>
      <c r="O260" s="613"/>
      <c r="P260" s="630" t="s">
        <v>73</v>
      </c>
      <c r="Q260" s="622"/>
      <c r="R260" s="622"/>
      <c r="S260" s="622"/>
      <c r="T260" s="622"/>
      <c r="U260" s="622"/>
      <c r="V260" s="623"/>
      <c r="W260" s="37" t="s">
        <v>68</v>
      </c>
      <c r="X260" s="38">
        <f>IFERROR(SUM(X251:X258),"0")</f>
        <v>210</v>
      </c>
      <c r="Y260" s="38">
        <f>IFERROR(SUM(Y251:Y258),"0")</f>
        <v>216</v>
      </c>
      <c r="Z260" s="37"/>
      <c r="AA260" s="59"/>
      <c r="AB260" s="59"/>
      <c r="AC260" s="59"/>
    </row>
    <row r="261" spans="1:68" ht="14.25" customHeight="1" x14ac:dyDescent="0.25">
      <c r="A261" s="615" t="s">
        <v>75</v>
      </c>
      <c r="B261" s="607"/>
      <c r="C261" s="607"/>
      <c r="D261" s="607"/>
      <c r="E261" s="607"/>
      <c r="F261" s="607"/>
      <c r="G261" s="607"/>
      <c r="H261" s="607"/>
      <c r="I261" s="607"/>
      <c r="J261" s="607"/>
      <c r="K261" s="607"/>
      <c r="L261" s="607"/>
      <c r="M261" s="607"/>
      <c r="N261" s="607"/>
      <c r="O261" s="607"/>
      <c r="P261" s="607"/>
      <c r="Q261" s="607"/>
      <c r="R261" s="607"/>
      <c r="S261" s="607"/>
      <c r="T261" s="607"/>
      <c r="U261" s="607"/>
      <c r="V261" s="607"/>
      <c r="W261" s="607"/>
      <c r="X261" s="607"/>
      <c r="Y261" s="607"/>
      <c r="Z261" s="607"/>
      <c r="AA261" s="588"/>
      <c r="AB261" s="588"/>
      <c r="AC261" s="588"/>
    </row>
    <row r="262" spans="1:68" ht="37.5" customHeight="1" x14ac:dyDescent="0.25">
      <c r="A262" s="57" t="s">
        <v>426</v>
      </c>
      <c r="B262" s="57" t="s">
        <v>427</v>
      </c>
      <c r="C262" s="31">
        <v>4301051408</v>
      </c>
      <c r="D262" s="601">
        <v>4680115881594</v>
      </c>
      <c r="E262" s="602"/>
      <c r="F262" s="56">
        <v>1.35</v>
      </c>
      <c r="G262" s="32">
        <v>6</v>
      </c>
      <c r="H262" s="56">
        <v>8.1</v>
      </c>
      <c r="I262" s="56">
        <v>8.5939999999999994</v>
      </c>
      <c r="J262" s="32">
        <v>64</v>
      </c>
      <c r="K262" s="32" t="s">
        <v>121</v>
      </c>
      <c r="L262" s="32"/>
      <c r="M262" s="33" t="s">
        <v>79</v>
      </c>
      <c r="N262" s="33"/>
      <c r="O262" s="32">
        <v>40</v>
      </c>
      <c r="P262" s="6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4"/>
      <c r="V262" s="34"/>
      <c r="W262" s="35" t="s">
        <v>68</v>
      </c>
      <c r="X262" s="53">
        <v>0</v>
      </c>
      <c r="Y262" s="50">
        <f t="shared" ref="Y262:Y273" si="37">IFERROR(IF(X262="",0,CEILING((X262/$H262),1)*$H262),"")</f>
        <v>0</v>
      </c>
      <c r="Z262" s="36" t="str">
        <f>IFERROR(IF(Y262=0,"",ROUNDUP(Y262/H262,0)*0.01898),"")</f>
        <v/>
      </c>
      <c r="AA262" s="60"/>
      <c r="AB262" s="61"/>
      <c r="AC262" s="320" t="s">
        <v>428</v>
      </c>
      <c r="AG262" s="68"/>
      <c r="AJ262" s="71"/>
      <c r="AK262" s="71">
        <v>0</v>
      </c>
      <c r="BB262" s="321" t="s">
        <v>1</v>
      </c>
      <c r="BM262" s="68">
        <f t="shared" ref="BM262:BM273" si="38">IFERROR(X262*I262/H262,"0")</f>
        <v>0</v>
      </c>
      <c r="BN262" s="68">
        <f t="shared" ref="BN262:BN273" si="39">IFERROR(Y262*I262/H262,"0")</f>
        <v>0</v>
      </c>
      <c r="BO262" s="68">
        <f t="shared" ref="BO262:BO273" si="40">IFERROR(1/J262*(X262/H262),"0")</f>
        <v>0</v>
      </c>
      <c r="BP262" s="68">
        <f t="shared" ref="BP262:BP273" si="41">IFERROR(1/J262*(Y262/H262),"0")</f>
        <v>0</v>
      </c>
    </row>
    <row r="263" spans="1:68" ht="37.5" customHeight="1" x14ac:dyDescent="0.25">
      <c r="A263" s="57" t="s">
        <v>429</v>
      </c>
      <c r="B263" s="57" t="s">
        <v>430</v>
      </c>
      <c r="C263" s="31">
        <v>4301051411</v>
      </c>
      <c r="D263" s="601">
        <v>4680115881617</v>
      </c>
      <c r="E263" s="602"/>
      <c r="F263" s="56">
        <v>1.35</v>
      </c>
      <c r="G263" s="32">
        <v>6</v>
      </c>
      <c r="H263" s="56">
        <v>8.1</v>
      </c>
      <c r="I263" s="56">
        <v>8.5760000000000005</v>
      </c>
      <c r="J263" s="32">
        <v>64</v>
      </c>
      <c r="K263" s="32" t="s">
        <v>121</v>
      </c>
      <c r="L263" s="32"/>
      <c r="M263" s="33" t="s">
        <v>79</v>
      </c>
      <c r="N263" s="33"/>
      <c r="O263" s="32">
        <v>40</v>
      </c>
      <c r="P263" s="6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4"/>
      <c r="V263" s="34"/>
      <c r="W263" s="35" t="s">
        <v>68</v>
      </c>
      <c r="X263" s="53">
        <v>0</v>
      </c>
      <c r="Y263" s="50">
        <f t="shared" si="37"/>
        <v>0</v>
      </c>
      <c r="Z263" s="36" t="str">
        <f>IFERROR(IF(Y263=0,"",ROUNDUP(Y263/H263,0)*0.01898),"")</f>
        <v/>
      </c>
      <c r="AA263" s="60"/>
      <c r="AB263" s="61"/>
      <c r="AC263" s="322" t="s">
        <v>431</v>
      </c>
      <c r="AG263" s="68"/>
      <c r="AJ263" s="71"/>
      <c r="AK263" s="71">
        <v>0</v>
      </c>
      <c r="BB263" s="323" t="s">
        <v>1</v>
      </c>
      <c r="BM263" s="68">
        <f t="shared" si="38"/>
        <v>0</v>
      </c>
      <c r="BN263" s="68">
        <f t="shared" si="39"/>
        <v>0</v>
      </c>
      <c r="BO263" s="68">
        <f t="shared" si="40"/>
        <v>0</v>
      </c>
      <c r="BP263" s="68">
        <f t="shared" si="41"/>
        <v>0</v>
      </c>
    </row>
    <row r="264" spans="1:68" ht="27" customHeight="1" x14ac:dyDescent="0.25">
      <c r="A264" s="57" t="s">
        <v>432</v>
      </c>
      <c r="B264" s="57" t="s">
        <v>433</v>
      </c>
      <c r="C264" s="31">
        <v>4301051656</v>
      </c>
      <c r="D264" s="601">
        <v>4680115880573</v>
      </c>
      <c r="E264" s="602"/>
      <c r="F264" s="56">
        <v>1.45</v>
      </c>
      <c r="G264" s="32">
        <v>6</v>
      </c>
      <c r="H264" s="56">
        <v>8.6999999999999993</v>
      </c>
      <c r="I264" s="56">
        <v>9.1940000000000008</v>
      </c>
      <c r="J264" s="32">
        <v>64</v>
      </c>
      <c r="K264" s="32" t="s">
        <v>121</v>
      </c>
      <c r="L264" s="32"/>
      <c r="M264" s="33" t="s">
        <v>79</v>
      </c>
      <c r="N264" s="33"/>
      <c r="O264" s="32">
        <v>45</v>
      </c>
      <c r="P264" s="84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4"/>
      <c r="V264" s="34"/>
      <c r="W264" s="35" t="s">
        <v>68</v>
      </c>
      <c r="X264" s="53">
        <v>0</v>
      </c>
      <c r="Y264" s="50">
        <f t="shared" si="37"/>
        <v>0</v>
      </c>
      <c r="Z264" s="36" t="str">
        <f>IFERROR(IF(Y264=0,"",ROUNDUP(Y264/H264,0)*0.01898),"")</f>
        <v/>
      </c>
      <c r="AA264" s="60"/>
      <c r="AB264" s="61"/>
      <c r="AC264" s="324" t="s">
        <v>434</v>
      </c>
      <c r="AG264" s="68"/>
      <c r="AJ264" s="71"/>
      <c r="AK264" s="71">
        <v>0</v>
      </c>
      <c r="BB264" s="325" t="s">
        <v>1</v>
      </c>
      <c r="BM264" s="68">
        <f t="shared" si="38"/>
        <v>0</v>
      </c>
      <c r="BN264" s="68">
        <f t="shared" si="39"/>
        <v>0</v>
      </c>
      <c r="BO264" s="68">
        <f t="shared" si="40"/>
        <v>0</v>
      </c>
      <c r="BP264" s="68">
        <f t="shared" si="41"/>
        <v>0</v>
      </c>
    </row>
    <row r="265" spans="1:68" ht="37.5" customHeight="1" x14ac:dyDescent="0.25">
      <c r="A265" s="57" t="s">
        <v>435</v>
      </c>
      <c r="B265" s="57" t="s">
        <v>436</v>
      </c>
      <c r="C265" s="31">
        <v>4301051407</v>
      </c>
      <c r="D265" s="601">
        <v>4680115882195</v>
      </c>
      <c r="E265" s="602"/>
      <c r="F265" s="56">
        <v>0.4</v>
      </c>
      <c r="G265" s="32">
        <v>6</v>
      </c>
      <c r="H265" s="56">
        <v>2.4</v>
      </c>
      <c r="I265" s="56">
        <v>2.67</v>
      </c>
      <c r="J265" s="32">
        <v>182</v>
      </c>
      <c r="K265" s="32" t="s">
        <v>78</v>
      </c>
      <c r="L265" s="32"/>
      <c r="M265" s="33" t="s">
        <v>79</v>
      </c>
      <c r="N265" s="33"/>
      <c r="O265" s="32">
        <v>40</v>
      </c>
      <c r="P265" s="8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4"/>
      <c r="V265" s="34"/>
      <c r="W265" s="35" t="s">
        <v>68</v>
      </c>
      <c r="X265" s="53">
        <v>0</v>
      </c>
      <c r="Y265" s="50">
        <f t="shared" si="37"/>
        <v>0</v>
      </c>
      <c r="Z265" s="36" t="str">
        <f>IFERROR(IF(Y265=0,"",ROUNDUP(Y265/H265,0)*0.00651),"")</f>
        <v/>
      </c>
      <c r="AA265" s="60"/>
      <c r="AB265" s="61"/>
      <c r="AC265" s="326" t="s">
        <v>428</v>
      </c>
      <c r="AG265" s="68"/>
      <c r="AJ265" s="71"/>
      <c r="AK265" s="71">
        <v>0</v>
      </c>
      <c r="BB265" s="327" t="s">
        <v>1</v>
      </c>
      <c r="BM265" s="68">
        <f t="shared" si="38"/>
        <v>0</v>
      </c>
      <c r="BN265" s="68">
        <f t="shared" si="39"/>
        <v>0</v>
      </c>
      <c r="BO265" s="68">
        <f t="shared" si="40"/>
        <v>0</v>
      </c>
      <c r="BP265" s="68">
        <f t="shared" si="41"/>
        <v>0</v>
      </c>
    </row>
    <row r="266" spans="1:68" ht="27" customHeight="1" x14ac:dyDescent="0.25">
      <c r="A266" s="57" t="s">
        <v>437</v>
      </c>
      <c r="B266" s="57" t="s">
        <v>438</v>
      </c>
      <c r="C266" s="31">
        <v>4301051752</v>
      </c>
      <c r="D266" s="601">
        <v>4680115882607</v>
      </c>
      <c r="E266" s="602"/>
      <c r="F266" s="56">
        <v>0.3</v>
      </c>
      <c r="G266" s="32">
        <v>6</v>
      </c>
      <c r="H266" s="56">
        <v>1.8</v>
      </c>
      <c r="I266" s="56">
        <v>2.052</v>
      </c>
      <c r="J266" s="32">
        <v>182</v>
      </c>
      <c r="K266" s="32" t="s">
        <v>78</v>
      </c>
      <c r="L266" s="32"/>
      <c r="M266" s="33" t="s">
        <v>85</v>
      </c>
      <c r="N266" s="33"/>
      <c r="O266" s="32">
        <v>45</v>
      </c>
      <c r="P266" s="9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4"/>
      <c r="V266" s="34"/>
      <c r="W266" s="35" t="s">
        <v>68</v>
      </c>
      <c r="X266" s="53">
        <v>0</v>
      </c>
      <c r="Y266" s="50">
        <f t="shared" si="37"/>
        <v>0</v>
      </c>
      <c r="Z266" s="36" t="str">
        <f>IFERROR(IF(Y266=0,"",ROUNDUP(Y266/H266,0)*0.00651),"")</f>
        <v/>
      </c>
      <c r="AA266" s="60"/>
      <c r="AB266" s="61"/>
      <c r="AC266" s="328" t="s">
        <v>434</v>
      </c>
      <c r="AG266" s="68"/>
      <c r="AJ266" s="71"/>
      <c r="AK266" s="71">
        <v>0</v>
      </c>
      <c r="BB266" s="329" t="s">
        <v>1</v>
      </c>
      <c r="BM266" s="68">
        <f t="shared" si="38"/>
        <v>0</v>
      </c>
      <c r="BN266" s="68">
        <f t="shared" si="39"/>
        <v>0</v>
      </c>
      <c r="BO266" s="68">
        <f t="shared" si="40"/>
        <v>0</v>
      </c>
      <c r="BP266" s="68">
        <f t="shared" si="41"/>
        <v>0</v>
      </c>
    </row>
    <row r="267" spans="1:68" ht="27" customHeight="1" x14ac:dyDescent="0.25">
      <c r="A267" s="57" t="s">
        <v>439</v>
      </c>
      <c r="B267" s="57" t="s">
        <v>440</v>
      </c>
      <c r="C267" s="31">
        <v>4301052143</v>
      </c>
      <c r="D267" s="601">
        <v>4680115882607</v>
      </c>
      <c r="E267" s="602"/>
      <c r="F267" s="56">
        <v>0.3</v>
      </c>
      <c r="G267" s="32">
        <v>6</v>
      </c>
      <c r="H267" s="56">
        <v>1.8</v>
      </c>
      <c r="I267" s="56">
        <v>2.0619999999999998</v>
      </c>
      <c r="J267" s="32">
        <v>132</v>
      </c>
      <c r="K267" s="32" t="s">
        <v>130</v>
      </c>
      <c r="L267" s="32"/>
      <c r="M267" s="33" t="s">
        <v>79</v>
      </c>
      <c r="N267" s="33"/>
      <c r="O267" s="32">
        <v>45</v>
      </c>
      <c r="P267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4"/>
      <c r="V267" s="34"/>
      <c r="W267" s="35" t="s">
        <v>68</v>
      </c>
      <c r="X267" s="53">
        <v>0</v>
      </c>
      <c r="Y267" s="50">
        <f t="shared" si="37"/>
        <v>0</v>
      </c>
      <c r="Z267" s="36" t="str">
        <f>IFERROR(IF(Y267=0,"",ROUNDUP(Y267/H267,0)*0.00902),"")</f>
        <v/>
      </c>
      <c r="AA267" s="60"/>
      <c r="AB267" s="61"/>
      <c r="AC267" s="330" t="s">
        <v>441</v>
      </c>
      <c r="AG267" s="68"/>
      <c r="AJ267" s="71"/>
      <c r="AK267" s="71">
        <v>0</v>
      </c>
      <c r="BB267" s="331" t="s">
        <v>1</v>
      </c>
      <c r="BM267" s="68">
        <f t="shared" si="38"/>
        <v>0</v>
      </c>
      <c r="BN267" s="68">
        <f t="shared" si="39"/>
        <v>0</v>
      </c>
      <c r="BO267" s="68">
        <f t="shared" si="40"/>
        <v>0</v>
      </c>
      <c r="BP267" s="68">
        <f t="shared" si="41"/>
        <v>0</v>
      </c>
    </row>
    <row r="268" spans="1:68" ht="27" customHeight="1" x14ac:dyDescent="0.25">
      <c r="A268" s="57" t="s">
        <v>442</v>
      </c>
      <c r="B268" s="57" t="s">
        <v>443</v>
      </c>
      <c r="C268" s="31">
        <v>4301051666</v>
      </c>
      <c r="D268" s="601">
        <v>4680115880092</v>
      </c>
      <c r="E268" s="602"/>
      <c r="F268" s="56">
        <v>0.4</v>
      </c>
      <c r="G268" s="32">
        <v>6</v>
      </c>
      <c r="H268" s="56">
        <v>2.4</v>
      </c>
      <c r="I268" s="56">
        <v>2.6520000000000001</v>
      </c>
      <c r="J268" s="32">
        <v>182</v>
      </c>
      <c r="K268" s="32" t="s">
        <v>78</v>
      </c>
      <c r="L268" s="32"/>
      <c r="M268" s="33" t="s">
        <v>79</v>
      </c>
      <c r="N268" s="33"/>
      <c r="O268" s="32">
        <v>45</v>
      </c>
      <c r="P268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4"/>
      <c r="V268" s="34"/>
      <c r="W268" s="35" t="s">
        <v>68</v>
      </c>
      <c r="X268" s="53">
        <v>156</v>
      </c>
      <c r="Y268" s="50">
        <f t="shared" si="37"/>
        <v>156</v>
      </c>
      <c r="Z268" s="36">
        <f>IFERROR(IF(Y268=0,"",ROUNDUP(Y268/H268,0)*0.00651),"")</f>
        <v>0.42315000000000003</v>
      </c>
      <c r="AA268" s="60"/>
      <c r="AB268" s="61"/>
      <c r="AC268" s="332" t="s">
        <v>434</v>
      </c>
      <c r="AG268" s="68"/>
      <c r="AJ268" s="71"/>
      <c r="AK268" s="71">
        <v>0</v>
      </c>
      <c r="BB268" s="333" t="s">
        <v>1</v>
      </c>
      <c r="BM268" s="68">
        <f t="shared" si="38"/>
        <v>172.38000000000002</v>
      </c>
      <c r="BN268" s="68">
        <f t="shared" si="39"/>
        <v>172.38000000000002</v>
      </c>
      <c r="BO268" s="68">
        <f t="shared" si="40"/>
        <v>0.35714285714285715</v>
      </c>
      <c r="BP268" s="68">
        <f t="shared" si="41"/>
        <v>0.35714285714285715</v>
      </c>
    </row>
    <row r="269" spans="1:68" ht="27" customHeight="1" x14ac:dyDescent="0.25">
      <c r="A269" s="57" t="s">
        <v>444</v>
      </c>
      <c r="B269" s="57" t="s">
        <v>445</v>
      </c>
      <c r="C269" s="31">
        <v>4301052214</v>
      </c>
      <c r="D269" s="601">
        <v>4680115889064</v>
      </c>
      <c r="E269" s="602"/>
      <c r="F269" s="56">
        <v>0.7</v>
      </c>
      <c r="G269" s="32">
        <v>6</v>
      </c>
      <c r="H269" s="56">
        <v>4.2</v>
      </c>
      <c r="I269" s="56">
        <v>4.6159999999999997</v>
      </c>
      <c r="J269" s="32">
        <v>104</v>
      </c>
      <c r="K269" s="32" t="s">
        <v>121</v>
      </c>
      <c r="L269" s="32"/>
      <c r="M269" s="33" t="s">
        <v>79</v>
      </c>
      <c r="N269" s="33"/>
      <c r="O269" s="32">
        <v>45</v>
      </c>
      <c r="P269" s="7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4"/>
      <c r="V269" s="34"/>
      <c r="W269" s="35" t="s">
        <v>68</v>
      </c>
      <c r="X269" s="53">
        <v>0</v>
      </c>
      <c r="Y269" s="50">
        <f t="shared" si="37"/>
        <v>0</v>
      </c>
      <c r="Z269" s="36" t="str">
        <f>IFERROR(IF(Y269=0,"",ROUNDUP(Y269/H269,0)*0.01196),"")</f>
        <v/>
      </c>
      <c r="AA269" s="60"/>
      <c r="AB269" s="61"/>
      <c r="AC269" s="334" t="s">
        <v>441</v>
      </c>
      <c r="AG269" s="68"/>
      <c r="AJ269" s="71"/>
      <c r="AK269" s="71">
        <v>0</v>
      </c>
      <c r="BB269" s="335" t="s">
        <v>1</v>
      </c>
      <c r="BM269" s="68">
        <f t="shared" si="38"/>
        <v>0</v>
      </c>
      <c r="BN269" s="68">
        <f t="shared" si="39"/>
        <v>0</v>
      </c>
      <c r="BO269" s="68">
        <f t="shared" si="40"/>
        <v>0</v>
      </c>
      <c r="BP269" s="68">
        <f t="shared" si="41"/>
        <v>0</v>
      </c>
    </row>
    <row r="270" spans="1:68" ht="27" customHeight="1" x14ac:dyDescent="0.25">
      <c r="A270" s="57" t="s">
        <v>446</v>
      </c>
      <c r="B270" s="57" t="s">
        <v>447</v>
      </c>
      <c r="C270" s="31">
        <v>4301051668</v>
      </c>
      <c r="D270" s="601">
        <v>4680115880221</v>
      </c>
      <c r="E270" s="602"/>
      <c r="F270" s="56">
        <v>0.4</v>
      </c>
      <c r="G270" s="32">
        <v>6</v>
      </c>
      <c r="H270" s="56">
        <v>2.4</v>
      </c>
      <c r="I270" s="56">
        <v>2.6520000000000001</v>
      </c>
      <c r="J270" s="32">
        <v>182</v>
      </c>
      <c r="K270" s="32" t="s">
        <v>78</v>
      </c>
      <c r="L270" s="32"/>
      <c r="M270" s="33" t="s">
        <v>79</v>
      </c>
      <c r="N270" s="33"/>
      <c r="O270" s="32">
        <v>45</v>
      </c>
      <c r="P270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4"/>
      <c r="V270" s="34"/>
      <c r="W270" s="35" t="s">
        <v>68</v>
      </c>
      <c r="X270" s="53">
        <v>0</v>
      </c>
      <c r="Y270" s="50">
        <f t="shared" si="37"/>
        <v>0</v>
      </c>
      <c r="Z270" s="36" t="str">
        <f>IFERROR(IF(Y270=0,"",ROUNDUP(Y270/H270,0)*0.00651),"")</f>
        <v/>
      </c>
      <c r="AA270" s="60"/>
      <c r="AB270" s="61"/>
      <c r="AC270" s="336" t="s">
        <v>434</v>
      </c>
      <c r="AG270" s="68"/>
      <c r="AJ270" s="71"/>
      <c r="AK270" s="71">
        <v>0</v>
      </c>
      <c r="BB270" s="337" t="s">
        <v>1</v>
      </c>
      <c r="BM270" s="68">
        <f t="shared" si="38"/>
        <v>0</v>
      </c>
      <c r="BN270" s="68">
        <f t="shared" si="39"/>
        <v>0</v>
      </c>
      <c r="BO270" s="68">
        <f t="shared" si="40"/>
        <v>0</v>
      </c>
      <c r="BP270" s="68">
        <f t="shared" si="41"/>
        <v>0</v>
      </c>
    </row>
    <row r="271" spans="1:68" ht="27" customHeight="1" x14ac:dyDescent="0.25">
      <c r="A271" s="57" t="s">
        <v>448</v>
      </c>
      <c r="B271" s="57" t="s">
        <v>449</v>
      </c>
      <c r="C271" s="31">
        <v>4301051945</v>
      </c>
      <c r="D271" s="601">
        <v>4680115880504</v>
      </c>
      <c r="E271" s="602"/>
      <c r="F271" s="56">
        <v>0.4</v>
      </c>
      <c r="G271" s="32">
        <v>6</v>
      </c>
      <c r="H271" s="56">
        <v>2.4</v>
      </c>
      <c r="I271" s="56">
        <v>2.6520000000000001</v>
      </c>
      <c r="J271" s="32">
        <v>182</v>
      </c>
      <c r="K271" s="32" t="s">
        <v>78</v>
      </c>
      <c r="L271" s="32"/>
      <c r="M271" s="33" t="s">
        <v>85</v>
      </c>
      <c r="N271" s="33"/>
      <c r="O271" s="32">
        <v>40</v>
      </c>
      <c r="P271" s="89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4"/>
      <c r="V271" s="34"/>
      <c r="W271" s="35" t="s">
        <v>68</v>
      </c>
      <c r="X271" s="53">
        <v>0</v>
      </c>
      <c r="Y271" s="50">
        <f t="shared" si="37"/>
        <v>0</v>
      </c>
      <c r="Z271" s="36" t="str">
        <f>IFERROR(IF(Y271=0,"",ROUNDUP(Y271/H271,0)*0.00651),"")</f>
        <v/>
      </c>
      <c r="AA271" s="60"/>
      <c r="AB271" s="61"/>
      <c r="AC271" s="338" t="s">
        <v>450</v>
      </c>
      <c r="AG271" s="68"/>
      <c r="AJ271" s="71"/>
      <c r="AK271" s="71">
        <v>0</v>
      </c>
      <c r="BB271" s="339" t="s">
        <v>1</v>
      </c>
      <c r="BM271" s="68">
        <f t="shared" si="38"/>
        <v>0</v>
      </c>
      <c r="BN271" s="68">
        <f t="shared" si="39"/>
        <v>0</v>
      </c>
      <c r="BO271" s="68">
        <f t="shared" si="40"/>
        <v>0</v>
      </c>
      <c r="BP271" s="68">
        <f t="shared" si="41"/>
        <v>0</v>
      </c>
    </row>
    <row r="272" spans="1:68" ht="27" customHeight="1" x14ac:dyDescent="0.25">
      <c r="A272" s="57" t="s">
        <v>451</v>
      </c>
      <c r="B272" s="57" t="s">
        <v>452</v>
      </c>
      <c r="C272" s="31">
        <v>4301051410</v>
      </c>
      <c r="D272" s="601">
        <v>4680115882164</v>
      </c>
      <c r="E272" s="602"/>
      <c r="F272" s="56">
        <v>0.4</v>
      </c>
      <c r="G272" s="32">
        <v>6</v>
      </c>
      <c r="H272" s="56">
        <v>2.4</v>
      </c>
      <c r="I272" s="56">
        <v>2.6579999999999999</v>
      </c>
      <c r="J272" s="32">
        <v>182</v>
      </c>
      <c r="K272" s="32" t="s">
        <v>78</v>
      </c>
      <c r="L272" s="32"/>
      <c r="M272" s="33" t="s">
        <v>79</v>
      </c>
      <c r="N272" s="33"/>
      <c r="O272" s="32">
        <v>40</v>
      </c>
      <c r="P272" s="81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4"/>
      <c r="V272" s="34"/>
      <c r="W272" s="35" t="s">
        <v>68</v>
      </c>
      <c r="X272" s="53">
        <v>0</v>
      </c>
      <c r="Y272" s="50">
        <f t="shared" si="37"/>
        <v>0</v>
      </c>
      <c r="Z272" s="36" t="str">
        <f>IFERROR(IF(Y272=0,"",ROUNDUP(Y272/H272,0)*0.00651),"")</f>
        <v/>
      </c>
      <c r="AA272" s="60"/>
      <c r="AB272" s="61"/>
      <c r="AC272" s="340" t="s">
        <v>453</v>
      </c>
      <c r="AG272" s="68"/>
      <c r="AJ272" s="71"/>
      <c r="AK272" s="71">
        <v>0</v>
      </c>
      <c r="BB272" s="341" t="s">
        <v>1</v>
      </c>
      <c r="BM272" s="68">
        <f t="shared" si="38"/>
        <v>0</v>
      </c>
      <c r="BN272" s="68">
        <f t="shared" si="39"/>
        <v>0</v>
      </c>
      <c r="BO272" s="68">
        <f t="shared" si="40"/>
        <v>0</v>
      </c>
      <c r="BP272" s="68">
        <f t="shared" si="41"/>
        <v>0</v>
      </c>
    </row>
    <row r="273" spans="1:68" ht="27" customHeight="1" x14ac:dyDescent="0.25">
      <c r="A273" s="57" t="s">
        <v>454</v>
      </c>
      <c r="B273" s="57" t="s">
        <v>455</v>
      </c>
      <c r="C273" s="31">
        <v>4301052180</v>
      </c>
      <c r="D273" s="601">
        <v>4680115888340</v>
      </c>
      <c r="E273" s="602"/>
      <c r="F273" s="56">
        <v>0.4</v>
      </c>
      <c r="G273" s="32">
        <v>6</v>
      </c>
      <c r="H273" s="56">
        <v>2.4</v>
      </c>
      <c r="I273" s="56">
        <v>2.6520000000000001</v>
      </c>
      <c r="J273" s="32">
        <v>182</v>
      </c>
      <c r="K273" s="32" t="s">
        <v>78</v>
      </c>
      <c r="L273" s="32"/>
      <c r="M273" s="33" t="s">
        <v>79</v>
      </c>
      <c r="N273" s="33"/>
      <c r="O273" s="32">
        <v>45</v>
      </c>
      <c r="P273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4"/>
      <c r="V273" s="34"/>
      <c r="W273" s="35" t="s">
        <v>68</v>
      </c>
      <c r="X273" s="53">
        <v>0</v>
      </c>
      <c r="Y273" s="50">
        <f t="shared" si="37"/>
        <v>0</v>
      </c>
      <c r="Z273" s="36" t="str">
        <f>IFERROR(IF(Y273=0,"",ROUNDUP(Y273/H273,0)*0.00651),"")</f>
        <v/>
      </c>
      <c r="AA273" s="60"/>
      <c r="AB273" s="61"/>
      <c r="AC273" s="342" t="s">
        <v>456</v>
      </c>
      <c r="AG273" s="68"/>
      <c r="AJ273" s="71"/>
      <c r="AK273" s="71">
        <v>0</v>
      </c>
      <c r="BB273" s="343" t="s">
        <v>1</v>
      </c>
      <c r="BM273" s="68">
        <f t="shared" si="38"/>
        <v>0</v>
      </c>
      <c r="BN273" s="68">
        <f t="shared" si="39"/>
        <v>0</v>
      </c>
      <c r="BO273" s="68">
        <f t="shared" si="40"/>
        <v>0</v>
      </c>
      <c r="BP273" s="68">
        <f t="shared" si="41"/>
        <v>0</v>
      </c>
    </row>
    <row r="274" spans="1:68" x14ac:dyDescent="0.25">
      <c r="A274" s="612"/>
      <c r="B274" s="607"/>
      <c r="C274" s="607"/>
      <c r="D274" s="607"/>
      <c r="E274" s="607"/>
      <c r="F274" s="607"/>
      <c r="G274" s="607"/>
      <c r="H274" s="607"/>
      <c r="I274" s="607"/>
      <c r="J274" s="607"/>
      <c r="K274" s="607"/>
      <c r="L274" s="607"/>
      <c r="M274" s="607"/>
      <c r="N274" s="607"/>
      <c r="O274" s="613"/>
      <c r="P274" s="630" t="s">
        <v>73</v>
      </c>
      <c r="Q274" s="622"/>
      <c r="R274" s="622"/>
      <c r="S274" s="622"/>
      <c r="T274" s="622"/>
      <c r="U274" s="622"/>
      <c r="V274" s="623"/>
      <c r="W274" s="37" t="s">
        <v>74</v>
      </c>
      <c r="X274" s="38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65</v>
      </c>
      <c r="Y274" s="38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65</v>
      </c>
      <c r="Z274" s="38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0.42315000000000003</v>
      </c>
      <c r="AA274" s="59"/>
      <c r="AB274" s="59"/>
      <c r="AC274" s="59"/>
    </row>
    <row r="275" spans="1:68" x14ac:dyDescent="0.25">
      <c r="A275" s="607"/>
      <c r="B275" s="607"/>
      <c r="C275" s="607"/>
      <c r="D275" s="607"/>
      <c r="E275" s="607"/>
      <c r="F275" s="607"/>
      <c r="G275" s="607"/>
      <c r="H275" s="607"/>
      <c r="I275" s="607"/>
      <c r="J275" s="607"/>
      <c r="K275" s="607"/>
      <c r="L275" s="607"/>
      <c r="M275" s="607"/>
      <c r="N275" s="607"/>
      <c r="O275" s="613"/>
      <c r="P275" s="630" t="s">
        <v>73</v>
      </c>
      <c r="Q275" s="622"/>
      <c r="R275" s="622"/>
      <c r="S275" s="622"/>
      <c r="T275" s="622"/>
      <c r="U275" s="622"/>
      <c r="V275" s="623"/>
      <c r="W275" s="37" t="s">
        <v>68</v>
      </c>
      <c r="X275" s="38">
        <f>IFERROR(SUM(X262:X273),"0")</f>
        <v>156</v>
      </c>
      <c r="Y275" s="38">
        <f>IFERROR(SUM(Y262:Y273),"0")</f>
        <v>156</v>
      </c>
      <c r="Z275" s="37"/>
      <c r="AA275" s="59"/>
      <c r="AB275" s="59"/>
      <c r="AC275" s="59"/>
    </row>
    <row r="276" spans="1:68" ht="14.25" customHeight="1" x14ac:dyDescent="0.25">
      <c r="A276" s="615" t="s">
        <v>170</v>
      </c>
      <c r="B276" s="607"/>
      <c r="C276" s="607"/>
      <c r="D276" s="607"/>
      <c r="E276" s="607"/>
      <c r="F276" s="607"/>
      <c r="G276" s="607"/>
      <c r="H276" s="607"/>
      <c r="I276" s="607"/>
      <c r="J276" s="607"/>
      <c r="K276" s="607"/>
      <c r="L276" s="607"/>
      <c r="M276" s="607"/>
      <c r="N276" s="607"/>
      <c r="O276" s="607"/>
      <c r="P276" s="607"/>
      <c r="Q276" s="607"/>
      <c r="R276" s="607"/>
      <c r="S276" s="607"/>
      <c r="T276" s="607"/>
      <c r="U276" s="607"/>
      <c r="V276" s="607"/>
      <c r="W276" s="607"/>
      <c r="X276" s="607"/>
      <c r="Y276" s="607"/>
      <c r="Z276" s="607"/>
      <c r="AA276" s="588"/>
      <c r="AB276" s="588"/>
      <c r="AC276" s="588"/>
    </row>
    <row r="277" spans="1:68" ht="27" customHeight="1" x14ac:dyDescent="0.25">
      <c r="A277" s="57" t="s">
        <v>457</v>
      </c>
      <c r="B277" s="57" t="s">
        <v>458</v>
      </c>
      <c r="C277" s="31">
        <v>4301060463</v>
      </c>
      <c r="D277" s="601">
        <v>4680115880818</v>
      </c>
      <c r="E277" s="602"/>
      <c r="F277" s="56">
        <v>0.4</v>
      </c>
      <c r="G277" s="32">
        <v>6</v>
      </c>
      <c r="H277" s="56">
        <v>2.4</v>
      </c>
      <c r="I277" s="56">
        <v>2.6520000000000001</v>
      </c>
      <c r="J277" s="32">
        <v>182</v>
      </c>
      <c r="K277" s="32" t="s">
        <v>78</v>
      </c>
      <c r="L277" s="32"/>
      <c r="M277" s="33" t="s">
        <v>85</v>
      </c>
      <c r="N277" s="33"/>
      <c r="O277" s="32">
        <v>40</v>
      </c>
      <c r="P277" s="82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4"/>
      <c r="V277" s="34"/>
      <c r="W277" s="35" t="s">
        <v>68</v>
      </c>
      <c r="X277" s="53">
        <v>0</v>
      </c>
      <c r="Y277" s="50">
        <f>IFERROR(IF(X277="",0,CEILING((X277/$H277),1)*$H277),"")</f>
        <v>0</v>
      </c>
      <c r="Z277" s="36" t="str">
        <f>IFERROR(IF(Y277=0,"",ROUNDUP(Y277/H277,0)*0.00651),"")</f>
        <v/>
      </c>
      <c r="AA277" s="60"/>
      <c r="AB277" s="61"/>
      <c r="AC277" s="344" t="s">
        <v>459</v>
      </c>
      <c r="AG277" s="68"/>
      <c r="AJ277" s="71"/>
      <c r="AK277" s="71">
        <v>0</v>
      </c>
      <c r="BB277" s="345" t="s">
        <v>1</v>
      </c>
      <c r="BM277" s="68">
        <f>IFERROR(X277*I277/H277,"0")</f>
        <v>0</v>
      </c>
      <c r="BN277" s="68">
        <f>IFERROR(Y277*I277/H277,"0")</f>
        <v>0</v>
      </c>
      <c r="BO277" s="68">
        <f>IFERROR(1/J277*(X277/H277),"0")</f>
        <v>0</v>
      </c>
      <c r="BP277" s="68">
        <f>IFERROR(1/J277*(Y277/H277),"0")</f>
        <v>0</v>
      </c>
    </row>
    <row r="278" spans="1:68" ht="37.5" customHeight="1" x14ac:dyDescent="0.25">
      <c r="A278" s="57" t="s">
        <v>460</v>
      </c>
      <c r="B278" s="57" t="s">
        <v>461</v>
      </c>
      <c r="C278" s="31">
        <v>4301060389</v>
      </c>
      <c r="D278" s="601">
        <v>4680115880801</v>
      </c>
      <c r="E278" s="602"/>
      <c r="F278" s="56">
        <v>0.4</v>
      </c>
      <c r="G278" s="32">
        <v>6</v>
      </c>
      <c r="H278" s="56">
        <v>2.4</v>
      </c>
      <c r="I278" s="56">
        <v>2.6520000000000001</v>
      </c>
      <c r="J278" s="32">
        <v>182</v>
      </c>
      <c r="K278" s="32" t="s">
        <v>78</v>
      </c>
      <c r="L278" s="32"/>
      <c r="M278" s="33" t="s">
        <v>79</v>
      </c>
      <c r="N278" s="33"/>
      <c r="O278" s="32">
        <v>40</v>
      </c>
      <c r="P278" s="7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4"/>
      <c r="V278" s="34"/>
      <c r="W278" s="35" t="s">
        <v>68</v>
      </c>
      <c r="X278" s="53">
        <v>0</v>
      </c>
      <c r="Y278" s="50">
        <f>IFERROR(IF(X278="",0,CEILING((X278/$H278),1)*$H278),"")</f>
        <v>0</v>
      </c>
      <c r="Z278" s="36" t="str">
        <f>IFERROR(IF(Y278=0,"",ROUNDUP(Y278/H278,0)*0.00651),"")</f>
        <v/>
      </c>
      <c r="AA278" s="60"/>
      <c r="AB278" s="61"/>
      <c r="AC278" s="346" t="s">
        <v>462</v>
      </c>
      <c r="AG278" s="68"/>
      <c r="AJ278" s="71"/>
      <c r="AK278" s="71">
        <v>0</v>
      </c>
      <c r="BB278" s="347" t="s">
        <v>1</v>
      </c>
      <c r="BM278" s="68">
        <f>IFERROR(X278*I278/H278,"0")</f>
        <v>0</v>
      </c>
      <c r="BN278" s="68">
        <f>IFERROR(Y278*I278/H278,"0")</f>
        <v>0</v>
      </c>
      <c r="BO278" s="68">
        <f>IFERROR(1/J278*(X278/H278),"0")</f>
        <v>0</v>
      </c>
      <c r="BP278" s="68">
        <f>IFERROR(1/J278*(Y278/H278),"0")</f>
        <v>0</v>
      </c>
    </row>
    <row r="279" spans="1:68" x14ac:dyDescent="0.25">
      <c r="A279" s="612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13"/>
      <c r="P279" s="630" t="s">
        <v>73</v>
      </c>
      <c r="Q279" s="622"/>
      <c r="R279" s="622"/>
      <c r="S279" s="622"/>
      <c r="T279" s="622"/>
      <c r="U279" s="622"/>
      <c r="V279" s="623"/>
      <c r="W279" s="37" t="s">
        <v>74</v>
      </c>
      <c r="X279" s="38">
        <f>IFERROR(X277/H277,"0")+IFERROR(X278/H278,"0")</f>
        <v>0</v>
      </c>
      <c r="Y279" s="38">
        <f>IFERROR(Y277/H277,"0")+IFERROR(Y278/H278,"0")</f>
        <v>0</v>
      </c>
      <c r="Z279" s="38">
        <f>IFERROR(IF(Z277="",0,Z277),"0")+IFERROR(IF(Z278="",0,Z278),"0")</f>
        <v>0</v>
      </c>
      <c r="AA279" s="59"/>
      <c r="AB279" s="59"/>
      <c r="AC279" s="59"/>
    </row>
    <row r="280" spans="1:68" x14ac:dyDescent="0.25">
      <c r="A280" s="607"/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13"/>
      <c r="P280" s="630" t="s">
        <v>73</v>
      </c>
      <c r="Q280" s="622"/>
      <c r="R280" s="622"/>
      <c r="S280" s="622"/>
      <c r="T280" s="622"/>
      <c r="U280" s="622"/>
      <c r="V280" s="623"/>
      <c r="W280" s="37" t="s">
        <v>68</v>
      </c>
      <c r="X280" s="38">
        <f>IFERROR(SUM(X277:X278),"0")</f>
        <v>0</v>
      </c>
      <c r="Y280" s="38">
        <f>IFERROR(SUM(Y277:Y278),"0")</f>
        <v>0</v>
      </c>
      <c r="Z280" s="37"/>
      <c r="AA280" s="59"/>
      <c r="AB280" s="59"/>
      <c r="AC280" s="59"/>
    </row>
    <row r="281" spans="1:68" ht="16.5" customHeight="1" x14ac:dyDescent="0.25">
      <c r="A281" s="606" t="s">
        <v>463</v>
      </c>
      <c r="B281" s="607"/>
      <c r="C281" s="607"/>
      <c r="D281" s="607"/>
      <c r="E281" s="607"/>
      <c r="F281" s="607"/>
      <c r="G281" s="607"/>
      <c r="H281" s="607"/>
      <c r="I281" s="607"/>
      <c r="J281" s="607"/>
      <c r="K281" s="607"/>
      <c r="L281" s="607"/>
      <c r="M281" s="607"/>
      <c r="N281" s="607"/>
      <c r="O281" s="607"/>
      <c r="P281" s="607"/>
      <c r="Q281" s="607"/>
      <c r="R281" s="607"/>
      <c r="S281" s="607"/>
      <c r="T281" s="607"/>
      <c r="U281" s="607"/>
      <c r="V281" s="607"/>
      <c r="W281" s="607"/>
      <c r="X281" s="607"/>
      <c r="Y281" s="607"/>
      <c r="Z281" s="607"/>
      <c r="AA281" s="592"/>
      <c r="AB281" s="592"/>
      <c r="AC281" s="592"/>
    </row>
    <row r="282" spans="1:68" ht="14.25" customHeight="1" x14ac:dyDescent="0.25">
      <c r="A282" s="615" t="s">
        <v>118</v>
      </c>
      <c r="B282" s="607"/>
      <c r="C282" s="607"/>
      <c r="D282" s="607"/>
      <c r="E282" s="607"/>
      <c r="F282" s="607"/>
      <c r="G282" s="607"/>
      <c r="H282" s="607"/>
      <c r="I282" s="607"/>
      <c r="J282" s="607"/>
      <c r="K282" s="607"/>
      <c r="L282" s="607"/>
      <c r="M282" s="607"/>
      <c r="N282" s="607"/>
      <c r="O282" s="607"/>
      <c r="P282" s="607"/>
      <c r="Q282" s="607"/>
      <c r="R282" s="607"/>
      <c r="S282" s="607"/>
      <c r="T282" s="607"/>
      <c r="U282" s="607"/>
      <c r="V282" s="607"/>
      <c r="W282" s="607"/>
      <c r="X282" s="607"/>
      <c r="Y282" s="607"/>
      <c r="Z282" s="607"/>
      <c r="AA282" s="588"/>
      <c r="AB282" s="588"/>
      <c r="AC282" s="588"/>
    </row>
    <row r="283" spans="1:68" ht="27" customHeight="1" x14ac:dyDescent="0.25">
      <c r="A283" s="57" t="s">
        <v>464</v>
      </c>
      <c r="B283" s="57" t="s">
        <v>465</v>
      </c>
      <c r="C283" s="31">
        <v>4301011826</v>
      </c>
      <c r="D283" s="601">
        <v>4680115884137</v>
      </c>
      <c r="E283" s="602"/>
      <c r="F283" s="56">
        <v>1.45</v>
      </c>
      <c r="G283" s="32">
        <v>8</v>
      </c>
      <c r="H283" s="56">
        <v>11.6</v>
      </c>
      <c r="I283" s="56">
        <v>12.01</v>
      </c>
      <c r="J283" s="32">
        <v>64</v>
      </c>
      <c r="K283" s="32" t="s">
        <v>121</v>
      </c>
      <c r="L283" s="32"/>
      <c r="M283" s="33" t="s">
        <v>122</v>
      </c>
      <c r="N283" s="33"/>
      <c r="O283" s="32">
        <v>55</v>
      </c>
      <c r="P283" s="81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4"/>
      <c r="V283" s="34"/>
      <c r="W283" s="35" t="s">
        <v>68</v>
      </c>
      <c r="X283" s="53">
        <v>0</v>
      </c>
      <c r="Y283" s="50">
        <f t="shared" ref="Y283:Y289" si="42">IFERROR(IF(X283="",0,CEILING((X283/$H283),1)*$H283),"")</f>
        <v>0</v>
      </c>
      <c r="Z283" s="36" t="str">
        <f>IFERROR(IF(Y283=0,"",ROUNDUP(Y283/H283,0)*0.01898),"")</f>
        <v/>
      </c>
      <c r="AA283" s="60"/>
      <c r="AB283" s="61"/>
      <c r="AC283" s="348" t="s">
        <v>466</v>
      </c>
      <c r="AG283" s="68"/>
      <c r="AJ283" s="71"/>
      <c r="AK283" s="71">
        <v>0</v>
      </c>
      <c r="BB283" s="349" t="s">
        <v>1</v>
      </c>
      <c r="BM283" s="68">
        <f t="shared" ref="BM283:BM289" si="43">IFERROR(X283*I283/H283,"0")</f>
        <v>0</v>
      </c>
      <c r="BN283" s="68">
        <f t="shared" ref="BN283:BN289" si="44">IFERROR(Y283*I283/H283,"0")</f>
        <v>0</v>
      </c>
      <c r="BO283" s="68">
        <f t="shared" ref="BO283:BO289" si="45">IFERROR(1/J283*(X283/H283),"0")</f>
        <v>0</v>
      </c>
      <c r="BP283" s="68">
        <f t="shared" ref="BP283:BP289" si="46">IFERROR(1/J283*(Y283/H283),"0")</f>
        <v>0</v>
      </c>
    </row>
    <row r="284" spans="1:68" ht="27" customHeight="1" x14ac:dyDescent="0.25">
      <c r="A284" s="57" t="s">
        <v>467</v>
      </c>
      <c r="B284" s="57" t="s">
        <v>468</v>
      </c>
      <c r="C284" s="31">
        <v>4301011724</v>
      </c>
      <c r="D284" s="601">
        <v>4680115884236</v>
      </c>
      <c r="E284" s="602"/>
      <c r="F284" s="56">
        <v>1.45</v>
      </c>
      <c r="G284" s="32">
        <v>8</v>
      </c>
      <c r="H284" s="56">
        <v>11.6</v>
      </c>
      <c r="I284" s="56">
        <v>12.01</v>
      </c>
      <c r="J284" s="32">
        <v>64</v>
      </c>
      <c r="K284" s="32" t="s">
        <v>121</v>
      </c>
      <c r="L284" s="32"/>
      <c r="M284" s="33" t="s">
        <v>122</v>
      </c>
      <c r="N284" s="33"/>
      <c r="O284" s="32">
        <v>55</v>
      </c>
      <c r="P284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4"/>
      <c r="V284" s="34"/>
      <c r="W284" s="35" t="s">
        <v>68</v>
      </c>
      <c r="X284" s="53">
        <v>0</v>
      </c>
      <c r="Y284" s="50">
        <f t="shared" si="42"/>
        <v>0</v>
      </c>
      <c r="Z284" s="36" t="str">
        <f>IFERROR(IF(Y284=0,"",ROUNDUP(Y284/H284,0)*0.01898),"")</f>
        <v/>
      </c>
      <c r="AA284" s="60"/>
      <c r="AB284" s="61"/>
      <c r="AC284" s="350" t="s">
        <v>469</v>
      </c>
      <c r="AG284" s="68"/>
      <c r="AJ284" s="71"/>
      <c r="AK284" s="71">
        <v>0</v>
      </c>
      <c r="BB284" s="351" t="s">
        <v>1</v>
      </c>
      <c r="BM284" s="68">
        <f t="shared" si="43"/>
        <v>0</v>
      </c>
      <c r="BN284" s="68">
        <f t="shared" si="44"/>
        <v>0</v>
      </c>
      <c r="BO284" s="68">
        <f t="shared" si="45"/>
        <v>0</v>
      </c>
      <c r="BP284" s="68">
        <f t="shared" si="46"/>
        <v>0</v>
      </c>
    </row>
    <row r="285" spans="1:68" ht="27" customHeight="1" x14ac:dyDescent="0.25">
      <c r="A285" s="57" t="s">
        <v>470</v>
      </c>
      <c r="B285" s="57" t="s">
        <v>471</v>
      </c>
      <c r="C285" s="31">
        <v>4301011721</v>
      </c>
      <c r="D285" s="601">
        <v>4680115884175</v>
      </c>
      <c r="E285" s="602"/>
      <c r="F285" s="56">
        <v>1.45</v>
      </c>
      <c r="G285" s="32">
        <v>8</v>
      </c>
      <c r="H285" s="56">
        <v>11.6</v>
      </c>
      <c r="I285" s="56">
        <v>12.01</v>
      </c>
      <c r="J285" s="32">
        <v>64</v>
      </c>
      <c r="K285" s="32" t="s">
        <v>121</v>
      </c>
      <c r="L285" s="32"/>
      <c r="M285" s="33" t="s">
        <v>122</v>
      </c>
      <c r="N285" s="33"/>
      <c r="O285" s="32">
        <v>55</v>
      </c>
      <c r="P285" s="86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4"/>
      <c r="V285" s="34"/>
      <c r="W285" s="35" t="s">
        <v>68</v>
      </c>
      <c r="X285" s="53">
        <v>0</v>
      </c>
      <c r="Y285" s="50">
        <f t="shared" si="42"/>
        <v>0</v>
      </c>
      <c r="Z285" s="36" t="str">
        <f>IFERROR(IF(Y285=0,"",ROUNDUP(Y285/H285,0)*0.01898),"")</f>
        <v/>
      </c>
      <c r="AA285" s="60"/>
      <c r="AB285" s="61"/>
      <c r="AC285" s="352" t="s">
        <v>332</v>
      </c>
      <c r="AG285" s="68"/>
      <c r="AJ285" s="71"/>
      <c r="AK285" s="71">
        <v>0</v>
      </c>
      <c r="BB285" s="353" t="s">
        <v>1</v>
      </c>
      <c r="BM285" s="68">
        <f t="shared" si="43"/>
        <v>0</v>
      </c>
      <c r="BN285" s="68">
        <f t="shared" si="44"/>
        <v>0</v>
      </c>
      <c r="BO285" s="68">
        <f t="shared" si="45"/>
        <v>0</v>
      </c>
      <c r="BP285" s="68">
        <f t="shared" si="46"/>
        <v>0</v>
      </c>
    </row>
    <row r="286" spans="1:68" ht="27" customHeight="1" x14ac:dyDescent="0.25">
      <c r="A286" s="57" t="s">
        <v>472</v>
      </c>
      <c r="B286" s="57" t="s">
        <v>473</v>
      </c>
      <c r="C286" s="31">
        <v>4301011824</v>
      </c>
      <c r="D286" s="601">
        <v>4680115884144</v>
      </c>
      <c r="E286" s="602"/>
      <c r="F286" s="56">
        <v>0.4</v>
      </c>
      <c r="G286" s="32">
        <v>10</v>
      </c>
      <c r="H286" s="56">
        <v>4</v>
      </c>
      <c r="I286" s="56">
        <v>4.1900000000000004</v>
      </c>
      <c r="J286" s="32">
        <v>132</v>
      </c>
      <c r="K286" s="32" t="s">
        <v>130</v>
      </c>
      <c r="L286" s="32"/>
      <c r="M286" s="33" t="s">
        <v>122</v>
      </c>
      <c r="N286" s="33"/>
      <c r="O286" s="32">
        <v>55</v>
      </c>
      <c r="P286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4"/>
      <c r="V286" s="34"/>
      <c r="W286" s="35" t="s">
        <v>68</v>
      </c>
      <c r="X286" s="53">
        <v>0</v>
      </c>
      <c r="Y286" s="50">
        <f t="shared" si="42"/>
        <v>0</v>
      </c>
      <c r="Z286" s="36" t="str">
        <f>IFERROR(IF(Y286=0,"",ROUNDUP(Y286/H286,0)*0.00902),"")</f>
        <v/>
      </c>
      <c r="AA286" s="60"/>
      <c r="AB286" s="61"/>
      <c r="AC286" s="354" t="s">
        <v>466</v>
      </c>
      <c r="AG286" s="68"/>
      <c r="AJ286" s="71"/>
      <c r="AK286" s="71">
        <v>0</v>
      </c>
      <c r="BB286" s="355" t="s">
        <v>1</v>
      </c>
      <c r="BM286" s="68">
        <f t="shared" si="43"/>
        <v>0</v>
      </c>
      <c r="BN286" s="68">
        <f t="shared" si="44"/>
        <v>0</v>
      </c>
      <c r="BO286" s="68">
        <f t="shared" si="45"/>
        <v>0</v>
      </c>
      <c r="BP286" s="68">
        <f t="shared" si="46"/>
        <v>0</v>
      </c>
    </row>
    <row r="287" spans="1:68" ht="27" customHeight="1" x14ac:dyDescent="0.25">
      <c r="A287" s="57" t="s">
        <v>474</v>
      </c>
      <c r="B287" s="57" t="s">
        <v>475</v>
      </c>
      <c r="C287" s="31">
        <v>4301012149</v>
      </c>
      <c r="D287" s="601">
        <v>4680115886551</v>
      </c>
      <c r="E287" s="602"/>
      <c r="F287" s="56">
        <v>0.4</v>
      </c>
      <c r="G287" s="32">
        <v>10</v>
      </c>
      <c r="H287" s="56">
        <v>4</v>
      </c>
      <c r="I287" s="56">
        <v>4.1900000000000004</v>
      </c>
      <c r="J287" s="32">
        <v>132</v>
      </c>
      <c r="K287" s="32" t="s">
        <v>130</v>
      </c>
      <c r="L287" s="32"/>
      <c r="M287" s="33" t="s">
        <v>122</v>
      </c>
      <c r="N287" s="33"/>
      <c r="O287" s="32">
        <v>55</v>
      </c>
      <c r="P287" s="8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4"/>
      <c r="V287" s="34"/>
      <c r="W287" s="35" t="s">
        <v>68</v>
      </c>
      <c r="X287" s="53">
        <v>0</v>
      </c>
      <c r="Y287" s="50">
        <f t="shared" si="42"/>
        <v>0</v>
      </c>
      <c r="Z287" s="36" t="str">
        <f>IFERROR(IF(Y287=0,"",ROUNDUP(Y287/H287,0)*0.00902),"")</f>
        <v/>
      </c>
      <c r="AA287" s="60"/>
      <c r="AB287" s="61"/>
      <c r="AC287" s="356" t="s">
        <v>476</v>
      </c>
      <c r="AG287" s="68"/>
      <c r="AJ287" s="71"/>
      <c r="AK287" s="71">
        <v>0</v>
      </c>
      <c r="BB287" s="357" t="s">
        <v>1</v>
      </c>
      <c r="BM287" s="68">
        <f t="shared" si="43"/>
        <v>0</v>
      </c>
      <c r="BN287" s="68">
        <f t="shared" si="44"/>
        <v>0</v>
      </c>
      <c r="BO287" s="68">
        <f t="shared" si="45"/>
        <v>0</v>
      </c>
      <c r="BP287" s="68">
        <f t="shared" si="46"/>
        <v>0</v>
      </c>
    </row>
    <row r="288" spans="1:68" ht="27" customHeight="1" x14ac:dyDescent="0.25">
      <c r="A288" s="57" t="s">
        <v>477</v>
      </c>
      <c r="B288" s="57" t="s">
        <v>478</v>
      </c>
      <c r="C288" s="31">
        <v>4301012228</v>
      </c>
      <c r="D288" s="601">
        <v>4680115887282</v>
      </c>
      <c r="E288" s="602"/>
      <c r="F288" s="56">
        <v>0.4</v>
      </c>
      <c r="G288" s="32">
        <v>6</v>
      </c>
      <c r="H288" s="56">
        <v>2.4</v>
      </c>
      <c r="I288" s="56">
        <v>2.58</v>
      </c>
      <c r="J288" s="32">
        <v>182</v>
      </c>
      <c r="K288" s="32" t="s">
        <v>78</v>
      </c>
      <c r="L288" s="32"/>
      <c r="M288" s="33" t="s">
        <v>122</v>
      </c>
      <c r="N288" s="33"/>
      <c r="O288" s="32">
        <v>55</v>
      </c>
      <c r="P288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4"/>
      <c r="V288" s="34"/>
      <c r="W288" s="35" t="s">
        <v>68</v>
      </c>
      <c r="X288" s="53">
        <v>0</v>
      </c>
      <c r="Y288" s="50">
        <f t="shared" si="42"/>
        <v>0</v>
      </c>
      <c r="Z288" s="36" t="str">
        <f>IFERROR(IF(Y288=0,"",ROUNDUP(Y288/H288,0)*0.00651),"")</f>
        <v/>
      </c>
      <c r="AA288" s="60"/>
      <c r="AB288" s="61"/>
      <c r="AC288" s="358" t="s">
        <v>479</v>
      </c>
      <c r="AG288" s="68"/>
      <c r="AJ288" s="71"/>
      <c r="AK288" s="71">
        <v>0</v>
      </c>
      <c r="BB288" s="359" t="s">
        <v>1</v>
      </c>
      <c r="BM288" s="68">
        <f t="shared" si="43"/>
        <v>0</v>
      </c>
      <c r="BN288" s="68">
        <f t="shared" si="44"/>
        <v>0</v>
      </c>
      <c r="BO288" s="68">
        <f t="shared" si="45"/>
        <v>0</v>
      </c>
      <c r="BP288" s="68">
        <f t="shared" si="46"/>
        <v>0</v>
      </c>
    </row>
    <row r="289" spans="1:68" ht="27" customHeight="1" x14ac:dyDescent="0.25">
      <c r="A289" s="57" t="s">
        <v>480</v>
      </c>
      <c r="B289" s="57" t="s">
        <v>481</v>
      </c>
      <c r="C289" s="31">
        <v>4301011722</v>
      </c>
      <c r="D289" s="601">
        <v>4680115884205</v>
      </c>
      <c r="E289" s="602"/>
      <c r="F289" s="56">
        <v>0.4</v>
      </c>
      <c r="G289" s="32">
        <v>10</v>
      </c>
      <c r="H289" s="56">
        <v>4</v>
      </c>
      <c r="I289" s="56">
        <v>4.1900000000000004</v>
      </c>
      <c r="J289" s="32">
        <v>132</v>
      </c>
      <c r="K289" s="32" t="s">
        <v>130</v>
      </c>
      <c r="L289" s="32"/>
      <c r="M289" s="33" t="s">
        <v>122</v>
      </c>
      <c r="N289" s="33"/>
      <c r="O289" s="32">
        <v>55</v>
      </c>
      <c r="P289" s="8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4"/>
      <c r="V289" s="34"/>
      <c r="W289" s="35" t="s">
        <v>68</v>
      </c>
      <c r="X289" s="53">
        <v>0</v>
      </c>
      <c r="Y289" s="50">
        <f t="shared" si="42"/>
        <v>0</v>
      </c>
      <c r="Z289" s="36" t="str">
        <f>IFERROR(IF(Y289=0,"",ROUNDUP(Y289/H289,0)*0.00902),"")</f>
        <v/>
      </c>
      <c r="AA289" s="60"/>
      <c r="AB289" s="61"/>
      <c r="AC289" s="360" t="s">
        <v>332</v>
      </c>
      <c r="AG289" s="68"/>
      <c r="AJ289" s="71"/>
      <c r="AK289" s="71">
        <v>0</v>
      </c>
      <c r="BB289" s="361" t="s">
        <v>1</v>
      </c>
      <c r="BM289" s="68">
        <f t="shared" si="43"/>
        <v>0</v>
      </c>
      <c r="BN289" s="68">
        <f t="shared" si="44"/>
        <v>0</v>
      </c>
      <c r="BO289" s="68">
        <f t="shared" si="45"/>
        <v>0</v>
      </c>
      <c r="BP289" s="68">
        <f t="shared" si="46"/>
        <v>0</v>
      </c>
    </row>
    <row r="290" spans="1:68" x14ac:dyDescent="0.25">
      <c r="A290" s="612"/>
      <c r="B290" s="607"/>
      <c r="C290" s="607"/>
      <c r="D290" s="607"/>
      <c r="E290" s="607"/>
      <c r="F290" s="607"/>
      <c r="G290" s="607"/>
      <c r="H290" s="607"/>
      <c r="I290" s="607"/>
      <c r="J290" s="607"/>
      <c r="K290" s="607"/>
      <c r="L290" s="607"/>
      <c r="M290" s="607"/>
      <c r="N290" s="607"/>
      <c r="O290" s="613"/>
      <c r="P290" s="630" t="s">
        <v>73</v>
      </c>
      <c r="Q290" s="622"/>
      <c r="R290" s="622"/>
      <c r="S290" s="622"/>
      <c r="T290" s="622"/>
      <c r="U290" s="622"/>
      <c r="V290" s="623"/>
      <c r="W290" s="37" t="s">
        <v>74</v>
      </c>
      <c r="X290" s="38">
        <f>IFERROR(X283/H283,"0")+IFERROR(X284/H284,"0")+IFERROR(X285/H285,"0")+IFERROR(X286/H286,"0")+IFERROR(X287/H287,"0")+IFERROR(X288/H288,"0")+IFERROR(X289/H289,"0")</f>
        <v>0</v>
      </c>
      <c r="Y290" s="38">
        <f>IFERROR(Y283/H283,"0")+IFERROR(Y284/H284,"0")+IFERROR(Y285/H285,"0")+IFERROR(Y286/H286,"0")+IFERROR(Y287/H287,"0")+IFERROR(Y288/H288,"0")+IFERROR(Y289/H289,"0")</f>
        <v>0</v>
      </c>
      <c r="Z290" s="38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59"/>
      <c r="AB290" s="59"/>
      <c r="AC290" s="59"/>
    </row>
    <row r="291" spans="1:68" x14ac:dyDescent="0.25">
      <c r="A291" s="607"/>
      <c r="B291" s="607"/>
      <c r="C291" s="607"/>
      <c r="D291" s="607"/>
      <c r="E291" s="607"/>
      <c r="F291" s="607"/>
      <c r="G291" s="607"/>
      <c r="H291" s="607"/>
      <c r="I291" s="607"/>
      <c r="J291" s="607"/>
      <c r="K291" s="607"/>
      <c r="L291" s="607"/>
      <c r="M291" s="607"/>
      <c r="N291" s="607"/>
      <c r="O291" s="613"/>
      <c r="P291" s="630" t="s">
        <v>73</v>
      </c>
      <c r="Q291" s="622"/>
      <c r="R291" s="622"/>
      <c r="S291" s="622"/>
      <c r="T291" s="622"/>
      <c r="U291" s="622"/>
      <c r="V291" s="623"/>
      <c r="W291" s="37" t="s">
        <v>68</v>
      </c>
      <c r="X291" s="38">
        <f>IFERROR(SUM(X283:X289),"0")</f>
        <v>0</v>
      </c>
      <c r="Y291" s="38">
        <f>IFERROR(SUM(Y283:Y289),"0")</f>
        <v>0</v>
      </c>
      <c r="Z291" s="37"/>
      <c r="AA291" s="59"/>
      <c r="AB291" s="59"/>
      <c r="AC291" s="59"/>
    </row>
    <row r="292" spans="1:68" ht="14.25" customHeight="1" x14ac:dyDescent="0.25">
      <c r="A292" s="615" t="s">
        <v>153</v>
      </c>
      <c r="B292" s="607"/>
      <c r="C292" s="607"/>
      <c r="D292" s="607"/>
      <c r="E292" s="607"/>
      <c r="F292" s="607"/>
      <c r="G292" s="607"/>
      <c r="H292" s="607"/>
      <c r="I292" s="607"/>
      <c r="J292" s="607"/>
      <c r="K292" s="607"/>
      <c r="L292" s="607"/>
      <c r="M292" s="607"/>
      <c r="N292" s="607"/>
      <c r="O292" s="607"/>
      <c r="P292" s="607"/>
      <c r="Q292" s="607"/>
      <c r="R292" s="607"/>
      <c r="S292" s="607"/>
      <c r="T292" s="607"/>
      <c r="U292" s="607"/>
      <c r="V292" s="607"/>
      <c r="W292" s="607"/>
      <c r="X292" s="607"/>
      <c r="Y292" s="607"/>
      <c r="Z292" s="607"/>
      <c r="AA292" s="588"/>
      <c r="AB292" s="588"/>
      <c r="AC292" s="588"/>
    </row>
    <row r="293" spans="1:68" ht="27" customHeight="1" x14ac:dyDescent="0.25">
      <c r="A293" s="57" t="s">
        <v>482</v>
      </c>
      <c r="B293" s="57" t="s">
        <v>483</v>
      </c>
      <c r="C293" s="31">
        <v>4301020377</v>
      </c>
      <c r="D293" s="601">
        <v>4680115885981</v>
      </c>
      <c r="E293" s="602"/>
      <c r="F293" s="56">
        <v>0.33</v>
      </c>
      <c r="G293" s="32">
        <v>6</v>
      </c>
      <c r="H293" s="56">
        <v>1.98</v>
      </c>
      <c r="I293" s="56">
        <v>2.08</v>
      </c>
      <c r="J293" s="32">
        <v>234</v>
      </c>
      <c r="K293" s="32" t="s">
        <v>66</v>
      </c>
      <c r="L293" s="32"/>
      <c r="M293" s="33" t="s">
        <v>79</v>
      </c>
      <c r="N293" s="33"/>
      <c r="O293" s="32">
        <v>50</v>
      </c>
      <c r="P293" s="6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4"/>
      <c r="V293" s="34"/>
      <c r="W293" s="35" t="s">
        <v>68</v>
      </c>
      <c r="X293" s="53">
        <v>0</v>
      </c>
      <c r="Y293" s="50">
        <f>IFERROR(IF(X293="",0,CEILING((X293/$H293),1)*$H293),"")</f>
        <v>0</v>
      </c>
      <c r="Z293" s="36" t="str">
        <f>IFERROR(IF(Y293=0,"",ROUNDUP(Y293/H293,0)*0.00502),"")</f>
        <v/>
      </c>
      <c r="AA293" s="60"/>
      <c r="AB293" s="61"/>
      <c r="AC293" s="362" t="s">
        <v>484</v>
      </c>
      <c r="AG293" s="68"/>
      <c r="AJ293" s="71"/>
      <c r="AK293" s="71">
        <v>0</v>
      </c>
      <c r="BB293" s="363" t="s">
        <v>1</v>
      </c>
      <c r="BM293" s="68">
        <f>IFERROR(X293*I293/H293,"0")</f>
        <v>0</v>
      </c>
      <c r="BN293" s="68">
        <f>IFERROR(Y293*I293/H293,"0")</f>
        <v>0</v>
      </c>
      <c r="BO293" s="68">
        <f>IFERROR(1/J293*(X293/H293),"0")</f>
        <v>0</v>
      </c>
      <c r="BP293" s="68">
        <f>IFERROR(1/J293*(Y293/H293),"0")</f>
        <v>0</v>
      </c>
    </row>
    <row r="294" spans="1:68" x14ac:dyDescent="0.25">
      <c r="A294" s="612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13"/>
      <c r="P294" s="630" t="s">
        <v>73</v>
      </c>
      <c r="Q294" s="622"/>
      <c r="R294" s="622"/>
      <c r="S294" s="622"/>
      <c r="T294" s="622"/>
      <c r="U294" s="622"/>
      <c r="V294" s="623"/>
      <c r="W294" s="37" t="s">
        <v>74</v>
      </c>
      <c r="X294" s="38">
        <f>IFERROR(X293/H293,"0")</f>
        <v>0</v>
      </c>
      <c r="Y294" s="38">
        <f>IFERROR(Y293/H293,"0")</f>
        <v>0</v>
      </c>
      <c r="Z294" s="38">
        <f>IFERROR(IF(Z293="",0,Z293),"0")</f>
        <v>0</v>
      </c>
      <c r="AA294" s="59"/>
      <c r="AB294" s="59"/>
      <c r="AC294" s="59"/>
    </row>
    <row r="295" spans="1:68" x14ac:dyDescent="0.25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13"/>
      <c r="P295" s="630" t="s">
        <v>73</v>
      </c>
      <c r="Q295" s="622"/>
      <c r="R295" s="622"/>
      <c r="S295" s="622"/>
      <c r="T295" s="622"/>
      <c r="U295" s="622"/>
      <c r="V295" s="623"/>
      <c r="W295" s="37" t="s">
        <v>68</v>
      </c>
      <c r="X295" s="38">
        <f>IFERROR(SUM(X293:X293),"0")</f>
        <v>0</v>
      </c>
      <c r="Y295" s="38">
        <f>IFERROR(SUM(Y293:Y293),"0")</f>
        <v>0</v>
      </c>
      <c r="Z295" s="37"/>
      <c r="AA295" s="59"/>
      <c r="AB295" s="59"/>
      <c r="AC295" s="59"/>
    </row>
    <row r="296" spans="1:68" ht="14.25" customHeight="1" x14ac:dyDescent="0.25">
      <c r="A296" s="615" t="s">
        <v>485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588"/>
      <c r="AB296" s="588"/>
      <c r="AC296" s="588"/>
    </row>
    <row r="297" spans="1:68" ht="27" customHeight="1" x14ac:dyDescent="0.25">
      <c r="A297" s="57" t="s">
        <v>486</v>
      </c>
      <c r="B297" s="57" t="s">
        <v>487</v>
      </c>
      <c r="C297" s="31">
        <v>4301040362</v>
      </c>
      <c r="D297" s="601">
        <v>4680115886803</v>
      </c>
      <c r="E297" s="602"/>
      <c r="F297" s="56">
        <v>0.12</v>
      </c>
      <c r="G297" s="32">
        <v>15</v>
      </c>
      <c r="H297" s="56">
        <v>1.8</v>
      </c>
      <c r="I297" s="56">
        <v>1.9750000000000001</v>
      </c>
      <c r="J297" s="32">
        <v>216</v>
      </c>
      <c r="K297" s="32" t="s">
        <v>313</v>
      </c>
      <c r="L297" s="32"/>
      <c r="M297" s="33" t="s">
        <v>314</v>
      </c>
      <c r="N297" s="33"/>
      <c r="O297" s="32">
        <v>45</v>
      </c>
      <c r="P297" s="6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4"/>
      <c r="V297" s="34"/>
      <c r="W297" s="35" t="s">
        <v>68</v>
      </c>
      <c r="X297" s="53">
        <v>0</v>
      </c>
      <c r="Y297" s="50">
        <f>IFERROR(IF(X297="",0,CEILING((X297/$H297),1)*$H297),"")</f>
        <v>0</v>
      </c>
      <c r="Z297" s="36" t="str">
        <f>IFERROR(IF(Y297=0,"",ROUNDUP(Y297/H297,0)*0.0059),"")</f>
        <v/>
      </c>
      <c r="AA297" s="60"/>
      <c r="AB297" s="61"/>
      <c r="AC297" s="364" t="s">
        <v>488</v>
      </c>
      <c r="AG297" s="68"/>
      <c r="AJ297" s="71"/>
      <c r="AK297" s="71">
        <v>0</v>
      </c>
      <c r="BB297" s="365" t="s">
        <v>1</v>
      </c>
      <c r="BM297" s="68">
        <f>IFERROR(X297*I297/H297,"0")</f>
        <v>0</v>
      </c>
      <c r="BN297" s="68">
        <f>IFERROR(Y297*I297/H297,"0")</f>
        <v>0</v>
      </c>
      <c r="BO297" s="68">
        <f>IFERROR(1/J297*(X297/H297),"0")</f>
        <v>0</v>
      </c>
      <c r="BP297" s="68">
        <f>IFERROR(1/J297*(Y297/H297),"0")</f>
        <v>0</v>
      </c>
    </row>
    <row r="298" spans="1:68" x14ac:dyDescent="0.25">
      <c r="A298" s="612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13"/>
      <c r="P298" s="630" t="s">
        <v>73</v>
      </c>
      <c r="Q298" s="622"/>
      <c r="R298" s="622"/>
      <c r="S298" s="622"/>
      <c r="T298" s="622"/>
      <c r="U298" s="622"/>
      <c r="V298" s="623"/>
      <c r="W298" s="37" t="s">
        <v>74</v>
      </c>
      <c r="X298" s="38">
        <f>IFERROR(X297/H297,"0")</f>
        <v>0</v>
      </c>
      <c r="Y298" s="38">
        <f>IFERROR(Y297/H297,"0")</f>
        <v>0</v>
      </c>
      <c r="Z298" s="38">
        <f>IFERROR(IF(Z297="",0,Z297),"0")</f>
        <v>0</v>
      </c>
      <c r="AA298" s="59"/>
      <c r="AB298" s="59"/>
      <c r="AC298" s="59"/>
    </row>
    <row r="299" spans="1:68" x14ac:dyDescent="0.25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13"/>
      <c r="P299" s="630" t="s">
        <v>73</v>
      </c>
      <c r="Q299" s="622"/>
      <c r="R299" s="622"/>
      <c r="S299" s="622"/>
      <c r="T299" s="622"/>
      <c r="U299" s="622"/>
      <c r="V299" s="623"/>
      <c r="W299" s="37" t="s">
        <v>68</v>
      </c>
      <c r="X299" s="38">
        <f>IFERROR(SUM(X297:X297),"0")</f>
        <v>0</v>
      </c>
      <c r="Y299" s="38">
        <f>IFERROR(SUM(Y297:Y297),"0")</f>
        <v>0</v>
      </c>
      <c r="Z299" s="37"/>
      <c r="AA299" s="59"/>
      <c r="AB299" s="59"/>
      <c r="AC299" s="59"/>
    </row>
    <row r="300" spans="1:68" ht="14.25" customHeight="1" x14ac:dyDescent="0.25">
      <c r="A300" s="615" t="s">
        <v>319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588"/>
      <c r="AB300" s="588"/>
      <c r="AC300" s="588"/>
    </row>
    <row r="301" spans="1:68" ht="27" customHeight="1" x14ac:dyDescent="0.25">
      <c r="A301" s="57" t="s">
        <v>489</v>
      </c>
      <c r="B301" s="57" t="s">
        <v>490</v>
      </c>
      <c r="C301" s="31">
        <v>4301041004</v>
      </c>
      <c r="D301" s="601">
        <v>4680115886704</v>
      </c>
      <c r="E301" s="602"/>
      <c r="F301" s="56">
        <v>5.5E-2</v>
      </c>
      <c r="G301" s="32">
        <v>18</v>
      </c>
      <c r="H301" s="56">
        <v>0.99</v>
      </c>
      <c r="I301" s="56">
        <v>1.18</v>
      </c>
      <c r="J301" s="32">
        <v>216</v>
      </c>
      <c r="K301" s="32" t="s">
        <v>313</v>
      </c>
      <c r="L301" s="32"/>
      <c r="M301" s="33" t="s">
        <v>314</v>
      </c>
      <c r="N301" s="33"/>
      <c r="O301" s="32">
        <v>90</v>
      </c>
      <c r="P301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4"/>
      <c r="V301" s="34"/>
      <c r="W301" s="35" t="s">
        <v>68</v>
      </c>
      <c r="X301" s="53">
        <v>0</v>
      </c>
      <c r="Y301" s="50">
        <f>IFERROR(IF(X301="",0,CEILING((X301/$H301),1)*$H301),"")</f>
        <v>0</v>
      </c>
      <c r="Z301" s="36" t="str">
        <f>IFERROR(IF(Y301=0,"",ROUNDUP(Y301/H301,0)*0.0059),"")</f>
        <v/>
      </c>
      <c r="AA301" s="60"/>
      <c r="AB301" s="61"/>
      <c r="AC301" s="366" t="s">
        <v>491</v>
      </c>
      <c r="AG301" s="68"/>
      <c r="AJ301" s="71"/>
      <c r="AK301" s="71">
        <v>0</v>
      </c>
      <c r="BB301" s="367" t="s">
        <v>1</v>
      </c>
      <c r="BM301" s="68">
        <f>IFERROR(X301*I301/H301,"0")</f>
        <v>0</v>
      </c>
      <c r="BN301" s="68">
        <f>IFERROR(Y301*I301/H301,"0")</f>
        <v>0</v>
      </c>
      <c r="BO301" s="68">
        <f>IFERROR(1/J301*(X301/H301),"0")</f>
        <v>0</v>
      </c>
      <c r="BP301" s="68">
        <f>IFERROR(1/J301*(Y301/H301),"0")</f>
        <v>0</v>
      </c>
    </row>
    <row r="302" spans="1:68" ht="27" customHeight="1" x14ac:dyDescent="0.25">
      <c r="A302" s="57" t="s">
        <v>492</v>
      </c>
      <c r="B302" s="57" t="s">
        <v>493</v>
      </c>
      <c r="C302" s="31">
        <v>4301041008</v>
      </c>
      <c r="D302" s="601">
        <v>4680115886681</v>
      </c>
      <c r="E302" s="602"/>
      <c r="F302" s="56">
        <v>0.12</v>
      </c>
      <c r="G302" s="32">
        <v>15</v>
      </c>
      <c r="H302" s="56">
        <v>1.8</v>
      </c>
      <c r="I302" s="56">
        <v>1.9750000000000001</v>
      </c>
      <c r="J302" s="32">
        <v>216</v>
      </c>
      <c r="K302" s="32" t="s">
        <v>313</v>
      </c>
      <c r="L302" s="32"/>
      <c r="M302" s="33" t="s">
        <v>314</v>
      </c>
      <c r="N302" s="33"/>
      <c r="O302" s="32">
        <v>90</v>
      </c>
      <c r="P302" s="9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4"/>
      <c r="V302" s="34"/>
      <c r="W302" s="35" t="s">
        <v>68</v>
      </c>
      <c r="X302" s="53">
        <v>0</v>
      </c>
      <c r="Y302" s="50">
        <f>IFERROR(IF(X302="",0,CEILING((X302/$H302),1)*$H302),"")</f>
        <v>0</v>
      </c>
      <c r="Z302" s="36" t="str">
        <f>IFERROR(IF(Y302=0,"",ROUNDUP(Y302/H302,0)*0.0059),"")</f>
        <v/>
      </c>
      <c r="AA302" s="60"/>
      <c r="AB302" s="61"/>
      <c r="AC302" s="368" t="s">
        <v>491</v>
      </c>
      <c r="AG302" s="68"/>
      <c r="AJ302" s="71"/>
      <c r="AK302" s="71">
        <v>0</v>
      </c>
      <c r="BB302" s="369" t="s">
        <v>1</v>
      </c>
      <c r="BM302" s="68">
        <f>IFERROR(X302*I302/H302,"0")</f>
        <v>0</v>
      </c>
      <c r="BN302" s="68">
        <f>IFERROR(Y302*I302/H302,"0")</f>
        <v>0</v>
      </c>
      <c r="BO302" s="68">
        <f>IFERROR(1/J302*(X302/H302),"0")</f>
        <v>0</v>
      </c>
      <c r="BP302" s="68">
        <f>IFERROR(1/J302*(Y302/H302),"0")</f>
        <v>0</v>
      </c>
    </row>
    <row r="303" spans="1:68" ht="27" customHeight="1" x14ac:dyDescent="0.25">
      <c r="A303" s="57" t="s">
        <v>494</v>
      </c>
      <c r="B303" s="57" t="s">
        <v>495</v>
      </c>
      <c r="C303" s="31">
        <v>4301041007</v>
      </c>
      <c r="D303" s="601">
        <v>4680115886735</v>
      </c>
      <c r="E303" s="602"/>
      <c r="F303" s="56">
        <v>0.05</v>
      </c>
      <c r="G303" s="32">
        <v>18</v>
      </c>
      <c r="H303" s="56">
        <v>0.9</v>
      </c>
      <c r="I303" s="56">
        <v>1.0900000000000001</v>
      </c>
      <c r="J303" s="32">
        <v>216</v>
      </c>
      <c r="K303" s="32" t="s">
        <v>313</v>
      </c>
      <c r="L303" s="32"/>
      <c r="M303" s="33" t="s">
        <v>314</v>
      </c>
      <c r="N303" s="33"/>
      <c r="O303" s="32">
        <v>90</v>
      </c>
      <c r="P303" s="81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4"/>
      <c r="V303" s="34"/>
      <c r="W303" s="35" t="s">
        <v>68</v>
      </c>
      <c r="X303" s="53">
        <v>0</v>
      </c>
      <c r="Y303" s="50">
        <f>IFERROR(IF(X303="",0,CEILING((X303/$H303),1)*$H303),"")</f>
        <v>0</v>
      </c>
      <c r="Z303" s="36" t="str">
        <f>IFERROR(IF(Y303=0,"",ROUNDUP(Y303/H303,0)*0.0059),"")</f>
        <v/>
      </c>
      <c r="AA303" s="60"/>
      <c r="AB303" s="61"/>
      <c r="AC303" s="370" t="s">
        <v>491</v>
      </c>
      <c r="AG303" s="68"/>
      <c r="AJ303" s="71"/>
      <c r="AK303" s="71">
        <v>0</v>
      </c>
      <c r="BB303" s="371" t="s">
        <v>1</v>
      </c>
      <c r="BM303" s="68">
        <f>IFERROR(X303*I303/H303,"0")</f>
        <v>0</v>
      </c>
      <c r="BN303" s="68">
        <f>IFERROR(Y303*I303/H303,"0")</f>
        <v>0</v>
      </c>
      <c r="BO303" s="68">
        <f>IFERROR(1/J303*(X303/H303),"0")</f>
        <v>0</v>
      </c>
      <c r="BP303" s="68">
        <f>IFERROR(1/J303*(Y303/H303),"0")</f>
        <v>0</v>
      </c>
    </row>
    <row r="304" spans="1:68" ht="27" customHeight="1" x14ac:dyDescent="0.25">
      <c r="A304" s="57" t="s">
        <v>496</v>
      </c>
      <c r="B304" s="57" t="s">
        <v>497</v>
      </c>
      <c r="C304" s="31">
        <v>4301041005</v>
      </c>
      <c r="D304" s="601">
        <v>4680115886711</v>
      </c>
      <c r="E304" s="602"/>
      <c r="F304" s="56">
        <v>5.5E-2</v>
      </c>
      <c r="G304" s="32">
        <v>18</v>
      </c>
      <c r="H304" s="56">
        <v>0.99</v>
      </c>
      <c r="I304" s="56">
        <v>1.18</v>
      </c>
      <c r="J304" s="32">
        <v>216</v>
      </c>
      <c r="K304" s="32" t="s">
        <v>313</v>
      </c>
      <c r="L304" s="32"/>
      <c r="M304" s="33" t="s">
        <v>314</v>
      </c>
      <c r="N304" s="33"/>
      <c r="O304" s="32">
        <v>90</v>
      </c>
      <c r="P304" s="76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4"/>
      <c r="V304" s="34" t="s">
        <v>498</v>
      </c>
      <c r="W304" s="35" t="s">
        <v>68</v>
      </c>
      <c r="X304" s="53">
        <v>0</v>
      </c>
      <c r="Y304" s="50">
        <f>IFERROR(IF(X304="",0,CEILING((X304/$H304),1)*$H304),"")</f>
        <v>0</v>
      </c>
      <c r="Z304" s="36" t="str">
        <f>IFERROR(IF(Y304=0,"",ROUNDUP(Y304/H304,0)*0.0059),"")</f>
        <v/>
      </c>
      <c r="AA304" s="60"/>
      <c r="AB304" s="61"/>
      <c r="AC304" s="372" t="s">
        <v>491</v>
      </c>
      <c r="AG304" s="68"/>
      <c r="AJ304" s="71"/>
      <c r="AK304" s="71">
        <v>0</v>
      </c>
      <c r="BB304" s="373" t="s">
        <v>1</v>
      </c>
      <c r="BM304" s="68">
        <f>IFERROR(X304*I304/H304,"0")</f>
        <v>0</v>
      </c>
      <c r="BN304" s="68">
        <f>IFERROR(Y304*I304/H304,"0")</f>
        <v>0</v>
      </c>
      <c r="BO304" s="68">
        <f>IFERROR(1/J304*(X304/H304),"0")</f>
        <v>0</v>
      </c>
      <c r="BP304" s="68">
        <f>IFERROR(1/J304*(Y304/H304),"0")</f>
        <v>0</v>
      </c>
    </row>
    <row r="305" spans="1:68" x14ac:dyDescent="0.25">
      <c r="A305" s="612"/>
      <c r="B305" s="607"/>
      <c r="C305" s="607"/>
      <c r="D305" s="607"/>
      <c r="E305" s="607"/>
      <c r="F305" s="607"/>
      <c r="G305" s="607"/>
      <c r="H305" s="607"/>
      <c r="I305" s="607"/>
      <c r="J305" s="607"/>
      <c r="K305" s="607"/>
      <c r="L305" s="607"/>
      <c r="M305" s="607"/>
      <c r="N305" s="607"/>
      <c r="O305" s="613"/>
      <c r="P305" s="630" t="s">
        <v>73</v>
      </c>
      <c r="Q305" s="622"/>
      <c r="R305" s="622"/>
      <c r="S305" s="622"/>
      <c r="T305" s="622"/>
      <c r="U305" s="622"/>
      <c r="V305" s="623"/>
      <c r="W305" s="37" t="s">
        <v>74</v>
      </c>
      <c r="X305" s="38">
        <f>IFERROR(X301/H301,"0")+IFERROR(X302/H302,"0")+IFERROR(X303/H303,"0")+IFERROR(X304/H304,"0")</f>
        <v>0</v>
      </c>
      <c r="Y305" s="38">
        <f>IFERROR(Y301/H301,"0")+IFERROR(Y302/H302,"0")+IFERROR(Y303/H303,"0")+IFERROR(Y304/H304,"0")</f>
        <v>0</v>
      </c>
      <c r="Z305" s="38">
        <f>IFERROR(IF(Z301="",0,Z301),"0")+IFERROR(IF(Z302="",0,Z302),"0")+IFERROR(IF(Z303="",0,Z303),"0")+IFERROR(IF(Z304="",0,Z304),"0")</f>
        <v>0</v>
      </c>
      <c r="AA305" s="59"/>
      <c r="AB305" s="59"/>
      <c r="AC305" s="59"/>
    </row>
    <row r="306" spans="1:68" x14ac:dyDescent="0.25">
      <c r="A306" s="607"/>
      <c r="B306" s="607"/>
      <c r="C306" s="607"/>
      <c r="D306" s="607"/>
      <c r="E306" s="607"/>
      <c r="F306" s="607"/>
      <c r="G306" s="607"/>
      <c r="H306" s="607"/>
      <c r="I306" s="607"/>
      <c r="J306" s="607"/>
      <c r="K306" s="607"/>
      <c r="L306" s="607"/>
      <c r="M306" s="607"/>
      <c r="N306" s="607"/>
      <c r="O306" s="613"/>
      <c r="P306" s="630" t="s">
        <v>73</v>
      </c>
      <c r="Q306" s="622"/>
      <c r="R306" s="622"/>
      <c r="S306" s="622"/>
      <c r="T306" s="622"/>
      <c r="U306" s="622"/>
      <c r="V306" s="623"/>
      <c r="W306" s="37" t="s">
        <v>68</v>
      </c>
      <c r="X306" s="38">
        <f>IFERROR(SUM(X301:X304),"0")</f>
        <v>0</v>
      </c>
      <c r="Y306" s="38">
        <f>IFERROR(SUM(Y301:Y304),"0")</f>
        <v>0</v>
      </c>
      <c r="Z306" s="37"/>
      <c r="AA306" s="59"/>
      <c r="AB306" s="59"/>
      <c r="AC306" s="59"/>
    </row>
    <row r="307" spans="1:68" ht="16.5" customHeight="1" x14ac:dyDescent="0.25">
      <c r="A307" s="606" t="s">
        <v>499</v>
      </c>
      <c r="B307" s="607"/>
      <c r="C307" s="607"/>
      <c r="D307" s="607"/>
      <c r="E307" s="607"/>
      <c r="F307" s="607"/>
      <c r="G307" s="607"/>
      <c r="H307" s="607"/>
      <c r="I307" s="607"/>
      <c r="J307" s="607"/>
      <c r="K307" s="607"/>
      <c r="L307" s="607"/>
      <c r="M307" s="607"/>
      <c r="N307" s="607"/>
      <c r="O307" s="607"/>
      <c r="P307" s="607"/>
      <c r="Q307" s="607"/>
      <c r="R307" s="607"/>
      <c r="S307" s="607"/>
      <c r="T307" s="607"/>
      <c r="U307" s="607"/>
      <c r="V307" s="607"/>
      <c r="W307" s="607"/>
      <c r="X307" s="607"/>
      <c r="Y307" s="607"/>
      <c r="Z307" s="607"/>
      <c r="AA307" s="592"/>
      <c r="AB307" s="592"/>
      <c r="AC307" s="592"/>
    </row>
    <row r="308" spans="1:68" ht="14.25" customHeight="1" x14ac:dyDescent="0.25">
      <c r="A308" s="615" t="s">
        <v>118</v>
      </c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7"/>
      <c r="P308" s="607"/>
      <c r="Q308" s="607"/>
      <c r="R308" s="607"/>
      <c r="S308" s="607"/>
      <c r="T308" s="607"/>
      <c r="U308" s="607"/>
      <c r="V308" s="607"/>
      <c r="W308" s="607"/>
      <c r="X308" s="607"/>
      <c r="Y308" s="607"/>
      <c r="Z308" s="607"/>
      <c r="AA308" s="588"/>
      <c r="AB308" s="588"/>
      <c r="AC308" s="588"/>
    </row>
    <row r="309" spans="1:68" ht="27" customHeight="1" x14ac:dyDescent="0.25">
      <c r="A309" s="57" t="s">
        <v>500</v>
      </c>
      <c r="B309" s="57" t="s">
        <v>501</v>
      </c>
      <c r="C309" s="31">
        <v>4301011855</v>
      </c>
      <c r="D309" s="601">
        <v>4680115885837</v>
      </c>
      <c r="E309" s="602"/>
      <c r="F309" s="56">
        <v>1.35</v>
      </c>
      <c r="G309" s="32">
        <v>8</v>
      </c>
      <c r="H309" s="56">
        <v>10.8</v>
      </c>
      <c r="I309" s="56">
        <v>11.21</v>
      </c>
      <c r="J309" s="32">
        <v>64</v>
      </c>
      <c r="K309" s="32" t="s">
        <v>121</v>
      </c>
      <c r="L309" s="32"/>
      <c r="M309" s="33" t="s">
        <v>122</v>
      </c>
      <c r="N309" s="33"/>
      <c r="O309" s="32">
        <v>55</v>
      </c>
      <c r="P309" s="8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4"/>
      <c r="V309" s="34"/>
      <c r="W309" s="35" t="s">
        <v>68</v>
      </c>
      <c r="X309" s="53">
        <v>0</v>
      </c>
      <c r="Y309" s="50">
        <f>IFERROR(IF(X309="",0,CEILING((X309/$H309),1)*$H309),"")</f>
        <v>0</v>
      </c>
      <c r="Z309" s="36" t="str">
        <f>IFERROR(IF(Y309=0,"",ROUNDUP(Y309/H309,0)*0.01898),"")</f>
        <v/>
      </c>
      <c r="AA309" s="60"/>
      <c r="AB309" s="61"/>
      <c r="AC309" s="374" t="s">
        <v>502</v>
      </c>
      <c r="AG309" s="68"/>
      <c r="AJ309" s="71"/>
      <c r="AK309" s="71">
        <v>0</v>
      </c>
      <c r="BB309" s="375" t="s">
        <v>1</v>
      </c>
      <c r="BM309" s="68">
        <f>IFERROR(X309*I309/H309,"0")</f>
        <v>0</v>
      </c>
      <c r="BN309" s="68">
        <f>IFERROR(Y309*I309/H309,"0")</f>
        <v>0</v>
      </c>
      <c r="BO309" s="68">
        <f>IFERROR(1/J309*(X309/H309),"0")</f>
        <v>0</v>
      </c>
      <c r="BP309" s="68">
        <f>IFERROR(1/J309*(Y309/H309),"0")</f>
        <v>0</v>
      </c>
    </row>
    <row r="310" spans="1:68" ht="37.5" customHeight="1" x14ac:dyDescent="0.25">
      <c r="A310" s="57" t="s">
        <v>503</v>
      </c>
      <c r="B310" s="57" t="s">
        <v>504</v>
      </c>
      <c r="C310" s="31">
        <v>4301012234</v>
      </c>
      <c r="D310" s="601">
        <v>4680115887237</v>
      </c>
      <c r="E310" s="602"/>
      <c r="F310" s="56">
        <v>1.35</v>
      </c>
      <c r="G310" s="32">
        <v>8</v>
      </c>
      <c r="H310" s="56">
        <v>10.8</v>
      </c>
      <c r="I310" s="56">
        <v>11.21</v>
      </c>
      <c r="J310" s="32">
        <v>64</v>
      </c>
      <c r="K310" s="32" t="s">
        <v>121</v>
      </c>
      <c r="L310" s="32"/>
      <c r="M310" s="33" t="s">
        <v>122</v>
      </c>
      <c r="N310" s="33"/>
      <c r="O310" s="32">
        <v>55</v>
      </c>
      <c r="P310" s="80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4"/>
      <c r="V310" s="34"/>
      <c r="W310" s="35" t="s">
        <v>68</v>
      </c>
      <c r="X310" s="53">
        <v>0</v>
      </c>
      <c r="Y310" s="50">
        <f>IFERROR(IF(X310="",0,CEILING((X310/$H310),1)*$H310),"")</f>
        <v>0</v>
      </c>
      <c r="Z310" s="36" t="str">
        <f>IFERROR(IF(Y310=0,"",ROUNDUP(Y310/H310,0)*0.01898),"")</f>
        <v/>
      </c>
      <c r="AA310" s="60"/>
      <c r="AB310" s="61"/>
      <c r="AC310" s="376" t="s">
        <v>505</v>
      </c>
      <c r="AG310" s="68"/>
      <c r="AJ310" s="71"/>
      <c r="AK310" s="71">
        <v>0</v>
      </c>
      <c r="BB310" s="377" t="s">
        <v>1</v>
      </c>
      <c r="BM310" s="68">
        <f>IFERROR(X310*I310/H310,"0")</f>
        <v>0</v>
      </c>
      <c r="BN310" s="68">
        <f>IFERROR(Y310*I310/H310,"0")</f>
        <v>0</v>
      </c>
      <c r="BO310" s="68">
        <f>IFERROR(1/J310*(X310/H310),"0")</f>
        <v>0</v>
      </c>
      <c r="BP310" s="68">
        <f>IFERROR(1/J310*(Y310/H310),"0")</f>
        <v>0</v>
      </c>
    </row>
    <row r="311" spans="1:68" ht="27" customHeight="1" x14ac:dyDescent="0.25">
      <c r="A311" s="57" t="s">
        <v>506</v>
      </c>
      <c r="B311" s="57" t="s">
        <v>507</v>
      </c>
      <c r="C311" s="31">
        <v>4301011850</v>
      </c>
      <c r="D311" s="601">
        <v>4680115885806</v>
      </c>
      <c r="E311" s="602"/>
      <c r="F311" s="56">
        <v>1.35</v>
      </c>
      <c r="G311" s="32">
        <v>8</v>
      </c>
      <c r="H311" s="56">
        <v>10.8</v>
      </c>
      <c r="I311" s="56">
        <v>11.21</v>
      </c>
      <c r="J311" s="32">
        <v>64</v>
      </c>
      <c r="K311" s="32" t="s">
        <v>121</v>
      </c>
      <c r="L311" s="32"/>
      <c r="M311" s="33" t="s">
        <v>122</v>
      </c>
      <c r="N311" s="33"/>
      <c r="O311" s="32">
        <v>55</v>
      </c>
      <c r="P311" s="7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4"/>
      <c r="V311" s="34"/>
      <c r="W311" s="35" t="s">
        <v>68</v>
      </c>
      <c r="X311" s="53">
        <v>0</v>
      </c>
      <c r="Y311" s="50">
        <f>IFERROR(IF(X311="",0,CEILING((X311/$H311),1)*$H311),"")</f>
        <v>0</v>
      </c>
      <c r="Z311" s="36" t="str">
        <f>IFERROR(IF(Y311=0,"",ROUNDUP(Y311/H311,0)*0.01898),"")</f>
        <v/>
      </c>
      <c r="AA311" s="60"/>
      <c r="AB311" s="61"/>
      <c r="AC311" s="378" t="s">
        <v>508</v>
      </c>
      <c r="AG311" s="68"/>
      <c r="AJ311" s="71"/>
      <c r="AK311" s="71">
        <v>0</v>
      </c>
      <c r="BB311" s="379" t="s">
        <v>1</v>
      </c>
      <c r="BM311" s="68">
        <f>IFERROR(X311*I311/H311,"0")</f>
        <v>0</v>
      </c>
      <c r="BN311" s="68">
        <f>IFERROR(Y311*I311/H311,"0")</f>
        <v>0</v>
      </c>
      <c r="BO311" s="68">
        <f>IFERROR(1/J311*(X311/H311),"0")</f>
        <v>0</v>
      </c>
      <c r="BP311" s="68">
        <f>IFERROR(1/J311*(Y311/H311),"0")</f>
        <v>0</v>
      </c>
    </row>
    <row r="312" spans="1:68" ht="27" customHeight="1" x14ac:dyDescent="0.25">
      <c r="A312" s="57" t="s">
        <v>509</v>
      </c>
      <c r="B312" s="57" t="s">
        <v>510</v>
      </c>
      <c r="C312" s="31">
        <v>4301011852</v>
      </c>
      <c r="D312" s="601">
        <v>4680115885844</v>
      </c>
      <c r="E312" s="602"/>
      <c r="F312" s="56">
        <v>0.4</v>
      </c>
      <c r="G312" s="32">
        <v>10</v>
      </c>
      <c r="H312" s="56">
        <v>4</v>
      </c>
      <c r="I312" s="56">
        <v>4.1900000000000004</v>
      </c>
      <c r="J312" s="32">
        <v>132</v>
      </c>
      <c r="K312" s="32" t="s">
        <v>130</v>
      </c>
      <c r="L312" s="32"/>
      <c r="M312" s="33" t="s">
        <v>122</v>
      </c>
      <c r="N312" s="33"/>
      <c r="O312" s="32">
        <v>55</v>
      </c>
      <c r="P312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4"/>
      <c r="V312" s="34"/>
      <c r="W312" s="35" t="s">
        <v>68</v>
      </c>
      <c r="X312" s="53">
        <v>0</v>
      </c>
      <c r="Y312" s="50">
        <f>IFERROR(IF(X312="",0,CEILING((X312/$H312),1)*$H312),"")</f>
        <v>0</v>
      </c>
      <c r="Z312" s="36" t="str">
        <f>IFERROR(IF(Y312=0,"",ROUNDUP(Y312/H312,0)*0.00902),"")</f>
        <v/>
      </c>
      <c r="AA312" s="60"/>
      <c r="AB312" s="61"/>
      <c r="AC312" s="380" t="s">
        <v>511</v>
      </c>
      <c r="AG312" s="68"/>
      <c r="AJ312" s="71"/>
      <c r="AK312" s="71">
        <v>0</v>
      </c>
      <c r="BB312" s="381" t="s">
        <v>1</v>
      </c>
      <c r="BM312" s="68">
        <f>IFERROR(X312*I312/H312,"0")</f>
        <v>0</v>
      </c>
      <c r="BN312" s="68">
        <f>IFERROR(Y312*I312/H312,"0")</f>
        <v>0</v>
      </c>
      <c r="BO312" s="68">
        <f>IFERROR(1/J312*(X312/H312),"0")</f>
        <v>0</v>
      </c>
      <c r="BP312" s="68">
        <f>IFERROR(1/J312*(Y312/H312),"0")</f>
        <v>0</v>
      </c>
    </row>
    <row r="313" spans="1:68" ht="37.5" customHeight="1" x14ac:dyDescent="0.25">
      <c r="A313" s="57" t="s">
        <v>512</v>
      </c>
      <c r="B313" s="57" t="s">
        <v>513</v>
      </c>
      <c r="C313" s="31">
        <v>4301011851</v>
      </c>
      <c r="D313" s="601">
        <v>4680115885820</v>
      </c>
      <c r="E313" s="602"/>
      <c r="F313" s="56">
        <v>0.4</v>
      </c>
      <c r="G313" s="32">
        <v>10</v>
      </c>
      <c r="H313" s="56">
        <v>4</v>
      </c>
      <c r="I313" s="56">
        <v>4.1900000000000004</v>
      </c>
      <c r="J313" s="32">
        <v>132</v>
      </c>
      <c r="K313" s="32" t="s">
        <v>130</v>
      </c>
      <c r="L313" s="32"/>
      <c r="M313" s="33" t="s">
        <v>122</v>
      </c>
      <c r="N313" s="33"/>
      <c r="O313" s="32">
        <v>55</v>
      </c>
      <c r="P313" s="6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4"/>
      <c r="V313" s="34"/>
      <c r="W313" s="35" t="s">
        <v>68</v>
      </c>
      <c r="X313" s="53">
        <v>0</v>
      </c>
      <c r="Y313" s="50">
        <f>IFERROR(IF(X313="",0,CEILING((X313/$H313),1)*$H313),"")</f>
        <v>0</v>
      </c>
      <c r="Z313" s="36" t="str">
        <f>IFERROR(IF(Y313=0,"",ROUNDUP(Y313/H313,0)*0.00902),"")</f>
        <v/>
      </c>
      <c r="AA313" s="60"/>
      <c r="AB313" s="61"/>
      <c r="AC313" s="382" t="s">
        <v>514</v>
      </c>
      <c r="AG313" s="68"/>
      <c r="AJ313" s="71"/>
      <c r="AK313" s="71">
        <v>0</v>
      </c>
      <c r="BB313" s="383" t="s">
        <v>1</v>
      </c>
      <c r="BM313" s="68">
        <f>IFERROR(X313*I313/H313,"0")</f>
        <v>0</v>
      </c>
      <c r="BN313" s="68">
        <f>IFERROR(Y313*I313/H313,"0")</f>
        <v>0</v>
      </c>
      <c r="BO313" s="68">
        <f>IFERROR(1/J313*(X313/H313),"0")</f>
        <v>0</v>
      </c>
      <c r="BP313" s="68">
        <f>IFERROR(1/J313*(Y313/H313),"0")</f>
        <v>0</v>
      </c>
    </row>
    <row r="314" spans="1:68" x14ac:dyDescent="0.25">
      <c r="A314" s="612"/>
      <c r="B314" s="607"/>
      <c r="C314" s="607"/>
      <c r="D314" s="607"/>
      <c r="E314" s="607"/>
      <c r="F314" s="607"/>
      <c r="G314" s="607"/>
      <c r="H314" s="607"/>
      <c r="I314" s="607"/>
      <c r="J314" s="607"/>
      <c r="K314" s="607"/>
      <c r="L314" s="607"/>
      <c r="M314" s="607"/>
      <c r="N314" s="607"/>
      <c r="O314" s="613"/>
      <c r="P314" s="630" t="s">
        <v>73</v>
      </c>
      <c r="Q314" s="622"/>
      <c r="R314" s="622"/>
      <c r="S314" s="622"/>
      <c r="T314" s="622"/>
      <c r="U314" s="622"/>
      <c r="V314" s="623"/>
      <c r="W314" s="37" t="s">
        <v>74</v>
      </c>
      <c r="X314" s="38">
        <f>IFERROR(X309/H309,"0")+IFERROR(X310/H310,"0")+IFERROR(X311/H311,"0")+IFERROR(X312/H312,"0")+IFERROR(X313/H313,"0")</f>
        <v>0</v>
      </c>
      <c r="Y314" s="38">
        <f>IFERROR(Y309/H309,"0")+IFERROR(Y310/H310,"0")+IFERROR(Y311/H311,"0")+IFERROR(Y312/H312,"0")+IFERROR(Y313/H313,"0")</f>
        <v>0</v>
      </c>
      <c r="Z314" s="38">
        <f>IFERROR(IF(Z309="",0,Z309),"0")+IFERROR(IF(Z310="",0,Z310),"0")+IFERROR(IF(Z311="",0,Z311),"0")+IFERROR(IF(Z312="",0,Z312),"0")+IFERROR(IF(Z313="",0,Z313),"0")</f>
        <v>0</v>
      </c>
      <c r="AA314" s="59"/>
      <c r="AB314" s="59"/>
      <c r="AC314" s="59"/>
    </row>
    <row r="315" spans="1:68" x14ac:dyDescent="0.25">
      <c r="A315" s="607"/>
      <c r="B315" s="607"/>
      <c r="C315" s="607"/>
      <c r="D315" s="607"/>
      <c r="E315" s="607"/>
      <c r="F315" s="607"/>
      <c r="G315" s="607"/>
      <c r="H315" s="607"/>
      <c r="I315" s="607"/>
      <c r="J315" s="607"/>
      <c r="K315" s="607"/>
      <c r="L315" s="607"/>
      <c r="M315" s="607"/>
      <c r="N315" s="607"/>
      <c r="O315" s="613"/>
      <c r="P315" s="630" t="s">
        <v>73</v>
      </c>
      <c r="Q315" s="622"/>
      <c r="R315" s="622"/>
      <c r="S315" s="622"/>
      <c r="T315" s="622"/>
      <c r="U315" s="622"/>
      <c r="V315" s="623"/>
      <c r="W315" s="37" t="s">
        <v>68</v>
      </c>
      <c r="X315" s="38">
        <f>IFERROR(SUM(X309:X313),"0")</f>
        <v>0</v>
      </c>
      <c r="Y315" s="38">
        <f>IFERROR(SUM(Y309:Y313),"0")</f>
        <v>0</v>
      </c>
      <c r="Z315" s="37"/>
      <c r="AA315" s="59"/>
      <c r="AB315" s="59"/>
      <c r="AC315" s="59"/>
    </row>
    <row r="316" spans="1:68" ht="16.5" customHeight="1" x14ac:dyDescent="0.25">
      <c r="A316" s="606" t="s">
        <v>515</v>
      </c>
      <c r="B316" s="607"/>
      <c r="C316" s="607"/>
      <c r="D316" s="607"/>
      <c r="E316" s="607"/>
      <c r="F316" s="607"/>
      <c r="G316" s="607"/>
      <c r="H316" s="607"/>
      <c r="I316" s="607"/>
      <c r="J316" s="607"/>
      <c r="K316" s="607"/>
      <c r="L316" s="607"/>
      <c r="M316" s="607"/>
      <c r="N316" s="607"/>
      <c r="O316" s="607"/>
      <c r="P316" s="607"/>
      <c r="Q316" s="607"/>
      <c r="R316" s="607"/>
      <c r="S316" s="607"/>
      <c r="T316" s="607"/>
      <c r="U316" s="607"/>
      <c r="V316" s="607"/>
      <c r="W316" s="607"/>
      <c r="X316" s="607"/>
      <c r="Y316" s="607"/>
      <c r="Z316" s="607"/>
      <c r="AA316" s="592"/>
      <c r="AB316" s="592"/>
      <c r="AC316" s="592"/>
    </row>
    <row r="317" spans="1:68" ht="14.25" customHeight="1" x14ac:dyDescent="0.25">
      <c r="A317" s="615" t="s">
        <v>75</v>
      </c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7"/>
      <c r="P317" s="607"/>
      <c r="Q317" s="607"/>
      <c r="R317" s="607"/>
      <c r="S317" s="607"/>
      <c r="T317" s="607"/>
      <c r="U317" s="607"/>
      <c r="V317" s="607"/>
      <c r="W317" s="607"/>
      <c r="X317" s="607"/>
      <c r="Y317" s="607"/>
      <c r="Z317" s="607"/>
      <c r="AA317" s="588"/>
      <c r="AB317" s="588"/>
      <c r="AC317" s="588"/>
    </row>
    <row r="318" spans="1:68" ht="27" customHeight="1" x14ac:dyDescent="0.25">
      <c r="A318" s="57" t="s">
        <v>516</v>
      </c>
      <c r="B318" s="57" t="s">
        <v>517</v>
      </c>
      <c r="C318" s="31">
        <v>4301051893</v>
      </c>
      <c r="D318" s="601">
        <v>4680115886186</v>
      </c>
      <c r="E318" s="602"/>
      <c r="F318" s="56">
        <v>0.3</v>
      </c>
      <c r="G318" s="32">
        <v>6</v>
      </c>
      <c r="H318" s="56">
        <v>1.8</v>
      </c>
      <c r="I318" s="56">
        <v>1.98</v>
      </c>
      <c r="J318" s="32">
        <v>182</v>
      </c>
      <c r="K318" s="32" t="s">
        <v>78</v>
      </c>
      <c r="L318" s="32"/>
      <c r="M318" s="33" t="s">
        <v>79</v>
      </c>
      <c r="N318" s="33"/>
      <c r="O318" s="32">
        <v>45</v>
      </c>
      <c r="P318" s="75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4"/>
      <c r="V318" s="34"/>
      <c r="W318" s="35" t="s">
        <v>68</v>
      </c>
      <c r="X318" s="53">
        <v>0</v>
      </c>
      <c r="Y318" s="50">
        <f>IFERROR(IF(X318="",0,CEILING((X318/$H318),1)*$H318),"")</f>
        <v>0</v>
      </c>
      <c r="Z318" s="36" t="str">
        <f>IFERROR(IF(Y318=0,"",ROUNDUP(Y318/H318,0)*0.00651),"")</f>
        <v/>
      </c>
      <c r="AA318" s="60"/>
      <c r="AB318" s="61"/>
      <c r="AC318" s="384" t="s">
        <v>518</v>
      </c>
      <c r="AG318" s="68"/>
      <c r="AJ318" s="71"/>
      <c r="AK318" s="71">
        <v>0</v>
      </c>
      <c r="BB318" s="385" t="s">
        <v>1</v>
      </c>
      <c r="BM318" s="68">
        <f>IFERROR(X318*I318/H318,"0")</f>
        <v>0</v>
      </c>
      <c r="BN318" s="68">
        <f>IFERROR(Y318*I318/H318,"0")</f>
        <v>0</v>
      </c>
      <c r="BO318" s="68">
        <f>IFERROR(1/J318*(X318/H318),"0")</f>
        <v>0</v>
      </c>
      <c r="BP318" s="68">
        <f>IFERROR(1/J318*(Y318/H318),"0")</f>
        <v>0</v>
      </c>
    </row>
    <row r="319" spans="1:68" ht="27" customHeight="1" x14ac:dyDescent="0.25">
      <c r="A319" s="57" t="s">
        <v>519</v>
      </c>
      <c r="B319" s="57" t="s">
        <v>520</v>
      </c>
      <c r="C319" s="31">
        <v>4301051795</v>
      </c>
      <c r="D319" s="601">
        <v>4680115881228</v>
      </c>
      <c r="E319" s="602"/>
      <c r="F319" s="56">
        <v>0.4</v>
      </c>
      <c r="G319" s="32">
        <v>6</v>
      </c>
      <c r="H319" s="56">
        <v>2.4</v>
      </c>
      <c r="I319" s="56">
        <v>2.6520000000000001</v>
      </c>
      <c r="J319" s="32">
        <v>182</v>
      </c>
      <c r="K319" s="32" t="s">
        <v>78</v>
      </c>
      <c r="L319" s="32"/>
      <c r="M319" s="33" t="s">
        <v>85</v>
      </c>
      <c r="N319" s="33"/>
      <c r="O319" s="32">
        <v>40</v>
      </c>
      <c r="P319" s="64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4"/>
      <c r="V319" s="34"/>
      <c r="W319" s="35" t="s">
        <v>68</v>
      </c>
      <c r="X319" s="53">
        <v>0</v>
      </c>
      <c r="Y319" s="50">
        <f>IFERROR(IF(X319="",0,CEILING((X319/$H319),1)*$H319),"")</f>
        <v>0</v>
      </c>
      <c r="Z319" s="36" t="str">
        <f>IFERROR(IF(Y319=0,"",ROUNDUP(Y319/H319,0)*0.00651),"")</f>
        <v/>
      </c>
      <c r="AA319" s="60"/>
      <c r="AB319" s="61"/>
      <c r="AC319" s="386" t="s">
        <v>521</v>
      </c>
      <c r="AG319" s="68"/>
      <c r="AJ319" s="71"/>
      <c r="AK319" s="71">
        <v>0</v>
      </c>
      <c r="BB319" s="387" t="s">
        <v>1</v>
      </c>
      <c r="BM319" s="68">
        <f>IFERROR(X319*I319/H319,"0")</f>
        <v>0</v>
      </c>
      <c r="BN319" s="68">
        <f>IFERROR(Y319*I319/H319,"0")</f>
        <v>0</v>
      </c>
      <c r="BO319" s="68">
        <f>IFERROR(1/J319*(X319/H319),"0")</f>
        <v>0</v>
      </c>
      <c r="BP319" s="68">
        <f>IFERROR(1/J319*(Y319/H319),"0")</f>
        <v>0</v>
      </c>
    </row>
    <row r="320" spans="1:68" ht="27" customHeight="1" x14ac:dyDescent="0.25">
      <c r="A320" s="57" t="s">
        <v>522</v>
      </c>
      <c r="B320" s="57" t="s">
        <v>523</v>
      </c>
      <c r="C320" s="31">
        <v>4301051388</v>
      </c>
      <c r="D320" s="601">
        <v>4680115881211</v>
      </c>
      <c r="E320" s="602"/>
      <c r="F320" s="56">
        <v>0.4</v>
      </c>
      <c r="G320" s="32">
        <v>6</v>
      </c>
      <c r="H320" s="56">
        <v>2.4</v>
      </c>
      <c r="I320" s="56">
        <v>2.58</v>
      </c>
      <c r="J320" s="32">
        <v>182</v>
      </c>
      <c r="K320" s="32" t="s">
        <v>78</v>
      </c>
      <c r="L320" s="32"/>
      <c r="M320" s="33" t="s">
        <v>79</v>
      </c>
      <c r="N320" s="33"/>
      <c r="O320" s="32">
        <v>45</v>
      </c>
      <c r="P320" s="7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4"/>
      <c r="V320" s="34"/>
      <c r="W320" s="35" t="s">
        <v>68</v>
      </c>
      <c r="X320" s="53">
        <v>0</v>
      </c>
      <c r="Y320" s="50">
        <f>IFERROR(IF(X320="",0,CEILING((X320/$H320),1)*$H320),"")</f>
        <v>0</v>
      </c>
      <c r="Z320" s="36" t="str">
        <f>IFERROR(IF(Y320=0,"",ROUNDUP(Y320/H320,0)*0.00651),"")</f>
        <v/>
      </c>
      <c r="AA320" s="60"/>
      <c r="AB320" s="61"/>
      <c r="AC320" s="388" t="s">
        <v>518</v>
      </c>
      <c r="AG320" s="68"/>
      <c r="AJ320" s="71"/>
      <c r="AK320" s="71">
        <v>0</v>
      </c>
      <c r="BB320" s="389" t="s">
        <v>1</v>
      </c>
      <c r="BM320" s="68">
        <f>IFERROR(X320*I320/H320,"0")</f>
        <v>0</v>
      </c>
      <c r="BN320" s="68">
        <f>IFERROR(Y320*I320/H320,"0")</f>
        <v>0</v>
      </c>
      <c r="BO320" s="68">
        <f>IFERROR(1/J320*(X320/H320),"0")</f>
        <v>0</v>
      </c>
      <c r="BP320" s="68">
        <f>IFERROR(1/J320*(Y320/H320),"0")</f>
        <v>0</v>
      </c>
    </row>
    <row r="321" spans="1:68" x14ac:dyDescent="0.25">
      <c r="A321" s="612"/>
      <c r="B321" s="607"/>
      <c r="C321" s="607"/>
      <c r="D321" s="607"/>
      <c r="E321" s="607"/>
      <c r="F321" s="607"/>
      <c r="G321" s="607"/>
      <c r="H321" s="607"/>
      <c r="I321" s="607"/>
      <c r="J321" s="607"/>
      <c r="K321" s="607"/>
      <c r="L321" s="607"/>
      <c r="M321" s="607"/>
      <c r="N321" s="607"/>
      <c r="O321" s="613"/>
      <c r="P321" s="630" t="s">
        <v>73</v>
      </c>
      <c r="Q321" s="622"/>
      <c r="R321" s="622"/>
      <c r="S321" s="622"/>
      <c r="T321" s="622"/>
      <c r="U321" s="622"/>
      <c r="V321" s="623"/>
      <c r="W321" s="37" t="s">
        <v>74</v>
      </c>
      <c r="X321" s="38">
        <f>IFERROR(X318/H318,"0")+IFERROR(X319/H319,"0")+IFERROR(X320/H320,"0")</f>
        <v>0</v>
      </c>
      <c r="Y321" s="38">
        <f>IFERROR(Y318/H318,"0")+IFERROR(Y319/H319,"0")+IFERROR(Y320/H320,"0")</f>
        <v>0</v>
      </c>
      <c r="Z321" s="38">
        <f>IFERROR(IF(Z318="",0,Z318),"0")+IFERROR(IF(Z319="",0,Z319),"0")+IFERROR(IF(Z320="",0,Z320),"0")</f>
        <v>0</v>
      </c>
      <c r="AA321" s="59"/>
      <c r="AB321" s="59"/>
      <c r="AC321" s="59"/>
    </row>
    <row r="322" spans="1:68" x14ac:dyDescent="0.25">
      <c r="A322" s="607"/>
      <c r="B322" s="607"/>
      <c r="C322" s="607"/>
      <c r="D322" s="607"/>
      <c r="E322" s="607"/>
      <c r="F322" s="607"/>
      <c r="G322" s="607"/>
      <c r="H322" s="607"/>
      <c r="I322" s="607"/>
      <c r="J322" s="607"/>
      <c r="K322" s="607"/>
      <c r="L322" s="607"/>
      <c r="M322" s="607"/>
      <c r="N322" s="607"/>
      <c r="O322" s="613"/>
      <c r="P322" s="630" t="s">
        <v>73</v>
      </c>
      <c r="Q322" s="622"/>
      <c r="R322" s="622"/>
      <c r="S322" s="622"/>
      <c r="T322" s="622"/>
      <c r="U322" s="622"/>
      <c r="V322" s="623"/>
      <c r="W322" s="37" t="s">
        <v>68</v>
      </c>
      <c r="X322" s="38">
        <f>IFERROR(SUM(X318:X320),"0")</f>
        <v>0</v>
      </c>
      <c r="Y322" s="38">
        <f>IFERROR(SUM(Y318:Y320),"0")</f>
        <v>0</v>
      </c>
      <c r="Z322" s="37"/>
      <c r="AA322" s="59"/>
      <c r="AB322" s="59"/>
      <c r="AC322" s="59"/>
    </row>
    <row r="323" spans="1:68" ht="16.5" customHeight="1" x14ac:dyDescent="0.25">
      <c r="A323" s="606" t="s">
        <v>524</v>
      </c>
      <c r="B323" s="607"/>
      <c r="C323" s="607"/>
      <c r="D323" s="607"/>
      <c r="E323" s="607"/>
      <c r="F323" s="607"/>
      <c r="G323" s="607"/>
      <c r="H323" s="607"/>
      <c r="I323" s="607"/>
      <c r="J323" s="607"/>
      <c r="K323" s="607"/>
      <c r="L323" s="607"/>
      <c r="M323" s="607"/>
      <c r="N323" s="607"/>
      <c r="O323" s="607"/>
      <c r="P323" s="607"/>
      <c r="Q323" s="607"/>
      <c r="R323" s="607"/>
      <c r="S323" s="607"/>
      <c r="T323" s="607"/>
      <c r="U323" s="607"/>
      <c r="V323" s="607"/>
      <c r="W323" s="607"/>
      <c r="X323" s="607"/>
      <c r="Y323" s="607"/>
      <c r="Z323" s="607"/>
      <c r="AA323" s="592"/>
      <c r="AB323" s="592"/>
      <c r="AC323" s="592"/>
    </row>
    <row r="324" spans="1:68" ht="14.25" customHeight="1" x14ac:dyDescent="0.25">
      <c r="A324" s="615" t="s">
        <v>63</v>
      </c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7"/>
      <c r="P324" s="607"/>
      <c r="Q324" s="607"/>
      <c r="R324" s="607"/>
      <c r="S324" s="607"/>
      <c r="T324" s="607"/>
      <c r="U324" s="607"/>
      <c r="V324" s="607"/>
      <c r="W324" s="607"/>
      <c r="X324" s="607"/>
      <c r="Y324" s="607"/>
      <c r="Z324" s="607"/>
      <c r="AA324" s="588"/>
      <c r="AB324" s="588"/>
      <c r="AC324" s="588"/>
    </row>
    <row r="325" spans="1:68" ht="27" customHeight="1" x14ac:dyDescent="0.25">
      <c r="A325" s="57" t="s">
        <v>525</v>
      </c>
      <c r="B325" s="57" t="s">
        <v>526</v>
      </c>
      <c r="C325" s="31">
        <v>4301031445</v>
      </c>
      <c r="D325" s="601">
        <v>4680115888319</v>
      </c>
      <c r="E325" s="602"/>
      <c r="F325" s="56">
        <v>0.35</v>
      </c>
      <c r="G325" s="32">
        <v>6</v>
      </c>
      <c r="H325" s="56">
        <v>2.1</v>
      </c>
      <c r="I325" s="56">
        <v>2.23</v>
      </c>
      <c r="J325" s="32">
        <v>234</v>
      </c>
      <c r="K325" s="32" t="s">
        <v>66</v>
      </c>
      <c r="L325" s="32"/>
      <c r="M325" s="33" t="s">
        <v>67</v>
      </c>
      <c r="N325" s="33"/>
      <c r="O325" s="32">
        <v>45</v>
      </c>
      <c r="P325" s="75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4"/>
      <c r="V325" s="34"/>
      <c r="W325" s="35" t="s">
        <v>68</v>
      </c>
      <c r="X325" s="53">
        <v>0</v>
      </c>
      <c r="Y325" s="50">
        <f>IFERROR(IF(X325="",0,CEILING((X325/$H325),1)*$H325),"")</f>
        <v>0</v>
      </c>
      <c r="Z325" s="36" t="str">
        <f>IFERROR(IF(Y325=0,"",ROUNDUP(Y325/H325,0)*0.00502),"")</f>
        <v/>
      </c>
      <c r="AA325" s="60"/>
      <c r="AB325" s="61"/>
      <c r="AC325" s="390" t="s">
        <v>364</v>
      </c>
      <c r="AG325" s="68"/>
      <c r="AJ325" s="71"/>
      <c r="AK325" s="71">
        <v>0</v>
      </c>
      <c r="BB325" s="391" t="s">
        <v>1</v>
      </c>
      <c r="BM325" s="68">
        <f>IFERROR(X325*I325/H325,"0")</f>
        <v>0</v>
      </c>
      <c r="BN325" s="68">
        <f>IFERROR(Y325*I325/H325,"0")</f>
        <v>0</v>
      </c>
      <c r="BO325" s="68">
        <f>IFERROR(1/J325*(X325/H325),"0")</f>
        <v>0</v>
      </c>
      <c r="BP325" s="68">
        <f>IFERROR(1/J325*(Y325/H325),"0")</f>
        <v>0</v>
      </c>
    </row>
    <row r="326" spans="1:68" ht="27" customHeight="1" x14ac:dyDescent="0.25">
      <c r="A326" s="57" t="s">
        <v>527</v>
      </c>
      <c r="B326" s="57" t="s">
        <v>528</v>
      </c>
      <c r="C326" s="31">
        <v>4301031502</v>
      </c>
      <c r="D326" s="601">
        <v>4680115884700</v>
      </c>
      <c r="E326" s="602"/>
      <c r="F326" s="56">
        <v>0.57999999999999996</v>
      </c>
      <c r="G326" s="32">
        <v>4</v>
      </c>
      <c r="H326" s="56">
        <v>2.3199999999999998</v>
      </c>
      <c r="I326" s="56">
        <v>2.42</v>
      </c>
      <c r="J326" s="32">
        <v>234</v>
      </c>
      <c r="K326" s="32" t="s">
        <v>66</v>
      </c>
      <c r="L326" s="32"/>
      <c r="M326" s="33" t="s">
        <v>67</v>
      </c>
      <c r="N326" s="33"/>
      <c r="O326" s="32">
        <v>40</v>
      </c>
      <c r="P326" s="92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4"/>
      <c r="V326" s="34"/>
      <c r="W326" s="35" t="s">
        <v>68</v>
      </c>
      <c r="X326" s="53">
        <v>0</v>
      </c>
      <c r="Y326" s="50">
        <f>IFERROR(IF(X326="",0,CEILING((X326/$H326),1)*$H326),"")</f>
        <v>0</v>
      </c>
      <c r="Z326" s="36" t="str">
        <f>IFERROR(IF(Y326=0,"",ROUNDUP(Y326/H326,0)*0.00502),"")</f>
        <v/>
      </c>
      <c r="AA326" s="60"/>
      <c r="AB326" s="61"/>
      <c r="AC326" s="392" t="s">
        <v>529</v>
      </c>
      <c r="AG326" s="68"/>
      <c r="AJ326" s="71"/>
      <c r="AK326" s="71">
        <v>0</v>
      </c>
      <c r="BB326" s="393" t="s">
        <v>1</v>
      </c>
      <c r="BM326" s="68">
        <f>IFERROR(X326*I326/H326,"0")</f>
        <v>0</v>
      </c>
      <c r="BN326" s="68">
        <f>IFERROR(Y326*I326/H326,"0")</f>
        <v>0</v>
      </c>
      <c r="BO326" s="68">
        <f>IFERROR(1/J326*(X326/H326),"0")</f>
        <v>0</v>
      </c>
      <c r="BP326" s="68">
        <f>IFERROR(1/J326*(Y326/H326),"0")</f>
        <v>0</v>
      </c>
    </row>
    <row r="327" spans="1:68" ht="27" customHeight="1" x14ac:dyDescent="0.25">
      <c r="A327" s="57" t="s">
        <v>530</v>
      </c>
      <c r="B327" s="57" t="s">
        <v>531</v>
      </c>
      <c r="C327" s="31">
        <v>4301031307</v>
      </c>
      <c r="D327" s="601">
        <v>4680115880344</v>
      </c>
      <c r="E327" s="602"/>
      <c r="F327" s="56">
        <v>0.28000000000000003</v>
      </c>
      <c r="G327" s="32">
        <v>6</v>
      </c>
      <c r="H327" s="56">
        <v>1.68</v>
      </c>
      <c r="I327" s="56">
        <v>1.78</v>
      </c>
      <c r="J327" s="32">
        <v>234</v>
      </c>
      <c r="K327" s="32" t="s">
        <v>66</v>
      </c>
      <c r="L327" s="32"/>
      <c r="M327" s="33" t="s">
        <v>67</v>
      </c>
      <c r="N327" s="33"/>
      <c r="O327" s="32">
        <v>40</v>
      </c>
      <c r="P327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4"/>
      <c r="V327" s="34"/>
      <c r="W327" s="35" t="s">
        <v>68</v>
      </c>
      <c r="X327" s="53">
        <v>0</v>
      </c>
      <c r="Y327" s="50">
        <f>IFERROR(IF(X327="",0,CEILING((X327/$H327),1)*$H327),"")</f>
        <v>0</v>
      </c>
      <c r="Z327" s="36" t="str">
        <f>IFERROR(IF(Y327=0,"",ROUNDUP(Y327/H327,0)*0.00502),"")</f>
        <v/>
      </c>
      <c r="AA327" s="60"/>
      <c r="AB327" s="61"/>
      <c r="AC327" s="394" t="s">
        <v>532</v>
      </c>
      <c r="AG327" s="68"/>
      <c r="AJ327" s="71"/>
      <c r="AK327" s="71">
        <v>0</v>
      </c>
      <c r="BB327" s="395" t="s">
        <v>1</v>
      </c>
      <c r="BM327" s="68">
        <f>IFERROR(X327*I327/H327,"0")</f>
        <v>0</v>
      </c>
      <c r="BN327" s="68">
        <f>IFERROR(Y327*I327/H327,"0")</f>
        <v>0</v>
      </c>
      <c r="BO327" s="68">
        <f>IFERROR(1/J327*(X327/H327),"0")</f>
        <v>0</v>
      </c>
      <c r="BP327" s="68">
        <f>IFERROR(1/J327*(Y327/H327),"0")</f>
        <v>0</v>
      </c>
    </row>
    <row r="328" spans="1:68" ht="27" customHeight="1" x14ac:dyDescent="0.25">
      <c r="A328" s="57" t="s">
        <v>533</v>
      </c>
      <c r="B328" s="57" t="s">
        <v>534</v>
      </c>
      <c r="C328" s="31">
        <v>4301031501</v>
      </c>
      <c r="D328" s="601">
        <v>4680115886919</v>
      </c>
      <c r="E328" s="602"/>
      <c r="F328" s="56">
        <v>0.4</v>
      </c>
      <c r="G328" s="32">
        <v>6</v>
      </c>
      <c r="H328" s="56">
        <v>2.4</v>
      </c>
      <c r="I328" s="56">
        <v>2.58</v>
      </c>
      <c r="J328" s="32">
        <v>182</v>
      </c>
      <c r="K328" s="32" t="s">
        <v>78</v>
      </c>
      <c r="L328" s="32"/>
      <c r="M328" s="33" t="s">
        <v>67</v>
      </c>
      <c r="N328" s="33"/>
      <c r="O328" s="32">
        <v>40</v>
      </c>
      <c r="P328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4"/>
      <c r="V328" s="34"/>
      <c r="W328" s="35" t="s">
        <v>68</v>
      </c>
      <c r="X328" s="53">
        <v>0</v>
      </c>
      <c r="Y328" s="50">
        <f>IFERROR(IF(X328="",0,CEILING((X328/$H328),1)*$H328),"")</f>
        <v>0</v>
      </c>
      <c r="Z328" s="36" t="str">
        <f>IFERROR(IF(Y328=0,"",ROUNDUP(Y328/H328,0)*0.00651),"")</f>
        <v/>
      </c>
      <c r="AA328" s="60"/>
      <c r="AB328" s="61"/>
      <c r="AC328" s="396" t="s">
        <v>535</v>
      </c>
      <c r="AG328" s="68"/>
      <c r="AJ328" s="71"/>
      <c r="AK328" s="71">
        <v>0</v>
      </c>
      <c r="BB328" s="397" t="s">
        <v>1</v>
      </c>
      <c r="BM328" s="68">
        <f>IFERROR(X328*I328/H328,"0")</f>
        <v>0</v>
      </c>
      <c r="BN328" s="68">
        <f>IFERROR(Y328*I328/H328,"0")</f>
        <v>0</v>
      </c>
      <c r="BO328" s="68">
        <f>IFERROR(1/J328*(X328/H328),"0")</f>
        <v>0</v>
      </c>
      <c r="BP328" s="68">
        <f>IFERROR(1/J328*(Y328/H328),"0")</f>
        <v>0</v>
      </c>
    </row>
    <row r="329" spans="1:68" ht="27" customHeight="1" x14ac:dyDescent="0.25">
      <c r="A329" s="57" t="s">
        <v>536</v>
      </c>
      <c r="B329" s="57" t="s">
        <v>537</v>
      </c>
      <c r="C329" s="31">
        <v>4301031246</v>
      </c>
      <c r="D329" s="601">
        <v>4680115883970</v>
      </c>
      <c r="E329" s="602"/>
      <c r="F329" s="56">
        <v>0.28000000000000003</v>
      </c>
      <c r="G329" s="32">
        <v>6</v>
      </c>
      <c r="H329" s="56">
        <v>1.68</v>
      </c>
      <c r="I329" s="56">
        <v>2.5</v>
      </c>
      <c r="J329" s="32">
        <v>234</v>
      </c>
      <c r="K329" s="32" t="s">
        <v>66</v>
      </c>
      <c r="L329" s="32"/>
      <c r="M329" s="33" t="s">
        <v>67</v>
      </c>
      <c r="N329" s="33"/>
      <c r="O329" s="32">
        <v>40</v>
      </c>
      <c r="P329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4"/>
      <c r="V329" s="34"/>
      <c r="W329" s="35" t="s">
        <v>68</v>
      </c>
      <c r="X329" s="53">
        <v>0</v>
      </c>
      <c r="Y329" s="50">
        <f>IFERROR(IF(X329="",0,CEILING((X329/$H329),1)*$H329),"")</f>
        <v>0</v>
      </c>
      <c r="Z329" s="36" t="str">
        <f>IFERROR(IF(Y329=0,"",ROUNDUP(Y329/H329,0)*0.00502),"")</f>
        <v/>
      </c>
      <c r="AA329" s="60"/>
      <c r="AB329" s="61"/>
      <c r="AC329" s="398" t="s">
        <v>538</v>
      </c>
      <c r="AG329" s="68"/>
      <c r="AJ329" s="71"/>
      <c r="AK329" s="71">
        <v>0</v>
      </c>
      <c r="BB329" s="399" t="s">
        <v>1</v>
      </c>
      <c r="BM329" s="68">
        <f>IFERROR(X329*I329/H329,"0")</f>
        <v>0</v>
      </c>
      <c r="BN329" s="68">
        <f>IFERROR(Y329*I329/H329,"0")</f>
        <v>0</v>
      </c>
      <c r="BO329" s="68">
        <f>IFERROR(1/J329*(X329/H329),"0")</f>
        <v>0</v>
      </c>
      <c r="BP329" s="68">
        <f>IFERROR(1/J329*(Y329/H329),"0")</f>
        <v>0</v>
      </c>
    </row>
    <row r="330" spans="1:68" x14ac:dyDescent="0.25">
      <c r="A330" s="612"/>
      <c r="B330" s="607"/>
      <c r="C330" s="607"/>
      <c r="D330" s="607"/>
      <c r="E330" s="607"/>
      <c r="F330" s="607"/>
      <c r="G330" s="607"/>
      <c r="H330" s="607"/>
      <c r="I330" s="607"/>
      <c r="J330" s="607"/>
      <c r="K330" s="607"/>
      <c r="L330" s="607"/>
      <c r="M330" s="607"/>
      <c r="N330" s="607"/>
      <c r="O330" s="613"/>
      <c r="P330" s="630" t="s">
        <v>73</v>
      </c>
      <c r="Q330" s="622"/>
      <c r="R330" s="622"/>
      <c r="S330" s="622"/>
      <c r="T330" s="622"/>
      <c r="U330" s="622"/>
      <c r="V330" s="623"/>
      <c r="W330" s="37" t="s">
        <v>74</v>
      </c>
      <c r="X330" s="38">
        <f>IFERROR(X325/H325,"0")+IFERROR(X326/H326,"0")+IFERROR(X327/H327,"0")+IFERROR(X328/H328,"0")+IFERROR(X329/H329,"0")</f>
        <v>0</v>
      </c>
      <c r="Y330" s="38">
        <f>IFERROR(Y325/H325,"0")+IFERROR(Y326/H326,"0")+IFERROR(Y327/H327,"0")+IFERROR(Y328/H328,"0")+IFERROR(Y329/H329,"0")</f>
        <v>0</v>
      </c>
      <c r="Z330" s="38">
        <f>IFERROR(IF(Z325="",0,Z325),"0")+IFERROR(IF(Z326="",0,Z326),"0")+IFERROR(IF(Z327="",0,Z327),"0")+IFERROR(IF(Z328="",0,Z328),"0")+IFERROR(IF(Z329="",0,Z329),"0")</f>
        <v>0</v>
      </c>
      <c r="AA330" s="59"/>
      <c r="AB330" s="59"/>
      <c r="AC330" s="59"/>
    </row>
    <row r="331" spans="1:68" x14ac:dyDescent="0.25">
      <c r="A331" s="607"/>
      <c r="B331" s="607"/>
      <c r="C331" s="607"/>
      <c r="D331" s="607"/>
      <c r="E331" s="607"/>
      <c r="F331" s="607"/>
      <c r="G331" s="607"/>
      <c r="H331" s="607"/>
      <c r="I331" s="607"/>
      <c r="J331" s="607"/>
      <c r="K331" s="607"/>
      <c r="L331" s="607"/>
      <c r="M331" s="607"/>
      <c r="N331" s="607"/>
      <c r="O331" s="613"/>
      <c r="P331" s="630" t="s">
        <v>73</v>
      </c>
      <c r="Q331" s="622"/>
      <c r="R331" s="622"/>
      <c r="S331" s="622"/>
      <c r="T331" s="622"/>
      <c r="U331" s="622"/>
      <c r="V331" s="623"/>
      <c r="W331" s="37" t="s">
        <v>68</v>
      </c>
      <c r="X331" s="38">
        <f>IFERROR(SUM(X325:X329),"0")</f>
        <v>0</v>
      </c>
      <c r="Y331" s="38">
        <f>IFERROR(SUM(Y325:Y329),"0")</f>
        <v>0</v>
      </c>
      <c r="Z331" s="37"/>
      <c r="AA331" s="59"/>
      <c r="AB331" s="59"/>
      <c r="AC331" s="59"/>
    </row>
    <row r="332" spans="1:68" ht="14.25" customHeight="1" x14ac:dyDescent="0.25">
      <c r="A332" s="615" t="s">
        <v>75</v>
      </c>
      <c r="B332" s="607"/>
      <c r="C332" s="607"/>
      <c r="D332" s="607"/>
      <c r="E332" s="607"/>
      <c r="F332" s="607"/>
      <c r="G332" s="607"/>
      <c r="H332" s="607"/>
      <c r="I332" s="607"/>
      <c r="J332" s="607"/>
      <c r="K332" s="607"/>
      <c r="L332" s="607"/>
      <c r="M332" s="607"/>
      <c r="N332" s="607"/>
      <c r="O332" s="607"/>
      <c r="P332" s="607"/>
      <c r="Q332" s="607"/>
      <c r="R332" s="607"/>
      <c r="S332" s="607"/>
      <c r="T332" s="607"/>
      <c r="U332" s="607"/>
      <c r="V332" s="607"/>
      <c r="W332" s="607"/>
      <c r="X332" s="607"/>
      <c r="Y332" s="607"/>
      <c r="Z332" s="607"/>
      <c r="AA332" s="588"/>
      <c r="AB332" s="588"/>
      <c r="AC332" s="588"/>
    </row>
    <row r="333" spans="1:68" ht="37.5" customHeight="1" x14ac:dyDescent="0.25">
      <c r="A333" s="57" t="s">
        <v>539</v>
      </c>
      <c r="B333" s="57" t="s">
        <v>540</v>
      </c>
      <c r="C333" s="31">
        <v>4301051782</v>
      </c>
      <c r="D333" s="601">
        <v>4680115884618</v>
      </c>
      <c r="E333" s="602"/>
      <c r="F333" s="56">
        <v>0.6</v>
      </c>
      <c r="G333" s="32">
        <v>6</v>
      </c>
      <c r="H333" s="56">
        <v>3.6</v>
      </c>
      <c r="I333" s="56">
        <v>3.79</v>
      </c>
      <c r="J333" s="32">
        <v>132</v>
      </c>
      <c r="K333" s="32" t="s">
        <v>130</v>
      </c>
      <c r="L333" s="32"/>
      <c r="M333" s="33" t="s">
        <v>79</v>
      </c>
      <c r="N333" s="33"/>
      <c r="O333" s="32">
        <v>45</v>
      </c>
      <c r="P333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4"/>
      <c r="V333" s="34"/>
      <c r="W333" s="35" t="s">
        <v>68</v>
      </c>
      <c r="X333" s="53">
        <v>0</v>
      </c>
      <c r="Y333" s="50">
        <f>IFERROR(IF(X333="",0,CEILING((X333/$H333),1)*$H333),"")</f>
        <v>0</v>
      </c>
      <c r="Z333" s="36" t="str">
        <f>IFERROR(IF(Y333=0,"",ROUNDUP(Y333/H333,0)*0.00902),"")</f>
        <v/>
      </c>
      <c r="AA333" s="60"/>
      <c r="AB333" s="61"/>
      <c r="AC333" s="400" t="s">
        <v>541</v>
      </c>
      <c r="AG333" s="68"/>
      <c r="AJ333" s="71"/>
      <c r="AK333" s="71">
        <v>0</v>
      </c>
      <c r="BB333" s="401" t="s">
        <v>1</v>
      </c>
      <c r="BM333" s="68">
        <f>IFERROR(X333*I333/H333,"0")</f>
        <v>0</v>
      </c>
      <c r="BN333" s="68">
        <f>IFERROR(Y333*I333/H333,"0")</f>
        <v>0</v>
      </c>
      <c r="BO333" s="68">
        <f>IFERROR(1/J333*(X333/H333),"0")</f>
        <v>0</v>
      </c>
      <c r="BP333" s="68">
        <f>IFERROR(1/J333*(Y333/H333),"0")</f>
        <v>0</v>
      </c>
    </row>
    <row r="334" spans="1:68" ht="27" customHeight="1" x14ac:dyDescent="0.25">
      <c r="A334" s="57" t="s">
        <v>542</v>
      </c>
      <c r="B334" s="57" t="s">
        <v>543</v>
      </c>
      <c r="C334" s="31">
        <v>4301052057</v>
      </c>
      <c r="D334" s="601">
        <v>4680115887114</v>
      </c>
      <c r="E334" s="602"/>
      <c r="F334" s="56">
        <v>0.55000000000000004</v>
      </c>
      <c r="G334" s="32">
        <v>6</v>
      </c>
      <c r="H334" s="56">
        <v>3.3</v>
      </c>
      <c r="I334" s="56">
        <v>3.49</v>
      </c>
      <c r="J334" s="32">
        <v>132</v>
      </c>
      <c r="K334" s="32" t="s">
        <v>130</v>
      </c>
      <c r="L334" s="32"/>
      <c r="M334" s="33" t="s">
        <v>79</v>
      </c>
      <c r="N334" s="33"/>
      <c r="O334" s="32">
        <v>45</v>
      </c>
      <c r="P334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4"/>
      <c r="V334" s="34"/>
      <c r="W334" s="35" t="s">
        <v>68</v>
      </c>
      <c r="X334" s="53">
        <v>0</v>
      </c>
      <c r="Y334" s="50">
        <f>IFERROR(IF(X334="",0,CEILING((X334/$H334),1)*$H334),"")</f>
        <v>0</v>
      </c>
      <c r="Z334" s="36" t="str">
        <f>IFERROR(IF(Y334=0,"",ROUNDUP(Y334/H334,0)*0.00902),"")</f>
        <v/>
      </c>
      <c r="AA334" s="60"/>
      <c r="AB334" s="61"/>
      <c r="AC334" s="402" t="s">
        <v>544</v>
      </c>
      <c r="AG334" s="68"/>
      <c r="AJ334" s="71"/>
      <c r="AK334" s="71">
        <v>0</v>
      </c>
      <c r="BB334" s="403" t="s">
        <v>1</v>
      </c>
      <c r="BM334" s="68">
        <f>IFERROR(X334*I334/H334,"0")</f>
        <v>0</v>
      </c>
      <c r="BN334" s="68">
        <f>IFERROR(Y334*I334/H334,"0")</f>
        <v>0</v>
      </c>
      <c r="BO334" s="68">
        <f>IFERROR(1/J334*(X334/H334),"0")</f>
        <v>0</v>
      </c>
      <c r="BP334" s="68">
        <f>IFERROR(1/J334*(Y334/H334),"0")</f>
        <v>0</v>
      </c>
    </row>
    <row r="335" spans="1:68" x14ac:dyDescent="0.25">
      <c r="A335" s="612"/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13"/>
      <c r="P335" s="630" t="s">
        <v>73</v>
      </c>
      <c r="Q335" s="622"/>
      <c r="R335" s="622"/>
      <c r="S335" s="622"/>
      <c r="T335" s="622"/>
      <c r="U335" s="622"/>
      <c r="V335" s="623"/>
      <c r="W335" s="37" t="s">
        <v>74</v>
      </c>
      <c r="X335" s="38">
        <f>IFERROR(X333/H333,"0")+IFERROR(X334/H334,"0")</f>
        <v>0</v>
      </c>
      <c r="Y335" s="38">
        <f>IFERROR(Y333/H333,"0")+IFERROR(Y334/H334,"0")</f>
        <v>0</v>
      </c>
      <c r="Z335" s="38">
        <f>IFERROR(IF(Z333="",0,Z333),"0")+IFERROR(IF(Z334="",0,Z334),"0")</f>
        <v>0</v>
      </c>
      <c r="AA335" s="59"/>
      <c r="AB335" s="59"/>
      <c r="AC335" s="59"/>
    </row>
    <row r="336" spans="1:68" x14ac:dyDescent="0.25">
      <c r="A336" s="607"/>
      <c r="B336" s="607"/>
      <c r="C336" s="607"/>
      <c r="D336" s="607"/>
      <c r="E336" s="607"/>
      <c r="F336" s="607"/>
      <c r="G336" s="607"/>
      <c r="H336" s="607"/>
      <c r="I336" s="607"/>
      <c r="J336" s="607"/>
      <c r="K336" s="607"/>
      <c r="L336" s="607"/>
      <c r="M336" s="607"/>
      <c r="N336" s="607"/>
      <c r="O336" s="613"/>
      <c r="P336" s="630" t="s">
        <v>73</v>
      </c>
      <c r="Q336" s="622"/>
      <c r="R336" s="622"/>
      <c r="S336" s="622"/>
      <c r="T336" s="622"/>
      <c r="U336" s="622"/>
      <c r="V336" s="623"/>
      <c r="W336" s="37" t="s">
        <v>68</v>
      </c>
      <c r="X336" s="38">
        <f>IFERROR(SUM(X333:X334),"0")</f>
        <v>0</v>
      </c>
      <c r="Y336" s="38">
        <f>IFERROR(SUM(Y333:Y334),"0")</f>
        <v>0</v>
      </c>
      <c r="Z336" s="37"/>
      <c r="AA336" s="59"/>
      <c r="AB336" s="59"/>
      <c r="AC336" s="59"/>
    </row>
    <row r="337" spans="1:68" ht="16.5" customHeight="1" x14ac:dyDescent="0.25">
      <c r="A337" s="606" t="s">
        <v>545</v>
      </c>
      <c r="B337" s="607"/>
      <c r="C337" s="607"/>
      <c r="D337" s="607"/>
      <c r="E337" s="607"/>
      <c r="F337" s="607"/>
      <c r="G337" s="607"/>
      <c r="H337" s="607"/>
      <c r="I337" s="607"/>
      <c r="J337" s="607"/>
      <c r="K337" s="607"/>
      <c r="L337" s="607"/>
      <c r="M337" s="607"/>
      <c r="N337" s="607"/>
      <c r="O337" s="607"/>
      <c r="P337" s="607"/>
      <c r="Q337" s="607"/>
      <c r="R337" s="607"/>
      <c r="S337" s="607"/>
      <c r="T337" s="607"/>
      <c r="U337" s="607"/>
      <c r="V337" s="607"/>
      <c r="W337" s="607"/>
      <c r="X337" s="607"/>
      <c r="Y337" s="607"/>
      <c r="Z337" s="607"/>
      <c r="AA337" s="592"/>
      <c r="AB337" s="592"/>
      <c r="AC337" s="592"/>
    </row>
    <row r="338" spans="1:68" ht="14.25" customHeight="1" x14ac:dyDescent="0.25">
      <c r="A338" s="615" t="s">
        <v>118</v>
      </c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588"/>
      <c r="AB338" s="588"/>
      <c r="AC338" s="588"/>
    </row>
    <row r="339" spans="1:68" ht="27" customHeight="1" x14ac:dyDescent="0.25">
      <c r="A339" s="57" t="s">
        <v>546</v>
      </c>
      <c r="B339" s="57" t="s">
        <v>547</v>
      </c>
      <c r="C339" s="31">
        <v>4301012324</v>
      </c>
      <c r="D339" s="601">
        <v>4680115887947</v>
      </c>
      <c r="E339" s="602"/>
      <c r="F339" s="56">
        <v>1.3</v>
      </c>
      <c r="G339" s="32">
        <v>6</v>
      </c>
      <c r="H339" s="56">
        <v>7.8</v>
      </c>
      <c r="I339" s="56">
        <v>8.2100000000000009</v>
      </c>
      <c r="J339" s="32">
        <v>64</v>
      </c>
      <c r="K339" s="32" t="s">
        <v>121</v>
      </c>
      <c r="L339" s="32"/>
      <c r="M339" s="33" t="s">
        <v>79</v>
      </c>
      <c r="N339" s="33"/>
      <c r="O339" s="32">
        <v>60</v>
      </c>
      <c r="P339" s="87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4"/>
      <c r="V339" s="34"/>
      <c r="W339" s="35" t="s">
        <v>68</v>
      </c>
      <c r="X339" s="53">
        <v>0</v>
      </c>
      <c r="Y339" s="50">
        <f>IFERROR(IF(X339="",0,CEILING((X339/$H339),1)*$H339),"")</f>
        <v>0</v>
      </c>
      <c r="Z339" s="36" t="str">
        <f>IFERROR(IF(Y339=0,"",ROUNDUP(Y339/H339,0)*0.01898),"")</f>
        <v/>
      </c>
      <c r="AA339" s="60"/>
      <c r="AB339" s="61"/>
      <c r="AC339" s="404" t="s">
        <v>548</v>
      </c>
      <c r="AG339" s="68"/>
      <c r="AJ339" s="71"/>
      <c r="AK339" s="71">
        <v>0</v>
      </c>
      <c r="BB339" s="405" t="s">
        <v>1</v>
      </c>
      <c r="BM339" s="68">
        <f>IFERROR(X339*I339/H339,"0")</f>
        <v>0</v>
      </c>
      <c r="BN339" s="68">
        <f>IFERROR(Y339*I339/H339,"0")</f>
        <v>0</v>
      </c>
      <c r="BO339" s="68">
        <f>IFERROR(1/J339*(X339/H339),"0")</f>
        <v>0</v>
      </c>
      <c r="BP339" s="68">
        <f>IFERROR(1/J339*(Y339/H339),"0")</f>
        <v>0</v>
      </c>
    </row>
    <row r="340" spans="1:68" ht="27" customHeight="1" x14ac:dyDescent="0.25">
      <c r="A340" s="57" t="s">
        <v>549</v>
      </c>
      <c r="B340" s="57" t="s">
        <v>550</v>
      </c>
      <c r="C340" s="31">
        <v>4301012325</v>
      </c>
      <c r="D340" s="601">
        <v>4680115887978</v>
      </c>
      <c r="E340" s="602"/>
      <c r="F340" s="56">
        <v>1.3</v>
      </c>
      <c r="G340" s="32">
        <v>6</v>
      </c>
      <c r="H340" s="56">
        <v>7.8</v>
      </c>
      <c r="I340" s="56">
        <v>8.2100000000000009</v>
      </c>
      <c r="J340" s="32">
        <v>64</v>
      </c>
      <c r="K340" s="32" t="s">
        <v>121</v>
      </c>
      <c r="L340" s="32"/>
      <c r="M340" s="33" t="s">
        <v>79</v>
      </c>
      <c r="N340" s="33"/>
      <c r="O340" s="32">
        <v>60</v>
      </c>
      <c r="P340" s="82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4"/>
      <c r="V340" s="34"/>
      <c r="W340" s="35" t="s">
        <v>68</v>
      </c>
      <c r="X340" s="53">
        <v>0</v>
      </c>
      <c r="Y340" s="50">
        <f>IFERROR(IF(X340="",0,CEILING((X340/$H340),1)*$H340),"")</f>
        <v>0</v>
      </c>
      <c r="Z340" s="36" t="str">
        <f>IFERROR(IF(Y340=0,"",ROUNDUP(Y340/H340,0)*0.01898),"")</f>
        <v/>
      </c>
      <c r="AA340" s="60"/>
      <c r="AB340" s="61"/>
      <c r="AC340" s="406" t="s">
        <v>551</v>
      </c>
      <c r="AG340" s="68"/>
      <c r="AJ340" s="71"/>
      <c r="AK340" s="71">
        <v>0</v>
      </c>
      <c r="BB340" s="407" t="s">
        <v>1</v>
      </c>
      <c r="BM340" s="68">
        <f>IFERROR(X340*I340/H340,"0")</f>
        <v>0</v>
      </c>
      <c r="BN340" s="68">
        <f>IFERROR(Y340*I340/H340,"0")</f>
        <v>0</v>
      </c>
      <c r="BO340" s="68">
        <f>IFERROR(1/J340*(X340/H340),"0")</f>
        <v>0</v>
      </c>
      <c r="BP340" s="68">
        <f>IFERROR(1/J340*(Y340/H340),"0")</f>
        <v>0</v>
      </c>
    </row>
    <row r="341" spans="1:68" ht="27" customHeight="1" x14ac:dyDescent="0.25">
      <c r="A341" s="57" t="s">
        <v>552</v>
      </c>
      <c r="B341" s="57" t="s">
        <v>553</v>
      </c>
      <c r="C341" s="31">
        <v>4301012327</v>
      </c>
      <c r="D341" s="601">
        <v>4680115887992</v>
      </c>
      <c r="E341" s="602"/>
      <c r="F341" s="56">
        <v>1.3</v>
      </c>
      <c r="G341" s="32">
        <v>6</v>
      </c>
      <c r="H341" s="56">
        <v>7.8</v>
      </c>
      <c r="I341" s="56">
        <v>8.2100000000000009</v>
      </c>
      <c r="J341" s="32">
        <v>64</v>
      </c>
      <c r="K341" s="32" t="s">
        <v>121</v>
      </c>
      <c r="L341" s="32"/>
      <c r="M341" s="33" t="s">
        <v>79</v>
      </c>
      <c r="N341" s="33"/>
      <c r="O341" s="32">
        <v>60</v>
      </c>
      <c r="P341" s="73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4"/>
      <c r="V341" s="34"/>
      <c r="W341" s="35" t="s">
        <v>68</v>
      </c>
      <c r="X341" s="53">
        <v>0</v>
      </c>
      <c r="Y341" s="50">
        <f>IFERROR(IF(X341="",0,CEILING((X341/$H341),1)*$H341),"")</f>
        <v>0</v>
      </c>
      <c r="Z341" s="36" t="str">
        <f>IFERROR(IF(Y341=0,"",ROUNDUP(Y341/H341,0)*0.01898),"")</f>
        <v/>
      </c>
      <c r="AA341" s="60"/>
      <c r="AB341" s="61"/>
      <c r="AC341" s="408" t="s">
        <v>554</v>
      </c>
      <c r="AG341" s="68"/>
      <c r="AJ341" s="71"/>
      <c r="AK341" s="71">
        <v>0</v>
      </c>
      <c r="BB341" s="409" t="s">
        <v>1</v>
      </c>
      <c r="BM341" s="68">
        <f>IFERROR(X341*I341/H341,"0")</f>
        <v>0</v>
      </c>
      <c r="BN341" s="68">
        <f>IFERROR(Y341*I341/H341,"0")</f>
        <v>0</v>
      </c>
      <c r="BO341" s="68">
        <f>IFERROR(1/J341*(X341/H341),"0")</f>
        <v>0</v>
      </c>
      <c r="BP341" s="68">
        <f>IFERROR(1/J341*(Y341/H341),"0")</f>
        <v>0</v>
      </c>
    </row>
    <row r="342" spans="1:68" x14ac:dyDescent="0.25">
      <c r="A342" s="612"/>
      <c r="B342" s="607"/>
      <c r="C342" s="607"/>
      <c r="D342" s="607"/>
      <c r="E342" s="607"/>
      <c r="F342" s="607"/>
      <c r="G342" s="607"/>
      <c r="H342" s="607"/>
      <c r="I342" s="607"/>
      <c r="J342" s="607"/>
      <c r="K342" s="607"/>
      <c r="L342" s="607"/>
      <c r="M342" s="607"/>
      <c r="N342" s="607"/>
      <c r="O342" s="613"/>
      <c r="P342" s="630" t="s">
        <v>73</v>
      </c>
      <c r="Q342" s="622"/>
      <c r="R342" s="622"/>
      <c r="S342" s="622"/>
      <c r="T342" s="622"/>
      <c r="U342" s="622"/>
      <c r="V342" s="623"/>
      <c r="W342" s="37" t="s">
        <v>74</v>
      </c>
      <c r="X342" s="38">
        <f>IFERROR(X339/H339,"0")+IFERROR(X340/H340,"0")+IFERROR(X341/H341,"0")</f>
        <v>0</v>
      </c>
      <c r="Y342" s="38">
        <f>IFERROR(Y339/H339,"0")+IFERROR(Y340/H340,"0")+IFERROR(Y341/H341,"0")</f>
        <v>0</v>
      </c>
      <c r="Z342" s="38">
        <f>IFERROR(IF(Z339="",0,Z339),"0")+IFERROR(IF(Z340="",0,Z340),"0")+IFERROR(IF(Z341="",0,Z341),"0")</f>
        <v>0</v>
      </c>
      <c r="AA342" s="59"/>
      <c r="AB342" s="59"/>
      <c r="AC342" s="59"/>
    </row>
    <row r="343" spans="1:68" x14ac:dyDescent="0.25">
      <c r="A343" s="607"/>
      <c r="B343" s="607"/>
      <c r="C343" s="607"/>
      <c r="D343" s="607"/>
      <c r="E343" s="607"/>
      <c r="F343" s="607"/>
      <c r="G343" s="607"/>
      <c r="H343" s="607"/>
      <c r="I343" s="607"/>
      <c r="J343" s="607"/>
      <c r="K343" s="607"/>
      <c r="L343" s="607"/>
      <c r="M343" s="607"/>
      <c r="N343" s="607"/>
      <c r="O343" s="613"/>
      <c r="P343" s="630" t="s">
        <v>73</v>
      </c>
      <c r="Q343" s="622"/>
      <c r="R343" s="622"/>
      <c r="S343" s="622"/>
      <c r="T343" s="622"/>
      <c r="U343" s="622"/>
      <c r="V343" s="623"/>
      <c r="W343" s="37" t="s">
        <v>68</v>
      </c>
      <c r="X343" s="38">
        <f>IFERROR(SUM(X339:X341),"0")</f>
        <v>0</v>
      </c>
      <c r="Y343" s="38">
        <f>IFERROR(SUM(Y339:Y341),"0")</f>
        <v>0</v>
      </c>
      <c r="Z343" s="37"/>
      <c r="AA343" s="59"/>
      <c r="AB343" s="59"/>
      <c r="AC343" s="59"/>
    </row>
    <row r="344" spans="1:68" ht="16.5" customHeight="1" x14ac:dyDescent="0.25">
      <c r="A344" s="606" t="s">
        <v>555</v>
      </c>
      <c r="B344" s="607"/>
      <c r="C344" s="607"/>
      <c r="D344" s="607"/>
      <c r="E344" s="607"/>
      <c r="F344" s="607"/>
      <c r="G344" s="607"/>
      <c r="H344" s="607"/>
      <c r="I344" s="607"/>
      <c r="J344" s="607"/>
      <c r="K344" s="607"/>
      <c r="L344" s="607"/>
      <c r="M344" s="607"/>
      <c r="N344" s="607"/>
      <c r="O344" s="607"/>
      <c r="P344" s="607"/>
      <c r="Q344" s="607"/>
      <c r="R344" s="607"/>
      <c r="S344" s="607"/>
      <c r="T344" s="607"/>
      <c r="U344" s="607"/>
      <c r="V344" s="607"/>
      <c r="W344" s="607"/>
      <c r="X344" s="607"/>
      <c r="Y344" s="607"/>
      <c r="Z344" s="607"/>
      <c r="AA344" s="592"/>
      <c r="AB344" s="592"/>
      <c r="AC344" s="592"/>
    </row>
    <row r="345" spans="1:68" ht="14.25" customHeight="1" x14ac:dyDescent="0.25">
      <c r="A345" s="615" t="s">
        <v>118</v>
      </c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7"/>
      <c r="P345" s="607"/>
      <c r="Q345" s="607"/>
      <c r="R345" s="607"/>
      <c r="S345" s="607"/>
      <c r="T345" s="607"/>
      <c r="U345" s="607"/>
      <c r="V345" s="607"/>
      <c r="W345" s="607"/>
      <c r="X345" s="607"/>
      <c r="Y345" s="607"/>
      <c r="Z345" s="607"/>
      <c r="AA345" s="588"/>
      <c r="AB345" s="588"/>
      <c r="AC345" s="588"/>
    </row>
    <row r="346" spans="1:68" ht="27" customHeight="1" x14ac:dyDescent="0.25">
      <c r="A346" s="57" t="s">
        <v>556</v>
      </c>
      <c r="B346" s="57" t="s">
        <v>557</v>
      </c>
      <c r="C346" s="31">
        <v>4301012126</v>
      </c>
      <c r="D346" s="601">
        <v>4607091386004</v>
      </c>
      <c r="E346" s="602"/>
      <c r="F346" s="56">
        <v>1.35</v>
      </c>
      <c r="G346" s="32">
        <v>8</v>
      </c>
      <c r="H346" s="56">
        <v>10.8</v>
      </c>
      <c r="I346" s="56">
        <v>11.21</v>
      </c>
      <c r="J346" s="32">
        <v>64</v>
      </c>
      <c r="K346" s="32" t="s">
        <v>121</v>
      </c>
      <c r="L346" s="32"/>
      <c r="M346" s="33" t="s">
        <v>122</v>
      </c>
      <c r="N346" s="33"/>
      <c r="O346" s="32">
        <v>55</v>
      </c>
      <c r="P346" s="72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4"/>
      <c r="V346" s="34"/>
      <c r="W346" s="35" t="s">
        <v>68</v>
      </c>
      <c r="X346" s="53">
        <v>0</v>
      </c>
      <c r="Y346" s="50">
        <f t="shared" ref="Y346:Y351" si="47">IFERROR(IF(X346="",0,CEILING((X346/$H346),1)*$H346),"")</f>
        <v>0</v>
      </c>
      <c r="Z346" s="36" t="str">
        <f>IFERROR(IF(Y346=0,"",ROUNDUP(Y346/H346,0)*0.01898),"")</f>
        <v/>
      </c>
      <c r="AA346" s="60"/>
      <c r="AB346" s="61"/>
      <c r="AC346" s="410" t="s">
        <v>558</v>
      </c>
      <c r="AG346" s="68"/>
      <c r="AJ346" s="71"/>
      <c r="AK346" s="71">
        <v>0</v>
      </c>
      <c r="BB346" s="411" t="s">
        <v>1</v>
      </c>
      <c r="BM346" s="68">
        <f t="shared" ref="BM346:BM351" si="48">IFERROR(X346*I346/H346,"0")</f>
        <v>0</v>
      </c>
      <c r="BN346" s="68">
        <f t="shared" ref="BN346:BN351" si="49">IFERROR(Y346*I346/H346,"0")</f>
        <v>0</v>
      </c>
      <c r="BO346" s="68">
        <f t="shared" ref="BO346:BO351" si="50">IFERROR(1/J346*(X346/H346),"0")</f>
        <v>0</v>
      </c>
      <c r="BP346" s="68">
        <f t="shared" ref="BP346:BP351" si="51">IFERROR(1/J346*(Y346/H346),"0")</f>
        <v>0</v>
      </c>
    </row>
    <row r="347" spans="1:68" ht="27" customHeight="1" x14ac:dyDescent="0.25">
      <c r="A347" s="57" t="s">
        <v>559</v>
      </c>
      <c r="B347" s="57" t="s">
        <v>560</v>
      </c>
      <c r="C347" s="31">
        <v>4301012235</v>
      </c>
      <c r="D347" s="601">
        <v>4680115887190</v>
      </c>
      <c r="E347" s="602"/>
      <c r="F347" s="56">
        <v>1.35</v>
      </c>
      <c r="G347" s="32">
        <v>8</v>
      </c>
      <c r="H347" s="56">
        <v>10.8</v>
      </c>
      <c r="I347" s="56">
        <v>11.21</v>
      </c>
      <c r="J347" s="32">
        <v>64</v>
      </c>
      <c r="K347" s="32" t="s">
        <v>121</v>
      </c>
      <c r="L347" s="32"/>
      <c r="M347" s="33" t="s">
        <v>122</v>
      </c>
      <c r="N347" s="33"/>
      <c r="O347" s="32">
        <v>55</v>
      </c>
      <c r="P347" s="6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4"/>
      <c r="V347" s="34"/>
      <c r="W347" s="35" t="s">
        <v>68</v>
      </c>
      <c r="X347" s="53">
        <v>0</v>
      </c>
      <c r="Y347" s="50">
        <f t="shared" si="47"/>
        <v>0</v>
      </c>
      <c r="Z347" s="36" t="str">
        <f>IFERROR(IF(Y347=0,"",ROUNDUP(Y347/H347,0)*0.01898),"")</f>
        <v/>
      </c>
      <c r="AA347" s="60"/>
      <c r="AB347" s="61"/>
      <c r="AC347" s="412" t="s">
        <v>561</v>
      </c>
      <c r="AG347" s="68"/>
      <c r="AJ347" s="71"/>
      <c r="AK347" s="71">
        <v>0</v>
      </c>
      <c r="BB347" s="413" t="s">
        <v>1</v>
      </c>
      <c r="BM347" s="68">
        <f t="shared" si="48"/>
        <v>0</v>
      </c>
      <c r="BN347" s="68">
        <f t="shared" si="49"/>
        <v>0</v>
      </c>
      <c r="BO347" s="68">
        <f t="shared" si="50"/>
        <v>0</v>
      </c>
      <c r="BP347" s="68">
        <f t="shared" si="51"/>
        <v>0</v>
      </c>
    </row>
    <row r="348" spans="1:68" ht="37.5" customHeight="1" x14ac:dyDescent="0.25">
      <c r="A348" s="57" t="s">
        <v>562</v>
      </c>
      <c r="B348" s="57" t="s">
        <v>563</v>
      </c>
      <c r="C348" s="31">
        <v>4301012233</v>
      </c>
      <c r="D348" s="601">
        <v>4680115887138</v>
      </c>
      <c r="E348" s="602"/>
      <c r="F348" s="56">
        <v>1.35</v>
      </c>
      <c r="G348" s="32">
        <v>8</v>
      </c>
      <c r="H348" s="56">
        <v>10.8</v>
      </c>
      <c r="I348" s="56">
        <v>11.21</v>
      </c>
      <c r="J348" s="32">
        <v>64</v>
      </c>
      <c r="K348" s="32" t="s">
        <v>121</v>
      </c>
      <c r="L348" s="32"/>
      <c r="M348" s="33" t="s">
        <v>122</v>
      </c>
      <c r="N348" s="33"/>
      <c r="O348" s="32">
        <v>55</v>
      </c>
      <c r="P348" s="72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4"/>
      <c r="V348" s="34"/>
      <c r="W348" s="35" t="s">
        <v>68</v>
      </c>
      <c r="X348" s="53">
        <v>0</v>
      </c>
      <c r="Y348" s="50">
        <f t="shared" si="47"/>
        <v>0</v>
      </c>
      <c r="Z348" s="36" t="str">
        <f>IFERROR(IF(Y348=0,"",ROUNDUP(Y348/H348,0)*0.01898),"")</f>
        <v/>
      </c>
      <c r="AA348" s="60"/>
      <c r="AB348" s="61"/>
      <c r="AC348" s="414" t="s">
        <v>564</v>
      </c>
      <c r="AG348" s="68"/>
      <c r="AJ348" s="71"/>
      <c r="AK348" s="71">
        <v>0</v>
      </c>
      <c r="BB348" s="415" t="s">
        <v>1</v>
      </c>
      <c r="BM348" s="68">
        <f t="shared" si="48"/>
        <v>0</v>
      </c>
      <c r="BN348" s="68">
        <f t="shared" si="49"/>
        <v>0</v>
      </c>
      <c r="BO348" s="68">
        <f t="shared" si="50"/>
        <v>0</v>
      </c>
      <c r="BP348" s="68">
        <f t="shared" si="51"/>
        <v>0</v>
      </c>
    </row>
    <row r="349" spans="1:68" ht="27" customHeight="1" x14ac:dyDescent="0.25">
      <c r="A349" s="57" t="s">
        <v>565</v>
      </c>
      <c r="B349" s="57" t="s">
        <v>566</v>
      </c>
      <c r="C349" s="31">
        <v>4301012016</v>
      </c>
      <c r="D349" s="601">
        <v>4680115885554</v>
      </c>
      <c r="E349" s="602"/>
      <c r="F349" s="56">
        <v>1.35</v>
      </c>
      <c r="G349" s="32">
        <v>8</v>
      </c>
      <c r="H349" s="56">
        <v>10.8</v>
      </c>
      <c r="I349" s="56">
        <v>11.21</v>
      </c>
      <c r="J349" s="32">
        <v>64</v>
      </c>
      <c r="K349" s="32" t="s">
        <v>121</v>
      </c>
      <c r="L349" s="32"/>
      <c r="M349" s="33" t="s">
        <v>79</v>
      </c>
      <c r="N349" s="33"/>
      <c r="O349" s="32">
        <v>55</v>
      </c>
      <c r="P349" s="68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4"/>
      <c r="V349" s="34"/>
      <c r="W349" s="35" t="s">
        <v>68</v>
      </c>
      <c r="X349" s="53">
        <v>0</v>
      </c>
      <c r="Y349" s="50">
        <f t="shared" si="47"/>
        <v>0</v>
      </c>
      <c r="Z349" s="36" t="str">
        <f>IFERROR(IF(Y349=0,"",ROUNDUP(Y349/H349,0)*0.01898),"")</f>
        <v/>
      </c>
      <c r="AA349" s="60"/>
      <c r="AB349" s="61"/>
      <c r="AC349" s="416" t="s">
        <v>567</v>
      </c>
      <c r="AG349" s="68"/>
      <c r="AJ349" s="71"/>
      <c r="AK349" s="71">
        <v>0</v>
      </c>
      <c r="BB349" s="417" t="s">
        <v>1</v>
      </c>
      <c r="BM349" s="68">
        <f t="shared" si="48"/>
        <v>0</v>
      </c>
      <c r="BN349" s="68">
        <f t="shared" si="49"/>
        <v>0</v>
      </c>
      <c r="BO349" s="68">
        <f t="shared" si="50"/>
        <v>0</v>
      </c>
      <c r="BP349" s="68">
        <f t="shared" si="51"/>
        <v>0</v>
      </c>
    </row>
    <row r="350" spans="1:68" ht="27" customHeight="1" x14ac:dyDescent="0.25">
      <c r="A350" s="57" t="s">
        <v>568</v>
      </c>
      <c r="B350" s="57" t="s">
        <v>569</v>
      </c>
      <c r="C350" s="31">
        <v>4301012236</v>
      </c>
      <c r="D350" s="601">
        <v>4680115887220</v>
      </c>
      <c r="E350" s="602"/>
      <c r="F350" s="56">
        <v>0.4</v>
      </c>
      <c r="G350" s="32">
        <v>10</v>
      </c>
      <c r="H350" s="56">
        <v>4</v>
      </c>
      <c r="I350" s="56">
        <v>4.1900000000000004</v>
      </c>
      <c r="J350" s="32">
        <v>132</v>
      </c>
      <c r="K350" s="32" t="s">
        <v>130</v>
      </c>
      <c r="L350" s="32"/>
      <c r="M350" s="33" t="s">
        <v>122</v>
      </c>
      <c r="N350" s="33"/>
      <c r="O350" s="32">
        <v>55</v>
      </c>
      <c r="P350" s="84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4"/>
      <c r="V350" s="34"/>
      <c r="W350" s="35" t="s">
        <v>68</v>
      </c>
      <c r="X350" s="53">
        <v>0</v>
      </c>
      <c r="Y350" s="50">
        <f t="shared" si="47"/>
        <v>0</v>
      </c>
      <c r="Z350" s="36" t="str">
        <f>IFERROR(IF(Y350=0,"",ROUNDUP(Y350/H350,0)*0.00902),"")</f>
        <v/>
      </c>
      <c r="AA350" s="60"/>
      <c r="AB350" s="61"/>
      <c r="AC350" s="418" t="s">
        <v>561</v>
      </c>
      <c r="AG350" s="68"/>
      <c r="AJ350" s="71"/>
      <c r="AK350" s="71">
        <v>0</v>
      </c>
      <c r="BB350" s="419" t="s">
        <v>1</v>
      </c>
      <c r="BM350" s="68">
        <f t="shared" si="48"/>
        <v>0</v>
      </c>
      <c r="BN350" s="68">
        <f t="shared" si="49"/>
        <v>0</v>
      </c>
      <c r="BO350" s="68">
        <f t="shared" si="50"/>
        <v>0</v>
      </c>
      <c r="BP350" s="68">
        <f t="shared" si="51"/>
        <v>0</v>
      </c>
    </row>
    <row r="351" spans="1:68" ht="27" customHeight="1" x14ac:dyDescent="0.25">
      <c r="A351" s="57" t="s">
        <v>570</v>
      </c>
      <c r="B351" s="57" t="s">
        <v>571</v>
      </c>
      <c r="C351" s="31">
        <v>4301011859</v>
      </c>
      <c r="D351" s="601">
        <v>4680115885608</v>
      </c>
      <c r="E351" s="602"/>
      <c r="F351" s="56">
        <v>0.4</v>
      </c>
      <c r="G351" s="32">
        <v>10</v>
      </c>
      <c r="H351" s="56">
        <v>4</v>
      </c>
      <c r="I351" s="56">
        <v>4.1900000000000004</v>
      </c>
      <c r="J351" s="32">
        <v>132</v>
      </c>
      <c r="K351" s="32" t="s">
        <v>130</v>
      </c>
      <c r="L351" s="32"/>
      <c r="M351" s="33" t="s">
        <v>122</v>
      </c>
      <c r="N351" s="33"/>
      <c r="O351" s="32">
        <v>55</v>
      </c>
      <c r="P351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4"/>
      <c r="V351" s="34"/>
      <c r="W351" s="35" t="s">
        <v>68</v>
      </c>
      <c r="X351" s="53">
        <v>0</v>
      </c>
      <c r="Y351" s="50">
        <f t="shared" si="47"/>
        <v>0</v>
      </c>
      <c r="Z351" s="36" t="str">
        <f>IFERROR(IF(Y351=0,"",ROUNDUP(Y351/H351,0)*0.00902),"")</f>
        <v/>
      </c>
      <c r="AA351" s="60"/>
      <c r="AB351" s="61"/>
      <c r="AC351" s="420" t="s">
        <v>572</v>
      </c>
      <c r="AG351" s="68"/>
      <c r="AJ351" s="71"/>
      <c r="AK351" s="71">
        <v>0</v>
      </c>
      <c r="BB351" s="421" t="s">
        <v>1</v>
      </c>
      <c r="BM351" s="68">
        <f t="shared" si="48"/>
        <v>0</v>
      </c>
      <c r="BN351" s="68">
        <f t="shared" si="49"/>
        <v>0</v>
      </c>
      <c r="BO351" s="68">
        <f t="shared" si="50"/>
        <v>0</v>
      </c>
      <c r="BP351" s="68">
        <f t="shared" si="51"/>
        <v>0</v>
      </c>
    </row>
    <row r="352" spans="1:68" x14ac:dyDescent="0.25">
      <c r="A352" s="612"/>
      <c r="B352" s="607"/>
      <c r="C352" s="607"/>
      <c r="D352" s="607"/>
      <c r="E352" s="607"/>
      <c r="F352" s="607"/>
      <c r="G352" s="607"/>
      <c r="H352" s="607"/>
      <c r="I352" s="607"/>
      <c r="J352" s="607"/>
      <c r="K352" s="607"/>
      <c r="L352" s="607"/>
      <c r="M352" s="607"/>
      <c r="N352" s="607"/>
      <c r="O352" s="613"/>
      <c r="P352" s="630" t="s">
        <v>73</v>
      </c>
      <c r="Q352" s="622"/>
      <c r="R352" s="622"/>
      <c r="S352" s="622"/>
      <c r="T352" s="622"/>
      <c r="U352" s="622"/>
      <c r="V352" s="623"/>
      <c r="W352" s="37" t="s">
        <v>74</v>
      </c>
      <c r="X352" s="38">
        <f>IFERROR(X346/H346,"0")+IFERROR(X347/H347,"0")+IFERROR(X348/H348,"0")+IFERROR(X349/H349,"0")+IFERROR(X350/H350,"0")+IFERROR(X351/H351,"0")</f>
        <v>0</v>
      </c>
      <c r="Y352" s="38">
        <f>IFERROR(Y346/H346,"0")+IFERROR(Y347/H347,"0")+IFERROR(Y348/H348,"0")+IFERROR(Y349/H349,"0")+IFERROR(Y350/H350,"0")+IFERROR(Y351/H351,"0")</f>
        <v>0</v>
      </c>
      <c r="Z352" s="38">
        <f>IFERROR(IF(Z346="",0,Z346),"0")+IFERROR(IF(Z347="",0,Z347),"0")+IFERROR(IF(Z348="",0,Z348),"0")+IFERROR(IF(Z349="",0,Z349),"0")+IFERROR(IF(Z350="",0,Z350),"0")+IFERROR(IF(Z351="",0,Z351),"0")</f>
        <v>0</v>
      </c>
      <c r="AA352" s="59"/>
      <c r="AB352" s="59"/>
      <c r="AC352" s="59"/>
    </row>
    <row r="353" spans="1:68" x14ac:dyDescent="0.25">
      <c r="A353" s="607"/>
      <c r="B353" s="607"/>
      <c r="C353" s="607"/>
      <c r="D353" s="607"/>
      <c r="E353" s="607"/>
      <c r="F353" s="607"/>
      <c r="G353" s="607"/>
      <c r="H353" s="607"/>
      <c r="I353" s="607"/>
      <c r="J353" s="607"/>
      <c r="K353" s="607"/>
      <c r="L353" s="607"/>
      <c r="M353" s="607"/>
      <c r="N353" s="607"/>
      <c r="O353" s="613"/>
      <c r="P353" s="630" t="s">
        <v>73</v>
      </c>
      <c r="Q353" s="622"/>
      <c r="R353" s="622"/>
      <c r="S353" s="622"/>
      <c r="T353" s="622"/>
      <c r="U353" s="622"/>
      <c r="V353" s="623"/>
      <c r="W353" s="37" t="s">
        <v>68</v>
      </c>
      <c r="X353" s="38">
        <f>IFERROR(SUM(X346:X351),"0")</f>
        <v>0</v>
      </c>
      <c r="Y353" s="38">
        <f>IFERROR(SUM(Y346:Y351),"0")</f>
        <v>0</v>
      </c>
      <c r="Z353" s="37"/>
      <c r="AA353" s="59"/>
      <c r="AB353" s="59"/>
      <c r="AC353" s="59"/>
    </row>
    <row r="354" spans="1:68" ht="14.25" customHeight="1" x14ac:dyDescent="0.25">
      <c r="A354" s="615" t="s">
        <v>63</v>
      </c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7"/>
      <c r="P354" s="607"/>
      <c r="Q354" s="607"/>
      <c r="R354" s="607"/>
      <c r="S354" s="607"/>
      <c r="T354" s="607"/>
      <c r="U354" s="607"/>
      <c r="V354" s="607"/>
      <c r="W354" s="607"/>
      <c r="X354" s="607"/>
      <c r="Y354" s="607"/>
      <c r="Z354" s="607"/>
      <c r="AA354" s="588"/>
      <c r="AB354" s="588"/>
      <c r="AC354" s="588"/>
    </row>
    <row r="355" spans="1:68" ht="27" customHeight="1" x14ac:dyDescent="0.25">
      <c r="A355" s="57" t="s">
        <v>573</v>
      </c>
      <c r="B355" s="57" t="s">
        <v>574</v>
      </c>
      <c r="C355" s="31">
        <v>4301030878</v>
      </c>
      <c r="D355" s="601">
        <v>4607091387193</v>
      </c>
      <c r="E355" s="602"/>
      <c r="F355" s="56">
        <v>0.7</v>
      </c>
      <c r="G355" s="32">
        <v>6</v>
      </c>
      <c r="H355" s="56">
        <v>4.2</v>
      </c>
      <c r="I355" s="56">
        <v>4.45</v>
      </c>
      <c r="J355" s="32">
        <v>132</v>
      </c>
      <c r="K355" s="32" t="s">
        <v>130</v>
      </c>
      <c r="L355" s="32"/>
      <c r="M355" s="33" t="s">
        <v>67</v>
      </c>
      <c r="N355" s="33"/>
      <c r="O355" s="32">
        <v>35</v>
      </c>
      <c r="P355" s="6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4"/>
      <c r="V355" s="34"/>
      <c r="W355" s="35" t="s">
        <v>68</v>
      </c>
      <c r="X355" s="53">
        <v>0</v>
      </c>
      <c r="Y355" s="50">
        <f t="shared" ref="Y355:Y361" si="52">IFERROR(IF(X355="",0,CEILING((X355/$H355),1)*$H355),"")</f>
        <v>0</v>
      </c>
      <c r="Z355" s="36" t="str">
        <f>IFERROR(IF(Y355=0,"",ROUNDUP(Y355/H355,0)*0.00902),"")</f>
        <v/>
      </c>
      <c r="AA355" s="60"/>
      <c r="AB355" s="61"/>
      <c r="AC355" s="422" t="s">
        <v>575</v>
      </c>
      <c r="AG355" s="68"/>
      <c r="AJ355" s="71"/>
      <c r="AK355" s="71">
        <v>0</v>
      </c>
      <c r="BB355" s="423" t="s">
        <v>1</v>
      </c>
      <c r="BM355" s="68">
        <f t="shared" ref="BM355:BM361" si="53">IFERROR(X355*I355/H355,"0")</f>
        <v>0</v>
      </c>
      <c r="BN355" s="68">
        <f t="shared" ref="BN355:BN361" si="54">IFERROR(Y355*I355/H355,"0")</f>
        <v>0</v>
      </c>
      <c r="BO355" s="68">
        <f t="shared" ref="BO355:BO361" si="55">IFERROR(1/J355*(X355/H355),"0")</f>
        <v>0</v>
      </c>
      <c r="BP355" s="68">
        <f t="shared" ref="BP355:BP361" si="56">IFERROR(1/J355*(Y355/H355),"0")</f>
        <v>0</v>
      </c>
    </row>
    <row r="356" spans="1:68" ht="27" customHeight="1" x14ac:dyDescent="0.25">
      <c r="A356" s="57" t="s">
        <v>576</v>
      </c>
      <c r="B356" s="57" t="s">
        <v>577</v>
      </c>
      <c r="C356" s="31">
        <v>4301031153</v>
      </c>
      <c r="D356" s="601">
        <v>4607091387230</v>
      </c>
      <c r="E356" s="602"/>
      <c r="F356" s="56">
        <v>0.7</v>
      </c>
      <c r="G356" s="32">
        <v>6</v>
      </c>
      <c r="H356" s="56">
        <v>4.2</v>
      </c>
      <c r="I356" s="56">
        <v>4.45</v>
      </c>
      <c r="J356" s="32">
        <v>132</v>
      </c>
      <c r="K356" s="32" t="s">
        <v>130</v>
      </c>
      <c r="L356" s="32"/>
      <c r="M356" s="33" t="s">
        <v>67</v>
      </c>
      <c r="N356" s="33"/>
      <c r="O356" s="32">
        <v>40</v>
      </c>
      <c r="P356" s="7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4"/>
      <c r="V356" s="34"/>
      <c r="W356" s="35" t="s">
        <v>68</v>
      </c>
      <c r="X356" s="53">
        <v>0</v>
      </c>
      <c r="Y356" s="50">
        <f t="shared" si="52"/>
        <v>0</v>
      </c>
      <c r="Z356" s="36" t="str">
        <f>IFERROR(IF(Y356=0,"",ROUNDUP(Y356/H356,0)*0.00902),"")</f>
        <v/>
      </c>
      <c r="AA356" s="60"/>
      <c r="AB356" s="61"/>
      <c r="AC356" s="424" t="s">
        <v>578</v>
      </c>
      <c r="AG356" s="68"/>
      <c r="AJ356" s="71"/>
      <c r="AK356" s="71">
        <v>0</v>
      </c>
      <c r="BB356" s="425" t="s">
        <v>1</v>
      </c>
      <c r="BM356" s="68">
        <f t="shared" si="53"/>
        <v>0</v>
      </c>
      <c r="BN356" s="68">
        <f t="shared" si="54"/>
        <v>0</v>
      </c>
      <c r="BO356" s="68">
        <f t="shared" si="55"/>
        <v>0</v>
      </c>
      <c r="BP356" s="68">
        <f t="shared" si="56"/>
        <v>0</v>
      </c>
    </row>
    <row r="357" spans="1:68" ht="27" customHeight="1" x14ac:dyDescent="0.25">
      <c r="A357" s="57" t="s">
        <v>579</v>
      </c>
      <c r="B357" s="57" t="s">
        <v>580</v>
      </c>
      <c r="C357" s="31">
        <v>4301031154</v>
      </c>
      <c r="D357" s="601">
        <v>4607091387292</v>
      </c>
      <c r="E357" s="602"/>
      <c r="F357" s="56">
        <v>0.73</v>
      </c>
      <c r="G357" s="32">
        <v>6</v>
      </c>
      <c r="H357" s="56">
        <v>4.38</v>
      </c>
      <c r="I357" s="56">
        <v>4.63</v>
      </c>
      <c r="J357" s="32">
        <v>132</v>
      </c>
      <c r="K357" s="32" t="s">
        <v>130</v>
      </c>
      <c r="L357" s="32"/>
      <c r="M357" s="33" t="s">
        <v>67</v>
      </c>
      <c r="N357" s="33"/>
      <c r="O357" s="32">
        <v>45</v>
      </c>
      <c r="P357" s="65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4"/>
      <c r="V357" s="34"/>
      <c r="W357" s="35" t="s">
        <v>68</v>
      </c>
      <c r="X357" s="53">
        <v>0</v>
      </c>
      <c r="Y357" s="50">
        <f t="shared" si="52"/>
        <v>0</v>
      </c>
      <c r="Z357" s="36" t="str">
        <f>IFERROR(IF(Y357=0,"",ROUNDUP(Y357/H357,0)*0.00902),"")</f>
        <v/>
      </c>
      <c r="AA357" s="60"/>
      <c r="AB357" s="61"/>
      <c r="AC357" s="426" t="s">
        <v>581</v>
      </c>
      <c r="AG357" s="68"/>
      <c r="AJ357" s="71"/>
      <c r="AK357" s="71">
        <v>0</v>
      </c>
      <c r="BB357" s="427" t="s">
        <v>1</v>
      </c>
      <c r="BM357" s="68">
        <f t="shared" si="53"/>
        <v>0</v>
      </c>
      <c r="BN357" s="68">
        <f t="shared" si="54"/>
        <v>0</v>
      </c>
      <c r="BO357" s="68">
        <f t="shared" si="55"/>
        <v>0</v>
      </c>
      <c r="BP357" s="68">
        <f t="shared" si="56"/>
        <v>0</v>
      </c>
    </row>
    <row r="358" spans="1:68" ht="27" customHeight="1" x14ac:dyDescent="0.25">
      <c r="A358" s="57" t="s">
        <v>582</v>
      </c>
      <c r="B358" s="57" t="s">
        <v>583</v>
      </c>
      <c r="C358" s="31">
        <v>4301031152</v>
      </c>
      <c r="D358" s="601">
        <v>4607091387285</v>
      </c>
      <c r="E358" s="602"/>
      <c r="F358" s="56">
        <v>0.35</v>
      </c>
      <c r="G358" s="32">
        <v>6</v>
      </c>
      <c r="H358" s="56">
        <v>2.1</v>
      </c>
      <c r="I358" s="56">
        <v>2.23</v>
      </c>
      <c r="J358" s="32">
        <v>234</v>
      </c>
      <c r="K358" s="32" t="s">
        <v>66</v>
      </c>
      <c r="L358" s="32"/>
      <c r="M358" s="33" t="s">
        <v>67</v>
      </c>
      <c r="N358" s="33"/>
      <c r="O358" s="32">
        <v>40</v>
      </c>
      <c r="P358" s="8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4"/>
      <c r="V358" s="34"/>
      <c r="W358" s="35" t="s">
        <v>68</v>
      </c>
      <c r="X358" s="53">
        <v>0</v>
      </c>
      <c r="Y358" s="50">
        <f t="shared" si="52"/>
        <v>0</v>
      </c>
      <c r="Z358" s="36" t="str">
        <f>IFERROR(IF(Y358=0,"",ROUNDUP(Y358/H358,0)*0.00502),"")</f>
        <v/>
      </c>
      <c r="AA358" s="60"/>
      <c r="AB358" s="61"/>
      <c r="AC358" s="428" t="s">
        <v>578</v>
      </c>
      <c r="AG358" s="68"/>
      <c r="AJ358" s="71"/>
      <c r="AK358" s="71">
        <v>0</v>
      </c>
      <c r="BB358" s="429" t="s">
        <v>1</v>
      </c>
      <c r="BM358" s="68">
        <f t="shared" si="53"/>
        <v>0</v>
      </c>
      <c r="BN358" s="68">
        <f t="shared" si="54"/>
        <v>0</v>
      </c>
      <c r="BO358" s="68">
        <f t="shared" si="55"/>
        <v>0</v>
      </c>
      <c r="BP358" s="68">
        <f t="shared" si="56"/>
        <v>0</v>
      </c>
    </row>
    <row r="359" spans="1:68" ht="27" customHeight="1" x14ac:dyDescent="0.25">
      <c r="A359" s="57" t="s">
        <v>584</v>
      </c>
      <c r="B359" s="57" t="s">
        <v>585</v>
      </c>
      <c r="C359" s="31">
        <v>4301031305</v>
      </c>
      <c r="D359" s="601">
        <v>4607091389845</v>
      </c>
      <c r="E359" s="602"/>
      <c r="F359" s="56">
        <v>0.35</v>
      </c>
      <c r="G359" s="32">
        <v>6</v>
      </c>
      <c r="H359" s="56">
        <v>2.1</v>
      </c>
      <c r="I359" s="56">
        <v>2.2000000000000002</v>
      </c>
      <c r="J359" s="32">
        <v>234</v>
      </c>
      <c r="K359" s="32" t="s">
        <v>66</v>
      </c>
      <c r="L359" s="32"/>
      <c r="M359" s="33" t="s">
        <v>67</v>
      </c>
      <c r="N359" s="33"/>
      <c r="O359" s="32">
        <v>40</v>
      </c>
      <c r="P359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4"/>
      <c r="V359" s="34"/>
      <c r="W359" s="35" t="s">
        <v>68</v>
      </c>
      <c r="X359" s="53">
        <v>0</v>
      </c>
      <c r="Y359" s="50">
        <f t="shared" si="52"/>
        <v>0</v>
      </c>
      <c r="Z359" s="36" t="str">
        <f>IFERROR(IF(Y359=0,"",ROUNDUP(Y359/H359,0)*0.00502),"")</f>
        <v/>
      </c>
      <c r="AA359" s="60"/>
      <c r="AB359" s="61"/>
      <c r="AC359" s="430" t="s">
        <v>586</v>
      </c>
      <c r="AG359" s="68"/>
      <c r="AJ359" s="71"/>
      <c r="AK359" s="71">
        <v>0</v>
      </c>
      <c r="BB359" s="431" t="s">
        <v>1</v>
      </c>
      <c r="BM359" s="68">
        <f t="shared" si="53"/>
        <v>0</v>
      </c>
      <c r="BN359" s="68">
        <f t="shared" si="54"/>
        <v>0</v>
      </c>
      <c r="BO359" s="68">
        <f t="shared" si="55"/>
        <v>0</v>
      </c>
      <c r="BP359" s="68">
        <f t="shared" si="56"/>
        <v>0</v>
      </c>
    </row>
    <row r="360" spans="1:68" ht="27" customHeight="1" x14ac:dyDescent="0.25">
      <c r="A360" s="57" t="s">
        <v>587</v>
      </c>
      <c r="B360" s="57" t="s">
        <v>588</v>
      </c>
      <c r="C360" s="31">
        <v>4301031460</v>
      </c>
      <c r="D360" s="601">
        <v>4680115887442</v>
      </c>
      <c r="E360" s="602"/>
      <c r="F360" s="56">
        <v>0.73</v>
      </c>
      <c r="G360" s="32">
        <v>6</v>
      </c>
      <c r="H360" s="56">
        <v>4.38</v>
      </c>
      <c r="I360" s="56">
        <v>4.63</v>
      </c>
      <c r="J360" s="32">
        <v>132</v>
      </c>
      <c r="K360" s="32" t="s">
        <v>130</v>
      </c>
      <c r="L360" s="32"/>
      <c r="M360" s="33" t="s">
        <v>67</v>
      </c>
      <c r="N360" s="33"/>
      <c r="O360" s="32">
        <v>45</v>
      </c>
      <c r="P360" s="6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4"/>
      <c r="V360" s="34"/>
      <c r="W360" s="35" t="s">
        <v>68</v>
      </c>
      <c r="X360" s="53">
        <v>0</v>
      </c>
      <c r="Y360" s="50">
        <f t="shared" si="52"/>
        <v>0</v>
      </c>
      <c r="Z360" s="36" t="str">
        <f>IFERROR(IF(Y360=0,"",ROUNDUP(Y360/H360,0)*0.00902),"")</f>
        <v/>
      </c>
      <c r="AA360" s="60"/>
      <c r="AB360" s="61"/>
      <c r="AC360" s="432" t="s">
        <v>581</v>
      </c>
      <c r="AG360" s="68"/>
      <c r="AJ360" s="71"/>
      <c r="AK360" s="71">
        <v>0</v>
      </c>
      <c r="BB360" s="433" t="s">
        <v>1</v>
      </c>
      <c r="BM360" s="68">
        <f t="shared" si="53"/>
        <v>0</v>
      </c>
      <c r="BN360" s="68">
        <f t="shared" si="54"/>
        <v>0</v>
      </c>
      <c r="BO360" s="68">
        <f t="shared" si="55"/>
        <v>0</v>
      </c>
      <c r="BP360" s="68">
        <f t="shared" si="56"/>
        <v>0</v>
      </c>
    </row>
    <row r="361" spans="1:68" ht="27" customHeight="1" x14ac:dyDescent="0.25">
      <c r="A361" s="57" t="s">
        <v>589</v>
      </c>
      <c r="B361" s="57" t="s">
        <v>590</v>
      </c>
      <c r="C361" s="31">
        <v>4301031066</v>
      </c>
      <c r="D361" s="601">
        <v>4607091383836</v>
      </c>
      <c r="E361" s="602"/>
      <c r="F361" s="56">
        <v>0.3</v>
      </c>
      <c r="G361" s="32">
        <v>6</v>
      </c>
      <c r="H361" s="56">
        <v>1.8</v>
      </c>
      <c r="I361" s="56">
        <v>2.028</v>
      </c>
      <c r="J361" s="32">
        <v>182</v>
      </c>
      <c r="K361" s="32" t="s">
        <v>78</v>
      </c>
      <c r="L361" s="32"/>
      <c r="M361" s="33" t="s">
        <v>67</v>
      </c>
      <c r="N361" s="33"/>
      <c r="O361" s="32">
        <v>40</v>
      </c>
      <c r="P361" s="7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4"/>
      <c r="V361" s="34"/>
      <c r="W361" s="35" t="s">
        <v>68</v>
      </c>
      <c r="X361" s="53">
        <v>0</v>
      </c>
      <c r="Y361" s="50">
        <f t="shared" si="52"/>
        <v>0</v>
      </c>
      <c r="Z361" s="36" t="str">
        <f>IFERROR(IF(Y361=0,"",ROUNDUP(Y361/H361,0)*0.00651),"")</f>
        <v/>
      </c>
      <c r="AA361" s="60"/>
      <c r="AB361" s="61"/>
      <c r="AC361" s="434" t="s">
        <v>591</v>
      </c>
      <c r="AG361" s="68"/>
      <c r="AJ361" s="71"/>
      <c r="AK361" s="71">
        <v>0</v>
      </c>
      <c r="BB361" s="435" t="s">
        <v>1</v>
      </c>
      <c r="BM361" s="68">
        <f t="shared" si="53"/>
        <v>0</v>
      </c>
      <c r="BN361" s="68">
        <f t="shared" si="54"/>
        <v>0</v>
      </c>
      <c r="BO361" s="68">
        <f t="shared" si="55"/>
        <v>0</v>
      </c>
      <c r="BP361" s="68">
        <f t="shared" si="56"/>
        <v>0</v>
      </c>
    </row>
    <row r="362" spans="1:68" x14ac:dyDescent="0.25">
      <c r="A362" s="612"/>
      <c r="B362" s="607"/>
      <c r="C362" s="607"/>
      <c r="D362" s="607"/>
      <c r="E362" s="607"/>
      <c r="F362" s="607"/>
      <c r="G362" s="607"/>
      <c r="H362" s="607"/>
      <c r="I362" s="607"/>
      <c r="J362" s="607"/>
      <c r="K362" s="607"/>
      <c r="L362" s="607"/>
      <c r="M362" s="607"/>
      <c r="N362" s="607"/>
      <c r="O362" s="613"/>
      <c r="P362" s="630" t="s">
        <v>73</v>
      </c>
      <c r="Q362" s="622"/>
      <c r="R362" s="622"/>
      <c r="S362" s="622"/>
      <c r="T362" s="622"/>
      <c r="U362" s="622"/>
      <c r="V362" s="623"/>
      <c r="W362" s="37" t="s">
        <v>74</v>
      </c>
      <c r="X362" s="38">
        <f>IFERROR(X355/H355,"0")+IFERROR(X356/H356,"0")+IFERROR(X357/H357,"0")+IFERROR(X358/H358,"0")+IFERROR(X359/H359,"0")+IFERROR(X360/H360,"0")+IFERROR(X361/H361,"0")</f>
        <v>0</v>
      </c>
      <c r="Y362" s="38">
        <f>IFERROR(Y355/H355,"0")+IFERROR(Y356/H356,"0")+IFERROR(Y357/H357,"0")+IFERROR(Y358/H358,"0")+IFERROR(Y359/H359,"0")+IFERROR(Y360/H360,"0")+IFERROR(Y361/H361,"0")</f>
        <v>0</v>
      </c>
      <c r="Z362" s="38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59"/>
      <c r="AB362" s="59"/>
      <c r="AC362" s="59"/>
    </row>
    <row r="363" spans="1:68" x14ac:dyDescent="0.25">
      <c r="A363" s="607"/>
      <c r="B363" s="607"/>
      <c r="C363" s="607"/>
      <c r="D363" s="607"/>
      <c r="E363" s="607"/>
      <c r="F363" s="607"/>
      <c r="G363" s="607"/>
      <c r="H363" s="607"/>
      <c r="I363" s="607"/>
      <c r="J363" s="607"/>
      <c r="K363" s="607"/>
      <c r="L363" s="607"/>
      <c r="M363" s="607"/>
      <c r="N363" s="607"/>
      <c r="O363" s="613"/>
      <c r="P363" s="630" t="s">
        <v>73</v>
      </c>
      <c r="Q363" s="622"/>
      <c r="R363" s="622"/>
      <c r="S363" s="622"/>
      <c r="T363" s="622"/>
      <c r="U363" s="622"/>
      <c r="V363" s="623"/>
      <c r="W363" s="37" t="s">
        <v>68</v>
      </c>
      <c r="X363" s="38">
        <f>IFERROR(SUM(X355:X361),"0")</f>
        <v>0</v>
      </c>
      <c r="Y363" s="38">
        <f>IFERROR(SUM(Y355:Y361),"0")</f>
        <v>0</v>
      </c>
      <c r="Z363" s="37"/>
      <c r="AA363" s="59"/>
      <c r="AB363" s="59"/>
      <c r="AC363" s="59"/>
    </row>
    <row r="364" spans="1:68" ht="14.25" customHeight="1" x14ac:dyDescent="0.25">
      <c r="A364" s="615" t="s">
        <v>75</v>
      </c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7"/>
      <c r="P364" s="607"/>
      <c r="Q364" s="607"/>
      <c r="R364" s="607"/>
      <c r="S364" s="607"/>
      <c r="T364" s="607"/>
      <c r="U364" s="607"/>
      <c r="V364" s="607"/>
      <c r="W364" s="607"/>
      <c r="X364" s="607"/>
      <c r="Y364" s="607"/>
      <c r="Z364" s="607"/>
      <c r="AA364" s="588"/>
      <c r="AB364" s="588"/>
      <c r="AC364" s="588"/>
    </row>
    <row r="365" spans="1:68" ht="27" customHeight="1" x14ac:dyDescent="0.25">
      <c r="A365" s="57" t="s">
        <v>592</v>
      </c>
      <c r="B365" s="57" t="s">
        <v>593</v>
      </c>
      <c r="C365" s="31">
        <v>4301051100</v>
      </c>
      <c r="D365" s="601">
        <v>4607091387766</v>
      </c>
      <c r="E365" s="602"/>
      <c r="F365" s="56">
        <v>1.3</v>
      </c>
      <c r="G365" s="32">
        <v>6</v>
      </c>
      <c r="H365" s="56">
        <v>7.8</v>
      </c>
      <c r="I365" s="56">
        <v>8.2880000000000003</v>
      </c>
      <c r="J365" s="32">
        <v>64</v>
      </c>
      <c r="K365" s="32" t="s">
        <v>121</v>
      </c>
      <c r="L365" s="32"/>
      <c r="M365" s="33" t="s">
        <v>79</v>
      </c>
      <c r="N365" s="33"/>
      <c r="O365" s="32">
        <v>40</v>
      </c>
      <c r="P365" s="6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4"/>
      <c r="V365" s="34"/>
      <c r="W365" s="35" t="s">
        <v>68</v>
      </c>
      <c r="X365" s="53">
        <v>0</v>
      </c>
      <c r="Y365" s="50">
        <f>IFERROR(IF(X365="",0,CEILING((X365/$H365),1)*$H365),"")</f>
        <v>0</v>
      </c>
      <c r="Z365" s="36" t="str">
        <f>IFERROR(IF(Y365=0,"",ROUNDUP(Y365/H365,0)*0.01898),"")</f>
        <v/>
      </c>
      <c r="AA365" s="60"/>
      <c r="AB365" s="61"/>
      <c r="AC365" s="436" t="s">
        <v>594</v>
      </c>
      <c r="AG365" s="68"/>
      <c r="AJ365" s="71"/>
      <c r="AK365" s="71">
        <v>0</v>
      </c>
      <c r="BB365" s="437" t="s">
        <v>1</v>
      </c>
      <c r="BM365" s="68">
        <f>IFERROR(X365*I365/H365,"0")</f>
        <v>0</v>
      </c>
      <c r="BN365" s="68">
        <f>IFERROR(Y365*I365/H365,"0")</f>
        <v>0</v>
      </c>
      <c r="BO365" s="68">
        <f>IFERROR(1/J365*(X365/H365),"0")</f>
        <v>0</v>
      </c>
      <c r="BP365" s="68">
        <f>IFERROR(1/J365*(Y365/H365),"0")</f>
        <v>0</v>
      </c>
    </row>
    <row r="366" spans="1:68" ht="27" customHeight="1" x14ac:dyDescent="0.25">
      <c r="A366" s="57" t="s">
        <v>595</v>
      </c>
      <c r="B366" s="57" t="s">
        <v>596</v>
      </c>
      <c r="C366" s="31">
        <v>4301051818</v>
      </c>
      <c r="D366" s="601">
        <v>4607091387957</v>
      </c>
      <c r="E366" s="602"/>
      <c r="F366" s="56">
        <v>1.3</v>
      </c>
      <c r="G366" s="32">
        <v>6</v>
      </c>
      <c r="H366" s="56">
        <v>7.8</v>
      </c>
      <c r="I366" s="56">
        <v>8.2940000000000005</v>
      </c>
      <c r="J366" s="32">
        <v>64</v>
      </c>
      <c r="K366" s="32" t="s">
        <v>121</v>
      </c>
      <c r="L366" s="32"/>
      <c r="M366" s="33" t="s">
        <v>79</v>
      </c>
      <c r="N366" s="33"/>
      <c r="O366" s="32">
        <v>40</v>
      </c>
      <c r="P366" s="9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4"/>
      <c r="V366" s="34"/>
      <c r="W366" s="35" t="s">
        <v>68</v>
      </c>
      <c r="X366" s="53">
        <v>0</v>
      </c>
      <c r="Y366" s="50">
        <f>IFERROR(IF(X366="",0,CEILING((X366/$H366),1)*$H366),"")</f>
        <v>0</v>
      </c>
      <c r="Z366" s="36" t="str">
        <f>IFERROR(IF(Y366=0,"",ROUNDUP(Y366/H366,0)*0.01898),"")</f>
        <v/>
      </c>
      <c r="AA366" s="60"/>
      <c r="AB366" s="61"/>
      <c r="AC366" s="438" t="s">
        <v>597</v>
      </c>
      <c r="AG366" s="68"/>
      <c r="AJ366" s="71"/>
      <c r="AK366" s="71">
        <v>0</v>
      </c>
      <c r="BB366" s="439" t="s">
        <v>1</v>
      </c>
      <c r="BM366" s="68">
        <f>IFERROR(X366*I366/H366,"0")</f>
        <v>0</v>
      </c>
      <c r="BN366" s="68">
        <f>IFERROR(Y366*I366/H366,"0")</f>
        <v>0</v>
      </c>
      <c r="BO366" s="68">
        <f>IFERROR(1/J366*(X366/H366),"0")</f>
        <v>0</v>
      </c>
      <c r="BP366" s="68">
        <f>IFERROR(1/J366*(Y366/H366),"0")</f>
        <v>0</v>
      </c>
    </row>
    <row r="367" spans="1:68" ht="37.5" customHeight="1" x14ac:dyDescent="0.25">
      <c r="A367" s="57" t="s">
        <v>598</v>
      </c>
      <c r="B367" s="57" t="s">
        <v>599</v>
      </c>
      <c r="C367" s="31">
        <v>4301051819</v>
      </c>
      <c r="D367" s="601">
        <v>4607091387964</v>
      </c>
      <c r="E367" s="602"/>
      <c r="F367" s="56">
        <v>1.35</v>
      </c>
      <c r="G367" s="32">
        <v>6</v>
      </c>
      <c r="H367" s="56">
        <v>8.1</v>
      </c>
      <c r="I367" s="56">
        <v>8.5760000000000005</v>
      </c>
      <c r="J367" s="32">
        <v>64</v>
      </c>
      <c r="K367" s="32" t="s">
        <v>121</v>
      </c>
      <c r="L367" s="32"/>
      <c r="M367" s="33" t="s">
        <v>79</v>
      </c>
      <c r="N367" s="33"/>
      <c r="O367" s="32">
        <v>40</v>
      </c>
      <c r="P367" s="6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4"/>
      <c r="V367" s="34"/>
      <c r="W367" s="35" t="s">
        <v>68</v>
      </c>
      <c r="X367" s="53">
        <v>0</v>
      </c>
      <c r="Y367" s="50">
        <f>IFERROR(IF(X367="",0,CEILING((X367/$H367),1)*$H367),"")</f>
        <v>0</v>
      </c>
      <c r="Z367" s="36" t="str">
        <f>IFERROR(IF(Y367=0,"",ROUNDUP(Y367/H367,0)*0.01898),"")</f>
        <v/>
      </c>
      <c r="AA367" s="60"/>
      <c r="AB367" s="61"/>
      <c r="AC367" s="440" t="s">
        <v>600</v>
      </c>
      <c r="AG367" s="68"/>
      <c r="AJ367" s="71"/>
      <c r="AK367" s="71">
        <v>0</v>
      </c>
      <c r="BB367" s="441" t="s">
        <v>1</v>
      </c>
      <c r="BM367" s="68">
        <f>IFERROR(X367*I367/H367,"0")</f>
        <v>0</v>
      </c>
      <c r="BN367" s="68">
        <f>IFERROR(Y367*I367/H367,"0")</f>
        <v>0</v>
      </c>
      <c r="BO367" s="68">
        <f>IFERROR(1/J367*(X367/H367),"0")</f>
        <v>0</v>
      </c>
      <c r="BP367" s="68">
        <f>IFERROR(1/J367*(Y367/H367),"0")</f>
        <v>0</v>
      </c>
    </row>
    <row r="368" spans="1:68" ht="27" customHeight="1" x14ac:dyDescent="0.25">
      <c r="A368" s="57" t="s">
        <v>601</v>
      </c>
      <c r="B368" s="57" t="s">
        <v>602</v>
      </c>
      <c r="C368" s="31">
        <v>4301051734</v>
      </c>
      <c r="D368" s="601">
        <v>4680115884588</v>
      </c>
      <c r="E368" s="602"/>
      <c r="F368" s="56">
        <v>0.5</v>
      </c>
      <c r="G368" s="32">
        <v>6</v>
      </c>
      <c r="H368" s="56">
        <v>3</v>
      </c>
      <c r="I368" s="56">
        <v>3.246</v>
      </c>
      <c r="J368" s="32">
        <v>182</v>
      </c>
      <c r="K368" s="32" t="s">
        <v>78</v>
      </c>
      <c r="L368" s="32"/>
      <c r="M368" s="33" t="s">
        <v>79</v>
      </c>
      <c r="N368" s="33"/>
      <c r="O368" s="32">
        <v>40</v>
      </c>
      <c r="P368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4"/>
      <c r="V368" s="34"/>
      <c r="W368" s="35" t="s">
        <v>68</v>
      </c>
      <c r="X368" s="53">
        <v>0</v>
      </c>
      <c r="Y368" s="50">
        <f>IFERROR(IF(X368="",0,CEILING((X368/$H368),1)*$H368),"")</f>
        <v>0</v>
      </c>
      <c r="Z368" s="36" t="str">
        <f>IFERROR(IF(Y368=0,"",ROUNDUP(Y368/H368,0)*0.00651),"")</f>
        <v/>
      </c>
      <c r="AA368" s="60"/>
      <c r="AB368" s="61"/>
      <c r="AC368" s="442" t="s">
        <v>594</v>
      </c>
      <c r="AG368" s="68"/>
      <c r="AJ368" s="71"/>
      <c r="AK368" s="71">
        <v>0</v>
      </c>
      <c r="BB368" s="443" t="s">
        <v>1</v>
      </c>
      <c r="BM368" s="68">
        <f>IFERROR(X368*I368/H368,"0")</f>
        <v>0</v>
      </c>
      <c r="BN368" s="68">
        <f>IFERROR(Y368*I368/H368,"0")</f>
        <v>0</v>
      </c>
      <c r="BO368" s="68">
        <f>IFERROR(1/J368*(X368/H368),"0")</f>
        <v>0</v>
      </c>
      <c r="BP368" s="68">
        <f>IFERROR(1/J368*(Y368/H368),"0")</f>
        <v>0</v>
      </c>
    </row>
    <row r="369" spans="1:68" x14ac:dyDescent="0.25">
      <c r="A369" s="612"/>
      <c r="B369" s="607"/>
      <c r="C369" s="607"/>
      <c r="D369" s="607"/>
      <c r="E369" s="607"/>
      <c r="F369" s="607"/>
      <c r="G369" s="607"/>
      <c r="H369" s="607"/>
      <c r="I369" s="607"/>
      <c r="J369" s="607"/>
      <c r="K369" s="607"/>
      <c r="L369" s="607"/>
      <c r="M369" s="607"/>
      <c r="N369" s="607"/>
      <c r="O369" s="613"/>
      <c r="P369" s="630" t="s">
        <v>73</v>
      </c>
      <c r="Q369" s="622"/>
      <c r="R369" s="622"/>
      <c r="S369" s="622"/>
      <c r="T369" s="622"/>
      <c r="U369" s="622"/>
      <c r="V369" s="623"/>
      <c r="W369" s="37" t="s">
        <v>74</v>
      </c>
      <c r="X369" s="38">
        <f>IFERROR(X365/H365,"0")+IFERROR(X366/H366,"0")+IFERROR(X367/H367,"0")+IFERROR(X368/H368,"0")</f>
        <v>0</v>
      </c>
      <c r="Y369" s="38">
        <f>IFERROR(Y365/H365,"0")+IFERROR(Y366/H366,"0")+IFERROR(Y367/H367,"0")+IFERROR(Y368/H368,"0")</f>
        <v>0</v>
      </c>
      <c r="Z369" s="38">
        <f>IFERROR(IF(Z365="",0,Z365),"0")+IFERROR(IF(Z366="",0,Z366),"0")+IFERROR(IF(Z367="",0,Z367),"0")+IFERROR(IF(Z368="",0,Z368),"0")</f>
        <v>0</v>
      </c>
      <c r="AA369" s="59"/>
      <c r="AB369" s="59"/>
      <c r="AC369" s="59"/>
    </row>
    <row r="370" spans="1:68" x14ac:dyDescent="0.25">
      <c r="A370" s="607"/>
      <c r="B370" s="607"/>
      <c r="C370" s="607"/>
      <c r="D370" s="607"/>
      <c r="E370" s="607"/>
      <c r="F370" s="607"/>
      <c r="G370" s="607"/>
      <c r="H370" s="607"/>
      <c r="I370" s="607"/>
      <c r="J370" s="607"/>
      <c r="K370" s="607"/>
      <c r="L370" s="607"/>
      <c r="M370" s="607"/>
      <c r="N370" s="607"/>
      <c r="O370" s="613"/>
      <c r="P370" s="630" t="s">
        <v>73</v>
      </c>
      <c r="Q370" s="622"/>
      <c r="R370" s="622"/>
      <c r="S370" s="622"/>
      <c r="T370" s="622"/>
      <c r="U370" s="622"/>
      <c r="V370" s="623"/>
      <c r="W370" s="37" t="s">
        <v>68</v>
      </c>
      <c r="X370" s="38">
        <f>IFERROR(SUM(X365:X368),"0")</f>
        <v>0</v>
      </c>
      <c r="Y370" s="38">
        <f>IFERROR(SUM(Y365:Y368),"0")</f>
        <v>0</v>
      </c>
      <c r="Z370" s="37"/>
      <c r="AA370" s="59"/>
      <c r="AB370" s="59"/>
      <c r="AC370" s="59"/>
    </row>
    <row r="371" spans="1:68" ht="14.25" customHeight="1" x14ac:dyDescent="0.25">
      <c r="A371" s="615" t="s">
        <v>170</v>
      </c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7"/>
      <c r="P371" s="607"/>
      <c r="Q371" s="607"/>
      <c r="R371" s="607"/>
      <c r="S371" s="607"/>
      <c r="T371" s="607"/>
      <c r="U371" s="607"/>
      <c r="V371" s="607"/>
      <c r="W371" s="607"/>
      <c r="X371" s="607"/>
      <c r="Y371" s="607"/>
      <c r="Z371" s="607"/>
      <c r="AA371" s="588"/>
      <c r="AB371" s="588"/>
      <c r="AC371" s="588"/>
    </row>
    <row r="372" spans="1:68" ht="27" customHeight="1" x14ac:dyDescent="0.25">
      <c r="A372" s="57" t="s">
        <v>603</v>
      </c>
      <c r="B372" s="57" t="s">
        <v>604</v>
      </c>
      <c r="C372" s="31">
        <v>4301060387</v>
      </c>
      <c r="D372" s="601">
        <v>4607091380880</v>
      </c>
      <c r="E372" s="602"/>
      <c r="F372" s="56">
        <v>1.4</v>
      </c>
      <c r="G372" s="32">
        <v>6</v>
      </c>
      <c r="H372" s="56">
        <v>8.4</v>
      </c>
      <c r="I372" s="56">
        <v>8.8940000000000001</v>
      </c>
      <c r="J372" s="32">
        <v>64</v>
      </c>
      <c r="K372" s="32" t="s">
        <v>121</v>
      </c>
      <c r="L372" s="32"/>
      <c r="M372" s="33" t="s">
        <v>79</v>
      </c>
      <c r="N372" s="33"/>
      <c r="O372" s="32">
        <v>30</v>
      </c>
      <c r="P372" s="80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4"/>
      <c r="V372" s="34"/>
      <c r="W372" s="35" t="s">
        <v>68</v>
      </c>
      <c r="X372" s="53">
        <v>0</v>
      </c>
      <c r="Y372" s="50">
        <f>IFERROR(IF(X372="",0,CEILING((X372/$H372),1)*$H372),"")</f>
        <v>0</v>
      </c>
      <c r="Z372" s="36" t="str">
        <f>IFERROR(IF(Y372=0,"",ROUNDUP(Y372/H372,0)*0.01898),"")</f>
        <v/>
      </c>
      <c r="AA372" s="60"/>
      <c r="AB372" s="61"/>
      <c r="AC372" s="444" t="s">
        <v>605</v>
      </c>
      <c r="AG372" s="68"/>
      <c r="AJ372" s="71"/>
      <c r="AK372" s="71">
        <v>0</v>
      </c>
      <c r="BB372" s="445" t="s">
        <v>1</v>
      </c>
      <c r="BM372" s="68">
        <f>IFERROR(X372*I372/H372,"0")</f>
        <v>0</v>
      </c>
      <c r="BN372" s="68">
        <f>IFERROR(Y372*I372/H372,"0")</f>
        <v>0</v>
      </c>
      <c r="BO372" s="68">
        <f>IFERROR(1/J372*(X372/H372),"0")</f>
        <v>0</v>
      </c>
      <c r="BP372" s="68">
        <f>IFERROR(1/J372*(Y372/H372),"0")</f>
        <v>0</v>
      </c>
    </row>
    <row r="373" spans="1:68" ht="27" customHeight="1" x14ac:dyDescent="0.25">
      <c r="A373" s="57" t="s">
        <v>606</v>
      </c>
      <c r="B373" s="57" t="s">
        <v>607</v>
      </c>
      <c r="C373" s="31">
        <v>4301060406</v>
      </c>
      <c r="D373" s="601">
        <v>4607091384482</v>
      </c>
      <c r="E373" s="602"/>
      <c r="F373" s="56">
        <v>1.3</v>
      </c>
      <c r="G373" s="32">
        <v>6</v>
      </c>
      <c r="H373" s="56">
        <v>7.8</v>
      </c>
      <c r="I373" s="56">
        <v>8.2940000000000005</v>
      </c>
      <c r="J373" s="32">
        <v>64</v>
      </c>
      <c r="K373" s="32" t="s">
        <v>121</v>
      </c>
      <c r="L373" s="32"/>
      <c r="M373" s="33" t="s">
        <v>79</v>
      </c>
      <c r="N373" s="33"/>
      <c r="O373" s="32">
        <v>30</v>
      </c>
      <c r="P373" s="61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4"/>
      <c r="V373" s="34"/>
      <c r="W373" s="35" t="s">
        <v>68</v>
      </c>
      <c r="X373" s="53">
        <v>700</v>
      </c>
      <c r="Y373" s="50">
        <f>IFERROR(IF(X373="",0,CEILING((X373/$H373),1)*$H373),"")</f>
        <v>702</v>
      </c>
      <c r="Z373" s="36">
        <f>IFERROR(IF(Y373=0,"",ROUNDUP(Y373/H373,0)*0.01898),"")</f>
        <v>1.7081999999999999</v>
      </c>
      <c r="AA373" s="60"/>
      <c r="AB373" s="61"/>
      <c r="AC373" s="446" t="s">
        <v>608</v>
      </c>
      <c r="AG373" s="68"/>
      <c r="AJ373" s="71"/>
      <c r="AK373" s="71">
        <v>0</v>
      </c>
      <c r="BB373" s="447" t="s">
        <v>1</v>
      </c>
      <c r="BM373" s="68">
        <f>IFERROR(X373*I373/H373,"0")</f>
        <v>744.33333333333337</v>
      </c>
      <c r="BN373" s="68">
        <f>IFERROR(Y373*I373/H373,"0")</f>
        <v>746.46</v>
      </c>
      <c r="BO373" s="68">
        <f>IFERROR(1/J373*(X373/H373),"0")</f>
        <v>1.4022435897435899</v>
      </c>
      <c r="BP373" s="68">
        <f>IFERROR(1/J373*(Y373/H373),"0")</f>
        <v>1.40625</v>
      </c>
    </row>
    <row r="374" spans="1:68" ht="16.5" customHeight="1" x14ac:dyDescent="0.25">
      <c r="A374" s="57" t="s">
        <v>609</v>
      </c>
      <c r="B374" s="57" t="s">
        <v>610</v>
      </c>
      <c r="C374" s="31">
        <v>4301060484</v>
      </c>
      <c r="D374" s="601">
        <v>4607091380897</v>
      </c>
      <c r="E374" s="602"/>
      <c r="F374" s="56">
        <v>1.4</v>
      </c>
      <c r="G374" s="32">
        <v>6</v>
      </c>
      <c r="H374" s="56">
        <v>8.4</v>
      </c>
      <c r="I374" s="56">
        <v>8.8940000000000001</v>
      </c>
      <c r="J374" s="32">
        <v>64</v>
      </c>
      <c r="K374" s="32" t="s">
        <v>121</v>
      </c>
      <c r="L374" s="32"/>
      <c r="M374" s="33" t="s">
        <v>85</v>
      </c>
      <c r="N374" s="33"/>
      <c r="O374" s="32">
        <v>30</v>
      </c>
      <c r="P374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4"/>
      <c r="V374" s="34"/>
      <c r="W374" s="35" t="s">
        <v>68</v>
      </c>
      <c r="X374" s="53">
        <v>0</v>
      </c>
      <c r="Y374" s="50">
        <f>IFERROR(IF(X374="",0,CEILING((X374/$H374),1)*$H374),"")</f>
        <v>0</v>
      </c>
      <c r="Z374" s="36" t="str">
        <f>IFERROR(IF(Y374=0,"",ROUNDUP(Y374/H374,0)*0.01898),"")</f>
        <v/>
      </c>
      <c r="AA374" s="60"/>
      <c r="AB374" s="61"/>
      <c r="AC374" s="448" t="s">
        <v>611</v>
      </c>
      <c r="AG374" s="68"/>
      <c r="AJ374" s="71"/>
      <c r="AK374" s="71">
        <v>0</v>
      </c>
      <c r="BB374" s="449" t="s">
        <v>1</v>
      </c>
      <c r="BM374" s="68">
        <f>IFERROR(X374*I374/H374,"0")</f>
        <v>0</v>
      </c>
      <c r="BN374" s="68">
        <f>IFERROR(Y374*I374/H374,"0")</f>
        <v>0</v>
      </c>
      <c r="BO374" s="68">
        <f>IFERROR(1/J374*(X374/H374),"0")</f>
        <v>0</v>
      </c>
      <c r="BP374" s="68">
        <f>IFERROR(1/J374*(Y374/H374),"0")</f>
        <v>0</v>
      </c>
    </row>
    <row r="375" spans="1:68" x14ac:dyDescent="0.25">
      <c r="A375" s="612"/>
      <c r="B375" s="607"/>
      <c r="C375" s="607"/>
      <c r="D375" s="607"/>
      <c r="E375" s="607"/>
      <c r="F375" s="607"/>
      <c r="G375" s="607"/>
      <c r="H375" s="607"/>
      <c r="I375" s="607"/>
      <c r="J375" s="607"/>
      <c r="K375" s="607"/>
      <c r="L375" s="607"/>
      <c r="M375" s="607"/>
      <c r="N375" s="607"/>
      <c r="O375" s="613"/>
      <c r="P375" s="630" t="s">
        <v>73</v>
      </c>
      <c r="Q375" s="622"/>
      <c r="R375" s="622"/>
      <c r="S375" s="622"/>
      <c r="T375" s="622"/>
      <c r="U375" s="622"/>
      <c r="V375" s="623"/>
      <c r="W375" s="37" t="s">
        <v>74</v>
      </c>
      <c r="X375" s="38">
        <f>IFERROR(X372/H372,"0")+IFERROR(X373/H373,"0")+IFERROR(X374/H374,"0")</f>
        <v>89.743589743589752</v>
      </c>
      <c r="Y375" s="38">
        <f>IFERROR(Y372/H372,"0")+IFERROR(Y373/H373,"0")+IFERROR(Y374/H374,"0")</f>
        <v>90</v>
      </c>
      <c r="Z375" s="38">
        <f>IFERROR(IF(Z372="",0,Z372),"0")+IFERROR(IF(Z373="",0,Z373),"0")+IFERROR(IF(Z374="",0,Z374),"0")</f>
        <v>1.7081999999999999</v>
      </c>
      <c r="AA375" s="59"/>
      <c r="AB375" s="59"/>
      <c r="AC375" s="59"/>
    </row>
    <row r="376" spans="1:68" x14ac:dyDescent="0.25">
      <c r="A376" s="607"/>
      <c r="B376" s="607"/>
      <c r="C376" s="607"/>
      <c r="D376" s="607"/>
      <c r="E376" s="607"/>
      <c r="F376" s="607"/>
      <c r="G376" s="607"/>
      <c r="H376" s="607"/>
      <c r="I376" s="607"/>
      <c r="J376" s="607"/>
      <c r="K376" s="607"/>
      <c r="L376" s="607"/>
      <c r="M376" s="607"/>
      <c r="N376" s="607"/>
      <c r="O376" s="613"/>
      <c r="P376" s="630" t="s">
        <v>73</v>
      </c>
      <c r="Q376" s="622"/>
      <c r="R376" s="622"/>
      <c r="S376" s="622"/>
      <c r="T376" s="622"/>
      <c r="U376" s="622"/>
      <c r="V376" s="623"/>
      <c r="W376" s="37" t="s">
        <v>68</v>
      </c>
      <c r="X376" s="38">
        <f>IFERROR(SUM(X372:X374),"0")</f>
        <v>700</v>
      </c>
      <c r="Y376" s="38">
        <f>IFERROR(SUM(Y372:Y374),"0")</f>
        <v>702</v>
      </c>
      <c r="Z376" s="37"/>
      <c r="AA376" s="59"/>
      <c r="AB376" s="59"/>
      <c r="AC376" s="59"/>
    </row>
    <row r="377" spans="1:68" ht="14.25" customHeight="1" x14ac:dyDescent="0.25">
      <c r="A377" s="615" t="s">
        <v>96</v>
      </c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7"/>
      <c r="P377" s="607"/>
      <c r="Q377" s="607"/>
      <c r="R377" s="607"/>
      <c r="S377" s="607"/>
      <c r="T377" s="607"/>
      <c r="U377" s="607"/>
      <c r="V377" s="607"/>
      <c r="W377" s="607"/>
      <c r="X377" s="607"/>
      <c r="Y377" s="607"/>
      <c r="Z377" s="607"/>
      <c r="AA377" s="588"/>
      <c r="AB377" s="588"/>
      <c r="AC377" s="588"/>
    </row>
    <row r="378" spans="1:68" ht="27" customHeight="1" x14ac:dyDescent="0.25">
      <c r="A378" s="57" t="s">
        <v>612</v>
      </c>
      <c r="B378" s="57" t="s">
        <v>613</v>
      </c>
      <c r="C378" s="31">
        <v>4301030235</v>
      </c>
      <c r="D378" s="601">
        <v>4607091388381</v>
      </c>
      <c r="E378" s="602"/>
      <c r="F378" s="56">
        <v>0.38</v>
      </c>
      <c r="G378" s="32">
        <v>8</v>
      </c>
      <c r="H378" s="56">
        <v>3.04</v>
      </c>
      <c r="I378" s="56">
        <v>3.31</v>
      </c>
      <c r="J378" s="32">
        <v>132</v>
      </c>
      <c r="K378" s="32" t="s">
        <v>130</v>
      </c>
      <c r="L378" s="32"/>
      <c r="M378" s="33" t="s">
        <v>99</v>
      </c>
      <c r="N378" s="33"/>
      <c r="O378" s="32">
        <v>180</v>
      </c>
      <c r="P378" s="8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4"/>
      <c r="V378" s="34"/>
      <c r="W378" s="35" t="s">
        <v>68</v>
      </c>
      <c r="X378" s="53">
        <v>0</v>
      </c>
      <c r="Y378" s="50">
        <f>IFERROR(IF(X378="",0,CEILING((X378/$H378),1)*$H378),"")</f>
        <v>0</v>
      </c>
      <c r="Z378" s="36" t="str">
        <f>IFERROR(IF(Y378=0,"",ROUNDUP(Y378/H378,0)*0.00902),"")</f>
        <v/>
      </c>
      <c r="AA378" s="60"/>
      <c r="AB378" s="61"/>
      <c r="AC378" s="450" t="s">
        <v>614</v>
      </c>
      <c r="AG378" s="68"/>
      <c r="AJ378" s="71"/>
      <c r="AK378" s="71">
        <v>0</v>
      </c>
      <c r="BB378" s="451" t="s">
        <v>1</v>
      </c>
      <c r="BM378" s="68">
        <f>IFERROR(X378*I378/H378,"0")</f>
        <v>0</v>
      </c>
      <c r="BN378" s="68">
        <f>IFERROR(Y378*I378/H378,"0")</f>
        <v>0</v>
      </c>
      <c r="BO378" s="68">
        <f>IFERROR(1/J378*(X378/H378),"0")</f>
        <v>0</v>
      </c>
      <c r="BP378" s="68">
        <f>IFERROR(1/J378*(Y378/H378),"0")</f>
        <v>0</v>
      </c>
    </row>
    <row r="379" spans="1:68" ht="27" customHeight="1" x14ac:dyDescent="0.25">
      <c r="A379" s="57" t="s">
        <v>615</v>
      </c>
      <c r="B379" s="57" t="s">
        <v>616</v>
      </c>
      <c r="C379" s="31">
        <v>4301030232</v>
      </c>
      <c r="D379" s="601">
        <v>4607091388374</v>
      </c>
      <c r="E379" s="602"/>
      <c r="F379" s="56">
        <v>0.38</v>
      </c>
      <c r="G379" s="32">
        <v>8</v>
      </c>
      <c r="H379" s="56">
        <v>3.04</v>
      </c>
      <c r="I379" s="56">
        <v>3.27</v>
      </c>
      <c r="J379" s="32">
        <v>132</v>
      </c>
      <c r="K379" s="32" t="s">
        <v>130</v>
      </c>
      <c r="L379" s="32"/>
      <c r="M379" s="33" t="s">
        <v>99</v>
      </c>
      <c r="N379" s="33"/>
      <c r="O379" s="32">
        <v>180</v>
      </c>
      <c r="P379" s="9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4"/>
      <c r="V379" s="34"/>
      <c r="W379" s="35" t="s">
        <v>68</v>
      </c>
      <c r="X379" s="53">
        <v>0</v>
      </c>
      <c r="Y379" s="50">
        <f>IFERROR(IF(X379="",0,CEILING((X379/$H379),1)*$H379),"")</f>
        <v>0</v>
      </c>
      <c r="Z379" s="36" t="str">
        <f>IFERROR(IF(Y379=0,"",ROUNDUP(Y379/H379,0)*0.00902),"")</f>
        <v/>
      </c>
      <c r="AA379" s="60"/>
      <c r="AB379" s="61"/>
      <c r="AC379" s="452" t="s">
        <v>614</v>
      </c>
      <c r="AG379" s="68"/>
      <c r="AJ379" s="71"/>
      <c r="AK379" s="71">
        <v>0</v>
      </c>
      <c r="BB379" s="453" t="s">
        <v>1</v>
      </c>
      <c r="BM379" s="68">
        <f>IFERROR(X379*I379/H379,"0")</f>
        <v>0</v>
      </c>
      <c r="BN379" s="68">
        <f>IFERROR(Y379*I379/H379,"0")</f>
        <v>0</v>
      </c>
      <c r="BO379" s="68">
        <f>IFERROR(1/J379*(X379/H379),"0")</f>
        <v>0</v>
      </c>
      <c r="BP379" s="68">
        <f>IFERROR(1/J379*(Y379/H379),"0")</f>
        <v>0</v>
      </c>
    </row>
    <row r="380" spans="1:68" ht="27" customHeight="1" x14ac:dyDescent="0.25">
      <c r="A380" s="57" t="s">
        <v>617</v>
      </c>
      <c r="B380" s="57" t="s">
        <v>618</v>
      </c>
      <c r="C380" s="31">
        <v>4301032015</v>
      </c>
      <c r="D380" s="601">
        <v>4607091383102</v>
      </c>
      <c r="E380" s="602"/>
      <c r="F380" s="56">
        <v>0.17</v>
      </c>
      <c r="G380" s="32">
        <v>15</v>
      </c>
      <c r="H380" s="56">
        <v>2.5499999999999998</v>
      </c>
      <c r="I380" s="56">
        <v>2.9550000000000001</v>
      </c>
      <c r="J380" s="32">
        <v>182</v>
      </c>
      <c r="K380" s="32" t="s">
        <v>78</v>
      </c>
      <c r="L380" s="32"/>
      <c r="M380" s="33" t="s">
        <v>99</v>
      </c>
      <c r="N380" s="33"/>
      <c r="O380" s="32">
        <v>180</v>
      </c>
      <c r="P380" s="7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4"/>
      <c r="V380" s="34"/>
      <c r="W380" s="35" t="s">
        <v>68</v>
      </c>
      <c r="X380" s="53">
        <v>0</v>
      </c>
      <c r="Y380" s="50">
        <f>IFERROR(IF(X380="",0,CEILING((X380/$H380),1)*$H380),"")</f>
        <v>0</v>
      </c>
      <c r="Z380" s="36" t="str">
        <f>IFERROR(IF(Y380=0,"",ROUNDUP(Y380/H380,0)*0.00651),"")</f>
        <v/>
      </c>
      <c r="AA380" s="60"/>
      <c r="AB380" s="61"/>
      <c r="AC380" s="454" t="s">
        <v>614</v>
      </c>
      <c r="AG380" s="68"/>
      <c r="AJ380" s="71"/>
      <c r="AK380" s="71">
        <v>0</v>
      </c>
      <c r="BB380" s="455" t="s">
        <v>1</v>
      </c>
      <c r="BM380" s="68">
        <f>IFERROR(X380*I380/H380,"0")</f>
        <v>0</v>
      </c>
      <c r="BN380" s="68">
        <f>IFERROR(Y380*I380/H380,"0")</f>
        <v>0</v>
      </c>
      <c r="BO380" s="68">
        <f>IFERROR(1/J380*(X380/H380),"0")</f>
        <v>0</v>
      </c>
      <c r="BP380" s="68">
        <f>IFERROR(1/J380*(Y380/H380),"0")</f>
        <v>0</v>
      </c>
    </row>
    <row r="381" spans="1:68" ht="27" customHeight="1" x14ac:dyDescent="0.25">
      <c r="A381" s="57" t="s">
        <v>619</v>
      </c>
      <c r="B381" s="57" t="s">
        <v>620</v>
      </c>
      <c r="C381" s="31">
        <v>4301030233</v>
      </c>
      <c r="D381" s="601">
        <v>4607091388404</v>
      </c>
      <c r="E381" s="602"/>
      <c r="F381" s="56">
        <v>0.17</v>
      </c>
      <c r="G381" s="32">
        <v>15</v>
      </c>
      <c r="H381" s="56">
        <v>2.5499999999999998</v>
      </c>
      <c r="I381" s="56">
        <v>2.88</v>
      </c>
      <c r="J381" s="32">
        <v>182</v>
      </c>
      <c r="K381" s="32" t="s">
        <v>78</v>
      </c>
      <c r="L381" s="32"/>
      <c r="M381" s="33" t="s">
        <v>99</v>
      </c>
      <c r="N381" s="33"/>
      <c r="O381" s="32">
        <v>180</v>
      </c>
      <c r="P381" s="9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4"/>
      <c r="V381" s="34"/>
      <c r="W381" s="35" t="s">
        <v>68</v>
      </c>
      <c r="X381" s="53">
        <v>25.5</v>
      </c>
      <c r="Y381" s="50">
        <f>IFERROR(IF(X381="",0,CEILING((X381/$H381),1)*$H381),"")</f>
        <v>25.5</v>
      </c>
      <c r="Z381" s="36">
        <f>IFERROR(IF(Y381=0,"",ROUNDUP(Y381/H381,0)*0.00651),"")</f>
        <v>6.5100000000000005E-2</v>
      </c>
      <c r="AA381" s="60"/>
      <c r="AB381" s="61"/>
      <c r="AC381" s="456" t="s">
        <v>614</v>
      </c>
      <c r="AG381" s="68"/>
      <c r="AJ381" s="71"/>
      <c r="AK381" s="71">
        <v>0</v>
      </c>
      <c r="BB381" s="457" t="s">
        <v>1</v>
      </c>
      <c r="BM381" s="68">
        <f>IFERROR(X381*I381/H381,"0")</f>
        <v>28.8</v>
      </c>
      <c r="BN381" s="68">
        <f>IFERROR(Y381*I381/H381,"0")</f>
        <v>28.8</v>
      </c>
      <c r="BO381" s="68">
        <f>IFERROR(1/J381*(X381/H381),"0")</f>
        <v>5.4945054945054951E-2</v>
      </c>
      <c r="BP381" s="68">
        <f>IFERROR(1/J381*(Y381/H381),"0")</f>
        <v>5.4945054945054951E-2</v>
      </c>
    </row>
    <row r="382" spans="1:68" x14ac:dyDescent="0.25">
      <c r="A382" s="612"/>
      <c r="B382" s="607"/>
      <c r="C382" s="607"/>
      <c r="D382" s="607"/>
      <c r="E382" s="607"/>
      <c r="F382" s="607"/>
      <c r="G382" s="607"/>
      <c r="H382" s="607"/>
      <c r="I382" s="607"/>
      <c r="J382" s="607"/>
      <c r="K382" s="607"/>
      <c r="L382" s="607"/>
      <c r="M382" s="607"/>
      <c r="N382" s="607"/>
      <c r="O382" s="613"/>
      <c r="P382" s="630" t="s">
        <v>73</v>
      </c>
      <c r="Q382" s="622"/>
      <c r="R382" s="622"/>
      <c r="S382" s="622"/>
      <c r="T382" s="622"/>
      <c r="U382" s="622"/>
      <c r="V382" s="623"/>
      <c r="W382" s="37" t="s">
        <v>74</v>
      </c>
      <c r="X382" s="38">
        <f>IFERROR(X378/H378,"0")+IFERROR(X379/H379,"0")+IFERROR(X380/H380,"0")+IFERROR(X381/H381,"0")</f>
        <v>10</v>
      </c>
      <c r="Y382" s="38">
        <f>IFERROR(Y378/H378,"0")+IFERROR(Y379/H379,"0")+IFERROR(Y380/H380,"0")+IFERROR(Y381/H381,"0")</f>
        <v>10</v>
      </c>
      <c r="Z382" s="38">
        <f>IFERROR(IF(Z378="",0,Z378),"0")+IFERROR(IF(Z379="",0,Z379),"0")+IFERROR(IF(Z380="",0,Z380),"0")+IFERROR(IF(Z381="",0,Z381),"0")</f>
        <v>6.5100000000000005E-2</v>
      </c>
      <c r="AA382" s="59"/>
      <c r="AB382" s="59"/>
      <c r="AC382" s="59"/>
    </row>
    <row r="383" spans="1:68" x14ac:dyDescent="0.25">
      <c r="A383" s="607"/>
      <c r="B383" s="607"/>
      <c r="C383" s="607"/>
      <c r="D383" s="607"/>
      <c r="E383" s="607"/>
      <c r="F383" s="607"/>
      <c r="G383" s="607"/>
      <c r="H383" s="607"/>
      <c r="I383" s="607"/>
      <c r="J383" s="607"/>
      <c r="K383" s="607"/>
      <c r="L383" s="607"/>
      <c r="M383" s="607"/>
      <c r="N383" s="607"/>
      <c r="O383" s="613"/>
      <c r="P383" s="630" t="s">
        <v>73</v>
      </c>
      <c r="Q383" s="622"/>
      <c r="R383" s="622"/>
      <c r="S383" s="622"/>
      <c r="T383" s="622"/>
      <c r="U383" s="622"/>
      <c r="V383" s="623"/>
      <c r="W383" s="37" t="s">
        <v>68</v>
      </c>
      <c r="X383" s="38">
        <f>IFERROR(SUM(X378:X381),"0")</f>
        <v>25.5</v>
      </c>
      <c r="Y383" s="38">
        <f>IFERROR(SUM(Y378:Y381),"0")</f>
        <v>25.5</v>
      </c>
      <c r="Z383" s="37"/>
      <c r="AA383" s="59"/>
      <c r="AB383" s="59"/>
      <c r="AC383" s="59"/>
    </row>
    <row r="384" spans="1:68" ht="14.25" customHeight="1" x14ac:dyDescent="0.25">
      <c r="A384" s="615" t="s">
        <v>621</v>
      </c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7"/>
      <c r="P384" s="607"/>
      <c r="Q384" s="607"/>
      <c r="R384" s="607"/>
      <c r="S384" s="607"/>
      <c r="T384" s="607"/>
      <c r="U384" s="607"/>
      <c r="V384" s="607"/>
      <c r="W384" s="607"/>
      <c r="X384" s="607"/>
      <c r="Y384" s="607"/>
      <c r="Z384" s="607"/>
      <c r="AA384" s="588"/>
      <c r="AB384" s="588"/>
      <c r="AC384" s="588"/>
    </row>
    <row r="385" spans="1:68" ht="16.5" customHeight="1" x14ac:dyDescent="0.25">
      <c r="A385" s="57" t="s">
        <v>622</v>
      </c>
      <c r="B385" s="57" t="s">
        <v>623</v>
      </c>
      <c r="C385" s="31">
        <v>4301180007</v>
      </c>
      <c r="D385" s="601">
        <v>4680115881808</v>
      </c>
      <c r="E385" s="602"/>
      <c r="F385" s="56">
        <v>0.1</v>
      </c>
      <c r="G385" s="32">
        <v>20</v>
      </c>
      <c r="H385" s="56">
        <v>2</v>
      </c>
      <c r="I385" s="56">
        <v>2.2400000000000002</v>
      </c>
      <c r="J385" s="32">
        <v>238</v>
      </c>
      <c r="K385" s="32" t="s">
        <v>78</v>
      </c>
      <c r="L385" s="32"/>
      <c r="M385" s="33" t="s">
        <v>624</v>
      </c>
      <c r="N385" s="33"/>
      <c r="O385" s="32">
        <v>731</v>
      </c>
      <c r="P385" s="6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4"/>
      <c r="V385" s="34"/>
      <c r="W385" s="35" t="s">
        <v>68</v>
      </c>
      <c r="X385" s="53">
        <v>0</v>
      </c>
      <c r="Y385" s="50">
        <f>IFERROR(IF(X385="",0,CEILING((X385/$H385),1)*$H385),"")</f>
        <v>0</v>
      </c>
      <c r="Z385" s="36" t="str">
        <f>IFERROR(IF(Y385=0,"",ROUNDUP(Y385/H385,0)*0.00474),"")</f>
        <v/>
      </c>
      <c r="AA385" s="60"/>
      <c r="AB385" s="61"/>
      <c r="AC385" s="458" t="s">
        <v>625</v>
      </c>
      <c r="AG385" s="68"/>
      <c r="AJ385" s="71"/>
      <c r="AK385" s="71">
        <v>0</v>
      </c>
      <c r="BB385" s="459" t="s">
        <v>1</v>
      </c>
      <c r="BM385" s="68">
        <f>IFERROR(X385*I385/H385,"0")</f>
        <v>0</v>
      </c>
      <c r="BN385" s="68">
        <f>IFERROR(Y385*I385/H385,"0")</f>
        <v>0</v>
      </c>
      <c r="BO385" s="68">
        <f>IFERROR(1/J385*(X385/H385),"0")</f>
        <v>0</v>
      </c>
      <c r="BP385" s="68">
        <f>IFERROR(1/J385*(Y385/H385),"0")</f>
        <v>0</v>
      </c>
    </row>
    <row r="386" spans="1:68" ht="27" customHeight="1" x14ac:dyDescent="0.25">
      <c r="A386" s="57" t="s">
        <v>626</v>
      </c>
      <c r="B386" s="57" t="s">
        <v>627</v>
      </c>
      <c r="C386" s="31">
        <v>4301180006</v>
      </c>
      <c r="D386" s="601">
        <v>4680115881822</v>
      </c>
      <c r="E386" s="602"/>
      <c r="F386" s="56">
        <v>0.1</v>
      </c>
      <c r="G386" s="32">
        <v>20</v>
      </c>
      <c r="H386" s="56">
        <v>2</v>
      </c>
      <c r="I386" s="56">
        <v>2.2400000000000002</v>
      </c>
      <c r="J386" s="32">
        <v>238</v>
      </c>
      <c r="K386" s="32" t="s">
        <v>78</v>
      </c>
      <c r="L386" s="32"/>
      <c r="M386" s="33" t="s">
        <v>624</v>
      </c>
      <c r="N386" s="33"/>
      <c r="O386" s="32">
        <v>731</v>
      </c>
      <c r="P386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4"/>
      <c r="V386" s="34"/>
      <c r="W386" s="35" t="s">
        <v>68</v>
      </c>
      <c r="X386" s="53">
        <v>0</v>
      </c>
      <c r="Y386" s="50">
        <f>IFERROR(IF(X386="",0,CEILING((X386/$H386),1)*$H386),"")</f>
        <v>0</v>
      </c>
      <c r="Z386" s="36" t="str">
        <f>IFERROR(IF(Y386=0,"",ROUNDUP(Y386/H386,0)*0.00474),"")</f>
        <v/>
      </c>
      <c r="AA386" s="60"/>
      <c r="AB386" s="61"/>
      <c r="AC386" s="460" t="s">
        <v>625</v>
      </c>
      <c r="AG386" s="68"/>
      <c r="AJ386" s="71"/>
      <c r="AK386" s="71">
        <v>0</v>
      </c>
      <c r="BB386" s="461" t="s">
        <v>1</v>
      </c>
      <c r="BM386" s="68">
        <f>IFERROR(X386*I386/H386,"0")</f>
        <v>0</v>
      </c>
      <c r="BN386" s="68">
        <f>IFERROR(Y386*I386/H386,"0")</f>
        <v>0</v>
      </c>
      <c r="BO386" s="68">
        <f>IFERROR(1/J386*(X386/H386),"0")</f>
        <v>0</v>
      </c>
      <c r="BP386" s="68">
        <f>IFERROR(1/J386*(Y386/H386),"0")</f>
        <v>0</v>
      </c>
    </row>
    <row r="387" spans="1:68" ht="27" customHeight="1" x14ac:dyDescent="0.25">
      <c r="A387" s="57" t="s">
        <v>628</v>
      </c>
      <c r="B387" s="57" t="s">
        <v>629</v>
      </c>
      <c r="C387" s="31">
        <v>4301180001</v>
      </c>
      <c r="D387" s="601">
        <v>4680115880016</v>
      </c>
      <c r="E387" s="602"/>
      <c r="F387" s="56">
        <v>0.1</v>
      </c>
      <c r="G387" s="32">
        <v>20</v>
      </c>
      <c r="H387" s="56">
        <v>2</v>
      </c>
      <c r="I387" s="56">
        <v>2.2400000000000002</v>
      </c>
      <c r="J387" s="32">
        <v>238</v>
      </c>
      <c r="K387" s="32" t="s">
        <v>78</v>
      </c>
      <c r="L387" s="32"/>
      <c r="M387" s="33" t="s">
        <v>624</v>
      </c>
      <c r="N387" s="33"/>
      <c r="O387" s="32">
        <v>731</v>
      </c>
      <c r="P387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4"/>
      <c r="V387" s="34"/>
      <c r="W387" s="35" t="s">
        <v>68</v>
      </c>
      <c r="X387" s="53">
        <v>0</v>
      </c>
      <c r="Y387" s="50">
        <f>IFERROR(IF(X387="",0,CEILING((X387/$H387),1)*$H387),"")</f>
        <v>0</v>
      </c>
      <c r="Z387" s="36" t="str">
        <f>IFERROR(IF(Y387=0,"",ROUNDUP(Y387/H387,0)*0.00474),"")</f>
        <v/>
      </c>
      <c r="AA387" s="60"/>
      <c r="AB387" s="61"/>
      <c r="AC387" s="462" t="s">
        <v>625</v>
      </c>
      <c r="AG387" s="68"/>
      <c r="AJ387" s="71"/>
      <c r="AK387" s="71">
        <v>0</v>
      </c>
      <c r="BB387" s="463" t="s">
        <v>1</v>
      </c>
      <c r="BM387" s="68">
        <f>IFERROR(X387*I387/H387,"0")</f>
        <v>0</v>
      </c>
      <c r="BN387" s="68">
        <f>IFERROR(Y387*I387/H387,"0")</f>
        <v>0</v>
      </c>
      <c r="BO387" s="68">
        <f>IFERROR(1/J387*(X387/H387),"0")</f>
        <v>0</v>
      </c>
      <c r="BP387" s="68">
        <f>IFERROR(1/J387*(Y387/H387),"0")</f>
        <v>0</v>
      </c>
    </row>
    <row r="388" spans="1:68" x14ac:dyDescent="0.25">
      <c r="A388" s="612"/>
      <c r="B388" s="607"/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13"/>
      <c r="P388" s="630" t="s">
        <v>73</v>
      </c>
      <c r="Q388" s="622"/>
      <c r="R388" s="622"/>
      <c r="S388" s="622"/>
      <c r="T388" s="622"/>
      <c r="U388" s="622"/>
      <c r="V388" s="623"/>
      <c r="W388" s="37" t="s">
        <v>74</v>
      </c>
      <c r="X388" s="38">
        <f>IFERROR(X385/H385,"0")+IFERROR(X386/H386,"0")+IFERROR(X387/H387,"0")</f>
        <v>0</v>
      </c>
      <c r="Y388" s="38">
        <f>IFERROR(Y385/H385,"0")+IFERROR(Y386/H386,"0")+IFERROR(Y387/H387,"0")</f>
        <v>0</v>
      </c>
      <c r="Z388" s="38">
        <f>IFERROR(IF(Z385="",0,Z385),"0")+IFERROR(IF(Z386="",0,Z386),"0")+IFERROR(IF(Z387="",0,Z387),"0")</f>
        <v>0</v>
      </c>
      <c r="AA388" s="59"/>
      <c r="AB388" s="59"/>
      <c r="AC388" s="59"/>
    </row>
    <row r="389" spans="1:68" x14ac:dyDescent="0.25">
      <c r="A389" s="607"/>
      <c r="B389" s="607"/>
      <c r="C389" s="607"/>
      <c r="D389" s="607"/>
      <c r="E389" s="607"/>
      <c r="F389" s="607"/>
      <c r="G389" s="607"/>
      <c r="H389" s="607"/>
      <c r="I389" s="607"/>
      <c r="J389" s="607"/>
      <c r="K389" s="607"/>
      <c r="L389" s="607"/>
      <c r="M389" s="607"/>
      <c r="N389" s="607"/>
      <c r="O389" s="613"/>
      <c r="P389" s="630" t="s">
        <v>73</v>
      </c>
      <c r="Q389" s="622"/>
      <c r="R389" s="622"/>
      <c r="S389" s="622"/>
      <c r="T389" s="622"/>
      <c r="U389" s="622"/>
      <c r="V389" s="623"/>
      <c r="W389" s="37" t="s">
        <v>68</v>
      </c>
      <c r="X389" s="38">
        <f>IFERROR(SUM(X385:X387),"0")</f>
        <v>0</v>
      </c>
      <c r="Y389" s="38">
        <f>IFERROR(SUM(Y385:Y387),"0")</f>
        <v>0</v>
      </c>
      <c r="Z389" s="37"/>
      <c r="AA389" s="59"/>
      <c r="AB389" s="59"/>
      <c r="AC389" s="59"/>
    </row>
    <row r="390" spans="1:68" ht="16.5" customHeight="1" x14ac:dyDescent="0.25">
      <c r="A390" s="606" t="s">
        <v>630</v>
      </c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592"/>
      <c r="AB390" s="592"/>
      <c r="AC390" s="592"/>
    </row>
    <row r="391" spans="1:68" ht="14.25" customHeight="1" x14ac:dyDescent="0.25">
      <c r="A391" s="615" t="s">
        <v>75</v>
      </c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7"/>
      <c r="P391" s="607"/>
      <c r="Q391" s="607"/>
      <c r="R391" s="607"/>
      <c r="S391" s="607"/>
      <c r="T391" s="607"/>
      <c r="U391" s="607"/>
      <c r="V391" s="607"/>
      <c r="W391" s="607"/>
      <c r="X391" s="607"/>
      <c r="Y391" s="607"/>
      <c r="Z391" s="607"/>
      <c r="AA391" s="588"/>
      <c r="AB391" s="588"/>
      <c r="AC391" s="588"/>
    </row>
    <row r="392" spans="1:68" ht="37.5" customHeight="1" x14ac:dyDescent="0.25">
      <c r="A392" s="57" t="s">
        <v>631</v>
      </c>
      <c r="B392" s="57" t="s">
        <v>632</v>
      </c>
      <c r="C392" s="31">
        <v>4301051489</v>
      </c>
      <c r="D392" s="601">
        <v>4607091387919</v>
      </c>
      <c r="E392" s="602"/>
      <c r="F392" s="56">
        <v>1.35</v>
      </c>
      <c r="G392" s="32">
        <v>6</v>
      </c>
      <c r="H392" s="56">
        <v>8.1</v>
      </c>
      <c r="I392" s="56">
        <v>8.5939999999999994</v>
      </c>
      <c r="J392" s="32">
        <v>64</v>
      </c>
      <c r="K392" s="32" t="s">
        <v>121</v>
      </c>
      <c r="L392" s="32"/>
      <c r="M392" s="33" t="s">
        <v>85</v>
      </c>
      <c r="N392" s="33"/>
      <c r="O392" s="32">
        <v>45</v>
      </c>
      <c r="P392" s="9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4"/>
      <c r="V392" s="34"/>
      <c r="W392" s="35" t="s">
        <v>68</v>
      </c>
      <c r="X392" s="53">
        <v>0</v>
      </c>
      <c r="Y392" s="50">
        <f>IFERROR(IF(X392="",0,CEILING((X392/$H392),1)*$H392),"")</f>
        <v>0</v>
      </c>
      <c r="Z392" s="36" t="str">
        <f>IFERROR(IF(Y392=0,"",ROUNDUP(Y392/H392,0)*0.01898),"")</f>
        <v/>
      </c>
      <c r="AA392" s="60"/>
      <c r="AB392" s="61"/>
      <c r="AC392" s="464" t="s">
        <v>633</v>
      </c>
      <c r="AG392" s="68"/>
      <c r="AJ392" s="71"/>
      <c r="AK392" s="71">
        <v>0</v>
      </c>
      <c r="BB392" s="465" t="s">
        <v>1</v>
      </c>
      <c r="BM392" s="68">
        <f>IFERROR(X392*I392/H392,"0")</f>
        <v>0</v>
      </c>
      <c r="BN392" s="68">
        <f>IFERROR(Y392*I392/H392,"0")</f>
        <v>0</v>
      </c>
      <c r="BO392" s="68">
        <f>IFERROR(1/J392*(X392/H392),"0")</f>
        <v>0</v>
      </c>
      <c r="BP392" s="68">
        <f>IFERROR(1/J392*(Y392/H392),"0")</f>
        <v>0</v>
      </c>
    </row>
    <row r="393" spans="1:68" ht="37.5" customHeight="1" x14ac:dyDescent="0.25">
      <c r="A393" s="57" t="s">
        <v>634</v>
      </c>
      <c r="B393" s="57" t="s">
        <v>635</v>
      </c>
      <c r="C393" s="31">
        <v>4301051461</v>
      </c>
      <c r="D393" s="601">
        <v>4680115883604</v>
      </c>
      <c r="E393" s="602"/>
      <c r="F393" s="56">
        <v>0.35</v>
      </c>
      <c r="G393" s="32">
        <v>6</v>
      </c>
      <c r="H393" s="56">
        <v>2.1</v>
      </c>
      <c r="I393" s="56">
        <v>2.3519999999999999</v>
      </c>
      <c r="J393" s="32">
        <v>182</v>
      </c>
      <c r="K393" s="32" t="s">
        <v>78</v>
      </c>
      <c r="L393" s="32"/>
      <c r="M393" s="33" t="s">
        <v>79</v>
      </c>
      <c r="N393" s="33"/>
      <c r="O393" s="32">
        <v>45</v>
      </c>
      <c r="P393" s="7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4"/>
      <c r="V393" s="34"/>
      <c r="W393" s="35" t="s">
        <v>68</v>
      </c>
      <c r="X393" s="53">
        <v>73.5</v>
      </c>
      <c r="Y393" s="50">
        <f>IFERROR(IF(X393="",0,CEILING((X393/$H393),1)*$H393),"")</f>
        <v>73.5</v>
      </c>
      <c r="Z393" s="36">
        <f>IFERROR(IF(Y393=0,"",ROUNDUP(Y393/H393,0)*0.00651),"")</f>
        <v>0.22785</v>
      </c>
      <c r="AA393" s="60"/>
      <c r="AB393" s="61"/>
      <c r="AC393" s="466" t="s">
        <v>636</v>
      </c>
      <c r="AG393" s="68"/>
      <c r="AJ393" s="71"/>
      <c r="AK393" s="71">
        <v>0</v>
      </c>
      <c r="BB393" s="467" t="s">
        <v>1</v>
      </c>
      <c r="BM393" s="68">
        <f>IFERROR(X393*I393/H393,"0")</f>
        <v>82.32</v>
      </c>
      <c r="BN393" s="68">
        <f>IFERROR(Y393*I393/H393,"0")</f>
        <v>82.32</v>
      </c>
      <c r="BO393" s="68">
        <f>IFERROR(1/J393*(X393/H393),"0")</f>
        <v>0.19230769230769232</v>
      </c>
      <c r="BP393" s="68">
        <f>IFERROR(1/J393*(Y393/H393),"0")</f>
        <v>0.19230769230769232</v>
      </c>
    </row>
    <row r="394" spans="1:68" ht="27" customHeight="1" x14ac:dyDescent="0.25">
      <c r="A394" s="57" t="s">
        <v>637</v>
      </c>
      <c r="B394" s="57" t="s">
        <v>638</v>
      </c>
      <c r="C394" s="31">
        <v>4301051864</v>
      </c>
      <c r="D394" s="601">
        <v>4680115883567</v>
      </c>
      <c r="E394" s="602"/>
      <c r="F394" s="56">
        <v>0.35</v>
      </c>
      <c r="G394" s="32">
        <v>6</v>
      </c>
      <c r="H394" s="56">
        <v>2.1</v>
      </c>
      <c r="I394" s="56">
        <v>2.34</v>
      </c>
      <c r="J394" s="32">
        <v>182</v>
      </c>
      <c r="K394" s="32" t="s">
        <v>78</v>
      </c>
      <c r="L394" s="32"/>
      <c r="M394" s="33" t="s">
        <v>85</v>
      </c>
      <c r="N394" s="33"/>
      <c r="O394" s="32">
        <v>40</v>
      </c>
      <c r="P394" s="8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4"/>
      <c r="V394" s="34"/>
      <c r="W394" s="35" t="s">
        <v>68</v>
      </c>
      <c r="X394" s="53">
        <v>52.5</v>
      </c>
      <c r="Y394" s="50">
        <f>IFERROR(IF(X394="",0,CEILING((X394/$H394),1)*$H394),"")</f>
        <v>52.5</v>
      </c>
      <c r="Z394" s="36">
        <f>IFERROR(IF(Y394=0,"",ROUNDUP(Y394/H394,0)*0.00651),"")</f>
        <v>0.16275000000000001</v>
      </c>
      <c r="AA394" s="60"/>
      <c r="AB394" s="61"/>
      <c r="AC394" s="468" t="s">
        <v>639</v>
      </c>
      <c r="AG394" s="68"/>
      <c r="AJ394" s="71"/>
      <c r="AK394" s="71">
        <v>0</v>
      </c>
      <c r="BB394" s="469" t="s">
        <v>1</v>
      </c>
      <c r="BM394" s="68">
        <f>IFERROR(X394*I394/H394,"0")</f>
        <v>58.499999999999993</v>
      </c>
      <c r="BN394" s="68">
        <f>IFERROR(Y394*I394/H394,"0")</f>
        <v>58.499999999999993</v>
      </c>
      <c r="BO394" s="68">
        <f>IFERROR(1/J394*(X394/H394),"0")</f>
        <v>0.13736263736263737</v>
      </c>
      <c r="BP394" s="68">
        <f>IFERROR(1/J394*(Y394/H394),"0")</f>
        <v>0.13736263736263737</v>
      </c>
    </row>
    <row r="395" spans="1:68" x14ac:dyDescent="0.25">
      <c r="A395" s="612"/>
      <c r="B395" s="607"/>
      <c r="C395" s="607"/>
      <c r="D395" s="607"/>
      <c r="E395" s="607"/>
      <c r="F395" s="607"/>
      <c r="G395" s="607"/>
      <c r="H395" s="607"/>
      <c r="I395" s="607"/>
      <c r="J395" s="607"/>
      <c r="K395" s="607"/>
      <c r="L395" s="607"/>
      <c r="M395" s="607"/>
      <c r="N395" s="607"/>
      <c r="O395" s="613"/>
      <c r="P395" s="630" t="s">
        <v>73</v>
      </c>
      <c r="Q395" s="622"/>
      <c r="R395" s="622"/>
      <c r="S395" s="622"/>
      <c r="T395" s="622"/>
      <c r="U395" s="622"/>
      <c r="V395" s="623"/>
      <c r="W395" s="37" t="s">
        <v>74</v>
      </c>
      <c r="X395" s="38">
        <f>IFERROR(X392/H392,"0")+IFERROR(X393/H393,"0")+IFERROR(X394/H394,"0")</f>
        <v>60</v>
      </c>
      <c r="Y395" s="38">
        <f>IFERROR(Y392/H392,"0")+IFERROR(Y393/H393,"0")+IFERROR(Y394/H394,"0")</f>
        <v>60</v>
      </c>
      <c r="Z395" s="38">
        <f>IFERROR(IF(Z392="",0,Z392),"0")+IFERROR(IF(Z393="",0,Z393),"0")+IFERROR(IF(Z394="",0,Z394),"0")</f>
        <v>0.3906</v>
      </c>
      <c r="AA395" s="59"/>
      <c r="AB395" s="59"/>
      <c r="AC395" s="59"/>
    </row>
    <row r="396" spans="1:68" x14ac:dyDescent="0.25">
      <c r="A396" s="607"/>
      <c r="B396" s="607"/>
      <c r="C396" s="607"/>
      <c r="D396" s="607"/>
      <c r="E396" s="607"/>
      <c r="F396" s="607"/>
      <c r="G396" s="607"/>
      <c r="H396" s="607"/>
      <c r="I396" s="607"/>
      <c r="J396" s="607"/>
      <c r="K396" s="607"/>
      <c r="L396" s="607"/>
      <c r="M396" s="607"/>
      <c r="N396" s="607"/>
      <c r="O396" s="613"/>
      <c r="P396" s="630" t="s">
        <v>73</v>
      </c>
      <c r="Q396" s="622"/>
      <c r="R396" s="622"/>
      <c r="S396" s="622"/>
      <c r="T396" s="622"/>
      <c r="U396" s="622"/>
      <c r="V396" s="623"/>
      <c r="W396" s="37" t="s">
        <v>68</v>
      </c>
      <c r="X396" s="38">
        <f>IFERROR(SUM(X392:X394),"0")</f>
        <v>126</v>
      </c>
      <c r="Y396" s="38">
        <f>IFERROR(SUM(Y392:Y394),"0")</f>
        <v>126</v>
      </c>
      <c r="Z396" s="37"/>
      <c r="AA396" s="59"/>
      <c r="AB396" s="59"/>
      <c r="AC396" s="59"/>
    </row>
    <row r="397" spans="1:68" ht="27.75" customHeight="1" x14ac:dyDescent="0.25">
      <c r="A397" s="642" t="s">
        <v>640</v>
      </c>
      <c r="B397" s="643"/>
      <c r="C397" s="643"/>
      <c r="D397" s="643"/>
      <c r="E397" s="643"/>
      <c r="F397" s="643"/>
      <c r="G397" s="643"/>
      <c r="H397" s="643"/>
      <c r="I397" s="643"/>
      <c r="J397" s="643"/>
      <c r="K397" s="643"/>
      <c r="L397" s="643"/>
      <c r="M397" s="643"/>
      <c r="N397" s="643"/>
      <c r="O397" s="643"/>
      <c r="P397" s="643"/>
      <c r="Q397" s="643"/>
      <c r="R397" s="643"/>
      <c r="S397" s="643"/>
      <c r="T397" s="643"/>
      <c r="U397" s="643"/>
      <c r="V397" s="643"/>
      <c r="W397" s="643"/>
      <c r="X397" s="643"/>
      <c r="Y397" s="643"/>
      <c r="Z397" s="643"/>
      <c r="AA397" s="49"/>
      <c r="AB397" s="49"/>
      <c r="AC397" s="49"/>
    </row>
    <row r="398" spans="1:68" ht="16.5" customHeight="1" x14ac:dyDescent="0.25">
      <c r="A398" s="606" t="s">
        <v>641</v>
      </c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7"/>
      <c r="P398" s="607"/>
      <c r="Q398" s="607"/>
      <c r="R398" s="607"/>
      <c r="S398" s="607"/>
      <c r="T398" s="607"/>
      <c r="U398" s="607"/>
      <c r="V398" s="607"/>
      <c r="W398" s="607"/>
      <c r="X398" s="607"/>
      <c r="Y398" s="607"/>
      <c r="Z398" s="607"/>
      <c r="AA398" s="592"/>
      <c r="AB398" s="592"/>
      <c r="AC398" s="592"/>
    </row>
    <row r="399" spans="1:68" ht="14.25" customHeight="1" x14ac:dyDescent="0.25">
      <c r="A399" s="615" t="s">
        <v>118</v>
      </c>
      <c r="B399" s="607"/>
      <c r="C399" s="607"/>
      <c r="D399" s="607"/>
      <c r="E399" s="607"/>
      <c r="F399" s="607"/>
      <c r="G399" s="607"/>
      <c r="H399" s="607"/>
      <c r="I399" s="607"/>
      <c r="J399" s="607"/>
      <c r="K399" s="607"/>
      <c r="L399" s="607"/>
      <c r="M399" s="607"/>
      <c r="N399" s="607"/>
      <c r="O399" s="607"/>
      <c r="P399" s="607"/>
      <c r="Q399" s="607"/>
      <c r="R399" s="607"/>
      <c r="S399" s="607"/>
      <c r="T399" s="607"/>
      <c r="U399" s="607"/>
      <c r="V399" s="607"/>
      <c r="W399" s="607"/>
      <c r="X399" s="607"/>
      <c r="Y399" s="607"/>
      <c r="Z399" s="607"/>
      <c r="AA399" s="588"/>
      <c r="AB399" s="588"/>
      <c r="AC399" s="588"/>
    </row>
    <row r="400" spans="1:68" ht="27" customHeight="1" x14ac:dyDescent="0.25">
      <c r="A400" s="57" t="s">
        <v>642</v>
      </c>
      <c r="B400" s="57" t="s">
        <v>643</v>
      </c>
      <c r="C400" s="31">
        <v>4301012332</v>
      </c>
      <c r="D400" s="601">
        <v>4680115888401</v>
      </c>
      <c r="E400" s="602"/>
      <c r="F400" s="56">
        <v>2.5</v>
      </c>
      <c r="G400" s="32">
        <v>6</v>
      </c>
      <c r="H400" s="56">
        <v>15</v>
      </c>
      <c r="I400" s="56">
        <v>15.47</v>
      </c>
      <c r="J400" s="32">
        <v>48</v>
      </c>
      <c r="K400" s="32" t="s">
        <v>121</v>
      </c>
      <c r="L400" s="32"/>
      <c r="M400" s="33" t="s">
        <v>85</v>
      </c>
      <c r="N400" s="33"/>
      <c r="O400" s="32">
        <v>60</v>
      </c>
      <c r="P400" s="88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4"/>
      <c r="V400" s="34"/>
      <c r="W400" s="35" t="s">
        <v>68</v>
      </c>
      <c r="X400" s="53">
        <v>0</v>
      </c>
      <c r="Y400" s="50">
        <f t="shared" ref="Y400:Y407" si="57">IFERROR(IF(X400="",0,CEILING((X400/$H400),1)*$H400),"")</f>
        <v>0</v>
      </c>
      <c r="Z400" s="36" t="str">
        <f>IFERROR(IF(Y400=0,"",ROUNDUP(Y400/H400,0)*0.02175),"")</f>
        <v/>
      </c>
      <c r="AA400" s="60"/>
      <c r="AB400" s="61"/>
      <c r="AC400" s="470" t="s">
        <v>644</v>
      </c>
      <c r="AG400" s="68"/>
      <c r="AJ400" s="71"/>
      <c r="AK400" s="71">
        <v>0</v>
      </c>
      <c r="BB400" s="471" t="s">
        <v>1</v>
      </c>
      <c r="BM400" s="68">
        <f t="shared" ref="BM400:BM407" si="58">IFERROR(X400*I400/H400,"0")</f>
        <v>0</v>
      </c>
      <c r="BN400" s="68">
        <f t="shared" ref="BN400:BN407" si="59">IFERROR(Y400*I400/H400,"0")</f>
        <v>0</v>
      </c>
      <c r="BO400" s="68">
        <f t="shared" ref="BO400:BO407" si="60">IFERROR(1/J400*(X400/H400),"0")</f>
        <v>0</v>
      </c>
      <c r="BP400" s="68">
        <f t="shared" ref="BP400:BP407" si="61">IFERROR(1/J400*(Y400/H400),"0")</f>
        <v>0</v>
      </c>
    </row>
    <row r="401" spans="1:68" ht="37.5" customHeight="1" x14ac:dyDescent="0.25">
      <c r="A401" s="57" t="s">
        <v>645</v>
      </c>
      <c r="B401" s="57" t="s">
        <v>646</v>
      </c>
      <c r="C401" s="31">
        <v>4301011869</v>
      </c>
      <c r="D401" s="601">
        <v>4680115884847</v>
      </c>
      <c r="E401" s="602"/>
      <c r="F401" s="56">
        <v>2.5</v>
      </c>
      <c r="G401" s="32">
        <v>6</v>
      </c>
      <c r="H401" s="56">
        <v>15</v>
      </c>
      <c r="I401" s="56">
        <v>15.47</v>
      </c>
      <c r="J401" s="32">
        <v>48</v>
      </c>
      <c r="K401" s="32" t="s">
        <v>121</v>
      </c>
      <c r="L401" s="32"/>
      <c r="M401" s="33" t="s">
        <v>67</v>
      </c>
      <c r="N401" s="33"/>
      <c r="O401" s="32">
        <v>60</v>
      </c>
      <c r="P401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4"/>
      <c r="V401" s="34"/>
      <c r="W401" s="35" t="s">
        <v>68</v>
      </c>
      <c r="X401" s="53">
        <v>1500</v>
      </c>
      <c r="Y401" s="50">
        <f t="shared" si="57"/>
        <v>1500</v>
      </c>
      <c r="Z401" s="36">
        <f>IFERROR(IF(Y401=0,"",ROUNDUP(Y401/H401,0)*0.02175),"")</f>
        <v>2.1749999999999998</v>
      </c>
      <c r="AA401" s="60"/>
      <c r="AB401" s="61"/>
      <c r="AC401" s="472" t="s">
        <v>647</v>
      </c>
      <c r="AG401" s="68"/>
      <c r="AJ401" s="71"/>
      <c r="AK401" s="71">
        <v>0</v>
      </c>
      <c r="BB401" s="473" t="s">
        <v>1</v>
      </c>
      <c r="BM401" s="68">
        <f t="shared" si="58"/>
        <v>1547</v>
      </c>
      <c r="BN401" s="68">
        <f t="shared" si="59"/>
        <v>1547</v>
      </c>
      <c r="BO401" s="68">
        <f t="shared" si="60"/>
        <v>2.083333333333333</v>
      </c>
      <c r="BP401" s="68">
        <f t="shared" si="61"/>
        <v>2.083333333333333</v>
      </c>
    </row>
    <row r="402" spans="1:68" ht="27" customHeight="1" x14ac:dyDescent="0.25">
      <c r="A402" s="57" t="s">
        <v>648</v>
      </c>
      <c r="B402" s="57" t="s">
        <v>649</v>
      </c>
      <c r="C402" s="31">
        <v>4301012083</v>
      </c>
      <c r="D402" s="601">
        <v>4680115884854</v>
      </c>
      <c r="E402" s="602"/>
      <c r="F402" s="56">
        <v>2.5</v>
      </c>
      <c r="G402" s="32">
        <v>6</v>
      </c>
      <c r="H402" s="56">
        <v>15</v>
      </c>
      <c r="I402" s="56">
        <v>15.47</v>
      </c>
      <c r="J402" s="32">
        <v>48</v>
      </c>
      <c r="K402" s="32" t="s">
        <v>121</v>
      </c>
      <c r="L402" s="32"/>
      <c r="M402" s="33" t="s">
        <v>122</v>
      </c>
      <c r="N402" s="33"/>
      <c r="O402" s="32">
        <v>60</v>
      </c>
      <c r="P402" s="8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4"/>
      <c r="V402" s="34"/>
      <c r="W402" s="35" t="s">
        <v>68</v>
      </c>
      <c r="X402" s="53">
        <v>750</v>
      </c>
      <c r="Y402" s="50">
        <f t="shared" si="57"/>
        <v>750</v>
      </c>
      <c r="Z402" s="36">
        <f>IFERROR(IF(Y402=0,"",ROUNDUP(Y402/H402,0)*0.02175),"")</f>
        <v>1.0874999999999999</v>
      </c>
      <c r="AA402" s="60"/>
      <c r="AB402" s="61"/>
      <c r="AC402" s="474" t="s">
        <v>650</v>
      </c>
      <c r="AG402" s="68"/>
      <c r="AJ402" s="71"/>
      <c r="AK402" s="71">
        <v>0</v>
      </c>
      <c r="BB402" s="475" t="s">
        <v>1</v>
      </c>
      <c r="BM402" s="68">
        <f t="shared" si="58"/>
        <v>773.5</v>
      </c>
      <c r="BN402" s="68">
        <f t="shared" si="59"/>
        <v>773.5</v>
      </c>
      <c r="BO402" s="68">
        <f t="shared" si="60"/>
        <v>1.0416666666666665</v>
      </c>
      <c r="BP402" s="68">
        <f t="shared" si="61"/>
        <v>1.0416666666666665</v>
      </c>
    </row>
    <row r="403" spans="1:68" ht="27" customHeight="1" x14ac:dyDescent="0.25">
      <c r="A403" s="57" t="s">
        <v>651</v>
      </c>
      <c r="B403" s="57" t="s">
        <v>652</v>
      </c>
      <c r="C403" s="31">
        <v>4301011867</v>
      </c>
      <c r="D403" s="601">
        <v>4680115884830</v>
      </c>
      <c r="E403" s="602"/>
      <c r="F403" s="56">
        <v>2.5</v>
      </c>
      <c r="G403" s="32">
        <v>6</v>
      </c>
      <c r="H403" s="56">
        <v>15</v>
      </c>
      <c r="I403" s="56">
        <v>15.47</v>
      </c>
      <c r="J403" s="32">
        <v>48</v>
      </c>
      <c r="K403" s="32" t="s">
        <v>121</v>
      </c>
      <c r="L403" s="32"/>
      <c r="M403" s="33" t="s">
        <v>67</v>
      </c>
      <c r="N403" s="33"/>
      <c r="O403" s="32">
        <v>60</v>
      </c>
      <c r="P403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4"/>
      <c r="V403" s="34"/>
      <c r="W403" s="35" t="s">
        <v>68</v>
      </c>
      <c r="X403" s="53">
        <v>2250</v>
      </c>
      <c r="Y403" s="50">
        <f t="shared" si="57"/>
        <v>2250</v>
      </c>
      <c r="Z403" s="36">
        <f>IFERROR(IF(Y403=0,"",ROUNDUP(Y403/H403,0)*0.02175),"")</f>
        <v>3.2624999999999997</v>
      </c>
      <c r="AA403" s="60"/>
      <c r="AB403" s="61"/>
      <c r="AC403" s="476" t="s">
        <v>653</v>
      </c>
      <c r="AG403" s="68"/>
      <c r="AJ403" s="71"/>
      <c r="AK403" s="71">
        <v>0</v>
      </c>
      <c r="BB403" s="477" t="s">
        <v>1</v>
      </c>
      <c r="BM403" s="68">
        <f t="shared" si="58"/>
        <v>2320.5</v>
      </c>
      <c r="BN403" s="68">
        <f t="shared" si="59"/>
        <v>2320.5</v>
      </c>
      <c r="BO403" s="68">
        <f t="shared" si="60"/>
        <v>3.125</v>
      </c>
      <c r="BP403" s="68">
        <f t="shared" si="61"/>
        <v>3.125</v>
      </c>
    </row>
    <row r="404" spans="1:68" ht="27" customHeight="1" x14ac:dyDescent="0.25">
      <c r="A404" s="57" t="s">
        <v>654</v>
      </c>
      <c r="B404" s="57" t="s">
        <v>655</v>
      </c>
      <c r="C404" s="31">
        <v>4301012356</v>
      </c>
      <c r="D404" s="601">
        <v>4680115889231</v>
      </c>
      <c r="E404" s="602"/>
      <c r="F404" s="56">
        <v>2.5</v>
      </c>
      <c r="G404" s="32">
        <v>6</v>
      </c>
      <c r="H404" s="56">
        <v>15</v>
      </c>
      <c r="I404" s="56">
        <v>15.47</v>
      </c>
      <c r="J404" s="32">
        <v>48</v>
      </c>
      <c r="K404" s="32" t="s">
        <v>121</v>
      </c>
      <c r="L404" s="32"/>
      <c r="M404" s="33" t="s">
        <v>85</v>
      </c>
      <c r="N404" s="33"/>
      <c r="O404" s="32">
        <v>60</v>
      </c>
      <c r="P404" s="93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4"/>
      <c r="V404" s="34"/>
      <c r="W404" s="35" t="s">
        <v>68</v>
      </c>
      <c r="X404" s="53">
        <v>0</v>
      </c>
      <c r="Y404" s="50">
        <f t="shared" si="57"/>
        <v>0</v>
      </c>
      <c r="Z404" s="36" t="str">
        <f>IFERROR(IF(Y404=0,"",ROUNDUP(Y404/H404,0)*0.02175),"")</f>
        <v/>
      </c>
      <c r="AA404" s="60"/>
      <c r="AB404" s="61"/>
      <c r="AC404" s="478" t="s">
        <v>656</v>
      </c>
      <c r="AG404" s="68"/>
      <c r="AJ404" s="71"/>
      <c r="AK404" s="71">
        <v>0</v>
      </c>
      <c r="BB404" s="479" t="s">
        <v>1</v>
      </c>
      <c r="BM404" s="68">
        <f t="shared" si="58"/>
        <v>0</v>
      </c>
      <c r="BN404" s="68">
        <f t="shared" si="59"/>
        <v>0</v>
      </c>
      <c r="BO404" s="68">
        <f t="shared" si="60"/>
        <v>0</v>
      </c>
      <c r="BP404" s="68">
        <f t="shared" si="61"/>
        <v>0</v>
      </c>
    </row>
    <row r="405" spans="1:68" ht="27" customHeight="1" x14ac:dyDescent="0.25">
      <c r="A405" s="57" t="s">
        <v>657</v>
      </c>
      <c r="B405" s="57" t="s">
        <v>658</v>
      </c>
      <c r="C405" s="31">
        <v>4301011433</v>
      </c>
      <c r="D405" s="601">
        <v>4680115882638</v>
      </c>
      <c r="E405" s="602"/>
      <c r="F405" s="56">
        <v>0.4</v>
      </c>
      <c r="G405" s="32">
        <v>10</v>
      </c>
      <c r="H405" s="56">
        <v>4</v>
      </c>
      <c r="I405" s="56">
        <v>4.1900000000000004</v>
      </c>
      <c r="J405" s="32">
        <v>132</v>
      </c>
      <c r="K405" s="32" t="s">
        <v>130</v>
      </c>
      <c r="L405" s="32"/>
      <c r="M405" s="33" t="s">
        <v>122</v>
      </c>
      <c r="N405" s="33"/>
      <c r="O405" s="32">
        <v>90</v>
      </c>
      <c r="P405" s="88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4"/>
      <c r="V405" s="34"/>
      <c r="W405" s="35" t="s">
        <v>68</v>
      </c>
      <c r="X405" s="53">
        <v>0</v>
      </c>
      <c r="Y405" s="50">
        <f t="shared" si="57"/>
        <v>0</v>
      </c>
      <c r="Z405" s="36" t="str">
        <f>IFERROR(IF(Y405=0,"",ROUNDUP(Y405/H405,0)*0.00902),"")</f>
        <v/>
      </c>
      <c r="AA405" s="60"/>
      <c r="AB405" s="61"/>
      <c r="AC405" s="480" t="s">
        <v>659</v>
      </c>
      <c r="AG405" s="68"/>
      <c r="AJ405" s="71"/>
      <c r="AK405" s="71">
        <v>0</v>
      </c>
      <c r="BB405" s="481" t="s">
        <v>1</v>
      </c>
      <c r="BM405" s="68">
        <f t="shared" si="58"/>
        <v>0</v>
      </c>
      <c r="BN405" s="68">
        <f t="shared" si="59"/>
        <v>0</v>
      </c>
      <c r="BO405" s="68">
        <f t="shared" si="60"/>
        <v>0</v>
      </c>
      <c r="BP405" s="68">
        <f t="shared" si="61"/>
        <v>0</v>
      </c>
    </row>
    <row r="406" spans="1:68" ht="27" customHeight="1" x14ac:dyDescent="0.25">
      <c r="A406" s="57" t="s">
        <v>660</v>
      </c>
      <c r="B406" s="57" t="s">
        <v>661</v>
      </c>
      <c r="C406" s="31">
        <v>4301011952</v>
      </c>
      <c r="D406" s="601">
        <v>4680115884922</v>
      </c>
      <c r="E406" s="602"/>
      <c r="F406" s="56">
        <v>0.5</v>
      </c>
      <c r="G406" s="32">
        <v>10</v>
      </c>
      <c r="H406" s="56">
        <v>5</v>
      </c>
      <c r="I406" s="56">
        <v>5.19</v>
      </c>
      <c r="J406" s="32">
        <v>132</v>
      </c>
      <c r="K406" s="32" t="s">
        <v>130</v>
      </c>
      <c r="L406" s="32"/>
      <c r="M406" s="33" t="s">
        <v>67</v>
      </c>
      <c r="N406" s="33"/>
      <c r="O406" s="32">
        <v>60</v>
      </c>
      <c r="P406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4"/>
      <c r="V406" s="34"/>
      <c r="W406" s="35" t="s">
        <v>68</v>
      </c>
      <c r="X406" s="53">
        <v>0</v>
      </c>
      <c r="Y406" s="50">
        <f t="shared" si="57"/>
        <v>0</v>
      </c>
      <c r="Z406" s="36" t="str">
        <f>IFERROR(IF(Y406=0,"",ROUNDUP(Y406/H406,0)*0.00902),"")</f>
        <v/>
      </c>
      <c r="AA406" s="60"/>
      <c r="AB406" s="61"/>
      <c r="AC406" s="482" t="s">
        <v>662</v>
      </c>
      <c r="AG406" s="68"/>
      <c r="AJ406" s="71"/>
      <c r="AK406" s="71">
        <v>0</v>
      </c>
      <c r="BB406" s="483" t="s">
        <v>1</v>
      </c>
      <c r="BM406" s="68">
        <f t="shared" si="58"/>
        <v>0</v>
      </c>
      <c r="BN406" s="68">
        <f t="shared" si="59"/>
        <v>0</v>
      </c>
      <c r="BO406" s="68">
        <f t="shared" si="60"/>
        <v>0</v>
      </c>
      <c r="BP406" s="68">
        <f t="shared" si="61"/>
        <v>0</v>
      </c>
    </row>
    <row r="407" spans="1:68" ht="37.5" customHeight="1" x14ac:dyDescent="0.25">
      <c r="A407" s="57" t="s">
        <v>663</v>
      </c>
      <c r="B407" s="57" t="s">
        <v>664</v>
      </c>
      <c r="C407" s="31">
        <v>4301011868</v>
      </c>
      <c r="D407" s="601">
        <v>4680115884861</v>
      </c>
      <c r="E407" s="602"/>
      <c r="F407" s="56">
        <v>0.5</v>
      </c>
      <c r="G407" s="32">
        <v>10</v>
      </c>
      <c r="H407" s="56">
        <v>5</v>
      </c>
      <c r="I407" s="56">
        <v>5.19</v>
      </c>
      <c r="J407" s="32">
        <v>132</v>
      </c>
      <c r="K407" s="32" t="s">
        <v>130</v>
      </c>
      <c r="L407" s="32"/>
      <c r="M407" s="33" t="s">
        <v>67</v>
      </c>
      <c r="N407" s="33"/>
      <c r="O407" s="32">
        <v>60</v>
      </c>
      <c r="P407" s="9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4"/>
      <c r="V407" s="34"/>
      <c r="W407" s="35" t="s">
        <v>68</v>
      </c>
      <c r="X407" s="53">
        <v>0</v>
      </c>
      <c r="Y407" s="50">
        <f t="shared" si="57"/>
        <v>0</v>
      </c>
      <c r="Z407" s="36" t="str">
        <f>IFERROR(IF(Y407=0,"",ROUNDUP(Y407/H407,0)*0.00902),"")</f>
        <v/>
      </c>
      <c r="AA407" s="60"/>
      <c r="AB407" s="61"/>
      <c r="AC407" s="484" t="s">
        <v>665</v>
      </c>
      <c r="AG407" s="68"/>
      <c r="AJ407" s="71"/>
      <c r="AK407" s="71">
        <v>0</v>
      </c>
      <c r="BB407" s="485" t="s">
        <v>1</v>
      </c>
      <c r="BM407" s="68">
        <f t="shared" si="58"/>
        <v>0</v>
      </c>
      <c r="BN407" s="68">
        <f t="shared" si="59"/>
        <v>0</v>
      </c>
      <c r="BO407" s="68">
        <f t="shared" si="60"/>
        <v>0</v>
      </c>
      <c r="BP407" s="68">
        <f t="shared" si="61"/>
        <v>0</v>
      </c>
    </row>
    <row r="408" spans="1:68" x14ac:dyDescent="0.25">
      <c r="A408" s="612"/>
      <c r="B408" s="607"/>
      <c r="C408" s="607"/>
      <c r="D408" s="607"/>
      <c r="E408" s="607"/>
      <c r="F408" s="607"/>
      <c r="G408" s="607"/>
      <c r="H408" s="607"/>
      <c r="I408" s="607"/>
      <c r="J408" s="607"/>
      <c r="K408" s="607"/>
      <c r="L408" s="607"/>
      <c r="M408" s="607"/>
      <c r="N408" s="607"/>
      <c r="O408" s="613"/>
      <c r="P408" s="630" t="s">
        <v>73</v>
      </c>
      <c r="Q408" s="622"/>
      <c r="R408" s="622"/>
      <c r="S408" s="622"/>
      <c r="T408" s="622"/>
      <c r="U408" s="622"/>
      <c r="V408" s="623"/>
      <c r="W408" s="37" t="s">
        <v>74</v>
      </c>
      <c r="X408" s="38">
        <f>IFERROR(X400/H400,"0")+IFERROR(X401/H401,"0")+IFERROR(X402/H402,"0")+IFERROR(X403/H403,"0")+IFERROR(X404/H404,"0")+IFERROR(X405/H405,"0")+IFERROR(X406/H406,"0")+IFERROR(X407/H407,"0")</f>
        <v>300</v>
      </c>
      <c r="Y408" s="38">
        <f>IFERROR(Y400/H400,"0")+IFERROR(Y401/H401,"0")+IFERROR(Y402/H402,"0")+IFERROR(Y403/H403,"0")+IFERROR(Y404/H404,"0")+IFERROR(Y405/H405,"0")+IFERROR(Y406/H406,"0")+IFERROR(Y407/H407,"0")</f>
        <v>300</v>
      </c>
      <c r="Z408" s="38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6.5249999999999995</v>
      </c>
      <c r="AA408" s="59"/>
      <c r="AB408" s="59"/>
      <c r="AC408" s="59"/>
    </row>
    <row r="409" spans="1:68" x14ac:dyDescent="0.25">
      <c r="A409" s="607"/>
      <c r="B409" s="607"/>
      <c r="C409" s="607"/>
      <c r="D409" s="607"/>
      <c r="E409" s="607"/>
      <c r="F409" s="607"/>
      <c r="G409" s="607"/>
      <c r="H409" s="607"/>
      <c r="I409" s="607"/>
      <c r="J409" s="607"/>
      <c r="K409" s="607"/>
      <c r="L409" s="607"/>
      <c r="M409" s="607"/>
      <c r="N409" s="607"/>
      <c r="O409" s="613"/>
      <c r="P409" s="630" t="s">
        <v>73</v>
      </c>
      <c r="Q409" s="622"/>
      <c r="R409" s="622"/>
      <c r="S409" s="622"/>
      <c r="T409" s="622"/>
      <c r="U409" s="622"/>
      <c r="V409" s="623"/>
      <c r="W409" s="37" t="s">
        <v>68</v>
      </c>
      <c r="X409" s="38">
        <f>IFERROR(SUM(X400:X407),"0")</f>
        <v>4500</v>
      </c>
      <c r="Y409" s="38">
        <f>IFERROR(SUM(Y400:Y407),"0")</f>
        <v>4500</v>
      </c>
      <c r="Z409" s="37"/>
      <c r="AA409" s="59"/>
      <c r="AB409" s="59"/>
      <c r="AC409" s="59"/>
    </row>
    <row r="410" spans="1:68" ht="14.25" customHeight="1" x14ac:dyDescent="0.25">
      <c r="A410" s="615" t="s">
        <v>153</v>
      </c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7"/>
      <c r="P410" s="607"/>
      <c r="Q410" s="607"/>
      <c r="R410" s="607"/>
      <c r="S410" s="607"/>
      <c r="T410" s="607"/>
      <c r="U410" s="607"/>
      <c r="V410" s="607"/>
      <c r="W410" s="607"/>
      <c r="X410" s="607"/>
      <c r="Y410" s="607"/>
      <c r="Z410" s="607"/>
      <c r="AA410" s="588"/>
      <c r="AB410" s="588"/>
      <c r="AC410" s="588"/>
    </row>
    <row r="411" spans="1:68" ht="27" customHeight="1" x14ac:dyDescent="0.25">
      <c r="A411" s="57" t="s">
        <v>666</v>
      </c>
      <c r="B411" s="57" t="s">
        <v>667</v>
      </c>
      <c r="C411" s="31">
        <v>4301020178</v>
      </c>
      <c r="D411" s="601">
        <v>4607091383980</v>
      </c>
      <c r="E411" s="602"/>
      <c r="F411" s="56">
        <v>2.5</v>
      </c>
      <c r="G411" s="32">
        <v>6</v>
      </c>
      <c r="H411" s="56">
        <v>15</v>
      </c>
      <c r="I411" s="56">
        <v>15.47</v>
      </c>
      <c r="J411" s="32">
        <v>48</v>
      </c>
      <c r="K411" s="32" t="s">
        <v>121</v>
      </c>
      <c r="L411" s="32"/>
      <c r="M411" s="33" t="s">
        <v>122</v>
      </c>
      <c r="N411" s="33"/>
      <c r="O411" s="32">
        <v>50</v>
      </c>
      <c r="P411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4"/>
      <c r="V411" s="34"/>
      <c r="W411" s="35" t="s">
        <v>68</v>
      </c>
      <c r="X411" s="53">
        <v>1200</v>
      </c>
      <c r="Y411" s="50">
        <f>IFERROR(IF(X411="",0,CEILING((X411/$H411),1)*$H411),"")</f>
        <v>1200</v>
      </c>
      <c r="Z411" s="36">
        <f>IFERROR(IF(Y411=0,"",ROUNDUP(Y411/H411,0)*0.02175),"")</f>
        <v>1.7399999999999998</v>
      </c>
      <c r="AA411" s="60"/>
      <c r="AB411" s="61"/>
      <c r="AC411" s="486" t="s">
        <v>668</v>
      </c>
      <c r="AG411" s="68"/>
      <c r="AJ411" s="71"/>
      <c r="AK411" s="71">
        <v>0</v>
      </c>
      <c r="BB411" s="487" t="s">
        <v>1</v>
      </c>
      <c r="BM411" s="68">
        <f>IFERROR(X411*I411/H411,"0")</f>
        <v>1237.5999999999999</v>
      </c>
      <c r="BN411" s="68">
        <f>IFERROR(Y411*I411/H411,"0")</f>
        <v>1237.5999999999999</v>
      </c>
      <c r="BO411" s="68">
        <f>IFERROR(1/J411*(X411/H411),"0")</f>
        <v>1.6666666666666665</v>
      </c>
      <c r="BP411" s="68">
        <f>IFERROR(1/J411*(Y411/H411),"0")</f>
        <v>1.6666666666666665</v>
      </c>
    </row>
    <row r="412" spans="1:68" ht="27" customHeight="1" x14ac:dyDescent="0.25">
      <c r="A412" s="57" t="s">
        <v>669</v>
      </c>
      <c r="B412" s="57" t="s">
        <v>670</v>
      </c>
      <c r="C412" s="31">
        <v>4301020355</v>
      </c>
      <c r="D412" s="601">
        <v>4680115888425</v>
      </c>
      <c r="E412" s="602"/>
      <c r="F412" s="56">
        <v>2.5</v>
      </c>
      <c r="G412" s="32">
        <v>6</v>
      </c>
      <c r="H412" s="56">
        <v>15</v>
      </c>
      <c r="I412" s="56">
        <v>15.47</v>
      </c>
      <c r="J412" s="32">
        <v>48</v>
      </c>
      <c r="K412" s="32" t="s">
        <v>121</v>
      </c>
      <c r="L412" s="32"/>
      <c r="M412" s="33" t="s">
        <v>122</v>
      </c>
      <c r="N412" s="33"/>
      <c r="O412" s="32">
        <v>50</v>
      </c>
      <c r="P412" s="6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4"/>
      <c r="V412" s="34"/>
      <c r="W412" s="35" t="s">
        <v>68</v>
      </c>
      <c r="X412" s="53">
        <v>0</v>
      </c>
      <c r="Y412" s="50">
        <f>IFERROR(IF(X412="",0,CEILING((X412/$H412),1)*$H412),"")</f>
        <v>0</v>
      </c>
      <c r="Z412" s="36" t="str">
        <f>IFERROR(IF(Y412=0,"",ROUNDUP(Y412/H412,0)*0.02175),"")</f>
        <v/>
      </c>
      <c r="AA412" s="60"/>
      <c r="AB412" s="61"/>
      <c r="AC412" s="488" t="s">
        <v>671</v>
      </c>
      <c r="AG412" s="68"/>
      <c r="AJ412" s="71"/>
      <c r="AK412" s="71">
        <v>0</v>
      </c>
      <c r="BB412" s="489" t="s">
        <v>1</v>
      </c>
      <c r="BM412" s="68">
        <f>IFERROR(X412*I412/H412,"0")</f>
        <v>0</v>
      </c>
      <c r="BN412" s="68">
        <f>IFERROR(Y412*I412/H412,"0")</f>
        <v>0</v>
      </c>
      <c r="BO412" s="68">
        <f>IFERROR(1/J412*(X412/H412),"0")</f>
        <v>0</v>
      </c>
      <c r="BP412" s="68">
        <f>IFERROR(1/J412*(Y412/H412),"0")</f>
        <v>0</v>
      </c>
    </row>
    <row r="413" spans="1:68" ht="27" customHeight="1" x14ac:dyDescent="0.25">
      <c r="A413" s="57" t="s">
        <v>672</v>
      </c>
      <c r="B413" s="57" t="s">
        <v>673</v>
      </c>
      <c r="C413" s="31">
        <v>4301020179</v>
      </c>
      <c r="D413" s="601">
        <v>4607091384178</v>
      </c>
      <c r="E413" s="602"/>
      <c r="F413" s="56">
        <v>0.4</v>
      </c>
      <c r="G413" s="32">
        <v>10</v>
      </c>
      <c r="H413" s="56">
        <v>4</v>
      </c>
      <c r="I413" s="56">
        <v>4.1900000000000004</v>
      </c>
      <c r="J413" s="32">
        <v>132</v>
      </c>
      <c r="K413" s="32" t="s">
        <v>130</v>
      </c>
      <c r="L413" s="32"/>
      <c r="M413" s="33" t="s">
        <v>122</v>
      </c>
      <c r="N413" s="33"/>
      <c r="O413" s="32">
        <v>50</v>
      </c>
      <c r="P413" s="9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4"/>
      <c r="V413" s="34"/>
      <c r="W413" s="35" t="s">
        <v>68</v>
      </c>
      <c r="X413" s="53">
        <v>0</v>
      </c>
      <c r="Y413" s="50">
        <f>IFERROR(IF(X413="",0,CEILING((X413/$H413),1)*$H413),"")</f>
        <v>0</v>
      </c>
      <c r="Z413" s="36" t="str">
        <f>IFERROR(IF(Y413=0,"",ROUNDUP(Y413/H413,0)*0.00902),"")</f>
        <v/>
      </c>
      <c r="AA413" s="60"/>
      <c r="AB413" s="61"/>
      <c r="AC413" s="490" t="s">
        <v>674</v>
      </c>
      <c r="AG413" s="68"/>
      <c r="AJ413" s="71"/>
      <c r="AK413" s="71">
        <v>0</v>
      </c>
      <c r="BB413" s="491" t="s">
        <v>1</v>
      </c>
      <c r="BM413" s="68">
        <f>IFERROR(X413*I413/H413,"0")</f>
        <v>0</v>
      </c>
      <c r="BN413" s="68">
        <f>IFERROR(Y413*I413/H413,"0")</f>
        <v>0</v>
      </c>
      <c r="BO413" s="68">
        <f>IFERROR(1/J413*(X413/H413),"0")</f>
        <v>0</v>
      </c>
      <c r="BP413" s="68">
        <f>IFERROR(1/J413*(Y413/H413),"0")</f>
        <v>0</v>
      </c>
    </row>
    <row r="414" spans="1:68" x14ac:dyDescent="0.25">
      <c r="A414" s="612"/>
      <c r="B414" s="607"/>
      <c r="C414" s="607"/>
      <c r="D414" s="607"/>
      <c r="E414" s="607"/>
      <c r="F414" s="607"/>
      <c r="G414" s="607"/>
      <c r="H414" s="607"/>
      <c r="I414" s="607"/>
      <c r="J414" s="607"/>
      <c r="K414" s="607"/>
      <c r="L414" s="607"/>
      <c r="M414" s="607"/>
      <c r="N414" s="607"/>
      <c r="O414" s="613"/>
      <c r="P414" s="630" t="s">
        <v>73</v>
      </c>
      <c r="Q414" s="622"/>
      <c r="R414" s="622"/>
      <c r="S414" s="622"/>
      <c r="T414" s="622"/>
      <c r="U414" s="622"/>
      <c r="V414" s="623"/>
      <c r="W414" s="37" t="s">
        <v>74</v>
      </c>
      <c r="X414" s="38">
        <f>IFERROR(X411/H411,"0")+IFERROR(X412/H412,"0")+IFERROR(X413/H413,"0")</f>
        <v>80</v>
      </c>
      <c r="Y414" s="38">
        <f>IFERROR(Y411/H411,"0")+IFERROR(Y412/H412,"0")+IFERROR(Y413/H413,"0")</f>
        <v>80</v>
      </c>
      <c r="Z414" s="38">
        <f>IFERROR(IF(Z411="",0,Z411),"0")+IFERROR(IF(Z412="",0,Z412),"0")+IFERROR(IF(Z413="",0,Z413),"0")</f>
        <v>1.7399999999999998</v>
      </c>
      <c r="AA414" s="59"/>
      <c r="AB414" s="59"/>
      <c r="AC414" s="59"/>
    </row>
    <row r="415" spans="1:68" x14ac:dyDescent="0.25">
      <c r="A415" s="607"/>
      <c r="B415" s="607"/>
      <c r="C415" s="607"/>
      <c r="D415" s="607"/>
      <c r="E415" s="607"/>
      <c r="F415" s="607"/>
      <c r="G415" s="607"/>
      <c r="H415" s="607"/>
      <c r="I415" s="607"/>
      <c r="J415" s="607"/>
      <c r="K415" s="607"/>
      <c r="L415" s="607"/>
      <c r="M415" s="607"/>
      <c r="N415" s="607"/>
      <c r="O415" s="613"/>
      <c r="P415" s="630" t="s">
        <v>73</v>
      </c>
      <c r="Q415" s="622"/>
      <c r="R415" s="622"/>
      <c r="S415" s="622"/>
      <c r="T415" s="622"/>
      <c r="U415" s="622"/>
      <c r="V415" s="623"/>
      <c r="W415" s="37" t="s">
        <v>68</v>
      </c>
      <c r="X415" s="38">
        <f>IFERROR(SUM(X411:X413),"0")</f>
        <v>1200</v>
      </c>
      <c r="Y415" s="38">
        <f>IFERROR(SUM(Y411:Y413),"0")</f>
        <v>1200</v>
      </c>
      <c r="Z415" s="37"/>
      <c r="AA415" s="59"/>
      <c r="AB415" s="59"/>
      <c r="AC415" s="59"/>
    </row>
    <row r="416" spans="1:68" ht="14.25" customHeight="1" x14ac:dyDescent="0.25">
      <c r="A416" s="615" t="s">
        <v>75</v>
      </c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7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588"/>
      <c r="AB416" s="588"/>
      <c r="AC416" s="588"/>
    </row>
    <row r="417" spans="1:68" ht="27" customHeight="1" x14ac:dyDescent="0.25">
      <c r="A417" s="57" t="s">
        <v>675</v>
      </c>
      <c r="B417" s="57" t="s">
        <v>676</v>
      </c>
      <c r="C417" s="31">
        <v>4301051903</v>
      </c>
      <c r="D417" s="601">
        <v>4607091383928</v>
      </c>
      <c r="E417" s="602"/>
      <c r="F417" s="56">
        <v>1.5</v>
      </c>
      <c r="G417" s="32">
        <v>6</v>
      </c>
      <c r="H417" s="56">
        <v>9</v>
      </c>
      <c r="I417" s="56">
        <v>9.5</v>
      </c>
      <c r="J417" s="32">
        <v>64</v>
      </c>
      <c r="K417" s="32" t="s">
        <v>121</v>
      </c>
      <c r="L417" s="32"/>
      <c r="M417" s="33" t="s">
        <v>79</v>
      </c>
      <c r="N417" s="33"/>
      <c r="O417" s="32">
        <v>40</v>
      </c>
      <c r="P417" s="68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4"/>
      <c r="V417" s="34"/>
      <c r="W417" s="35" t="s">
        <v>68</v>
      </c>
      <c r="X417" s="53">
        <v>0</v>
      </c>
      <c r="Y417" s="50">
        <f>IFERROR(IF(X417="",0,CEILING((X417/$H417),1)*$H417),"")</f>
        <v>0</v>
      </c>
      <c r="Z417" s="36" t="str">
        <f>IFERROR(IF(Y417=0,"",ROUNDUP(Y417/H417,0)*0.01898),"")</f>
        <v/>
      </c>
      <c r="AA417" s="60"/>
      <c r="AB417" s="61"/>
      <c r="AC417" s="492" t="s">
        <v>677</v>
      </c>
      <c r="AG417" s="68"/>
      <c r="AJ417" s="71"/>
      <c r="AK417" s="71">
        <v>0</v>
      </c>
      <c r="BB417" s="493" t="s">
        <v>1</v>
      </c>
      <c r="BM417" s="68">
        <f>IFERROR(X417*I417/H417,"0")</f>
        <v>0</v>
      </c>
      <c r="BN417" s="68">
        <f>IFERROR(Y417*I417/H417,"0")</f>
        <v>0</v>
      </c>
      <c r="BO417" s="68">
        <f>IFERROR(1/J417*(X417/H417),"0")</f>
        <v>0</v>
      </c>
      <c r="BP417" s="68">
        <f>IFERROR(1/J417*(Y417/H417),"0")</f>
        <v>0</v>
      </c>
    </row>
    <row r="418" spans="1:68" ht="27" customHeight="1" x14ac:dyDescent="0.25">
      <c r="A418" s="57" t="s">
        <v>678</v>
      </c>
      <c r="B418" s="57" t="s">
        <v>679</v>
      </c>
      <c r="C418" s="31">
        <v>4301051897</v>
      </c>
      <c r="D418" s="601">
        <v>4607091384260</v>
      </c>
      <c r="E418" s="602"/>
      <c r="F418" s="56">
        <v>1.5</v>
      </c>
      <c r="G418" s="32">
        <v>6</v>
      </c>
      <c r="H418" s="56">
        <v>9</v>
      </c>
      <c r="I418" s="56">
        <v>9.4939999999999998</v>
      </c>
      <c r="J418" s="32">
        <v>64</v>
      </c>
      <c r="K418" s="32" t="s">
        <v>121</v>
      </c>
      <c r="L418" s="32"/>
      <c r="M418" s="33" t="s">
        <v>79</v>
      </c>
      <c r="N418" s="33"/>
      <c r="O418" s="32">
        <v>40</v>
      </c>
      <c r="P41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4"/>
      <c r="V418" s="34"/>
      <c r="W418" s="35" t="s">
        <v>68</v>
      </c>
      <c r="X418" s="53">
        <v>0</v>
      </c>
      <c r="Y418" s="50">
        <f>IFERROR(IF(X418="",0,CEILING((X418/$H418),1)*$H418),"")</f>
        <v>0</v>
      </c>
      <c r="Z418" s="36" t="str">
        <f>IFERROR(IF(Y418=0,"",ROUNDUP(Y418/H418,0)*0.01898),"")</f>
        <v/>
      </c>
      <c r="AA418" s="60"/>
      <c r="AB418" s="61"/>
      <c r="AC418" s="494" t="s">
        <v>680</v>
      </c>
      <c r="AG418" s="68"/>
      <c r="AJ418" s="71"/>
      <c r="AK418" s="71">
        <v>0</v>
      </c>
      <c r="BB418" s="495" t="s">
        <v>1</v>
      </c>
      <c r="BM418" s="68">
        <f>IFERROR(X418*I418/H418,"0")</f>
        <v>0</v>
      </c>
      <c r="BN418" s="68">
        <f>IFERROR(Y418*I418/H418,"0")</f>
        <v>0</v>
      </c>
      <c r="BO418" s="68">
        <f>IFERROR(1/J418*(X418/H418),"0")</f>
        <v>0</v>
      </c>
      <c r="BP418" s="68">
        <f>IFERROR(1/J418*(Y418/H418),"0")</f>
        <v>0</v>
      </c>
    </row>
    <row r="419" spans="1:68" x14ac:dyDescent="0.25">
      <c r="A419" s="612"/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13"/>
      <c r="P419" s="630" t="s">
        <v>73</v>
      </c>
      <c r="Q419" s="622"/>
      <c r="R419" s="622"/>
      <c r="S419" s="622"/>
      <c r="T419" s="622"/>
      <c r="U419" s="622"/>
      <c r="V419" s="623"/>
      <c r="W419" s="37" t="s">
        <v>74</v>
      </c>
      <c r="X419" s="38">
        <f>IFERROR(X417/H417,"0")+IFERROR(X418/H418,"0")</f>
        <v>0</v>
      </c>
      <c r="Y419" s="38">
        <f>IFERROR(Y417/H417,"0")+IFERROR(Y418/H418,"0")</f>
        <v>0</v>
      </c>
      <c r="Z419" s="38">
        <f>IFERROR(IF(Z417="",0,Z417),"0")+IFERROR(IF(Z418="",0,Z418),"0")</f>
        <v>0</v>
      </c>
      <c r="AA419" s="59"/>
      <c r="AB419" s="59"/>
      <c r="AC419" s="59"/>
    </row>
    <row r="420" spans="1:68" x14ac:dyDescent="0.25">
      <c r="A420" s="607"/>
      <c r="B420" s="607"/>
      <c r="C420" s="607"/>
      <c r="D420" s="607"/>
      <c r="E420" s="607"/>
      <c r="F420" s="607"/>
      <c r="G420" s="607"/>
      <c r="H420" s="607"/>
      <c r="I420" s="607"/>
      <c r="J420" s="607"/>
      <c r="K420" s="607"/>
      <c r="L420" s="607"/>
      <c r="M420" s="607"/>
      <c r="N420" s="607"/>
      <c r="O420" s="613"/>
      <c r="P420" s="630" t="s">
        <v>73</v>
      </c>
      <c r="Q420" s="622"/>
      <c r="R420" s="622"/>
      <c r="S420" s="622"/>
      <c r="T420" s="622"/>
      <c r="U420" s="622"/>
      <c r="V420" s="623"/>
      <c r="W420" s="37" t="s">
        <v>68</v>
      </c>
      <c r="X420" s="38">
        <f>IFERROR(SUM(X417:X418),"0")</f>
        <v>0</v>
      </c>
      <c r="Y420" s="38">
        <f>IFERROR(SUM(Y417:Y418),"0")</f>
        <v>0</v>
      </c>
      <c r="Z420" s="37"/>
      <c r="AA420" s="59"/>
      <c r="AB420" s="59"/>
      <c r="AC420" s="59"/>
    </row>
    <row r="421" spans="1:68" ht="14.25" customHeight="1" x14ac:dyDescent="0.25">
      <c r="A421" s="615" t="s">
        <v>170</v>
      </c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607"/>
      <c r="S421" s="607"/>
      <c r="T421" s="607"/>
      <c r="U421" s="607"/>
      <c r="V421" s="607"/>
      <c r="W421" s="607"/>
      <c r="X421" s="607"/>
      <c r="Y421" s="607"/>
      <c r="Z421" s="607"/>
      <c r="AA421" s="588"/>
      <c r="AB421" s="588"/>
      <c r="AC421" s="588"/>
    </row>
    <row r="422" spans="1:68" ht="16.5" customHeight="1" x14ac:dyDescent="0.25">
      <c r="A422" s="57" t="s">
        <v>681</v>
      </c>
      <c r="B422" s="57" t="s">
        <v>682</v>
      </c>
      <c r="C422" s="31">
        <v>4301060524</v>
      </c>
      <c r="D422" s="601">
        <v>4607091384673</v>
      </c>
      <c r="E422" s="602"/>
      <c r="F422" s="56">
        <v>1.5</v>
      </c>
      <c r="G422" s="32">
        <v>6</v>
      </c>
      <c r="H422" s="56">
        <v>9</v>
      </c>
      <c r="I422" s="56">
        <v>9.4939999999999998</v>
      </c>
      <c r="J422" s="32">
        <v>64</v>
      </c>
      <c r="K422" s="32" t="s">
        <v>121</v>
      </c>
      <c r="L422" s="32"/>
      <c r="M422" s="33" t="s">
        <v>79</v>
      </c>
      <c r="N422" s="33"/>
      <c r="O422" s="32">
        <v>40</v>
      </c>
      <c r="P422" s="8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4"/>
      <c r="V422" s="34"/>
      <c r="W422" s="35" t="s">
        <v>68</v>
      </c>
      <c r="X422" s="53">
        <v>60</v>
      </c>
      <c r="Y422" s="50">
        <f>IFERROR(IF(X422="",0,CEILING((X422/$H422),1)*$H422),"")</f>
        <v>63</v>
      </c>
      <c r="Z422" s="36">
        <f>IFERROR(IF(Y422=0,"",ROUNDUP(Y422/H422,0)*0.01898),"")</f>
        <v>0.13286000000000001</v>
      </c>
      <c r="AA422" s="60"/>
      <c r="AB422" s="61"/>
      <c r="AC422" s="496" t="s">
        <v>683</v>
      </c>
      <c r="AG422" s="68"/>
      <c r="AJ422" s="71"/>
      <c r="AK422" s="71">
        <v>0</v>
      </c>
      <c r="BB422" s="497" t="s">
        <v>1</v>
      </c>
      <c r="BM422" s="68">
        <f>IFERROR(X422*I422/H422,"0")</f>
        <v>63.293333333333329</v>
      </c>
      <c r="BN422" s="68">
        <f>IFERROR(Y422*I422/H422,"0")</f>
        <v>66.457999999999998</v>
      </c>
      <c r="BO422" s="68">
        <f>IFERROR(1/J422*(X422/H422),"0")</f>
        <v>0.10416666666666667</v>
      </c>
      <c r="BP422" s="68">
        <f>IFERROR(1/J422*(Y422/H422),"0")</f>
        <v>0.109375</v>
      </c>
    </row>
    <row r="423" spans="1:68" x14ac:dyDescent="0.25">
      <c r="A423" s="612"/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13"/>
      <c r="P423" s="630" t="s">
        <v>73</v>
      </c>
      <c r="Q423" s="622"/>
      <c r="R423" s="622"/>
      <c r="S423" s="622"/>
      <c r="T423" s="622"/>
      <c r="U423" s="622"/>
      <c r="V423" s="623"/>
      <c r="W423" s="37" t="s">
        <v>74</v>
      </c>
      <c r="X423" s="38">
        <f>IFERROR(X422/H422,"0")</f>
        <v>6.666666666666667</v>
      </c>
      <c r="Y423" s="38">
        <f>IFERROR(Y422/H422,"0")</f>
        <v>7</v>
      </c>
      <c r="Z423" s="38">
        <f>IFERROR(IF(Z422="",0,Z422),"0")</f>
        <v>0.13286000000000001</v>
      </c>
      <c r="AA423" s="59"/>
      <c r="AB423" s="59"/>
      <c r="AC423" s="59"/>
    </row>
    <row r="424" spans="1:68" x14ac:dyDescent="0.25">
      <c r="A424" s="607"/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13"/>
      <c r="P424" s="630" t="s">
        <v>73</v>
      </c>
      <c r="Q424" s="622"/>
      <c r="R424" s="622"/>
      <c r="S424" s="622"/>
      <c r="T424" s="622"/>
      <c r="U424" s="622"/>
      <c r="V424" s="623"/>
      <c r="W424" s="37" t="s">
        <v>68</v>
      </c>
      <c r="X424" s="38">
        <f>IFERROR(SUM(X422:X422),"0")</f>
        <v>60</v>
      </c>
      <c r="Y424" s="38">
        <f>IFERROR(SUM(Y422:Y422),"0")</f>
        <v>63</v>
      </c>
      <c r="Z424" s="37"/>
      <c r="AA424" s="59"/>
      <c r="AB424" s="59"/>
      <c r="AC424" s="59"/>
    </row>
    <row r="425" spans="1:68" ht="16.5" customHeight="1" x14ac:dyDescent="0.25">
      <c r="A425" s="606" t="s">
        <v>684</v>
      </c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7"/>
      <c r="P425" s="607"/>
      <c r="Q425" s="607"/>
      <c r="R425" s="607"/>
      <c r="S425" s="607"/>
      <c r="T425" s="607"/>
      <c r="U425" s="607"/>
      <c r="V425" s="607"/>
      <c r="W425" s="607"/>
      <c r="X425" s="607"/>
      <c r="Y425" s="607"/>
      <c r="Z425" s="607"/>
      <c r="AA425" s="592"/>
      <c r="AB425" s="592"/>
      <c r="AC425" s="592"/>
    </row>
    <row r="426" spans="1:68" ht="14.25" customHeight="1" x14ac:dyDescent="0.25">
      <c r="A426" s="615" t="s">
        <v>118</v>
      </c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588"/>
      <c r="AB426" s="588"/>
      <c r="AC426" s="588"/>
    </row>
    <row r="427" spans="1:68" ht="27" customHeight="1" x14ac:dyDescent="0.25">
      <c r="A427" s="57" t="s">
        <v>685</v>
      </c>
      <c r="B427" s="57" t="s">
        <v>686</v>
      </c>
      <c r="C427" s="31">
        <v>4301011875</v>
      </c>
      <c r="D427" s="601">
        <v>4680115884885</v>
      </c>
      <c r="E427" s="602"/>
      <c r="F427" s="56">
        <v>0.8</v>
      </c>
      <c r="G427" s="32">
        <v>15</v>
      </c>
      <c r="H427" s="56">
        <v>12</v>
      </c>
      <c r="I427" s="56">
        <v>12.41</v>
      </c>
      <c r="J427" s="32">
        <v>64</v>
      </c>
      <c r="K427" s="32" t="s">
        <v>121</v>
      </c>
      <c r="L427" s="32"/>
      <c r="M427" s="33" t="s">
        <v>67</v>
      </c>
      <c r="N427" s="33"/>
      <c r="O427" s="32">
        <v>60</v>
      </c>
      <c r="P427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4"/>
      <c r="V427" s="34"/>
      <c r="W427" s="35" t="s">
        <v>68</v>
      </c>
      <c r="X427" s="53">
        <v>0</v>
      </c>
      <c r="Y427" s="50">
        <f>IFERROR(IF(X427="",0,CEILING((X427/$H427),1)*$H427),"")</f>
        <v>0</v>
      </c>
      <c r="Z427" s="36" t="str">
        <f>IFERROR(IF(Y427=0,"",ROUNDUP(Y427/H427,0)*0.01898),"")</f>
        <v/>
      </c>
      <c r="AA427" s="60"/>
      <c r="AB427" s="61"/>
      <c r="AC427" s="498" t="s">
        <v>687</v>
      </c>
      <c r="AG427" s="68"/>
      <c r="AJ427" s="71"/>
      <c r="AK427" s="71">
        <v>0</v>
      </c>
      <c r="BB427" s="499" t="s">
        <v>1</v>
      </c>
      <c r="BM427" s="68">
        <f>IFERROR(X427*I427/H427,"0")</f>
        <v>0</v>
      </c>
      <c r="BN427" s="68">
        <f>IFERROR(Y427*I427/H427,"0")</f>
        <v>0</v>
      </c>
      <c r="BO427" s="68">
        <f>IFERROR(1/J427*(X427/H427),"0")</f>
        <v>0</v>
      </c>
      <c r="BP427" s="68">
        <f>IFERROR(1/J427*(Y427/H427),"0")</f>
        <v>0</v>
      </c>
    </row>
    <row r="428" spans="1:68" ht="37.5" customHeight="1" x14ac:dyDescent="0.25">
      <c r="A428" s="57" t="s">
        <v>688</v>
      </c>
      <c r="B428" s="57" t="s">
        <v>689</v>
      </c>
      <c r="C428" s="31">
        <v>4301011871</v>
      </c>
      <c r="D428" s="601">
        <v>4680115884908</v>
      </c>
      <c r="E428" s="602"/>
      <c r="F428" s="56">
        <v>0.4</v>
      </c>
      <c r="G428" s="32">
        <v>10</v>
      </c>
      <c r="H428" s="56">
        <v>4</v>
      </c>
      <c r="I428" s="56">
        <v>4.1900000000000004</v>
      </c>
      <c r="J428" s="32">
        <v>132</v>
      </c>
      <c r="K428" s="32" t="s">
        <v>130</v>
      </c>
      <c r="L428" s="32"/>
      <c r="M428" s="33" t="s">
        <v>67</v>
      </c>
      <c r="N428" s="33"/>
      <c r="O428" s="32">
        <v>60</v>
      </c>
      <c r="P428" s="8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4"/>
      <c r="V428" s="34"/>
      <c r="W428" s="35" t="s">
        <v>68</v>
      </c>
      <c r="X428" s="53">
        <v>0</v>
      </c>
      <c r="Y428" s="50">
        <f>IFERROR(IF(X428="",0,CEILING((X428/$H428),1)*$H428),"")</f>
        <v>0</v>
      </c>
      <c r="Z428" s="36" t="str">
        <f>IFERROR(IF(Y428=0,"",ROUNDUP(Y428/H428,0)*0.00902),"")</f>
        <v/>
      </c>
      <c r="AA428" s="60"/>
      <c r="AB428" s="61"/>
      <c r="AC428" s="500" t="s">
        <v>687</v>
      </c>
      <c r="AG428" s="68"/>
      <c r="AJ428" s="71"/>
      <c r="AK428" s="71">
        <v>0</v>
      </c>
      <c r="BB428" s="501" t="s">
        <v>1</v>
      </c>
      <c r="BM428" s="68">
        <f>IFERROR(X428*I428/H428,"0")</f>
        <v>0</v>
      </c>
      <c r="BN428" s="68">
        <f>IFERROR(Y428*I428/H428,"0")</f>
        <v>0</v>
      </c>
      <c r="BO428" s="68">
        <f>IFERROR(1/J428*(X428/H428),"0")</f>
        <v>0</v>
      </c>
      <c r="BP428" s="68">
        <f>IFERROR(1/J428*(Y428/H428),"0")</f>
        <v>0</v>
      </c>
    </row>
    <row r="429" spans="1:68" x14ac:dyDescent="0.25">
      <c r="A429" s="612"/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13"/>
      <c r="P429" s="630" t="s">
        <v>73</v>
      </c>
      <c r="Q429" s="622"/>
      <c r="R429" s="622"/>
      <c r="S429" s="622"/>
      <c r="T429" s="622"/>
      <c r="U429" s="622"/>
      <c r="V429" s="623"/>
      <c r="W429" s="37" t="s">
        <v>74</v>
      </c>
      <c r="X429" s="38">
        <f>IFERROR(X427/H427,"0")+IFERROR(X428/H428,"0")</f>
        <v>0</v>
      </c>
      <c r="Y429" s="38">
        <f>IFERROR(Y427/H427,"0")+IFERROR(Y428/H428,"0")</f>
        <v>0</v>
      </c>
      <c r="Z429" s="38">
        <f>IFERROR(IF(Z427="",0,Z427),"0")+IFERROR(IF(Z428="",0,Z428),"0")</f>
        <v>0</v>
      </c>
      <c r="AA429" s="59"/>
      <c r="AB429" s="59"/>
      <c r="AC429" s="59"/>
    </row>
    <row r="430" spans="1:68" x14ac:dyDescent="0.25">
      <c r="A430" s="607"/>
      <c r="B430" s="607"/>
      <c r="C430" s="607"/>
      <c r="D430" s="607"/>
      <c r="E430" s="607"/>
      <c r="F430" s="607"/>
      <c r="G430" s="607"/>
      <c r="H430" s="607"/>
      <c r="I430" s="607"/>
      <c r="J430" s="607"/>
      <c r="K430" s="607"/>
      <c r="L430" s="607"/>
      <c r="M430" s="607"/>
      <c r="N430" s="607"/>
      <c r="O430" s="613"/>
      <c r="P430" s="630" t="s">
        <v>73</v>
      </c>
      <c r="Q430" s="622"/>
      <c r="R430" s="622"/>
      <c r="S430" s="622"/>
      <c r="T430" s="622"/>
      <c r="U430" s="622"/>
      <c r="V430" s="623"/>
      <c r="W430" s="37" t="s">
        <v>68</v>
      </c>
      <c r="X430" s="38">
        <f>IFERROR(SUM(X427:X428),"0")</f>
        <v>0</v>
      </c>
      <c r="Y430" s="38">
        <f>IFERROR(SUM(Y427:Y428),"0")</f>
        <v>0</v>
      </c>
      <c r="Z430" s="37"/>
      <c r="AA430" s="59"/>
      <c r="AB430" s="59"/>
      <c r="AC430" s="59"/>
    </row>
    <row r="431" spans="1:68" ht="14.25" customHeight="1" x14ac:dyDescent="0.25">
      <c r="A431" s="615" t="s">
        <v>63</v>
      </c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7"/>
      <c r="P431" s="607"/>
      <c r="Q431" s="607"/>
      <c r="R431" s="607"/>
      <c r="S431" s="607"/>
      <c r="T431" s="607"/>
      <c r="U431" s="607"/>
      <c r="V431" s="607"/>
      <c r="W431" s="607"/>
      <c r="X431" s="607"/>
      <c r="Y431" s="607"/>
      <c r="Z431" s="607"/>
      <c r="AA431" s="588"/>
      <c r="AB431" s="588"/>
      <c r="AC431" s="588"/>
    </row>
    <row r="432" spans="1:68" ht="27" customHeight="1" x14ac:dyDescent="0.25">
      <c r="A432" s="57" t="s">
        <v>690</v>
      </c>
      <c r="B432" s="57" t="s">
        <v>691</v>
      </c>
      <c r="C432" s="31">
        <v>4301031457</v>
      </c>
      <c r="D432" s="601">
        <v>4607091384802</v>
      </c>
      <c r="E432" s="602"/>
      <c r="F432" s="56">
        <v>0.7</v>
      </c>
      <c r="G432" s="32">
        <v>6</v>
      </c>
      <c r="H432" s="56">
        <v>4.2</v>
      </c>
      <c r="I432" s="56">
        <v>4.45</v>
      </c>
      <c r="J432" s="32">
        <v>132</v>
      </c>
      <c r="K432" s="32" t="s">
        <v>130</v>
      </c>
      <c r="L432" s="32"/>
      <c r="M432" s="33" t="s">
        <v>67</v>
      </c>
      <c r="N432" s="33"/>
      <c r="O432" s="32">
        <v>50</v>
      </c>
      <c r="P432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4"/>
      <c r="V432" s="34"/>
      <c r="W432" s="35" t="s">
        <v>68</v>
      </c>
      <c r="X432" s="53">
        <v>0</v>
      </c>
      <c r="Y432" s="50">
        <f>IFERROR(IF(X432="",0,CEILING((X432/$H432),1)*$H432),"")</f>
        <v>0</v>
      </c>
      <c r="Z432" s="36" t="str">
        <f>IFERROR(IF(Y432=0,"",ROUNDUP(Y432/H432,0)*0.00902),"")</f>
        <v/>
      </c>
      <c r="AA432" s="60"/>
      <c r="AB432" s="61"/>
      <c r="AC432" s="502" t="s">
        <v>692</v>
      </c>
      <c r="AG432" s="68"/>
      <c r="AJ432" s="71"/>
      <c r="AK432" s="71">
        <v>0</v>
      </c>
      <c r="BB432" s="503" t="s">
        <v>1</v>
      </c>
      <c r="BM432" s="68">
        <f>IFERROR(X432*I432/H432,"0")</f>
        <v>0</v>
      </c>
      <c r="BN432" s="68">
        <f>IFERROR(Y432*I432/H432,"0")</f>
        <v>0</v>
      </c>
      <c r="BO432" s="68">
        <f>IFERROR(1/J432*(X432/H432),"0")</f>
        <v>0</v>
      </c>
      <c r="BP432" s="68">
        <f>IFERROR(1/J432*(Y432/H432),"0")</f>
        <v>0</v>
      </c>
    </row>
    <row r="433" spans="1:68" x14ac:dyDescent="0.25">
      <c r="A433" s="612"/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13"/>
      <c r="P433" s="630" t="s">
        <v>73</v>
      </c>
      <c r="Q433" s="622"/>
      <c r="R433" s="622"/>
      <c r="S433" s="622"/>
      <c r="T433" s="622"/>
      <c r="U433" s="622"/>
      <c r="V433" s="623"/>
      <c r="W433" s="37" t="s">
        <v>74</v>
      </c>
      <c r="X433" s="38">
        <f>IFERROR(X432/H432,"0")</f>
        <v>0</v>
      </c>
      <c r="Y433" s="38">
        <f>IFERROR(Y432/H432,"0")</f>
        <v>0</v>
      </c>
      <c r="Z433" s="38">
        <f>IFERROR(IF(Z432="",0,Z432),"0")</f>
        <v>0</v>
      </c>
      <c r="AA433" s="59"/>
      <c r="AB433" s="59"/>
      <c r="AC433" s="59"/>
    </row>
    <row r="434" spans="1:68" x14ac:dyDescent="0.25">
      <c r="A434" s="607"/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13"/>
      <c r="P434" s="630" t="s">
        <v>73</v>
      </c>
      <c r="Q434" s="622"/>
      <c r="R434" s="622"/>
      <c r="S434" s="622"/>
      <c r="T434" s="622"/>
      <c r="U434" s="622"/>
      <c r="V434" s="623"/>
      <c r="W434" s="37" t="s">
        <v>68</v>
      </c>
      <c r="X434" s="38">
        <f>IFERROR(SUM(X432:X432),"0")</f>
        <v>0</v>
      </c>
      <c r="Y434" s="38">
        <f>IFERROR(SUM(Y432:Y432),"0")</f>
        <v>0</v>
      </c>
      <c r="Z434" s="37"/>
      <c r="AA434" s="59"/>
      <c r="AB434" s="59"/>
      <c r="AC434" s="59"/>
    </row>
    <row r="435" spans="1:68" ht="14.25" customHeight="1" x14ac:dyDescent="0.25">
      <c r="A435" s="615" t="s">
        <v>75</v>
      </c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7"/>
      <c r="P435" s="607"/>
      <c r="Q435" s="607"/>
      <c r="R435" s="607"/>
      <c r="S435" s="607"/>
      <c r="T435" s="607"/>
      <c r="U435" s="607"/>
      <c r="V435" s="607"/>
      <c r="W435" s="607"/>
      <c r="X435" s="607"/>
      <c r="Y435" s="607"/>
      <c r="Z435" s="607"/>
      <c r="AA435" s="588"/>
      <c r="AB435" s="588"/>
      <c r="AC435" s="588"/>
    </row>
    <row r="436" spans="1:68" ht="27" customHeight="1" x14ac:dyDescent="0.25">
      <c r="A436" s="57" t="s">
        <v>693</v>
      </c>
      <c r="B436" s="57" t="s">
        <v>694</v>
      </c>
      <c r="C436" s="31">
        <v>4301051899</v>
      </c>
      <c r="D436" s="601">
        <v>4607091384246</v>
      </c>
      <c r="E436" s="602"/>
      <c r="F436" s="56">
        <v>1.5</v>
      </c>
      <c r="G436" s="32">
        <v>6</v>
      </c>
      <c r="H436" s="56">
        <v>9</v>
      </c>
      <c r="I436" s="56">
        <v>9.4939999999999998</v>
      </c>
      <c r="J436" s="32">
        <v>64</v>
      </c>
      <c r="K436" s="32" t="s">
        <v>121</v>
      </c>
      <c r="L436" s="32"/>
      <c r="M436" s="33" t="s">
        <v>79</v>
      </c>
      <c r="N436" s="33"/>
      <c r="O436" s="32">
        <v>40</v>
      </c>
      <c r="P436" s="6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4"/>
      <c r="V436" s="34"/>
      <c r="W436" s="35" t="s">
        <v>68</v>
      </c>
      <c r="X436" s="53">
        <v>4000</v>
      </c>
      <c r="Y436" s="50">
        <f>IFERROR(IF(X436="",0,CEILING((X436/$H436),1)*$H436),"")</f>
        <v>4005</v>
      </c>
      <c r="Z436" s="36">
        <f>IFERROR(IF(Y436=0,"",ROUNDUP(Y436/H436,0)*0.01898),"")</f>
        <v>8.4460999999999995</v>
      </c>
      <c r="AA436" s="60"/>
      <c r="AB436" s="61"/>
      <c r="AC436" s="504" t="s">
        <v>695</v>
      </c>
      <c r="AG436" s="68"/>
      <c r="AJ436" s="71"/>
      <c r="AK436" s="71">
        <v>0</v>
      </c>
      <c r="BB436" s="505" t="s">
        <v>1</v>
      </c>
      <c r="BM436" s="68">
        <f>IFERROR(X436*I436/H436,"0")</f>
        <v>4219.5555555555557</v>
      </c>
      <c r="BN436" s="68">
        <f>IFERROR(Y436*I436/H436,"0")</f>
        <v>4224.83</v>
      </c>
      <c r="BO436" s="68">
        <f>IFERROR(1/J436*(X436/H436),"0")</f>
        <v>6.9444444444444446</v>
      </c>
      <c r="BP436" s="68">
        <f>IFERROR(1/J436*(Y436/H436),"0")</f>
        <v>6.953125</v>
      </c>
    </row>
    <row r="437" spans="1:68" ht="27" customHeight="1" x14ac:dyDescent="0.25">
      <c r="A437" s="57" t="s">
        <v>696</v>
      </c>
      <c r="B437" s="57" t="s">
        <v>697</v>
      </c>
      <c r="C437" s="31">
        <v>4301051660</v>
      </c>
      <c r="D437" s="601">
        <v>4607091384253</v>
      </c>
      <c r="E437" s="602"/>
      <c r="F437" s="56">
        <v>0.4</v>
      </c>
      <c r="G437" s="32">
        <v>6</v>
      </c>
      <c r="H437" s="56">
        <v>2.4</v>
      </c>
      <c r="I437" s="56">
        <v>2.6640000000000001</v>
      </c>
      <c r="J437" s="32">
        <v>182</v>
      </c>
      <c r="K437" s="32" t="s">
        <v>78</v>
      </c>
      <c r="L437" s="32"/>
      <c r="M437" s="33" t="s">
        <v>79</v>
      </c>
      <c r="N437" s="33"/>
      <c r="O437" s="32">
        <v>40</v>
      </c>
      <c r="P437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4"/>
      <c r="V437" s="34"/>
      <c r="W437" s="35" t="s">
        <v>68</v>
      </c>
      <c r="X437" s="53">
        <v>48</v>
      </c>
      <c r="Y437" s="50">
        <f>IFERROR(IF(X437="",0,CEILING((X437/$H437),1)*$H437),"")</f>
        <v>48</v>
      </c>
      <c r="Z437" s="36">
        <f>IFERROR(IF(Y437=0,"",ROUNDUP(Y437/H437,0)*0.00651),"")</f>
        <v>0.13020000000000001</v>
      </c>
      <c r="AA437" s="60"/>
      <c r="AB437" s="61"/>
      <c r="AC437" s="506" t="s">
        <v>695</v>
      </c>
      <c r="AG437" s="68"/>
      <c r="AJ437" s="71"/>
      <c r="AK437" s="71">
        <v>0</v>
      </c>
      <c r="BB437" s="507" t="s">
        <v>1</v>
      </c>
      <c r="BM437" s="68">
        <f>IFERROR(X437*I437/H437,"0")</f>
        <v>53.280000000000008</v>
      </c>
      <c r="BN437" s="68">
        <f>IFERROR(Y437*I437/H437,"0")</f>
        <v>53.280000000000008</v>
      </c>
      <c r="BO437" s="68">
        <f>IFERROR(1/J437*(X437/H437),"0")</f>
        <v>0.1098901098901099</v>
      </c>
      <c r="BP437" s="68">
        <f>IFERROR(1/J437*(Y437/H437),"0")</f>
        <v>0.1098901098901099</v>
      </c>
    </row>
    <row r="438" spans="1:68" ht="27" customHeight="1" x14ac:dyDescent="0.25">
      <c r="A438" s="57" t="s">
        <v>696</v>
      </c>
      <c r="B438" s="57" t="s">
        <v>698</v>
      </c>
      <c r="C438" s="31">
        <v>4301052069</v>
      </c>
      <c r="D438" s="601">
        <v>4607091384253</v>
      </c>
      <c r="E438" s="602"/>
      <c r="F438" s="56">
        <v>0.4</v>
      </c>
      <c r="G438" s="32">
        <v>6</v>
      </c>
      <c r="H438" s="56">
        <v>2.4</v>
      </c>
      <c r="I438" s="56">
        <v>2.6640000000000001</v>
      </c>
      <c r="J438" s="32">
        <v>182</v>
      </c>
      <c r="K438" s="32" t="s">
        <v>78</v>
      </c>
      <c r="L438" s="32"/>
      <c r="M438" s="33" t="s">
        <v>79</v>
      </c>
      <c r="N438" s="33"/>
      <c r="O438" s="32">
        <v>40</v>
      </c>
      <c r="P438" s="7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4"/>
      <c r="V438" s="34"/>
      <c r="W438" s="35" t="s">
        <v>68</v>
      </c>
      <c r="X438" s="53">
        <v>0</v>
      </c>
      <c r="Y438" s="50">
        <f>IFERROR(IF(X438="",0,CEILING((X438/$H438),1)*$H438),"")</f>
        <v>0</v>
      </c>
      <c r="Z438" s="36" t="str">
        <f>IFERROR(IF(Y438=0,"",ROUNDUP(Y438/H438,0)*0.00651),"")</f>
        <v/>
      </c>
      <c r="AA438" s="60"/>
      <c r="AB438" s="61"/>
      <c r="AC438" s="508" t="s">
        <v>699</v>
      </c>
      <c r="AG438" s="68"/>
      <c r="AJ438" s="71"/>
      <c r="AK438" s="71">
        <v>0</v>
      </c>
      <c r="BB438" s="509" t="s">
        <v>1</v>
      </c>
      <c r="BM438" s="68">
        <f>IFERROR(X438*I438/H438,"0")</f>
        <v>0</v>
      </c>
      <c r="BN438" s="68">
        <f>IFERROR(Y438*I438/H438,"0")</f>
        <v>0</v>
      </c>
      <c r="BO438" s="68">
        <f>IFERROR(1/J438*(X438/H438),"0")</f>
        <v>0</v>
      </c>
      <c r="BP438" s="68">
        <f>IFERROR(1/J438*(Y438/H438),"0")</f>
        <v>0</v>
      </c>
    </row>
    <row r="439" spans="1:68" x14ac:dyDescent="0.25">
      <c r="A439" s="612"/>
      <c r="B439" s="607"/>
      <c r="C439" s="607"/>
      <c r="D439" s="607"/>
      <c r="E439" s="607"/>
      <c r="F439" s="607"/>
      <c r="G439" s="607"/>
      <c r="H439" s="607"/>
      <c r="I439" s="607"/>
      <c r="J439" s="607"/>
      <c r="K439" s="607"/>
      <c r="L439" s="607"/>
      <c r="M439" s="607"/>
      <c r="N439" s="607"/>
      <c r="O439" s="613"/>
      <c r="P439" s="630" t="s">
        <v>73</v>
      </c>
      <c r="Q439" s="622"/>
      <c r="R439" s="622"/>
      <c r="S439" s="622"/>
      <c r="T439" s="622"/>
      <c r="U439" s="622"/>
      <c r="V439" s="623"/>
      <c r="W439" s="37" t="s">
        <v>74</v>
      </c>
      <c r="X439" s="38">
        <f>IFERROR(X436/H436,"0")+IFERROR(X437/H437,"0")+IFERROR(X438/H438,"0")</f>
        <v>464.44444444444446</v>
      </c>
      <c r="Y439" s="38">
        <f>IFERROR(Y436/H436,"0")+IFERROR(Y437/H437,"0")+IFERROR(Y438/H438,"0")</f>
        <v>465</v>
      </c>
      <c r="Z439" s="38">
        <f>IFERROR(IF(Z436="",0,Z436),"0")+IFERROR(IF(Z437="",0,Z437),"0")+IFERROR(IF(Z438="",0,Z438),"0")</f>
        <v>8.5762999999999998</v>
      </c>
      <c r="AA439" s="59"/>
      <c r="AB439" s="59"/>
      <c r="AC439" s="59"/>
    </row>
    <row r="440" spans="1:68" x14ac:dyDescent="0.25">
      <c r="A440" s="607"/>
      <c r="B440" s="607"/>
      <c r="C440" s="607"/>
      <c r="D440" s="607"/>
      <c r="E440" s="607"/>
      <c r="F440" s="607"/>
      <c r="G440" s="607"/>
      <c r="H440" s="607"/>
      <c r="I440" s="607"/>
      <c r="J440" s="607"/>
      <c r="K440" s="607"/>
      <c r="L440" s="607"/>
      <c r="M440" s="607"/>
      <c r="N440" s="607"/>
      <c r="O440" s="613"/>
      <c r="P440" s="630" t="s">
        <v>73</v>
      </c>
      <c r="Q440" s="622"/>
      <c r="R440" s="622"/>
      <c r="S440" s="622"/>
      <c r="T440" s="622"/>
      <c r="U440" s="622"/>
      <c r="V440" s="623"/>
      <c r="W440" s="37" t="s">
        <v>68</v>
      </c>
      <c r="X440" s="38">
        <f>IFERROR(SUM(X436:X438),"0")</f>
        <v>4048</v>
      </c>
      <c r="Y440" s="38">
        <f>IFERROR(SUM(Y436:Y438),"0")</f>
        <v>4053</v>
      </c>
      <c r="Z440" s="37"/>
      <c r="AA440" s="59"/>
      <c r="AB440" s="59"/>
      <c r="AC440" s="59"/>
    </row>
    <row r="441" spans="1:68" ht="27.75" customHeight="1" x14ac:dyDescent="0.25">
      <c r="A441" s="642" t="s">
        <v>700</v>
      </c>
      <c r="B441" s="643"/>
      <c r="C441" s="643"/>
      <c r="D441" s="643"/>
      <c r="E441" s="643"/>
      <c r="F441" s="643"/>
      <c r="G441" s="643"/>
      <c r="H441" s="643"/>
      <c r="I441" s="643"/>
      <c r="J441" s="643"/>
      <c r="K441" s="643"/>
      <c r="L441" s="643"/>
      <c r="M441" s="643"/>
      <c r="N441" s="643"/>
      <c r="O441" s="643"/>
      <c r="P441" s="643"/>
      <c r="Q441" s="643"/>
      <c r="R441" s="643"/>
      <c r="S441" s="643"/>
      <c r="T441" s="643"/>
      <c r="U441" s="643"/>
      <c r="V441" s="643"/>
      <c r="W441" s="643"/>
      <c r="X441" s="643"/>
      <c r="Y441" s="643"/>
      <c r="Z441" s="643"/>
      <c r="AA441" s="49"/>
      <c r="AB441" s="49"/>
      <c r="AC441" s="49"/>
    </row>
    <row r="442" spans="1:68" ht="16.5" customHeight="1" x14ac:dyDescent="0.25">
      <c r="A442" s="606" t="s">
        <v>701</v>
      </c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7"/>
      <c r="P442" s="607"/>
      <c r="Q442" s="607"/>
      <c r="R442" s="607"/>
      <c r="S442" s="607"/>
      <c r="T442" s="607"/>
      <c r="U442" s="607"/>
      <c r="V442" s="607"/>
      <c r="W442" s="607"/>
      <c r="X442" s="607"/>
      <c r="Y442" s="607"/>
      <c r="Z442" s="607"/>
      <c r="AA442" s="592"/>
      <c r="AB442" s="592"/>
      <c r="AC442" s="592"/>
    </row>
    <row r="443" spans="1:68" ht="14.25" customHeight="1" x14ac:dyDescent="0.25">
      <c r="A443" s="615" t="s">
        <v>63</v>
      </c>
      <c r="B443" s="607"/>
      <c r="C443" s="607"/>
      <c r="D443" s="607"/>
      <c r="E443" s="607"/>
      <c r="F443" s="607"/>
      <c r="G443" s="607"/>
      <c r="H443" s="607"/>
      <c r="I443" s="607"/>
      <c r="J443" s="607"/>
      <c r="K443" s="607"/>
      <c r="L443" s="607"/>
      <c r="M443" s="607"/>
      <c r="N443" s="607"/>
      <c r="O443" s="607"/>
      <c r="P443" s="607"/>
      <c r="Q443" s="607"/>
      <c r="R443" s="607"/>
      <c r="S443" s="607"/>
      <c r="T443" s="607"/>
      <c r="U443" s="607"/>
      <c r="V443" s="607"/>
      <c r="W443" s="607"/>
      <c r="X443" s="607"/>
      <c r="Y443" s="607"/>
      <c r="Z443" s="607"/>
      <c r="AA443" s="588"/>
      <c r="AB443" s="588"/>
      <c r="AC443" s="588"/>
    </row>
    <row r="444" spans="1:68" ht="27" customHeight="1" x14ac:dyDescent="0.25">
      <c r="A444" s="57" t="s">
        <v>702</v>
      </c>
      <c r="B444" s="57" t="s">
        <v>703</v>
      </c>
      <c r="C444" s="31">
        <v>4301031405</v>
      </c>
      <c r="D444" s="601">
        <v>4680115886100</v>
      </c>
      <c r="E444" s="602"/>
      <c r="F444" s="56">
        <v>0.9</v>
      </c>
      <c r="G444" s="32">
        <v>6</v>
      </c>
      <c r="H444" s="56">
        <v>5.4</v>
      </c>
      <c r="I444" s="56">
        <v>5.59</v>
      </c>
      <c r="J444" s="32">
        <v>132</v>
      </c>
      <c r="K444" s="32" t="s">
        <v>130</v>
      </c>
      <c r="L444" s="32"/>
      <c r="M444" s="33" t="s">
        <v>67</v>
      </c>
      <c r="N444" s="33"/>
      <c r="O444" s="32">
        <v>50</v>
      </c>
      <c r="P44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4"/>
      <c r="V444" s="34"/>
      <c r="W444" s="35" t="s">
        <v>68</v>
      </c>
      <c r="X444" s="53">
        <v>0</v>
      </c>
      <c r="Y444" s="50">
        <f t="shared" ref="Y444:Y449" si="62">IFERROR(IF(X444="",0,CEILING((X444/$H444),1)*$H444),"")</f>
        <v>0</v>
      </c>
      <c r="Z444" s="36" t="str">
        <f>IFERROR(IF(Y444=0,"",ROUNDUP(Y444/H444,0)*0.00902),"")</f>
        <v/>
      </c>
      <c r="AA444" s="60"/>
      <c r="AB444" s="61"/>
      <c r="AC444" s="510" t="s">
        <v>704</v>
      </c>
      <c r="AG444" s="68"/>
      <c r="AJ444" s="71"/>
      <c r="AK444" s="71">
        <v>0</v>
      </c>
      <c r="BB444" s="511" t="s">
        <v>1</v>
      </c>
      <c r="BM444" s="68">
        <f t="shared" ref="BM444:BM449" si="63">IFERROR(X444*I444/H444,"0")</f>
        <v>0</v>
      </c>
      <c r="BN444" s="68">
        <f t="shared" ref="BN444:BN449" si="64">IFERROR(Y444*I444/H444,"0")</f>
        <v>0</v>
      </c>
      <c r="BO444" s="68">
        <f t="shared" ref="BO444:BO449" si="65">IFERROR(1/J444*(X444/H444),"0")</f>
        <v>0</v>
      </c>
      <c r="BP444" s="68">
        <f t="shared" ref="BP444:BP449" si="66">IFERROR(1/J444*(Y444/H444),"0")</f>
        <v>0</v>
      </c>
    </row>
    <row r="445" spans="1:68" ht="27" customHeight="1" x14ac:dyDescent="0.25">
      <c r="A445" s="57" t="s">
        <v>705</v>
      </c>
      <c r="B445" s="57" t="s">
        <v>706</v>
      </c>
      <c r="C445" s="31">
        <v>4301031402</v>
      </c>
      <c r="D445" s="601">
        <v>4680115886124</v>
      </c>
      <c r="E445" s="602"/>
      <c r="F445" s="56">
        <v>0.9</v>
      </c>
      <c r="G445" s="32">
        <v>6</v>
      </c>
      <c r="H445" s="56">
        <v>5.4</v>
      </c>
      <c r="I445" s="56">
        <v>5.59</v>
      </c>
      <c r="J445" s="32">
        <v>132</v>
      </c>
      <c r="K445" s="32" t="s">
        <v>130</v>
      </c>
      <c r="L445" s="32"/>
      <c r="M445" s="33" t="s">
        <v>67</v>
      </c>
      <c r="N445" s="33"/>
      <c r="O445" s="32">
        <v>50</v>
      </c>
      <c r="P445" s="9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4"/>
      <c r="V445" s="34"/>
      <c r="W445" s="35" t="s">
        <v>68</v>
      </c>
      <c r="X445" s="53">
        <v>0</v>
      </c>
      <c r="Y445" s="50">
        <f t="shared" si="62"/>
        <v>0</v>
      </c>
      <c r="Z445" s="36" t="str">
        <f>IFERROR(IF(Y445=0,"",ROUNDUP(Y445/H445,0)*0.00902),"")</f>
        <v/>
      </c>
      <c r="AA445" s="60"/>
      <c r="AB445" s="61"/>
      <c r="AC445" s="512" t="s">
        <v>707</v>
      </c>
      <c r="AG445" s="68"/>
      <c r="AJ445" s="71"/>
      <c r="AK445" s="71">
        <v>0</v>
      </c>
      <c r="BB445" s="513" t="s">
        <v>1</v>
      </c>
      <c r="BM445" s="68">
        <f t="shared" si="63"/>
        <v>0</v>
      </c>
      <c r="BN445" s="68">
        <f t="shared" si="64"/>
        <v>0</v>
      </c>
      <c r="BO445" s="68">
        <f t="shared" si="65"/>
        <v>0</v>
      </c>
      <c r="BP445" s="68">
        <f t="shared" si="66"/>
        <v>0</v>
      </c>
    </row>
    <row r="446" spans="1:68" ht="27" customHeight="1" x14ac:dyDescent="0.25">
      <c r="A446" s="57" t="s">
        <v>708</v>
      </c>
      <c r="B446" s="57" t="s">
        <v>709</v>
      </c>
      <c r="C446" s="31">
        <v>4301031362</v>
      </c>
      <c r="D446" s="601">
        <v>4607091384338</v>
      </c>
      <c r="E446" s="602"/>
      <c r="F446" s="56">
        <v>0.35</v>
      </c>
      <c r="G446" s="32">
        <v>6</v>
      </c>
      <c r="H446" s="56">
        <v>2.1</v>
      </c>
      <c r="I446" s="56">
        <v>2.23</v>
      </c>
      <c r="J446" s="32">
        <v>234</v>
      </c>
      <c r="K446" s="32" t="s">
        <v>66</v>
      </c>
      <c r="L446" s="32"/>
      <c r="M446" s="33" t="s">
        <v>67</v>
      </c>
      <c r="N446" s="33"/>
      <c r="O446" s="32">
        <v>50</v>
      </c>
      <c r="P44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4"/>
      <c r="V446" s="34"/>
      <c r="W446" s="35" t="s">
        <v>68</v>
      </c>
      <c r="X446" s="53">
        <v>0</v>
      </c>
      <c r="Y446" s="50">
        <f t="shared" si="62"/>
        <v>0</v>
      </c>
      <c r="Z446" s="36" t="str">
        <f>IFERROR(IF(Y446=0,"",ROUNDUP(Y446/H446,0)*0.00502),"")</f>
        <v/>
      </c>
      <c r="AA446" s="60"/>
      <c r="AB446" s="61"/>
      <c r="AC446" s="514" t="s">
        <v>704</v>
      </c>
      <c r="AG446" s="68"/>
      <c r="AJ446" s="71"/>
      <c r="AK446" s="71">
        <v>0</v>
      </c>
      <c r="BB446" s="515" t="s">
        <v>1</v>
      </c>
      <c r="BM446" s="68">
        <f t="shared" si="63"/>
        <v>0</v>
      </c>
      <c r="BN446" s="68">
        <f t="shared" si="64"/>
        <v>0</v>
      </c>
      <c r="BO446" s="68">
        <f t="shared" si="65"/>
        <v>0</v>
      </c>
      <c r="BP446" s="68">
        <f t="shared" si="66"/>
        <v>0</v>
      </c>
    </row>
    <row r="447" spans="1:68" ht="27" customHeight="1" x14ac:dyDescent="0.25">
      <c r="A447" s="57" t="s">
        <v>710</v>
      </c>
      <c r="B447" s="57" t="s">
        <v>711</v>
      </c>
      <c r="C447" s="31">
        <v>4301031364</v>
      </c>
      <c r="D447" s="601">
        <v>4680115883161</v>
      </c>
      <c r="E447" s="602"/>
      <c r="F447" s="56">
        <v>0.28000000000000003</v>
      </c>
      <c r="G447" s="32">
        <v>6</v>
      </c>
      <c r="H447" s="56">
        <v>1.68</v>
      </c>
      <c r="I447" s="56">
        <v>1.81</v>
      </c>
      <c r="J447" s="32">
        <v>234</v>
      </c>
      <c r="K447" s="32" t="s">
        <v>66</v>
      </c>
      <c r="L447" s="32"/>
      <c r="M447" s="33" t="s">
        <v>67</v>
      </c>
      <c r="N447" s="33"/>
      <c r="O447" s="32">
        <v>50</v>
      </c>
      <c r="P447" s="7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4"/>
      <c r="V447" s="34"/>
      <c r="W447" s="35" t="s">
        <v>68</v>
      </c>
      <c r="X447" s="53">
        <v>0</v>
      </c>
      <c r="Y447" s="50">
        <f t="shared" si="62"/>
        <v>0</v>
      </c>
      <c r="Z447" s="36" t="str">
        <f>IFERROR(IF(Y447=0,"",ROUNDUP(Y447/H447,0)*0.00502),"")</f>
        <v/>
      </c>
      <c r="AA447" s="60"/>
      <c r="AB447" s="61"/>
      <c r="AC447" s="516" t="s">
        <v>712</v>
      </c>
      <c r="AG447" s="68"/>
      <c r="AJ447" s="71"/>
      <c r="AK447" s="71">
        <v>0</v>
      </c>
      <c r="BB447" s="517" t="s">
        <v>1</v>
      </c>
      <c r="BM447" s="68">
        <f t="shared" si="63"/>
        <v>0</v>
      </c>
      <c r="BN447" s="68">
        <f t="shared" si="64"/>
        <v>0</v>
      </c>
      <c r="BO447" s="68">
        <f t="shared" si="65"/>
        <v>0</v>
      </c>
      <c r="BP447" s="68">
        <f t="shared" si="66"/>
        <v>0</v>
      </c>
    </row>
    <row r="448" spans="1:68" ht="27" customHeight="1" x14ac:dyDescent="0.25">
      <c r="A448" s="57" t="s">
        <v>713</v>
      </c>
      <c r="B448" s="57" t="s">
        <v>714</v>
      </c>
      <c r="C448" s="31">
        <v>4301031358</v>
      </c>
      <c r="D448" s="601">
        <v>4607091389531</v>
      </c>
      <c r="E448" s="602"/>
      <c r="F448" s="56">
        <v>0.35</v>
      </c>
      <c r="G448" s="32">
        <v>6</v>
      </c>
      <c r="H448" s="56">
        <v>2.1</v>
      </c>
      <c r="I448" s="56">
        <v>2.23</v>
      </c>
      <c r="J448" s="32">
        <v>234</v>
      </c>
      <c r="K448" s="32" t="s">
        <v>66</v>
      </c>
      <c r="L448" s="32"/>
      <c r="M448" s="33" t="s">
        <v>67</v>
      </c>
      <c r="N448" s="33"/>
      <c r="O448" s="32">
        <v>50</v>
      </c>
      <c r="P448" s="7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4"/>
      <c r="V448" s="34"/>
      <c r="W448" s="35" t="s">
        <v>68</v>
      </c>
      <c r="X448" s="53">
        <v>0</v>
      </c>
      <c r="Y448" s="50">
        <f t="shared" si="62"/>
        <v>0</v>
      </c>
      <c r="Z448" s="36" t="str">
        <f>IFERROR(IF(Y448=0,"",ROUNDUP(Y448/H448,0)*0.00502),"")</f>
        <v/>
      </c>
      <c r="AA448" s="60"/>
      <c r="AB448" s="61"/>
      <c r="AC448" s="518" t="s">
        <v>715</v>
      </c>
      <c r="AG448" s="68"/>
      <c r="AJ448" s="71"/>
      <c r="AK448" s="71">
        <v>0</v>
      </c>
      <c r="BB448" s="519" t="s">
        <v>1</v>
      </c>
      <c r="BM448" s="68">
        <f t="shared" si="63"/>
        <v>0</v>
      </c>
      <c r="BN448" s="68">
        <f t="shared" si="64"/>
        <v>0</v>
      </c>
      <c r="BO448" s="68">
        <f t="shared" si="65"/>
        <v>0</v>
      </c>
      <c r="BP448" s="68">
        <f t="shared" si="66"/>
        <v>0</v>
      </c>
    </row>
    <row r="449" spans="1:68" ht="37.5" customHeight="1" x14ac:dyDescent="0.25">
      <c r="A449" s="57" t="s">
        <v>716</v>
      </c>
      <c r="B449" s="57" t="s">
        <v>717</v>
      </c>
      <c r="C449" s="31">
        <v>4301031360</v>
      </c>
      <c r="D449" s="601">
        <v>4607091384345</v>
      </c>
      <c r="E449" s="602"/>
      <c r="F449" s="56">
        <v>0.35</v>
      </c>
      <c r="G449" s="32">
        <v>6</v>
      </c>
      <c r="H449" s="56">
        <v>2.1</v>
      </c>
      <c r="I449" s="56">
        <v>2.23</v>
      </c>
      <c r="J449" s="32">
        <v>234</v>
      </c>
      <c r="K449" s="32" t="s">
        <v>66</v>
      </c>
      <c r="L449" s="32"/>
      <c r="M449" s="33" t="s">
        <v>67</v>
      </c>
      <c r="N449" s="33"/>
      <c r="O449" s="32">
        <v>50</v>
      </c>
      <c r="P449" s="6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4"/>
      <c r="V449" s="34"/>
      <c r="W449" s="35" t="s">
        <v>68</v>
      </c>
      <c r="X449" s="53">
        <v>0</v>
      </c>
      <c r="Y449" s="50">
        <f t="shared" si="62"/>
        <v>0</v>
      </c>
      <c r="Z449" s="36" t="str">
        <f>IFERROR(IF(Y449=0,"",ROUNDUP(Y449/H449,0)*0.00502),"")</f>
        <v/>
      </c>
      <c r="AA449" s="60"/>
      <c r="AB449" s="61"/>
      <c r="AC449" s="520" t="s">
        <v>712</v>
      </c>
      <c r="AG449" s="68"/>
      <c r="AJ449" s="71"/>
      <c r="AK449" s="71">
        <v>0</v>
      </c>
      <c r="BB449" s="521" t="s">
        <v>1</v>
      </c>
      <c r="BM449" s="68">
        <f t="shared" si="63"/>
        <v>0</v>
      </c>
      <c r="BN449" s="68">
        <f t="shared" si="64"/>
        <v>0</v>
      </c>
      <c r="BO449" s="68">
        <f t="shared" si="65"/>
        <v>0</v>
      </c>
      <c r="BP449" s="68">
        <f t="shared" si="66"/>
        <v>0</v>
      </c>
    </row>
    <row r="450" spans="1:68" x14ac:dyDescent="0.25">
      <c r="A450" s="612"/>
      <c r="B450" s="607"/>
      <c r="C450" s="607"/>
      <c r="D450" s="607"/>
      <c r="E450" s="607"/>
      <c r="F450" s="607"/>
      <c r="G450" s="607"/>
      <c r="H450" s="607"/>
      <c r="I450" s="607"/>
      <c r="J450" s="607"/>
      <c r="K450" s="607"/>
      <c r="L450" s="607"/>
      <c r="M450" s="607"/>
      <c r="N450" s="607"/>
      <c r="O450" s="613"/>
      <c r="P450" s="630" t="s">
        <v>73</v>
      </c>
      <c r="Q450" s="622"/>
      <c r="R450" s="622"/>
      <c r="S450" s="622"/>
      <c r="T450" s="622"/>
      <c r="U450" s="622"/>
      <c r="V450" s="623"/>
      <c r="W450" s="37" t="s">
        <v>74</v>
      </c>
      <c r="X450" s="38">
        <f>IFERROR(X444/H444,"0")+IFERROR(X445/H445,"0")+IFERROR(X446/H446,"0")+IFERROR(X447/H447,"0")+IFERROR(X448/H448,"0")+IFERROR(X449/H449,"0")</f>
        <v>0</v>
      </c>
      <c r="Y450" s="38">
        <f>IFERROR(Y444/H444,"0")+IFERROR(Y445/H445,"0")+IFERROR(Y446/H446,"0")+IFERROR(Y447/H447,"0")+IFERROR(Y448/H448,"0")+IFERROR(Y449/H449,"0")</f>
        <v>0</v>
      </c>
      <c r="Z450" s="38">
        <f>IFERROR(IF(Z444="",0,Z444),"0")+IFERROR(IF(Z445="",0,Z445),"0")+IFERROR(IF(Z446="",0,Z446),"0")+IFERROR(IF(Z447="",0,Z447),"0")+IFERROR(IF(Z448="",0,Z448),"0")+IFERROR(IF(Z449="",0,Z449),"0")</f>
        <v>0</v>
      </c>
      <c r="AA450" s="59"/>
      <c r="AB450" s="59"/>
      <c r="AC450" s="59"/>
    </row>
    <row r="451" spans="1:68" x14ac:dyDescent="0.25">
      <c r="A451" s="607"/>
      <c r="B451" s="607"/>
      <c r="C451" s="607"/>
      <c r="D451" s="607"/>
      <c r="E451" s="607"/>
      <c r="F451" s="607"/>
      <c r="G451" s="607"/>
      <c r="H451" s="607"/>
      <c r="I451" s="607"/>
      <c r="J451" s="607"/>
      <c r="K451" s="607"/>
      <c r="L451" s="607"/>
      <c r="M451" s="607"/>
      <c r="N451" s="607"/>
      <c r="O451" s="613"/>
      <c r="P451" s="630" t="s">
        <v>73</v>
      </c>
      <c r="Q451" s="622"/>
      <c r="R451" s="622"/>
      <c r="S451" s="622"/>
      <c r="T451" s="622"/>
      <c r="U451" s="622"/>
      <c r="V451" s="623"/>
      <c r="W451" s="37" t="s">
        <v>68</v>
      </c>
      <c r="X451" s="38">
        <f>IFERROR(SUM(X444:X449),"0")</f>
        <v>0</v>
      </c>
      <c r="Y451" s="38">
        <f>IFERROR(SUM(Y444:Y449),"0")</f>
        <v>0</v>
      </c>
      <c r="Z451" s="37"/>
      <c r="AA451" s="59"/>
      <c r="AB451" s="59"/>
      <c r="AC451" s="59"/>
    </row>
    <row r="452" spans="1:68" ht="14.25" customHeight="1" x14ac:dyDescent="0.25">
      <c r="A452" s="615" t="s">
        <v>75</v>
      </c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7"/>
      <c r="P452" s="607"/>
      <c r="Q452" s="607"/>
      <c r="R452" s="607"/>
      <c r="S452" s="607"/>
      <c r="T452" s="607"/>
      <c r="U452" s="607"/>
      <c r="V452" s="607"/>
      <c r="W452" s="607"/>
      <c r="X452" s="607"/>
      <c r="Y452" s="607"/>
      <c r="Z452" s="607"/>
      <c r="AA452" s="588"/>
      <c r="AB452" s="588"/>
      <c r="AC452" s="588"/>
    </row>
    <row r="453" spans="1:68" ht="27" customHeight="1" x14ac:dyDescent="0.25">
      <c r="A453" s="57" t="s">
        <v>718</v>
      </c>
      <c r="B453" s="57" t="s">
        <v>719</v>
      </c>
      <c r="C453" s="31">
        <v>4301051284</v>
      </c>
      <c r="D453" s="601">
        <v>4607091384352</v>
      </c>
      <c r="E453" s="602"/>
      <c r="F453" s="56">
        <v>0.6</v>
      </c>
      <c r="G453" s="32">
        <v>4</v>
      </c>
      <c r="H453" s="56">
        <v>2.4</v>
      </c>
      <c r="I453" s="56">
        <v>2.6259999999999999</v>
      </c>
      <c r="J453" s="32">
        <v>132</v>
      </c>
      <c r="K453" s="32" t="s">
        <v>130</v>
      </c>
      <c r="L453" s="32"/>
      <c r="M453" s="33" t="s">
        <v>79</v>
      </c>
      <c r="N453" s="33"/>
      <c r="O453" s="32">
        <v>45</v>
      </c>
      <c r="P453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4"/>
      <c r="V453" s="34"/>
      <c r="W453" s="35" t="s">
        <v>68</v>
      </c>
      <c r="X453" s="53">
        <v>0</v>
      </c>
      <c r="Y453" s="50">
        <f>IFERROR(IF(X453="",0,CEILING((X453/$H453),1)*$H453),"")</f>
        <v>0</v>
      </c>
      <c r="Z453" s="36" t="str">
        <f>IFERROR(IF(Y453=0,"",ROUNDUP(Y453/H453,0)*0.00902),"")</f>
        <v/>
      </c>
      <c r="AA453" s="60"/>
      <c r="AB453" s="61"/>
      <c r="AC453" s="522" t="s">
        <v>720</v>
      </c>
      <c r="AG453" s="68"/>
      <c r="AJ453" s="71"/>
      <c r="AK453" s="71">
        <v>0</v>
      </c>
      <c r="BB453" s="523" t="s">
        <v>1</v>
      </c>
      <c r="BM453" s="68">
        <f>IFERROR(X453*I453/H453,"0")</f>
        <v>0</v>
      </c>
      <c r="BN453" s="68">
        <f>IFERROR(Y453*I453/H453,"0")</f>
        <v>0</v>
      </c>
      <c r="BO453" s="68">
        <f>IFERROR(1/J453*(X453/H453),"0")</f>
        <v>0</v>
      </c>
      <c r="BP453" s="68">
        <f>IFERROR(1/J453*(Y453/H453),"0")</f>
        <v>0</v>
      </c>
    </row>
    <row r="454" spans="1:68" ht="27" customHeight="1" x14ac:dyDescent="0.25">
      <c r="A454" s="57" t="s">
        <v>721</v>
      </c>
      <c r="B454" s="57" t="s">
        <v>722</v>
      </c>
      <c r="C454" s="31">
        <v>4301051431</v>
      </c>
      <c r="D454" s="601">
        <v>4607091389654</v>
      </c>
      <c r="E454" s="602"/>
      <c r="F454" s="56">
        <v>0.33</v>
      </c>
      <c r="G454" s="32">
        <v>6</v>
      </c>
      <c r="H454" s="56">
        <v>1.98</v>
      </c>
      <c r="I454" s="56">
        <v>2.238</v>
      </c>
      <c r="J454" s="32">
        <v>182</v>
      </c>
      <c r="K454" s="32" t="s">
        <v>78</v>
      </c>
      <c r="L454" s="32"/>
      <c r="M454" s="33" t="s">
        <v>79</v>
      </c>
      <c r="N454" s="33"/>
      <c r="O454" s="32">
        <v>45</v>
      </c>
      <c r="P454" s="9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4"/>
      <c r="V454" s="34"/>
      <c r="W454" s="35" t="s">
        <v>68</v>
      </c>
      <c r="X454" s="53">
        <v>0</v>
      </c>
      <c r="Y454" s="50">
        <f>IFERROR(IF(X454="",0,CEILING((X454/$H454),1)*$H454),"")</f>
        <v>0</v>
      </c>
      <c r="Z454" s="36" t="str">
        <f>IFERROR(IF(Y454=0,"",ROUNDUP(Y454/H454,0)*0.00651),"")</f>
        <v/>
      </c>
      <c r="AA454" s="60"/>
      <c r="AB454" s="61"/>
      <c r="AC454" s="524" t="s">
        <v>723</v>
      </c>
      <c r="AG454" s="68"/>
      <c r="AJ454" s="71"/>
      <c r="AK454" s="71">
        <v>0</v>
      </c>
      <c r="BB454" s="525" t="s">
        <v>1</v>
      </c>
      <c r="BM454" s="68">
        <f>IFERROR(X454*I454/H454,"0")</f>
        <v>0</v>
      </c>
      <c r="BN454" s="68">
        <f>IFERROR(Y454*I454/H454,"0")</f>
        <v>0</v>
      </c>
      <c r="BO454" s="68">
        <f>IFERROR(1/J454*(X454/H454),"0")</f>
        <v>0</v>
      </c>
      <c r="BP454" s="68">
        <f>IFERROR(1/J454*(Y454/H454),"0")</f>
        <v>0</v>
      </c>
    </row>
    <row r="455" spans="1:68" x14ac:dyDescent="0.25">
      <c r="A455" s="612"/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13"/>
      <c r="P455" s="630" t="s">
        <v>73</v>
      </c>
      <c r="Q455" s="622"/>
      <c r="R455" s="622"/>
      <c r="S455" s="622"/>
      <c r="T455" s="622"/>
      <c r="U455" s="622"/>
      <c r="V455" s="623"/>
      <c r="W455" s="37" t="s">
        <v>74</v>
      </c>
      <c r="X455" s="38">
        <f>IFERROR(X453/H453,"0")+IFERROR(X454/H454,"0")</f>
        <v>0</v>
      </c>
      <c r="Y455" s="38">
        <f>IFERROR(Y453/H453,"0")+IFERROR(Y454/H454,"0")</f>
        <v>0</v>
      </c>
      <c r="Z455" s="38">
        <f>IFERROR(IF(Z453="",0,Z453),"0")+IFERROR(IF(Z454="",0,Z454),"0")</f>
        <v>0</v>
      </c>
      <c r="AA455" s="59"/>
      <c r="AB455" s="59"/>
      <c r="AC455" s="59"/>
    </row>
    <row r="456" spans="1:68" x14ac:dyDescent="0.25">
      <c r="A456" s="607"/>
      <c r="B456" s="60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613"/>
      <c r="P456" s="630" t="s">
        <v>73</v>
      </c>
      <c r="Q456" s="622"/>
      <c r="R456" s="622"/>
      <c r="S456" s="622"/>
      <c r="T456" s="622"/>
      <c r="U456" s="622"/>
      <c r="V456" s="623"/>
      <c r="W456" s="37" t="s">
        <v>68</v>
      </c>
      <c r="X456" s="38">
        <f>IFERROR(SUM(X453:X454),"0")</f>
        <v>0</v>
      </c>
      <c r="Y456" s="38">
        <f>IFERROR(SUM(Y453:Y454),"0")</f>
        <v>0</v>
      </c>
      <c r="Z456" s="37"/>
      <c r="AA456" s="59"/>
      <c r="AB456" s="59"/>
      <c r="AC456" s="59"/>
    </row>
    <row r="457" spans="1:68" ht="16.5" customHeight="1" x14ac:dyDescent="0.25">
      <c r="A457" s="606" t="s">
        <v>724</v>
      </c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592"/>
      <c r="AB457" s="592"/>
      <c r="AC457" s="592"/>
    </row>
    <row r="458" spans="1:68" ht="14.25" customHeight="1" x14ac:dyDescent="0.25">
      <c r="A458" s="615" t="s">
        <v>153</v>
      </c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7"/>
      <c r="P458" s="607"/>
      <c r="Q458" s="607"/>
      <c r="R458" s="607"/>
      <c r="S458" s="607"/>
      <c r="T458" s="607"/>
      <c r="U458" s="607"/>
      <c r="V458" s="607"/>
      <c r="W458" s="607"/>
      <c r="X458" s="607"/>
      <c r="Y458" s="607"/>
      <c r="Z458" s="607"/>
      <c r="AA458" s="588"/>
      <c r="AB458" s="588"/>
      <c r="AC458" s="588"/>
    </row>
    <row r="459" spans="1:68" ht="27" customHeight="1" x14ac:dyDescent="0.25">
      <c r="A459" s="57" t="s">
        <v>725</v>
      </c>
      <c r="B459" s="57" t="s">
        <v>726</v>
      </c>
      <c r="C459" s="31">
        <v>4301020416</v>
      </c>
      <c r="D459" s="601">
        <v>4680115885240</v>
      </c>
      <c r="E459" s="602"/>
      <c r="F459" s="56">
        <v>0.35</v>
      </c>
      <c r="G459" s="32">
        <v>6</v>
      </c>
      <c r="H459" s="56">
        <v>2.1</v>
      </c>
      <c r="I459" s="56">
        <v>2.31</v>
      </c>
      <c r="J459" s="32">
        <v>182</v>
      </c>
      <c r="K459" s="32" t="s">
        <v>78</v>
      </c>
      <c r="L459" s="32"/>
      <c r="M459" s="33" t="s">
        <v>67</v>
      </c>
      <c r="N459" s="33"/>
      <c r="O459" s="32">
        <v>40</v>
      </c>
      <c r="P459" s="8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4"/>
      <c r="V459" s="34"/>
      <c r="W459" s="35" t="s">
        <v>68</v>
      </c>
      <c r="X459" s="53">
        <v>0</v>
      </c>
      <c r="Y459" s="50">
        <f>IFERROR(IF(X459="",0,CEILING((X459/$H459),1)*$H459),"")</f>
        <v>0</v>
      </c>
      <c r="Z459" s="36" t="str">
        <f>IFERROR(IF(Y459=0,"",ROUNDUP(Y459/H459,0)*0.00651),"")</f>
        <v/>
      </c>
      <c r="AA459" s="60"/>
      <c r="AB459" s="61"/>
      <c r="AC459" s="526" t="s">
        <v>727</v>
      </c>
      <c r="AG459" s="68"/>
      <c r="AJ459" s="71"/>
      <c r="AK459" s="71">
        <v>0</v>
      </c>
      <c r="BB459" s="527" t="s">
        <v>1</v>
      </c>
      <c r="BM459" s="68">
        <f>IFERROR(X459*I459/H459,"0")</f>
        <v>0</v>
      </c>
      <c r="BN459" s="68">
        <f>IFERROR(Y459*I459/H459,"0")</f>
        <v>0</v>
      </c>
      <c r="BO459" s="68">
        <f>IFERROR(1/J459*(X459/H459),"0")</f>
        <v>0</v>
      </c>
      <c r="BP459" s="68">
        <f>IFERROR(1/J459*(Y459/H459),"0")</f>
        <v>0</v>
      </c>
    </row>
    <row r="460" spans="1:68" x14ac:dyDescent="0.25">
      <c r="A460" s="612"/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13"/>
      <c r="P460" s="630" t="s">
        <v>73</v>
      </c>
      <c r="Q460" s="622"/>
      <c r="R460" s="622"/>
      <c r="S460" s="622"/>
      <c r="T460" s="622"/>
      <c r="U460" s="622"/>
      <c r="V460" s="623"/>
      <c r="W460" s="37" t="s">
        <v>74</v>
      </c>
      <c r="X460" s="38">
        <f>IFERROR(X459/H459,"0")</f>
        <v>0</v>
      </c>
      <c r="Y460" s="38">
        <f>IFERROR(Y459/H459,"0")</f>
        <v>0</v>
      </c>
      <c r="Z460" s="38">
        <f>IFERROR(IF(Z459="",0,Z459),"0")</f>
        <v>0</v>
      </c>
      <c r="AA460" s="59"/>
      <c r="AB460" s="59"/>
      <c r="AC460" s="59"/>
    </row>
    <row r="461" spans="1:68" x14ac:dyDescent="0.25">
      <c r="A461" s="607"/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13"/>
      <c r="P461" s="630" t="s">
        <v>73</v>
      </c>
      <c r="Q461" s="622"/>
      <c r="R461" s="622"/>
      <c r="S461" s="622"/>
      <c r="T461" s="622"/>
      <c r="U461" s="622"/>
      <c r="V461" s="623"/>
      <c r="W461" s="37" t="s">
        <v>68</v>
      </c>
      <c r="X461" s="38">
        <f>IFERROR(SUM(X459:X459),"0")</f>
        <v>0</v>
      </c>
      <c r="Y461" s="38">
        <f>IFERROR(SUM(Y459:Y459),"0")</f>
        <v>0</v>
      </c>
      <c r="Z461" s="37"/>
      <c r="AA461" s="59"/>
      <c r="AB461" s="59"/>
      <c r="AC461" s="59"/>
    </row>
    <row r="462" spans="1:68" ht="14.25" customHeight="1" x14ac:dyDescent="0.25">
      <c r="A462" s="615" t="s">
        <v>63</v>
      </c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588"/>
      <c r="AB462" s="588"/>
      <c r="AC462" s="588"/>
    </row>
    <row r="463" spans="1:68" ht="27" customHeight="1" x14ac:dyDescent="0.25">
      <c r="A463" s="57" t="s">
        <v>728</v>
      </c>
      <c r="B463" s="57" t="s">
        <v>729</v>
      </c>
      <c r="C463" s="31">
        <v>4301031407</v>
      </c>
      <c r="D463" s="601">
        <v>4680115886094</v>
      </c>
      <c r="E463" s="602"/>
      <c r="F463" s="56">
        <v>0.9</v>
      </c>
      <c r="G463" s="32">
        <v>6</v>
      </c>
      <c r="H463" s="56">
        <v>5.4</v>
      </c>
      <c r="I463" s="56">
        <v>5.59</v>
      </c>
      <c r="J463" s="32">
        <v>132</v>
      </c>
      <c r="K463" s="32" t="s">
        <v>130</v>
      </c>
      <c r="L463" s="32"/>
      <c r="M463" s="33" t="s">
        <v>67</v>
      </c>
      <c r="N463" s="33"/>
      <c r="O463" s="32">
        <v>50</v>
      </c>
      <c r="P463" s="7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4"/>
      <c r="V463" s="34"/>
      <c r="W463" s="35" t="s">
        <v>68</v>
      </c>
      <c r="X463" s="53">
        <v>0</v>
      </c>
      <c r="Y463" s="50">
        <f>IFERROR(IF(X463="",0,CEILING((X463/$H463),1)*$H463),"")</f>
        <v>0</v>
      </c>
      <c r="Z463" s="36" t="str">
        <f>IFERROR(IF(Y463=0,"",ROUNDUP(Y463/H463,0)*0.00902),"")</f>
        <v/>
      </c>
      <c r="AA463" s="60"/>
      <c r="AB463" s="61"/>
      <c r="AC463" s="528" t="s">
        <v>730</v>
      </c>
      <c r="AG463" s="68"/>
      <c r="AJ463" s="71"/>
      <c r="AK463" s="71">
        <v>0</v>
      </c>
      <c r="BB463" s="529" t="s">
        <v>1</v>
      </c>
      <c r="BM463" s="68">
        <f>IFERROR(X463*I463/H463,"0")</f>
        <v>0</v>
      </c>
      <c r="BN463" s="68">
        <f>IFERROR(Y463*I463/H463,"0")</f>
        <v>0</v>
      </c>
      <c r="BO463" s="68">
        <f>IFERROR(1/J463*(X463/H463),"0")</f>
        <v>0</v>
      </c>
      <c r="BP463" s="68">
        <f>IFERROR(1/J463*(Y463/H463),"0")</f>
        <v>0</v>
      </c>
    </row>
    <row r="464" spans="1:68" ht="27" customHeight="1" x14ac:dyDescent="0.25">
      <c r="A464" s="57" t="s">
        <v>731</v>
      </c>
      <c r="B464" s="57" t="s">
        <v>732</v>
      </c>
      <c r="C464" s="31">
        <v>4301031373</v>
      </c>
      <c r="D464" s="601">
        <v>4680115880771</v>
      </c>
      <c r="E464" s="602"/>
      <c r="F464" s="56">
        <v>0.28000000000000003</v>
      </c>
      <c r="G464" s="32">
        <v>6</v>
      </c>
      <c r="H464" s="56">
        <v>1.68</v>
      </c>
      <c r="I464" s="56">
        <v>1.81</v>
      </c>
      <c r="J464" s="32">
        <v>234</v>
      </c>
      <c r="K464" s="32" t="s">
        <v>66</v>
      </c>
      <c r="L464" s="32"/>
      <c r="M464" s="33" t="s">
        <v>67</v>
      </c>
      <c r="N464" s="33"/>
      <c r="O464" s="32">
        <v>50</v>
      </c>
      <c r="P464" s="8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4"/>
      <c r="V464" s="34"/>
      <c r="W464" s="35" t="s">
        <v>68</v>
      </c>
      <c r="X464" s="53">
        <v>0</v>
      </c>
      <c r="Y464" s="50">
        <f>IFERROR(IF(X464="",0,CEILING((X464/$H464),1)*$H464),"")</f>
        <v>0</v>
      </c>
      <c r="Z464" s="36" t="str">
        <f>IFERROR(IF(Y464=0,"",ROUNDUP(Y464/H464,0)*0.00502),"")</f>
        <v/>
      </c>
      <c r="AA464" s="60"/>
      <c r="AB464" s="61"/>
      <c r="AC464" s="530" t="s">
        <v>733</v>
      </c>
      <c r="AG464" s="68"/>
      <c r="AJ464" s="71"/>
      <c r="AK464" s="71">
        <v>0</v>
      </c>
      <c r="BB464" s="531" t="s">
        <v>1</v>
      </c>
      <c r="BM464" s="68">
        <f>IFERROR(X464*I464/H464,"0")</f>
        <v>0</v>
      </c>
      <c r="BN464" s="68">
        <f>IFERROR(Y464*I464/H464,"0")</f>
        <v>0</v>
      </c>
      <c r="BO464" s="68">
        <f>IFERROR(1/J464*(X464/H464),"0")</f>
        <v>0</v>
      </c>
      <c r="BP464" s="68">
        <f>IFERROR(1/J464*(Y464/H464),"0")</f>
        <v>0</v>
      </c>
    </row>
    <row r="465" spans="1:68" ht="27" customHeight="1" x14ac:dyDescent="0.25">
      <c r="A465" s="57" t="s">
        <v>734</v>
      </c>
      <c r="B465" s="57" t="s">
        <v>735</v>
      </c>
      <c r="C465" s="31">
        <v>4301031359</v>
      </c>
      <c r="D465" s="601">
        <v>4607091389500</v>
      </c>
      <c r="E465" s="602"/>
      <c r="F465" s="56">
        <v>0.35</v>
      </c>
      <c r="G465" s="32">
        <v>6</v>
      </c>
      <c r="H465" s="56">
        <v>2.1</v>
      </c>
      <c r="I465" s="56">
        <v>2.23</v>
      </c>
      <c r="J465" s="32">
        <v>234</v>
      </c>
      <c r="K465" s="32" t="s">
        <v>66</v>
      </c>
      <c r="L465" s="32"/>
      <c r="M465" s="33" t="s">
        <v>67</v>
      </c>
      <c r="N465" s="33"/>
      <c r="O465" s="32">
        <v>50</v>
      </c>
      <c r="P465" s="75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4"/>
      <c r="V465" s="34"/>
      <c r="W465" s="35" t="s">
        <v>68</v>
      </c>
      <c r="X465" s="53">
        <v>0</v>
      </c>
      <c r="Y465" s="50">
        <f>IFERROR(IF(X465="",0,CEILING((X465/$H465),1)*$H465),"")</f>
        <v>0</v>
      </c>
      <c r="Z465" s="36" t="str">
        <f>IFERROR(IF(Y465=0,"",ROUNDUP(Y465/H465,0)*0.00502),"")</f>
        <v/>
      </c>
      <c r="AA465" s="60"/>
      <c r="AB465" s="61"/>
      <c r="AC465" s="532" t="s">
        <v>733</v>
      </c>
      <c r="AG465" s="68"/>
      <c r="AJ465" s="71"/>
      <c r="AK465" s="71">
        <v>0</v>
      </c>
      <c r="BB465" s="533" t="s">
        <v>1</v>
      </c>
      <c r="BM465" s="68">
        <f>IFERROR(X465*I465/H465,"0")</f>
        <v>0</v>
      </c>
      <c r="BN465" s="68">
        <f>IFERROR(Y465*I465/H465,"0")</f>
        <v>0</v>
      </c>
      <c r="BO465" s="68">
        <f>IFERROR(1/J465*(X465/H465),"0")</f>
        <v>0</v>
      </c>
      <c r="BP465" s="68">
        <f>IFERROR(1/J465*(Y465/H465),"0")</f>
        <v>0</v>
      </c>
    </row>
    <row r="466" spans="1:68" x14ac:dyDescent="0.25">
      <c r="A466" s="612"/>
      <c r="B466" s="60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613"/>
      <c r="P466" s="630" t="s">
        <v>73</v>
      </c>
      <c r="Q466" s="622"/>
      <c r="R466" s="622"/>
      <c r="S466" s="622"/>
      <c r="T466" s="622"/>
      <c r="U466" s="622"/>
      <c r="V466" s="623"/>
      <c r="W466" s="37" t="s">
        <v>74</v>
      </c>
      <c r="X466" s="38">
        <f>IFERROR(X463/H463,"0")+IFERROR(X464/H464,"0")+IFERROR(X465/H465,"0")</f>
        <v>0</v>
      </c>
      <c r="Y466" s="38">
        <f>IFERROR(Y463/H463,"0")+IFERROR(Y464/H464,"0")+IFERROR(Y465/H465,"0")</f>
        <v>0</v>
      </c>
      <c r="Z466" s="38">
        <f>IFERROR(IF(Z463="",0,Z463),"0")+IFERROR(IF(Z464="",0,Z464),"0")+IFERROR(IF(Z465="",0,Z465),"0")</f>
        <v>0</v>
      </c>
      <c r="AA466" s="59"/>
      <c r="AB466" s="59"/>
      <c r="AC466" s="59"/>
    </row>
    <row r="467" spans="1:68" x14ac:dyDescent="0.25">
      <c r="A467" s="607"/>
      <c r="B467" s="60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613"/>
      <c r="P467" s="630" t="s">
        <v>73</v>
      </c>
      <c r="Q467" s="622"/>
      <c r="R467" s="622"/>
      <c r="S467" s="622"/>
      <c r="T467" s="622"/>
      <c r="U467" s="622"/>
      <c r="V467" s="623"/>
      <c r="W467" s="37" t="s">
        <v>68</v>
      </c>
      <c r="X467" s="38">
        <f>IFERROR(SUM(X463:X465),"0")</f>
        <v>0</v>
      </c>
      <c r="Y467" s="38">
        <f>IFERROR(SUM(Y463:Y465),"0")</f>
        <v>0</v>
      </c>
      <c r="Z467" s="37"/>
      <c r="AA467" s="59"/>
      <c r="AB467" s="59"/>
      <c r="AC467" s="59"/>
    </row>
    <row r="468" spans="1:68" ht="27.75" customHeight="1" x14ac:dyDescent="0.25">
      <c r="A468" s="642" t="s">
        <v>736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49"/>
      <c r="AB468" s="49"/>
      <c r="AC468" s="49"/>
    </row>
    <row r="469" spans="1:68" ht="16.5" customHeight="1" x14ac:dyDescent="0.25">
      <c r="A469" s="606" t="s">
        <v>736</v>
      </c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7"/>
      <c r="P469" s="607"/>
      <c r="Q469" s="607"/>
      <c r="R469" s="607"/>
      <c r="S469" s="607"/>
      <c r="T469" s="607"/>
      <c r="U469" s="607"/>
      <c r="V469" s="607"/>
      <c r="W469" s="607"/>
      <c r="X469" s="607"/>
      <c r="Y469" s="607"/>
      <c r="Z469" s="607"/>
      <c r="AA469" s="592"/>
      <c r="AB469" s="592"/>
      <c r="AC469" s="592"/>
    </row>
    <row r="470" spans="1:68" ht="14.25" customHeight="1" x14ac:dyDescent="0.25">
      <c r="A470" s="615" t="s">
        <v>118</v>
      </c>
      <c r="B470" s="60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607"/>
      <c r="P470" s="607"/>
      <c r="Q470" s="607"/>
      <c r="R470" s="607"/>
      <c r="S470" s="607"/>
      <c r="T470" s="607"/>
      <c r="U470" s="607"/>
      <c r="V470" s="607"/>
      <c r="W470" s="607"/>
      <c r="X470" s="607"/>
      <c r="Y470" s="607"/>
      <c r="Z470" s="607"/>
      <c r="AA470" s="588"/>
      <c r="AB470" s="588"/>
      <c r="AC470" s="588"/>
    </row>
    <row r="471" spans="1:68" ht="27" customHeight="1" x14ac:dyDescent="0.25">
      <c r="A471" s="57" t="s">
        <v>737</v>
      </c>
      <c r="B471" s="57" t="s">
        <v>738</v>
      </c>
      <c r="C471" s="31">
        <v>4301011769</v>
      </c>
      <c r="D471" s="601">
        <v>4607091389067</v>
      </c>
      <c r="E471" s="602"/>
      <c r="F471" s="56">
        <v>0.88</v>
      </c>
      <c r="G471" s="32">
        <v>6</v>
      </c>
      <c r="H471" s="56">
        <v>5.28</v>
      </c>
      <c r="I471" s="56">
        <v>5.63</v>
      </c>
      <c r="J471" s="32">
        <v>104</v>
      </c>
      <c r="K471" s="32" t="s">
        <v>121</v>
      </c>
      <c r="L471" s="32"/>
      <c r="M471" s="33" t="s">
        <v>79</v>
      </c>
      <c r="N471" s="33"/>
      <c r="O471" s="32">
        <v>60</v>
      </c>
      <c r="P471" s="8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4"/>
      <c r="V471" s="34"/>
      <c r="W471" s="35" t="s">
        <v>68</v>
      </c>
      <c r="X471" s="53">
        <v>100</v>
      </c>
      <c r="Y471" s="50">
        <f t="shared" ref="Y471:Y479" si="67">IFERROR(IF(X471="",0,CEILING((X471/$H471),1)*$H471),"")</f>
        <v>100.32000000000001</v>
      </c>
      <c r="Z471" s="36">
        <f t="shared" ref="Z471:Z476" si="68">IFERROR(IF(Y471=0,"",ROUNDUP(Y471/H471,0)*0.01196),"")</f>
        <v>0.22724</v>
      </c>
      <c r="AA471" s="60"/>
      <c r="AB471" s="61"/>
      <c r="AC471" s="534" t="s">
        <v>123</v>
      </c>
      <c r="AG471" s="68"/>
      <c r="AJ471" s="71"/>
      <c r="AK471" s="71">
        <v>0</v>
      </c>
      <c r="BB471" s="535" t="s">
        <v>1</v>
      </c>
      <c r="BM471" s="68">
        <f t="shared" ref="BM471:BM479" si="69">IFERROR(X471*I471/H471,"0")</f>
        <v>106.62878787878788</v>
      </c>
      <c r="BN471" s="68">
        <f t="shared" ref="BN471:BN479" si="70">IFERROR(Y471*I471/H471,"0")</f>
        <v>106.97</v>
      </c>
      <c r="BO471" s="68">
        <f t="shared" ref="BO471:BO479" si="71">IFERROR(1/J471*(X471/H471),"0")</f>
        <v>0.18210955710955709</v>
      </c>
      <c r="BP471" s="68">
        <f t="shared" ref="BP471:BP479" si="72">IFERROR(1/J471*(Y471/H471),"0")</f>
        <v>0.18269230769230771</v>
      </c>
    </row>
    <row r="472" spans="1:68" ht="27" customHeight="1" x14ac:dyDescent="0.25">
      <c r="A472" s="57" t="s">
        <v>739</v>
      </c>
      <c r="B472" s="57" t="s">
        <v>740</v>
      </c>
      <c r="C472" s="31">
        <v>4301012210</v>
      </c>
      <c r="D472" s="601">
        <v>4607091383522</v>
      </c>
      <c r="E472" s="602"/>
      <c r="F472" s="56">
        <v>0.88</v>
      </c>
      <c r="G472" s="32">
        <v>6</v>
      </c>
      <c r="H472" s="56">
        <v>5.28</v>
      </c>
      <c r="I472" s="56">
        <v>5.63</v>
      </c>
      <c r="J472" s="32">
        <v>104</v>
      </c>
      <c r="K472" s="32" t="s">
        <v>121</v>
      </c>
      <c r="L472" s="32"/>
      <c r="M472" s="33" t="s">
        <v>122</v>
      </c>
      <c r="N472" s="33"/>
      <c r="O472" s="32">
        <v>60</v>
      </c>
      <c r="P472" s="7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4"/>
      <c r="V472" s="34"/>
      <c r="W472" s="35" t="s">
        <v>68</v>
      </c>
      <c r="X472" s="53">
        <v>0</v>
      </c>
      <c r="Y472" s="50">
        <f t="shared" si="67"/>
        <v>0</v>
      </c>
      <c r="Z472" s="36" t="str">
        <f t="shared" si="68"/>
        <v/>
      </c>
      <c r="AA472" s="60"/>
      <c r="AB472" s="61"/>
      <c r="AC472" s="536" t="s">
        <v>741</v>
      </c>
      <c r="AG472" s="68"/>
      <c r="AJ472" s="71"/>
      <c r="AK472" s="71">
        <v>0</v>
      </c>
      <c r="BB472" s="537" t="s">
        <v>1</v>
      </c>
      <c r="BM472" s="68">
        <f t="shared" si="69"/>
        <v>0</v>
      </c>
      <c r="BN472" s="68">
        <f t="shared" si="70"/>
        <v>0</v>
      </c>
      <c r="BO472" s="68">
        <f t="shared" si="71"/>
        <v>0</v>
      </c>
      <c r="BP472" s="68">
        <f t="shared" si="72"/>
        <v>0</v>
      </c>
    </row>
    <row r="473" spans="1:68" ht="27" customHeight="1" x14ac:dyDescent="0.25">
      <c r="A473" s="57" t="s">
        <v>742</v>
      </c>
      <c r="B473" s="57" t="s">
        <v>743</v>
      </c>
      <c r="C473" s="31">
        <v>4301011961</v>
      </c>
      <c r="D473" s="601">
        <v>4680115885271</v>
      </c>
      <c r="E473" s="602"/>
      <c r="F473" s="56">
        <v>0.88</v>
      </c>
      <c r="G473" s="32">
        <v>6</v>
      </c>
      <c r="H473" s="56">
        <v>5.28</v>
      </c>
      <c r="I473" s="56">
        <v>5.63</v>
      </c>
      <c r="J473" s="32">
        <v>104</v>
      </c>
      <c r="K473" s="32" t="s">
        <v>121</v>
      </c>
      <c r="L473" s="32"/>
      <c r="M473" s="33" t="s">
        <v>122</v>
      </c>
      <c r="N473" s="33"/>
      <c r="O473" s="32">
        <v>60</v>
      </c>
      <c r="P473" s="9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4"/>
      <c r="V473" s="34"/>
      <c r="W473" s="35" t="s">
        <v>68</v>
      </c>
      <c r="X473" s="53">
        <v>0</v>
      </c>
      <c r="Y473" s="50">
        <f t="shared" si="67"/>
        <v>0</v>
      </c>
      <c r="Z473" s="36" t="str">
        <f t="shared" si="68"/>
        <v/>
      </c>
      <c r="AA473" s="60"/>
      <c r="AB473" s="61"/>
      <c r="AC473" s="538" t="s">
        <v>744</v>
      </c>
      <c r="AG473" s="68"/>
      <c r="AJ473" s="71"/>
      <c r="AK473" s="71">
        <v>0</v>
      </c>
      <c r="BB473" s="539" t="s">
        <v>1</v>
      </c>
      <c r="BM473" s="68">
        <f t="shared" si="69"/>
        <v>0</v>
      </c>
      <c r="BN473" s="68">
        <f t="shared" si="70"/>
        <v>0</v>
      </c>
      <c r="BO473" s="68">
        <f t="shared" si="71"/>
        <v>0</v>
      </c>
      <c r="BP473" s="68">
        <f t="shared" si="72"/>
        <v>0</v>
      </c>
    </row>
    <row r="474" spans="1:68" ht="27" customHeight="1" x14ac:dyDescent="0.25">
      <c r="A474" s="57" t="s">
        <v>745</v>
      </c>
      <c r="B474" s="57" t="s">
        <v>746</v>
      </c>
      <c r="C474" s="31">
        <v>4301011369</v>
      </c>
      <c r="D474" s="601">
        <v>4680115885226</v>
      </c>
      <c r="E474" s="602"/>
      <c r="F474" s="56">
        <v>0.88</v>
      </c>
      <c r="G474" s="32">
        <v>6</v>
      </c>
      <c r="H474" s="56">
        <v>5.28</v>
      </c>
      <c r="I474" s="56">
        <v>5.63</v>
      </c>
      <c r="J474" s="32">
        <v>104</v>
      </c>
      <c r="K474" s="32" t="s">
        <v>121</v>
      </c>
      <c r="L474" s="32"/>
      <c r="M474" s="33" t="s">
        <v>122</v>
      </c>
      <c r="N474" s="33"/>
      <c r="O474" s="32">
        <v>60</v>
      </c>
      <c r="P47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4"/>
      <c r="V474" s="34"/>
      <c r="W474" s="35" t="s">
        <v>68</v>
      </c>
      <c r="X474" s="53">
        <v>500</v>
      </c>
      <c r="Y474" s="50">
        <f t="shared" si="67"/>
        <v>501.6</v>
      </c>
      <c r="Z474" s="36">
        <f t="shared" si="68"/>
        <v>1.1362000000000001</v>
      </c>
      <c r="AA474" s="60"/>
      <c r="AB474" s="61"/>
      <c r="AC474" s="540" t="s">
        <v>747</v>
      </c>
      <c r="AG474" s="68"/>
      <c r="AJ474" s="71"/>
      <c r="AK474" s="71">
        <v>0</v>
      </c>
      <c r="BB474" s="541" t="s">
        <v>1</v>
      </c>
      <c r="BM474" s="68">
        <f t="shared" si="69"/>
        <v>533.14393939393938</v>
      </c>
      <c r="BN474" s="68">
        <f t="shared" si="70"/>
        <v>534.85</v>
      </c>
      <c r="BO474" s="68">
        <f t="shared" si="71"/>
        <v>0.91054778554778548</v>
      </c>
      <c r="BP474" s="68">
        <f t="shared" si="72"/>
        <v>0.91346153846153855</v>
      </c>
    </row>
    <row r="475" spans="1:68" ht="16.5" customHeight="1" x14ac:dyDescent="0.25">
      <c r="A475" s="57" t="s">
        <v>748</v>
      </c>
      <c r="B475" s="57" t="s">
        <v>749</v>
      </c>
      <c r="C475" s="31">
        <v>4301011797</v>
      </c>
      <c r="D475" s="601">
        <v>4680115884502</v>
      </c>
      <c r="E475" s="602"/>
      <c r="F475" s="56">
        <v>0.88</v>
      </c>
      <c r="G475" s="32">
        <v>6</v>
      </c>
      <c r="H475" s="56">
        <v>5.28</v>
      </c>
      <c r="I475" s="56">
        <v>5.63</v>
      </c>
      <c r="J475" s="32">
        <v>104</v>
      </c>
      <c r="K475" s="32" t="s">
        <v>121</v>
      </c>
      <c r="L475" s="32"/>
      <c r="M475" s="33" t="s">
        <v>79</v>
      </c>
      <c r="N475" s="33"/>
      <c r="O475" s="32">
        <v>60</v>
      </c>
      <c r="P47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4"/>
      <c r="V475" s="34"/>
      <c r="W475" s="35" t="s">
        <v>68</v>
      </c>
      <c r="X475" s="53">
        <v>0</v>
      </c>
      <c r="Y475" s="50">
        <f t="shared" si="67"/>
        <v>0</v>
      </c>
      <c r="Z475" s="36" t="str">
        <f t="shared" si="68"/>
        <v/>
      </c>
      <c r="AA475" s="60"/>
      <c r="AB475" s="61"/>
      <c r="AC475" s="542" t="s">
        <v>750</v>
      </c>
      <c r="AG475" s="68"/>
      <c r="AJ475" s="71"/>
      <c r="AK475" s="71">
        <v>0</v>
      </c>
      <c r="BB475" s="543" t="s">
        <v>1</v>
      </c>
      <c r="BM475" s="68">
        <f t="shared" si="69"/>
        <v>0</v>
      </c>
      <c r="BN475" s="68">
        <f t="shared" si="70"/>
        <v>0</v>
      </c>
      <c r="BO475" s="68">
        <f t="shared" si="71"/>
        <v>0</v>
      </c>
      <c r="BP475" s="68">
        <f t="shared" si="72"/>
        <v>0</v>
      </c>
    </row>
    <row r="476" spans="1:68" ht="27" customHeight="1" x14ac:dyDescent="0.25">
      <c r="A476" s="57" t="s">
        <v>751</v>
      </c>
      <c r="B476" s="57" t="s">
        <v>752</v>
      </c>
      <c r="C476" s="31">
        <v>4301011771</v>
      </c>
      <c r="D476" s="601">
        <v>4607091389104</v>
      </c>
      <c r="E476" s="602"/>
      <c r="F476" s="56">
        <v>0.88</v>
      </c>
      <c r="G476" s="32">
        <v>6</v>
      </c>
      <c r="H476" s="56">
        <v>5.28</v>
      </c>
      <c r="I476" s="56">
        <v>5.63</v>
      </c>
      <c r="J476" s="32">
        <v>104</v>
      </c>
      <c r="K476" s="32" t="s">
        <v>121</v>
      </c>
      <c r="L476" s="32"/>
      <c r="M476" s="33" t="s">
        <v>122</v>
      </c>
      <c r="N476" s="33"/>
      <c r="O476" s="32">
        <v>60</v>
      </c>
      <c r="P476" s="8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4"/>
      <c r="V476" s="34"/>
      <c r="W476" s="35" t="s">
        <v>68</v>
      </c>
      <c r="X476" s="53">
        <v>0</v>
      </c>
      <c r="Y476" s="50">
        <f t="shared" si="67"/>
        <v>0</v>
      </c>
      <c r="Z476" s="36" t="str">
        <f t="shared" si="68"/>
        <v/>
      </c>
      <c r="AA476" s="60"/>
      <c r="AB476" s="61"/>
      <c r="AC476" s="544" t="s">
        <v>753</v>
      </c>
      <c r="AG476" s="68"/>
      <c r="AJ476" s="71"/>
      <c r="AK476" s="71">
        <v>0</v>
      </c>
      <c r="BB476" s="545" t="s">
        <v>1</v>
      </c>
      <c r="BM476" s="68">
        <f t="shared" si="69"/>
        <v>0</v>
      </c>
      <c r="BN476" s="68">
        <f t="shared" si="70"/>
        <v>0</v>
      </c>
      <c r="BO476" s="68">
        <f t="shared" si="71"/>
        <v>0</v>
      </c>
      <c r="BP476" s="68">
        <f t="shared" si="72"/>
        <v>0</v>
      </c>
    </row>
    <row r="477" spans="1:68" ht="27" customHeight="1" x14ac:dyDescent="0.25">
      <c r="A477" s="57" t="s">
        <v>754</v>
      </c>
      <c r="B477" s="57" t="s">
        <v>755</v>
      </c>
      <c r="C477" s="31">
        <v>4301012125</v>
      </c>
      <c r="D477" s="601">
        <v>4680115886391</v>
      </c>
      <c r="E477" s="602"/>
      <c r="F477" s="56">
        <v>0.4</v>
      </c>
      <c r="G477" s="32">
        <v>6</v>
      </c>
      <c r="H477" s="56">
        <v>2.4</v>
      </c>
      <c r="I477" s="56">
        <v>2.58</v>
      </c>
      <c r="J477" s="32">
        <v>182</v>
      </c>
      <c r="K477" s="32" t="s">
        <v>78</v>
      </c>
      <c r="L477" s="32"/>
      <c r="M477" s="33" t="s">
        <v>79</v>
      </c>
      <c r="N477" s="33"/>
      <c r="O477" s="32">
        <v>60</v>
      </c>
      <c r="P477" s="76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4"/>
      <c r="V477" s="34"/>
      <c r="W477" s="35" t="s">
        <v>68</v>
      </c>
      <c r="X477" s="53">
        <v>0</v>
      </c>
      <c r="Y477" s="50">
        <f t="shared" si="67"/>
        <v>0</v>
      </c>
      <c r="Z477" s="36" t="str">
        <f>IFERROR(IF(Y477=0,"",ROUNDUP(Y477/H477,0)*0.00651),"")</f>
        <v/>
      </c>
      <c r="AA477" s="60"/>
      <c r="AB477" s="61"/>
      <c r="AC477" s="546" t="s">
        <v>123</v>
      </c>
      <c r="AG477" s="68"/>
      <c r="AJ477" s="71"/>
      <c r="AK477" s="71">
        <v>0</v>
      </c>
      <c r="BB477" s="547" t="s">
        <v>1</v>
      </c>
      <c r="BM477" s="68">
        <f t="shared" si="69"/>
        <v>0</v>
      </c>
      <c r="BN477" s="68">
        <f t="shared" si="70"/>
        <v>0</v>
      </c>
      <c r="BO477" s="68">
        <f t="shared" si="71"/>
        <v>0</v>
      </c>
      <c r="BP477" s="68">
        <f t="shared" si="72"/>
        <v>0</v>
      </c>
    </row>
    <row r="478" spans="1:68" ht="27" customHeight="1" x14ac:dyDescent="0.25">
      <c r="A478" s="57" t="s">
        <v>756</v>
      </c>
      <c r="B478" s="57" t="s">
        <v>757</v>
      </c>
      <c r="C478" s="31">
        <v>4301012048</v>
      </c>
      <c r="D478" s="601">
        <v>4680115880603</v>
      </c>
      <c r="E478" s="602"/>
      <c r="F478" s="56">
        <v>0.6</v>
      </c>
      <c r="G478" s="32">
        <v>8</v>
      </c>
      <c r="H478" s="56">
        <v>4.8</v>
      </c>
      <c r="I478" s="56">
        <v>6.91</v>
      </c>
      <c r="J478" s="32">
        <v>132</v>
      </c>
      <c r="K478" s="32" t="s">
        <v>130</v>
      </c>
      <c r="L478" s="32"/>
      <c r="M478" s="33" t="s">
        <v>79</v>
      </c>
      <c r="N478" s="33"/>
      <c r="O478" s="32">
        <v>60</v>
      </c>
      <c r="P478" s="7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4"/>
      <c r="V478" s="34"/>
      <c r="W478" s="35" t="s">
        <v>68</v>
      </c>
      <c r="X478" s="53">
        <v>0</v>
      </c>
      <c r="Y478" s="50">
        <f t="shared" si="67"/>
        <v>0</v>
      </c>
      <c r="Z478" s="36" t="str">
        <f>IFERROR(IF(Y478=0,"",ROUNDUP(Y478/H478,0)*0.00902),"")</f>
        <v/>
      </c>
      <c r="AA478" s="60"/>
      <c r="AB478" s="61"/>
      <c r="AC478" s="548" t="s">
        <v>123</v>
      </c>
      <c r="AG478" s="68"/>
      <c r="AJ478" s="71"/>
      <c r="AK478" s="71">
        <v>0</v>
      </c>
      <c r="BB478" s="549" t="s">
        <v>1</v>
      </c>
      <c r="BM478" s="68">
        <f t="shared" si="69"/>
        <v>0</v>
      </c>
      <c r="BN478" s="68">
        <f t="shared" si="70"/>
        <v>0</v>
      </c>
      <c r="BO478" s="68">
        <f t="shared" si="71"/>
        <v>0</v>
      </c>
      <c r="BP478" s="68">
        <f t="shared" si="72"/>
        <v>0</v>
      </c>
    </row>
    <row r="479" spans="1:68" ht="27" customHeight="1" x14ac:dyDescent="0.25">
      <c r="A479" s="57" t="s">
        <v>758</v>
      </c>
      <c r="B479" s="57" t="s">
        <v>759</v>
      </c>
      <c r="C479" s="31">
        <v>4301012034</v>
      </c>
      <c r="D479" s="601">
        <v>4607091389982</v>
      </c>
      <c r="E479" s="602"/>
      <c r="F479" s="56">
        <v>0.6</v>
      </c>
      <c r="G479" s="32">
        <v>8</v>
      </c>
      <c r="H479" s="56">
        <v>4.8</v>
      </c>
      <c r="I479" s="56">
        <v>6.91</v>
      </c>
      <c r="J479" s="32">
        <v>132</v>
      </c>
      <c r="K479" s="32" t="s">
        <v>130</v>
      </c>
      <c r="L479" s="32"/>
      <c r="M479" s="33" t="s">
        <v>122</v>
      </c>
      <c r="N479" s="33"/>
      <c r="O479" s="32">
        <v>60</v>
      </c>
      <c r="P479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4"/>
      <c r="V479" s="34"/>
      <c r="W479" s="35" t="s">
        <v>68</v>
      </c>
      <c r="X479" s="53">
        <v>0</v>
      </c>
      <c r="Y479" s="50">
        <f t="shared" si="67"/>
        <v>0</v>
      </c>
      <c r="Z479" s="36" t="str">
        <f>IFERROR(IF(Y479=0,"",ROUNDUP(Y479/H479,0)*0.00902),"")</f>
        <v/>
      </c>
      <c r="AA479" s="60"/>
      <c r="AB479" s="61"/>
      <c r="AC479" s="550" t="s">
        <v>753</v>
      </c>
      <c r="AG479" s="68"/>
      <c r="AJ479" s="71"/>
      <c r="AK479" s="71">
        <v>0</v>
      </c>
      <c r="BB479" s="551" t="s">
        <v>1</v>
      </c>
      <c r="BM479" s="68">
        <f t="shared" si="69"/>
        <v>0</v>
      </c>
      <c r="BN479" s="68">
        <f t="shared" si="70"/>
        <v>0</v>
      </c>
      <c r="BO479" s="68">
        <f t="shared" si="71"/>
        <v>0</v>
      </c>
      <c r="BP479" s="68">
        <f t="shared" si="72"/>
        <v>0</v>
      </c>
    </row>
    <row r="480" spans="1:68" x14ac:dyDescent="0.25">
      <c r="A480" s="612"/>
      <c r="B480" s="607"/>
      <c r="C480" s="607"/>
      <c r="D480" s="607"/>
      <c r="E480" s="607"/>
      <c r="F480" s="607"/>
      <c r="G480" s="607"/>
      <c r="H480" s="607"/>
      <c r="I480" s="607"/>
      <c r="J480" s="607"/>
      <c r="K480" s="607"/>
      <c r="L480" s="607"/>
      <c r="M480" s="607"/>
      <c r="N480" s="607"/>
      <c r="O480" s="613"/>
      <c r="P480" s="630" t="s">
        <v>73</v>
      </c>
      <c r="Q480" s="622"/>
      <c r="R480" s="622"/>
      <c r="S480" s="622"/>
      <c r="T480" s="622"/>
      <c r="U480" s="622"/>
      <c r="V480" s="623"/>
      <c r="W480" s="37" t="s">
        <v>74</v>
      </c>
      <c r="X480" s="38">
        <f>IFERROR(X471/H471,"0")+IFERROR(X472/H472,"0")+IFERROR(X473/H473,"0")+IFERROR(X474/H474,"0")+IFERROR(X475/H475,"0")+IFERROR(X476/H476,"0")+IFERROR(X477/H477,"0")+IFERROR(X478/H478,"0")+IFERROR(X479/H479,"0")</f>
        <v>113.63636363636363</v>
      </c>
      <c r="Y480" s="38">
        <f>IFERROR(Y471/H471,"0")+IFERROR(Y472/H472,"0")+IFERROR(Y473/H473,"0")+IFERROR(Y474/H474,"0")+IFERROR(Y475/H475,"0")+IFERROR(Y476/H476,"0")+IFERROR(Y477/H477,"0")+IFERROR(Y478/H478,"0")+IFERROR(Y479/H479,"0")</f>
        <v>114</v>
      </c>
      <c r="Z480" s="38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1.3634400000000002</v>
      </c>
      <c r="AA480" s="59"/>
      <c r="AB480" s="59"/>
      <c r="AC480" s="59"/>
    </row>
    <row r="481" spans="1:68" x14ac:dyDescent="0.25">
      <c r="A481" s="607"/>
      <c r="B481" s="607"/>
      <c r="C481" s="607"/>
      <c r="D481" s="607"/>
      <c r="E481" s="607"/>
      <c r="F481" s="607"/>
      <c r="G481" s="607"/>
      <c r="H481" s="607"/>
      <c r="I481" s="607"/>
      <c r="J481" s="607"/>
      <c r="K481" s="607"/>
      <c r="L481" s="607"/>
      <c r="M481" s="607"/>
      <c r="N481" s="607"/>
      <c r="O481" s="613"/>
      <c r="P481" s="630" t="s">
        <v>73</v>
      </c>
      <c r="Q481" s="622"/>
      <c r="R481" s="622"/>
      <c r="S481" s="622"/>
      <c r="T481" s="622"/>
      <c r="U481" s="622"/>
      <c r="V481" s="623"/>
      <c r="W481" s="37" t="s">
        <v>68</v>
      </c>
      <c r="X481" s="38">
        <f>IFERROR(SUM(X471:X479),"0")</f>
        <v>600</v>
      </c>
      <c r="Y481" s="38">
        <f>IFERROR(SUM(Y471:Y479),"0")</f>
        <v>601.92000000000007</v>
      </c>
      <c r="Z481" s="37"/>
      <c r="AA481" s="59"/>
      <c r="AB481" s="59"/>
      <c r="AC481" s="59"/>
    </row>
    <row r="482" spans="1:68" ht="14.25" customHeight="1" x14ac:dyDescent="0.25">
      <c r="A482" s="615" t="s">
        <v>153</v>
      </c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7"/>
      <c r="P482" s="607"/>
      <c r="Q482" s="607"/>
      <c r="R482" s="607"/>
      <c r="S482" s="607"/>
      <c r="T482" s="607"/>
      <c r="U482" s="607"/>
      <c r="V482" s="607"/>
      <c r="W482" s="607"/>
      <c r="X482" s="607"/>
      <c r="Y482" s="607"/>
      <c r="Z482" s="607"/>
      <c r="AA482" s="588"/>
      <c r="AB482" s="588"/>
      <c r="AC482" s="588"/>
    </row>
    <row r="483" spans="1:68" ht="16.5" customHeight="1" x14ac:dyDescent="0.25">
      <c r="A483" s="57" t="s">
        <v>760</v>
      </c>
      <c r="B483" s="57" t="s">
        <v>761</v>
      </c>
      <c r="C483" s="31">
        <v>4301020334</v>
      </c>
      <c r="D483" s="601">
        <v>4607091388930</v>
      </c>
      <c r="E483" s="602"/>
      <c r="F483" s="56">
        <v>0.88</v>
      </c>
      <c r="G483" s="32">
        <v>6</v>
      </c>
      <c r="H483" s="56">
        <v>5.28</v>
      </c>
      <c r="I483" s="56">
        <v>5.63</v>
      </c>
      <c r="J483" s="32">
        <v>104</v>
      </c>
      <c r="K483" s="32" t="s">
        <v>121</v>
      </c>
      <c r="L483" s="32"/>
      <c r="M483" s="33" t="s">
        <v>79</v>
      </c>
      <c r="N483" s="33"/>
      <c r="O483" s="32">
        <v>70</v>
      </c>
      <c r="P483" s="69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4"/>
      <c r="V483" s="34"/>
      <c r="W483" s="35" t="s">
        <v>68</v>
      </c>
      <c r="X483" s="53">
        <v>1000</v>
      </c>
      <c r="Y483" s="50">
        <f>IFERROR(IF(X483="",0,CEILING((X483/$H483),1)*$H483),"")</f>
        <v>1003.2</v>
      </c>
      <c r="Z483" s="36">
        <f>IFERROR(IF(Y483=0,"",ROUNDUP(Y483/H483,0)*0.01196),"")</f>
        <v>2.2724000000000002</v>
      </c>
      <c r="AA483" s="60"/>
      <c r="AB483" s="61"/>
      <c r="AC483" s="552" t="s">
        <v>762</v>
      </c>
      <c r="AG483" s="68"/>
      <c r="AJ483" s="71"/>
      <c r="AK483" s="71">
        <v>0</v>
      </c>
      <c r="BB483" s="553" t="s">
        <v>1</v>
      </c>
      <c r="BM483" s="68">
        <f>IFERROR(X483*I483/H483,"0")</f>
        <v>1066.2878787878788</v>
      </c>
      <c r="BN483" s="68">
        <f>IFERROR(Y483*I483/H483,"0")</f>
        <v>1069.7</v>
      </c>
      <c r="BO483" s="68">
        <f>IFERROR(1/J483*(X483/H483),"0")</f>
        <v>1.821095571095571</v>
      </c>
      <c r="BP483" s="68">
        <f>IFERROR(1/J483*(Y483/H483),"0")</f>
        <v>1.8269230769230771</v>
      </c>
    </row>
    <row r="484" spans="1:68" ht="16.5" customHeight="1" x14ac:dyDescent="0.25">
      <c r="A484" s="57" t="s">
        <v>763</v>
      </c>
      <c r="B484" s="57" t="s">
        <v>764</v>
      </c>
      <c r="C484" s="31">
        <v>4301020374</v>
      </c>
      <c r="D484" s="601">
        <v>4680115886407</v>
      </c>
      <c r="E484" s="602"/>
      <c r="F484" s="56">
        <v>0.4</v>
      </c>
      <c r="G484" s="32">
        <v>6</v>
      </c>
      <c r="H484" s="56">
        <v>2.4</v>
      </c>
      <c r="I484" s="56">
        <v>2.58</v>
      </c>
      <c r="J484" s="32">
        <v>182</v>
      </c>
      <c r="K484" s="32" t="s">
        <v>78</v>
      </c>
      <c r="L484" s="32"/>
      <c r="M484" s="33" t="s">
        <v>122</v>
      </c>
      <c r="N484" s="33"/>
      <c r="O484" s="32">
        <v>70</v>
      </c>
      <c r="P484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4"/>
      <c r="V484" s="34"/>
      <c r="W484" s="35" t="s">
        <v>68</v>
      </c>
      <c r="X484" s="53">
        <v>0</v>
      </c>
      <c r="Y484" s="50">
        <f>IFERROR(IF(X484="",0,CEILING((X484/$H484),1)*$H484),"")</f>
        <v>0</v>
      </c>
      <c r="Z484" s="36" t="str">
        <f>IFERROR(IF(Y484=0,"",ROUNDUP(Y484/H484,0)*0.00651),"")</f>
        <v/>
      </c>
      <c r="AA484" s="60"/>
      <c r="AB484" s="61"/>
      <c r="AC484" s="554" t="s">
        <v>762</v>
      </c>
      <c r="AG484" s="68"/>
      <c r="AJ484" s="71"/>
      <c r="AK484" s="71">
        <v>0</v>
      </c>
      <c r="BB484" s="555" t="s">
        <v>1</v>
      </c>
      <c r="BM484" s="68">
        <f>IFERROR(X484*I484/H484,"0")</f>
        <v>0</v>
      </c>
      <c r="BN484" s="68">
        <f>IFERROR(Y484*I484/H484,"0")</f>
        <v>0</v>
      </c>
      <c r="BO484" s="68">
        <f>IFERROR(1/J484*(X484/H484),"0")</f>
        <v>0</v>
      </c>
      <c r="BP484" s="68">
        <f>IFERROR(1/J484*(Y484/H484),"0")</f>
        <v>0</v>
      </c>
    </row>
    <row r="485" spans="1:68" ht="16.5" customHeight="1" x14ac:dyDescent="0.25">
      <c r="A485" s="57" t="s">
        <v>765</v>
      </c>
      <c r="B485" s="57" t="s">
        <v>766</v>
      </c>
      <c r="C485" s="31">
        <v>4301020385</v>
      </c>
      <c r="D485" s="601">
        <v>4680115880054</v>
      </c>
      <c r="E485" s="602"/>
      <c r="F485" s="56">
        <v>0.6</v>
      </c>
      <c r="G485" s="32">
        <v>8</v>
      </c>
      <c r="H485" s="56">
        <v>4.8</v>
      </c>
      <c r="I485" s="56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70</v>
      </c>
      <c r="P485" s="7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4"/>
      <c r="V485" s="34"/>
      <c r="W485" s="35" t="s">
        <v>68</v>
      </c>
      <c r="X485" s="53">
        <v>0</v>
      </c>
      <c r="Y485" s="50">
        <f>IFERROR(IF(X485="",0,CEILING((X485/$H485),1)*$H485),"")</f>
        <v>0</v>
      </c>
      <c r="Z485" s="36" t="str">
        <f>IFERROR(IF(Y485=0,"",ROUNDUP(Y485/H485,0)*0.00902),"")</f>
        <v/>
      </c>
      <c r="AA485" s="60"/>
      <c r="AB485" s="61"/>
      <c r="AC485" s="556" t="s">
        <v>762</v>
      </c>
      <c r="AG485" s="68"/>
      <c r="AJ485" s="71"/>
      <c r="AK485" s="71">
        <v>0</v>
      </c>
      <c r="BB485" s="557" t="s">
        <v>1</v>
      </c>
      <c r="BM485" s="68">
        <f>IFERROR(X485*I485/H485,"0")</f>
        <v>0</v>
      </c>
      <c r="BN485" s="68">
        <f>IFERROR(Y485*I485/H485,"0")</f>
        <v>0</v>
      </c>
      <c r="BO485" s="68">
        <f>IFERROR(1/J485*(X485/H485),"0")</f>
        <v>0</v>
      </c>
      <c r="BP485" s="68">
        <f>IFERROR(1/J485*(Y485/H485),"0")</f>
        <v>0</v>
      </c>
    </row>
    <row r="486" spans="1:68" x14ac:dyDescent="0.25">
      <c r="A486" s="612"/>
      <c r="B486" s="607"/>
      <c r="C486" s="607"/>
      <c r="D486" s="607"/>
      <c r="E486" s="607"/>
      <c r="F486" s="607"/>
      <c r="G486" s="607"/>
      <c r="H486" s="607"/>
      <c r="I486" s="607"/>
      <c r="J486" s="607"/>
      <c r="K486" s="607"/>
      <c r="L486" s="607"/>
      <c r="M486" s="607"/>
      <c r="N486" s="607"/>
      <c r="O486" s="613"/>
      <c r="P486" s="630" t="s">
        <v>73</v>
      </c>
      <c r="Q486" s="622"/>
      <c r="R486" s="622"/>
      <c r="S486" s="622"/>
      <c r="T486" s="622"/>
      <c r="U486" s="622"/>
      <c r="V486" s="623"/>
      <c r="W486" s="37" t="s">
        <v>74</v>
      </c>
      <c r="X486" s="38">
        <f>IFERROR(X483/H483,"0")+IFERROR(X484/H484,"0")+IFERROR(X485/H485,"0")</f>
        <v>189.39393939393938</v>
      </c>
      <c r="Y486" s="38">
        <f>IFERROR(Y483/H483,"0")+IFERROR(Y484/H484,"0")+IFERROR(Y485/H485,"0")</f>
        <v>190</v>
      </c>
      <c r="Z486" s="38">
        <f>IFERROR(IF(Z483="",0,Z483),"0")+IFERROR(IF(Z484="",0,Z484),"0")+IFERROR(IF(Z485="",0,Z485),"0")</f>
        <v>2.2724000000000002</v>
      </c>
      <c r="AA486" s="59"/>
      <c r="AB486" s="59"/>
      <c r="AC486" s="59"/>
    </row>
    <row r="487" spans="1:68" x14ac:dyDescent="0.25">
      <c r="A487" s="607"/>
      <c r="B487" s="607"/>
      <c r="C487" s="607"/>
      <c r="D487" s="607"/>
      <c r="E487" s="607"/>
      <c r="F487" s="607"/>
      <c r="G487" s="607"/>
      <c r="H487" s="607"/>
      <c r="I487" s="607"/>
      <c r="J487" s="607"/>
      <c r="K487" s="607"/>
      <c r="L487" s="607"/>
      <c r="M487" s="607"/>
      <c r="N487" s="607"/>
      <c r="O487" s="613"/>
      <c r="P487" s="630" t="s">
        <v>73</v>
      </c>
      <c r="Q487" s="622"/>
      <c r="R487" s="622"/>
      <c r="S487" s="622"/>
      <c r="T487" s="622"/>
      <c r="U487" s="622"/>
      <c r="V487" s="623"/>
      <c r="W487" s="37" t="s">
        <v>68</v>
      </c>
      <c r="X487" s="38">
        <f>IFERROR(SUM(X483:X485),"0")</f>
        <v>1000</v>
      </c>
      <c r="Y487" s="38">
        <f>IFERROR(SUM(Y483:Y485),"0")</f>
        <v>1003.2</v>
      </c>
      <c r="Z487" s="37"/>
      <c r="AA487" s="59"/>
      <c r="AB487" s="59"/>
      <c r="AC487" s="59"/>
    </row>
    <row r="488" spans="1:68" ht="14.25" customHeight="1" x14ac:dyDescent="0.25">
      <c r="A488" s="615" t="s">
        <v>63</v>
      </c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588"/>
      <c r="AB488" s="588"/>
      <c r="AC488" s="588"/>
    </row>
    <row r="489" spans="1:68" ht="27" customHeight="1" x14ac:dyDescent="0.25">
      <c r="A489" s="57" t="s">
        <v>767</v>
      </c>
      <c r="B489" s="57" t="s">
        <v>768</v>
      </c>
      <c r="C489" s="31">
        <v>4301031349</v>
      </c>
      <c r="D489" s="601">
        <v>4680115883116</v>
      </c>
      <c r="E489" s="602"/>
      <c r="F489" s="56">
        <v>0.88</v>
      </c>
      <c r="G489" s="32">
        <v>6</v>
      </c>
      <c r="H489" s="56">
        <v>5.28</v>
      </c>
      <c r="I489" s="56">
        <v>5.63</v>
      </c>
      <c r="J489" s="32">
        <v>104</v>
      </c>
      <c r="K489" s="32" t="s">
        <v>121</v>
      </c>
      <c r="L489" s="32"/>
      <c r="M489" s="33" t="s">
        <v>122</v>
      </c>
      <c r="N489" s="33"/>
      <c r="O489" s="32">
        <v>70</v>
      </c>
      <c r="P489" s="7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4"/>
      <c r="V489" s="34"/>
      <c r="W489" s="35" t="s">
        <v>68</v>
      </c>
      <c r="X489" s="53">
        <v>500</v>
      </c>
      <c r="Y489" s="50">
        <f t="shared" ref="Y489:Y495" si="73">IFERROR(IF(X489="",0,CEILING((X489/$H489),1)*$H489),"")</f>
        <v>501.6</v>
      </c>
      <c r="Z489" s="36">
        <f>IFERROR(IF(Y489=0,"",ROUNDUP(Y489/H489,0)*0.01196),"")</f>
        <v>1.1362000000000001</v>
      </c>
      <c r="AA489" s="60"/>
      <c r="AB489" s="61"/>
      <c r="AC489" s="558" t="s">
        <v>769</v>
      </c>
      <c r="AG489" s="68"/>
      <c r="AJ489" s="71"/>
      <c r="AK489" s="71">
        <v>0</v>
      </c>
      <c r="BB489" s="559" t="s">
        <v>1</v>
      </c>
      <c r="BM489" s="68">
        <f t="shared" ref="BM489:BM495" si="74">IFERROR(X489*I489/H489,"0")</f>
        <v>533.14393939393938</v>
      </c>
      <c r="BN489" s="68">
        <f t="shared" ref="BN489:BN495" si="75">IFERROR(Y489*I489/H489,"0")</f>
        <v>534.85</v>
      </c>
      <c r="BO489" s="68">
        <f t="shared" ref="BO489:BO495" si="76">IFERROR(1/J489*(X489/H489),"0")</f>
        <v>0.91054778554778548</v>
      </c>
      <c r="BP489" s="68">
        <f t="shared" ref="BP489:BP495" si="77">IFERROR(1/J489*(Y489/H489),"0")</f>
        <v>0.91346153846153855</v>
      </c>
    </row>
    <row r="490" spans="1:68" ht="27" customHeight="1" x14ac:dyDescent="0.25">
      <c r="A490" s="57" t="s">
        <v>770</v>
      </c>
      <c r="B490" s="57" t="s">
        <v>771</v>
      </c>
      <c r="C490" s="31">
        <v>4301031350</v>
      </c>
      <c r="D490" s="601">
        <v>4680115883093</v>
      </c>
      <c r="E490" s="602"/>
      <c r="F490" s="56">
        <v>0.88</v>
      </c>
      <c r="G490" s="32">
        <v>6</v>
      </c>
      <c r="H490" s="56">
        <v>5.28</v>
      </c>
      <c r="I490" s="56">
        <v>5.63</v>
      </c>
      <c r="J490" s="32">
        <v>104</v>
      </c>
      <c r="K490" s="32" t="s">
        <v>121</v>
      </c>
      <c r="L490" s="32"/>
      <c r="M490" s="33" t="s">
        <v>67</v>
      </c>
      <c r="N490" s="33"/>
      <c r="O490" s="32">
        <v>70</v>
      </c>
      <c r="P490" s="7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4"/>
      <c r="V490" s="34"/>
      <c r="W490" s="35" t="s">
        <v>68</v>
      </c>
      <c r="X490" s="53">
        <v>500</v>
      </c>
      <c r="Y490" s="50">
        <f t="shared" si="73"/>
        <v>501.6</v>
      </c>
      <c r="Z490" s="36">
        <f>IFERROR(IF(Y490=0,"",ROUNDUP(Y490/H490,0)*0.01196),"")</f>
        <v>1.1362000000000001</v>
      </c>
      <c r="AA490" s="60"/>
      <c r="AB490" s="61"/>
      <c r="AC490" s="560" t="s">
        <v>772</v>
      </c>
      <c r="AG490" s="68"/>
      <c r="AJ490" s="71"/>
      <c r="AK490" s="71">
        <v>0</v>
      </c>
      <c r="BB490" s="561" t="s">
        <v>1</v>
      </c>
      <c r="BM490" s="68">
        <f t="shared" si="74"/>
        <v>533.14393939393938</v>
      </c>
      <c r="BN490" s="68">
        <f t="shared" si="75"/>
        <v>534.85</v>
      </c>
      <c r="BO490" s="68">
        <f t="shared" si="76"/>
        <v>0.91054778554778548</v>
      </c>
      <c r="BP490" s="68">
        <f t="shared" si="77"/>
        <v>0.91346153846153855</v>
      </c>
    </row>
    <row r="491" spans="1:68" ht="27" customHeight="1" x14ac:dyDescent="0.25">
      <c r="A491" s="57" t="s">
        <v>773</v>
      </c>
      <c r="B491" s="57" t="s">
        <v>774</v>
      </c>
      <c r="C491" s="31">
        <v>4301031353</v>
      </c>
      <c r="D491" s="601">
        <v>4680115883109</v>
      </c>
      <c r="E491" s="602"/>
      <c r="F491" s="56">
        <v>0.88</v>
      </c>
      <c r="G491" s="32">
        <v>6</v>
      </c>
      <c r="H491" s="56">
        <v>5.28</v>
      </c>
      <c r="I491" s="56">
        <v>5.63</v>
      </c>
      <c r="J491" s="32">
        <v>104</v>
      </c>
      <c r="K491" s="32" t="s">
        <v>121</v>
      </c>
      <c r="L491" s="32"/>
      <c r="M491" s="33" t="s">
        <v>67</v>
      </c>
      <c r="N491" s="33"/>
      <c r="O491" s="32">
        <v>70</v>
      </c>
      <c r="P491" s="8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4"/>
      <c r="V491" s="34"/>
      <c r="W491" s="35" t="s">
        <v>68</v>
      </c>
      <c r="X491" s="53">
        <v>0</v>
      </c>
      <c r="Y491" s="50">
        <f t="shared" si="73"/>
        <v>0</v>
      </c>
      <c r="Z491" s="36" t="str">
        <f>IFERROR(IF(Y491=0,"",ROUNDUP(Y491/H491,0)*0.01196),"")</f>
        <v/>
      </c>
      <c r="AA491" s="60"/>
      <c r="AB491" s="61"/>
      <c r="AC491" s="562" t="s">
        <v>775</v>
      </c>
      <c r="AG491" s="68"/>
      <c r="AJ491" s="71"/>
      <c r="AK491" s="71">
        <v>0</v>
      </c>
      <c r="BB491" s="563" t="s">
        <v>1</v>
      </c>
      <c r="BM491" s="68">
        <f t="shared" si="74"/>
        <v>0</v>
      </c>
      <c r="BN491" s="68">
        <f t="shared" si="75"/>
        <v>0</v>
      </c>
      <c r="BO491" s="68">
        <f t="shared" si="76"/>
        <v>0</v>
      </c>
      <c r="BP491" s="68">
        <f t="shared" si="77"/>
        <v>0</v>
      </c>
    </row>
    <row r="492" spans="1:68" ht="27" customHeight="1" x14ac:dyDescent="0.25">
      <c r="A492" s="57" t="s">
        <v>776</v>
      </c>
      <c r="B492" s="57" t="s">
        <v>777</v>
      </c>
      <c r="C492" s="31">
        <v>4301031419</v>
      </c>
      <c r="D492" s="601">
        <v>4680115882072</v>
      </c>
      <c r="E492" s="602"/>
      <c r="F492" s="56">
        <v>0.6</v>
      </c>
      <c r="G492" s="32">
        <v>8</v>
      </c>
      <c r="H492" s="56">
        <v>4.8</v>
      </c>
      <c r="I492" s="56">
        <v>6.91</v>
      </c>
      <c r="J492" s="32">
        <v>132</v>
      </c>
      <c r="K492" s="32" t="s">
        <v>130</v>
      </c>
      <c r="L492" s="32"/>
      <c r="M492" s="33" t="s">
        <v>122</v>
      </c>
      <c r="N492" s="33"/>
      <c r="O492" s="32">
        <v>70</v>
      </c>
      <c r="P492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4"/>
      <c r="V492" s="34"/>
      <c r="W492" s="35" t="s">
        <v>68</v>
      </c>
      <c r="X492" s="53">
        <v>0</v>
      </c>
      <c r="Y492" s="50">
        <f t="shared" si="73"/>
        <v>0</v>
      </c>
      <c r="Z492" s="36" t="str">
        <f>IFERROR(IF(Y492=0,"",ROUNDUP(Y492/H492,0)*0.00902),"")</f>
        <v/>
      </c>
      <c r="AA492" s="60"/>
      <c r="AB492" s="61"/>
      <c r="AC492" s="564" t="s">
        <v>769</v>
      </c>
      <c r="AG492" s="68"/>
      <c r="AJ492" s="71"/>
      <c r="AK492" s="71">
        <v>0</v>
      </c>
      <c r="BB492" s="565" t="s">
        <v>1</v>
      </c>
      <c r="BM492" s="68">
        <f t="shared" si="74"/>
        <v>0</v>
      </c>
      <c r="BN492" s="68">
        <f t="shared" si="75"/>
        <v>0</v>
      </c>
      <c r="BO492" s="68">
        <f t="shared" si="76"/>
        <v>0</v>
      </c>
      <c r="BP492" s="68">
        <f t="shared" si="77"/>
        <v>0</v>
      </c>
    </row>
    <row r="493" spans="1:68" ht="27" customHeight="1" x14ac:dyDescent="0.25">
      <c r="A493" s="57" t="s">
        <v>778</v>
      </c>
      <c r="B493" s="57" t="s">
        <v>779</v>
      </c>
      <c r="C493" s="31">
        <v>4301031352</v>
      </c>
      <c r="D493" s="601">
        <v>4680115882102</v>
      </c>
      <c r="E493" s="602"/>
      <c r="F493" s="56">
        <v>0.6</v>
      </c>
      <c r="G493" s="32">
        <v>6</v>
      </c>
      <c r="H493" s="56">
        <v>3.6</v>
      </c>
      <c r="I493" s="56">
        <v>3.79</v>
      </c>
      <c r="J493" s="32">
        <v>132</v>
      </c>
      <c r="K493" s="32" t="s">
        <v>130</v>
      </c>
      <c r="L493" s="32"/>
      <c r="M493" s="33" t="s">
        <v>67</v>
      </c>
      <c r="N493" s="33"/>
      <c r="O493" s="32">
        <v>70</v>
      </c>
      <c r="P493" s="83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4"/>
      <c r="V493" s="34"/>
      <c r="W493" s="35" t="s">
        <v>68</v>
      </c>
      <c r="X493" s="53">
        <v>0</v>
      </c>
      <c r="Y493" s="50">
        <f t="shared" si="73"/>
        <v>0</v>
      </c>
      <c r="Z493" s="36" t="str">
        <f>IFERROR(IF(Y493=0,"",ROUNDUP(Y493/H493,0)*0.00902),"")</f>
        <v/>
      </c>
      <c r="AA493" s="60"/>
      <c r="AB493" s="61"/>
      <c r="AC493" s="566" t="s">
        <v>772</v>
      </c>
      <c r="AG493" s="68"/>
      <c r="AJ493" s="71"/>
      <c r="AK493" s="71">
        <v>0</v>
      </c>
      <c r="BB493" s="567" t="s">
        <v>1</v>
      </c>
      <c r="BM493" s="68">
        <f t="shared" si="74"/>
        <v>0</v>
      </c>
      <c r="BN493" s="68">
        <f t="shared" si="75"/>
        <v>0</v>
      </c>
      <c r="BO493" s="68">
        <f t="shared" si="76"/>
        <v>0</v>
      </c>
      <c r="BP493" s="68">
        <f t="shared" si="77"/>
        <v>0</v>
      </c>
    </row>
    <row r="494" spans="1:68" ht="27" customHeight="1" x14ac:dyDescent="0.25">
      <c r="A494" s="57" t="s">
        <v>778</v>
      </c>
      <c r="B494" s="57" t="s">
        <v>780</v>
      </c>
      <c r="C494" s="31">
        <v>4301031418</v>
      </c>
      <c r="D494" s="601">
        <v>4680115882102</v>
      </c>
      <c r="E494" s="602"/>
      <c r="F494" s="56">
        <v>0.6</v>
      </c>
      <c r="G494" s="32">
        <v>8</v>
      </c>
      <c r="H494" s="56">
        <v>4.8</v>
      </c>
      <c r="I494" s="56">
        <v>6.67</v>
      </c>
      <c r="J494" s="32">
        <v>132</v>
      </c>
      <c r="K494" s="32" t="s">
        <v>130</v>
      </c>
      <c r="L494" s="32"/>
      <c r="M494" s="33" t="s">
        <v>67</v>
      </c>
      <c r="N494" s="33"/>
      <c r="O494" s="32">
        <v>70</v>
      </c>
      <c r="P494" s="8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4"/>
      <c r="V494" s="34"/>
      <c r="W494" s="35" t="s">
        <v>68</v>
      </c>
      <c r="X494" s="53">
        <v>0</v>
      </c>
      <c r="Y494" s="50">
        <f t="shared" si="73"/>
        <v>0</v>
      </c>
      <c r="Z494" s="36" t="str">
        <f>IFERROR(IF(Y494=0,"",ROUNDUP(Y494/H494,0)*0.00902),"")</f>
        <v/>
      </c>
      <c r="AA494" s="60"/>
      <c r="AB494" s="61"/>
      <c r="AC494" s="568" t="s">
        <v>772</v>
      </c>
      <c r="AG494" s="68"/>
      <c r="AJ494" s="71"/>
      <c r="AK494" s="71">
        <v>0</v>
      </c>
      <c r="BB494" s="569" t="s">
        <v>1</v>
      </c>
      <c r="BM494" s="68">
        <f t="shared" si="74"/>
        <v>0</v>
      </c>
      <c r="BN494" s="68">
        <f t="shared" si="75"/>
        <v>0</v>
      </c>
      <c r="BO494" s="68">
        <f t="shared" si="76"/>
        <v>0</v>
      </c>
      <c r="BP494" s="68">
        <f t="shared" si="77"/>
        <v>0</v>
      </c>
    </row>
    <row r="495" spans="1:68" ht="27" customHeight="1" x14ac:dyDescent="0.25">
      <c r="A495" s="57" t="s">
        <v>781</v>
      </c>
      <c r="B495" s="57" t="s">
        <v>782</v>
      </c>
      <c r="C495" s="31">
        <v>4301031417</v>
      </c>
      <c r="D495" s="601">
        <v>4680115882096</v>
      </c>
      <c r="E495" s="602"/>
      <c r="F495" s="56">
        <v>0.6</v>
      </c>
      <c r="G495" s="32">
        <v>8</v>
      </c>
      <c r="H495" s="56">
        <v>4.8</v>
      </c>
      <c r="I495" s="56">
        <v>6.67</v>
      </c>
      <c r="J495" s="32">
        <v>132</v>
      </c>
      <c r="K495" s="32" t="s">
        <v>130</v>
      </c>
      <c r="L495" s="32"/>
      <c r="M495" s="33" t="s">
        <v>67</v>
      </c>
      <c r="N495" s="33"/>
      <c r="O495" s="32">
        <v>70</v>
      </c>
      <c r="P49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4"/>
      <c r="V495" s="34"/>
      <c r="W495" s="35" t="s">
        <v>68</v>
      </c>
      <c r="X495" s="53">
        <v>0</v>
      </c>
      <c r="Y495" s="50">
        <f t="shared" si="73"/>
        <v>0</v>
      </c>
      <c r="Z495" s="36" t="str">
        <f>IFERROR(IF(Y495=0,"",ROUNDUP(Y495/H495,0)*0.00902),"")</f>
        <v/>
      </c>
      <c r="AA495" s="60"/>
      <c r="AB495" s="61"/>
      <c r="AC495" s="570" t="s">
        <v>775</v>
      </c>
      <c r="AG495" s="68"/>
      <c r="AJ495" s="71"/>
      <c r="AK495" s="71">
        <v>0</v>
      </c>
      <c r="BB495" s="571" t="s">
        <v>1</v>
      </c>
      <c r="BM495" s="68">
        <f t="shared" si="74"/>
        <v>0</v>
      </c>
      <c r="BN495" s="68">
        <f t="shared" si="75"/>
        <v>0</v>
      </c>
      <c r="BO495" s="68">
        <f t="shared" si="76"/>
        <v>0</v>
      </c>
      <c r="BP495" s="68">
        <f t="shared" si="77"/>
        <v>0</v>
      </c>
    </row>
    <row r="496" spans="1:68" x14ac:dyDescent="0.25">
      <c r="A496" s="612"/>
      <c r="B496" s="607"/>
      <c r="C496" s="607"/>
      <c r="D496" s="607"/>
      <c r="E496" s="607"/>
      <c r="F496" s="607"/>
      <c r="G496" s="607"/>
      <c r="H496" s="607"/>
      <c r="I496" s="607"/>
      <c r="J496" s="607"/>
      <c r="K496" s="607"/>
      <c r="L496" s="607"/>
      <c r="M496" s="607"/>
      <c r="N496" s="607"/>
      <c r="O496" s="613"/>
      <c r="P496" s="630" t="s">
        <v>73</v>
      </c>
      <c r="Q496" s="622"/>
      <c r="R496" s="622"/>
      <c r="S496" s="622"/>
      <c r="T496" s="622"/>
      <c r="U496" s="622"/>
      <c r="V496" s="623"/>
      <c r="W496" s="37" t="s">
        <v>74</v>
      </c>
      <c r="X496" s="38">
        <f>IFERROR(X489/H489,"0")+IFERROR(X490/H490,"0")+IFERROR(X491/H491,"0")+IFERROR(X492/H492,"0")+IFERROR(X493/H493,"0")+IFERROR(X494/H494,"0")+IFERROR(X495/H495,"0")</f>
        <v>189.39393939393938</v>
      </c>
      <c r="Y496" s="38">
        <f>IFERROR(Y489/H489,"0")+IFERROR(Y490/H490,"0")+IFERROR(Y491/H491,"0")+IFERROR(Y492/H492,"0")+IFERROR(Y493/H493,"0")+IFERROR(Y494/H494,"0")+IFERROR(Y495/H495,"0")</f>
        <v>190</v>
      </c>
      <c r="Z496" s="38">
        <f>IFERROR(IF(Z489="",0,Z489),"0")+IFERROR(IF(Z490="",0,Z490),"0")+IFERROR(IF(Z491="",0,Z491),"0")+IFERROR(IF(Z492="",0,Z492),"0")+IFERROR(IF(Z493="",0,Z493),"0")+IFERROR(IF(Z494="",0,Z494),"0")+IFERROR(IF(Z495="",0,Z495),"0")</f>
        <v>2.2724000000000002</v>
      </c>
      <c r="AA496" s="59"/>
      <c r="AB496" s="59"/>
      <c r="AC496" s="59"/>
    </row>
    <row r="497" spans="1:68" x14ac:dyDescent="0.25">
      <c r="A497" s="607"/>
      <c r="B497" s="607"/>
      <c r="C497" s="607"/>
      <c r="D497" s="607"/>
      <c r="E497" s="607"/>
      <c r="F497" s="607"/>
      <c r="G497" s="607"/>
      <c r="H497" s="607"/>
      <c r="I497" s="607"/>
      <c r="J497" s="607"/>
      <c r="K497" s="607"/>
      <c r="L497" s="607"/>
      <c r="M497" s="607"/>
      <c r="N497" s="607"/>
      <c r="O497" s="613"/>
      <c r="P497" s="630" t="s">
        <v>73</v>
      </c>
      <c r="Q497" s="622"/>
      <c r="R497" s="622"/>
      <c r="S497" s="622"/>
      <c r="T497" s="622"/>
      <c r="U497" s="622"/>
      <c r="V497" s="623"/>
      <c r="W497" s="37" t="s">
        <v>68</v>
      </c>
      <c r="X497" s="38">
        <f>IFERROR(SUM(X489:X495),"0")</f>
        <v>1000</v>
      </c>
      <c r="Y497" s="38">
        <f>IFERROR(SUM(Y489:Y495),"0")</f>
        <v>1003.2</v>
      </c>
      <c r="Z497" s="37"/>
      <c r="AA497" s="59"/>
      <c r="AB497" s="59"/>
      <c r="AC497" s="59"/>
    </row>
    <row r="498" spans="1:68" ht="27.75" customHeight="1" x14ac:dyDescent="0.25">
      <c r="A498" s="642" t="s">
        <v>783</v>
      </c>
      <c r="B498" s="643"/>
      <c r="C498" s="643"/>
      <c r="D498" s="643"/>
      <c r="E498" s="643"/>
      <c r="F498" s="643"/>
      <c r="G498" s="643"/>
      <c r="H498" s="643"/>
      <c r="I498" s="643"/>
      <c r="J498" s="643"/>
      <c r="K498" s="643"/>
      <c r="L498" s="643"/>
      <c r="M498" s="643"/>
      <c r="N498" s="643"/>
      <c r="O498" s="643"/>
      <c r="P498" s="643"/>
      <c r="Q498" s="643"/>
      <c r="R498" s="643"/>
      <c r="S498" s="643"/>
      <c r="T498" s="643"/>
      <c r="U498" s="643"/>
      <c r="V498" s="643"/>
      <c r="W498" s="643"/>
      <c r="X498" s="643"/>
      <c r="Y498" s="643"/>
      <c r="Z498" s="643"/>
      <c r="AA498" s="49"/>
      <c r="AB498" s="49"/>
      <c r="AC498" s="49"/>
    </row>
    <row r="499" spans="1:68" ht="16.5" customHeight="1" x14ac:dyDescent="0.25">
      <c r="A499" s="606" t="s">
        <v>783</v>
      </c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7"/>
      <c r="P499" s="607"/>
      <c r="Q499" s="607"/>
      <c r="R499" s="607"/>
      <c r="S499" s="607"/>
      <c r="T499" s="607"/>
      <c r="U499" s="607"/>
      <c r="V499" s="607"/>
      <c r="W499" s="607"/>
      <c r="X499" s="607"/>
      <c r="Y499" s="607"/>
      <c r="Z499" s="607"/>
      <c r="AA499" s="592"/>
      <c r="AB499" s="592"/>
      <c r="AC499" s="592"/>
    </row>
    <row r="500" spans="1:68" ht="14.25" customHeight="1" x14ac:dyDescent="0.25">
      <c r="A500" s="615" t="s">
        <v>118</v>
      </c>
      <c r="B500" s="607"/>
      <c r="C500" s="607"/>
      <c r="D500" s="607"/>
      <c r="E500" s="607"/>
      <c r="F500" s="607"/>
      <c r="G500" s="607"/>
      <c r="H500" s="607"/>
      <c r="I500" s="607"/>
      <c r="J500" s="607"/>
      <c r="K500" s="607"/>
      <c r="L500" s="607"/>
      <c r="M500" s="607"/>
      <c r="N500" s="607"/>
      <c r="O500" s="607"/>
      <c r="P500" s="607"/>
      <c r="Q500" s="607"/>
      <c r="R500" s="607"/>
      <c r="S500" s="607"/>
      <c r="T500" s="607"/>
      <c r="U500" s="607"/>
      <c r="V500" s="607"/>
      <c r="W500" s="607"/>
      <c r="X500" s="607"/>
      <c r="Y500" s="607"/>
      <c r="Z500" s="607"/>
      <c r="AA500" s="588"/>
      <c r="AB500" s="588"/>
      <c r="AC500" s="588"/>
    </row>
    <row r="501" spans="1:68" ht="27" customHeight="1" x14ac:dyDescent="0.25">
      <c r="A501" s="57" t="s">
        <v>784</v>
      </c>
      <c r="B501" s="57" t="s">
        <v>785</v>
      </c>
      <c r="C501" s="31">
        <v>4301011584</v>
      </c>
      <c r="D501" s="601">
        <v>4640242180564</v>
      </c>
      <c r="E501" s="602"/>
      <c r="F501" s="56">
        <v>1.5</v>
      </c>
      <c r="G501" s="32">
        <v>8</v>
      </c>
      <c r="H501" s="56">
        <v>12</v>
      </c>
      <c r="I501" s="56">
        <v>12.41</v>
      </c>
      <c r="J501" s="32">
        <v>64</v>
      </c>
      <c r="K501" s="32" t="s">
        <v>121</v>
      </c>
      <c r="L501" s="32"/>
      <c r="M501" s="33" t="s">
        <v>122</v>
      </c>
      <c r="N501" s="33"/>
      <c r="O501" s="32">
        <v>50</v>
      </c>
      <c r="P501" s="8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4"/>
      <c r="V501" s="34"/>
      <c r="W501" s="35" t="s">
        <v>68</v>
      </c>
      <c r="X501" s="53">
        <v>60</v>
      </c>
      <c r="Y501" s="50">
        <f>IFERROR(IF(X501="",0,CEILING((X501/$H501),1)*$H501),"")</f>
        <v>60</v>
      </c>
      <c r="Z501" s="36">
        <f>IFERROR(IF(Y501=0,"",ROUNDUP(Y501/H501,0)*0.01898),"")</f>
        <v>9.4899999999999998E-2</v>
      </c>
      <c r="AA501" s="60"/>
      <c r="AB501" s="61"/>
      <c r="AC501" s="572" t="s">
        <v>786</v>
      </c>
      <c r="AG501" s="68"/>
      <c r="AJ501" s="71"/>
      <c r="AK501" s="71">
        <v>0</v>
      </c>
      <c r="BB501" s="573" t="s">
        <v>1</v>
      </c>
      <c r="BM501" s="68">
        <f>IFERROR(X501*I501/H501,"0")</f>
        <v>62.050000000000004</v>
      </c>
      <c r="BN501" s="68">
        <f>IFERROR(Y501*I501/H501,"0")</f>
        <v>62.050000000000004</v>
      </c>
      <c r="BO501" s="68">
        <f>IFERROR(1/J501*(X501/H501),"0")</f>
        <v>7.8125E-2</v>
      </c>
      <c r="BP501" s="68">
        <f>IFERROR(1/J501*(Y501/H501),"0")</f>
        <v>7.8125E-2</v>
      </c>
    </row>
    <row r="502" spans="1:68" x14ac:dyDescent="0.25">
      <c r="A502" s="612"/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13"/>
      <c r="P502" s="630" t="s">
        <v>73</v>
      </c>
      <c r="Q502" s="622"/>
      <c r="R502" s="622"/>
      <c r="S502" s="622"/>
      <c r="T502" s="622"/>
      <c r="U502" s="622"/>
      <c r="V502" s="623"/>
      <c r="W502" s="37" t="s">
        <v>74</v>
      </c>
      <c r="X502" s="38">
        <f>IFERROR(X501/H501,"0")</f>
        <v>5</v>
      </c>
      <c r="Y502" s="38">
        <f>IFERROR(Y501/H501,"0")</f>
        <v>5</v>
      </c>
      <c r="Z502" s="38">
        <f>IFERROR(IF(Z501="",0,Z501),"0")</f>
        <v>9.4899999999999998E-2</v>
      </c>
      <c r="AA502" s="59"/>
      <c r="AB502" s="59"/>
      <c r="AC502" s="59"/>
    </row>
    <row r="503" spans="1:68" x14ac:dyDescent="0.25">
      <c r="A503" s="607"/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13"/>
      <c r="P503" s="630" t="s">
        <v>73</v>
      </c>
      <c r="Q503" s="622"/>
      <c r="R503" s="622"/>
      <c r="S503" s="622"/>
      <c r="T503" s="622"/>
      <c r="U503" s="622"/>
      <c r="V503" s="623"/>
      <c r="W503" s="37" t="s">
        <v>68</v>
      </c>
      <c r="X503" s="38">
        <f>IFERROR(SUM(X501:X501),"0")</f>
        <v>60</v>
      </c>
      <c r="Y503" s="38">
        <f>IFERROR(SUM(Y501:Y501),"0")</f>
        <v>60</v>
      </c>
      <c r="Z503" s="37"/>
      <c r="AA503" s="59"/>
      <c r="AB503" s="59"/>
      <c r="AC503" s="59"/>
    </row>
    <row r="504" spans="1:68" ht="14.25" customHeight="1" x14ac:dyDescent="0.25">
      <c r="A504" s="615" t="s">
        <v>153</v>
      </c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7"/>
      <c r="P504" s="607"/>
      <c r="Q504" s="607"/>
      <c r="R504" s="607"/>
      <c r="S504" s="607"/>
      <c r="T504" s="607"/>
      <c r="U504" s="607"/>
      <c r="V504" s="607"/>
      <c r="W504" s="607"/>
      <c r="X504" s="607"/>
      <c r="Y504" s="607"/>
      <c r="Z504" s="607"/>
      <c r="AA504" s="588"/>
      <c r="AB504" s="588"/>
      <c r="AC504" s="588"/>
    </row>
    <row r="505" spans="1:68" ht="27" customHeight="1" x14ac:dyDescent="0.25">
      <c r="A505" s="57" t="s">
        <v>787</v>
      </c>
      <c r="B505" s="57" t="s">
        <v>788</v>
      </c>
      <c r="C505" s="31">
        <v>4301020400</v>
      </c>
      <c r="D505" s="601">
        <v>4640242180519</v>
      </c>
      <c r="E505" s="602"/>
      <c r="F505" s="56">
        <v>1.5</v>
      </c>
      <c r="G505" s="32">
        <v>8</v>
      </c>
      <c r="H505" s="56">
        <v>12</v>
      </c>
      <c r="I505" s="56">
        <v>12.41</v>
      </c>
      <c r="J505" s="32">
        <v>64</v>
      </c>
      <c r="K505" s="32" t="s">
        <v>121</v>
      </c>
      <c r="L505" s="32"/>
      <c r="M505" s="33" t="s">
        <v>122</v>
      </c>
      <c r="N505" s="33"/>
      <c r="O505" s="32">
        <v>50</v>
      </c>
      <c r="P505" s="61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4"/>
      <c r="V505" s="34"/>
      <c r="W505" s="35" t="s">
        <v>68</v>
      </c>
      <c r="X505" s="53">
        <v>0</v>
      </c>
      <c r="Y505" s="50">
        <f>IFERROR(IF(X505="",0,CEILING((X505/$H505),1)*$H505),"")</f>
        <v>0</v>
      </c>
      <c r="Z505" s="36" t="str">
        <f>IFERROR(IF(Y505=0,"",ROUNDUP(Y505/H505,0)*0.01898),"")</f>
        <v/>
      </c>
      <c r="AA505" s="60"/>
      <c r="AB505" s="61"/>
      <c r="AC505" s="574" t="s">
        <v>789</v>
      </c>
      <c r="AG505" s="68"/>
      <c r="AJ505" s="71"/>
      <c r="AK505" s="71">
        <v>0</v>
      </c>
      <c r="BB505" s="575" t="s">
        <v>1</v>
      </c>
      <c r="BM505" s="68">
        <f>IFERROR(X505*I505/H505,"0")</f>
        <v>0</v>
      </c>
      <c r="BN505" s="68">
        <f>IFERROR(Y505*I505/H505,"0")</f>
        <v>0</v>
      </c>
      <c r="BO505" s="68">
        <f>IFERROR(1/J505*(X505/H505),"0")</f>
        <v>0</v>
      </c>
      <c r="BP505" s="68">
        <f>IFERROR(1/J505*(Y505/H505),"0")</f>
        <v>0</v>
      </c>
    </row>
    <row r="506" spans="1:68" x14ac:dyDescent="0.25">
      <c r="A506" s="612"/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13"/>
      <c r="P506" s="630" t="s">
        <v>73</v>
      </c>
      <c r="Q506" s="622"/>
      <c r="R506" s="622"/>
      <c r="S506" s="622"/>
      <c r="T506" s="622"/>
      <c r="U506" s="622"/>
      <c r="V506" s="623"/>
      <c r="W506" s="37" t="s">
        <v>74</v>
      </c>
      <c r="X506" s="38">
        <f>IFERROR(X505/H505,"0")</f>
        <v>0</v>
      </c>
      <c r="Y506" s="38">
        <f>IFERROR(Y505/H505,"0")</f>
        <v>0</v>
      </c>
      <c r="Z506" s="38">
        <f>IFERROR(IF(Z505="",0,Z505),"0")</f>
        <v>0</v>
      </c>
      <c r="AA506" s="59"/>
      <c r="AB506" s="59"/>
      <c r="AC506" s="59"/>
    </row>
    <row r="507" spans="1:68" x14ac:dyDescent="0.25">
      <c r="A507" s="607"/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13"/>
      <c r="P507" s="630" t="s">
        <v>73</v>
      </c>
      <c r="Q507" s="622"/>
      <c r="R507" s="622"/>
      <c r="S507" s="622"/>
      <c r="T507" s="622"/>
      <c r="U507" s="622"/>
      <c r="V507" s="623"/>
      <c r="W507" s="37" t="s">
        <v>68</v>
      </c>
      <c r="X507" s="38">
        <f>IFERROR(SUM(X505:X505),"0")</f>
        <v>0</v>
      </c>
      <c r="Y507" s="38">
        <f>IFERROR(SUM(Y505:Y505),"0")</f>
        <v>0</v>
      </c>
      <c r="Z507" s="37"/>
      <c r="AA507" s="59"/>
      <c r="AB507" s="59"/>
      <c r="AC507" s="59"/>
    </row>
    <row r="508" spans="1:68" ht="14.25" customHeight="1" x14ac:dyDescent="0.25">
      <c r="A508" s="615" t="s">
        <v>63</v>
      </c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7"/>
      <c r="P508" s="607"/>
      <c r="Q508" s="607"/>
      <c r="R508" s="607"/>
      <c r="S508" s="607"/>
      <c r="T508" s="607"/>
      <c r="U508" s="607"/>
      <c r="V508" s="607"/>
      <c r="W508" s="607"/>
      <c r="X508" s="607"/>
      <c r="Y508" s="607"/>
      <c r="Z508" s="607"/>
      <c r="AA508" s="588"/>
      <c r="AB508" s="588"/>
      <c r="AC508" s="588"/>
    </row>
    <row r="509" spans="1:68" ht="27" customHeight="1" x14ac:dyDescent="0.25">
      <c r="A509" s="57" t="s">
        <v>790</v>
      </c>
      <c r="B509" s="57" t="s">
        <v>791</v>
      </c>
      <c r="C509" s="31">
        <v>4301031467</v>
      </c>
      <c r="D509" s="601">
        <v>4640242180595</v>
      </c>
      <c r="E509" s="602"/>
      <c r="F509" s="56">
        <v>0.8</v>
      </c>
      <c r="G509" s="32">
        <v>6</v>
      </c>
      <c r="H509" s="56">
        <v>4.8</v>
      </c>
      <c r="I509" s="56">
        <v>5.05</v>
      </c>
      <c r="J509" s="32">
        <v>132</v>
      </c>
      <c r="K509" s="32" t="s">
        <v>130</v>
      </c>
      <c r="L509" s="32"/>
      <c r="M509" s="33" t="s">
        <v>67</v>
      </c>
      <c r="N509" s="33"/>
      <c r="O509" s="32">
        <v>40</v>
      </c>
      <c r="P509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4"/>
      <c r="V509" s="34"/>
      <c r="W509" s="35" t="s">
        <v>68</v>
      </c>
      <c r="X509" s="53">
        <v>0</v>
      </c>
      <c r="Y509" s="50">
        <f>IFERROR(IF(X509="",0,CEILING((X509/$H509),1)*$H509),"")</f>
        <v>0</v>
      </c>
      <c r="Z509" s="36" t="str">
        <f>IFERROR(IF(Y509=0,"",ROUNDUP(Y509/H509,0)*0.00902),"")</f>
        <v/>
      </c>
      <c r="AA509" s="60"/>
      <c r="AB509" s="61"/>
      <c r="AC509" s="576" t="s">
        <v>792</v>
      </c>
      <c r="AG509" s="68"/>
      <c r="AJ509" s="71"/>
      <c r="AK509" s="71">
        <v>0</v>
      </c>
      <c r="BB509" s="577" t="s">
        <v>1</v>
      </c>
      <c r="BM509" s="68">
        <f>IFERROR(X509*I509/H509,"0")</f>
        <v>0</v>
      </c>
      <c r="BN509" s="68">
        <f>IFERROR(Y509*I509/H509,"0")</f>
        <v>0</v>
      </c>
      <c r="BO509" s="68">
        <f>IFERROR(1/J509*(X509/H509),"0")</f>
        <v>0</v>
      </c>
      <c r="BP509" s="68">
        <f>IFERROR(1/J509*(Y509/H509),"0")</f>
        <v>0</v>
      </c>
    </row>
    <row r="510" spans="1:68" ht="27" customHeight="1" x14ac:dyDescent="0.25">
      <c r="A510" s="57" t="s">
        <v>790</v>
      </c>
      <c r="B510" s="57" t="s">
        <v>793</v>
      </c>
      <c r="C510" s="31">
        <v>4301031500</v>
      </c>
      <c r="D510" s="601">
        <v>4640242180595</v>
      </c>
      <c r="E510" s="602"/>
      <c r="F510" s="56">
        <v>0.7</v>
      </c>
      <c r="G510" s="32">
        <v>6</v>
      </c>
      <c r="H510" s="56">
        <v>4.2</v>
      </c>
      <c r="I510" s="56">
        <v>4.45</v>
      </c>
      <c r="J510" s="32">
        <v>132</v>
      </c>
      <c r="K510" s="32" t="s">
        <v>130</v>
      </c>
      <c r="L510" s="32"/>
      <c r="M510" s="33" t="s">
        <v>67</v>
      </c>
      <c r="N510" s="33"/>
      <c r="O510" s="32">
        <v>40</v>
      </c>
      <c r="P510" s="76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4"/>
      <c r="V510" s="34"/>
      <c r="W510" s="35" t="s">
        <v>68</v>
      </c>
      <c r="X510" s="53">
        <v>0</v>
      </c>
      <c r="Y510" s="50">
        <f>IFERROR(IF(X510="",0,CEILING((X510/$H510),1)*$H510),"")</f>
        <v>0</v>
      </c>
      <c r="Z510" s="36" t="str">
        <f>IFERROR(IF(Y510=0,"",ROUNDUP(Y510/H510,0)*0.00902),"")</f>
        <v/>
      </c>
      <c r="AA510" s="60"/>
      <c r="AB510" s="61"/>
      <c r="AC510" s="578" t="s">
        <v>794</v>
      </c>
      <c r="AG510" s="68"/>
      <c r="AJ510" s="71"/>
      <c r="AK510" s="71">
        <v>0</v>
      </c>
      <c r="BB510" s="579" t="s">
        <v>1</v>
      </c>
      <c r="BM510" s="68">
        <f>IFERROR(X510*I510/H510,"0")</f>
        <v>0</v>
      </c>
      <c r="BN510" s="68">
        <f>IFERROR(Y510*I510/H510,"0")</f>
        <v>0</v>
      </c>
      <c r="BO510" s="68">
        <f>IFERROR(1/J510*(X510/H510),"0")</f>
        <v>0</v>
      </c>
      <c r="BP510" s="68">
        <f>IFERROR(1/J510*(Y510/H510),"0")</f>
        <v>0</v>
      </c>
    </row>
    <row r="511" spans="1:68" x14ac:dyDescent="0.25">
      <c r="A511" s="612"/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13"/>
      <c r="P511" s="630" t="s">
        <v>73</v>
      </c>
      <c r="Q511" s="622"/>
      <c r="R511" s="622"/>
      <c r="S511" s="622"/>
      <c r="T511" s="622"/>
      <c r="U511" s="622"/>
      <c r="V511" s="623"/>
      <c r="W511" s="37" t="s">
        <v>74</v>
      </c>
      <c r="X511" s="38">
        <f>IFERROR(X509/H509,"0")+IFERROR(X510/H510,"0")</f>
        <v>0</v>
      </c>
      <c r="Y511" s="38">
        <f>IFERROR(Y509/H509,"0")+IFERROR(Y510/H510,"0")</f>
        <v>0</v>
      </c>
      <c r="Z511" s="38">
        <f>IFERROR(IF(Z509="",0,Z509),"0")+IFERROR(IF(Z510="",0,Z510),"0")</f>
        <v>0</v>
      </c>
      <c r="AA511" s="59"/>
      <c r="AB511" s="59"/>
      <c r="AC511" s="59"/>
    </row>
    <row r="512" spans="1:68" x14ac:dyDescent="0.25">
      <c r="A512" s="607"/>
      <c r="B512" s="607"/>
      <c r="C512" s="607"/>
      <c r="D512" s="607"/>
      <c r="E512" s="607"/>
      <c r="F512" s="607"/>
      <c r="G512" s="607"/>
      <c r="H512" s="607"/>
      <c r="I512" s="607"/>
      <c r="J512" s="607"/>
      <c r="K512" s="607"/>
      <c r="L512" s="607"/>
      <c r="M512" s="607"/>
      <c r="N512" s="607"/>
      <c r="O512" s="613"/>
      <c r="P512" s="630" t="s">
        <v>73</v>
      </c>
      <c r="Q512" s="622"/>
      <c r="R512" s="622"/>
      <c r="S512" s="622"/>
      <c r="T512" s="622"/>
      <c r="U512" s="622"/>
      <c r="V512" s="623"/>
      <c r="W512" s="37" t="s">
        <v>68</v>
      </c>
      <c r="X512" s="38">
        <f>IFERROR(SUM(X509:X510),"0")</f>
        <v>0</v>
      </c>
      <c r="Y512" s="38">
        <f>IFERROR(SUM(Y509:Y510),"0")</f>
        <v>0</v>
      </c>
      <c r="Z512" s="37"/>
      <c r="AA512" s="59"/>
      <c r="AB512" s="59"/>
      <c r="AC512" s="59"/>
    </row>
    <row r="513" spans="1:68" ht="14.25" customHeight="1" x14ac:dyDescent="0.25">
      <c r="A513" s="615" t="s">
        <v>75</v>
      </c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607"/>
      <c r="S513" s="607"/>
      <c r="T513" s="607"/>
      <c r="U513" s="607"/>
      <c r="V513" s="607"/>
      <c r="W513" s="607"/>
      <c r="X513" s="607"/>
      <c r="Y513" s="607"/>
      <c r="Z513" s="607"/>
      <c r="AA513" s="588"/>
      <c r="AB513" s="588"/>
      <c r="AC513" s="588"/>
    </row>
    <row r="514" spans="1:68" ht="27" customHeight="1" x14ac:dyDescent="0.25">
      <c r="A514" s="57" t="s">
        <v>795</v>
      </c>
      <c r="B514" s="57" t="s">
        <v>796</v>
      </c>
      <c r="C514" s="31">
        <v>4301052046</v>
      </c>
      <c r="D514" s="601">
        <v>4640242180533</v>
      </c>
      <c r="E514" s="602"/>
      <c r="F514" s="56">
        <v>1.5</v>
      </c>
      <c r="G514" s="32">
        <v>6</v>
      </c>
      <c r="H514" s="56">
        <v>9</v>
      </c>
      <c r="I514" s="56">
        <v>9.4939999999999998</v>
      </c>
      <c r="J514" s="32">
        <v>64</v>
      </c>
      <c r="K514" s="32" t="s">
        <v>121</v>
      </c>
      <c r="L514" s="32"/>
      <c r="M514" s="33" t="s">
        <v>85</v>
      </c>
      <c r="N514" s="33"/>
      <c r="O514" s="32">
        <v>45</v>
      </c>
      <c r="P514" s="7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4"/>
      <c r="V514" s="34"/>
      <c r="W514" s="35" t="s">
        <v>68</v>
      </c>
      <c r="X514" s="53">
        <v>80</v>
      </c>
      <c r="Y514" s="50">
        <f>IFERROR(IF(X514="",0,CEILING((X514/$H514),1)*$H514),"")</f>
        <v>81</v>
      </c>
      <c r="Z514" s="36">
        <f>IFERROR(IF(Y514=0,"",ROUNDUP(Y514/H514,0)*0.01898),"")</f>
        <v>0.17082</v>
      </c>
      <c r="AA514" s="60"/>
      <c r="AB514" s="61"/>
      <c r="AC514" s="580" t="s">
        <v>797</v>
      </c>
      <c r="AG514" s="68"/>
      <c r="AJ514" s="71"/>
      <c r="AK514" s="71">
        <v>0</v>
      </c>
      <c r="BB514" s="581" t="s">
        <v>1</v>
      </c>
      <c r="BM514" s="68">
        <f>IFERROR(X514*I514/H514,"0")</f>
        <v>84.391111111111115</v>
      </c>
      <c r="BN514" s="68">
        <f>IFERROR(Y514*I514/H514,"0")</f>
        <v>85.445999999999998</v>
      </c>
      <c r="BO514" s="68">
        <f>IFERROR(1/J514*(X514/H514),"0")</f>
        <v>0.1388888888888889</v>
      </c>
      <c r="BP514" s="68">
        <f>IFERROR(1/J514*(Y514/H514),"0")</f>
        <v>0.140625</v>
      </c>
    </row>
    <row r="515" spans="1:68" x14ac:dyDescent="0.25">
      <c r="A515" s="612"/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13"/>
      <c r="P515" s="630" t="s">
        <v>73</v>
      </c>
      <c r="Q515" s="622"/>
      <c r="R515" s="622"/>
      <c r="S515" s="622"/>
      <c r="T515" s="622"/>
      <c r="U515" s="622"/>
      <c r="V515" s="623"/>
      <c r="W515" s="37" t="s">
        <v>74</v>
      </c>
      <c r="X515" s="38">
        <f>IFERROR(X514/H514,"0")</f>
        <v>8.8888888888888893</v>
      </c>
      <c r="Y515" s="38">
        <f>IFERROR(Y514/H514,"0")</f>
        <v>9</v>
      </c>
      <c r="Z515" s="38">
        <f>IFERROR(IF(Z514="",0,Z514),"0")</f>
        <v>0.17082</v>
      </c>
      <c r="AA515" s="59"/>
      <c r="AB515" s="59"/>
      <c r="AC515" s="59"/>
    </row>
    <row r="516" spans="1:68" x14ac:dyDescent="0.25">
      <c r="A516" s="607"/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13"/>
      <c r="P516" s="630" t="s">
        <v>73</v>
      </c>
      <c r="Q516" s="622"/>
      <c r="R516" s="622"/>
      <c r="S516" s="622"/>
      <c r="T516" s="622"/>
      <c r="U516" s="622"/>
      <c r="V516" s="623"/>
      <c r="W516" s="37" t="s">
        <v>68</v>
      </c>
      <c r="X516" s="38">
        <f>IFERROR(SUM(X514:X514),"0")</f>
        <v>80</v>
      </c>
      <c r="Y516" s="38">
        <f>IFERROR(SUM(Y514:Y514),"0")</f>
        <v>81</v>
      </c>
      <c r="Z516" s="37"/>
      <c r="AA516" s="59"/>
      <c r="AB516" s="59"/>
      <c r="AC516" s="59"/>
    </row>
    <row r="517" spans="1:68" ht="14.25" customHeight="1" x14ac:dyDescent="0.25">
      <c r="A517" s="615" t="s">
        <v>170</v>
      </c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7"/>
      <c r="P517" s="607"/>
      <c r="Q517" s="607"/>
      <c r="R517" s="607"/>
      <c r="S517" s="607"/>
      <c r="T517" s="607"/>
      <c r="U517" s="607"/>
      <c r="V517" s="607"/>
      <c r="W517" s="607"/>
      <c r="X517" s="607"/>
      <c r="Y517" s="607"/>
      <c r="Z517" s="607"/>
      <c r="AA517" s="588"/>
      <c r="AB517" s="588"/>
      <c r="AC517" s="588"/>
    </row>
    <row r="518" spans="1:68" ht="27" customHeight="1" x14ac:dyDescent="0.25">
      <c r="A518" s="57" t="s">
        <v>798</v>
      </c>
      <c r="B518" s="57" t="s">
        <v>799</v>
      </c>
      <c r="C518" s="31">
        <v>4301060535</v>
      </c>
      <c r="D518" s="601">
        <v>4640242180120</v>
      </c>
      <c r="E518" s="602"/>
      <c r="F518" s="56">
        <v>1.5</v>
      </c>
      <c r="G518" s="32">
        <v>6</v>
      </c>
      <c r="H518" s="56">
        <v>9</v>
      </c>
      <c r="I518" s="56">
        <v>9.41</v>
      </c>
      <c r="J518" s="32">
        <v>64</v>
      </c>
      <c r="K518" s="32" t="s">
        <v>121</v>
      </c>
      <c r="L518" s="32"/>
      <c r="M518" s="33" t="s">
        <v>79</v>
      </c>
      <c r="N518" s="33"/>
      <c r="O518" s="32">
        <v>40</v>
      </c>
      <c r="P518" s="92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4"/>
      <c r="V518" s="34"/>
      <c r="W518" s="35" t="s">
        <v>68</v>
      </c>
      <c r="X518" s="53">
        <v>0</v>
      </c>
      <c r="Y518" s="50">
        <f>IFERROR(IF(X518="",0,CEILING((X518/$H518),1)*$H518),"")</f>
        <v>0</v>
      </c>
      <c r="Z518" s="36" t="str">
        <f>IFERROR(IF(Y518=0,"",ROUNDUP(Y518/H518,0)*0.01898),"")</f>
        <v/>
      </c>
      <c r="AA518" s="60"/>
      <c r="AB518" s="61"/>
      <c r="AC518" s="582" t="s">
        <v>800</v>
      </c>
      <c r="AG518" s="68"/>
      <c r="AJ518" s="71"/>
      <c r="AK518" s="71">
        <v>0</v>
      </c>
      <c r="BB518" s="583" t="s">
        <v>1</v>
      </c>
      <c r="BM518" s="68">
        <f>IFERROR(X518*I518/H518,"0")</f>
        <v>0</v>
      </c>
      <c r="BN518" s="68">
        <f>IFERROR(Y518*I518/H518,"0")</f>
        <v>0</v>
      </c>
      <c r="BO518" s="68">
        <f>IFERROR(1/J518*(X518/H518),"0")</f>
        <v>0</v>
      </c>
      <c r="BP518" s="68">
        <f>IFERROR(1/J518*(Y518/H518),"0")</f>
        <v>0</v>
      </c>
    </row>
    <row r="519" spans="1:68" ht="27" customHeight="1" x14ac:dyDescent="0.25">
      <c r="A519" s="57" t="s">
        <v>801</v>
      </c>
      <c r="B519" s="57" t="s">
        <v>802</v>
      </c>
      <c r="C519" s="31">
        <v>4301060536</v>
      </c>
      <c r="D519" s="601">
        <v>4640242180137</v>
      </c>
      <c r="E519" s="602"/>
      <c r="F519" s="56">
        <v>1.5</v>
      </c>
      <c r="G519" s="32">
        <v>6</v>
      </c>
      <c r="H519" s="56">
        <v>9</v>
      </c>
      <c r="I519" s="56">
        <v>9.41</v>
      </c>
      <c r="J519" s="32">
        <v>64</v>
      </c>
      <c r="K519" s="32" t="s">
        <v>121</v>
      </c>
      <c r="L519" s="32"/>
      <c r="M519" s="33" t="s">
        <v>79</v>
      </c>
      <c r="N519" s="33"/>
      <c r="O519" s="32">
        <v>40</v>
      </c>
      <c r="P519" s="8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4"/>
      <c r="V519" s="34"/>
      <c r="W519" s="35" t="s">
        <v>68</v>
      </c>
      <c r="X519" s="53">
        <v>0</v>
      </c>
      <c r="Y519" s="50">
        <f>IFERROR(IF(X519="",0,CEILING((X519/$H519),1)*$H519),"")</f>
        <v>0</v>
      </c>
      <c r="Z519" s="36" t="str">
        <f>IFERROR(IF(Y519=0,"",ROUNDUP(Y519/H519,0)*0.01898),"")</f>
        <v/>
      </c>
      <c r="AA519" s="60"/>
      <c r="AB519" s="61"/>
      <c r="AC519" s="584" t="s">
        <v>803</v>
      </c>
      <c r="AG519" s="68"/>
      <c r="AJ519" s="71"/>
      <c r="AK519" s="71">
        <v>0</v>
      </c>
      <c r="BB519" s="585" t="s">
        <v>1</v>
      </c>
      <c r="BM519" s="68">
        <f>IFERROR(X519*I519/H519,"0")</f>
        <v>0</v>
      </c>
      <c r="BN519" s="68">
        <f>IFERROR(Y519*I519/H519,"0")</f>
        <v>0</v>
      </c>
      <c r="BO519" s="68">
        <f>IFERROR(1/J519*(X519/H519),"0")</f>
        <v>0</v>
      </c>
      <c r="BP519" s="68">
        <f>IFERROR(1/J519*(Y519/H519),"0")</f>
        <v>0</v>
      </c>
    </row>
    <row r="520" spans="1:68" x14ac:dyDescent="0.25">
      <c r="A520" s="612"/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13"/>
      <c r="P520" s="630" t="s">
        <v>73</v>
      </c>
      <c r="Q520" s="622"/>
      <c r="R520" s="622"/>
      <c r="S520" s="622"/>
      <c r="T520" s="622"/>
      <c r="U520" s="622"/>
      <c r="V520" s="623"/>
      <c r="W520" s="37" t="s">
        <v>74</v>
      </c>
      <c r="X520" s="38">
        <f>IFERROR(X518/H518,"0")+IFERROR(X519/H519,"0")</f>
        <v>0</v>
      </c>
      <c r="Y520" s="38">
        <f>IFERROR(Y518/H518,"0")+IFERROR(Y519/H519,"0")</f>
        <v>0</v>
      </c>
      <c r="Z520" s="38">
        <f>IFERROR(IF(Z518="",0,Z518),"0")+IFERROR(IF(Z519="",0,Z519),"0")</f>
        <v>0</v>
      </c>
      <c r="AA520" s="59"/>
      <c r="AB520" s="59"/>
      <c r="AC520" s="59"/>
    </row>
    <row r="521" spans="1:68" x14ac:dyDescent="0.25">
      <c r="A521" s="607"/>
      <c r="B521" s="607"/>
      <c r="C521" s="607"/>
      <c r="D521" s="607"/>
      <c r="E521" s="607"/>
      <c r="F521" s="607"/>
      <c r="G521" s="607"/>
      <c r="H521" s="607"/>
      <c r="I521" s="607"/>
      <c r="J521" s="607"/>
      <c r="K521" s="607"/>
      <c r="L521" s="607"/>
      <c r="M521" s="607"/>
      <c r="N521" s="607"/>
      <c r="O521" s="613"/>
      <c r="P521" s="630" t="s">
        <v>73</v>
      </c>
      <c r="Q521" s="622"/>
      <c r="R521" s="622"/>
      <c r="S521" s="622"/>
      <c r="T521" s="622"/>
      <c r="U521" s="622"/>
      <c r="V521" s="623"/>
      <c r="W521" s="37" t="s">
        <v>68</v>
      </c>
      <c r="X521" s="38">
        <f>IFERROR(SUM(X518:X519),"0")</f>
        <v>0</v>
      </c>
      <c r="Y521" s="38">
        <f>IFERROR(SUM(Y518:Y519),"0")</f>
        <v>0</v>
      </c>
      <c r="Z521" s="37"/>
      <c r="AA521" s="59"/>
      <c r="AB521" s="59"/>
      <c r="AC521" s="59"/>
    </row>
    <row r="522" spans="1:68" ht="16.5" customHeight="1" x14ac:dyDescent="0.25">
      <c r="A522" s="606" t="s">
        <v>804</v>
      </c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7"/>
      <c r="P522" s="607"/>
      <c r="Q522" s="607"/>
      <c r="R522" s="607"/>
      <c r="S522" s="607"/>
      <c r="T522" s="607"/>
      <c r="U522" s="607"/>
      <c r="V522" s="607"/>
      <c r="W522" s="607"/>
      <c r="X522" s="607"/>
      <c r="Y522" s="607"/>
      <c r="Z522" s="607"/>
      <c r="AA522" s="592"/>
      <c r="AB522" s="592"/>
      <c r="AC522" s="592"/>
    </row>
    <row r="523" spans="1:68" ht="14.25" customHeight="1" x14ac:dyDescent="0.25">
      <c r="A523" s="615" t="s">
        <v>153</v>
      </c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7"/>
      <c r="P523" s="607"/>
      <c r="Q523" s="607"/>
      <c r="R523" s="607"/>
      <c r="S523" s="607"/>
      <c r="T523" s="607"/>
      <c r="U523" s="607"/>
      <c r="V523" s="607"/>
      <c r="W523" s="607"/>
      <c r="X523" s="607"/>
      <c r="Y523" s="607"/>
      <c r="Z523" s="607"/>
      <c r="AA523" s="588"/>
      <c r="AB523" s="588"/>
      <c r="AC523" s="588"/>
    </row>
    <row r="524" spans="1:68" ht="27" customHeight="1" x14ac:dyDescent="0.25">
      <c r="A524" s="57" t="s">
        <v>805</v>
      </c>
      <c r="B524" s="57" t="s">
        <v>806</v>
      </c>
      <c r="C524" s="31">
        <v>4301020428</v>
      </c>
      <c r="D524" s="601">
        <v>4640242180090</v>
      </c>
      <c r="E524" s="602"/>
      <c r="F524" s="56">
        <v>1.5</v>
      </c>
      <c r="G524" s="32">
        <v>8</v>
      </c>
      <c r="H524" s="56">
        <v>12</v>
      </c>
      <c r="I524" s="56">
        <v>12.41</v>
      </c>
      <c r="J524" s="32">
        <v>64</v>
      </c>
      <c r="K524" s="32" t="s">
        <v>121</v>
      </c>
      <c r="L524" s="32"/>
      <c r="M524" s="33" t="s">
        <v>122</v>
      </c>
      <c r="N524" s="33"/>
      <c r="O524" s="32">
        <v>50</v>
      </c>
      <c r="P524" s="81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4"/>
      <c r="V524" s="34"/>
      <c r="W524" s="35" t="s">
        <v>68</v>
      </c>
      <c r="X524" s="53">
        <v>0</v>
      </c>
      <c r="Y524" s="50">
        <f>IFERROR(IF(X524="",0,CEILING((X524/$H524),1)*$H524),"")</f>
        <v>0</v>
      </c>
      <c r="Z524" s="36" t="str">
        <f>IFERROR(IF(Y524=0,"",ROUNDUP(Y524/H524,0)*0.01898),"")</f>
        <v/>
      </c>
      <c r="AA524" s="60"/>
      <c r="AB524" s="61"/>
      <c r="AC524" s="586" t="s">
        <v>807</v>
      </c>
      <c r="AG524" s="68"/>
      <c r="AJ524" s="71"/>
      <c r="AK524" s="71">
        <v>0</v>
      </c>
      <c r="BB524" s="587" t="s">
        <v>1</v>
      </c>
      <c r="BM524" s="68">
        <f>IFERROR(X524*I524/H524,"0")</f>
        <v>0</v>
      </c>
      <c r="BN524" s="68">
        <f>IFERROR(Y524*I524/H524,"0")</f>
        <v>0</v>
      </c>
      <c r="BO524" s="68">
        <f>IFERROR(1/J524*(X524/H524),"0")</f>
        <v>0</v>
      </c>
      <c r="BP524" s="68">
        <f>IFERROR(1/J524*(Y524/H524),"0")</f>
        <v>0</v>
      </c>
    </row>
    <row r="525" spans="1:68" x14ac:dyDescent="0.25">
      <c r="A525" s="612"/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13"/>
      <c r="P525" s="630" t="s">
        <v>73</v>
      </c>
      <c r="Q525" s="622"/>
      <c r="R525" s="622"/>
      <c r="S525" s="622"/>
      <c r="T525" s="622"/>
      <c r="U525" s="622"/>
      <c r="V525" s="623"/>
      <c r="W525" s="37" t="s">
        <v>74</v>
      </c>
      <c r="X525" s="38">
        <f>IFERROR(X524/H524,"0")</f>
        <v>0</v>
      </c>
      <c r="Y525" s="38">
        <f>IFERROR(Y524/H524,"0")</f>
        <v>0</v>
      </c>
      <c r="Z525" s="38">
        <f>IFERROR(IF(Z524="",0,Z524),"0")</f>
        <v>0</v>
      </c>
      <c r="AA525" s="59"/>
      <c r="AB525" s="59"/>
      <c r="AC525" s="59"/>
    </row>
    <row r="526" spans="1:68" x14ac:dyDescent="0.25">
      <c r="A526" s="607"/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13"/>
      <c r="P526" s="630" t="s">
        <v>73</v>
      </c>
      <c r="Q526" s="622"/>
      <c r="R526" s="622"/>
      <c r="S526" s="622"/>
      <c r="T526" s="622"/>
      <c r="U526" s="622"/>
      <c r="V526" s="623"/>
      <c r="W526" s="37" t="s">
        <v>68</v>
      </c>
      <c r="X526" s="38">
        <f>IFERROR(SUM(X524:X524),"0")</f>
        <v>0</v>
      </c>
      <c r="Y526" s="38">
        <f>IFERROR(SUM(Y524:Y524),"0")</f>
        <v>0</v>
      </c>
      <c r="Z526" s="37"/>
      <c r="AA526" s="59"/>
      <c r="AB526" s="59"/>
      <c r="AC526" s="59"/>
    </row>
    <row r="527" spans="1:68" ht="15" customHeight="1" x14ac:dyDescent="0.25">
      <c r="A527" s="727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728"/>
      <c r="P527" s="617" t="s">
        <v>808</v>
      </c>
      <c r="Q527" s="618"/>
      <c r="R527" s="618"/>
      <c r="S527" s="618"/>
      <c r="T527" s="618"/>
      <c r="U527" s="618"/>
      <c r="V527" s="619"/>
      <c r="W527" s="37" t="s">
        <v>68</v>
      </c>
      <c r="X527" s="38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15253</v>
      </c>
      <c r="Y527" s="38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15303.12</v>
      </c>
      <c r="Z527" s="37"/>
      <c r="AA527" s="59"/>
      <c r="AB527" s="59"/>
      <c r="AC527" s="59"/>
    </row>
    <row r="528" spans="1:68" x14ac:dyDescent="0.25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728"/>
      <c r="P528" s="617" t="s">
        <v>809</v>
      </c>
      <c r="Q528" s="618"/>
      <c r="R528" s="618"/>
      <c r="S528" s="618"/>
      <c r="T528" s="618"/>
      <c r="U528" s="618"/>
      <c r="V528" s="619"/>
      <c r="W528" s="37" t="s">
        <v>68</v>
      </c>
      <c r="X528" s="38">
        <f>IFERROR(SUM(BM22:BM524),"0")</f>
        <v>16001.450407247077</v>
      </c>
      <c r="Y528" s="38">
        <f>IFERROR(SUM(BN22:BN524),"0")</f>
        <v>16054.062000000002</v>
      </c>
      <c r="Z528" s="37"/>
      <c r="AA528" s="59"/>
      <c r="AB528" s="59"/>
      <c r="AC528" s="59"/>
    </row>
    <row r="529" spans="1:32" x14ac:dyDescent="0.25">
      <c r="A529" s="607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728"/>
      <c r="P529" s="617" t="s">
        <v>810</v>
      </c>
      <c r="Q529" s="618"/>
      <c r="R529" s="618"/>
      <c r="S529" s="618"/>
      <c r="T529" s="618"/>
      <c r="U529" s="618"/>
      <c r="V529" s="619"/>
      <c r="W529" s="37" t="s">
        <v>811</v>
      </c>
      <c r="X529" s="39">
        <f>ROUNDUP(SUM(BO22:BO524),0)</f>
        <v>25</v>
      </c>
      <c r="Y529" s="39">
        <f>ROUNDUP(SUM(BP22:BP524),0)</f>
        <v>26</v>
      </c>
      <c r="Z529" s="37"/>
      <c r="AA529" s="59"/>
      <c r="AB529" s="59"/>
      <c r="AC529" s="59"/>
    </row>
    <row r="530" spans="1:32" x14ac:dyDescent="0.25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728"/>
      <c r="P530" s="617" t="s">
        <v>812</v>
      </c>
      <c r="Q530" s="618"/>
      <c r="R530" s="618"/>
      <c r="S530" s="618"/>
      <c r="T530" s="618"/>
      <c r="U530" s="618"/>
      <c r="V530" s="619"/>
      <c r="W530" s="37" t="s">
        <v>68</v>
      </c>
      <c r="X530" s="38">
        <f>GrossWeightTotal+PalletQtyTotal*25</f>
        <v>16626.450407247077</v>
      </c>
      <c r="Y530" s="38">
        <f>GrossWeightTotalR+PalletQtyTotalR*25</f>
        <v>16704.062000000002</v>
      </c>
      <c r="Z530" s="37"/>
      <c r="AA530" s="59"/>
      <c r="AB530" s="59"/>
      <c r="AC530" s="59"/>
    </row>
    <row r="531" spans="1:32" x14ac:dyDescent="0.25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728"/>
      <c r="P531" s="617" t="s">
        <v>813</v>
      </c>
      <c r="Q531" s="618"/>
      <c r="R531" s="618"/>
      <c r="S531" s="618"/>
      <c r="T531" s="618"/>
      <c r="U531" s="618"/>
      <c r="V531" s="619"/>
      <c r="W531" s="37" t="s">
        <v>811</v>
      </c>
      <c r="X531" s="38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1819.398872732206</v>
      </c>
      <c r="Y531" s="38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1826</v>
      </c>
      <c r="Z531" s="37"/>
      <c r="AA531" s="59"/>
      <c r="AB531" s="59"/>
      <c r="AC531" s="59"/>
    </row>
    <row r="532" spans="1:32" ht="14.25" customHeight="1" x14ac:dyDescent="0.25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728"/>
      <c r="P532" s="617" t="s">
        <v>814</v>
      </c>
      <c r="Q532" s="618"/>
      <c r="R532" s="618"/>
      <c r="S532" s="618"/>
      <c r="T532" s="618"/>
      <c r="U532" s="618"/>
      <c r="V532" s="619"/>
      <c r="W532" s="40" t="s">
        <v>815</v>
      </c>
      <c r="X532" s="37"/>
      <c r="Y532" s="37"/>
      <c r="Z532" s="37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29.187850000000005</v>
      </c>
      <c r="AA532" s="59"/>
      <c r="AB532" s="59"/>
      <c r="AC532" s="59"/>
    </row>
    <row r="533" spans="1:32" ht="13.5" customHeight="1" thickBot="1" x14ac:dyDescent="0.3"/>
    <row r="534" spans="1:32" ht="27" customHeight="1" thickTop="1" thickBot="1" x14ac:dyDescent="0.3">
      <c r="A534" s="41" t="s">
        <v>816</v>
      </c>
      <c r="B534" s="594" t="s">
        <v>62</v>
      </c>
      <c r="C534" s="594" t="s">
        <v>102</v>
      </c>
      <c r="D534" s="624" t="s">
        <v>116</v>
      </c>
      <c r="E534" s="704"/>
      <c r="F534" s="704"/>
      <c r="G534" s="704"/>
      <c r="H534" s="704"/>
      <c r="I534" s="704"/>
      <c r="J534" s="705"/>
      <c r="K534" s="624" t="s">
        <v>323</v>
      </c>
      <c r="L534" s="704"/>
      <c r="M534" s="704"/>
      <c r="N534" s="704"/>
      <c r="O534" s="704"/>
      <c r="P534" s="704"/>
      <c r="Q534" s="704"/>
      <c r="R534" s="704"/>
      <c r="S534" s="704"/>
      <c r="T534" s="704"/>
      <c r="U534" s="705"/>
      <c r="V534" s="624" t="s">
        <v>640</v>
      </c>
      <c r="W534" s="705"/>
      <c r="X534" s="624" t="s">
        <v>700</v>
      </c>
      <c r="Y534" s="705"/>
      <c r="Z534" s="594" t="s">
        <v>736</v>
      </c>
      <c r="AA534" s="624" t="s">
        <v>783</v>
      </c>
      <c r="AB534" s="705"/>
      <c r="AC534" s="7"/>
      <c r="AF534" s="589"/>
    </row>
    <row r="535" spans="1:32" ht="14.25" customHeight="1" thickTop="1" x14ac:dyDescent="0.25">
      <c r="A535" s="878" t="s">
        <v>817</v>
      </c>
      <c r="B535" s="624" t="s">
        <v>62</v>
      </c>
      <c r="C535" s="624" t="s">
        <v>103</v>
      </c>
      <c r="D535" s="624" t="s">
        <v>117</v>
      </c>
      <c r="E535" s="624" t="s">
        <v>133</v>
      </c>
      <c r="F535" s="624" t="s">
        <v>177</v>
      </c>
      <c r="G535" s="624" t="s">
        <v>198</v>
      </c>
      <c r="H535" s="624" t="s">
        <v>241</v>
      </c>
      <c r="I535" s="624" t="s">
        <v>253</v>
      </c>
      <c r="J535" s="624" t="s">
        <v>116</v>
      </c>
      <c r="K535" s="624" t="s">
        <v>324</v>
      </c>
      <c r="L535" s="624" t="s">
        <v>336</v>
      </c>
      <c r="M535" s="624" t="s">
        <v>395</v>
      </c>
      <c r="N535" s="589"/>
      <c r="O535" s="624" t="s">
        <v>463</v>
      </c>
      <c r="P535" s="624" t="s">
        <v>499</v>
      </c>
      <c r="Q535" s="624" t="s">
        <v>515</v>
      </c>
      <c r="R535" s="624" t="s">
        <v>524</v>
      </c>
      <c r="S535" s="624" t="s">
        <v>545</v>
      </c>
      <c r="T535" s="624" t="s">
        <v>555</v>
      </c>
      <c r="U535" s="624" t="s">
        <v>630</v>
      </c>
      <c r="V535" s="624" t="s">
        <v>641</v>
      </c>
      <c r="W535" s="624" t="s">
        <v>684</v>
      </c>
      <c r="X535" s="624" t="s">
        <v>701</v>
      </c>
      <c r="Y535" s="624" t="s">
        <v>724</v>
      </c>
      <c r="Z535" s="624" t="s">
        <v>736</v>
      </c>
      <c r="AA535" s="624" t="s">
        <v>783</v>
      </c>
      <c r="AB535" s="624" t="s">
        <v>804</v>
      </c>
      <c r="AC535" s="7"/>
      <c r="AF535" s="589"/>
    </row>
    <row r="536" spans="1:32" ht="13.5" customHeight="1" thickBot="1" x14ac:dyDescent="0.3">
      <c r="A536" s="879"/>
      <c r="B536" s="625"/>
      <c r="C536" s="625"/>
      <c r="D536" s="625"/>
      <c r="E536" s="625"/>
      <c r="F536" s="625"/>
      <c r="G536" s="625"/>
      <c r="H536" s="625"/>
      <c r="I536" s="625"/>
      <c r="J536" s="625"/>
      <c r="K536" s="625"/>
      <c r="L536" s="625"/>
      <c r="M536" s="625"/>
      <c r="N536" s="589"/>
      <c r="O536" s="625"/>
      <c r="P536" s="625"/>
      <c r="Q536" s="625"/>
      <c r="R536" s="625"/>
      <c r="S536" s="625"/>
      <c r="T536" s="625"/>
      <c r="U536" s="625"/>
      <c r="V536" s="625"/>
      <c r="W536" s="625"/>
      <c r="X536" s="625"/>
      <c r="Y536" s="625"/>
      <c r="Z536" s="625"/>
      <c r="AA536" s="625"/>
      <c r="AB536" s="625"/>
      <c r="AC536" s="7"/>
      <c r="AF536" s="589"/>
    </row>
    <row r="537" spans="1:32" ht="18" customHeight="1" thickTop="1" thickBot="1" x14ac:dyDescent="0.3">
      <c r="A537" s="41" t="s">
        <v>818</v>
      </c>
      <c r="B537" s="47">
        <f>IFERROR(Y22*1,"0")+IFERROR(Y23*1,"0")+IFERROR(Y27*1,"0")+IFERROR(Y28*1,"0")+IFERROR(Y29*1,"0")+IFERROR(Y30*1,"0")+IFERROR(Y31*1,"0")+IFERROR(Y32*1,"0")+IFERROR(Y36*1,"0")</f>
        <v>0</v>
      </c>
      <c r="C537" s="47">
        <f>IFERROR(Y42*1,"0")+IFERROR(Y43*1,"0")+IFERROR(Y44*1,"0")+IFERROR(Y45*1,"0")</f>
        <v>0</v>
      </c>
      <c r="D537" s="47">
        <f>IFERROR(Y51*1,"0")+IFERROR(Y52*1,"0")+IFERROR(Y53*1,"0")+IFERROR(Y54*1,"0")</f>
        <v>507.6</v>
      </c>
      <c r="E537" s="47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22.5</v>
      </c>
      <c r="F537" s="47">
        <f>IFERROR(Y87*1,"0")+IFERROR(Y88*1,"0")+IFERROR(Y89*1,"0")+IFERROR(Y90*1,"0")+IFERROR(Y94*1,"0")+IFERROR(Y95*1,"0")+IFERROR(Y96*1,"0")+IFERROR(Y97*1,"0")</f>
        <v>270</v>
      </c>
      <c r="G537" s="47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691.2</v>
      </c>
      <c r="H537" s="47">
        <f>IFERROR(Y133*1,"0")+IFERROR(Y134*1,"0")+IFERROR(Y138*1,"0")+IFERROR(Y139*1,"0")+IFERROR(Y143*1,"0")+IFERROR(Y144*1,"0")</f>
        <v>0</v>
      </c>
      <c r="I537" s="47">
        <f>IFERROR(Y149*1,"0")+IFERROR(Y150*1,"0")+IFERROR(Y151*1,"0")+IFERROR(Y152*1,"0")</f>
        <v>0</v>
      </c>
      <c r="J537" s="47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47">
        <f>IFERROR(Y196*1,"0")+IFERROR(Y197*1,"0")+IFERROR(Y198*1,"0")+IFERROR(Y199*1,"0")</f>
        <v>0</v>
      </c>
      <c r="L537" s="47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21</v>
      </c>
      <c r="M537" s="47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372</v>
      </c>
      <c r="N537" s="589"/>
      <c r="O537" s="47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47">
        <f>IFERROR(Y309*1,"0")+IFERROR(Y310*1,"0")+IFERROR(Y311*1,"0")+IFERROR(Y312*1,"0")+IFERROR(Y313*1,"0")</f>
        <v>0</v>
      </c>
      <c r="Q537" s="47">
        <f>IFERROR(Y318*1,"0")+IFERROR(Y319*1,"0")+IFERROR(Y320*1,"0")</f>
        <v>0</v>
      </c>
      <c r="R537" s="47">
        <f>IFERROR(Y325*1,"0")+IFERROR(Y326*1,"0")+IFERROR(Y327*1,"0")+IFERROR(Y328*1,"0")+IFERROR(Y329*1,"0")+IFERROR(Y333*1,"0")+IFERROR(Y334*1,"0")</f>
        <v>0</v>
      </c>
      <c r="S537" s="47">
        <f>IFERROR(Y339*1,"0")+IFERROR(Y340*1,"0")+IFERROR(Y341*1,"0")</f>
        <v>0</v>
      </c>
      <c r="T537" s="47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727.5</v>
      </c>
      <c r="U537" s="47">
        <f>IFERROR(Y392*1,"0")+IFERROR(Y393*1,"0")+IFERROR(Y394*1,"0")</f>
        <v>126</v>
      </c>
      <c r="V537" s="47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5763</v>
      </c>
      <c r="W537" s="47">
        <f>IFERROR(Y427*1,"0")+IFERROR(Y428*1,"0")+IFERROR(Y432*1,"0")+IFERROR(Y436*1,"0")+IFERROR(Y437*1,"0")+IFERROR(Y438*1,"0")</f>
        <v>4053</v>
      </c>
      <c r="X537" s="47">
        <f>IFERROR(Y444*1,"0")+IFERROR(Y445*1,"0")+IFERROR(Y446*1,"0")+IFERROR(Y447*1,"0")+IFERROR(Y448*1,"0")+IFERROR(Y449*1,"0")+IFERROR(Y453*1,"0")+IFERROR(Y454*1,"0")</f>
        <v>0</v>
      </c>
      <c r="Y537" s="47">
        <f>IFERROR(Y459*1,"0")+IFERROR(Y463*1,"0")+IFERROR(Y464*1,"0")+IFERROR(Y465*1,"0")</f>
        <v>0</v>
      </c>
      <c r="Z537" s="47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2608.3200000000002</v>
      </c>
      <c r="AA537" s="47">
        <f>IFERROR(Y501*1,"0")+IFERROR(Y505*1,"0")+IFERROR(Y509*1,"0")+IFERROR(Y510*1,"0")+IFERROR(Y514*1,"0")+IFERROR(Y518*1,"0")+IFERROR(Y519*1,"0")</f>
        <v>141</v>
      </c>
      <c r="AB537" s="47">
        <f>IFERROR(Y524*1,"0")</f>
        <v>0</v>
      </c>
      <c r="AC537" s="7"/>
      <c r="AF537" s="589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3">
    <mergeCell ref="D518:E518"/>
    <mergeCell ref="P252:T252"/>
    <mergeCell ref="D124:E124"/>
    <mergeCell ref="P81:T81"/>
    <mergeCell ref="P516:V516"/>
    <mergeCell ref="D45:E45"/>
    <mergeCell ref="H9:I9"/>
    <mergeCell ref="A49:Z49"/>
    <mergeCell ref="P24:V24"/>
    <mergeCell ref="P322:V322"/>
    <mergeCell ref="P260:V260"/>
    <mergeCell ref="P454:T454"/>
    <mergeCell ref="D297:E297"/>
    <mergeCell ref="P259:V259"/>
    <mergeCell ref="P153:V153"/>
    <mergeCell ref="D70:E70"/>
    <mergeCell ref="D263:E263"/>
    <mergeCell ref="P220:T220"/>
    <mergeCell ref="D312:E312"/>
    <mergeCell ref="P379:T379"/>
    <mergeCell ref="V10:W10"/>
    <mergeCell ref="D493:E493"/>
    <mergeCell ref="D360:E360"/>
    <mergeCell ref="P299:V299"/>
    <mergeCell ref="A500:Z500"/>
    <mergeCell ref="P466:V466"/>
    <mergeCell ref="D479:E479"/>
    <mergeCell ref="P248:V248"/>
    <mergeCell ref="A431:Z431"/>
    <mergeCell ref="P506:V506"/>
    <mergeCell ref="D258:E258"/>
    <mergeCell ref="D494:E494"/>
    <mergeCell ref="P404:T404"/>
    <mergeCell ref="P366:T366"/>
    <mergeCell ref="D287:E287"/>
    <mergeCell ref="D474:E474"/>
    <mergeCell ref="D473:E473"/>
    <mergeCell ref="P437:T437"/>
    <mergeCell ref="P302:T302"/>
    <mergeCell ref="D472:E472"/>
    <mergeCell ref="P451:V451"/>
    <mergeCell ref="A276:Z276"/>
    <mergeCell ref="A441:Z441"/>
    <mergeCell ref="P381:T381"/>
    <mergeCell ref="R1:T1"/>
    <mergeCell ref="P172:T172"/>
    <mergeCell ref="P150:T150"/>
    <mergeCell ref="D71:E71"/>
    <mergeCell ref="P392:T392"/>
    <mergeCell ref="P326:T326"/>
    <mergeCell ref="P221:T221"/>
    <mergeCell ref="P386:T386"/>
    <mergeCell ref="P215:T215"/>
    <mergeCell ref="A145:O146"/>
    <mergeCell ref="P28:T28"/>
    <mergeCell ref="A46:O47"/>
    <mergeCell ref="P152:T152"/>
    <mergeCell ref="P30:T30"/>
    <mergeCell ref="P375:V375"/>
    <mergeCell ref="P141:V141"/>
    <mergeCell ref="A140:O141"/>
    <mergeCell ref="P206:V206"/>
    <mergeCell ref="A202:Z202"/>
    <mergeCell ref="P233:V233"/>
    <mergeCell ref="A58:Z58"/>
    <mergeCell ref="P37:V37"/>
    <mergeCell ref="P104:T104"/>
    <mergeCell ref="B17:B18"/>
    <mergeCell ref="B535:B536"/>
    <mergeCell ref="D411:E411"/>
    <mergeCell ref="P330:V330"/>
    <mergeCell ref="D289:E289"/>
    <mergeCell ref="P159:V159"/>
    <mergeCell ref="P395:V395"/>
    <mergeCell ref="P209:T209"/>
    <mergeCell ref="K534:U534"/>
    <mergeCell ref="P445:T445"/>
    <mergeCell ref="P182:V182"/>
    <mergeCell ref="D501:E501"/>
    <mergeCell ref="D495:E495"/>
    <mergeCell ref="P413:T413"/>
    <mergeCell ref="P242:T242"/>
    <mergeCell ref="D524:E524"/>
    <mergeCell ref="P407:T407"/>
    <mergeCell ref="R535:R536"/>
    <mergeCell ref="T535:T536"/>
    <mergeCell ref="A423:O424"/>
    <mergeCell ref="P518:T518"/>
    <mergeCell ref="P511:V511"/>
    <mergeCell ref="D505:E505"/>
    <mergeCell ref="P328:T328"/>
    <mergeCell ref="P213:T213"/>
    <mergeCell ref="A50:Z50"/>
    <mergeCell ref="W17:W18"/>
    <mergeCell ref="P532:V532"/>
    <mergeCell ref="P503:V503"/>
    <mergeCell ref="P388:V388"/>
    <mergeCell ref="A384:Z384"/>
    <mergeCell ref="A86:Z86"/>
    <mergeCell ref="P154:V154"/>
    <mergeCell ref="A513:Z513"/>
    <mergeCell ref="P279:V279"/>
    <mergeCell ref="P31:T31"/>
    <mergeCell ref="P473:T473"/>
    <mergeCell ref="A462:Z462"/>
    <mergeCell ref="P329:T329"/>
    <mergeCell ref="P158:T158"/>
    <mergeCell ref="D139:E139"/>
    <mergeCell ref="D406:E406"/>
    <mergeCell ref="P118:V118"/>
    <mergeCell ref="P487:V487"/>
    <mergeCell ref="A511:O512"/>
    <mergeCell ref="P343:V343"/>
    <mergeCell ref="A98:O99"/>
    <mergeCell ref="P266:T266"/>
    <mergeCell ref="P530:V530"/>
    <mergeCell ref="D7:M7"/>
    <mergeCell ref="D378:E378"/>
    <mergeCell ref="D365:E365"/>
    <mergeCell ref="P91:V91"/>
    <mergeCell ref="P236:T236"/>
    <mergeCell ref="P334:T334"/>
    <mergeCell ref="P394:T394"/>
    <mergeCell ref="D144:E144"/>
    <mergeCell ref="W535:W536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79:E379"/>
    <mergeCell ref="D208:E208"/>
    <mergeCell ref="D8:M8"/>
    <mergeCell ref="A382:O383"/>
    <mergeCell ref="D366:E366"/>
    <mergeCell ref="P44:T44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237:O238"/>
    <mergeCell ref="A66:O67"/>
    <mergeCell ref="D28:E28"/>
    <mergeCell ref="A101:Z101"/>
    <mergeCell ref="P405:T405"/>
    <mergeCell ref="D326:E326"/>
    <mergeCell ref="P476:T476"/>
    <mergeCell ref="D313:E313"/>
    <mergeCell ref="D432:E432"/>
    <mergeCell ref="D236:E236"/>
    <mergeCell ref="D117:E117"/>
    <mergeCell ref="P171:T171"/>
    <mergeCell ref="D30:E30"/>
    <mergeCell ref="D5:E5"/>
    <mergeCell ref="D303:E303"/>
    <mergeCell ref="P453:T453"/>
    <mergeCell ref="P42:T42"/>
    <mergeCell ref="D94:E94"/>
    <mergeCell ref="D361:E361"/>
    <mergeCell ref="D417:E417"/>
    <mergeCell ref="P471:T471"/>
    <mergeCell ref="P396:V396"/>
    <mergeCell ref="P98:V98"/>
    <mergeCell ref="A395:O396"/>
    <mergeCell ref="D69:E69"/>
    <mergeCell ref="A109:O110"/>
    <mergeCell ref="P166:T166"/>
    <mergeCell ref="D87:E87"/>
    <mergeCell ref="D380:E380"/>
    <mergeCell ref="D209:E209"/>
    <mergeCell ref="A282:Z282"/>
    <mergeCell ref="P464:T464"/>
    <mergeCell ref="A187:O188"/>
    <mergeCell ref="D445:E445"/>
    <mergeCell ref="P402:T402"/>
    <mergeCell ref="D301:E301"/>
    <mergeCell ref="P188:V188"/>
    <mergeCell ref="AA534:AB534"/>
    <mergeCell ref="P460:V460"/>
    <mergeCell ref="P177:V177"/>
    <mergeCell ref="P33:V33"/>
    <mergeCell ref="D356:E356"/>
    <mergeCell ref="A300:Z300"/>
    <mergeCell ref="P335:V335"/>
    <mergeCell ref="A535:A536"/>
    <mergeCell ref="P164:V164"/>
    <mergeCell ref="C535:C536"/>
    <mergeCell ref="A458:Z458"/>
    <mergeCell ref="A452:Z452"/>
    <mergeCell ref="A281:Z281"/>
    <mergeCell ref="A523:Z523"/>
    <mergeCell ref="P273:T273"/>
    <mergeCell ref="P526:V526"/>
    <mergeCell ref="D387:E387"/>
    <mergeCell ref="P400:T400"/>
    <mergeCell ref="D272:E272"/>
    <mergeCell ref="D514:E514"/>
    <mergeCell ref="D381:E381"/>
    <mergeCell ref="A345:Z345"/>
    <mergeCell ref="A316:Z316"/>
    <mergeCell ref="D210:E210"/>
    <mergeCell ref="D59:E59"/>
    <mergeCell ref="D172:E172"/>
    <mergeCell ref="P88:T88"/>
    <mergeCell ref="P51:T51"/>
    <mergeCell ref="P461:V461"/>
    <mergeCell ref="P459:T459"/>
    <mergeCell ref="D465:E465"/>
    <mergeCell ref="D269:E269"/>
    <mergeCell ref="D198:E198"/>
    <mergeCell ref="D53:E53"/>
    <mergeCell ref="D253:E253"/>
    <mergeCell ref="D351:E351"/>
    <mergeCell ref="P95:T95"/>
    <mergeCell ref="D122:E122"/>
    <mergeCell ref="P157:T157"/>
    <mergeCell ref="D134:E134"/>
    <mergeCell ref="A80:Z80"/>
    <mergeCell ref="A330:O331"/>
    <mergeCell ref="D357:E357"/>
    <mergeCell ref="P432:T432"/>
    <mergeCell ref="P170:T170"/>
    <mergeCell ref="D60:E60"/>
    <mergeCell ref="P144:T144"/>
    <mergeCell ref="P231:T231"/>
    <mergeCell ref="P97:T97"/>
    <mergeCell ref="A227:O228"/>
    <mergeCell ref="A468:Z468"/>
    <mergeCell ref="P401:T401"/>
    <mergeCell ref="P339:T339"/>
    <mergeCell ref="P428:T428"/>
    <mergeCell ref="A414:O415"/>
    <mergeCell ref="A229:Z229"/>
    <mergeCell ref="P309:T309"/>
    <mergeCell ref="D174:E174"/>
    <mergeCell ref="D197:E197"/>
    <mergeCell ref="D1:F1"/>
    <mergeCell ref="P268:T268"/>
    <mergeCell ref="P230:T230"/>
    <mergeCell ref="D211:E211"/>
    <mergeCell ref="P168:T168"/>
    <mergeCell ref="P130:V130"/>
    <mergeCell ref="P46:V46"/>
    <mergeCell ref="A307:Z307"/>
    <mergeCell ref="P409:V409"/>
    <mergeCell ref="J17:J18"/>
    <mergeCell ref="A91:O92"/>
    <mergeCell ref="D82:E82"/>
    <mergeCell ref="L17:L18"/>
    <mergeCell ref="A184:Z184"/>
    <mergeCell ref="P255:T255"/>
    <mergeCell ref="A100:Z100"/>
    <mergeCell ref="A371:Z371"/>
    <mergeCell ref="D334:E334"/>
    <mergeCell ref="A165:Z165"/>
    <mergeCell ref="P321:V321"/>
    <mergeCell ref="P125:V125"/>
    <mergeCell ref="A308:Z308"/>
    <mergeCell ref="P284:T284"/>
    <mergeCell ref="A344:Z344"/>
    <mergeCell ref="P492:T492"/>
    <mergeCell ref="D31:E31"/>
    <mergeCell ref="D329:E329"/>
    <mergeCell ref="P286:T286"/>
    <mergeCell ref="D400:E400"/>
    <mergeCell ref="D158:E158"/>
    <mergeCell ref="P479:T479"/>
    <mergeCell ref="D77:E77"/>
    <mergeCell ref="D108:E108"/>
    <mergeCell ref="P258:T258"/>
    <mergeCell ref="A182:O183"/>
    <mergeCell ref="P52:T52"/>
    <mergeCell ref="D328:E328"/>
    <mergeCell ref="P285:T285"/>
    <mergeCell ref="D157:E157"/>
    <mergeCell ref="P136:V136"/>
    <mergeCell ref="A135:O136"/>
    <mergeCell ref="P434:V434"/>
    <mergeCell ref="A433:O434"/>
    <mergeCell ref="A439:O440"/>
    <mergeCell ref="P32:T32"/>
    <mergeCell ref="P474:T474"/>
    <mergeCell ref="A233:O234"/>
    <mergeCell ref="P103:T103"/>
    <mergeCell ref="P494:T494"/>
    <mergeCell ref="A480:O481"/>
    <mergeCell ref="P350:T350"/>
    <mergeCell ref="P201:V201"/>
    <mergeCell ref="I17:I18"/>
    <mergeCell ref="P176:V176"/>
    <mergeCell ref="P424:V424"/>
    <mergeCell ref="P287:T287"/>
    <mergeCell ref="A522:Z522"/>
    <mergeCell ref="D72:E72"/>
    <mergeCell ref="P295:V295"/>
    <mergeCell ref="A120:Z120"/>
    <mergeCell ref="P34:V34"/>
    <mergeCell ref="A239:Z239"/>
    <mergeCell ref="A248:O249"/>
    <mergeCell ref="D232:E232"/>
    <mergeCell ref="P238:V238"/>
    <mergeCell ref="P67:V67"/>
    <mergeCell ref="P264:T264"/>
    <mergeCell ref="D169:E169"/>
    <mergeCell ref="D52:E52"/>
    <mergeCell ref="P122:T122"/>
    <mergeCell ref="P291:V291"/>
    <mergeCell ref="P43:T43"/>
    <mergeCell ref="Q9:R9"/>
    <mergeCell ref="P312:T312"/>
    <mergeCell ref="D255:E255"/>
    <mergeCell ref="Q535:Q536"/>
    <mergeCell ref="A37:O38"/>
    <mergeCell ref="S535:S536"/>
    <mergeCell ref="I535:I536"/>
    <mergeCell ref="Q11:R11"/>
    <mergeCell ref="K535:K536"/>
    <mergeCell ref="D453:E453"/>
    <mergeCell ref="D448:E448"/>
    <mergeCell ref="P369:V369"/>
    <mergeCell ref="A250:Z250"/>
    <mergeCell ref="D464:E464"/>
    <mergeCell ref="P493:T493"/>
    <mergeCell ref="F9:G9"/>
    <mergeCell ref="P53:T53"/>
    <mergeCell ref="P495:T495"/>
    <mergeCell ref="D167:E167"/>
    <mergeCell ref="P351:T351"/>
    <mergeCell ref="A419:O420"/>
    <mergeCell ref="P422:T422"/>
    <mergeCell ref="P289:T289"/>
    <mergeCell ref="D403:E403"/>
    <mergeCell ref="D9:E9"/>
    <mergeCell ref="P197:T197"/>
    <mergeCell ref="A6:C6"/>
    <mergeCell ref="D309:E309"/>
    <mergeCell ref="D113:E113"/>
    <mergeCell ref="P415:V415"/>
    <mergeCell ref="P180:T180"/>
    <mergeCell ref="P167:T167"/>
    <mergeCell ref="P336:V336"/>
    <mergeCell ref="A332:Z332"/>
    <mergeCell ref="A161:Z161"/>
    <mergeCell ref="D88:E88"/>
    <mergeCell ref="P403:T403"/>
    <mergeCell ref="P378:T378"/>
    <mergeCell ref="A259:O260"/>
    <mergeCell ref="P117:T117"/>
    <mergeCell ref="D311:E311"/>
    <mergeCell ref="D115:E115"/>
    <mergeCell ref="Q12:R12"/>
    <mergeCell ref="A274:O275"/>
    <mergeCell ref="P169:T169"/>
    <mergeCell ref="P411:T411"/>
    <mergeCell ref="D90:E90"/>
    <mergeCell ref="P183:V183"/>
    <mergeCell ref="P191:V191"/>
    <mergeCell ref="D179:E179"/>
    <mergeCell ref="P420:V420"/>
    <mergeCell ref="D166:E166"/>
    <mergeCell ref="A410:Z410"/>
    <mergeCell ref="D402:E402"/>
    <mergeCell ref="A17:A18"/>
    <mergeCell ref="K17:K18"/>
    <mergeCell ref="A189:Z189"/>
    <mergeCell ref="C17:C18"/>
    <mergeCell ref="D103:E103"/>
    <mergeCell ref="D401:E401"/>
    <mergeCell ref="P358:T358"/>
    <mergeCell ref="D339:E339"/>
    <mergeCell ref="D230:E230"/>
    <mergeCell ref="D168:E168"/>
    <mergeCell ref="D180:E180"/>
    <mergeCell ref="P246:T246"/>
    <mergeCell ref="P298:V298"/>
    <mergeCell ref="P17:T18"/>
    <mergeCell ref="P113:T113"/>
    <mergeCell ref="A148:Z148"/>
    <mergeCell ref="P63:T63"/>
    <mergeCell ref="A26:Z26"/>
    <mergeCell ref="P524:T524"/>
    <mergeCell ref="P440:V440"/>
    <mergeCell ref="P303:T303"/>
    <mergeCell ref="P486:V486"/>
    <mergeCell ref="P342:V342"/>
    <mergeCell ref="A314:O315"/>
    <mergeCell ref="P146:V146"/>
    <mergeCell ref="D63:E63"/>
    <mergeCell ref="D492:E492"/>
    <mergeCell ref="A421:Z421"/>
    <mergeCell ref="D96:E96"/>
    <mergeCell ref="P515:V515"/>
    <mergeCell ref="P306:V306"/>
    <mergeCell ref="D350:E350"/>
    <mergeCell ref="P427:T427"/>
    <mergeCell ref="P283:T283"/>
    <mergeCell ref="D264:E264"/>
    <mergeCell ref="P277:T277"/>
    <mergeCell ref="P519:T519"/>
    <mergeCell ref="D220:E220"/>
    <mergeCell ref="P370:V370"/>
    <mergeCell ref="A195:Z195"/>
    <mergeCell ref="A369:O370"/>
    <mergeCell ref="P497:V497"/>
    <mergeCell ref="Y535:Y536"/>
    <mergeCell ref="P110:V110"/>
    <mergeCell ref="D27:E27"/>
    <mergeCell ref="P408:V408"/>
    <mergeCell ref="D325:E325"/>
    <mergeCell ref="P208:T208"/>
    <mergeCell ref="A398:Z398"/>
    <mergeCell ref="P15:T16"/>
    <mergeCell ref="A496:O497"/>
    <mergeCell ref="D116:E116"/>
    <mergeCell ref="P219:T219"/>
    <mergeCell ref="P23:T23"/>
    <mergeCell ref="D162:E162"/>
    <mergeCell ref="P272:T272"/>
    <mergeCell ref="H535:H536"/>
    <mergeCell ref="D327:E327"/>
    <mergeCell ref="P439:V439"/>
    <mergeCell ref="J535:J536"/>
    <mergeCell ref="D454:E454"/>
    <mergeCell ref="P433:V433"/>
    <mergeCell ref="L535:L536"/>
    <mergeCell ref="P210:T210"/>
    <mergeCell ref="P185:T185"/>
    <mergeCell ref="D106:E106"/>
    <mergeCell ref="P501:T501"/>
    <mergeCell ref="A12:M12"/>
    <mergeCell ref="D251:E251"/>
    <mergeCell ref="A324:Z324"/>
    <mergeCell ref="P228:V228"/>
    <mergeCell ref="A240:Z240"/>
    <mergeCell ref="A482:Z482"/>
    <mergeCell ref="A416:Z416"/>
    <mergeCell ref="P200:V200"/>
    <mergeCell ref="P243:V243"/>
    <mergeCell ref="A68:Z68"/>
    <mergeCell ref="P372:T372"/>
    <mergeCell ref="A19:Z19"/>
    <mergeCell ref="P310:T310"/>
    <mergeCell ref="A14:M14"/>
    <mergeCell ref="A111:Z111"/>
    <mergeCell ref="A470:Z470"/>
    <mergeCell ref="A203:Z203"/>
    <mergeCell ref="A375:O376"/>
    <mergeCell ref="P126:V126"/>
    <mergeCell ref="D286:E286"/>
    <mergeCell ref="P491:T491"/>
    <mergeCell ref="P211:T211"/>
    <mergeCell ref="P89:T89"/>
    <mergeCell ref="T5:U5"/>
    <mergeCell ref="P76:T76"/>
    <mergeCell ref="D190:E190"/>
    <mergeCell ref="P374:T374"/>
    <mergeCell ref="D246:E246"/>
    <mergeCell ref="P294:V294"/>
    <mergeCell ref="A48:Z48"/>
    <mergeCell ref="V5:W5"/>
    <mergeCell ref="A466:O467"/>
    <mergeCell ref="P361:T361"/>
    <mergeCell ref="A142:Z142"/>
    <mergeCell ref="Q8:R8"/>
    <mergeCell ref="P69:T69"/>
    <mergeCell ref="P311:T311"/>
    <mergeCell ref="P438:T438"/>
    <mergeCell ref="D444:E444"/>
    <mergeCell ref="P267:T267"/>
    <mergeCell ref="D219:E219"/>
    <mergeCell ref="D104:E104"/>
    <mergeCell ref="P83:V83"/>
    <mergeCell ref="D340:E340"/>
    <mergeCell ref="T6:U9"/>
    <mergeCell ref="A5:C5"/>
    <mergeCell ref="P406:T406"/>
    <mergeCell ref="Q10:R10"/>
    <mergeCell ref="A442:Z442"/>
    <mergeCell ref="D185:E185"/>
    <mergeCell ref="A486:O487"/>
    <mergeCell ref="P356:T356"/>
    <mergeCell ref="D277:E277"/>
    <mergeCell ref="P25:V25"/>
    <mergeCell ref="AA535:AA536"/>
    <mergeCell ref="P383:V383"/>
    <mergeCell ref="A137:Z137"/>
    <mergeCell ref="E535:E536"/>
    <mergeCell ref="P84:V84"/>
    <mergeCell ref="D43:E43"/>
    <mergeCell ref="D485:E485"/>
    <mergeCell ref="P314:V314"/>
    <mergeCell ref="A443:Z443"/>
    <mergeCell ref="P387:T387"/>
    <mergeCell ref="P216:T216"/>
    <mergeCell ref="P514:T514"/>
    <mergeCell ref="D422:E422"/>
    <mergeCell ref="P489:T489"/>
    <mergeCell ref="P87:T87"/>
    <mergeCell ref="D372:E372"/>
    <mergeCell ref="P528:V528"/>
    <mergeCell ref="Z535:Z536"/>
    <mergeCell ref="D463:E463"/>
    <mergeCell ref="A261:Z261"/>
    <mergeCell ref="P507:V507"/>
    <mergeCell ref="A506:O507"/>
    <mergeCell ref="P227:V227"/>
    <mergeCell ref="D36:E36"/>
    <mergeCell ref="P525:V525"/>
    <mergeCell ref="P380:T380"/>
    <mergeCell ref="A498:Z498"/>
    <mergeCell ref="A354:Z354"/>
    <mergeCell ref="D490:E490"/>
    <mergeCell ref="D346:E346"/>
    <mergeCell ref="D477:E477"/>
    <mergeCell ref="P446:T446"/>
    <mergeCell ref="P520:V520"/>
    <mergeCell ref="P393:T393"/>
    <mergeCell ref="D374:E374"/>
    <mergeCell ref="A338:Z338"/>
    <mergeCell ref="D438:E438"/>
    <mergeCell ref="D509:E509"/>
    <mergeCell ref="D359:E359"/>
    <mergeCell ref="P531:V531"/>
    <mergeCell ref="P217:T217"/>
    <mergeCell ref="A13:M13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P232:T232"/>
    <mergeCell ref="D267:E267"/>
    <mergeCell ref="P96:T96"/>
    <mergeCell ref="H17:H18"/>
    <mergeCell ref="P90:T90"/>
    <mergeCell ref="D204:E204"/>
    <mergeCell ref="J9:M9"/>
    <mergeCell ref="D283:E283"/>
    <mergeCell ref="D112:E112"/>
    <mergeCell ref="D519:E519"/>
    <mergeCell ref="P389:V389"/>
    <mergeCell ref="A388:O389"/>
    <mergeCell ref="D348:E348"/>
    <mergeCell ref="D62:E62"/>
    <mergeCell ref="D491:E491"/>
    <mergeCell ref="P448:T448"/>
    <mergeCell ref="D347:E347"/>
    <mergeCell ref="P304:T304"/>
    <mergeCell ref="A298:O299"/>
    <mergeCell ref="D285:E285"/>
    <mergeCell ref="D114:E114"/>
    <mergeCell ref="D412:E412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D489:E489"/>
    <mergeCell ref="P275:V275"/>
    <mergeCell ref="D427:E427"/>
    <mergeCell ref="P27:T27"/>
    <mergeCell ref="P325:T325"/>
    <mergeCell ref="A222:O223"/>
    <mergeCell ref="A78:O79"/>
    <mergeCell ref="A520:O521"/>
    <mergeCell ref="D181:E181"/>
    <mergeCell ref="D273:E273"/>
    <mergeCell ref="P327:T327"/>
    <mergeCell ref="P56:V56"/>
    <mergeCell ref="P99:V99"/>
    <mergeCell ref="A508:Z508"/>
    <mergeCell ref="P509:T509"/>
    <mergeCell ref="P510:T510"/>
    <mergeCell ref="A504:Z504"/>
    <mergeCell ref="D483:E483"/>
    <mergeCell ref="P74:V74"/>
    <mergeCell ref="P447:T447"/>
    <mergeCell ref="P174:T174"/>
    <mergeCell ref="A335:O336"/>
    <mergeCell ref="P512:V512"/>
    <mergeCell ref="P138:T138"/>
    <mergeCell ref="AA17:AA18"/>
    <mergeCell ref="H10:M10"/>
    <mergeCell ref="A377:Z377"/>
    <mergeCell ref="AC17:AC18"/>
    <mergeCell ref="P485:T485"/>
    <mergeCell ref="P212:T212"/>
    <mergeCell ref="P108:T108"/>
    <mergeCell ref="D418:E418"/>
    <mergeCell ref="P472:T472"/>
    <mergeCell ref="D393:E393"/>
    <mergeCell ref="A224:Z224"/>
    <mergeCell ref="D89:E89"/>
    <mergeCell ref="P254:T254"/>
    <mergeCell ref="P251:T251"/>
    <mergeCell ref="A435:Z435"/>
    <mergeCell ref="P45:T45"/>
    <mergeCell ref="A460:O461"/>
    <mergeCell ref="P430:V430"/>
    <mergeCell ref="P318:T318"/>
    <mergeCell ref="P465:T465"/>
    <mergeCell ref="D386:E386"/>
    <mergeCell ref="D215:E215"/>
    <mergeCell ref="A75:Z75"/>
    <mergeCell ref="A317:Z317"/>
    <mergeCell ref="V6:W9"/>
    <mergeCell ref="P256:T256"/>
    <mergeCell ref="D128:E128"/>
    <mergeCell ref="D199:E199"/>
    <mergeCell ref="P234:V234"/>
    <mergeCell ref="D186:E186"/>
    <mergeCell ref="D413:E413"/>
    <mergeCell ref="D217:E217"/>
    <mergeCell ref="D484:E484"/>
    <mergeCell ref="P116:T116"/>
    <mergeCell ref="D65:E65"/>
    <mergeCell ref="P22:T22"/>
    <mergeCell ref="P320:T320"/>
    <mergeCell ref="D428:E428"/>
    <mergeCell ref="P92:V92"/>
    <mergeCell ref="Q13:R13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V534:W534"/>
    <mergeCell ref="A455:O456"/>
    <mergeCell ref="X534:Y534"/>
    <mergeCell ref="P257:T257"/>
    <mergeCell ref="P521:V521"/>
    <mergeCell ref="A517:Z517"/>
    <mergeCell ref="Z17:Z18"/>
    <mergeCell ref="AB17:AB18"/>
    <mergeCell ref="A41:Z41"/>
    <mergeCell ref="D446:E446"/>
    <mergeCell ref="P237:V237"/>
    <mergeCell ref="D367:E367"/>
    <mergeCell ref="A527:O532"/>
    <mergeCell ref="A33:O34"/>
    <mergeCell ref="P47:V47"/>
    <mergeCell ref="D22:E22"/>
    <mergeCell ref="P214:T214"/>
    <mergeCell ref="P463:T463"/>
    <mergeCell ref="P341:T341"/>
    <mergeCell ref="A457:Z457"/>
    <mergeCell ref="D213:E213"/>
    <mergeCell ref="A362:O363"/>
    <mergeCell ref="D449:E449"/>
    <mergeCell ref="A191:O192"/>
    <mergeCell ref="H5:M5"/>
    <mergeCell ref="D212:E212"/>
    <mergeCell ref="P225:T225"/>
    <mergeCell ref="D510:E510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D368:E368"/>
    <mergeCell ref="G17:G18"/>
    <mergeCell ref="P59:T59"/>
    <mergeCell ref="P61:T61"/>
    <mergeCell ref="P346:T346"/>
    <mergeCell ref="A243:O244"/>
    <mergeCell ref="A9:C9"/>
    <mergeCell ref="D373:E373"/>
    <mergeCell ref="P112:T112"/>
    <mergeCell ref="P348:T348"/>
    <mergeCell ref="AB535:AB536"/>
    <mergeCell ref="A515:O516"/>
    <mergeCell ref="P106:T106"/>
    <mergeCell ref="P475:T475"/>
    <mergeCell ref="P226:T226"/>
    <mergeCell ref="A294:O295"/>
    <mergeCell ref="D256:E256"/>
    <mergeCell ref="A321:O322"/>
    <mergeCell ref="P269:T269"/>
    <mergeCell ref="D534:J534"/>
    <mergeCell ref="P333:T333"/>
    <mergeCell ref="A450:O451"/>
    <mergeCell ref="P382:V382"/>
    <mergeCell ref="A207:Z207"/>
    <mergeCell ref="A296:Z296"/>
    <mergeCell ref="D288:E288"/>
    <mergeCell ref="D459:E459"/>
    <mergeCell ref="P190:T190"/>
    <mergeCell ref="A176:O177"/>
    <mergeCell ref="D225:E225"/>
    <mergeCell ref="P359:T359"/>
    <mergeCell ref="D436:E436"/>
    <mergeCell ref="P490:T490"/>
    <mergeCell ref="A305:O306"/>
    <mergeCell ref="U535:U536"/>
    <mergeCell ref="D231:E231"/>
    <mergeCell ref="D358:E358"/>
    <mergeCell ref="A156:Z156"/>
    <mergeCell ref="A155:Z155"/>
    <mergeCell ref="D535:D536"/>
    <mergeCell ref="A93:Z93"/>
    <mergeCell ref="D318:E318"/>
    <mergeCell ref="F535:F536"/>
    <mergeCell ref="A391:Z391"/>
    <mergeCell ref="P139:T139"/>
    <mergeCell ref="A125:O126"/>
    <mergeCell ref="P247:T247"/>
    <mergeCell ref="P114:T114"/>
    <mergeCell ref="P241:T241"/>
    <mergeCell ref="P483:T483"/>
    <mergeCell ref="D320:E320"/>
    <mergeCell ref="D149:E149"/>
    <mergeCell ref="D447:E447"/>
    <mergeCell ref="D385:E385"/>
    <mergeCell ref="P301:T301"/>
    <mergeCell ref="P105:T105"/>
    <mergeCell ref="D257:E257"/>
    <mergeCell ref="P270:T270"/>
    <mergeCell ref="P2:W3"/>
    <mergeCell ref="P133:T133"/>
    <mergeCell ref="A323:Z323"/>
    <mergeCell ref="D437:E437"/>
    <mergeCell ref="D241:E241"/>
    <mergeCell ref="P198:T198"/>
    <mergeCell ref="P347:T347"/>
    <mergeCell ref="P54:T54"/>
    <mergeCell ref="P418:T418"/>
    <mergeCell ref="P412:T412"/>
    <mergeCell ref="A342:O343"/>
    <mergeCell ref="D404:E404"/>
    <mergeCell ref="D333:E333"/>
    <mergeCell ref="D10:E10"/>
    <mergeCell ref="P64:T64"/>
    <mergeCell ref="F10:G10"/>
    <mergeCell ref="P349:T349"/>
    <mergeCell ref="D270:E270"/>
    <mergeCell ref="P78:V78"/>
    <mergeCell ref="P376:V376"/>
    <mergeCell ref="P205:V205"/>
    <mergeCell ref="P128:T128"/>
    <mergeCell ref="P363:V363"/>
    <mergeCell ref="D310:E310"/>
    <mergeCell ref="AD17:AF18"/>
    <mergeCell ref="A132:Z132"/>
    <mergeCell ref="A399:Z399"/>
    <mergeCell ref="D76:E76"/>
    <mergeCell ref="F5:G5"/>
    <mergeCell ref="P55:V55"/>
    <mergeCell ref="A488:Z488"/>
    <mergeCell ref="A352:O353"/>
    <mergeCell ref="P467:V467"/>
    <mergeCell ref="P119:V119"/>
    <mergeCell ref="D175:E175"/>
    <mergeCell ref="P186:T186"/>
    <mergeCell ref="N17:N18"/>
    <mergeCell ref="Q5:R5"/>
    <mergeCell ref="F17:F18"/>
    <mergeCell ref="A408:O409"/>
    <mergeCell ref="P65:T65"/>
    <mergeCell ref="A24:O25"/>
    <mergeCell ref="P70:T70"/>
    <mergeCell ref="P305:V305"/>
    <mergeCell ref="P263:T263"/>
    <mergeCell ref="A429:O430"/>
    <mergeCell ref="D171:E171"/>
    <mergeCell ref="P355:T355"/>
    <mergeCell ref="V11:W11"/>
    <mergeCell ref="P367:T367"/>
    <mergeCell ref="D475:E475"/>
    <mergeCell ref="A205:O206"/>
    <mergeCell ref="D152:E152"/>
    <mergeCell ref="D394:E394"/>
    <mergeCell ref="G535:G536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252:E252"/>
    <mergeCell ref="P123:T123"/>
    <mergeCell ref="M17:M18"/>
    <mergeCell ref="A469:Z469"/>
    <mergeCell ref="O17:O18"/>
    <mergeCell ref="P187:V187"/>
    <mergeCell ref="P429:V429"/>
    <mergeCell ref="P423:V423"/>
    <mergeCell ref="P223:V223"/>
    <mergeCell ref="D478:E478"/>
    <mergeCell ref="D278:E278"/>
    <mergeCell ref="D107:E107"/>
    <mergeCell ref="P484:T484"/>
    <mergeCell ref="D405:E405"/>
    <mergeCell ref="P288:T288"/>
    <mergeCell ref="V535:V536"/>
    <mergeCell ref="X535:X536"/>
    <mergeCell ref="D392:E392"/>
    <mergeCell ref="P253:T253"/>
    <mergeCell ref="P535:P536"/>
    <mergeCell ref="D221:E221"/>
    <mergeCell ref="A235:Z235"/>
    <mergeCell ref="P481:V481"/>
    <mergeCell ref="P417:T417"/>
    <mergeCell ref="P456:V456"/>
    <mergeCell ref="P196:T196"/>
    <mergeCell ref="P414:V414"/>
    <mergeCell ref="D226:E226"/>
    <mergeCell ref="P352:V352"/>
    <mergeCell ref="P293:T293"/>
    <mergeCell ref="D407:E407"/>
    <mergeCell ref="A279:O280"/>
    <mergeCell ref="P149:T149"/>
    <mergeCell ref="Q6:R6"/>
    <mergeCell ref="P134:T134"/>
    <mergeCell ref="P436:T436"/>
    <mergeCell ref="A425:Z425"/>
    <mergeCell ref="A118:O119"/>
    <mergeCell ref="D102:E102"/>
    <mergeCell ref="P450:V450"/>
    <mergeCell ref="D196:E196"/>
    <mergeCell ref="A55:O56"/>
    <mergeCell ref="P419:V419"/>
    <mergeCell ref="P145:V145"/>
    <mergeCell ref="D133:E133"/>
    <mergeCell ref="A35:Z35"/>
    <mergeCell ref="D54:E54"/>
    <mergeCell ref="P160:V160"/>
    <mergeCell ref="D271:E271"/>
    <mergeCell ref="V12:W12"/>
    <mergeCell ref="P319:T319"/>
    <mergeCell ref="A200:O201"/>
    <mergeCell ref="D262:E262"/>
    <mergeCell ref="P368:T368"/>
    <mergeCell ref="A245:Z245"/>
    <mergeCell ref="A39:Z39"/>
    <mergeCell ref="A337:Z337"/>
    <mergeCell ref="A8:C8"/>
    <mergeCell ref="A73:O74"/>
    <mergeCell ref="M535:M536"/>
    <mergeCell ref="P385:T385"/>
    <mergeCell ref="Y17:Y18"/>
    <mergeCell ref="O535:O536"/>
    <mergeCell ref="P124:T124"/>
    <mergeCell ref="D355:E355"/>
    <mergeCell ref="A502:O503"/>
    <mergeCell ref="D293:E293"/>
    <mergeCell ref="P163:V163"/>
    <mergeCell ref="P360:T360"/>
    <mergeCell ref="D32:E32"/>
    <mergeCell ref="D268:E268"/>
    <mergeCell ref="P151:T151"/>
    <mergeCell ref="D97:E97"/>
    <mergeCell ref="P449:T449"/>
    <mergeCell ref="P496:V496"/>
    <mergeCell ref="A426:Z426"/>
    <mergeCell ref="A10:C10"/>
    <mergeCell ref="A364:Z364"/>
    <mergeCell ref="P218:T218"/>
    <mergeCell ref="P140:V140"/>
    <mergeCell ref="P529:V529"/>
    <mergeCell ref="P505:T505"/>
    <mergeCell ref="A57:Z57"/>
    <mergeCell ref="A499:Z499"/>
    <mergeCell ref="D121:E121"/>
    <mergeCell ref="A194:Z194"/>
    <mergeCell ref="P527:V527"/>
    <mergeCell ref="D42:E42"/>
    <mergeCell ref="D173:E173"/>
    <mergeCell ref="U17:V17"/>
    <mergeCell ref="P66:V66"/>
    <mergeCell ref="D218:E218"/>
    <mergeCell ref="D247:E247"/>
    <mergeCell ref="A127:Z127"/>
    <mergeCell ref="P262:T262"/>
    <mergeCell ref="D105:E105"/>
    <mergeCell ref="P353:V353"/>
    <mergeCell ref="A178:Z178"/>
    <mergeCell ref="A83:O84"/>
    <mergeCell ref="A525:O526"/>
    <mergeCell ref="D341:E341"/>
    <mergeCell ref="D170:E170"/>
    <mergeCell ref="P72:T72"/>
    <mergeCell ref="D242:E242"/>
    <mergeCell ref="P199:T199"/>
    <mergeCell ref="D17:E18"/>
    <mergeCell ref="D471:E471"/>
    <mergeCell ref="P71:T71"/>
    <mergeCell ref="A131:Z131"/>
    <mergeCell ref="P313:T313"/>
    <mergeCell ref="X17:X18"/>
    <mergeCell ref="P373:T373"/>
    <mergeCell ref="D123:E123"/>
    <mergeCell ref="P444:T444"/>
    <mergeCell ref="A163:O164"/>
    <mergeCell ref="D44:E44"/>
    <mergeCell ref="P365:T365"/>
    <mergeCell ref="A21:Z21"/>
    <mergeCell ref="P290:V290"/>
    <mergeCell ref="P297:T297"/>
    <mergeCell ref="P82:T82"/>
    <mergeCell ref="P102:T102"/>
    <mergeCell ref="P62:T62"/>
    <mergeCell ref="P60:T60"/>
    <mergeCell ref="D95:E95"/>
    <mergeCell ref="D266:E266"/>
    <mergeCell ref="P340:T340"/>
    <mergeCell ref="P135:V135"/>
    <mergeCell ref="P362:V362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819</v>
      </c>
      <c r="H1" s="7"/>
    </row>
    <row r="3" spans="2:8" x14ac:dyDescent="0.25">
      <c r="B3" s="48" t="s">
        <v>820</v>
      </c>
      <c r="C3" s="48"/>
      <c r="D3" s="48"/>
      <c r="E3" s="48"/>
    </row>
    <row r="4" spans="2:8" x14ac:dyDescent="0.25">
      <c r="B4" s="48" t="s">
        <v>12</v>
      </c>
      <c r="C4" s="48"/>
      <c r="D4" s="48"/>
      <c r="E4" s="48"/>
    </row>
    <row r="6" spans="2:8" x14ac:dyDescent="0.25">
      <c r="B6" s="48" t="s">
        <v>821</v>
      </c>
      <c r="C6" s="48" t="s">
        <v>822</v>
      </c>
      <c r="D6" s="48" t="s">
        <v>823</v>
      </c>
      <c r="E6" s="48"/>
    </row>
    <row r="7" spans="2:8" x14ac:dyDescent="0.25">
      <c r="B7" s="48" t="s">
        <v>824</v>
      </c>
      <c r="C7" s="48" t="s">
        <v>825</v>
      </c>
      <c r="D7" s="48" t="s">
        <v>826</v>
      </c>
      <c r="E7" s="48"/>
    </row>
    <row r="8" spans="2:8" x14ac:dyDescent="0.25">
      <c r="B8" s="48" t="s">
        <v>14</v>
      </c>
      <c r="C8" s="48" t="s">
        <v>827</v>
      </c>
      <c r="D8" s="48" t="s">
        <v>828</v>
      </c>
      <c r="E8" s="48"/>
    </row>
    <row r="10" spans="2:8" x14ac:dyDescent="0.25">
      <c r="B10" s="48" t="s">
        <v>829</v>
      </c>
      <c r="C10" s="48" t="s">
        <v>822</v>
      </c>
      <c r="D10" s="48"/>
      <c r="E10" s="48"/>
    </row>
    <row r="12" spans="2:8" x14ac:dyDescent="0.25">
      <c r="B12" s="48" t="s">
        <v>830</v>
      </c>
      <c r="C12" s="48" t="s">
        <v>825</v>
      </c>
      <c r="D12" s="48"/>
      <c r="E12" s="48"/>
    </row>
    <row r="14" spans="2:8" x14ac:dyDescent="0.25">
      <c r="B14" s="48" t="s">
        <v>831</v>
      </c>
      <c r="C14" s="48" t="s">
        <v>827</v>
      </c>
      <c r="D14" s="48"/>
      <c r="E14" s="48"/>
    </row>
    <row r="16" spans="2:8" x14ac:dyDescent="0.25">
      <c r="B16" s="48" t="s">
        <v>832</v>
      </c>
      <c r="C16" s="48"/>
      <c r="D16" s="48"/>
      <c r="E16" s="48"/>
    </row>
    <row r="17" spans="2:5" x14ac:dyDescent="0.25">
      <c r="B17" s="48" t="s">
        <v>833</v>
      </c>
      <c r="C17" s="48"/>
      <c r="D17" s="48"/>
      <c r="E17" s="48"/>
    </row>
    <row r="18" spans="2:5" x14ac:dyDescent="0.25">
      <c r="B18" s="48" t="s">
        <v>834</v>
      </c>
      <c r="C18" s="48"/>
      <c r="D18" s="48"/>
      <c r="E18" s="48"/>
    </row>
    <row r="19" spans="2:5" x14ac:dyDescent="0.25">
      <c r="B19" s="48" t="s">
        <v>835</v>
      </c>
      <c r="C19" s="48"/>
      <c r="D19" s="48"/>
      <c r="E19" s="48"/>
    </row>
    <row r="20" spans="2:5" x14ac:dyDescent="0.25">
      <c r="B20" s="48" t="s">
        <v>836</v>
      </c>
      <c r="C20" s="48"/>
      <c r="D20" s="48"/>
      <c r="E20" s="48"/>
    </row>
    <row r="21" spans="2:5" x14ac:dyDescent="0.25">
      <c r="B21" s="48" t="s">
        <v>837</v>
      </c>
      <c r="C21" s="48"/>
      <c r="D21" s="48"/>
      <c r="E21" s="48"/>
    </row>
    <row r="22" spans="2:5" x14ac:dyDescent="0.25">
      <c r="B22" s="48" t="s">
        <v>838</v>
      </c>
      <c r="C22" s="48"/>
      <c r="D22" s="48"/>
      <c r="E22" s="48"/>
    </row>
    <row r="23" spans="2:5" x14ac:dyDescent="0.25">
      <c r="B23" s="48" t="s">
        <v>839</v>
      </c>
      <c r="C23" s="48"/>
      <c r="D23" s="48"/>
      <c r="E23" s="48"/>
    </row>
    <row r="24" spans="2:5" x14ac:dyDescent="0.25">
      <c r="B24" s="48" t="s">
        <v>840</v>
      </c>
      <c r="C24" s="48"/>
      <c r="D24" s="48"/>
      <c r="E24" s="48"/>
    </row>
    <row r="25" spans="2:5" x14ac:dyDescent="0.25">
      <c r="B25" s="48" t="s">
        <v>841</v>
      </c>
      <c r="C25" s="48"/>
      <c r="D25" s="48"/>
      <c r="E25" s="48"/>
    </row>
    <row r="26" spans="2:5" x14ac:dyDescent="0.25">
      <c r="B26" s="48" t="s">
        <v>842</v>
      </c>
      <c r="C26" s="48"/>
      <c r="D26" s="48"/>
      <c r="E26" s="48"/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2026-06-25T10:50:19Z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