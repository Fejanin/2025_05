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5CD4DA-69A5-4EE4-90AE-8ADE2E14EA6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O277" i="1"/>
  <c r="BM277" i="1"/>
  <c r="Z277" i="1"/>
  <c r="Y277" i="1"/>
  <c r="BP277" i="1" s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P271" i="1"/>
  <c r="BO271" i="1"/>
  <c r="BM271" i="1"/>
  <c r="Z271" i="1"/>
  <c r="Y271" i="1"/>
  <c r="BN271" i="1" s="1"/>
  <c r="P271" i="1"/>
  <c r="X269" i="1"/>
  <c r="X268" i="1"/>
  <c r="BO267" i="1"/>
  <c r="BM267" i="1"/>
  <c r="Z267" i="1"/>
  <c r="Y267" i="1"/>
  <c r="BN267" i="1" s="1"/>
  <c r="P267" i="1"/>
  <c r="BO266" i="1"/>
  <c r="BM266" i="1"/>
  <c r="Z266" i="1"/>
  <c r="Y266" i="1"/>
  <c r="P266" i="1"/>
  <c r="BO265" i="1"/>
  <c r="BM265" i="1"/>
  <c r="Z265" i="1"/>
  <c r="Y265" i="1"/>
  <c r="P265" i="1"/>
  <c r="X263" i="1"/>
  <c r="X262" i="1"/>
  <c r="BP261" i="1"/>
  <c r="BO261" i="1"/>
  <c r="BM261" i="1"/>
  <c r="Z261" i="1"/>
  <c r="Z262" i="1" s="1"/>
  <c r="Y261" i="1"/>
  <c r="Y263" i="1" s="1"/>
  <c r="P261" i="1"/>
  <c r="X259" i="1"/>
  <c r="X258" i="1"/>
  <c r="BP257" i="1"/>
  <c r="BO257" i="1"/>
  <c r="BM257" i="1"/>
  <c r="Z257" i="1"/>
  <c r="Y257" i="1"/>
  <c r="BN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Y252" i="1" s="1"/>
  <c r="P250" i="1"/>
  <c r="Y246" i="1"/>
  <c r="X246" i="1"/>
  <c r="X245" i="1"/>
  <c r="BO244" i="1"/>
  <c r="BM244" i="1"/>
  <c r="Z244" i="1"/>
  <c r="Z245" i="1" s="1"/>
  <c r="Y244" i="1"/>
  <c r="P244" i="1"/>
  <c r="X242" i="1"/>
  <c r="X241" i="1"/>
  <c r="BO240" i="1"/>
  <c r="BM240" i="1"/>
  <c r="Z240" i="1"/>
  <c r="Z241" i="1" s="1"/>
  <c r="Y240" i="1"/>
  <c r="Y242" i="1" s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9" i="1"/>
  <c r="X218" i="1"/>
  <c r="BO217" i="1"/>
  <c r="BM217" i="1"/>
  <c r="Z217" i="1"/>
  <c r="Z218" i="1" s="1"/>
  <c r="Y217" i="1"/>
  <c r="Y219" i="1" s="1"/>
  <c r="P217" i="1"/>
  <c r="X214" i="1"/>
  <c r="X213" i="1"/>
  <c r="BO212" i="1"/>
  <c r="BM212" i="1"/>
  <c r="Z212" i="1"/>
  <c r="Y212" i="1"/>
  <c r="P212" i="1"/>
  <c r="BO211" i="1"/>
  <c r="BM211" i="1"/>
  <c r="Z211" i="1"/>
  <c r="Z213" i="1" s="1"/>
  <c r="Y211" i="1"/>
  <c r="Y214" i="1" s="1"/>
  <c r="P211" i="1"/>
  <c r="X208" i="1"/>
  <c r="X207" i="1"/>
  <c r="BO206" i="1"/>
  <c r="BM206" i="1"/>
  <c r="Z206" i="1"/>
  <c r="Y206" i="1"/>
  <c r="BN206" i="1" s="1"/>
  <c r="P206" i="1"/>
  <c r="BO205" i="1"/>
  <c r="BM205" i="1"/>
  <c r="Z205" i="1"/>
  <c r="Y205" i="1"/>
  <c r="P205" i="1"/>
  <c r="BO204" i="1"/>
  <c r="BM204" i="1"/>
  <c r="Z204" i="1"/>
  <c r="Y204" i="1"/>
  <c r="P204" i="1"/>
  <c r="X202" i="1"/>
  <c r="X201" i="1"/>
  <c r="BO200" i="1"/>
  <c r="BM200" i="1"/>
  <c r="Z200" i="1"/>
  <c r="Z201" i="1" s="1"/>
  <c r="Y200" i="1"/>
  <c r="Y202" i="1" s="1"/>
  <c r="P200" i="1"/>
  <c r="X196" i="1"/>
  <c r="X195" i="1"/>
  <c r="BP194" i="1"/>
  <c r="BO194" i="1"/>
  <c r="BM194" i="1"/>
  <c r="Z194" i="1"/>
  <c r="Y194" i="1"/>
  <c r="BN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Y187" i="1" s="1"/>
  <c r="P185" i="1"/>
  <c r="BO184" i="1"/>
  <c r="BM184" i="1"/>
  <c r="Z184" i="1"/>
  <c r="Z186" i="1" s="1"/>
  <c r="Y184" i="1"/>
  <c r="BN184" i="1" s="1"/>
  <c r="P184" i="1"/>
  <c r="X182" i="1"/>
  <c r="X181" i="1"/>
  <c r="BP180" i="1"/>
  <c r="BO180" i="1"/>
  <c r="BM180" i="1"/>
  <c r="Z180" i="1"/>
  <c r="Y180" i="1"/>
  <c r="BN180" i="1" s="1"/>
  <c r="P180" i="1"/>
  <c r="BO179" i="1"/>
  <c r="BM179" i="1"/>
  <c r="Z179" i="1"/>
  <c r="Y179" i="1"/>
  <c r="P179" i="1"/>
  <c r="Y175" i="1"/>
  <c r="X175" i="1"/>
  <c r="X174" i="1"/>
  <c r="BO173" i="1"/>
  <c r="BM173" i="1"/>
  <c r="Z173" i="1"/>
  <c r="Z174" i="1" s="1"/>
  <c r="Y173" i="1"/>
  <c r="P173" i="1"/>
  <c r="X170" i="1"/>
  <c r="X169" i="1"/>
  <c r="BO168" i="1"/>
  <c r="BM168" i="1"/>
  <c r="Z168" i="1"/>
  <c r="Z169" i="1" s="1"/>
  <c r="Y168" i="1"/>
  <c r="Y170" i="1" s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Y158" i="1"/>
  <c r="P158" i="1"/>
  <c r="BO157" i="1"/>
  <c r="BM157" i="1"/>
  <c r="Z157" i="1"/>
  <c r="Y157" i="1"/>
  <c r="BP157" i="1" s="1"/>
  <c r="P157" i="1"/>
  <c r="X154" i="1"/>
  <c r="X153" i="1"/>
  <c r="BO152" i="1"/>
  <c r="BM152" i="1"/>
  <c r="Z152" i="1"/>
  <c r="Y152" i="1"/>
  <c r="BP152" i="1" s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BO138" i="1"/>
  <c r="BM138" i="1"/>
  <c r="Z138" i="1"/>
  <c r="Y138" i="1"/>
  <c r="BP138" i="1" s="1"/>
  <c r="P138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BO132" i="1"/>
  <c r="BM132" i="1"/>
  <c r="Z132" i="1"/>
  <c r="Y132" i="1"/>
  <c r="BP132" i="1" s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P113" i="1"/>
  <c r="BO113" i="1"/>
  <c r="BM113" i="1"/>
  <c r="Z113" i="1"/>
  <c r="Y113" i="1"/>
  <c r="BN113" i="1" s="1"/>
  <c r="P113" i="1"/>
  <c r="X110" i="1"/>
  <c r="X109" i="1"/>
  <c r="BP108" i="1"/>
  <c r="BO108" i="1"/>
  <c r="BM108" i="1"/>
  <c r="Z108" i="1"/>
  <c r="Y108" i="1"/>
  <c r="BN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N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P99" i="1"/>
  <c r="BO99" i="1"/>
  <c r="BM99" i="1"/>
  <c r="Z99" i="1"/>
  <c r="Y99" i="1"/>
  <c r="BN99" i="1" s="1"/>
  <c r="P99" i="1"/>
  <c r="BO98" i="1"/>
  <c r="BM98" i="1"/>
  <c r="Z98" i="1"/>
  <c r="Y98" i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Y83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P73" i="1"/>
  <c r="X71" i="1"/>
  <c r="X70" i="1"/>
  <c r="BO69" i="1"/>
  <c r="BM69" i="1"/>
  <c r="Z69" i="1"/>
  <c r="Y69" i="1"/>
  <c r="BN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Y56" i="1" s="1"/>
  <c r="P52" i="1"/>
  <c r="X49" i="1"/>
  <c r="X48" i="1"/>
  <c r="BP47" i="1"/>
  <c r="BO47" i="1"/>
  <c r="BM47" i="1"/>
  <c r="Z47" i="1"/>
  <c r="Y47" i="1"/>
  <c r="BN47" i="1" s="1"/>
  <c r="P47" i="1"/>
  <c r="BO46" i="1"/>
  <c r="BM46" i="1"/>
  <c r="Z46" i="1"/>
  <c r="Y46" i="1"/>
  <c r="P46" i="1"/>
  <c r="BO45" i="1"/>
  <c r="BM45" i="1"/>
  <c r="Z45" i="1"/>
  <c r="Z48" i="1" s="1"/>
  <c r="Y45" i="1"/>
  <c r="BP45" i="1" s="1"/>
  <c r="P45" i="1"/>
  <c r="X42" i="1"/>
  <c r="X41" i="1"/>
  <c r="BP40" i="1"/>
  <c r="BO40" i="1"/>
  <c r="BM40" i="1"/>
  <c r="Z40" i="1"/>
  <c r="Y40" i="1"/>
  <c r="BN40" i="1" s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P25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X284" i="1" l="1"/>
  <c r="BP206" i="1"/>
  <c r="BN45" i="1"/>
  <c r="BN140" i="1"/>
  <c r="BN192" i="1"/>
  <c r="BN97" i="1"/>
  <c r="Y201" i="1"/>
  <c r="Y48" i="1"/>
  <c r="BP69" i="1"/>
  <c r="BN115" i="1"/>
  <c r="BP267" i="1"/>
  <c r="Y208" i="1"/>
  <c r="Y104" i="1"/>
  <c r="Z141" i="1"/>
  <c r="BN152" i="1"/>
  <c r="Z82" i="1"/>
  <c r="BN119" i="1"/>
  <c r="BP211" i="1"/>
  <c r="Y262" i="1"/>
  <c r="Y77" i="1"/>
  <c r="Z93" i="1"/>
  <c r="BN138" i="1"/>
  <c r="BN145" i="1"/>
  <c r="BN80" i="1"/>
  <c r="Z258" i="1"/>
  <c r="Z281" i="1"/>
  <c r="Y269" i="1"/>
  <c r="Z34" i="1"/>
  <c r="BN54" i="1"/>
  <c r="BP73" i="1"/>
  <c r="Y141" i="1"/>
  <c r="Z159" i="1"/>
  <c r="Z70" i="1"/>
  <c r="Y120" i="1"/>
  <c r="BN117" i="1"/>
  <c r="BP123" i="1"/>
  <c r="Y49" i="1"/>
  <c r="BN73" i="1"/>
  <c r="Y93" i="1"/>
  <c r="Y148" i="1"/>
  <c r="BP184" i="1"/>
  <c r="BP200" i="1"/>
  <c r="Z56" i="1"/>
  <c r="BN23" i="1"/>
  <c r="BN52" i="1"/>
  <c r="Y76" i="1"/>
  <c r="BN127" i="1"/>
  <c r="BN157" i="1"/>
  <c r="BN277" i="1"/>
  <c r="BN27" i="1"/>
  <c r="Y41" i="1"/>
  <c r="BP52" i="1"/>
  <c r="Y121" i="1"/>
  <c r="BP127" i="1"/>
  <c r="BN134" i="1"/>
  <c r="Z207" i="1"/>
  <c r="Y213" i="1"/>
  <c r="Z268" i="1"/>
  <c r="Y281" i="1"/>
  <c r="Z120" i="1"/>
  <c r="Y57" i="1"/>
  <c r="BN92" i="1"/>
  <c r="Y128" i="1"/>
  <c r="Y160" i="1"/>
  <c r="BN204" i="1"/>
  <c r="BN265" i="1"/>
  <c r="Y282" i="1"/>
  <c r="BN211" i="1"/>
  <c r="Z195" i="1"/>
  <c r="BP204" i="1"/>
  <c r="BP265" i="1"/>
  <c r="X283" i="1"/>
  <c r="Y136" i="1"/>
  <c r="Y34" i="1"/>
  <c r="BN75" i="1"/>
  <c r="Y109" i="1"/>
  <c r="Z135" i="1"/>
  <c r="Y142" i="1"/>
  <c r="Y28" i="1"/>
  <c r="Y103" i="1"/>
  <c r="BN123" i="1"/>
  <c r="BN132" i="1"/>
  <c r="Z147" i="1"/>
  <c r="Z28" i="1"/>
  <c r="Z103" i="1"/>
  <c r="X285" i="1"/>
  <c r="X286" i="1" s="1"/>
  <c r="Z76" i="1"/>
  <c r="Y82" i="1"/>
  <c r="Y124" i="1"/>
  <c r="Y135" i="1"/>
  <c r="BP145" i="1"/>
  <c r="BN200" i="1"/>
  <c r="BN261" i="1"/>
  <c r="F9" i="1"/>
  <c r="J9" i="1"/>
  <c r="F10" i="1"/>
  <c r="BN22" i="1"/>
  <c r="BP22" i="1"/>
  <c r="BN24" i="1"/>
  <c r="BN26" i="1"/>
  <c r="X287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7" i="1"/>
  <c r="BP107" i="1"/>
  <c r="Y110" i="1"/>
  <c r="BN114" i="1"/>
  <c r="BP114" i="1"/>
  <c r="BN116" i="1"/>
  <c r="BN118" i="1"/>
  <c r="BN133" i="1"/>
  <c r="BP133" i="1"/>
  <c r="BN139" i="1"/>
  <c r="BP139" i="1"/>
  <c r="BN146" i="1"/>
  <c r="BP146" i="1"/>
  <c r="Z153" i="1"/>
  <c r="BN151" i="1"/>
  <c r="BP151" i="1"/>
  <c r="Y159" i="1"/>
  <c r="Y164" i="1"/>
  <c r="BP163" i="1"/>
  <c r="BN163" i="1"/>
  <c r="Y174" i="1"/>
  <c r="BP173" i="1"/>
  <c r="BN173" i="1"/>
  <c r="Z181" i="1"/>
  <c r="Y186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Y287" i="1" l="1"/>
  <c r="Z288" i="1"/>
  <c r="Y284" i="1"/>
  <c r="Y283" i="1"/>
  <c r="Y285" i="1"/>
  <c r="Y286" i="1" l="1"/>
  <c r="A296" i="1" s="1"/>
  <c r="B296" i="1" l="1"/>
  <c r="C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<sst xmlns="http://schemas.openxmlformats.org/spreadsheetml/2006/main" count="1292" uniqueCount="417">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</sst>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44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2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2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topLeftCell="A4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423" t="s">
        <v>0</v>
      </c>
      <c r="E1" s="302"/>
      <c r="F1" s="302"/>
      <c r="G1" s="12" t="s">
        <v>1</v>
      </c>
      <c r="H1" s="423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458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410" t="s">
        <v>7</v>
      </c>
      <c r="B5" s="300"/>
      <c r="C5" s="301"/>
      <c r="D5" s="349"/>
      <c r="E5" s="351"/>
      <c r="F5" s="333" t="s">
        <v>8</v>
      </c>
      <c r="G5" s="301"/>
      <c r="H5" s="349" t="s">
        <v>416</v>
      </c>
      <c r="I5" s="350"/>
      <c r="J5" s="350"/>
      <c r="K5" s="350"/>
      <c r="L5" s="350"/>
      <c r="M5" s="351"/>
      <c r="N5" s="61"/>
      <c r="P5" s="24" t="s">
        <v>9</v>
      </c>
      <c r="Q5" s="339">
        <v>46202</v>
      </c>
      <c r="R5" s="340"/>
      <c r="T5" s="389" t="s">
        <v>10</v>
      </c>
      <c r="U5" s="294"/>
      <c r="V5" s="390" t="s">
        <v>11</v>
      </c>
      <c r="W5" s="340"/>
      <c r="AB5" s="51"/>
      <c r="AC5" s="51"/>
      <c r="AD5" s="51"/>
      <c r="AE5" s="51"/>
    </row>
    <row r="6" spans="1:32" s="270" customFormat="1" ht="24" customHeight="1" x14ac:dyDescent="0.2">
      <c r="A6" s="410" t="s">
        <v>12</v>
      </c>
      <c r="B6" s="300"/>
      <c r="C6" s="301"/>
      <c r="D6" s="356" t="s">
        <v>394</v>
      </c>
      <c r="E6" s="357"/>
      <c r="F6" s="357"/>
      <c r="G6" s="357"/>
      <c r="H6" s="357"/>
      <c r="I6" s="357"/>
      <c r="J6" s="357"/>
      <c r="K6" s="357"/>
      <c r="L6" s="357"/>
      <c r="M6" s="340"/>
      <c r="N6" s="62"/>
      <c r="P6" s="24" t="s">
        <v>14</v>
      </c>
      <c r="Q6" s="316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396" t="s">
        <v>15</v>
      </c>
      <c r="U6" s="294"/>
      <c r="V6" s="362" t="s">
        <v>16</v>
      </c>
      <c r="W6" s="363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436" t="str">
        <f>IFERROR(VLOOKUP(DeliveryAddress,Table,3,0),1)</f>
        <v>4</v>
      </c>
      <c r="E7" s="437"/>
      <c r="F7" s="437"/>
      <c r="G7" s="437"/>
      <c r="H7" s="437"/>
      <c r="I7" s="437"/>
      <c r="J7" s="437"/>
      <c r="K7" s="437"/>
      <c r="L7" s="437"/>
      <c r="M7" s="393"/>
      <c r="N7" s="63"/>
      <c r="P7" s="24"/>
      <c r="Q7" s="42"/>
      <c r="R7" s="42"/>
      <c r="T7" s="283"/>
      <c r="U7" s="294"/>
      <c r="V7" s="364"/>
      <c r="W7" s="365"/>
      <c r="AB7" s="51"/>
      <c r="AC7" s="51"/>
      <c r="AD7" s="51"/>
      <c r="AE7" s="51"/>
    </row>
    <row r="8" spans="1:32" s="270" customFormat="1" ht="25.5" customHeight="1" x14ac:dyDescent="0.2">
      <c r="A8" s="321" t="s">
        <v>17</v>
      </c>
      <c r="B8" s="297"/>
      <c r="C8" s="298"/>
      <c r="D8" s="443"/>
      <c r="E8" s="444"/>
      <c r="F8" s="444"/>
      <c r="G8" s="444"/>
      <c r="H8" s="444"/>
      <c r="I8" s="444"/>
      <c r="J8" s="444"/>
      <c r="K8" s="444"/>
      <c r="L8" s="444"/>
      <c r="M8" s="445"/>
      <c r="N8" s="64"/>
      <c r="P8" s="24" t="s">
        <v>18</v>
      </c>
      <c r="Q8" s="392">
        <v>0.41666666666666669</v>
      </c>
      <c r="R8" s="393"/>
      <c r="T8" s="283"/>
      <c r="U8" s="294"/>
      <c r="V8" s="364"/>
      <c r="W8" s="365"/>
      <c r="AB8" s="51"/>
      <c r="AC8" s="51"/>
      <c r="AD8" s="51"/>
      <c r="AE8" s="51"/>
    </row>
    <row r="9" spans="1:32" s="270" customFormat="1" ht="39.950000000000003" customHeight="1" x14ac:dyDescent="0.2">
      <c r="A9" s="2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45"/>
      <c r="E9" s="346"/>
      <c r="F9" s="2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384" t="str">
        <f>IF(AND($A$9="Тип доверенности/получателя при получении в адресе перегруза:",$D$9="Разовая доверенность"),"Введите ФИО","")</f>
        <v/>
      </c>
      <c r="I9" s="346"/>
      <c r="J9" s="3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6"/>
      <c r="L9" s="346"/>
      <c r="M9" s="346"/>
      <c r="N9" s="268"/>
      <c r="P9" s="26" t="s">
        <v>19</v>
      </c>
      <c r="Q9" s="415"/>
      <c r="R9" s="335"/>
      <c r="T9" s="283"/>
      <c r="U9" s="294"/>
      <c r="V9" s="366"/>
      <c r="W9" s="367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2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45"/>
      <c r="E10" s="346"/>
      <c r="F10" s="2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70" t="str">
        <f>IFERROR(VLOOKUP($D$10,Proxy,2,FALSE),"")</f>
        <v/>
      </c>
      <c r="I10" s="283"/>
      <c r="J10" s="283"/>
      <c r="K10" s="283"/>
      <c r="L10" s="283"/>
      <c r="M10" s="283"/>
      <c r="N10" s="269"/>
      <c r="P10" s="26" t="s">
        <v>20</v>
      </c>
      <c r="Q10" s="397"/>
      <c r="R10" s="398"/>
      <c r="U10" s="24" t="s">
        <v>21</v>
      </c>
      <c r="V10" s="461" t="s">
        <v>22</v>
      </c>
      <c r="W10" s="363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6"/>
      <c r="R11" s="340"/>
      <c r="U11" s="24" t="s">
        <v>25</v>
      </c>
      <c r="V11" s="334" t="s">
        <v>26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3" t="s">
        <v>27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28</v>
      </c>
      <c r="Q12" s="392"/>
      <c r="R12" s="393"/>
      <c r="S12" s="23"/>
      <c r="U12" s="24"/>
      <c r="V12" s="302"/>
      <c r="W12" s="283"/>
      <c r="AB12" s="51"/>
      <c r="AC12" s="51"/>
      <c r="AD12" s="51"/>
      <c r="AE12" s="51"/>
    </row>
    <row r="13" spans="1:32" s="270" customFormat="1" ht="23.25" customHeight="1" x14ac:dyDescent="0.2">
      <c r="A13" s="373" t="s">
        <v>29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30</v>
      </c>
      <c r="Q13" s="334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3" t="s">
        <v>31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401" t="s">
        <v>32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402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3"/>
      <c r="Q16" s="403"/>
      <c r="R16" s="403"/>
      <c r="S16" s="403"/>
      <c r="T16" s="4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9" t="s">
        <v>34</v>
      </c>
      <c r="B17" s="289" t="s">
        <v>35</v>
      </c>
      <c r="C17" s="411" t="s">
        <v>36</v>
      </c>
      <c r="D17" s="289" t="s">
        <v>37</v>
      </c>
      <c r="E17" s="290"/>
      <c r="F17" s="289" t="s">
        <v>38</v>
      </c>
      <c r="G17" s="289" t="s">
        <v>39</v>
      </c>
      <c r="H17" s="289" t="s">
        <v>40</v>
      </c>
      <c r="I17" s="289" t="s">
        <v>41</v>
      </c>
      <c r="J17" s="289" t="s">
        <v>42</v>
      </c>
      <c r="K17" s="289" t="s">
        <v>43</v>
      </c>
      <c r="L17" s="289" t="s">
        <v>44</v>
      </c>
      <c r="M17" s="289" t="s">
        <v>45</v>
      </c>
      <c r="N17" s="289" t="s">
        <v>46</v>
      </c>
      <c r="O17" s="289" t="s">
        <v>47</v>
      </c>
      <c r="P17" s="289" t="s">
        <v>48</v>
      </c>
      <c r="Q17" s="427"/>
      <c r="R17" s="427"/>
      <c r="S17" s="427"/>
      <c r="T17" s="290"/>
      <c r="U17" s="303" t="s">
        <v>49</v>
      </c>
      <c r="V17" s="301"/>
      <c r="W17" s="289" t="s">
        <v>50</v>
      </c>
      <c r="X17" s="289" t="s">
        <v>51</v>
      </c>
      <c r="Y17" s="304" t="s">
        <v>52</v>
      </c>
      <c r="Z17" s="325" t="s">
        <v>53</v>
      </c>
      <c r="AA17" s="327" t="s">
        <v>54</v>
      </c>
      <c r="AB17" s="327" t="s">
        <v>55</v>
      </c>
      <c r="AC17" s="327" t="s">
        <v>56</v>
      </c>
      <c r="AD17" s="327" t="s">
        <v>57</v>
      </c>
      <c r="AE17" s="328"/>
      <c r="AF17" s="329"/>
      <c r="AG17" s="69"/>
      <c r="BD17" s="68" t="s">
        <v>58</v>
      </c>
    </row>
    <row r="18" spans="1:68" ht="14.25" customHeight="1" x14ac:dyDescent="0.2">
      <c r="A18" s="295"/>
      <c r="B18" s="295"/>
      <c r="C18" s="295"/>
      <c r="D18" s="291"/>
      <c r="E18" s="29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1"/>
      <c r="Q18" s="428"/>
      <c r="R18" s="428"/>
      <c r="S18" s="428"/>
      <c r="T18" s="292"/>
      <c r="U18" s="70" t="s">
        <v>59</v>
      </c>
      <c r="V18" s="70" t="s">
        <v>60</v>
      </c>
      <c r="W18" s="295"/>
      <c r="X18" s="295"/>
      <c r="Y18" s="305"/>
      <c r="Z18" s="326"/>
      <c r="AA18" s="369"/>
      <c r="AB18" s="369"/>
      <c r="AC18" s="369"/>
      <c r="AD18" s="330"/>
      <c r="AE18" s="331"/>
      <c r="AF18" s="332"/>
      <c r="AG18" s="69"/>
      <c r="BD18" s="68"/>
    </row>
    <row r="19" spans="1:68" ht="27.75" hidden="1" customHeight="1" x14ac:dyDescent="0.2">
      <c r="A19" s="319" t="s">
        <v>61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323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1"/>
      <c r="AB20" s="271"/>
      <c r="AC20" s="271"/>
    </row>
    <row r="21" spans="1:68" ht="14.25" hidden="1" customHeight="1" x14ac:dyDescent="0.25">
      <c r="A21" s="285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7">
        <v>4620207491508</v>
      </c>
      <c r="E22" s="288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7"/>
      <c r="R22" s="307"/>
      <c r="S22" s="307"/>
      <c r="T22" s="308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7">
        <v>4620207491256</v>
      </c>
      <c r="E23" s="288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7"/>
      <c r="R23" s="307"/>
      <c r="S23" s="307"/>
      <c r="T23" s="308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87">
        <v>4607111035912</v>
      </c>
      <c r="E24" s="288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7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07"/>
      <c r="R24" s="307"/>
      <c r="S24" s="307"/>
      <c r="T24" s="308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4301071109</v>
      </c>
      <c r="D25" s="287">
        <v>4607111035929</v>
      </c>
      <c r="E25" s="288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2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07"/>
      <c r="R25" s="307"/>
      <c r="S25" s="307"/>
      <c r="T25" s="308"/>
      <c r="U25" s="34"/>
      <c r="V25" s="34"/>
      <c r="W25" s="35" t="s">
        <v>68</v>
      </c>
      <c r="X25" s="276">
        <v>36</v>
      </c>
      <c r="Y25" s="277">
        <f t="shared" si="0"/>
        <v>36</v>
      </c>
      <c r="Z25" s="36">
        <f t="shared" si="1"/>
        <v>0.55800000000000005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87">
        <v>4607111035882</v>
      </c>
      <c r="E26" s="288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07"/>
      <c r="R26" s="307"/>
      <c r="S26" s="307"/>
      <c r="T26" s="308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87">
        <v>4607111035905</v>
      </c>
      <c r="E27" s="288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07"/>
      <c r="R27" s="307"/>
      <c r="S27" s="307"/>
      <c r="T27" s="308"/>
      <c r="U27" s="34"/>
      <c r="V27" s="34"/>
      <c r="W27" s="35" t="s">
        <v>68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x14ac:dyDescent="0.2">
      <c r="A28" s="28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96" t="s">
        <v>82</v>
      </c>
      <c r="Q28" s="297"/>
      <c r="R28" s="297"/>
      <c r="S28" s="297"/>
      <c r="T28" s="297"/>
      <c r="U28" s="297"/>
      <c r="V28" s="298"/>
      <c r="W28" s="37" t="s">
        <v>68</v>
      </c>
      <c r="X28" s="278">
        <f>IFERROR(SUM(X22:X27),"0")</f>
        <v>48</v>
      </c>
      <c r="Y28" s="278">
        <f>IFERROR(SUM(Y22:Y27),"0")</f>
        <v>48</v>
      </c>
      <c r="Z28" s="278">
        <f>IFERROR(IF(Z22="",0,Z22),"0")+IFERROR(IF(Z23="",0,Z23),"0")+IFERROR(IF(Z24="",0,Z24),"0")+IFERROR(IF(Z25="",0,Z25),"0")+IFERROR(IF(Z26="",0,Z26),"0")+IFERROR(IF(Z27="",0,Z27),"0")</f>
        <v>0.74399999999999999</v>
      </c>
      <c r="AA28" s="279"/>
      <c r="AB28" s="279"/>
      <c r="AC28" s="279"/>
    </row>
    <row r="29" spans="1:68" x14ac:dyDescent="0.2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  <c r="P29" s="296" t="s">
        <v>82</v>
      </c>
      <c r="Q29" s="297"/>
      <c r="R29" s="297"/>
      <c r="S29" s="297"/>
      <c r="T29" s="297"/>
      <c r="U29" s="297"/>
      <c r="V29" s="298"/>
      <c r="W29" s="37" t="s">
        <v>83</v>
      </c>
      <c r="X29" s="278">
        <f>IFERROR(SUMPRODUCT(X22:X27*H22:H27),"0")</f>
        <v>345.6</v>
      </c>
      <c r="Y29" s="278">
        <f>IFERROR(SUMPRODUCT(Y22:Y27*H22:H27),"0")</f>
        <v>345.6</v>
      </c>
      <c r="Z29" s="37"/>
      <c r="AA29" s="279"/>
      <c r="AB29" s="279"/>
      <c r="AC29" s="279"/>
    </row>
    <row r="30" spans="1:68" ht="16.5" hidden="1" customHeight="1" x14ac:dyDescent="0.25">
      <c r="A30" s="323" t="s">
        <v>84</v>
      </c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71"/>
      <c r="AB30" s="271"/>
      <c r="AC30" s="271"/>
    </row>
    <row r="31" spans="1:68" ht="14.25" hidden="1" customHeight="1" x14ac:dyDescent="0.25">
      <c r="A31" s="285" t="s">
        <v>62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7">
        <v>4607111039019</v>
      </c>
      <c r="E32" s="288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44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07"/>
      <c r="R32" s="307"/>
      <c r="S32" s="307"/>
      <c r="T32" s="308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7">
        <v>4607111038708</v>
      </c>
      <c r="E33" s="288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36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07"/>
      <c r="R33" s="307"/>
      <c r="S33" s="307"/>
      <c r="T33" s="308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2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96" t="s">
        <v>82</v>
      </c>
      <c r="Q34" s="297"/>
      <c r="R34" s="297"/>
      <c r="S34" s="297"/>
      <c r="T34" s="297"/>
      <c r="U34" s="297"/>
      <c r="V34" s="298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4"/>
      <c r="P35" s="296" t="s">
        <v>82</v>
      </c>
      <c r="Q35" s="297"/>
      <c r="R35" s="297"/>
      <c r="S35" s="297"/>
      <c r="T35" s="297"/>
      <c r="U35" s="297"/>
      <c r="V35" s="298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19" t="s">
        <v>90</v>
      </c>
      <c r="B36" s="320"/>
      <c r="C36" s="320"/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48"/>
      <c r="AB36" s="48"/>
      <c r="AC36" s="48"/>
    </row>
    <row r="37" spans="1:68" ht="16.5" hidden="1" customHeight="1" x14ac:dyDescent="0.25">
      <c r="A37" s="323" t="s">
        <v>91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71"/>
      <c r="AB37" s="271"/>
      <c r="AC37" s="271"/>
    </row>
    <row r="38" spans="1:68" ht="14.25" hidden="1" customHeight="1" x14ac:dyDescent="0.25">
      <c r="A38" s="285" t="s">
        <v>92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72"/>
      <c r="AB38" s="272"/>
      <c r="AC38" s="272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7">
        <v>4607111036537</v>
      </c>
      <c r="E39" s="288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43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07"/>
      <c r="R39" s="307"/>
      <c r="S39" s="307"/>
      <c r="T39" s="308"/>
      <c r="U39" s="34"/>
      <c r="V39" s="34"/>
      <c r="W39" s="35" t="s">
        <v>68</v>
      </c>
      <c r="X39" s="276">
        <v>70</v>
      </c>
      <c r="Y39" s="277">
        <f>IFERROR(IF(X39="","",X39),"")</f>
        <v>70</v>
      </c>
      <c r="Z39" s="36">
        <f>IFERROR(IF(X39="","",X39*0.00941),"")</f>
        <v>0.65869999999999995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134.52600000000001</v>
      </c>
      <c r="BN39" s="67">
        <f>IFERROR(Y39*I39,"0")</f>
        <v>134.52600000000001</v>
      </c>
      <c r="BO39" s="67">
        <f>IFERROR(X39/J39,"0")</f>
        <v>0.5</v>
      </c>
      <c r="BP39" s="67">
        <f>IFERROR(Y39/J39,"0")</f>
        <v>0.5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7">
        <v>4607111036605</v>
      </c>
      <c r="E40" s="288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31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07"/>
      <c r="R40" s="307"/>
      <c r="S40" s="307"/>
      <c r="T40" s="308"/>
      <c r="U40" s="34"/>
      <c r="V40" s="34"/>
      <c r="W40" s="35" t="s">
        <v>68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4"/>
      <c r="P41" s="296" t="s">
        <v>82</v>
      </c>
      <c r="Q41" s="297"/>
      <c r="R41" s="297"/>
      <c r="S41" s="297"/>
      <c r="T41" s="297"/>
      <c r="U41" s="297"/>
      <c r="V41" s="298"/>
      <c r="W41" s="37" t="s">
        <v>68</v>
      </c>
      <c r="X41" s="278">
        <f>IFERROR(SUM(X39:X40),"0")</f>
        <v>70</v>
      </c>
      <c r="Y41" s="278">
        <f>IFERROR(SUM(Y39:Y40),"0")</f>
        <v>70</v>
      </c>
      <c r="Z41" s="278">
        <f>IFERROR(IF(Z39="",0,Z39),"0")+IFERROR(IF(Z40="",0,Z40),"0")</f>
        <v>0.65869999999999995</v>
      </c>
      <c r="AA41" s="279"/>
      <c r="AB41" s="279"/>
      <c r="AC41" s="279"/>
    </row>
    <row r="42" spans="1:68" x14ac:dyDescent="0.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4"/>
      <c r="P42" s="296" t="s">
        <v>82</v>
      </c>
      <c r="Q42" s="297"/>
      <c r="R42" s="297"/>
      <c r="S42" s="297"/>
      <c r="T42" s="297"/>
      <c r="U42" s="297"/>
      <c r="V42" s="298"/>
      <c r="W42" s="37" t="s">
        <v>83</v>
      </c>
      <c r="X42" s="278">
        <f>IFERROR(SUMPRODUCT(X39:X40*H39:H40),"0")</f>
        <v>105</v>
      </c>
      <c r="Y42" s="278">
        <f>IFERROR(SUMPRODUCT(Y39:Y40*H39:H40),"0")</f>
        <v>105</v>
      </c>
      <c r="Z42" s="37"/>
      <c r="AA42" s="279"/>
      <c r="AB42" s="279"/>
      <c r="AC42" s="279"/>
    </row>
    <row r="43" spans="1:68" ht="16.5" hidden="1" customHeight="1" x14ac:dyDescent="0.25">
      <c r="A43" s="323" t="s">
        <v>102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71"/>
      <c r="AB43" s="271"/>
      <c r="AC43" s="271"/>
    </row>
    <row r="44" spans="1:68" ht="14.25" hidden="1" customHeight="1" x14ac:dyDescent="0.25">
      <c r="A44" s="285" t="s">
        <v>62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7">
        <v>4620207490075</v>
      </c>
      <c r="E45" s="288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07"/>
      <c r="R45" s="307"/>
      <c r="S45" s="307"/>
      <c r="T45" s="308"/>
      <c r="U45" s="34"/>
      <c r="V45" s="34"/>
      <c r="W45" s="35" t="s">
        <v>68</v>
      </c>
      <c r="X45" s="276">
        <v>24</v>
      </c>
      <c r="Y45" s="27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7">
        <v>4620207490174</v>
      </c>
      <c r="E46" s="288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36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07"/>
      <c r="R46" s="307"/>
      <c r="S46" s="307"/>
      <c r="T46" s="308"/>
      <c r="U46" s="34"/>
      <c r="V46" s="34"/>
      <c r="W46" s="35" t="s">
        <v>68</v>
      </c>
      <c r="X46" s="276">
        <v>24</v>
      </c>
      <c r="Y46" s="277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7">
        <v>4620207490044</v>
      </c>
      <c r="E47" s="288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4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07"/>
      <c r="R47" s="307"/>
      <c r="S47" s="307"/>
      <c r="T47" s="308"/>
      <c r="U47" s="34"/>
      <c r="V47" s="34"/>
      <c r="W47" s="35" t="s">
        <v>68</v>
      </c>
      <c r="X47" s="276">
        <v>36</v>
      </c>
      <c r="Y47" s="277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8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4"/>
      <c r="P48" s="296" t="s">
        <v>82</v>
      </c>
      <c r="Q48" s="297"/>
      <c r="R48" s="297"/>
      <c r="S48" s="297"/>
      <c r="T48" s="297"/>
      <c r="U48" s="297"/>
      <c r="V48" s="298"/>
      <c r="W48" s="37" t="s">
        <v>68</v>
      </c>
      <c r="X48" s="278">
        <f>IFERROR(SUM(X45:X47),"0")</f>
        <v>84</v>
      </c>
      <c r="Y48" s="278">
        <f>IFERROR(SUM(Y45:Y47),"0")</f>
        <v>84</v>
      </c>
      <c r="Z48" s="278">
        <f>IFERROR(IF(Z45="",0,Z45),"0")+IFERROR(IF(Z46="",0,Z46),"0")+IFERROR(IF(Z47="",0,Z47),"0")</f>
        <v>1.302</v>
      </c>
      <c r="AA48" s="279"/>
      <c r="AB48" s="279"/>
      <c r="AC48" s="279"/>
    </row>
    <row r="49" spans="1:68" x14ac:dyDescent="0.2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96" t="s">
        <v>82</v>
      </c>
      <c r="Q49" s="297"/>
      <c r="R49" s="297"/>
      <c r="S49" s="297"/>
      <c r="T49" s="297"/>
      <c r="U49" s="297"/>
      <c r="V49" s="298"/>
      <c r="W49" s="37" t="s">
        <v>83</v>
      </c>
      <c r="X49" s="278">
        <f>IFERROR(SUMPRODUCT(X45:X47*H45:H47),"0")</f>
        <v>470.4</v>
      </c>
      <c r="Y49" s="278">
        <f>IFERROR(SUMPRODUCT(Y45:Y47*H45:H47),"0")</f>
        <v>470.4</v>
      </c>
      <c r="Z49" s="37"/>
      <c r="AA49" s="279"/>
      <c r="AB49" s="279"/>
      <c r="AC49" s="279"/>
    </row>
    <row r="50" spans="1:68" ht="16.5" hidden="1" customHeight="1" x14ac:dyDescent="0.25">
      <c r="A50" s="323" t="s">
        <v>112</v>
      </c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71"/>
      <c r="AB50" s="271"/>
      <c r="AC50" s="271"/>
    </row>
    <row r="51" spans="1:68" ht="14.25" hidden="1" customHeight="1" x14ac:dyDescent="0.25">
      <c r="A51" s="285" t="s">
        <v>62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2"/>
      <c r="AB51" s="272"/>
      <c r="AC51" s="272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7">
        <v>4607111039385</v>
      </c>
      <c r="E52" s="288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43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07"/>
      <c r="R52" s="307"/>
      <c r="S52" s="307"/>
      <c r="T52" s="308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7">
        <v>4607111038982</v>
      </c>
      <c r="E53" s="288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4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07"/>
      <c r="R53" s="307"/>
      <c r="S53" s="307"/>
      <c r="T53" s="308"/>
      <c r="U53" s="34"/>
      <c r="V53" s="34"/>
      <c r="W53" s="35" t="s">
        <v>68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7">
        <v>4607111039354</v>
      </c>
      <c r="E54" s="288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34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07"/>
      <c r="R54" s="307"/>
      <c r="S54" s="307"/>
      <c r="T54" s="308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7">
        <v>4607111039330</v>
      </c>
      <c r="E55" s="288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42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07"/>
      <c r="R55" s="307"/>
      <c r="S55" s="307"/>
      <c r="T55" s="308"/>
      <c r="U55" s="34"/>
      <c r="V55" s="34"/>
      <c r="W55" s="35" t="s">
        <v>68</v>
      </c>
      <c r="X55" s="276">
        <v>12</v>
      </c>
      <c r="Y55" s="277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2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4"/>
      <c r="P56" s="296" t="s">
        <v>82</v>
      </c>
      <c r="Q56" s="297"/>
      <c r="R56" s="297"/>
      <c r="S56" s="297"/>
      <c r="T56" s="297"/>
      <c r="U56" s="297"/>
      <c r="V56" s="298"/>
      <c r="W56" s="37" t="s">
        <v>68</v>
      </c>
      <c r="X56" s="278">
        <f>IFERROR(SUM(X52:X55),"0")</f>
        <v>48</v>
      </c>
      <c r="Y56" s="278">
        <f>IFERROR(SUM(Y52:Y55),"0")</f>
        <v>48</v>
      </c>
      <c r="Z56" s="278">
        <f>IFERROR(IF(Z52="",0,Z52),"0")+IFERROR(IF(Z53="",0,Z53),"0")+IFERROR(IF(Z54="",0,Z54),"0")+IFERROR(IF(Z55="",0,Z55),"0")</f>
        <v>0.74399999999999999</v>
      </c>
      <c r="AA56" s="279"/>
      <c r="AB56" s="279"/>
      <c r="AC56" s="279"/>
    </row>
    <row r="57" spans="1:68" x14ac:dyDescent="0.2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96" t="s">
        <v>82</v>
      </c>
      <c r="Q57" s="297"/>
      <c r="R57" s="297"/>
      <c r="S57" s="297"/>
      <c r="T57" s="297"/>
      <c r="U57" s="297"/>
      <c r="V57" s="298"/>
      <c r="W57" s="37" t="s">
        <v>83</v>
      </c>
      <c r="X57" s="278">
        <f>IFERROR(SUMPRODUCT(X52:X55*H52:H55),"0")</f>
        <v>336</v>
      </c>
      <c r="Y57" s="278">
        <f>IFERROR(SUMPRODUCT(Y52:Y55*H52:H55),"0")</f>
        <v>336</v>
      </c>
      <c r="Z57" s="37"/>
      <c r="AA57" s="279"/>
      <c r="AB57" s="279"/>
      <c r="AC57" s="279"/>
    </row>
    <row r="58" spans="1:68" ht="16.5" hidden="1" customHeight="1" x14ac:dyDescent="0.25">
      <c r="A58" s="323" t="s">
        <v>123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71"/>
      <c r="AB58" s="271"/>
      <c r="AC58" s="271"/>
    </row>
    <row r="59" spans="1:68" ht="14.25" hidden="1" customHeight="1" x14ac:dyDescent="0.25">
      <c r="A59" s="285" t="s">
        <v>62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7">
        <v>4620207490822</v>
      </c>
      <c r="E60" s="288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32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07"/>
      <c r="R60" s="307"/>
      <c r="S60" s="307"/>
      <c r="T60" s="308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2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4"/>
      <c r="P61" s="296" t="s">
        <v>82</v>
      </c>
      <c r="Q61" s="297"/>
      <c r="R61" s="297"/>
      <c r="S61" s="297"/>
      <c r="T61" s="297"/>
      <c r="U61" s="297"/>
      <c r="V61" s="298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96" t="s">
        <v>82</v>
      </c>
      <c r="Q62" s="297"/>
      <c r="R62" s="297"/>
      <c r="S62" s="297"/>
      <c r="T62" s="297"/>
      <c r="U62" s="297"/>
      <c r="V62" s="298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285" t="s">
        <v>92</v>
      </c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7">
        <v>4607111039712</v>
      </c>
      <c r="E64" s="288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34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07"/>
      <c r="R64" s="307"/>
      <c r="S64" s="307"/>
      <c r="T64" s="308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2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4"/>
      <c r="P65" s="296" t="s">
        <v>82</v>
      </c>
      <c r="Q65" s="297"/>
      <c r="R65" s="297"/>
      <c r="S65" s="297"/>
      <c r="T65" s="297"/>
      <c r="U65" s="297"/>
      <c r="V65" s="298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96" t="s">
        <v>82</v>
      </c>
      <c r="Q66" s="297"/>
      <c r="R66" s="297"/>
      <c r="S66" s="297"/>
      <c r="T66" s="297"/>
      <c r="U66" s="297"/>
      <c r="V66" s="298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285" t="s">
        <v>130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7">
        <v>4607111037008</v>
      </c>
      <c r="E68" s="288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41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07"/>
      <c r="R68" s="307"/>
      <c r="S68" s="307"/>
      <c r="T68" s="308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7">
        <v>4607111037398</v>
      </c>
      <c r="E69" s="288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07"/>
      <c r="R69" s="307"/>
      <c r="S69" s="307"/>
      <c r="T69" s="308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4"/>
      <c r="P70" s="296" t="s">
        <v>82</v>
      </c>
      <c r="Q70" s="297"/>
      <c r="R70" s="297"/>
      <c r="S70" s="297"/>
      <c r="T70" s="297"/>
      <c r="U70" s="297"/>
      <c r="V70" s="298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4"/>
      <c r="P71" s="296" t="s">
        <v>82</v>
      </c>
      <c r="Q71" s="297"/>
      <c r="R71" s="297"/>
      <c r="S71" s="297"/>
      <c r="T71" s="297"/>
      <c r="U71" s="297"/>
      <c r="V71" s="298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285" t="s">
        <v>136</v>
      </c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7">
        <v>4607111039705</v>
      </c>
      <c r="E73" s="288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46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07"/>
      <c r="R73" s="307"/>
      <c r="S73" s="307"/>
      <c r="T73" s="308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7">
        <v>4607111039729</v>
      </c>
      <c r="E74" s="288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07"/>
      <c r="R74" s="307"/>
      <c r="S74" s="307"/>
      <c r="T74" s="308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7">
        <v>4620207490228</v>
      </c>
      <c r="E75" s="288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3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07"/>
      <c r="R75" s="307"/>
      <c r="S75" s="307"/>
      <c r="T75" s="308"/>
      <c r="U75" s="34"/>
      <c r="V75" s="34"/>
      <c r="W75" s="35" t="s">
        <v>68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2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4"/>
      <c r="P76" s="296" t="s">
        <v>82</v>
      </c>
      <c r="Q76" s="297"/>
      <c r="R76" s="297"/>
      <c r="S76" s="297"/>
      <c r="T76" s="297"/>
      <c r="U76" s="297"/>
      <c r="V76" s="298"/>
      <c r="W76" s="37" t="s">
        <v>68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hidden="1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4"/>
      <c r="P77" s="296" t="s">
        <v>82</v>
      </c>
      <c r="Q77" s="297"/>
      <c r="R77" s="297"/>
      <c r="S77" s="297"/>
      <c r="T77" s="297"/>
      <c r="U77" s="297"/>
      <c r="V77" s="298"/>
      <c r="W77" s="37" t="s">
        <v>83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hidden="1" customHeight="1" x14ac:dyDescent="0.25">
      <c r="A78" s="323" t="s">
        <v>144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71"/>
      <c r="AB78" s="271"/>
      <c r="AC78" s="271"/>
    </row>
    <row r="79" spans="1:68" ht="14.25" hidden="1" customHeight="1" x14ac:dyDescent="0.25">
      <c r="A79" s="285" t="s">
        <v>62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7">
        <v>4607111037411</v>
      </c>
      <c r="E80" s="288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3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07"/>
      <c r="R80" s="307"/>
      <c r="S80" s="307"/>
      <c r="T80" s="308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7">
        <v>4607111036728</v>
      </c>
      <c r="E81" s="288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46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07"/>
      <c r="R81" s="307"/>
      <c r="S81" s="307"/>
      <c r="T81" s="308"/>
      <c r="U81" s="34"/>
      <c r="V81" s="34"/>
      <c r="W81" s="35" t="s">
        <v>68</v>
      </c>
      <c r="X81" s="276">
        <v>72</v>
      </c>
      <c r="Y81" s="277">
        <f>IFERROR(IF(X81="","",X81),"")</f>
        <v>72</v>
      </c>
      <c r="Z81" s="36">
        <f>IFERROR(IF(X81="","",X81*0.00866),"")</f>
        <v>0.62351999999999996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375.35039999999998</v>
      </c>
      <c r="BN81" s="67">
        <f>IFERROR(Y81*I81,"0")</f>
        <v>375.35039999999998</v>
      </c>
      <c r="BO81" s="67">
        <f>IFERROR(X81/J81,"0")</f>
        <v>0.5</v>
      </c>
      <c r="BP81" s="67">
        <f>IFERROR(Y81/J81,"0")</f>
        <v>0.5</v>
      </c>
    </row>
    <row r="82" spans="1:68" x14ac:dyDescent="0.2">
      <c r="A82" s="282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4"/>
      <c r="P82" s="296" t="s">
        <v>82</v>
      </c>
      <c r="Q82" s="297"/>
      <c r="R82" s="297"/>
      <c r="S82" s="297"/>
      <c r="T82" s="297"/>
      <c r="U82" s="297"/>
      <c r="V82" s="298"/>
      <c r="W82" s="37" t="s">
        <v>68</v>
      </c>
      <c r="X82" s="278">
        <f>IFERROR(SUM(X80:X81),"0")</f>
        <v>72</v>
      </c>
      <c r="Y82" s="278">
        <f>IFERROR(SUM(Y80:Y81),"0")</f>
        <v>72</v>
      </c>
      <c r="Z82" s="278">
        <f>IFERROR(IF(Z80="",0,Z80),"0")+IFERROR(IF(Z81="",0,Z81),"0")</f>
        <v>0.62351999999999996</v>
      </c>
      <c r="AA82" s="279"/>
      <c r="AB82" s="279"/>
      <c r="AC82" s="279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96" t="s">
        <v>82</v>
      </c>
      <c r="Q83" s="297"/>
      <c r="R83" s="297"/>
      <c r="S83" s="297"/>
      <c r="T83" s="297"/>
      <c r="U83" s="297"/>
      <c r="V83" s="298"/>
      <c r="W83" s="37" t="s">
        <v>83</v>
      </c>
      <c r="X83" s="278">
        <f>IFERROR(SUMPRODUCT(X80:X81*H80:H81),"0")</f>
        <v>360</v>
      </c>
      <c r="Y83" s="278">
        <f>IFERROR(SUMPRODUCT(Y80:Y81*H80:H81),"0")</f>
        <v>360</v>
      </c>
      <c r="Z83" s="37"/>
      <c r="AA83" s="279"/>
      <c r="AB83" s="279"/>
      <c r="AC83" s="279"/>
    </row>
    <row r="84" spans="1:68" ht="16.5" hidden="1" customHeight="1" x14ac:dyDescent="0.25">
      <c r="A84" s="323" t="s">
        <v>151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71"/>
      <c r="AB84" s="271"/>
      <c r="AC84" s="271"/>
    </row>
    <row r="85" spans="1:68" ht="14.25" hidden="1" customHeight="1" x14ac:dyDescent="0.25">
      <c r="A85" s="285" t="s">
        <v>136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7">
        <v>4607111033659</v>
      </c>
      <c r="E86" s="288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07"/>
      <c r="R86" s="307"/>
      <c r="S86" s="307"/>
      <c r="T86" s="308"/>
      <c r="U86" s="34"/>
      <c r="V86" s="34"/>
      <c r="W86" s="35" t="s">
        <v>68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2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4"/>
      <c r="P87" s="296" t="s">
        <v>82</v>
      </c>
      <c r="Q87" s="297"/>
      <c r="R87" s="297"/>
      <c r="S87" s="297"/>
      <c r="T87" s="297"/>
      <c r="U87" s="297"/>
      <c r="V87" s="298"/>
      <c r="W87" s="37" t="s">
        <v>68</v>
      </c>
      <c r="X87" s="278">
        <f>IFERROR(SUM(X86:X86),"0")</f>
        <v>14</v>
      </c>
      <c r="Y87" s="278">
        <f>IFERROR(SUM(Y86:Y86),"0")</f>
        <v>14</v>
      </c>
      <c r="Z87" s="278">
        <f>IFERROR(IF(Z86="",0,Z86),"0")</f>
        <v>0.25031999999999999</v>
      </c>
      <c r="AA87" s="279"/>
      <c r="AB87" s="279"/>
      <c r="AC87" s="279"/>
    </row>
    <row r="88" spans="1:68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4"/>
      <c r="P88" s="296" t="s">
        <v>82</v>
      </c>
      <c r="Q88" s="297"/>
      <c r="R88" s="297"/>
      <c r="S88" s="297"/>
      <c r="T88" s="297"/>
      <c r="U88" s="297"/>
      <c r="V88" s="298"/>
      <c r="W88" s="37" t="s">
        <v>83</v>
      </c>
      <c r="X88" s="278">
        <f>IFERROR(SUMPRODUCT(X86:X86*H86:H86),"0")</f>
        <v>50.4</v>
      </c>
      <c r="Y88" s="278">
        <f>IFERROR(SUMPRODUCT(Y86:Y86*H86:H86),"0")</f>
        <v>50.4</v>
      </c>
      <c r="Z88" s="37"/>
      <c r="AA88" s="279"/>
      <c r="AB88" s="279"/>
      <c r="AC88" s="279"/>
    </row>
    <row r="89" spans="1:68" ht="16.5" hidden="1" customHeight="1" x14ac:dyDescent="0.25">
      <c r="A89" s="323" t="s">
        <v>155</v>
      </c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71"/>
      <c r="AB89" s="271"/>
      <c r="AC89" s="271"/>
    </row>
    <row r="90" spans="1:68" ht="14.25" hidden="1" customHeight="1" x14ac:dyDescent="0.25">
      <c r="A90" s="285" t="s">
        <v>156</v>
      </c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7">
        <v>4607111034120</v>
      </c>
      <c r="E91" s="288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8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07"/>
      <c r="R91" s="307"/>
      <c r="S91" s="307"/>
      <c r="T91" s="308"/>
      <c r="U91" s="34"/>
      <c r="V91" s="34"/>
      <c r="W91" s="35" t="s">
        <v>68</v>
      </c>
      <c r="X91" s="276">
        <v>56</v>
      </c>
      <c r="Y91" s="277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7">
        <v>4607111034137</v>
      </c>
      <c r="E92" s="288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43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07"/>
      <c r="R92" s="307"/>
      <c r="S92" s="307"/>
      <c r="T92" s="308"/>
      <c r="U92" s="34"/>
      <c r="V92" s="34"/>
      <c r="W92" s="35" t="s">
        <v>68</v>
      </c>
      <c r="X92" s="276">
        <v>0</v>
      </c>
      <c r="Y92" s="277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2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4"/>
      <c r="P93" s="296" t="s">
        <v>82</v>
      </c>
      <c r="Q93" s="297"/>
      <c r="R93" s="297"/>
      <c r="S93" s="297"/>
      <c r="T93" s="297"/>
      <c r="U93" s="297"/>
      <c r="V93" s="298"/>
      <c r="W93" s="37" t="s">
        <v>68</v>
      </c>
      <c r="X93" s="278">
        <f>IFERROR(SUM(X91:X92),"0")</f>
        <v>56</v>
      </c>
      <c r="Y93" s="278">
        <f>IFERROR(SUM(Y91:Y92),"0")</f>
        <v>56</v>
      </c>
      <c r="Z93" s="278">
        <f>IFERROR(IF(Z91="",0,Z91),"0")+IFERROR(IF(Z92="",0,Z92),"0")</f>
        <v>1.0012799999999999</v>
      </c>
      <c r="AA93" s="279"/>
      <c r="AB93" s="279"/>
      <c r="AC93" s="279"/>
    </row>
    <row r="94" spans="1:68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4"/>
      <c r="P94" s="296" t="s">
        <v>82</v>
      </c>
      <c r="Q94" s="297"/>
      <c r="R94" s="297"/>
      <c r="S94" s="297"/>
      <c r="T94" s="297"/>
      <c r="U94" s="297"/>
      <c r="V94" s="298"/>
      <c r="W94" s="37" t="s">
        <v>83</v>
      </c>
      <c r="X94" s="278">
        <f>IFERROR(SUMPRODUCT(X91:X92*H91:H92),"0")</f>
        <v>201.6</v>
      </c>
      <c r="Y94" s="278">
        <f>IFERROR(SUMPRODUCT(Y91:Y92*H91:H92),"0")</f>
        <v>201.6</v>
      </c>
      <c r="Z94" s="37"/>
      <c r="AA94" s="279"/>
      <c r="AB94" s="279"/>
      <c r="AC94" s="279"/>
    </row>
    <row r="95" spans="1:68" ht="16.5" hidden="1" customHeight="1" x14ac:dyDescent="0.25">
      <c r="A95" s="323" t="s">
        <v>163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71"/>
      <c r="AB95" s="271"/>
      <c r="AC95" s="271"/>
    </row>
    <row r="96" spans="1:68" ht="14.25" hidden="1" customHeight="1" x14ac:dyDescent="0.25">
      <c r="A96" s="285" t="s">
        <v>136</v>
      </c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72"/>
      <c r="AB96" s="272"/>
      <c r="AC96" s="272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7">
        <v>4620207491027</v>
      </c>
      <c r="E97" s="288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44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07"/>
      <c r="R97" s="307"/>
      <c r="S97" s="307"/>
      <c r="T97" s="308"/>
      <c r="U97" s="34"/>
      <c r="V97" s="34"/>
      <c r="W97" s="35" t="s">
        <v>68</v>
      </c>
      <c r="X97" s="276">
        <v>56</v>
      </c>
      <c r="Y97" s="277">
        <f t="shared" ref="Y97:Y102" si="6">IFERROR(IF(X97="","",X97),"")</f>
        <v>56</v>
      </c>
      <c r="Z97" s="36">
        <f t="shared" ref="Z97:Z102" si="7">IFERROR(IF(X97="","",X97*0.01788),"")</f>
        <v>1.0012799999999999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200.6816</v>
      </c>
      <c r="BN97" s="67">
        <f t="shared" ref="BN97:BN102" si="9">IFERROR(Y97*I97,"0")</f>
        <v>200.6816</v>
      </c>
      <c r="BO97" s="67">
        <f t="shared" ref="BO97:BO102" si="10">IFERROR(X97/J97,"0")</f>
        <v>0.8</v>
      </c>
      <c r="BP97" s="67">
        <f t="shared" ref="BP97:BP102" si="11">IFERROR(Y97/J97,"0")</f>
        <v>0.8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7">
        <v>4620207491003</v>
      </c>
      <c r="E98" s="288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35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07"/>
      <c r="R98" s="307"/>
      <c r="S98" s="307"/>
      <c r="T98" s="308"/>
      <c r="U98" s="34"/>
      <c r="V98" s="34"/>
      <c r="W98" s="35" t="s">
        <v>68</v>
      </c>
      <c r="X98" s="276">
        <v>112</v>
      </c>
      <c r="Y98" s="277">
        <f t="shared" si="6"/>
        <v>112</v>
      </c>
      <c r="Z98" s="36">
        <f t="shared" si="7"/>
        <v>2.0025599999999999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7">
        <v>4620207491034</v>
      </c>
      <c r="E99" s="288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46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07"/>
      <c r="R99" s="307"/>
      <c r="S99" s="307"/>
      <c r="T99" s="308"/>
      <c r="U99" s="34"/>
      <c r="V99" s="34"/>
      <c r="W99" s="35" t="s">
        <v>68</v>
      </c>
      <c r="X99" s="276">
        <v>56</v>
      </c>
      <c r="Y99" s="277">
        <f t="shared" si="6"/>
        <v>56</v>
      </c>
      <c r="Z99" s="36">
        <f t="shared" si="7"/>
        <v>1.0012799999999999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200.6816</v>
      </c>
      <c r="BN99" s="67">
        <f t="shared" si="9"/>
        <v>200.6816</v>
      </c>
      <c r="BO99" s="67">
        <f t="shared" si="10"/>
        <v>0.8</v>
      </c>
      <c r="BP99" s="67">
        <f t="shared" si="11"/>
        <v>0.8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7">
        <v>4620207491010</v>
      </c>
      <c r="E100" s="288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44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07"/>
      <c r="R100" s="307"/>
      <c r="S100" s="307"/>
      <c r="T100" s="308"/>
      <c r="U100" s="34"/>
      <c r="V100" s="34"/>
      <c r="W100" s="35" t="s">
        <v>68</v>
      </c>
      <c r="X100" s="276">
        <v>112</v>
      </c>
      <c r="Y100" s="277">
        <f t="shared" si="6"/>
        <v>112</v>
      </c>
      <c r="Z100" s="36">
        <f t="shared" si="7"/>
        <v>2.0025599999999999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7">
        <v>4607111035028</v>
      </c>
      <c r="E101" s="288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35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07"/>
      <c r="R101" s="307"/>
      <c r="S101" s="307"/>
      <c r="T101" s="308"/>
      <c r="U101" s="34"/>
      <c r="V101" s="34"/>
      <c r="W101" s="35" t="s">
        <v>68</v>
      </c>
      <c r="X101" s="276">
        <v>0</v>
      </c>
      <c r="Y101" s="277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7">
        <v>4607111036407</v>
      </c>
      <c r="E102" s="288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35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07"/>
      <c r="R102" s="307"/>
      <c r="S102" s="307"/>
      <c r="T102" s="308"/>
      <c r="U102" s="34"/>
      <c r="V102" s="34"/>
      <c r="W102" s="35" t="s">
        <v>68</v>
      </c>
      <c r="X102" s="276">
        <v>0</v>
      </c>
      <c r="Y102" s="277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2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4"/>
      <c r="P103" s="296" t="s">
        <v>82</v>
      </c>
      <c r="Q103" s="297"/>
      <c r="R103" s="297"/>
      <c r="S103" s="297"/>
      <c r="T103" s="297"/>
      <c r="U103" s="297"/>
      <c r="V103" s="298"/>
      <c r="W103" s="37" t="s">
        <v>68</v>
      </c>
      <c r="X103" s="278">
        <f>IFERROR(SUM(X97:X102),"0")</f>
        <v>336</v>
      </c>
      <c r="Y103" s="278">
        <f>IFERROR(SUM(Y97:Y102),"0")</f>
        <v>336</v>
      </c>
      <c r="Z103" s="278">
        <f>IFERROR(IF(Z97="",0,Z97),"0")+IFERROR(IF(Z98="",0,Z98),"0")+IFERROR(IF(Z99="",0,Z99),"0")+IFERROR(IF(Z100="",0,Z100),"0")+IFERROR(IF(Z101="",0,Z101),"0")+IFERROR(IF(Z102="",0,Z102),"0")</f>
        <v>6.0076799999999997</v>
      </c>
      <c r="AA103" s="279"/>
      <c r="AB103" s="279"/>
      <c r="AC103" s="279"/>
    </row>
    <row r="104" spans="1:68" x14ac:dyDescent="0.2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4"/>
      <c r="P104" s="296" t="s">
        <v>82</v>
      </c>
      <c r="Q104" s="297"/>
      <c r="R104" s="297"/>
      <c r="S104" s="297"/>
      <c r="T104" s="297"/>
      <c r="U104" s="297"/>
      <c r="V104" s="298"/>
      <c r="W104" s="37" t="s">
        <v>83</v>
      </c>
      <c r="X104" s="278">
        <f>IFERROR(SUMPRODUCT(X97:X102*H97:H102),"0")</f>
        <v>967.68000000000006</v>
      </c>
      <c r="Y104" s="278">
        <f>IFERROR(SUMPRODUCT(Y97:Y102*H97:H102),"0")</f>
        <v>967.68000000000006</v>
      </c>
      <c r="Z104" s="37"/>
      <c r="AA104" s="279"/>
      <c r="AB104" s="279"/>
      <c r="AC104" s="279"/>
    </row>
    <row r="105" spans="1:68" ht="16.5" hidden="1" customHeight="1" x14ac:dyDescent="0.25">
      <c r="A105" s="323" t="s">
        <v>178</v>
      </c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71"/>
      <c r="AB105" s="271"/>
      <c r="AC105" s="271"/>
    </row>
    <row r="106" spans="1:68" ht="14.25" hidden="1" customHeight="1" x14ac:dyDescent="0.25">
      <c r="A106" s="285" t="s">
        <v>130</v>
      </c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72"/>
      <c r="AB106" s="272"/>
      <c r="AC106" s="272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87">
        <v>4607025784012</v>
      </c>
      <c r="E107" s="288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35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07"/>
      <c r="R107" s="307"/>
      <c r="S107" s="307"/>
      <c r="T107" s="308"/>
      <c r="U107" s="34"/>
      <c r="V107" s="34"/>
      <c r="W107" s="35" t="s">
        <v>68</v>
      </c>
      <c r="X107" s="276">
        <v>28</v>
      </c>
      <c r="Y107" s="277">
        <f>IFERROR(IF(X107="","",X107),"")</f>
        <v>28</v>
      </c>
      <c r="Z107" s="36">
        <f>IFERROR(IF(X107="","",X107*0.00936),"")</f>
        <v>0.26207999999999998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69.753600000000006</v>
      </c>
      <c r="BN107" s="67">
        <f>IFERROR(Y107*I107,"0")</f>
        <v>69.753600000000006</v>
      </c>
      <c r="BO107" s="67">
        <f>IFERROR(X107/J107,"0")</f>
        <v>0.22222222222222221</v>
      </c>
      <c r="BP107" s="67">
        <f>IFERROR(Y107/J107,"0")</f>
        <v>0.22222222222222221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87">
        <v>4607025784319</v>
      </c>
      <c r="E108" s="288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37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07"/>
      <c r="R108" s="307"/>
      <c r="S108" s="307"/>
      <c r="T108" s="308"/>
      <c r="U108" s="34"/>
      <c r="V108" s="34"/>
      <c r="W108" s="35" t="s">
        <v>68</v>
      </c>
      <c r="X108" s="276">
        <v>56</v>
      </c>
      <c r="Y108" s="277">
        <f>IFERROR(IF(X108="","",X108),"")</f>
        <v>56</v>
      </c>
      <c r="Z108" s="36">
        <f>IFERROR(IF(X108="","",X108*0.01788),"")</f>
        <v>1.0012799999999999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237.66399999999999</v>
      </c>
      <c r="BN108" s="67">
        <f>IFERROR(Y108*I108,"0")</f>
        <v>237.66399999999999</v>
      </c>
      <c r="BO108" s="67">
        <f>IFERROR(X108/J108,"0")</f>
        <v>0.8</v>
      </c>
      <c r="BP108" s="67">
        <f>IFERROR(Y108/J108,"0")</f>
        <v>0.8</v>
      </c>
    </row>
    <row r="109" spans="1:68" x14ac:dyDescent="0.2">
      <c r="A109" s="282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4"/>
      <c r="P109" s="296" t="s">
        <v>82</v>
      </c>
      <c r="Q109" s="297"/>
      <c r="R109" s="297"/>
      <c r="S109" s="297"/>
      <c r="T109" s="297"/>
      <c r="U109" s="297"/>
      <c r="V109" s="298"/>
      <c r="W109" s="37" t="s">
        <v>68</v>
      </c>
      <c r="X109" s="278">
        <f>IFERROR(SUM(X107:X108),"0")</f>
        <v>84</v>
      </c>
      <c r="Y109" s="278">
        <f>IFERROR(SUM(Y107:Y108),"0")</f>
        <v>84</v>
      </c>
      <c r="Z109" s="278">
        <f>IFERROR(IF(Z107="",0,Z107),"0")+IFERROR(IF(Z108="",0,Z108),"0")</f>
        <v>1.26336</v>
      </c>
      <c r="AA109" s="279"/>
      <c r="AB109" s="279"/>
      <c r="AC109" s="279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4"/>
      <c r="P110" s="296" t="s">
        <v>82</v>
      </c>
      <c r="Q110" s="297"/>
      <c r="R110" s="297"/>
      <c r="S110" s="297"/>
      <c r="T110" s="297"/>
      <c r="U110" s="297"/>
      <c r="V110" s="298"/>
      <c r="W110" s="37" t="s">
        <v>83</v>
      </c>
      <c r="X110" s="278">
        <f>IFERROR(SUMPRODUCT(X107:X108*H107:H108),"0")</f>
        <v>262.08</v>
      </c>
      <c r="Y110" s="278">
        <f>IFERROR(SUMPRODUCT(Y107:Y108*H107:H108),"0")</f>
        <v>262.08</v>
      </c>
      <c r="Z110" s="37"/>
      <c r="AA110" s="279"/>
      <c r="AB110" s="279"/>
      <c r="AC110" s="279"/>
    </row>
    <row r="111" spans="1:68" ht="16.5" hidden="1" customHeight="1" x14ac:dyDescent="0.25">
      <c r="A111" s="323" t="s">
        <v>184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71"/>
      <c r="AB111" s="271"/>
      <c r="AC111" s="271"/>
    </row>
    <row r="112" spans="1:68" ht="14.25" hidden="1" customHeight="1" x14ac:dyDescent="0.25">
      <c r="A112" s="285" t="s">
        <v>62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87">
        <v>4620207491157</v>
      </c>
      <c r="E113" s="288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4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07"/>
      <c r="R113" s="307"/>
      <c r="S113" s="307"/>
      <c r="T113" s="308"/>
      <c r="U113" s="34"/>
      <c r="V113" s="34"/>
      <c r="W113" s="35" t="s">
        <v>68</v>
      </c>
      <c r="X113" s="276">
        <v>12</v>
      </c>
      <c r="Y113" s="27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87">
        <v>4620207491393</v>
      </c>
      <c r="E114" s="288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8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07"/>
      <c r="R114" s="307"/>
      <c r="S114" s="307"/>
      <c r="T114" s="308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191</v>
      </c>
      <c r="B115" s="54" t="s">
        <v>192</v>
      </c>
      <c r="C115" s="31">
        <v>4301071051</v>
      </c>
      <c r="D115" s="287">
        <v>4607111039262</v>
      </c>
      <c r="E115" s="288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40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07"/>
      <c r="R115" s="307"/>
      <c r="S115" s="307"/>
      <c r="T115" s="308"/>
      <c r="U115" s="34"/>
      <c r="V115" s="34"/>
      <c r="W115" s="35" t="s">
        <v>68</v>
      </c>
      <c r="X115" s="276">
        <v>24</v>
      </c>
      <c r="Y115" s="277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193</v>
      </c>
      <c r="B116" s="54" t="s">
        <v>194</v>
      </c>
      <c r="C116" s="31">
        <v>4301071038</v>
      </c>
      <c r="D116" s="287">
        <v>4607111039248</v>
      </c>
      <c r="E116" s="288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07"/>
      <c r="R116" s="307"/>
      <c r="S116" s="307"/>
      <c r="T116" s="308"/>
      <c r="U116" s="34"/>
      <c r="V116" s="34"/>
      <c r="W116" s="35" t="s">
        <v>68</v>
      </c>
      <c r="X116" s="276">
        <v>48</v>
      </c>
      <c r="Y116" s="277">
        <f t="shared" si="12"/>
        <v>48</v>
      </c>
      <c r="Z116" s="36">
        <f t="shared" si="13"/>
        <v>0.74399999999999999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350.4</v>
      </c>
      <c r="BN116" s="67">
        <f t="shared" si="15"/>
        <v>350.4</v>
      </c>
      <c r="BO116" s="67">
        <f t="shared" si="16"/>
        <v>0.5714285714285714</v>
      </c>
      <c r="BP116" s="67">
        <f t="shared" si="17"/>
        <v>0.5714285714285714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87">
        <v>4607111037145</v>
      </c>
      <c r="E117" s="288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07"/>
      <c r="R117" s="307"/>
      <c r="S117" s="307"/>
      <c r="T117" s="308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4301071049</v>
      </c>
      <c r="D118" s="287">
        <v>4607111039293</v>
      </c>
      <c r="E118" s="288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41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07"/>
      <c r="R118" s="307"/>
      <c r="S118" s="307"/>
      <c r="T118" s="308"/>
      <c r="U118" s="34"/>
      <c r="V118" s="34"/>
      <c r="W118" s="35" t="s">
        <v>68</v>
      </c>
      <c r="X118" s="276">
        <v>12</v>
      </c>
      <c r="Y118" s="277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87">
        <v>4607111039279</v>
      </c>
      <c r="E119" s="288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42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07"/>
      <c r="R119" s="307"/>
      <c r="S119" s="307"/>
      <c r="T119" s="308"/>
      <c r="U119" s="34"/>
      <c r="V119" s="34"/>
      <c r="W119" s="35" t="s">
        <v>68</v>
      </c>
      <c r="X119" s="276">
        <v>48</v>
      </c>
      <c r="Y119" s="277">
        <f t="shared" si="12"/>
        <v>48</v>
      </c>
      <c r="Z119" s="36">
        <f t="shared" si="13"/>
        <v>0.74399999999999999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350.4</v>
      </c>
      <c r="BN119" s="67">
        <f t="shared" si="15"/>
        <v>350.4</v>
      </c>
      <c r="BO119" s="67">
        <f t="shared" si="16"/>
        <v>0.5714285714285714</v>
      </c>
      <c r="BP119" s="67">
        <f t="shared" si="17"/>
        <v>0.5714285714285714</v>
      </c>
    </row>
    <row r="120" spans="1:68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96" t="s">
        <v>82</v>
      </c>
      <c r="Q120" s="297"/>
      <c r="R120" s="297"/>
      <c r="S120" s="297"/>
      <c r="T120" s="297"/>
      <c r="U120" s="297"/>
      <c r="V120" s="298"/>
      <c r="W120" s="37" t="s">
        <v>68</v>
      </c>
      <c r="X120" s="278">
        <f>IFERROR(SUM(X113:X119),"0")</f>
        <v>144</v>
      </c>
      <c r="Y120" s="278">
        <f>IFERROR(SUM(Y113:Y119),"0")</f>
        <v>144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2.2320000000000002</v>
      </c>
      <c r="AA120" s="279"/>
      <c r="AB120" s="279"/>
      <c r="AC120" s="279"/>
    </row>
    <row r="121" spans="1:68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96" t="s">
        <v>82</v>
      </c>
      <c r="Q121" s="297"/>
      <c r="R121" s="297"/>
      <c r="S121" s="297"/>
      <c r="T121" s="297"/>
      <c r="U121" s="297"/>
      <c r="V121" s="298"/>
      <c r="W121" s="37" t="s">
        <v>83</v>
      </c>
      <c r="X121" s="278">
        <f>IFERROR(SUMPRODUCT(X113:X119*H113:H119),"0")</f>
        <v>986.40000000000009</v>
      </c>
      <c r="Y121" s="278">
        <f>IFERROR(SUMPRODUCT(Y113:Y119*H113:H119),"0")</f>
        <v>986.40000000000009</v>
      </c>
      <c r="Z121" s="37"/>
      <c r="AA121" s="279"/>
      <c r="AB121" s="279"/>
      <c r="AC121" s="279"/>
    </row>
    <row r="122" spans="1:68" ht="14.25" hidden="1" customHeight="1" x14ac:dyDescent="0.25">
      <c r="A122" s="285" t="s">
        <v>136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202</v>
      </c>
      <c r="B123" s="54" t="s">
        <v>203</v>
      </c>
      <c r="C123" s="31">
        <v>4301135826</v>
      </c>
      <c r="D123" s="287">
        <v>4620207490983</v>
      </c>
      <c r="E123" s="288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33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07"/>
      <c r="R123" s="307"/>
      <c r="S123" s="307"/>
      <c r="T123" s="308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96" t="s">
        <v>82</v>
      </c>
      <c r="Q124" s="297"/>
      <c r="R124" s="297"/>
      <c r="S124" s="297"/>
      <c r="T124" s="297"/>
      <c r="U124" s="297"/>
      <c r="V124" s="298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96" t="s">
        <v>82</v>
      </c>
      <c r="Q125" s="297"/>
      <c r="R125" s="297"/>
      <c r="S125" s="297"/>
      <c r="T125" s="297"/>
      <c r="U125" s="297"/>
      <c r="V125" s="298"/>
      <c r="W125" s="37" t="s">
        <v>83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hidden="1" customHeight="1" x14ac:dyDescent="0.25">
      <c r="A126" s="285" t="s">
        <v>205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87">
        <v>4620207491140</v>
      </c>
      <c r="E127" s="288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34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07"/>
      <c r="R127" s="307"/>
      <c r="S127" s="307"/>
      <c r="T127" s="308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2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4"/>
      <c r="P128" s="296" t="s">
        <v>82</v>
      </c>
      <c r="Q128" s="297"/>
      <c r="R128" s="297"/>
      <c r="S128" s="297"/>
      <c r="T128" s="297"/>
      <c r="U128" s="297"/>
      <c r="V128" s="298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96" t="s">
        <v>82</v>
      </c>
      <c r="Q129" s="297"/>
      <c r="R129" s="297"/>
      <c r="S129" s="297"/>
      <c r="T129" s="297"/>
      <c r="U129" s="297"/>
      <c r="V129" s="298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323" t="s">
        <v>209</v>
      </c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  <c r="AA130" s="271"/>
      <c r="AB130" s="271"/>
      <c r="AC130" s="271"/>
    </row>
    <row r="131" spans="1:68" ht="14.25" hidden="1" customHeight="1" x14ac:dyDescent="0.25">
      <c r="A131" s="285" t="s">
        <v>136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210</v>
      </c>
      <c r="B132" s="54" t="s">
        <v>211</v>
      </c>
      <c r="C132" s="31">
        <v>4301135850</v>
      </c>
      <c r="D132" s="287">
        <v>4620207491492</v>
      </c>
      <c r="E132" s="288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07"/>
      <c r="R132" s="307"/>
      <c r="S132" s="307"/>
      <c r="T132" s="308"/>
      <c r="U132" s="34"/>
      <c r="V132" s="34"/>
      <c r="W132" s="35" t="s">
        <v>68</v>
      </c>
      <c r="X132" s="276">
        <v>56</v>
      </c>
      <c r="Y132" s="277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87">
        <v>4620207491461</v>
      </c>
      <c r="E133" s="288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34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07"/>
      <c r="R133" s="307"/>
      <c r="S133" s="307"/>
      <c r="T133" s="308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215</v>
      </c>
      <c r="B134" s="54" t="s">
        <v>216</v>
      </c>
      <c r="C134" s="31">
        <v>4301135865</v>
      </c>
      <c r="D134" s="287">
        <v>4620207491485</v>
      </c>
      <c r="E134" s="288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31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07"/>
      <c r="R134" s="307"/>
      <c r="S134" s="307"/>
      <c r="T134" s="308"/>
      <c r="U134" s="34"/>
      <c r="V134" s="34"/>
      <c r="W134" s="35" t="s">
        <v>68</v>
      </c>
      <c r="X134" s="276">
        <v>84</v>
      </c>
      <c r="Y134" s="277">
        <f>IFERROR(IF(X134="","",X134),"")</f>
        <v>84</v>
      </c>
      <c r="Z134" s="36">
        <f>IFERROR(IF(X134="","",X134*0.00941),"")</f>
        <v>0.79044000000000003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151.20000000000002</v>
      </c>
      <c r="BN134" s="67">
        <f>IFERROR(Y134*I134,"0")</f>
        <v>151.20000000000002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82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4"/>
      <c r="P135" s="296" t="s">
        <v>82</v>
      </c>
      <c r="Q135" s="297"/>
      <c r="R135" s="297"/>
      <c r="S135" s="297"/>
      <c r="T135" s="297"/>
      <c r="U135" s="297"/>
      <c r="V135" s="298"/>
      <c r="W135" s="37" t="s">
        <v>68</v>
      </c>
      <c r="X135" s="278">
        <f>IFERROR(SUM(X132:X134),"0")</f>
        <v>140</v>
      </c>
      <c r="Y135" s="278">
        <f>IFERROR(SUM(Y132:Y134),"0")</f>
        <v>140</v>
      </c>
      <c r="Z135" s="278">
        <f>IFERROR(IF(Z132="",0,Z132),"0")+IFERROR(IF(Z133="",0,Z133),"0")+IFERROR(IF(Z134="",0,Z134),"0")</f>
        <v>1.3174000000000001</v>
      </c>
      <c r="AA135" s="279"/>
      <c r="AB135" s="279"/>
      <c r="AC135" s="279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96" t="s">
        <v>82</v>
      </c>
      <c r="Q136" s="297"/>
      <c r="R136" s="297"/>
      <c r="S136" s="297"/>
      <c r="T136" s="297"/>
      <c r="U136" s="297"/>
      <c r="V136" s="298"/>
      <c r="W136" s="37" t="s">
        <v>83</v>
      </c>
      <c r="X136" s="278">
        <f>IFERROR(SUMPRODUCT(X132:X134*H132:H134),"0")</f>
        <v>193.2</v>
      </c>
      <c r="Y136" s="278">
        <f>IFERROR(SUMPRODUCT(Y132:Y134*H132:H134),"0")</f>
        <v>193.2</v>
      </c>
      <c r="Z136" s="37"/>
      <c r="AA136" s="279"/>
      <c r="AB136" s="279"/>
      <c r="AC136" s="279"/>
    </row>
    <row r="137" spans="1:68" ht="14.25" hidden="1" customHeight="1" x14ac:dyDescent="0.25">
      <c r="A137" s="285" t="s">
        <v>217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72"/>
      <c r="AB137" s="272"/>
      <c r="AC137" s="272"/>
    </row>
    <row r="138" spans="1:68" ht="27" hidden="1" customHeight="1" x14ac:dyDescent="0.25">
      <c r="A138" s="54" t="s">
        <v>218</v>
      </c>
      <c r="B138" s="54" t="s">
        <v>219</v>
      </c>
      <c r="C138" s="31">
        <v>4301190117</v>
      </c>
      <c r="D138" s="287">
        <v>4620207491386</v>
      </c>
      <c r="E138" s="288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46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07"/>
      <c r="R138" s="307"/>
      <c r="S138" s="307"/>
      <c r="T138" s="308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221</v>
      </c>
      <c r="B139" s="54" t="s">
        <v>222</v>
      </c>
      <c r="C139" s="31">
        <v>4301190115</v>
      </c>
      <c r="D139" s="287">
        <v>4620207491362</v>
      </c>
      <c r="E139" s="288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07"/>
      <c r="R139" s="307"/>
      <c r="S139" s="307"/>
      <c r="T139" s="308"/>
      <c r="U139" s="34"/>
      <c r="V139" s="34"/>
      <c r="W139" s="35" t="s">
        <v>68</v>
      </c>
      <c r="X139" s="276">
        <v>14</v>
      </c>
      <c r="Y139" s="277">
        <f>IFERROR(IF(X139="","",X139),"")</f>
        <v>14</v>
      </c>
      <c r="Z139" s="36">
        <f>IFERROR(IF(X139="","",X139*0.00941),"")</f>
        <v>0.13174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19.571999999999999</v>
      </c>
      <c r="BN139" s="67">
        <f>IFERROR(Y139*I139,"0")</f>
        <v>19.571999999999999</v>
      </c>
      <c r="BO139" s="67">
        <f>IFERROR(X139/J139,"0")</f>
        <v>0.1</v>
      </c>
      <c r="BP139" s="67">
        <f>IFERROR(Y139/J139,"0")</f>
        <v>0.1</v>
      </c>
    </row>
    <row r="140" spans="1:68" ht="27" customHeight="1" x14ac:dyDescent="0.25">
      <c r="A140" s="54" t="s">
        <v>223</v>
      </c>
      <c r="B140" s="54" t="s">
        <v>224</v>
      </c>
      <c r="C140" s="31">
        <v>4301190116</v>
      </c>
      <c r="D140" s="287">
        <v>4620207491379</v>
      </c>
      <c r="E140" s="288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9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07"/>
      <c r="R140" s="307"/>
      <c r="S140" s="307"/>
      <c r="T140" s="308"/>
      <c r="U140" s="34"/>
      <c r="V140" s="34"/>
      <c r="W140" s="35" t="s">
        <v>68</v>
      </c>
      <c r="X140" s="276">
        <v>14</v>
      </c>
      <c r="Y140" s="277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x14ac:dyDescent="0.2">
      <c r="A141" s="282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4"/>
      <c r="P141" s="296" t="s">
        <v>82</v>
      </c>
      <c r="Q141" s="297"/>
      <c r="R141" s="297"/>
      <c r="S141" s="297"/>
      <c r="T141" s="297"/>
      <c r="U141" s="297"/>
      <c r="V141" s="298"/>
      <c r="W141" s="37" t="s">
        <v>68</v>
      </c>
      <c r="X141" s="278">
        <f>IFERROR(SUM(X138:X140),"0")</f>
        <v>28</v>
      </c>
      <c r="Y141" s="278">
        <f>IFERROR(SUM(Y138:Y140),"0")</f>
        <v>28</v>
      </c>
      <c r="Z141" s="278">
        <f>IFERROR(IF(Z138="",0,Z138),"0")+IFERROR(IF(Z139="",0,Z139),"0")+IFERROR(IF(Z140="",0,Z140),"0")</f>
        <v>0.26347999999999999</v>
      </c>
      <c r="AA141" s="279"/>
      <c r="AB141" s="279"/>
      <c r="AC141" s="279"/>
    </row>
    <row r="142" spans="1:68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96" t="s">
        <v>82</v>
      </c>
      <c r="Q142" s="297"/>
      <c r="R142" s="297"/>
      <c r="S142" s="297"/>
      <c r="T142" s="297"/>
      <c r="U142" s="297"/>
      <c r="V142" s="298"/>
      <c r="W142" s="37" t="s">
        <v>83</v>
      </c>
      <c r="X142" s="278">
        <f>IFERROR(SUMPRODUCT(X138:X140*H138:H140),"0")</f>
        <v>30.240000000000002</v>
      </c>
      <c r="Y142" s="278">
        <f>IFERROR(SUMPRODUCT(Y138:Y140*H138:H140),"0")</f>
        <v>30.240000000000002</v>
      </c>
      <c r="Z142" s="37"/>
      <c r="AA142" s="279"/>
      <c r="AB142" s="279"/>
      <c r="AC142" s="279"/>
    </row>
    <row r="143" spans="1:68" ht="16.5" hidden="1" customHeight="1" x14ac:dyDescent="0.25">
      <c r="A143" s="323" t="s">
        <v>225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71"/>
      <c r="AB143" s="271"/>
      <c r="AC143" s="271"/>
    </row>
    <row r="144" spans="1:68" ht="14.25" hidden="1" customHeight="1" x14ac:dyDescent="0.25">
      <c r="A144" s="285" t="s">
        <v>136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2"/>
      <c r="AB144" s="272"/>
      <c r="AC144" s="272"/>
    </row>
    <row r="145" spans="1:68" ht="27" customHeight="1" x14ac:dyDescent="0.25">
      <c r="A145" s="54" t="s">
        <v>226</v>
      </c>
      <c r="B145" s="54" t="s">
        <v>227</v>
      </c>
      <c r="C145" s="31">
        <v>4301135555</v>
      </c>
      <c r="D145" s="287">
        <v>4607111034014</v>
      </c>
      <c r="E145" s="288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46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07"/>
      <c r="R145" s="307"/>
      <c r="S145" s="307"/>
      <c r="T145" s="308"/>
      <c r="U145" s="34"/>
      <c r="V145" s="34"/>
      <c r="W145" s="35" t="s">
        <v>68</v>
      </c>
      <c r="X145" s="276">
        <v>112</v>
      </c>
      <c r="Y145" s="277">
        <f>IFERROR(IF(X145="","",X145),"")</f>
        <v>112</v>
      </c>
      <c r="Z145" s="36">
        <f>IFERROR(IF(X145="","",X145*0.01788),"")</f>
        <v>2.0025599999999999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414.80319999999995</v>
      </c>
      <c r="BN145" s="67">
        <f>IFERROR(Y145*I145,"0")</f>
        <v>414.80319999999995</v>
      </c>
      <c r="BO145" s="67">
        <f>IFERROR(X145/J145,"0")</f>
        <v>1.6</v>
      </c>
      <c r="BP145" s="67">
        <f>IFERROR(Y145/J145,"0")</f>
        <v>1.6</v>
      </c>
    </row>
    <row r="146" spans="1:68" ht="27" customHeight="1" x14ac:dyDescent="0.25">
      <c r="A146" s="54" t="s">
        <v>229</v>
      </c>
      <c r="B146" s="54" t="s">
        <v>230</v>
      </c>
      <c r="C146" s="31">
        <v>4301135532</v>
      </c>
      <c r="D146" s="287">
        <v>4607111033994</v>
      </c>
      <c r="E146" s="288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33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07"/>
      <c r="R146" s="307"/>
      <c r="S146" s="307"/>
      <c r="T146" s="308"/>
      <c r="U146" s="34"/>
      <c r="V146" s="34"/>
      <c r="W146" s="35" t="s">
        <v>68</v>
      </c>
      <c r="X146" s="276">
        <v>210</v>
      </c>
      <c r="Y146" s="277">
        <f>IFERROR(IF(X146="","",X146),"")</f>
        <v>210</v>
      </c>
      <c r="Z146" s="36">
        <f>IFERROR(IF(X146="","",X146*0.01788),"")</f>
        <v>3.7547999999999999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777.75599999999997</v>
      </c>
      <c r="BN146" s="67">
        <f>IFERROR(Y146*I146,"0")</f>
        <v>777.75599999999997</v>
      </c>
      <c r="BO146" s="67">
        <f>IFERROR(X146/J146,"0")</f>
        <v>3</v>
      </c>
      <c r="BP146" s="67">
        <f>IFERROR(Y146/J146,"0")</f>
        <v>3</v>
      </c>
    </row>
    <row r="147" spans="1:68" x14ac:dyDescent="0.2">
      <c r="A147" s="282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4"/>
      <c r="P147" s="296" t="s">
        <v>82</v>
      </c>
      <c r="Q147" s="297"/>
      <c r="R147" s="297"/>
      <c r="S147" s="297"/>
      <c r="T147" s="297"/>
      <c r="U147" s="297"/>
      <c r="V147" s="298"/>
      <c r="W147" s="37" t="s">
        <v>68</v>
      </c>
      <c r="X147" s="278">
        <f>IFERROR(SUM(X145:X146),"0")</f>
        <v>322</v>
      </c>
      <c r="Y147" s="278">
        <f>IFERROR(SUM(Y145:Y146),"0")</f>
        <v>322</v>
      </c>
      <c r="Z147" s="278">
        <f>IFERROR(IF(Z145="",0,Z145),"0")+IFERROR(IF(Z146="",0,Z146),"0")</f>
        <v>5.7573600000000003</v>
      </c>
      <c r="AA147" s="279"/>
      <c r="AB147" s="279"/>
      <c r="AC147" s="279"/>
    </row>
    <row r="148" spans="1:68" x14ac:dyDescent="0.2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96" t="s">
        <v>82</v>
      </c>
      <c r="Q148" s="297"/>
      <c r="R148" s="297"/>
      <c r="S148" s="297"/>
      <c r="T148" s="297"/>
      <c r="U148" s="297"/>
      <c r="V148" s="298"/>
      <c r="W148" s="37" t="s">
        <v>83</v>
      </c>
      <c r="X148" s="278">
        <f>IFERROR(SUMPRODUCT(X145:X146*H145:H146),"0")</f>
        <v>966</v>
      </c>
      <c r="Y148" s="278">
        <f>IFERROR(SUMPRODUCT(Y145:Y146*H145:H146),"0")</f>
        <v>966</v>
      </c>
      <c r="Z148" s="37"/>
      <c r="AA148" s="279"/>
      <c r="AB148" s="279"/>
      <c r="AC148" s="279"/>
    </row>
    <row r="149" spans="1:68" ht="16.5" hidden="1" customHeight="1" x14ac:dyDescent="0.25">
      <c r="A149" s="323" t="s">
        <v>231</v>
      </c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71"/>
      <c r="AB149" s="271"/>
      <c r="AC149" s="271"/>
    </row>
    <row r="150" spans="1:68" ht="14.25" hidden="1" customHeight="1" x14ac:dyDescent="0.25">
      <c r="A150" s="285" t="s">
        <v>136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2"/>
      <c r="AB150" s="272"/>
      <c r="AC150" s="272"/>
    </row>
    <row r="151" spans="1:68" ht="27" customHeight="1" x14ac:dyDescent="0.25">
      <c r="A151" s="54" t="s">
        <v>232</v>
      </c>
      <c r="B151" s="54" t="s">
        <v>233</v>
      </c>
      <c r="C151" s="31">
        <v>4301135824</v>
      </c>
      <c r="D151" s="287">
        <v>4607111039095</v>
      </c>
      <c r="E151" s="288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30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07"/>
      <c r="R151" s="307"/>
      <c r="S151" s="307"/>
      <c r="T151" s="308"/>
      <c r="U151" s="34"/>
      <c r="V151" s="34"/>
      <c r="W151" s="35" t="s">
        <v>68</v>
      </c>
      <c r="X151" s="276">
        <v>14</v>
      </c>
      <c r="Y151" s="277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52.472000000000001</v>
      </c>
      <c r="BN151" s="67">
        <f>IFERROR(Y151*I151,"0")</f>
        <v>52.472000000000001</v>
      </c>
      <c r="BO151" s="67">
        <f>IFERROR(X151/J151,"0")</f>
        <v>0.2</v>
      </c>
      <c r="BP151" s="67">
        <f>IFERROR(Y151/J151,"0")</f>
        <v>0.2</v>
      </c>
    </row>
    <row r="152" spans="1:68" ht="16.5" customHeight="1" x14ac:dyDescent="0.25">
      <c r="A152" s="54" t="s">
        <v>235</v>
      </c>
      <c r="B152" s="54" t="s">
        <v>236</v>
      </c>
      <c r="C152" s="31">
        <v>4301135550</v>
      </c>
      <c r="D152" s="287">
        <v>4607111034199</v>
      </c>
      <c r="E152" s="288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45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07"/>
      <c r="R152" s="307"/>
      <c r="S152" s="307"/>
      <c r="T152" s="308"/>
      <c r="U152" s="34"/>
      <c r="V152" s="34"/>
      <c r="W152" s="35" t="s">
        <v>68</v>
      </c>
      <c r="X152" s="276">
        <v>42</v>
      </c>
      <c r="Y152" s="277">
        <f>IFERROR(IF(X152="","",X152),"")</f>
        <v>42</v>
      </c>
      <c r="Z152" s="36">
        <f>IFERROR(IF(X152="","",X152*0.01788),"")</f>
        <v>0.75095999999999996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155.55119999999999</v>
      </c>
      <c r="BN152" s="67">
        <f>IFERROR(Y152*I152,"0")</f>
        <v>155.55119999999999</v>
      </c>
      <c r="BO152" s="67">
        <f>IFERROR(X152/J152,"0")</f>
        <v>0.6</v>
      </c>
      <c r="BP152" s="67">
        <f>IFERROR(Y152/J152,"0")</f>
        <v>0.6</v>
      </c>
    </row>
    <row r="153" spans="1:68" x14ac:dyDescent="0.2">
      <c r="A153" s="282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4"/>
      <c r="P153" s="296" t="s">
        <v>82</v>
      </c>
      <c r="Q153" s="297"/>
      <c r="R153" s="297"/>
      <c r="S153" s="297"/>
      <c r="T153" s="297"/>
      <c r="U153" s="297"/>
      <c r="V153" s="298"/>
      <c r="W153" s="37" t="s">
        <v>68</v>
      </c>
      <c r="X153" s="278">
        <f>IFERROR(SUM(X151:X152),"0")</f>
        <v>56</v>
      </c>
      <c r="Y153" s="278">
        <f>IFERROR(SUM(Y151:Y152),"0")</f>
        <v>56</v>
      </c>
      <c r="Z153" s="278">
        <f>IFERROR(IF(Z151="",0,Z151),"0")+IFERROR(IF(Z152="",0,Z152),"0")</f>
        <v>1.0012799999999999</v>
      </c>
      <c r="AA153" s="279"/>
      <c r="AB153" s="279"/>
      <c r="AC153" s="279"/>
    </row>
    <row r="154" spans="1:68" x14ac:dyDescent="0.2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96" t="s">
        <v>82</v>
      </c>
      <c r="Q154" s="297"/>
      <c r="R154" s="297"/>
      <c r="S154" s="297"/>
      <c r="T154" s="297"/>
      <c r="U154" s="297"/>
      <c r="V154" s="298"/>
      <c r="W154" s="37" t="s">
        <v>83</v>
      </c>
      <c r="X154" s="278">
        <f>IFERROR(SUMPRODUCT(X151:X152*H151:H152),"0")</f>
        <v>168</v>
      </c>
      <c r="Y154" s="278">
        <f>IFERROR(SUMPRODUCT(Y151:Y152*H151:H152),"0")</f>
        <v>168</v>
      </c>
      <c r="Z154" s="37"/>
      <c r="AA154" s="279"/>
      <c r="AB154" s="279"/>
      <c r="AC154" s="279"/>
    </row>
    <row r="155" spans="1:68" ht="16.5" hidden="1" customHeight="1" x14ac:dyDescent="0.25">
      <c r="A155" s="323" t="s">
        <v>238</v>
      </c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71"/>
      <c r="AB155" s="271"/>
      <c r="AC155" s="271"/>
    </row>
    <row r="156" spans="1:68" ht="14.25" hidden="1" customHeight="1" x14ac:dyDescent="0.25">
      <c r="A156" s="285" t="s">
        <v>136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2"/>
      <c r="AB156" s="272"/>
      <c r="AC156" s="272"/>
    </row>
    <row r="157" spans="1:68" ht="27" hidden="1" customHeight="1" x14ac:dyDescent="0.25">
      <c r="A157" s="54" t="s">
        <v>239</v>
      </c>
      <c r="B157" s="54" t="s">
        <v>240</v>
      </c>
      <c r="C157" s="31">
        <v>4301135753</v>
      </c>
      <c r="D157" s="287">
        <v>4620207490914</v>
      </c>
      <c r="E157" s="288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46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07"/>
      <c r="R157" s="307"/>
      <c r="S157" s="307"/>
      <c r="T157" s="308"/>
      <c r="U157" s="34"/>
      <c r="V157" s="34"/>
      <c r="W157" s="35" t="s">
        <v>68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87">
        <v>4620207490853</v>
      </c>
      <c r="E158" s="288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4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07"/>
      <c r="R158" s="307"/>
      <c r="S158" s="307"/>
      <c r="T158" s="308"/>
      <c r="U158" s="34"/>
      <c r="V158" s="34"/>
      <c r="W158" s="35" t="s">
        <v>68</v>
      </c>
      <c r="X158" s="276">
        <v>14</v>
      </c>
      <c r="Y158" s="277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x14ac:dyDescent="0.2">
      <c r="A159" s="282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4"/>
      <c r="P159" s="296" t="s">
        <v>82</v>
      </c>
      <c r="Q159" s="297"/>
      <c r="R159" s="297"/>
      <c r="S159" s="297"/>
      <c r="T159" s="297"/>
      <c r="U159" s="297"/>
      <c r="V159" s="298"/>
      <c r="W159" s="37" t="s">
        <v>68</v>
      </c>
      <c r="X159" s="278">
        <f>IFERROR(SUM(X157:X158),"0")</f>
        <v>14</v>
      </c>
      <c r="Y159" s="278">
        <f>IFERROR(SUM(Y157:Y158),"0")</f>
        <v>14</v>
      </c>
      <c r="Z159" s="278">
        <f>IFERROR(IF(Z157="",0,Z157),"0")+IFERROR(IF(Z158="",0,Z158),"0")</f>
        <v>0.25031999999999999</v>
      </c>
      <c r="AA159" s="279"/>
      <c r="AB159" s="279"/>
      <c r="AC159" s="279"/>
    </row>
    <row r="160" spans="1:68" x14ac:dyDescent="0.2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96" t="s">
        <v>82</v>
      </c>
      <c r="Q160" s="297"/>
      <c r="R160" s="297"/>
      <c r="S160" s="297"/>
      <c r="T160" s="297"/>
      <c r="U160" s="297"/>
      <c r="V160" s="298"/>
      <c r="W160" s="37" t="s">
        <v>83</v>
      </c>
      <c r="X160" s="278">
        <f>IFERROR(SUMPRODUCT(X157:X158*H157:H158),"0")</f>
        <v>33.6</v>
      </c>
      <c r="Y160" s="278">
        <f>IFERROR(SUMPRODUCT(Y157:Y158*H157:H158),"0")</f>
        <v>33.6</v>
      </c>
      <c r="Z160" s="37"/>
      <c r="AA160" s="279"/>
      <c r="AB160" s="279"/>
      <c r="AC160" s="279"/>
    </row>
    <row r="161" spans="1:68" ht="16.5" hidden="1" customHeight="1" x14ac:dyDescent="0.25">
      <c r="A161" s="323" t="s">
        <v>243</v>
      </c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71"/>
      <c r="AB161" s="271"/>
      <c r="AC161" s="271"/>
    </row>
    <row r="162" spans="1:68" ht="14.25" hidden="1" customHeight="1" x14ac:dyDescent="0.25">
      <c r="A162" s="285" t="s">
        <v>136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2"/>
      <c r="AB162" s="272"/>
      <c r="AC162" s="272"/>
    </row>
    <row r="163" spans="1:68" ht="27" customHeight="1" x14ac:dyDescent="0.25">
      <c r="A163" s="54" t="s">
        <v>244</v>
      </c>
      <c r="B163" s="54" t="s">
        <v>245</v>
      </c>
      <c r="C163" s="31">
        <v>4301135570</v>
      </c>
      <c r="D163" s="287">
        <v>4607111035806</v>
      </c>
      <c r="E163" s="288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46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07"/>
      <c r="R163" s="307"/>
      <c r="S163" s="307"/>
      <c r="T163" s="308"/>
      <c r="U163" s="34"/>
      <c r="V163" s="34"/>
      <c r="W163" s="35" t="s">
        <v>68</v>
      </c>
      <c r="X163" s="276">
        <v>14</v>
      </c>
      <c r="Y163" s="277">
        <f>IFERROR(IF(X163="","",X163),"")</f>
        <v>14</v>
      </c>
      <c r="Z163" s="36">
        <f>IFERROR(IF(X163="","",X163*0.01788),"")</f>
        <v>0.25031999999999999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51.850399999999993</v>
      </c>
      <c r="BN163" s="67">
        <f>IFERROR(Y163*I163,"0")</f>
        <v>51.850399999999993</v>
      </c>
      <c r="BO163" s="67">
        <f>IFERROR(X163/J163,"0")</f>
        <v>0.2</v>
      </c>
      <c r="BP163" s="67">
        <f>IFERROR(Y163/J163,"0")</f>
        <v>0.2</v>
      </c>
    </row>
    <row r="164" spans="1:68" x14ac:dyDescent="0.2">
      <c r="A164" s="282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4"/>
      <c r="P164" s="296" t="s">
        <v>82</v>
      </c>
      <c r="Q164" s="297"/>
      <c r="R164" s="297"/>
      <c r="S164" s="297"/>
      <c r="T164" s="297"/>
      <c r="U164" s="297"/>
      <c r="V164" s="298"/>
      <c r="W164" s="37" t="s">
        <v>68</v>
      </c>
      <c r="X164" s="278">
        <f>IFERROR(SUM(X163:X163),"0")</f>
        <v>14</v>
      </c>
      <c r="Y164" s="278">
        <f>IFERROR(SUM(Y163:Y163),"0")</f>
        <v>14</v>
      </c>
      <c r="Z164" s="278">
        <f>IFERROR(IF(Z163="",0,Z163),"0")</f>
        <v>0.25031999999999999</v>
      </c>
      <c r="AA164" s="279"/>
      <c r="AB164" s="279"/>
      <c r="AC164" s="279"/>
    </row>
    <row r="165" spans="1:68" x14ac:dyDescent="0.2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96" t="s">
        <v>82</v>
      </c>
      <c r="Q165" s="297"/>
      <c r="R165" s="297"/>
      <c r="S165" s="297"/>
      <c r="T165" s="297"/>
      <c r="U165" s="297"/>
      <c r="V165" s="298"/>
      <c r="W165" s="37" t="s">
        <v>83</v>
      </c>
      <c r="X165" s="278">
        <f>IFERROR(SUMPRODUCT(X163:X163*H163:H163),"0")</f>
        <v>42</v>
      </c>
      <c r="Y165" s="278">
        <f>IFERROR(SUMPRODUCT(Y163:Y163*H163:H163),"0")</f>
        <v>42</v>
      </c>
      <c r="Z165" s="37"/>
      <c r="AA165" s="279"/>
      <c r="AB165" s="279"/>
      <c r="AC165" s="279"/>
    </row>
    <row r="166" spans="1:68" ht="16.5" hidden="1" customHeight="1" x14ac:dyDescent="0.25">
      <c r="A166" s="323" t="s">
        <v>247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71"/>
      <c r="AB166" s="271"/>
      <c r="AC166" s="271"/>
    </row>
    <row r="167" spans="1:68" ht="14.25" hidden="1" customHeight="1" x14ac:dyDescent="0.25">
      <c r="A167" s="285" t="s">
        <v>136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2"/>
      <c r="AB167" s="272"/>
      <c r="AC167" s="272"/>
    </row>
    <row r="168" spans="1:68" ht="16.5" hidden="1" customHeight="1" x14ac:dyDescent="0.25">
      <c r="A168" s="54" t="s">
        <v>248</v>
      </c>
      <c r="B168" s="54" t="s">
        <v>249</v>
      </c>
      <c r="C168" s="31">
        <v>4301135607</v>
      </c>
      <c r="D168" s="287">
        <v>4607111039613</v>
      </c>
      <c r="E168" s="288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45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07"/>
      <c r="R168" s="307"/>
      <c r="S168" s="307"/>
      <c r="T168" s="308"/>
      <c r="U168" s="34"/>
      <c r="V168" s="34"/>
      <c r="W168" s="35" t="s">
        <v>68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2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4"/>
      <c r="P169" s="296" t="s">
        <v>82</v>
      </c>
      <c r="Q169" s="297"/>
      <c r="R169" s="297"/>
      <c r="S169" s="297"/>
      <c r="T169" s="297"/>
      <c r="U169" s="297"/>
      <c r="V169" s="298"/>
      <c r="W169" s="37" t="s">
        <v>68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hidden="1" x14ac:dyDescent="0.2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96" t="s">
        <v>82</v>
      </c>
      <c r="Q170" s="297"/>
      <c r="R170" s="297"/>
      <c r="S170" s="297"/>
      <c r="T170" s="297"/>
      <c r="U170" s="297"/>
      <c r="V170" s="298"/>
      <c r="W170" s="37" t="s">
        <v>83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hidden="1" customHeight="1" x14ac:dyDescent="0.25">
      <c r="A171" s="323" t="s">
        <v>250</v>
      </c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71"/>
      <c r="AB171" s="271"/>
      <c r="AC171" s="271"/>
    </row>
    <row r="172" spans="1:68" ht="14.25" hidden="1" customHeight="1" x14ac:dyDescent="0.25">
      <c r="A172" s="285" t="s">
        <v>136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87">
        <v>4607111036568</v>
      </c>
      <c r="E173" s="288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43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07"/>
      <c r="R173" s="307"/>
      <c r="S173" s="307"/>
      <c r="T173" s="308"/>
      <c r="U173" s="34"/>
      <c r="V173" s="34"/>
      <c r="W173" s="35" t="s">
        <v>68</v>
      </c>
      <c r="X173" s="276">
        <v>14</v>
      </c>
      <c r="Y173" s="277">
        <f>IFERROR(IF(X173="","",X173),"")</f>
        <v>14</v>
      </c>
      <c r="Z173" s="36">
        <f>IFERROR(IF(X173="","",X173*0.00941),"")</f>
        <v>0.13174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29.425199999999997</v>
      </c>
      <c r="BN173" s="67">
        <f>IFERROR(Y173*I173,"0")</f>
        <v>29.425199999999997</v>
      </c>
      <c r="BO173" s="67">
        <f>IFERROR(X173/J173,"0")</f>
        <v>0.1</v>
      </c>
      <c r="BP173" s="67">
        <f>IFERROR(Y173/J173,"0")</f>
        <v>0.1</v>
      </c>
    </row>
    <row r="174" spans="1:68" x14ac:dyDescent="0.2">
      <c r="A174" s="282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4"/>
      <c r="P174" s="296" t="s">
        <v>82</v>
      </c>
      <c r="Q174" s="297"/>
      <c r="R174" s="297"/>
      <c r="S174" s="297"/>
      <c r="T174" s="297"/>
      <c r="U174" s="297"/>
      <c r="V174" s="298"/>
      <c r="W174" s="37" t="s">
        <v>68</v>
      </c>
      <c r="X174" s="278">
        <f>IFERROR(SUM(X173:X173),"0")</f>
        <v>14</v>
      </c>
      <c r="Y174" s="278">
        <f>IFERROR(SUM(Y173:Y173),"0")</f>
        <v>14</v>
      </c>
      <c r="Z174" s="278">
        <f>IFERROR(IF(Z173="",0,Z173),"0")</f>
        <v>0.13174</v>
      </c>
      <c r="AA174" s="279"/>
      <c r="AB174" s="279"/>
      <c r="AC174" s="279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96" t="s">
        <v>82</v>
      </c>
      <c r="Q175" s="297"/>
      <c r="R175" s="297"/>
      <c r="S175" s="297"/>
      <c r="T175" s="297"/>
      <c r="U175" s="297"/>
      <c r="V175" s="298"/>
      <c r="W175" s="37" t="s">
        <v>83</v>
      </c>
      <c r="X175" s="278">
        <f>IFERROR(SUMPRODUCT(X173:X173*H173:H173),"0")</f>
        <v>23.52</v>
      </c>
      <c r="Y175" s="278">
        <f>IFERROR(SUMPRODUCT(Y173:Y173*H173:H173),"0")</f>
        <v>23.52</v>
      </c>
      <c r="Z175" s="37"/>
      <c r="AA175" s="279"/>
      <c r="AB175" s="279"/>
      <c r="AC175" s="279"/>
    </row>
    <row r="176" spans="1:68" ht="27.75" hidden="1" customHeight="1" x14ac:dyDescent="0.2">
      <c r="A176" s="319" t="s">
        <v>254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323" t="s">
        <v>255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71"/>
      <c r="AB177" s="271"/>
      <c r="AC177" s="271"/>
    </row>
    <row r="178" spans="1:68" ht="14.25" hidden="1" customHeight="1" x14ac:dyDescent="0.25">
      <c r="A178" s="285" t="s">
        <v>62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87">
        <v>4607111036384</v>
      </c>
      <c r="E179" s="288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40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07"/>
      <c r="R179" s="307"/>
      <c r="S179" s="307"/>
      <c r="T179" s="308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259</v>
      </c>
      <c r="B180" s="54" t="s">
        <v>260</v>
      </c>
      <c r="C180" s="31">
        <v>4301071050</v>
      </c>
      <c r="D180" s="287">
        <v>4607111036216</v>
      </c>
      <c r="E180" s="288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41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07"/>
      <c r="R180" s="307"/>
      <c r="S180" s="307"/>
      <c r="T180" s="308"/>
      <c r="U180" s="34"/>
      <c r="V180" s="34"/>
      <c r="W180" s="35" t="s">
        <v>68</v>
      </c>
      <c r="X180" s="276">
        <v>84</v>
      </c>
      <c r="Y180" s="277">
        <f>IFERROR(IF(X180="","",X180),"")</f>
        <v>84</v>
      </c>
      <c r="Z180" s="36">
        <f>IFERROR(IF(X180="","",X180*0.00866),"")</f>
        <v>0.72743999999999998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437.90879999999999</v>
      </c>
      <c r="BN180" s="67">
        <f>IFERROR(Y180*I180,"0")</f>
        <v>437.90879999999999</v>
      </c>
      <c r="BO180" s="67">
        <f>IFERROR(X180/J180,"0")</f>
        <v>0.58333333333333337</v>
      </c>
      <c r="BP180" s="67">
        <f>IFERROR(Y180/J180,"0")</f>
        <v>0.58333333333333337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96" t="s">
        <v>82</v>
      </c>
      <c r="Q181" s="297"/>
      <c r="R181" s="297"/>
      <c r="S181" s="297"/>
      <c r="T181" s="297"/>
      <c r="U181" s="297"/>
      <c r="V181" s="298"/>
      <c r="W181" s="37" t="s">
        <v>68</v>
      </c>
      <c r="X181" s="278">
        <f>IFERROR(SUM(X179:X180),"0")</f>
        <v>84</v>
      </c>
      <c r="Y181" s="278">
        <f>IFERROR(SUM(Y179:Y180),"0")</f>
        <v>84</v>
      </c>
      <c r="Z181" s="278">
        <f>IFERROR(IF(Z179="",0,Z179),"0")+IFERROR(IF(Z180="",0,Z180),"0")</f>
        <v>0.72743999999999998</v>
      </c>
      <c r="AA181" s="279"/>
      <c r="AB181" s="279"/>
      <c r="AC181" s="279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96" t="s">
        <v>82</v>
      </c>
      <c r="Q182" s="297"/>
      <c r="R182" s="297"/>
      <c r="S182" s="297"/>
      <c r="T182" s="297"/>
      <c r="U182" s="297"/>
      <c r="V182" s="298"/>
      <c r="W182" s="37" t="s">
        <v>83</v>
      </c>
      <c r="X182" s="278">
        <f>IFERROR(SUMPRODUCT(X179:X180*H179:H180),"0")</f>
        <v>420</v>
      </c>
      <c r="Y182" s="278">
        <f>IFERROR(SUMPRODUCT(Y179:Y180*H179:H180),"0")</f>
        <v>420</v>
      </c>
      <c r="Z182" s="37"/>
      <c r="AA182" s="279"/>
      <c r="AB182" s="279"/>
      <c r="AC182" s="279"/>
    </row>
    <row r="183" spans="1:68" ht="14.25" hidden="1" customHeight="1" x14ac:dyDescent="0.25">
      <c r="A183" s="285" t="s">
        <v>262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87">
        <v>4607111036827</v>
      </c>
      <c r="E184" s="288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4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307"/>
      <c r="R184" s="307"/>
      <c r="S184" s="307"/>
      <c r="T184" s="308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87">
        <v>4607111036834</v>
      </c>
      <c r="E185" s="288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4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307"/>
      <c r="R185" s="307"/>
      <c r="S185" s="307"/>
      <c r="T185" s="308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2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96" t="s">
        <v>82</v>
      </c>
      <c r="Q186" s="297"/>
      <c r="R186" s="297"/>
      <c r="S186" s="297"/>
      <c r="T186" s="297"/>
      <c r="U186" s="297"/>
      <c r="V186" s="298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4"/>
      <c r="P187" s="296" t="s">
        <v>82</v>
      </c>
      <c r="Q187" s="297"/>
      <c r="R187" s="297"/>
      <c r="S187" s="297"/>
      <c r="T187" s="297"/>
      <c r="U187" s="297"/>
      <c r="V187" s="298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19" t="s">
        <v>268</v>
      </c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48"/>
      <c r="AB188" s="48"/>
      <c r="AC188" s="48"/>
    </row>
    <row r="189" spans="1:68" ht="16.5" hidden="1" customHeight="1" x14ac:dyDescent="0.25">
      <c r="A189" s="323" t="s">
        <v>269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71"/>
      <c r="AB189" s="271"/>
      <c r="AC189" s="271"/>
    </row>
    <row r="190" spans="1:68" ht="14.25" hidden="1" customHeight="1" x14ac:dyDescent="0.25">
      <c r="A190" s="285" t="s">
        <v>92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87">
        <v>4607111035691</v>
      </c>
      <c r="E191" s="288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34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07"/>
      <c r="R191" s="307"/>
      <c r="S191" s="307"/>
      <c r="T191" s="308"/>
      <c r="U191" s="34"/>
      <c r="V191" s="34"/>
      <c r="W191" s="35" t="s">
        <v>68</v>
      </c>
      <c r="X191" s="276">
        <v>42</v>
      </c>
      <c r="Y191" s="277">
        <f>IFERROR(IF(X191="","",X191),"")</f>
        <v>42</v>
      </c>
      <c r="Z191" s="36">
        <f>IFERROR(IF(X191="","",X191*0.01788),"")</f>
        <v>0.75095999999999996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142.29599999999999</v>
      </c>
      <c r="BN191" s="67">
        <f>IFERROR(Y191*I191,"0")</f>
        <v>142.29599999999999</v>
      </c>
      <c r="BO191" s="67">
        <f>IFERROR(X191/J191,"0")</f>
        <v>0.6</v>
      </c>
      <c r="BP191" s="67">
        <f>IFERROR(Y191/J191,"0")</f>
        <v>0.6</v>
      </c>
    </row>
    <row r="192" spans="1:68" ht="27" customHeight="1" x14ac:dyDescent="0.25">
      <c r="A192" s="54" t="s">
        <v>273</v>
      </c>
      <c r="B192" s="54" t="s">
        <v>274</v>
      </c>
      <c r="C192" s="31">
        <v>4301132182</v>
      </c>
      <c r="D192" s="287">
        <v>4607111035721</v>
      </c>
      <c r="E192" s="288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4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07"/>
      <c r="R192" s="307"/>
      <c r="S192" s="307"/>
      <c r="T192" s="308"/>
      <c r="U192" s="34"/>
      <c r="V192" s="34"/>
      <c r="W192" s="35" t="s">
        <v>68</v>
      </c>
      <c r="X192" s="276">
        <v>70</v>
      </c>
      <c r="Y192" s="277">
        <f>IFERROR(IF(X192="","",X192),"")</f>
        <v>70</v>
      </c>
      <c r="Z192" s="36">
        <f>IFERROR(IF(X192="","",X192*0.01788),"")</f>
        <v>1.2516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237.16</v>
      </c>
      <c r="BN192" s="67">
        <f>IFERROR(Y192*I192,"0")</f>
        <v>237.16</v>
      </c>
      <c r="BO192" s="67">
        <f>IFERROR(X192/J192,"0")</f>
        <v>1</v>
      </c>
      <c r="BP192" s="67">
        <f>IFERROR(Y192/J192,"0")</f>
        <v>1</v>
      </c>
    </row>
    <row r="193" spans="1:68" ht="27" hidden="1" customHeight="1" x14ac:dyDescent="0.25">
      <c r="A193" s="54" t="s">
        <v>276</v>
      </c>
      <c r="B193" s="54" t="s">
        <v>277</v>
      </c>
      <c r="C193" s="31">
        <v>4301132170</v>
      </c>
      <c r="D193" s="287">
        <v>4607111038487</v>
      </c>
      <c r="E193" s="288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31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07"/>
      <c r="R193" s="307"/>
      <c r="S193" s="307"/>
      <c r="T193" s="308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87">
        <v>4620207491195</v>
      </c>
      <c r="E194" s="288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42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07"/>
      <c r="R194" s="307"/>
      <c r="S194" s="307"/>
      <c r="T194" s="308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2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4"/>
      <c r="P195" s="296" t="s">
        <v>82</v>
      </c>
      <c r="Q195" s="297"/>
      <c r="R195" s="297"/>
      <c r="S195" s="297"/>
      <c r="T195" s="297"/>
      <c r="U195" s="297"/>
      <c r="V195" s="298"/>
      <c r="W195" s="37" t="s">
        <v>68</v>
      </c>
      <c r="X195" s="278">
        <f>IFERROR(SUM(X191:X194),"0")</f>
        <v>112</v>
      </c>
      <c r="Y195" s="278">
        <f>IFERROR(SUM(Y191:Y194),"0")</f>
        <v>112</v>
      </c>
      <c r="Z195" s="278">
        <f>IFERROR(IF(Z191="",0,Z191),"0")+IFERROR(IF(Z192="",0,Z192),"0")+IFERROR(IF(Z193="",0,Z193),"0")+IFERROR(IF(Z194="",0,Z194),"0")</f>
        <v>2.0025599999999999</v>
      </c>
      <c r="AA195" s="279"/>
      <c r="AB195" s="279"/>
      <c r="AC195" s="279"/>
    </row>
    <row r="196" spans="1:68" x14ac:dyDescent="0.2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96" t="s">
        <v>82</v>
      </c>
      <c r="Q196" s="297"/>
      <c r="R196" s="297"/>
      <c r="S196" s="297"/>
      <c r="T196" s="297"/>
      <c r="U196" s="297"/>
      <c r="V196" s="298"/>
      <c r="W196" s="37" t="s">
        <v>83</v>
      </c>
      <c r="X196" s="278">
        <f>IFERROR(SUMPRODUCT(X191:X194*H191:H194),"0")</f>
        <v>336</v>
      </c>
      <c r="Y196" s="278">
        <f>IFERROR(SUMPRODUCT(Y191:Y194*H191:H194),"0")</f>
        <v>336</v>
      </c>
      <c r="Z196" s="37"/>
      <c r="AA196" s="279"/>
      <c r="AB196" s="279"/>
      <c r="AC196" s="279"/>
    </row>
    <row r="197" spans="1:68" ht="27.75" hidden="1" customHeight="1" x14ac:dyDescent="0.2">
      <c r="A197" s="319" t="s">
        <v>282</v>
      </c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48"/>
      <c r="AB197" s="48"/>
      <c r="AC197" s="48"/>
    </row>
    <row r="198" spans="1:68" ht="16.5" hidden="1" customHeight="1" x14ac:dyDescent="0.25">
      <c r="A198" s="323" t="s">
        <v>283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71"/>
      <c r="AB198" s="271"/>
      <c r="AC198" s="271"/>
    </row>
    <row r="199" spans="1:68" ht="14.25" hidden="1" customHeight="1" x14ac:dyDescent="0.25">
      <c r="A199" s="285" t="s">
        <v>92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2"/>
      <c r="AB199" s="272"/>
      <c r="AC199" s="272"/>
    </row>
    <row r="200" spans="1:68" ht="27" hidden="1" customHeight="1" x14ac:dyDescent="0.25">
      <c r="A200" s="54" t="s">
        <v>284</v>
      </c>
      <c r="B200" s="54" t="s">
        <v>285</v>
      </c>
      <c r="C200" s="31">
        <v>4301132227</v>
      </c>
      <c r="D200" s="287">
        <v>4620207491133</v>
      </c>
      <c r="E200" s="288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31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07"/>
      <c r="R200" s="307"/>
      <c r="S200" s="307"/>
      <c r="T200" s="308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2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4"/>
      <c r="P201" s="296" t="s">
        <v>82</v>
      </c>
      <c r="Q201" s="297"/>
      <c r="R201" s="297"/>
      <c r="S201" s="297"/>
      <c r="T201" s="297"/>
      <c r="U201" s="297"/>
      <c r="V201" s="298"/>
      <c r="W201" s="37" t="s">
        <v>68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hidden="1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4"/>
      <c r="P202" s="296" t="s">
        <v>82</v>
      </c>
      <c r="Q202" s="297"/>
      <c r="R202" s="297"/>
      <c r="S202" s="297"/>
      <c r="T202" s="297"/>
      <c r="U202" s="297"/>
      <c r="V202" s="298"/>
      <c r="W202" s="37" t="s">
        <v>83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hidden="1" customHeight="1" x14ac:dyDescent="0.25">
      <c r="A203" s="285" t="s">
        <v>136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72"/>
      <c r="AB203" s="272"/>
      <c r="AC203" s="272"/>
    </row>
    <row r="204" spans="1:68" ht="27" hidden="1" customHeight="1" x14ac:dyDescent="0.25">
      <c r="A204" s="54" t="s">
        <v>287</v>
      </c>
      <c r="B204" s="54" t="s">
        <v>288</v>
      </c>
      <c r="C204" s="31">
        <v>4301135834</v>
      </c>
      <c r="D204" s="287">
        <v>4620207491188</v>
      </c>
      <c r="E204" s="288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46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07"/>
      <c r="R204" s="307"/>
      <c r="S204" s="307"/>
      <c r="T204" s="308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87">
        <v>4620207490235</v>
      </c>
      <c r="E205" s="288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41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307"/>
      <c r="R205" s="307"/>
      <c r="S205" s="307"/>
      <c r="T205" s="308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87">
        <v>4620207490259</v>
      </c>
      <c r="E206" s="288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8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07"/>
      <c r="R206" s="307"/>
      <c r="S206" s="307"/>
      <c r="T206" s="308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2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4"/>
      <c r="P207" s="296" t="s">
        <v>82</v>
      </c>
      <c r="Q207" s="297"/>
      <c r="R207" s="297"/>
      <c r="S207" s="297"/>
      <c r="T207" s="297"/>
      <c r="U207" s="297"/>
      <c r="V207" s="298"/>
      <c r="W207" s="37" t="s">
        <v>68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hidden="1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4"/>
      <c r="P208" s="296" t="s">
        <v>82</v>
      </c>
      <c r="Q208" s="297"/>
      <c r="R208" s="297"/>
      <c r="S208" s="297"/>
      <c r="T208" s="297"/>
      <c r="U208" s="297"/>
      <c r="V208" s="298"/>
      <c r="W208" s="37" t="s">
        <v>83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hidden="1" customHeight="1" x14ac:dyDescent="0.25">
      <c r="A209" s="323" t="s">
        <v>296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1"/>
      <c r="AB209" s="271"/>
      <c r="AC209" s="271"/>
    </row>
    <row r="210" spans="1:68" ht="14.25" hidden="1" customHeight="1" x14ac:dyDescent="0.25">
      <c r="A210" s="285" t="s">
        <v>136</v>
      </c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87">
        <v>4620207491706</v>
      </c>
      <c r="E211" s="288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37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07"/>
      <c r="R211" s="307"/>
      <c r="S211" s="307"/>
      <c r="T211" s="308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87">
        <v>4620207491522</v>
      </c>
      <c r="E212" s="288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8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07"/>
      <c r="R212" s="307"/>
      <c r="S212" s="307"/>
      <c r="T212" s="308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2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4"/>
      <c r="P213" s="296" t="s">
        <v>82</v>
      </c>
      <c r="Q213" s="297"/>
      <c r="R213" s="297"/>
      <c r="S213" s="297"/>
      <c r="T213" s="297"/>
      <c r="U213" s="297"/>
      <c r="V213" s="298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4"/>
      <c r="P214" s="296" t="s">
        <v>82</v>
      </c>
      <c r="Q214" s="297"/>
      <c r="R214" s="297"/>
      <c r="S214" s="297"/>
      <c r="T214" s="297"/>
      <c r="U214" s="297"/>
      <c r="V214" s="298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323" t="s">
        <v>303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71"/>
      <c r="AB215" s="271"/>
      <c r="AC215" s="271"/>
    </row>
    <row r="216" spans="1:68" ht="14.25" hidden="1" customHeight="1" x14ac:dyDescent="0.25">
      <c r="A216" s="285" t="s">
        <v>62</v>
      </c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272"/>
      <c r="AB216" s="272"/>
      <c r="AC216" s="272"/>
    </row>
    <row r="217" spans="1:68" ht="27" customHeight="1" x14ac:dyDescent="0.25">
      <c r="A217" s="54" t="s">
        <v>304</v>
      </c>
      <c r="B217" s="54" t="s">
        <v>305</v>
      </c>
      <c r="C217" s="31">
        <v>4301071097</v>
      </c>
      <c r="D217" s="287">
        <v>4620207491096</v>
      </c>
      <c r="E217" s="288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37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07"/>
      <c r="R217" s="307"/>
      <c r="S217" s="307"/>
      <c r="T217" s="308"/>
      <c r="U217" s="34"/>
      <c r="V217" s="34"/>
      <c r="W217" s="35" t="s">
        <v>68</v>
      </c>
      <c r="X217" s="276">
        <v>72</v>
      </c>
      <c r="Y217" s="277">
        <f>IFERROR(IF(X217="","",X217),"")</f>
        <v>72</v>
      </c>
      <c r="Z217" s="36">
        <f>IFERROR(IF(X217="","",X217*0.0155),"")</f>
        <v>1.1160000000000001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376.56000000000006</v>
      </c>
      <c r="BN217" s="67">
        <f>IFERROR(Y217*I217,"0")</f>
        <v>376.56000000000006</v>
      </c>
      <c r="BO217" s="67">
        <f>IFERROR(X217/J217,"0")</f>
        <v>0.8571428571428571</v>
      </c>
      <c r="BP217" s="67">
        <f>IFERROR(Y217/J217,"0")</f>
        <v>0.8571428571428571</v>
      </c>
    </row>
    <row r="218" spans="1:68" x14ac:dyDescent="0.2">
      <c r="A218" s="282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96" t="s">
        <v>82</v>
      </c>
      <c r="Q218" s="297"/>
      <c r="R218" s="297"/>
      <c r="S218" s="297"/>
      <c r="T218" s="297"/>
      <c r="U218" s="297"/>
      <c r="V218" s="298"/>
      <c r="W218" s="37" t="s">
        <v>68</v>
      </c>
      <c r="X218" s="278">
        <f>IFERROR(SUM(X217:X217),"0")</f>
        <v>72</v>
      </c>
      <c r="Y218" s="278">
        <f>IFERROR(SUM(Y217:Y217),"0")</f>
        <v>72</v>
      </c>
      <c r="Z218" s="278">
        <f>IFERROR(IF(Z217="",0,Z217),"0")</f>
        <v>1.1160000000000001</v>
      </c>
      <c r="AA218" s="279"/>
      <c r="AB218" s="279"/>
      <c r="AC218" s="279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4"/>
      <c r="P219" s="296" t="s">
        <v>82</v>
      </c>
      <c r="Q219" s="297"/>
      <c r="R219" s="297"/>
      <c r="S219" s="297"/>
      <c r="T219" s="297"/>
      <c r="U219" s="297"/>
      <c r="V219" s="298"/>
      <c r="W219" s="37" t="s">
        <v>83</v>
      </c>
      <c r="X219" s="278">
        <f>IFERROR(SUMPRODUCT(X217:X217*H217:H217),"0")</f>
        <v>360</v>
      </c>
      <c r="Y219" s="278">
        <f>IFERROR(SUMPRODUCT(Y217:Y217*H217:H217),"0")</f>
        <v>360</v>
      </c>
      <c r="Z219" s="37"/>
      <c r="AA219" s="279"/>
      <c r="AB219" s="279"/>
      <c r="AC219" s="279"/>
    </row>
    <row r="220" spans="1:68" ht="16.5" hidden="1" customHeight="1" x14ac:dyDescent="0.25">
      <c r="A220" s="323" t="s">
        <v>307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1"/>
      <c r="AB220" s="271"/>
      <c r="AC220" s="271"/>
    </row>
    <row r="221" spans="1:68" ht="14.25" hidden="1" customHeight="1" x14ac:dyDescent="0.25">
      <c r="A221" s="285" t="s">
        <v>136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87">
        <v>4620207490501</v>
      </c>
      <c r="E222" s="288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30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07"/>
      <c r="R222" s="307"/>
      <c r="S222" s="307"/>
      <c r="T222" s="308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96" t="s">
        <v>82</v>
      </c>
      <c r="Q223" s="297"/>
      <c r="R223" s="297"/>
      <c r="S223" s="297"/>
      <c r="T223" s="297"/>
      <c r="U223" s="297"/>
      <c r="V223" s="298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96" t="s">
        <v>82</v>
      </c>
      <c r="Q224" s="297"/>
      <c r="R224" s="297"/>
      <c r="S224" s="297"/>
      <c r="T224" s="297"/>
      <c r="U224" s="297"/>
      <c r="V224" s="298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19" t="s">
        <v>311</v>
      </c>
      <c r="B225" s="320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48"/>
      <c r="AB225" s="48"/>
      <c r="AC225" s="48"/>
    </row>
    <row r="226" spans="1:68" ht="16.5" hidden="1" customHeight="1" x14ac:dyDescent="0.25">
      <c r="A226" s="323" t="s">
        <v>312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1"/>
      <c r="AB226" s="271"/>
      <c r="AC226" s="271"/>
    </row>
    <row r="227" spans="1:68" ht="14.25" hidden="1" customHeight="1" x14ac:dyDescent="0.25">
      <c r="A227" s="285" t="s">
        <v>62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87">
        <v>4607111036162</v>
      </c>
      <c r="E228" s="288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31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07"/>
      <c r="R228" s="307"/>
      <c r="S228" s="307"/>
      <c r="T228" s="308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2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96" t="s">
        <v>82</v>
      </c>
      <c r="Q229" s="297"/>
      <c r="R229" s="297"/>
      <c r="S229" s="297"/>
      <c r="T229" s="297"/>
      <c r="U229" s="297"/>
      <c r="V229" s="298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4"/>
      <c r="P230" s="296" t="s">
        <v>82</v>
      </c>
      <c r="Q230" s="297"/>
      <c r="R230" s="297"/>
      <c r="S230" s="297"/>
      <c r="T230" s="297"/>
      <c r="U230" s="297"/>
      <c r="V230" s="298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19" t="s">
        <v>316</v>
      </c>
      <c r="B231" s="320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48"/>
      <c r="AB231" s="48"/>
      <c r="AC231" s="48"/>
    </row>
    <row r="232" spans="1:68" ht="16.5" hidden="1" customHeight="1" x14ac:dyDescent="0.25">
      <c r="A232" s="323" t="s">
        <v>317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1"/>
      <c r="AB232" s="271"/>
      <c r="AC232" s="271"/>
    </row>
    <row r="233" spans="1:68" ht="14.25" hidden="1" customHeight="1" x14ac:dyDescent="0.25">
      <c r="A233" s="285" t="s">
        <v>62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72"/>
      <c r="AB233" s="272"/>
      <c r="AC233" s="272"/>
    </row>
    <row r="234" spans="1:68" ht="27" hidden="1" customHeight="1" x14ac:dyDescent="0.25">
      <c r="A234" s="54" t="s">
        <v>318</v>
      </c>
      <c r="B234" s="54" t="s">
        <v>319</v>
      </c>
      <c r="C234" s="31">
        <v>4301071029</v>
      </c>
      <c r="D234" s="287">
        <v>4607111035899</v>
      </c>
      <c r="E234" s="288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40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307"/>
      <c r="R234" s="307"/>
      <c r="S234" s="307"/>
      <c r="T234" s="308"/>
      <c r="U234" s="34"/>
      <c r="V234" s="34"/>
      <c r="W234" s="35" t="s">
        <v>68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2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96" t="s">
        <v>82</v>
      </c>
      <c r="Q235" s="297"/>
      <c r="R235" s="297"/>
      <c r="S235" s="297"/>
      <c r="T235" s="297"/>
      <c r="U235" s="297"/>
      <c r="V235" s="298"/>
      <c r="W235" s="37" t="s">
        <v>68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hidden="1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4"/>
      <c r="P236" s="296" t="s">
        <v>82</v>
      </c>
      <c r="Q236" s="297"/>
      <c r="R236" s="297"/>
      <c r="S236" s="297"/>
      <c r="T236" s="297"/>
      <c r="U236" s="297"/>
      <c r="V236" s="298"/>
      <c r="W236" s="37" t="s">
        <v>83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hidden="1" customHeight="1" x14ac:dyDescent="0.2">
      <c r="A237" s="319" t="s">
        <v>320</v>
      </c>
      <c r="B237" s="320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M237" s="320"/>
      <c r="N237" s="320"/>
      <c r="O237" s="320"/>
      <c r="P237" s="320"/>
      <c r="Q237" s="320"/>
      <c r="R237" s="320"/>
      <c r="S237" s="320"/>
      <c r="T237" s="320"/>
      <c r="U237" s="320"/>
      <c r="V237" s="320"/>
      <c r="W237" s="320"/>
      <c r="X237" s="320"/>
      <c r="Y237" s="320"/>
      <c r="Z237" s="320"/>
      <c r="AA237" s="48"/>
      <c r="AB237" s="48"/>
      <c r="AC237" s="48"/>
    </row>
    <row r="238" spans="1:68" ht="16.5" hidden="1" customHeight="1" x14ac:dyDescent="0.25">
      <c r="A238" s="323" t="s">
        <v>321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1"/>
      <c r="AB238" s="271"/>
      <c r="AC238" s="271"/>
    </row>
    <row r="239" spans="1:68" ht="14.25" hidden="1" customHeight="1" x14ac:dyDescent="0.25">
      <c r="A239" s="285" t="s">
        <v>322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87">
        <v>4607111039774</v>
      </c>
      <c r="E240" s="288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43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307"/>
      <c r="R240" s="307"/>
      <c r="S240" s="307"/>
      <c r="T240" s="308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2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96" t="s">
        <v>82</v>
      </c>
      <c r="Q241" s="297"/>
      <c r="R241" s="297"/>
      <c r="S241" s="297"/>
      <c r="T241" s="297"/>
      <c r="U241" s="297"/>
      <c r="V241" s="298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4"/>
      <c r="P242" s="296" t="s">
        <v>82</v>
      </c>
      <c r="Q242" s="297"/>
      <c r="R242" s="297"/>
      <c r="S242" s="297"/>
      <c r="T242" s="297"/>
      <c r="U242" s="297"/>
      <c r="V242" s="298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285" t="s">
        <v>136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87">
        <v>4607111039361</v>
      </c>
      <c r="E244" s="288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45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307"/>
      <c r="R244" s="307"/>
      <c r="S244" s="307"/>
      <c r="T244" s="308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2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96" t="s">
        <v>82</v>
      </c>
      <c r="Q245" s="297"/>
      <c r="R245" s="297"/>
      <c r="S245" s="297"/>
      <c r="T245" s="297"/>
      <c r="U245" s="297"/>
      <c r="V245" s="298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4"/>
      <c r="P246" s="296" t="s">
        <v>82</v>
      </c>
      <c r="Q246" s="297"/>
      <c r="R246" s="297"/>
      <c r="S246" s="297"/>
      <c r="T246" s="297"/>
      <c r="U246" s="297"/>
      <c r="V246" s="298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19" t="s">
        <v>328</v>
      </c>
      <c r="B247" s="320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320"/>
      <c r="P247" s="320"/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  <c r="AA247" s="48"/>
      <c r="AB247" s="48"/>
      <c r="AC247" s="48"/>
    </row>
    <row r="248" spans="1:68" ht="16.5" hidden="1" customHeight="1" x14ac:dyDescent="0.25">
      <c r="A248" s="323" t="s">
        <v>328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1"/>
      <c r="AB248" s="271"/>
      <c r="AC248" s="271"/>
    </row>
    <row r="249" spans="1:68" ht="14.25" hidden="1" customHeight="1" x14ac:dyDescent="0.25">
      <c r="A249" s="285" t="s">
        <v>92</v>
      </c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87">
        <v>4640242181950</v>
      </c>
      <c r="E250" s="288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4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307"/>
      <c r="R250" s="307"/>
      <c r="S250" s="307"/>
      <c r="T250" s="308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2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96" t="s">
        <v>82</v>
      </c>
      <c r="Q251" s="297"/>
      <c r="R251" s="297"/>
      <c r="S251" s="297"/>
      <c r="T251" s="297"/>
      <c r="U251" s="297"/>
      <c r="V251" s="298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4"/>
      <c r="P252" s="296" t="s">
        <v>82</v>
      </c>
      <c r="Q252" s="297"/>
      <c r="R252" s="297"/>
      <c r="S252" s="297"/>
      <c r="T252" s="297"/>
      <c r="U252" s="297"/>
      <c r="V252" s="298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19" t="s">
        <v>332</v>
      </c>
      <c r="B253" s="320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M253" s="320"/>
      <c r="N253" s="320"/>
      <c r="O253" s="320"/>
      <c r="P253" s="320"/>
      <c r="Q253" s="320"/>
      <c r="R253" s="320"/>
      <c r="S253" s="320"/>
      <c r="T253" s="320"/>
      <c r="U253" s="320"/>
      <c r="V253" s="320"/>
      <c r="W253" s="320"/>
      <c r="X253" s="320"/>
      <c r="Y253" s="320"/>
      <c r="Z253" s="320"/>
      <c r="AA253" s="48"/>
      <c r="AB253" s="48"/>
      <c r="AC253" s="48"/>
    </row>
    <row r="254" spans="1:68" ht="16.5" hidden="1" customHeight="1" x14ac:dyDescent="0.25">
      <c r="A254" s="323" t="s">
        <v>332</v>
      </c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271"/>
      <c r="AB254" s="271"/>
      <c r="AC254" s="271"/>
    </row>
    <row r="255" spans="1:68" ht="14.25" hidden="1" customHeight="1" x14ac:dyDescent="0.25">
      <c r="A255" s="285" t="s">
        <v>62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87">
        <v>4640242181264</v>
      </c>
      <c r="E256" s="288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38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07"/>
      <c r="R256" s="307"/>
      <c r="S256" s="307"/>
      <c r="T256" s="308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336</v>
      </c>
      <c r="B257" s="54" t="s">
        <v>337</v>
      </c>
      <c r="C257" s="31">
        <v>4301071021</v>
      </c>
      <c r="D257" s="287">
        <v>4640242181325</v>
      </c>
      <c r="E257" s="288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31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307"/>
      <c r="R257" s="307"/>
      <c r="S257" s="307"/>
      <c r="T257" s="308"/>
      <c r="U257" s="34"/>
      <c r="V257" s="34"/>
      <c r="W257" s="35" t="s">
        <v>68</v>
      </c>
      <c r="X257" s="276">
        <v>24</v>
      </c>
      <c r="Y257" s="277">
        <f>IFERROR(IF(X257="","",X257),"")</f>
        <v>24</v>
      </c>
      <c r="Z257" s="36">
        <f>IFERROR(IF(X257="","",X257*0.0155),"")</f>
        <v>0.372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174.72</v>
      </c>
      <c r="BN257" s="67">
        <f>IFERROR(Y257*I257,"0")</f>
        <v>174.72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82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296" t="s">
        <v>82</v>
      </c>
      <c r="Q258" s="297"/>
      <c r="R258" s="297"/>
      <c r="S258" s="297"/>
      <c r="T258" s="297"/>
      <c r="U258" s="297"/>
      <c r="V258" s="298"/>
      <c r="W258" s="37" t="s">
        <v>68</v>
      </c>
      <c r="X258" s="278">
        <f>IFERROR(SUM(X256:X257),"0")</f>
        <v>24</v>
      </c>
      <c r="Y258" s="278">
        <f>IFERROR(SUM(Y256:Y257),"0")</f>
        <v>24</v>
      </c>
      <c r="Z258" s="278">
        <f>IFERROR(IF(Z256="",0,Z256),"0")+IFERROR(IF(Z257="",0,Z257),"0")</f>
        <v>0.372</v>
      </c>
      <c r="AA258" s="279"/>
      <c r="AB258" s="279"/>
      <c r="AC258" s="279"/>
    </row>
    <row r="259" spans="1:68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4"/>
      <c r="P259" s="296" t="s">
        <v>82</v>
      </c>
      <c r="Q259" s="297"/>
      <c r="R259" s="297"/>
      <c r="S259" s="297"/>
      <c r="T259" s="297"/>
      <c r="U259" s="297"/>
      <c r="V259" s="298"/>
      <c r="W259" s="37" t="s">
        <v>83</v>
      </c>
      <c r="X259" s="278">
        <f>IFERROR(SUMPRODUCT(X256:X257*H256:H257),"0")</f>
        <v>168</v>
      </c>
      <c r="Y259" s="278">
        <f>IFERROR(SUMPRODUCT(Y256:Y257*H256:H257),"0")</f>
        <v>168</v>
      </c>
      <c r="Z259" s="37"/>
      <c r="AA259" s="279"/>
      <c r="AB259" s="279"/>
      <c r="AC259" s="279"/>
    </row>
    <row r="260" spans="1:68" ht="14.25" hidden="1" customHeight="1" x14ac:dyDescent="0.25">
      <c r="A260" s="285" t="s">
        <v>92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87">
        <v>4640242180397</v>
      </c>
      <c r="E261" s="288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307"/>
      <c r="R261" s="307"/>
      <c r="S261" s="307"/>
      <c r="T261" s="308"/>
      <c r="U261" s="34"/>
      <c r="V261" s="34"/>
      <c r="W261" s="35" t="s">
        <v>68</v>
      </c>
      <c r="X261" s="276">
        <v>96</v>
      </c>
      <c r="Y261" s="277">
        <f>IFERROR(IF(X261="","",X261),"")</f>
        <v>96</v>
      </c>
      <c r="Z261" s="36">
        <f>IFERROR(IF(X261="","",X261*0.0155),"")</f>
        <v>1.488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600.96</v>
      </c>
      <c r="BN261" s="67">
        <f>IFERROR(Y261*I261,"0")</f>
        <v>600.96</v>
      </c>
      <c r="BO261" s="67">
        <f>IFERROR(X261/J261,"0")</f>
        <v>1.1428571428571428</v>
      </c>
      <c r="BP261" s="67">
        <f>IFERROR(Y261/J261,"0")</f>
        <v>1.1428571428571428</v>
      </c>
    </row>
    <row r="262" spans="1:68" x14ac:dyDescent="0.2">
      <c r="A262" s="282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96" t="s">
        <v>82</v>
      </c>
      <c r="Q262" s="297"/>
      <c r="R262" s="297"/>
      <c r="S262" s="297"/>
      <c r="T262" s="297"/>
      <c r="U262" s="297"/>
      <c r="V262" s="298"/>
      <c r="W262" s="37" t="s">
        <v>68</v>
      </c>
      <c r="X262" s="278">
        <f>IFERROR(SUM(X261:X261),"0")</f>
        <v>96</v>
      </c>
      <c r="Y262" s="278">
        <f>IFERROR(SUM(Y261:Y261),"0")</f>
        <v>96</v>
      </c>
      <c r="Z262" s="278">
        <f>IFERROR(IF(Z261="",0,Z261),"0")</f>
        <v>1.488</v>
      </c>
      <c r="AA262" s="279"/>
      <c r="AB262" s="279"/>
      <c r="AC262" s="279"/>
    </row>
    <row r="263" spans="1:68" x14ac:dyDescent="0.2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4"/>
      <c r="P263" s="296" t="s">
        <v>82</v>
      </c>
      <c r="Q263" s="297"/>
      <c r="R263" s="297"/>
      <c r="S263" s="297"/>
      <c r="T263" s="297"/>
      <c r="U263" s="297"/>
      <c r="V263" s="298"/>
      <c r="W263" s="37" t="s">
        <v>83</v>
      </c>
      <c r="X263" s="278">
        <f>IFERROR(SUMPRODUCT(X261:X261*H261:H261),"0")</f>
        <v>576</v>
      </c>
      <c r="Y263" s="278">
        <f>IFERROR(SUMPRODUCT(Y261:Y261*H261:H261),"0")</f>
        <v>576</v>
      </c>
      <c r="Z263" s="37"/>
      <c r="AA263" s="279"/>
      <c r="AB263" s="279"/>
      <c r="AC263" s="279"/>
    </row>
    <row r="264" spans="1:68" ht="14.25" hidden="1" customHeight="1" x14ac:dyDescent="0.25">
      <c r="A264" s="285" t="s">
        <v>130</v>
      </c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72"/>
      <c r="AB264" s="272"/>
      <c r="AC264" s="272"/>
    </row>
    <row r="265" spans="1:68" ht="27" customHeight="1" x14ac:dyDescent="0.25">
      <c r="A265" s="54" t="s">
        <v>341</v>
      </c>
      <c r="B265" s="54" t="s">
        <v>342</v>
      </c>
      <c r="C265" s="31">
        <v>4301136051</v>
      </c>
      <c r="D265" s="287">
        <v>4640242180304</v>
      </c>
      <c r="E265" s="288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307"/>
      <c r="R265" s="307"/>
      <c r="S265" s="307"/>
      <c r="T265" s="308"/>
      <c r="U265" s="34"/>
      <c r="V265" s="34"/>
      <c r="W265" s="35" t="s">
        <v>68</v>
      </c>
      <c r="X265" s="276">
        <v>140</v>
      </c>
      <c r="Y265" s="277">
        <f>IFERROR(IF(X265="","",X265),"")</f>
        <v>140</v>
      </c>
      <c r="Z265" s="36">
        <f>IFERROR(IF(X265="","",X265*0.00936),"")</f>
        <v>1.3104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404.68400000000003</v>
      </c>
      <c r="BN265" s="67">
        <f>IFERROR(Y265*I265,"0")</f>
        <v>404.68400000000003</v>
      </c>
      <c r="BO265" s="67">
        <f>IFERROR(X265/J265,"0")</f>
        <v>1.1111111111111112</v>
      </c>
      <c r="BP265" s="67">
        <f>IFERROR(Y265/J265,"0")</f>
        <v>1.1111111111111112</v>
      </c>
    </row>
    <row r="266" spans="1:68" ht="27" customHeight="1" x14ac:dyDescent="0.25">
      <c r="A266" s="54" t="s">
        <v>344</v>
      </c>
      <c r="B266" s="54" t="s">
        <v>345</v>
      </c>
      <c r="C266" s="31">
        <v>4301136053</v>
      </c>
      <c r="D266" s="287">
        <v>4640242180236</v>
      </c>
      <c r="E266" s="288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307"/>
      <c r="R266" s="307"/>
      <c r="S266" s="307"/>
      <c r="T266" s="308"/>
      <c r="U266" s="34"/>
      <c r="V266" s="34"/>
      <c r="W266" s="35" t="s">
        <v>68</v>
      </c>
      <c r="X266" s="276">
        <v>228</v>
      </c>
      <c r="Y266" s="277">
        <f>IFERROR(IF(X266="","",X266),"")</f>
        <v>228</v>
      </c>
      <c r="Z266" s="36">
        <f>IFERROR(IF(X266="","",X266*0.0155),"")</f>
        <v>3.5339999999999998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1193.5800000000002</v>
      </c>
      <c r="BN266" s="67">
        <f>IFERROR(Y266*I266,"0")</f>
        <v>1193.5800000000002</v>
      </c>
      <c r="BO266" s="67">
        <f>IFERROR(X266/J266,"0")</f>
        <v>2.7142857142857144</v>
      </c>
      <c r="BP266" s="67">
        <f>IFERROR(Y266/J266,"0")</f>
        <v>2.7142857142857144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87">
        <v>4640242180410</v>
      </c>
      <c r="E267" s="288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9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307"/>
      <c r="R267" s="307"/>
      <c r="S267" s="307"/>
      <c r="T267" s="308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2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96" t="s">
        <v>82</v>
      </c>
      <c r="Q268" s="297"/>
      <c r="R268" s="297"/>
      <c r="S268" s="297"/>
      <c r="T268" s="297"/>
      <c r="U268" s="297"/>
      <c r="V268" s="298"/>
      <c r="W268" s="37" t="s">
        <v>68</v>
      </c>
      <c r="X268" s="278">
        <f>IFERROR(SUM(X265:X267),"0")</f>
        <v>368</v>
      </c>
      <c r="Y268" s="278">
        <f>IFERROR(SUM(Y265:Y267),"0")</f>
        <v>368</v>
      </c>
      <c r="Z268" s="278">
        <f>IFERROR(IF(Z265="",0,Z265),"0")+IFERROR(IF(Z266="",0,Z266),"0")+IFERROR(IF(Z267="",0,Z267),"0")</f>
        <v>4.8444000000000003</v>
      </c>
      <c r="AA268" s="279"/>
      <c r="AB268" s="279"/>
      <c r="AC268" s="279"/>
    </row>
    <row r="269" spans="1:68" x14ac:dyDescent="0.2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4"/>
      <c r="P269" s="296" t="s">
        <v>82</v>
      </c>
      <c r="Q269" s="297"/>
      <c r="R269" s="297"/>
      <c r="S269" s="297"/>
      <c r="T269" s="297"/>
      <c r="U269" s="297"/>
      <c r="V269" s="298"/>
      <c r="W269" s="37" t="s">
        <v>83</v>
      </c>
      <c r="X269" s="278">
        <f>IFERROR(SUMPRODUCT(X265:X267*H265:H267),"0")</f>
        <v>1518</v>
      </c>
      <c r="Y269" s="278">
        <f>IFERROR(SUMPRODUCT(Y265:Y267*H265:H267),"0")</f>
        <v>1518</v>
      </c>
      <c r="Z269" s="37"/>
      <c r="AA269" s="279"/>
      <c r="AB269" s="279"/>
      <c r="AC269" s="279"/>
    </row>
    <row r="270" spans="1:68" ht="14.25" hidden="1" customHeight="1" x14ac:dyDescent="0.25">
      <c r="A270" s="285" t="s">
        <v>136</v>
      </c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87">
        <v>4640242181554</v>
      </c>
      <c r="E271" s="288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307"/>
      <c r="R271" s="307"/>
      <c r="S271" s="307"/>
      <c r="T271" s="308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351</v>
      </c>
      <c r="B272" s="54" t="s">
        <v>352</v>
      </c>
      <c r="C272" s="31">
        <v>4301135873</v>
      </c>
      <c r="D272" s="287">
        <v>4640242182087</v>
      </c>
      <c r="E272" s="288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406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307"/>
      <c r="R272" s="307"/>
      <c r="S272" s="307"/>
      <c r="T272" s="308"/>
      <c r="U272" s="34"/>
      <c r="V272" s="34"/>
      <c r="W272" s="35" t="s">
        <v>68</v>
      </c>
      <c r="X272" s="276">
        <v>36</v>
      </c>
      <c r="Y272" s="277">
        <f t="shared" si="18"/>
        <v>36</v>
      </c>
      <c r="Z272" s="36">
        <f>IFERROR(IF(X272="","",X272*0.0155),"")</f>
        <v>0.55800000000000005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188.28000000000003</v>
      </c>
      <c r="BN272" s="67">
        <f t="shared" si="20"/>
        <v>188.28000000000003</v>
      </c>
      <c r="BO272" s="67">
        <f t="shared" si="21"/>
        <v>0.42857142857142855</v>
      </c>
      <c r="BP272" s="67">
        <f t="shared" si="22"/>
        <v>0.42857142857142855</v>
      </c>
    </row>
    <row r="273" spans="1:68" ht="27" customHeight="1" x14ac:dyDescent="0.25">
      <c r="A273" s="54" t="s">
        <v>354</v>
      </c>
      <c r="B273" s="54" t="s">
        <v>355</v>
      </c>
      <c r="C273" s="31">
        <v>4301135374</v>
      </c>
      <c r="D273" s="287">
        <v>4640242181424</v>
      </c>
      <c r="E273" s="288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45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307"/>
      <c r="R273" s="307"/>
      <c r="S273" s="307"/>
      <c r="T273" s="308"/>
      <c r="U273" s="34"/>
      <c r="V273" s="34"/>
      <c r="W273" s="35" t="s">
        <v>68</v>
      </c>
      <c r="X273" s="276">
        <v>36</v>
      </c>
      <c r="Y273" s="277">
        <f t="shared" si="18"/>
        <v>36</v>
      </c>
      <c r="Z273" s="36">
        <f>IFERROR(IF(X273="","",X273*0.0155),"")</f>
        <v>0.55800000000000005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206.46</v>
      </c>
      <c r="BN273" s="67">
        <f t="shared" si="20"/>
        <v>206.46</v>
      </c>
      <c r="BO273" s="67">
        <f t="shared" si="21"/>
        <v>0.42857142857142855</v>
      </c>
      <c r="BP273" s="67">
        <f t="shared" si="22"/>
        <v>0.42857142857142855</v>
      </c>
    </row>
    <row r="274" spans="1:68" ht="27" customHeight="1" x14ac:dyDescent="0.25">
      <c r="A274" s="54" t="s">
        <v>356</v>
      </c>
      <c r="B274" s="54" t="s">
        <v>357</v>
      </c>
      <c r="C274" s="31">
        <v>4301135405</v>
      </c>
      <c r="D274" s="287">
        <v>4640242181523</v>
      </c>
      <c r="E274" s="288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36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307"/>
      <c r="R274" s="307"/>
      <c r="S274" s="307"/>
      <c r="T274" s="308"/>
      <c r="U274" s="34"/>
      <c r="V274" s="34"/>
      <c r="W274" s="35" t="s">
        <v>68</v>
      </c>
      <c r="X274" s="276">
        <v>112</v>
      </c>
      <c r="Y274" s="277">
        <f t="shared" si="18"/>
        <v>112</v>
      </c>
      <c r="Z274" s="36">
        <f t="shared" ref="Z274:Z279" si="23">IFERROR(IF(X274="","",X274*0.00936),"")</f>
        <v>1.0483199999999999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357.50400000000002</v>
      </c>
      <c r="BN274" s="67">
        <f t="shared" si="20"/>
        <v>357.50400000000002</v>
      </c>
      <c r="BO274" s="67">
        <f t="shared" si="21"/>
        <v>0.88888888888888884</v>
      </c>
      <c r="BP274" s="67">
        <f t="shared" si="22"/>
        <v>0.88888888888888884</v>
      </c>
    </row>
    <row r="275" spans="1:68" ht="27" customHeight="1" x14ac:dyDescent="0.25">
      <c r="A275" s="54" t="s">
        <v>358</v>
      </c>
      <c r="B275" s="54" t="s">
        <v>359</v>
      </c>
      <c r="C275" s="31">
        <v>4301135375</v>
      </c>
      <c r="D275" s="287">
        <v>4640242181486</v>
      </c>
      <c r="E275" s="288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45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7"/>
      <c r="R275" s="307"/>
      <c r="S275" s="307"/>
      <c r="T275" s="308"/>
      <c r="U275" s="34"/>
      <c r="V275" s="34"/>
      <c r="W275" s="35" t="s">
        <v>68</v>
      </c>
      <c r="X275" s="276">
        <v>196</v>
      </c>
      <c r="Y275" s="277">
        <f t="shared" si="18"/>
        <v>196</v>
      </c>
      <c r="Z275" s="36">
        <f t="shared" si="23"/>
        <v>1.83456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762.83199999999999</v>
      </c>
      <c r="BN275" s="67">
        <f t="shared" si="20"/>
        <v>762.83199999999999</v>
      </c>
      <c r="BO275" s="67">
        <f t="shared" si="21"/>
        <v>1.5555555555555556</v>
      </c>
      <c r="BP275" s="67">
        <f t="shared" si="22"/>
        <v>1.5555555555555556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87">
        <v>4640242181493</v>
      </c>
      <c r="E276" s="288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45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307"/>
      <c r="R276" s="307"/>
      <c r="S276" s="307"/>
      <c r="T276" s="308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87">
        <v>4640242181509</v>
      </c>
      <c r="E277" s="288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40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307"/>
      <c r="R277" s="307"/>
      <c r="S277" s="307"/>
      <c r="T277" s="308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87">
        <v>4640242181240</v>
      </c>
      <c r="E278" s="288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5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7"/>
      <c r="R278" s="307"/>
      <c r="S278" s="307"/>
      <c r="T278" s="308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87">
        <v>4640242181318</v>
      </c>
      <c r="E279" s="288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37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7"/>
      <c r="R279" s="307"/>
      <c r="S279" s="307"/>
      <c r="T279" s="308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87">
        <v>4640242181387</v>
      </c>
      <c r="E280" s="288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45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307"/>
      <c r="R280" s="307"/>
      <c r="S280" s="307"/>
      <c r="T280" s="308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96" t="s">
        <v>82</v>
      </c>
      <c r="Q281" s="297"/>
      <c r="R281" s="297"/>
      <c r="S281" s="297"/>
      <c r="T281" s="297"/>
      <c r="U281" s="297"/>
      <c r="V281" s="298"/>
      <c r="W281" s="37" t="s">
        <v>68</v>
      </c>
      <c r="X281" s="278">
        <f>IFERROR(SUM(X271:X280),"0")</f>
        <v>380</v>
      </c>
      <c r="Y281" s="278">
        <f>IFERROR(SUM(Y271:Y280),"0")</f>
        <v>380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3.9988799999999998</v>
      </c>
      <c r="AA281" s="279"/>
      <c r="AB281" s="279"/>
      <c r="AC281" s="279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96" t="s">
        <v>82</v>
      </c>
      <c r="Q282" s="297"/>
      <c r="R282" s="297"/>
      <c r="S282" s="297"/>
      <c r="T282" s="297"/>
      <c r="U282" s="297"/>
      <c r="V282" s="298"/>
      <c r="W282" s="37" t="s">
        <v>83</v>
      </c>
      <c r="X282" s="278">
        <f>IFERROR(SUMPRODUCT(X271:X280*H271:H280),"0")</f>
        <v>1439.2</v>
      </c>
      <c r="Y282" s="278">
        <f>IFERROR(SUMPRODUCT(Y271:Y280*H271:H280),"0")</f>
        <v>1439.2</v>
      </c>
      <c r="Z282" s="37"/>
      <c r="AA282" s="279"/>
      <c r="AB282" s="279"/>
      <c r="AC282" s="279"/>
    </row>
    <row r="283" spans="1:68" ht="15" customHeight="1" x14ac:dyDescent="0.2">
      <c r="A283" s="29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94"/>
      <c r="P283" s="299" t="s">
        <v>370</v>
      </c>
      <c r="Q283" s="300"/>
      <c r="R283" s="300"/>
      <c r="S283" s="300"/>
      <c r="T283" s="300"/>
      <c r="U283" s="300"/>
      <c r="V283" s="301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10358.920000000002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10358.920000000002</v>
      </c>
      <c r="Z283" s="37"/>
      <c r="AA283" s="279"/>
      <c r="AB283" s="279"/>
      <c r="AC283" s="279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94"/>
      <c r="P284" s="299" t="s">
        <v>371</v>
      </c>
      <c r="Q284" s="300"/>
      <c r="R284" s="300"/>
      <c r="S284" s="300"/>
      <c r="T284" s="300"/>
      <c r="U284" s="300"/>
      <c r="V284" s="301"/>
      <c r="W284" s="37" t="s">
        <v>83</v>
      </c>
      <c r="X284" s="278">
        <f>IFERROR(SUM(BM22:BM280),"0")</f>
        <v>11447.704000000002</v>
      </c>
      <c r="Y284" s="278">
        <f>IFERROR(SUM(BN22:BN280),"0")</f>
        <v>11447.704000000002</v>
      </c>
      <c r="Z284" s="37"/>
      <c r="AA284" s="279"/>
      <c r="AB284" s="279"/>
      <c r="AC284" s="279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94"/>
      <c r="P285" s="299" t="s">
        <v>372</v>
      </c>
      <c r="Q285" s="300"/>
      <c r="R285" s="300"/>
      <c r="S285" s="300"/>
      <c r="T285" s="300"/>
      <c r="U285" s="300"/>
      <c r="V285" s="301"/>
      <c r="W285" s="37" t="s">
        <v>373</v>
      </c>
      <c r="X285" s="38">
        <f>ROUNDUP(SUM(BO22:BO280),0)</f>
        <v>31</v>
      </c>
      <c r="Y285" s="38">
        <f>ROUNDUP(SUM(BP22:BP280),0)</f>
        <v>31</v>
      </c>
      <c r="Z285" s="37"/>
      <c r="AA285" s="279"/>
      <c r="AB285" s="279"/>
      <c r="AC285" s="279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94"/>
      <c r="P286" s="299" t="s">
        <v>374</v>
      </c>
      <c r="Q286" s="300"/>
      <c r="R286" s="300"/>
      <c r="S286" s="300"/>
      <c r="T286" s="300"/>
      <c r="U286" s="300"/>
      <c r="V286" s="301"/>
      <c r="W286" s="37" t="s">
        <v>83</v>
      </c>
      <c r="X286" s="278">
        <f>GrossWeightTotal+PalletQtyTotal*25</f>
        <v>12222.704000000002</v>
      </c>
      <c r="Y286" s="278">
        <f>GrossWeightTotalR+PalletQtyTotalR*25</f>
        <v>12222.704000000002</v>
      </c>
      <c r="Z286" s="37"/>
      <c r="AA286" s="279"/>
      <c r="AB286" s="279"/>
      <c r="AC286" s="279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94"/>
      <c r="P287" s="299" t="s">
        <v>375</v>
      </c>
      <c r="Q287" s="300"/>
      <c r="R287" s="300"/>
      <c r="S287" s="300"/>
      <c r="T287" s="300"/>
      <c r="U287" s="300"/>
      <c r="V287" s="301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2680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2680</v>
      </c>
      <c r="Z287" s="37"/>
      <c r="AA287" s="279"/>
      <c r="AB287" s="279"/>
      <c r="AC287" s="279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94"/>
      <c r="P288" s="299" t="s">
        <v>376</v>
      </c>
      <c r="Q288" s="300"/>
      <c r="R288" s="300"/>
      <c r="S288" s="300"/>
      <c r="T288" s="300"/>
      <c r="U288" s="300"/>
      <c r="V288" s="301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38.348039999999997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280" t="s">
        <v>61</v>
      </c>
      <c r="C290" s="359"/>
      <c r="D290" s="280" t="s">
        <v>90</v>
      </c>
      <c r="E290" s="358"/>
      <c r="F290" s="358"/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9"/>
      <c r="V290" s="273" t="s">
        <v>254</v>
      </c>
      <c r="W290" s="273" t="s">
        <v>268</v>
      </c>
      <c r="X290" s="280" t="s">
        <v>282</v>
      </c>
      <c r="Y290" s="358"/>
      <c r="Z290" s="358"/>
      <c r="AA290" s="359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378" t="s">
        <v>379</v>
      </c>
      <c r="B291" s="280" t="s">
        <v>61</v>
      </c>
      <c r="C291" s="280" t="s">
        <v>84</v>
      </c>
      <c r="D291" s="280" t="s">
        <v>91</v>
      </c>
      <c r="E291" s="280" t="s">
        <v>102</v>
      </c>
      <c r="F291" s="280" t="s">
        <v>112</v>
      </c>
      <c r="G291" s="280" t="s">
        <v>123</v>
      </c>
      <c r="H291" s="280" t="s">
        <v>144</v>
      </c>
      <c r="I291" s="280" t="s">
        <v>151</v>
      </c>
      <c r="J291" s="280" t="s">
        <v>155</v>
      </c>
      <c r="K291" s="280" t="s">
        <v>163</v>
      </c>
      <c r="L291" s="280" t="s">
        <v>178</v>
      </c>
      <c r="M291" s="280" t="s">
        <v>184</v>
      </c>
      <c r="N291" s="274"/>
      <c r="O291" s="280" t="s">
        <v>209</v>
      </c>
      <c r="P291" s="280" t="s">
        <v>225</v>
      </c>
      <c r="Q291" s="280" t="s">
        <v>231</v>
      </c>
      <c r="R291" s="280" t="s">
        <v>238</v>
      </c>
      <c r="S291" s="280" t="s">
        <v>243</v>
      </c>
      <c r="T291" s="280" t="s">
        <v>247</v>
      </c>
      <c r="U291" s="280" t="s">
        <v>250</v>
      </c>
      <c r="V291" s="280" t="s">
        <v>255</v>
      </c>
      <c r="W291" s="280" t="s">
        <v>269</v>
      </c>
      <c r="X291" s="280" t="s">
        <v>283</v>
      </c>
      <c r="Y291" s="280" t="s">
        <v>296</v>
      </c>
      <c r="Z291" s="280" t="s">
        <v>303</v>
      </c>
      <c r="AA291" s="280" t="s">
        <v>307</v>
      </c>
      <c r="AB291" s="280" t="s">
        <v>312</v>
      </c>
      <c r="AC291" s="280" t="s">
        <v>317</v>
      </c>
      <c r="AD291" s="280" t="s">
        <v>321</v>
      </c>
      <c r="AE291" s="280" t="s">
        <v>328</v>
      </c>
      <c r="AF291" s="280" t="s">
        <v>332</v>
      </c>
    </row>
    <row r="292" spans="1:32" ht="13.5" customHeight="1" thickBot="1" x14ac:dyDescent="0.25">
      <c r="A292" s="379"/>
      <c r="B292" s="281"/>
      <c r="C292" s="281"/>
      <c r="D292" s="281"/>
      <c r="E292" s="281"/>
      <c r="F292" s="281"/>
      <c r="G292" s="281"/>
      <c r="H292" s="281"/>
      <c r="I292" s="281"/>
      <c r="J292" s="281"/>
      <c r="K292" s="281"/>
      <c r="L292" s="281"/>
      <c r="M292" s="281"/>
      <c r="N292" s="274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  <c r="AC292" s="281"/>
      <c r="AD292" s="281"/>
      <c r="AE292" s="281"/>
      <c r="AF292" s="281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345.6</v>
      </c>
      <c r="C293" s="46">
        <f>IFERROR(X32*H32,"0")+IFERROR(X33*H33,"0")</f>
        <v>0</v>
      </c>
      <c r="D293" s="46">
        <f>IFERROR(X39*H39,"0")+IFERROR(X40*H40,"0")</f>
        <v>105</v>
      </c>
      <c r="E293" s="46">
        <f>IFERROR(X45*H45,"0")+IFERROR(X46*H46,"0")+IFERROR(X47*H47,"0")</f>
        <v>470.4</v>
      </c>
      <c r="F293" s="46">
        <f>IFERROR(X52*H52,"0")+IFERROR(X53*H53,"0")+IFERROR(X54*H54,"0")+IFERROR(X55*H55,"0")</f>
        <v>336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360</v>
      </c>
      <c r="I293" s="46">
        <f>IFERROR(X86*H86,"0")</f>
        <v>50.4</v>
      </c>
      <c r="J293" s="46">
        <f>IFERROR(X91*H91,"0")+IFERROR(X92*H92,"0")</f>
        <v>201.6</v>
      </c>
      <c r="K293" s="46">
        <f>IFERROR(X97*H97,"0")+IFERROR(X98*H98,"0")+IFERROR(X99*H99,"0")+IFERROR(X100*H100,"0")+IFERROR(X101*H101,"0")+IFERROR(X102*H102,"0")</f>
        <v>967.68000000000006</v>
      </c>
      <c r="L293" s="46">
        <f>IFERROR(X107*H107,"0")+IFERROR(X108*H108,"0")</f>
        <v>262.08</v>
      </c>
      <c r="M293" s="46">
        <f>IFERROR(X113*H113,"0")+IFERROR(X114*H114,"0")+IFERROR(X115*H115,"0")+IFERROR(X116*H116,"0")+IFERROR(X117*H117,"0")+IFERROR(X118*H118,"0")+IFERROR(X119*H119,"0")+IFERROR(X123*H123,"0")+IFERROR(X127*H127,"0")</f>
        <v>986.40000000000009</v>
      </c>
      <c r="N293" s="274"/>
      <c r="O293" s="46">
        <f>IFERROR(X132*H132,"0")+IFERROR(X133*H133,"0")+IFERROR(X134*H134,"0")+IFERROR(X138*H138,"0")+IFERROR(X139*H139,"0")+IFERROR(X140*H140,"0")</f>
        <v>223.44</v>
      </c>
      <c r="P293" s="46">
        <f>IFERROR(X145*H145,"0")+IFERROR(X146*H146,"0")</f>
        <v>966</v>
      </c>
      <c r="Q293" s="46">
        <f>IFERROR(X151*H151,"0")+IFERROR(X152*H152,"0")</f>
        <v>168</v>
      </c>
      <c r="R293" s="46">
        <f>IFERROR(X157*H157,"0")+IFERROR(X158*H158,"0")</f>
        <v>33.6</v>
      </c>
      <c r="S293" s="46">
        <f>IFERROR(X163*H163,"0")</f>
        <v>42</v>
      </c>
      <c r="T293" s="46">
        <f>IFERROR(X168*H168,"0")</f>
        <v>0</v>
      </c>
      <c r="U293" s="46">
        <f>IFERROR(X173*H173,"0")</f>
        <v>23.52</v>
      </c>
      <c r="V293" s="46">
        <f>IFERROR(X179*H179,"0")+IFERROR(X180*H180,"0")+IFERROR(X184*H184,"0")+IFERROR(X185*H185,"0")</f>
        <v>420</v>
      </c>
      <c r="W293" s="46">
        <f>IFERROR(X191*H191,"0")+IFERROR(X192*H192,"0")+IFERROR(X193*H193,"0")+IFERROR(X194*H194,"0")</f>
        <v>336</v>
      </c>
      <c r="X293" s="46">
        <f>IFERROR(X200*H200,"0")+IFERROR(X204*H204,"0")+IFERROR(X205*H205,"0")+IFERROR(X206*H206,"0")</f>
        <v>0</v>
      </c>
      <c r="Y293" s="46">
        <f>IFERROR(X211*H211,"0")+IFERROR(X212*H212,"0")</f>
        <v>0</v>
      </c>
      <c r="Z293" s="46">
        <f>IFERROR(X217*H217,"0")</f>
        <v>360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3701.2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3446.4</v>
      </c>
      <c r="B296" s="60">
        <f>SUMPRODUCT(--(BB:BB="ПГП"),--(W:W="кор"),H:H,Y:Y)+SUMPRODUCT(--(BB:BB="ПГП"),--(W:W="кг"),Y:Y)</f>
        <v>6912.5199999999995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39,20"/>
        <filter val="1 518,00"/>
        <filter val="10 358,92"/>
        <filter val="105,00"/>
        <filter val="11 447,70"/>
        <filter val="112,00"/>
        <filter val="12 222,70"/>
        <filter val="12,00"/>
        <filter val="14,00"/>
        <filter val="140,00"/>
        <filter val="144,00"/>
        <filter val="168,00"/>
        <filter val="193,20"/>
        <filter val="196,00"/>
        <filter val="2 680,00"/>
        <filter val="201,60"/>
        <filter val="210,00"/>
        <filter val="228,00"/>
        <filter val="23,52"/>
        <filter val="24,00"/>
        <filter val="262,08"/>
        <filter val="28,00"/>
        <filter val="30,24"/>
        <filter val="31"/>
        <filter val="322,00"/>
        <filter val="33,60"/>
        <filter val="336,00"/>
        <filter val="345,60"/>
        <filter val="36,00"/>
        <filter val="360,00"/>
        <filter val="368,00"/>
        <filter val="380,00"/>
        <filter val="42,00"/>
        <filter val="420,00"/>
        <filter val="470,40"/>
        <filter val="48,00"/>
        <filter val="50,40"/>
        <filter val="56,00"/>
        <filter val="576,00"/>
        <filter val="70,00"/>
        <filter val="72,00"/>
        <filter val="84,00"/>
        <filter val="96,00"/>
        <filter val="966,00"/>
        <filter val="967,68"/>
        <filter val="986,40"/>
      </filters>
    </filterColumn>
    <filterColumn colId="29" showButton="0"/>
    <filterColumn colId="30" showButton="0"/>
  </autoFilter>
  <mergeCells count="511">
    <mergeCell ref="A227:Z227"/>
    <mergeCell ref="D200:E200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P88:V88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A63:Z63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8:E68"/>
    <mergeCell ref="P259:V259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23:V223"/>
    <mergeCell ref="P174:V174"/>
    <mergeCell ref="P102:T102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248:Z248"/>
    <mergeCell ref="A247:Z247"/>
    <mergeCell ref="A178:Z178"/>
    <mergeCell ref="N17:N18"/>
    <mergeCell ref="D86:E86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P258:V258"/>
    <mergeCell ref="D257:E257"/>
    <mergeCell ref="D151:E151"/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