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B338BB-6ECD-4112-A83A-437408E2035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N275" i="1" s="1"/>
  <c r="P275" i="1"/>
  <c r="BO274" i="1"/>
  <c r="BM274" i="1"/>
  <c r="Z274" i="1"/>
  <c r="Y274" i="1"/>
  <c r="P274" i="1"/>
  <c r="BP273" i="1"/>
  <c r="BO273" i="1"/>
  <c r="BM273" i="1"/>
  <c r="Z273" i="1"/>
  <c r="Y273" i="1"/>
  <c r="BN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P265" i="1" s="1"/>
  <c r="P265" i="1"/>
  <c r="X263" i="1"/>
  <c r="Y262" i="1"/>
  <c r="X262" i="1"/>
  <c r="BO261" i="1"/>
  <c r="BM261" i="1"/>
  <c r="Z261" i="1"/>
  <c r="Z262" i="1" s="1"/>
  <c r="Y261" i="1"/>
  <c r="Y263" i="1" s="1"/>
  <c r="P261" i="1"/>
  <c r="X259" i="1"/>
  <c r="X258" i="1"/>
  <c r="BO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Y252" i="1" s="1"/>
  <c r="P250" i="1"/>
  <c r="X246" i="1"/>
  <c r="X245" i="1"/>
  <c r="BO244" i="1"/>
  <c r="BM244" i="1"/>
  <c r="Z244" i="1"/>
  <c r="Z245" i="1" s="1"/>
  <c r="Y244" i="1"/>
  <c r="P244" i="1"/>
  <c r="Y242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P234" i="1"/>
  <c r="Y230" i="1"/>
  <c r="X230" i="1"/>
  <c r="Z229" i="1"/>
  <c r="X229" i="1"/>
  <c r="BO228" i="1"/>
  <c r="BM228" i="1"/>
  <c r="Z228" i="1"/>
  <c r="Y228" i="1"/>
  <c r="P228" i="1"/>
  <c r="X224" i="1"/>
  <c r="X223" i="1"/>
  <c r="BO222" i="1"/>
  <c r="BM222" i="1"/>
  <c r="Z222" i="1"/>
  <c r="Z223" i="1" s="1"/>
  <c r="Y222" i="1"/>
  <c r="P222" i="1"/>
  <c r="X219" i="1"/>
  <c r="X218" i="1"/>
  <c r="BO217" i="1"/>
  <c r="BM217" i="1"/>
  <c r="Z217" i="1"/>
  <c r="Z218" i="1" s="1"/>
  <c r="Y217" i="1"/>
  <c r="Y219" i="1" s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N211" i="1" s="1"/>
  <c r="P211" i="1"/>
  <c r="X208" i="1"/>
  <c r="X207" i="1"/>
  <c r="BO206" i="1"/>
  <c r="BM206" i="1"/>
  <c r="Z206" i="1"/>
  <c r="Y206" i="1"/>
  <c r="BN206" i="1" s="1"/>
  <c r="P206" i="1"/>
  <c r="BO205" i="1"/>
  <c r="BM205" i="1"/>
  <c r="Z205" i="1"/>
  <c r="Y205" i="1"/>
  <c r="P205" i="1"/>
  <c r="BO204" i="1"/>
  <c r="BM204" i="1"/>
  <c r="Z204" i="1"/>
  <c r="Y204" i="1"/>
  <c r="BP204" i="1" s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N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Z186" i="1" s="1"/>
  <c r="Y184" i="1"/>
  <c r="Y186" i="1" s="1"/>
  <c r="P184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P173" i="1"/>
  <c r="X170" i="1"/>
  <c r="X169" i="1"/>
  <c r="BO168" i="1"/>
  <c r="BM168" i="1"/>
  <c r="Z168" i="1"/>
  <c r="Z169" i="1" s="1"/>
  <c r="Y168" i="1"/>
  <c r="Y170" i="1" s="1"/>
  <c r="P168" i="1"/>
  <c r="X165" i="1"/>
  <c r="X164" i="1"/>
  <c r="BO163" i="1"/>
  <c r="BM163" i="1"/>
  <c r="Z163" i="1"/>
  <c r="Z164" i="1" s="1"/>
  <c r="Y163" i="1"/>
  <c r="P163" i="1"/>
  <c r="X160" i="1"/>
  <c r="Z159" i="1"/>
  <c r="X159" i="1"/>
  <c r="BO158" i="1"/>
  <c r="BM158" i="1"/>
  <c r="Z158" i="1"/>
  <c r="Y158" i="1"/>
  <c r="P158" i="1"/>
  <c r="BO157" i="1"/>
  <c r="BN157" i="1"/>
  <c r="BM157" i="1"/>
  <c r="Z157" i="1"/>
  <c r="Y157" i="1"/>
  <c r="BP157" i="1" s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Z153" i="1" s="1"/>
  <c r="Y151" i="1"/>
  <c r="BP151" i="1" s="1"/>
  <c r="P151" i="1"/>
  <c r="X148" i="1"/>
  <c r="X147" i="1"/>
  <c r="BO146" i="1"/>
  <c r="BM146" i="1"/>
  <c r="Z146" i="1"/>
  <c r="Y146" i="1"/>
  <c r="BP146" i="1" s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BO138" i="1"/>
  <c r="BM138" i="1"/>
  <c r="Z138" i="1"/>
  <c r="Y138" i="1"/>
  <c r="P138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N133" i="1" s="1"/>
  <c r="P133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8" i="1" s="1"/>
  <c r="P127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N116" i="1" s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N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P98" i="1"/>
  <c r="BO98" i="1"/>
  <c r="BM98" i="1"/>
  <c r="Z98" i="1"/>
  <c r="Y98" i="1"/>
  <c r="BN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Y91" i="1"/>
  <c r="P91" i="1"/>
  <c r="X88" i="1"/>
  <c r="Y87" i="1"/>
  <c r="X87" i="1"/>
  <c r="BP86" i="1"/>
  <c r="BO86" i="1"/>
  <c r="BM86" i="1"/>
  <c r="Z86" i="1"/>
  <c r="Z87" i="1" s="1"/>
  <c r="Y86" i="1"/>
  <c r="Y88" i="1" s="1"/>
  <c r="P86" i="1"/>
  <c r="X83" i="1"/>
  <c r="X82" i="1"/>
  <c r="BO81" i="1"/>
  <c r="BN81" i="1"/>
  <c r="BM81" i="1"/>
  <c r="Z81" i="1"/>
  <c r="Y81" i="1"/>
  <c r="BP81" i="1" s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Z76" i="1" s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Y70" i="1" s="1"/>
  <c r="P68" i="1"/>
  <c r="X66" i="1"/>
  <c r="X65" i="1"/>
  <c r="BP64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P46" i="1"/>
  <c r="BO46" i="1"/>
  <c r="BM46" i="1"/>
  <c r="Z46" i="1"/>
  <c r="Y46" i="1"/>
  <c r="BN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P24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A9" i="1"/>
  <c r="A10" i="1" s="1"/>
  <c r="D7" i="1"/>
  <c r="Q6" i="1"/>
  <c r="P2" i="1"/>
  <c r="BP275" i="1" l="1"/>
  <c r="BP116" i="1"/>
  <c r="BN74" i="1"/>
  <c r="BP102" i="1"/>
  <c r="BP206" i="1"/>
  <c r="BN22" i="1"/>
  <c r="BP133" i="1"/>
  <c r="BP68" i="1"/>
  <c r="Y201" i="1"/>
  <c r="BN184" i="1"/>
  <c r="Z109" i="1"/>
  <c r="BP60" i="1"/>
  <c r="Z48" i="1"/>
  <c r="Z41" i="1"/>
  <c r="BN100" i="1"/>
  <c r="BN107" i="1"/>
  <c r="BN261" i="1"/>
  <c r="BP211" i="1"/>
  <c r="Z103" i="1"/>
  <c r="BN64" i="1"/>
  <c r="BP194" i="1"/>
  <c r="Z268" i="1"/>
  <c r="Z141" i="1"/>
  <c r="BN192" i="1"/>
  <c r="Y35" i="1"/>
  <c r="Z34" i="1"/>
  <c r="Z135" i="1"/>
  <c r="BN146" i="1"/>
  <c r="Y159" i="1"/>
  <c r="BP184" i="1"/>
  <c r="BN200" i="1"/>
  <c r="Y61" i="1"/>
  <c r="Y28" i="1"/>
  <c r="Y109" i="1"/>
  <c r="Z120" i="1"/>
  <c r="BN139" i="1"/>
  <c r="BP261" i="1"/>
  <c r="BN267" i="1"/>
  <c r="Z28" i="1"/>
  <c r="BN86" i="1"/>
  <c r="Z181" i="1"/>
  <c r="BP200" i="1"/>
  <c r="Y104" i="1"/>
  <c r="F10" i="1"/>
  <c r="BN277" i="1"/>
  <c r="BN55" i="1"/>
  <c r="Z207" i="1"/>
  <c r="Z281" i="1"/>
  <c r="F9" i="1"/>
  <c r="BN33" i="1"/>
  <c r="BN118" i="1"/>
  <c r="BN26" i="1"/>
  <c r="Y65" i="1"/>
  <c r="Y93" i="1"/>
  <c r="BN151" i="1"/>
  <c r="BN180" i="1"/>
  <c r="Y187" i="1"/>
  <c r="Z213" i="1"/>
  <c r="BN265" i="1"/>
  <c r="Y57" i="1"/>
  <c r="Z56" i="1"/>
  <c r="BN204" i="1"/>
  <c r="BN257" i="1"/>
  <c r="BN271" i="1"/>
  <c r="Y76" i="1"/>
  <c r="Y48" i="1"/>
  <c r="Z93" i="1"/>
  <c r="Y148" i="1"/>
  <c r="Y141" i="1"/>
  <c r="Z147" i="1"/>
  <c r="Y135" i="1"/>
  <c r="Y160" i="1"/>
  <c r="BN60" i="1"/>
  <c r="BN68" i="1"/>
  <c r="Y120" i="1"/>
  <c r="X287" i="1"/>
  <c r="J9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29" i="1"/>
  <c r="Y136" i="1"/>
  <c r="Y142" i="1"/>
  <c r="Y147" i="1"/>
  <c r="Y164" i="1"/>
  <c r="BP163" i="1"/>
  <c r="BN163" i="1"/>
  <c r="Y174" i="1"/>
  <c r="BP173" i="1"/>
  <c r="BN173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X284" i="1"/>
  <c r="X285" i="1"/>
  <c r="BN23" i="1"/>
  <c r="BN25" i="1"/>
  <c r="BN27" i="1"/>
  <c r="X283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BN134" i="1"/>
  <c r="BN138" i="1"/>
  <c r="BP138" i="1"/>
  <c r="BN140" i="1"/>
  <c r="BN145" i="1"/>
  <c r="BP145" i="1"/>
  <c r="Y154" i="1"/>
  <c r="BN152" i="1"/>
  <c r="Y153" i="1"/>
  <c r="BP158" i="1"/>
  <c r="BN158" i="1"/>
  <c r="Y165" i="1"/>
  <c r="Y169" i="1"/>
  <c r="BP168" i="1"/>
  <c r="BN168" i="1"/>
  <c r="Y175" i="1"/>
  <c r="Y182" i="1"/>
  <c r="BP179" i="1"/>
  <c r="BN179" i="1"/>
  <c r="Y181" i="1"/>
  <c r="BP185" i="1"/>
  <c r="BN185" i="1"/>
  <c r="Z195" i="1"/>
  <c r="Y208" i="1"/>
  <c r="Y213" i="1"/>
  <c r="Y214" i="1"/>
  <c r="Y218" i="1"/>
  <c r="BP217" i="1"/>
  <c r="BN217" i="1"/>
  <c r="Y224" i="1"/>
  <c r="Y229" i="1"/>
  <c r="BP228" i="1"/>
  <c r="BN228" i="1"/>
  <c r="Y236" i="1"/>
  <c r="Y241" i="1"/>
  <c r="BP240" i="1"/>
  <c r="BN240" i="1"/>
  <c r="Y246" i="1"/>
  <c r="Y251" i="1"/>
  <c r="BP250" i="1"/>
  <c r="BN250" i="1"/>
  <c r="Z258" i="1"/>
  <c r="Y269" i="1"/>
  <c r="Y281" i="1"/>
  <c r="Y282" i="1"/>
  <c r="Y287" i="1" l="1"/>
  <c r="Z288" i="1"/>
  <c r="Y285" i="1"/>
  <c r="Y284" i="1"/>
  <c r="X286" i="1"/>
  <c r="Y283" i="1"/>
  <c r="Y286" i="1" l="1"/>
  <c r="C296" i="1"/>
  <c r="B296" i="1"/>
  <c r="A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<sst xmlns="http://schemas.openxmlformats.org/spreadsheetml/2006/main" count="1292" uniqueCount="417">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</sst>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46202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386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0.45833333333333331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60</v>
      </c>
      <c r="Y25" s="277">
        <f t="shared" si="0"/>
        <v>60</v>
      </c>
      <c r="Z25" s="36">
        <f t="shared" si="1"/>
        <v>0.92999999999999994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448.2</v>
      </c>
      <c r="BN25" s="67">
        <f t="shared" si="3"/>
        <v>448.2</v>
      </c>
      <c r="BO25" s="67">
        <f t="shared" si="4"/>
        <v>0.7142857142857143</v>
      </c>
      <c r="BP25" s="67">
        <f t="shared" si="5"/>
        <v>0.7142857142857143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36</v>
      </c>
      <c r="Y27" s="277">
        <f t="shared" si="0"/>
        <v>36</v>
      </c>
      <c r="Z27" s="36">
        <f t="shared" si="1"/>
        <v>0.55800000000000005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96</v>
      </c>
      <c r="Y28" s="278">
        <f>IFERROR(SUM(Y22:Y27),"0")</f>
        <v>96</v>
      </c>
      <c r="Z28" s="278">
        <f>IFERROR(IF(Z22="",0,Z22),"0")+IFERROR(IF(Z23="",0,Z23),"0")+IFERROR(IF(Z24="",0,Z24),"0")+IFERROR(IF(Z25="",0,Z25),"0")+IFERROR(IF(Z26="",0,Z26),"0")+IFERROR(IF(Z27="",0,Z27),"0")</f>
        <v>1.488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691.2</v>
      </c>
      <c r="Y29" s="278">
        <f>IFERROR(SUMPRODUCT(Y22:Y27*H22:H27),"0")</f>
        <v>691.2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70</v>
      </c>
      <c r="Y39" s="277">
        <f>IFERROR(IF(X39="","",X39),"")</f>
        <v>70</v>
      </c>
      <c r="Z39" s="36">
        <f>IFERROR(IF(X39="","",X39*0.00941),"")</f>
        <v>0.65869999999999995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134.52600000000001</v>
      </c>
      <c r="BN39" s="67">
        <f>IFERROR(Y39*I39,"0")</f>
        <v>134.52600000000001</v>
      </c>
      <c r="BO39" s="67">
        <f>IFERROR(X39/J39,"0")</f>
        <v>0.5</v>
      </c>
      <c r="BP39" s="67">
        <f>IFERROR(Y39/J39,"0")</f>
        <v>0.5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28</v>
      </c>
      <c r="Y40" s="277">
        <f>IFERROR(IF(X40="","",X40),"")</f>
        <v>28</v>
      </c>
      <c r="Z40" s="36">
        <f>IFERROR(IF(X40="","",X40*0.00941),"")</f>
        <v>0.26347999999999999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53.810400000000001</v>
      </c>
      <c r="BN40" s="67">
        <f>IFERROR(Y40*I40,"0")</f>
        <v>53.810400000000001</v>
      </c>
      <c r="BO40" s="67">
        <f>IFERROR(X40/J40,"0")</f>
        <v>0.2</v>
      </c>
      <c r="BP40" s="67">
        <f>IFERROR(Y40/J40,"0")</f>
        <v>0.2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98</v>
      </c>
      <c r="Y41" s="278">
        <f>IFERROR(SUM(Y39:Y40),"0")</f>
        <v>98</v>
      </c>
      <c r="Z41" s="278">
        <f>IFERROR(IF(Z39="",0,Z39),"0")+IFERROR(IF(Z40="",0,Z40),"0")</f>
        <v>0.92218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147</v>
      </c>
      <c r="Y42" s="278">
        <f>IFERROR(SUMPRODUCT(Y39:Y40*H39:H40),"0")</f>
        <v>147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24</v>
      </c>
      <c r="Y45" s="27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24</v>
      </c>
      <c r="Y47" s="277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72</v>
      </c>
      <c r="Y48" s="278">
        <f>IFERROR(SUM(Y45:Y47),"0")</f>
        <v>72</v>
      </c>
      <c r="Z48" s="278">
        <f>IFERROR(IF(Z45="",0,Z45),"0")+IFERROR(IF(Z46="",0,Z46),"0")+IFERROR(IF(Z47="",0,Z47),"0")</f>
        <v>1.1160000000000001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403.19999999999993</v>
      </c>
      <c r="Y49" s="278">
        <f>IFERROR(SUMPRODUCT(Y45:Y47*H45:H47),"0")</f>
        <v>403.19999999999993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72</v>
      </c>
      <c r="Y52" s="277">
        <f>IFERROR(IF(X52="","",X52),"")</f>
        <v>72</v>
      </c>
      <c r="Z52" s="36">
        <f>IFERROR(IF(X52="","",X52*0.0155),"")</f>
        <v>1.1160000000000001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525.6</v>
      </c>
      <c r="BN52" s="67">
        <f>IFERROR(Y52*I52,"0")</f>
        <v>525.6</v>
      </c>
      <c r="BO52" s="67">
        <f>IFERROR(X52/J52,"0")</f>
        <v>0.8571428571428571</v>
      </c>
      <c r="BP52" s="67">
        <f>IFERROR(Y52/J52,"0")</f>
        <v>0.8571428571428571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72</v>
      </c>
      <c r="Y56" s="278">
        <f>IFERROR(SUM(Y52:Y55),"0")</f>
        <v>72</v>
      </c>
      <c r="Z56" s="278">
        <f>IFERROR(IF(Z52="",0,Z52),"0")+IFERROR(IF(Z53="",0,Z53),"0")+IFERROR(IF(Z54="",0,Z54),"0")+IFERROR(IF(Z55="",0,Z55),"0")</f>
        <v>1.1160000000000001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504</v>
      </c>
      <c r="Y57" s="278">
        <f>IFERROR(SUMPRODUCT(Y52:Y55*H52:H55),"0")</f>
        <v>504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56</v>
      </c>
      <c r="Y75" s="277">
        <f>IFERROR(IF(X75="","",X75),"")</f>
        <v>56</v>
      </c>
      <c r="Z75" s="36">
        <f>IFERROR(IF(X75="","",X75*0.00941),"")</f>
        <v>0.52695999999999998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87.36</v>
      </c>
      <c r="BN75" s="67">
        <f>IFERROR(Y75*I75,"0")</f>
        <v>87.36</v>
      </c>
      <c r="BO75" s="67">
        <f>IFERROR(X75/J75,"0")</f>
        <v>0.4</v>
      </c>
      <c r="BP75" s="67">
        <f>IFERROR(Y75/J75,"0")</f>
        <v>0.4</v>
      </c>
    </row>
    <row r="76" spans="1:68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56</v>
      </c>
      <c r="Y76" s="278">
        <f>IFERROR(SUM(Y73:Y75),"0")</f>
        <v>56</v>
      </c>
      <c r="Z76" s="278">
        <f>IFERROR(IF(Z73="",0,Z73),"0")+IFERROR(IF(Z74="",0,Z74),"0")+IFERROR(IF(Z75="",0,Z75),"0")</f>
        <v>0.52695999999999998</v>
      </c>
      <c r="AA76" s="279"/>
      <c r="AB76" s="279"/>
      <c r="AC76" s="279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67.2</v>
      </c>
      <c r="Y77" s="278">
        <f>IFERROR(SUMPRODUCT(Y73:Y75*H73:H75),"0")</f>
        <v>67.2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216</v>
      </c>
      <c r="Y81" s="277">
        <f>IFERROR(IF(X81="","",X81),"")</f>
        <v>216</v>
      </c>
      <c r="Z81" s="36">
        <f>IFERROR(IF(X81="","",X81*0.00866),"")</f>
        <v>1.8705599999999998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1126.0511999999999</v>
      </c>
      <c r="BN81" s="67">
        <f>IFERROR(Y81*I81,"0")</f>
        <v>1126.0511999999999</v>
      </c>
      <c r="BO81" s="67">
        <f>IFERROR(X81/J81,"0")</f>
        <v>1.5</v>
      </c>
      <c r="BP81" s="67">
        <f>IFERROR(Y81/J81,"0")</f>
        <v>1.5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216</v>
      </c>
      <c r="Y82" s="278">
        <f>IFERROR(SUM(Y80:Y81),"0")</f>
        <v>216</v>
      </c>
      <c r="Z82" s="278">
        <f>IFERROR(IF(Z80="",0,Z80),"0")+IFERROR(IF(Z81="",0,Z81),"0")</f>
        <v>1.8705599999999998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1080</v>
      </c>
      <c r="Y83" s="278">
        <f>IFERROR(SUMPRODUCT(Y80:Y81*H80:H81),"0")</f>
        <v>1080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70</v>
      </c>
      <c r="Y91" s="27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98</v>
      </c>
      <c r="Y92" s="277">
        <f>IFERROR(IF(X92="","",X92),"")</f>
        <v>98</v>
      </c>
      <c r="Z92" s="36">
        <f>IFERROR(IF(X92="","",X92*0.01788),"")</f>
        <v>1.75224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421.75280000000004</v>
      </c>
      <c r="BN92" s="67">
        <f>IFERROR(Y92*I92,"0")</f>
        <v>421.75280000000004</v>
      </c>
      <c r="BO92" s="67">
        <f>IFERROR(X92/J92,"0")</f>
        <v>1.4</v>
      </c>
      <c r="BP92" s="67">
        <f>IFERROR(Y92/J92,"0")</f>
        <v>1.4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168</v>
      </c>
      <c r="Y93" s="278">
        <f>IFERROR(SUM(Y91:Y92),"0")</f>
        <v>168</v>
      </c>
      <c r="Z93" s="278">
        <f>IFERROR(IF(Z91="",0,Z91),"0")+IFERROR(IF(Z92="",0,Z92),"0")</f>
        <v>3.0038400000000003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604.79999999999995</v>
      </c>
      <c r="Y94" s="278">
        <f>IFERROR(SUMPRODUCT(Y91:Y92*H91:H92),"0")</f>
        <v>604.79999999999995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28</v>
      </c>
      <c r="Y97" s="27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42</v>
      </c>
      <c r="Y98" s="277">
        <f t="shared" si="6"/>
        <v>42</v>
      </c>
      <c r="Z98" s="36">
        <f t="shared" si="7"/>
        <v>0.75095999999999996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42</v>
      </c>
      <c r="Y99" s="277">
        <f t="shared" si="6"/>
        <v>42</v>
      </c>
      <c r="Z99" s="36">
        <f t="shared" si="7"/>
        <v>0.75095999999999996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56</v>
      </c>
      <c r="Y100" s="277">
        <f t="shared" si="6"/>
        <v>56</v>
      </c>
      <c r="Z100" s="36">
        <f t="shared" si="7"/>
        <v>1.0012799999999999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14</v>
      </c>
      <c r="Y101" s="277">
        <f t="shared" si="6"/>
        <v>14</v>
      </c>
      <c r="Z101" s="36">
        <f t="shared" si="7"/>
        <v>0.25031999999999999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28</v>
      </c>
      <c r="Y102" s="277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210</v>
      </c>
      <c r="Y103" s="278">
        <f>IFERROR(SUM(Y97:Y102),"0")</f>
        <v>210</v>
      </c>
      <c r="Z103" s="278">
        <f>IFERROR(IF(Z97="",0,Z97),"0")+IFERROR(IF(Z98="",0,Z98),"0")+IFERROR(IF(Z99="",0,Z99),"0")+IFERROR(IF(Z100="",0,Z100),"0")+IFERROR(IF(Z101="",0,Z101),"0")+IFERROR(IF(Z102="",0,Z102),"0")</f>
        <v>3.7547999999999995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655.20000000000005</v>
      </c>
      <c r="Y104" s="278">
        <f>IFERROR(SUMPRODUCT(Y97:Y102*H97:H102),"0")</f>
        <v>655.20000000000005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14</v>
      </c>
      <c r="Y107" s="277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0</v>
      </c>
      <c r="Y108" s="27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14</v>
      </c>
      <c r="Y109" s="278">
        <f>IFERROR(SUM(Y107:Y108),"0")</f>
        <v>14</v>
      </c>
      <c r="Z109" s="278">
        <f>IFERROR(IF(Z107="",0,Z107),"0")+IFERROR(IF(Z108="",0,Z108),"0")</f>
        <v>0.13103999999999999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30.240000000000002</v>
      </c>
      <c r="Y110" s="278">
        <f>IFERROR(SUMPRODUCT(Y107:Y108*H107:H108),"0")</f>
        <v>30.240000000000002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12</v>
      </c>
      <c r="Y113" s="27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132</v>
      </c>
      <c r="Y116" s="277">
        <f t="shared" si="12"/>
        <v>132</v>
      </c>
      <c r="Z116" s="36">
        <f t="shared" si="13"/>
        <v>2.0459999999999998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156</v>
      </c>
      <c r="Y119" s="277">
        <f t="shared" si="12"/>
        <v>156</v>
      </c>
      <c r="Z119" s="36">
        <f t="shared" si="13"/>
        <v>2.4180000000000001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300</v>
      </c>
      <c r="Y120" s="278">
        <f>IFERROR(SUM(Y113:Y119),"0")</f>
        <v>300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4.6500000000000004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2100</v>
      </c>
      <c r="Y121" s="278">
        <f>IFERROR(SUMPRODUCT(Y113:Y119*H113:H119),"0")</f>
        <v>2100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14</v>
      </c>
      <c r="Y123" s="277">
        <f>IFERROR(IF(X123="","",X123),"")</f>
        <v>14</v>
      </c>
      <c r="Z123" s="36">
        <f>IFERROR(IF(X123="","",X123*0.01788),"")</f>
        <v>0.25031999999999999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46.810400000000001</v>
      </c>
      <c r="BN123" s="67">
        <f>IFERROR(Y123*I123,"0")</f>
        <v>46.810400000000001</v>
      </c>
      <c r="BO123" s="67">
        <f>IFERROR(X123/J123,"0")</f>
        <v>0.2</v>
      </c>
      <c r="BP123" s="67">
        <f>IFERROR(Y123/J123,"0")</f>
        <v>0.2</v>
      </c>
    </row>
    <row r="124" spans="1:68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14</v>
      </c>
      <c r="Y124" s="278">
        <f>IFERROR(SUM(Y123:Y123),"0")</f>
        <v>14</v>
      </c>
      <c r="Z124" s="278">
        <f>IFERROR(IF(Z123="",0,Z123),"0")</f>
        <v>0.25031999999999999</v>
      </c>
      <c r="AA124" s="279"/>
      <c r="AB124" s="279"/>
      <c r="AC124" s="279"/>
    </row>
    <row r="125" spans="1:68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36.96</v>
      </c>
      <c r="Y125" s="278">
        <f>IFERROR(SUMPRODUCT(Y123:Y123*H123:H123),"0")</f>
        <v>36.96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126</v>
      </c>
      <c r="Y132" s="277">
        <f>IFERROR(IF(X132="","",X132),"")</f>
        <v>126</v>
      </c>
      <c r="Z132" s="36">
        <f>IFERROR(IF(X132="","",X132*0.00941),"")</f>
        <v>1.1856599999999999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226.8</v>
      </c>
      <c r="BN132" s="67">
        <f>IFERROR(Y132*I132,"0")</f>
        <v>226.8</v>
      </c>
      <c r="BO132" s="67">
        <f>IFERROR(X132/J132,"0")</f>
        <v>0.9</v>
      </c>
      <c r="BP132" s="67">
        <f>IFERROR(Y132/J132,"0")</f>
        <v>0.9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42</v>
      </c>
      <c r="Y134" s="277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75.600000000000009</v>
      </c>
      <c r="BN134" s="67">
        <f>IFERROR(Y134*I134,"0")</f>
        <v>75.600000000000009</v>
      </c>
      <c r="BO134" s="67">
        <f>IFERROR(X134/J134,"0")</f>
        <v>0.3</v>
      </c>
      <c r="BP134" s="67">
        <f>IFERROR(Y134/J134,"0")</f>
        <v>0.3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168</v>
      </c>
      <c r="Y135" s="278">
        <f>IFERROR(SUM(Y132:Y134),"0")</f>
        <v>168</v>
      </c>
      <c r="Z135" s="278">
        <f>IFERROR(IF(Z132="",0,Z132),"0")+IFERROR(IF(Z133="",0,Z133),"0")+IFERROR(IF(Z134="",0,Z134),"0")</f>
        <v>1.5808800000000001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231.83999999999997</v>
      </c>
      <c r="Y136" s="278">
        <f>IFERROR(SUMPRODUCT(Y132:Y134*H132:H134),"0")</f>
        <v>231.83999999999997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hidden="1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84</v>
      </c>
      <c r="Y145" s="277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311.10239999999999</v>
      </c>
      <c r="BN145" s="67">
        <f>IFERROR(Y145*I145,"0")</f>
        <v>311.10239999999999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84</v>
      </c>
      <c r="Y146" s="277">
        <f>IFERROR(IF(X146="","",X146),"")</f>
        <v>84</v>
      </c>
      <c r="Z146" s="36">
        <f>IFERROR(IF(X146="","",X146*0.01788),"")</f>
        <v>1.5019199999999999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311.10239999999999</v>
      </c>
      <c r="BN146" s="67">
        <f>IFERROR(Y146*I146,"0")</f>
        <v>311.10239999999999</v>
      </c>
      <c r="BO146" s="67">
        <f>IFERROR(X146/J146,"0")</f>
        <v>1.2</v>
      </c>
      <c r="BP146" s="67">
        <f>IFERROR(Y146/J146,"0")</f>
        <v>1.2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168</v>
      </c>
      <c r="Y147" s="278">
        <f>IFERROR(SUM(Y145:Y146),"0")</f>
        <v>168</v>
      </c>
      <c r="Z147" s="278">
        <f>IFERROR(IF(Z145="",0,Z145),"0")+IFERROR(IF(Z146="",0,Z146),"0")</f>
        <v>3.0038399999999998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504</v>
      </c>
      <c r="Y148" s="278">
        <f>IFERROR(SUMPRODUCT(Y145:Y146*H145:H146),"0")</f>
        <v>504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84</v>
      </c>
      <c r="Y152" s="277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112</v>
      </c>
      <c r="Y153" s="278">
        <f>IFERROR(SUM(Y151:Y152),"0")</f>
        <v>112</v>
      </c>
      <c r="Z153" s="278">
        <f>IFERROR(IF(Z151="",0,Z151),"0")+IFERROR(IF(Z152="",0,Z152),"0")</f>
        <v>2.0025599999999999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336</v>
      </c>
      <c r="Y154" s="278">
        <f>IFERROR(SUMPRODUCT(Y151:Y152*H151:H152),"0")</f>
        <v>336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28</v>
      </c>
      <c r="Y157" s="277">
        <f>IFERROR(IF(X157="","",X157),"")</f>
        <v>28</v>
      </c>
      <c r="Z157" s="36">
        <f>IFERROR(IF(X157="","",X157*0.01788),"")</f>
        <v>0.50063999999999997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75.040000000000006</v>
      </c>
      <c r="BN157" s="67">
        <f>IFERROR(Y157*I157,"0")</f>
        <v>75.040000000000006</v>
      </c>
      <c r="BO157" s="67">
        <f>IFERROR(X157/J157,"0")</f>
        <v>0.4</v>
      </c>
      <c r="BP157" s="67">
        <f>IFERROR(Y157/J157,"0")</f>
        <v>0.4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28</v>
      </c>
      <c r="Y158" s="277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56</v>
      </c>
      <c r="Y159" s="278">
        <f>IFERROR(SUM(Y157:Y158),"0")</f>
        <v>56</v>
      </c>
      <c r="Z159" s="278">
        <f>IFERROR(IF(Z157="",0,Z157),"0")+IFERROR(IF(Z158="",0,Z158),"0")</f>
        <v>1.0012799999999999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134.4</v>
      </c>
      <c r="Y160" s="278">
        <f>IFERROR(SUMPRODUCT(Y157:Y158*H157:H158),"0")</f>
        <v>134.4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hidden="1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hidden="1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154</v>
      </c>
      <c r="Y173" s="277">
        <f>IFERROR(IF(X173="","",X173),"")</f>
        <v>154</v>
      </c>
      <c r="Z173" s="36">
        <f>IFERROR(IF(X173="","",X173*0.00941),"")</f>
        <v>1.4491400000000001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323.67719999999997</v>
      </c>
      <c r="BN173" s="67">
        <f>IFERROR(Y173*I173,"0")</f>
        <v>323.67719999999997</v>
      </c>
      <c r="BO173" s="67">
        <f>IFERROR(X173/J173,"0")</f>
        <v>1.1000000000000001</v>
      </c>
      <c r="BP173" s="67">
        <f>IFERROR(Y173/J173,"0")</f>
        <v>1.1000000000000001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154</v>
      </c>
      <c r="Y174" s="278">
        <f>IFERROR(SUM(Y173:Y173),"0")</f>
        <v>154</v>
      </c>
      <c r="Z174" s="278">
        <f>IFERROR(IF(Z173="",0,Z173),"0")</f>
        <v>1.4491400000000001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258.71999999999997</v>
      </c>
      <c r="Y175" s="278">
        <f>IFERROR(SUMPRODUCT(Y173:Y173*H173:H173),"0")</f>
        <v>258.71999999999997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60</v>
      </c>
      <c r="Y180" s="277">
        <f>IFERROR(IF(X180="","",X180),"")</f>
        <v>60</v>
      </c>
      <c r="Z180" s="36">
        <f>IFERROR(IF(X180="","",X180*0.00866),"")</f>
        <v>0.51959999999999995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312.79199999999997</v>
      </c>
      <c r="BN180" s="67">
        <f>IFERROR(Y180*I180,"0")</f>
        <v>312.79199999999997</v>
      </c>
      <c r="BO180" s="67">
        <f>IFERROR(X180/J180,"0")</f>
        <v>0.41666666666666669</v>
      </c>
      <c r="BP180" s="67">
        <f>IFERROR(Y180/J180,"0")</f>
        <v>0.41666666666666669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60</v>
      </c>
      <c r="Y181" s="278">
        <f>IFERROR(SUM(Y179:Y180),"0")</f>
        <v>60</v>
      </c>
      <c r="Z181" s="278">
        <f>IFERROR(IF(Z179="",0,Z179),"0")+IFERROR(IF(Z180="",0,Z180),"0")</f>
        <v>0.51959999999999995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300</v>
      </c>
      <c r="Y182" s="278">
        <f>IFERROR(SUMPRODUCT(Y179:Y180*H179:H180),"0")</f>
        <v>300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47.432000000000002</v>
      </c>
      <c r="BN191" s="67">
        <f>IFERROR(Y191*I191,"0")</f>
        <v>47.432000000000002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42</v>
      </c>
      <c r="Y193" s="277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156.91200000000001</v>
      </c>
      <c r="BN193" s="67">
        <f>IFERROR(Y193*I193,"0")</f>
        <v>156.91200000000001</v>
      </c>
      <c r="BO193" s="67">
        <f>IFERROR(X193/J193,"0")</f>
        <v>0.6</v>
      </c>
      <c r="BP193" s="67">
        <f>IFERROR(Y193/J193,"0")</f>
        <v>0.6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56</v>
      </c>
      <c r="Y195" s="278">
        <f>IFERROR(SUM(Y191:Y194),"0")</f>
        <v>56</v>
      </c>
      <c r="Z195" s="278">
        <f>IFERROR(IF(Z191="",0,Z191),"0")+IFERROR(IF(Z192="",0,Z192),"0")+IFERROR(IF(Z193="",0,Z193),"0")+IFERROR(IF(Z194="",0,Z194),"0")</f>
        <v>1.0012799999999999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168</v>
      </c>
      <c r="Y196" s="278">
        <f>IFERROR(SUMPRODUCT(Y191:Y194*H191:H194),"0")</f>
        <v>168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42</v>
      </c>
      <c r="Y200" s="277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125.16</v>
      </c>
      <c r="BN200" s="67">
        <f>IFERROR(Y200*I200,"0")</f>
        <v>125.16</v>
      </c>
      <c r="BO200" s="67">
        <f>IFERROR(X200/J200,"0")</f>
        <v>0.6</v>
      </c>
      <c r="BP200" s="67">
        <f>IFERROR(Y200/J200,"0")</f>
        <v>0.6</v>
      </c>
    </row>
    <row r="201" spans="1:68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42</v>
      </c>
      <c r="Y201" s="278">
        <f>IFERROR(SUM(Y200:Y200),"0")</f>
        <v>42</v>
      </c>
      <c r="Z201" s="278">
        <f>IFERROR(IF(Z200="",0,Z200),"0")</f>
        <v>0.75095999999999996</v>
      </c>
      <c r="AA201" s="279"/>
      <c r="AB201" s="279"/>
      <c r="AC201" s="279"/>
    </row>
    <row r="202" spans="1:68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115.91999999999999</v>
      </c>
      <c r="Y202" s="278">
        <f>IFERROR(SUMPRODUCT(Y200:Y200*H200:H200),"0")</f>
        <v>115.91999999999999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28</v>
      </c>
      <c r="Y204" s="277">
        <f>IFERROR(IF(X204="","",X204),"")</f>
        <v>28</v>
      </c>
      <c r="Z204" s="36">
        <f>IFERROR(IF(X204="","",X204*0.01788),"")</f>
        <v>0.50063999999999997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86.900800000000004</v>
      </c>
      <c r="BN204" s="67">
        <f>IFERROR(Y204*I204,"0")</f>
        <v>86.900800000000004</v>
      </c>
      <c r="BO204" s="67">
        <f>IFERROR(X204/J204,"0")</f>
        <v>0.4</v>
      </c>
      <c r="BP204" s="67">
        <f>IFERROR(Y204/J204,"0")</f>
        <v>0.4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28</v>
      </c>
      <c r="Y207" s="278">
        <f>IFERROR(SUM(Y204:Y206),"0")</f>
        <v>28</v>
      </c>
      <c r="Z207" s="278">
        <f>IFERROR(IF(Z204="",0,Z204),"0")+IFERROR(IF(Z205="",0,Z205),"0")+IFERROR(IF(Z206="",0,Z206),"0")</f>
        <v>0.50063999999999997</v>
      </c>
      <c r="AA207" s="279"/>
      <c r="AB207" s="279"/>
      <c r="AC207" s="279"/>
    </row>
    <row r="208" spans="1:68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67.2</v>
      </c>
      <c r="Y208" s="278">
        <f>IFERROR(SUMPRODUCT(Y204:Y206*H204:H206),"0")</f>
        <v>67.2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60</v>
      </c>
      <c r="Y217" s="277">
        <f>IFERROR(IF(X217="","",X217),"")</f>
        <v>60</v>
      </c>
      <c r="Z217" s="36">
        <f>IFERROR(IF(X217="","",X217*0.0155),"")</f>
        <v>0.92999999999999994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313.8</v>
      </c>
      <c r="BN217" s="67">
        <f>IFERROR(Y217*I217,"0")</f>
        <v>313.8</v>
      </c>
      <c r="BO217" s="67">
        <f>IFERROR(X217/J217,"0")</f>
        <v>0.7142857142857143</v>
      </c>
      <c r="BP217" s="67">
        <f>IFERROR(Y217/J217,"0")</f>
        <v>0.7142857142857143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60</v>
      </c>
      <c r="Y218" s="278">
        <f>IFERROR(SUM(Y217:Y217),"0")</f>
        <v>60</v>
      </c>
      <c r="Z218" s="278">
        <f>IFERROR(IF(Z217="",0,Z217),"0")</f>
        <v>0.92999999999999994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300</v>
      </c>
      <c r="Y219" s="278">
        <f>IFERROR(SUMPRODUCT(Y217:Y217*H217:H217),"0")</f>
        <v>300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24</v>
      </c>
      <c r="Y234" s="277">
        <f>IFERROR(IF(X234="","",X234),"")</f>
        <v>24</v>
      </c>
      <c r="Z234" s="36">
        <f>IFERROR(IF(X234="","",X234*0.0155),"")</f>
        <v>0.372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126.28799999999998</v>
      </c>
      <c r="BN234" s="67">
        <f>IFERROR(Y234*I234,"0")</f>
        <v>126.28799999999998</v>
      </c>
      <c r="BO234" s="67">
        <f>IFERROR(X234/J234,"0")</f>
        <v>0.2857142857142857</v>
      </c>
      <c r="BP234" s="67">
        <f>IFERROR(Y234/J234,"0")</f>
        <v>0.2857142857142857</v>
      </c>
    </row>
    <row r="235" spans="1:68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24</v>
      </c>
      <c r="Y235" s="278">
        <f>IFERROR(SUM(Y234:Y234),"0")</f>
        <v>24</v>
      </c>
      <c r="Z235" s="278">
        <f>IFERROR(IF(Z234="",0,Z234),"0")</f>
        <v>0.372</v>
      </c>
      <c r="AA235" s="279"/>
      <c r="AB235" s="279"/>
      <c r="AC235" s="279"/>
    </row>
    <row r="236" spans="1:68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120</v>
      </c>
      <c r="Y236" s="278">
        <f>IFERROR(SUMPRODUCT(Y234:Y234*H234:H234),"0")</f>
        <v>120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24</v>
      </c>
      <c r="Y258" s="278">
        <f>IFERROR(SUM(Y256:Y257),"0")</f>
        <v>24</v>
      </c>
      <c r="Z258" s="278">
        <f>IFERROR(IF(Z256="",0,Z256),"0")+IFERROR(IF(Z257="",0,Z257),"0")</f>
        <v>0.372</v>
      </c>
      <c r="AA258" s="279"/>
      <c r="AB258" s="279"/>
      <c r="AC258" s="279"/>
    </row>
    <row r="259" spans="1:68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168</v>
      </c>
      <c r="Y259" s="278">
        <f>IFERROR(SUMPRODUCT(Y256:Y257*H256:H257),"0")</f>
        <v>168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264</v>
      </c>
      <c r="Y261" s="277">
        <f>IFERROR(IF(X261="","",X261),"")</f>
        <v>264</v>
      </c>
      <c r="Z261" s="36">
        <f>IFERROR(IF(X261="","",X261*0.0155),"")</f>
        <v>4.0919999999999996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1652.6399999999999</v>
      </c>
      <c r="BN261" s="67">
        <f>IFERROR(Y261*I261,"0")</f>
        <v>1652.6399999999999</v>
      </c>
      <c r="BO261" s="67">
        <f>IFERROR(X261/J261,"0")</f>
        <v>3.1428571428571428</v>
      </c>
      <c r="BP261" s="67">
        <f>IFERROR(Y261/J261,"0")</f>
        <v>3.1428571428571428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264</v>
      </c>
      <c r="Y262" s="278">
        <f>IFERROR(SUM(Y261:Y261),"0")</f>
        <v>264</v>
      </c>
      <c r="Z262" s="278">
        <f>IFERROR(IF(Z261="",0,Z261),"0")</f>
        <v>4.0919999999999996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1584</v>
      </c>
      <c r="Y263" s="278">
        <f>IFERROR(SUMPRODUCT(Y261:Y261*H261:H261),"0")</f>
        <v>1584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hidden="1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132</v>
      </c>
      <c r="Y266" s="277">
        <f>IFERROR(IF(X266="","",X266),"")</f>
        <v>132</v>
      </c>
      <c r="Z266" s="36">
        <f>IFERROR(IF(X266="","",X266*0.0155),"")</f>
        <v>2.0459999999999998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691.0200000000001</v>
      </c>
      <c r="BN266" s="67">
        <f>IFERROR(Y266*I266,"0")</f>
        <v>691.0200000000001</v>
      </c>
      <c r="BO266" s="67">
        <f>IFERROR(X266/J266,"0")</f>
        <v>1.5714285714285714</v>
      </c>
      <c r="BP266" s="67">
        <f>IFERROR(Y266/J266,"0")</f>
        <v>1.5714285714285714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132</v>
      </c>
      <c r="Y268" s="278">
        <f>IFERROR(SUM(Y265:Y267),"0")</f>
        <v>132</v>
      </c>
      <c r="Z268" s="278">
        <f>IFERROR(IF(Z265="",0,Z265),"0")+IFERROR(IF(Z266="",0,Z266),"0")+IFERROR(IF(Z267="",0,Z267),"0")</f>
        <v>2.0459999999999998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660</v>
      </c>
      <c r="Y269" s="278">
        <f>IFERROR(SUMPRODUCT(Y265:Y267*H265:H267),"0")</f>
        <v>660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24</v>
      </c>
      <c r="Y272" s="277">
        <f t="shared" si="18"/>
        <v>24</v>
      </c>
      <c r="Z272" s="36">
        <f>IFERROR(IF(X272="","",X272*0.0155),"")</f>
        <v>0.372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125.52000000000001</v>
      </c>
      <c r="BN272" s="67">
        <f t="shared" si="20"/>
        <v>125.52000000000001</v>
      </c>
      <c r="BO272" s="67">
        <f t="shared" si="21"/>
        <v>0.2857142857142857</v>
      </c>
      <c r="BP272" s="67">
        <f t="shared" si="22"/>
        <v>0.2857142857142857</v>
      </c>
    </row>
    <row r="273" spans="1:68" ht="27" hidden="1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98</v>
      </c>
      <c r="Y274" s="277">
        <f t="shared" si="18"/>
        <v>98</v>
      </c>
      <c r="Z274" s="36">
        <f t="shared" ref="Z274:Z279" si="23">IFERROR(IF(X274="","",X274*0.00936),"")</f>
        <v>0.91727999999999998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312.81600000000003</v>
      </c>
      <c r="BN274" s="67">
        <f t="shared" si="20"/>
        <v>312.81600000000003</v>
      </c>
      <c r="BO274" s="67">
        <f t="shared" si="21"/>
        <v>0.77777777777777779</v>
      </c>
      <c r="BP274" s="67">
        <f t="shared" si="22"/>
        <v>0.77777777777777779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14</v>
      </c>
      <c r="Y275" s="277">
        <f t="shared" si="18"/>
        <v>14</v>
      </c>
      <c r="Z275" s="36">
        <f t="shared" si="23"/>
        <v>0.13103999999999999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54.488</v>
      </c>
      <c r="BN275" s="67">
        <f t="shared" si="20"/>
        <v>54.488</v>
      </c>
      <c r="BO275" s="67">
        <f t="shared" si="21"/>
        <v>0.1111111111111111</v>
      </c>
      <c r="BP275" s="67">
        <f t="shared" si="22"/>
        <v>0.1111111111111111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136</v>
      </c>
      <c r="Y281" s="278">
        <f>IFERROR(SUM(Y271:Y280),"0")</f>
        <v>136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1.42032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465.8</v>
      </c>
      <c r="Y282" s="278">
        <f>IFERROR(SUMPRODUCT(Y271:Y280*H271:H280),"0")</f>
        <v>465.8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11784.08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11784.08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12907.852800000002</v>
      </c>
      <c r="Y284" s="278">
        <f>IFERROR(SUM(BN22:BN280),"0")</f>
        <v>12907.852800000002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32</v>
      </c>
      <c r="Y285" s="38">
        <f>ROUNDUP(SUM(BP22:BP280),0)</f>
        <v>32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13707.852800000002</v>
      </c>
      <c r="Y286" s="278">
        <f>GrossWeightTotalR+PalletQtyTotalR*25</f>
        <v>13707.852800000002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2814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2814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40.122520000000002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691.2</v>
      </c>
      <c r="C293" s="46">
        <f>IFERROR(X32*H32,"0")+IFERROR(X33*H33,"0")</f>
        <v>0</v>
      </c>
      <c r="D293" s="46">
        <f>IFERROR(X39*H39,"0")+IFERROR(X40*H40,"0")</f>
        <v>147</v>
      </c>
      <c r="E293" s="46">
        <f>IFERROR(X45*H45,"0")+IFERROR(X46*H46,"0")+IFERROR(X47*H47,"0")</f>
        <v>403.19999999999993</v>
      </c>
      <c r="F293" s="46">
        <f>IFERROR(X52*H52,"0")+IFERROR(X53*H53,"0")+IFERROR(X54*H54,"0")+IFERROR(X55*H55,"0")</f>
        <v>504</v>
      </c>
      <c r="G293" s="46">
        <f>IFERROR(X60*H60,"0")+IFERROR(X64*H64,"0")+IFERROR(X68*H68,"0")+IFERROR(X69*H69,"0")+IFERROR(X73*H73,"0")+IFERROR(X74*H74,"0")+IFERROR(X75*H75,"0")</f>
        <v>67.2</v>
      </c>
      <c r="H293" s="46">
        <f>IFERROR(X80*H80,"0")+IFERROR(X81*H81,"0")</f>
        <v>1080</v>
      </c>
      <c r="I293" s="46">
        <f>IFERROR(X86*H86,"0")</f>
        <v>50.4</v>
      </c>
      <c r="J293" s="46">
        <f>IFERROR(X91*H91,"0")+IFERROR(X92*H92,"0")</f>
        <v>604.79999999999995</v>
      </c>
      <c r="K293" s="46">
        <f>IFERROR(X97*H97,"0")+IFERROR(X98*H98,"0")+IFERROR(X99*H99,"0")+IFERROR(X100*H100,"0")+IFERROR(X101*H101,"0")+IFERROR(X102*H102,"0")</f>
        <v>655.20000000000005</v>
      </c>
      <c r="L293" s="46">
        <f>IFERROR(X107*H107,"0")+IFERROR(X108*H108,"0")</f>
        <v>30.240000000000002</v>
      </c>
      <c r="M293" s="46">
        <f>IFERROR(X113*H113,"0")+IFERROR(X114*H114,"0")+IFERROR(X115*H115,"0")+IFERROR(X116*H116,"0")+IFERROR(X117*H117,"0")+IFERROR(X118*H118,"0")+IFERROR(X119*H119,"0")+IFERROR(X123*H123,"0")+IFERROR(X127*H127,"0")</f>
        <v>2136.96</v>
      </c>
      <c r="N293" s="274"/>
      <c r="O293" s="46">
        <f>IFERROR(X132*H132,"0")+IFERROR(X133*H133,"0")+IFERROR(X134*H134,"0")+IFERROR(X138*H138,"0")+IFERROR(X139*H139,"0")+IFERROR(X140*H140,"0")</f>
        <v>231.83999999999997</v>
      </c>
      <c r="P293" s="46">
        <f>IFERROR(X145*H145,"0")+IFERROR(X146*H146,"0")</f>
        <v>504</v>
      </c>
      <c r="Q293" s="46">
        <f>IFERROR(X151*H151,"0")+IFERROR(X152*H152,"0")</f>
        <v>336</v>
      </c>
      <c r="R293" s="46">
        <f>IFERROR(X157*H157,"0")+IFERROR(X158*H158,"0")</f>
        <v>134.4</v>
      </c>
      <c r="S293" s="46">
        <f>IFERROR(X163*H163,"0")</f>
        <v>0</v>
      </c>
      <c r="T293" s="46">
        <f>IFERROR(X168*H168,"0")</f>
        <v>0</v>
      </c>
      <c r="U293" s="46">
        <f>IFERROR(X173*H173,"0")</f>
        <v>258.71999999999997</v>
      </c>
      <c r="V293" s="46">
        <f>IFERROR(X179*H179,"0")+IFERROR(X180*H180,"0")+IFERROR(X184*H184,"0")+IFERROR(X185*H185,"0")</f>
        <v>300</v>
      </c>
      <c r="W293" s="46">
        <f>IFERROR(X191*H191,"0")+IFERROR(X192*H192,"0")+IFERROR(X193*H193,"0")+IFERROR(X194*H194,"0")</f>
        <v>168</v>
      </c>
      <c r="X293" s="46">
        <f>IFERROR(X200*H200,"0")+IFERROR(X204*H204,"0")+IFERROR(X205*H205,"0")+IFERROR(X206*H206,"0")</f>
        <v>183.12</v>
      </c>
      <c r="Y293" s="46">
        <f>IFERROR(X211*H211,"0")+IFERROR(X212*H212,"0")</f>
        <v>0</v>
      </c>
      <c r="Z293" s="46">
        <f>IFERROR(X217*H217,"0")</f>
        <v>300</v>
      </c>
      <c r="AA293" s="46">
        <f>IFERROR(X222*H222,"0")</f>
        <v>0</v>
      </c>
      <c r="AB293" s="46">
        <f>IFERROR(X228*H228,"0")</f>
        <v>0</v>
      </c>
      <c r="AC293" s="46">
        <f>IFERROR(X234*H234,"0")</f>
        <v>120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2877.8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5666.4</v>
      </c>
      <c r="B296" s="60">
        <f>SUMPRODUCT(--(BB:BB="ПГП"),--(W:W="кор"),H:H,Y:Y)+SUMPRODUCT(--(BB:BB="ПГП"),--(W:W="кг"),Y:Y)</f>
        <v>6117.6799999999994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584,00"/>
        <filter val="11 784,08"/>
        <filter val="112,00"/>
        <filter val="115,92"/>
        <filter val="12 907,85"/>
        <filter val="12,00"/>
        <filter val="120,00"/>
        <filter val="126,00"/>
        <filter val="13 707,85"/>
        <filter val="132,00"/>
        <filter val="134,40"/>
        <filter val="136,00"/>
        <filter val="14,00"/>
        <filter val="147,00"/>
        <filter val="154,00"/>
        <filter val="156,00"/>
        <filter val="168,00"/>
        <filter val="2 100,00"/>
        <filter val="2 814,00"/>
        <filter val="210,00"/>
        <filter val="216,00"/>
        <filter val="231,84"/>
        <filter val="24,00"/>
        <filter val="258,72"/>
        <filter val="264,00"/>
        <filter val="28,00"/>
        <filter val="30,24"/>
        <filter val="300,00"/>
        <filter val="32"/>
        <filter val="336,00"/>
        <filter val="36,00"/>
        <filter val="36,96"/>
        <filter val="403,20"/>
        <filter val="42,00"/>
        <filter val="465,80"/>
        <filter val="50,40"/>
        <filter val="504,00"/>
        <filter val="56,00"/>
        <filter val="60,00"/>
        <filter val="604,80"/>
        <filter val="655,20"/>
        <filter val="660,00"/>
        <filter val="67,20"/>
        <filter val="691,20"/>
        <filter val="70,00"/>
        <filter val="72,00"/>
        <filter val="84,00"/>
        <filter val="96,0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