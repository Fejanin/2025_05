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F3F382-59D0-4197-9F97-2547A449AC8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P265" i="1" s="1"/>
  <c r="P265" i="1"/>
  <c r="X263" i="1"/>
  <c r="Y262" i="1"/>
  <c r="X262" i="1"/>
  <c r="BP261" i="1"/>
  <c r="BO261" i="1"/>
  <c r="BM261" i="1"/>
  <c r="Z261" i="1"/>
  <c r="Z262" i="1" s="1"/>
  <c r="Y261" i="1"/>
  <c r="Y263" i="1" s="1"/>
  <c r="P261" i="1"/>
  <c r="X259" i="1"/>
  <c r="X258" i="1"/>
  <c r="BO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Y252" i="1" s="1"/>
  <c r="P250" i="1"/>
  <c r="X246" i="1"/>
  <c r="X245" i="1"/>
  <c r="BO244" i="1"/>
  <c r="BM244" i="1"/>
  <c r="Z244" i="1"/>
  <c r="Z245" i="1" s="1"/>
  <c r="Y244" i="1"/>
  <c r="P244" i="1"/>
  <c r="X242" i="1"/>
  <c r="X241" i="1"/>
  <c r="BO240" i="1"/>
  <c r="BM240" i="1"/>
  <c r="Z240" i="1"/>
  <c r="Z241" i="1" s="1"/>
  <c r="Y240" i="1"/>
  <c r="Y242" i="1" s="1"/>
  <c r="P240" i="1"/>
  <c r="X236" i="1"/>
  <c r="X235" i="1"/>
  <c r="BO234" i="1"/>
  <c r="BM234" i="1"/>
  <c r="Z234" i="1"/>
  <c r="Z235" i="1" s="1"/>
  <c r="Y234" i="1"/>
  <c r="P234" i="1"/>
  <c r="X230" i="1"/>
  <c r="Z229" i="1"/>
  <c r="X229" i="1"/>
  <c r="BO228" i="1"/>
  <c r="BM228" i="1"/>
  <c r="Z228" i="1"/>
  <c r="Y228" i="1"/>
  <c r="Y230" i="1" s="1"/>
  <c r="P228" i="1"/>
  <c r="X224" i="1"/>
  <c r="X223" i="1"/>
  <c r="BO222" i="1"/>
  <c r="BM222" i="1"/>
  <c r="Z222" i="1"/>
  <c r="Z223" i="1" s="1"/>
  <c r="Y222" i="1"/>
  <c r="P222" i="1"/>
  <c r="X219" i="1"/>
  <c r="X218" i="1"/>
  <c r="BO217" i="1"/>
  <c r="BM217" i="1"/>
  <c r="Z217" i="1"/>
  <c r="Z218" i="1" s="1"/>
  <c r="Y217" i="1"/>
  <c r="Y219" i="1" s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BP204" i="1" s="1"/>
  <c r="P204" i="1"/>
  <c r="X202" i="1"/>
  <c r="X201" i="1"/>
  <c r="BO200" i="1"/>
  <c r="BN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Y184" i="1"/>
  <c r="Y187" i="1" s="1"/>
  <c r="P184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P173" i="1"/>
  <c r="X170" i="1"/>
  <c r="X169" i="1"/>
  <c r="BO168" i="1"/>
  <c r="BM168" i="1"/>
  <c r="Z168" i="1"/>
  <c r="Z169" i="1" s="1"/>
  <c r="Y168" i="1"/>
  <c r="Y170" i="1" s="1"/>
  <c r="P168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P158" i="1"/>
  <c r="BO157" i="1"/>
  <c r="BM157" i="1"/>
  <c r="Z157" i="1"/>
  <c r="Z159" i="1" s="1"/>
  <c r="Y157" i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Z153" i="1" s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BO138" i="1"/>
  <c r="BM138" i="1"/>
  <c r="Z138" i="1"/>
  <c r="Y138" i="1"/>
  <c r="P138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8" i="1" s="1"/>
  <c r="P127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N107" i="1"/>
  <c r="BM107" i="1"/>
  <c r="Z107" i="1"/>
  <c r="Y107" i="1"/>
  <c r="Y109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M74" i="1"/>
  <c r="Z74" i="1"/>
  <c r="Y74" i="1"/>
  <c r="BN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P53" i="1"/>
  <c r="BO53" i="1"/>
  <c r="BM53" i="1"/>
  <c r="Z53" i="1"/>
  <c r="Y53" i="1"/>
  <c r="BN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P24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P22" i="1"/>
  <c r="H10" i="1"/>
  <c r="F10" i="1"/>
  <c r="A9" i="1"/>
  <c r="A10" i="1" s="1"/>
  <c r="D7" i="1"/>
  <c r="Q6" i="1"/>
  <c r="P2" i="1"/>
  <c r="Z103" i="1" l="1"/>
  <c r="Z141" i="1"/>
  <c r="Z135" i="1"/>
  <c r="Z186" i="1"/>
  <c r="BN39" i="1"/>
  <c r="BN98" i="1"/>
  <c r="BN192" i="1"/>
  <c r="BP200" i="1"/>
  <c r="BN91" i="1"/>
  <c r="BN184" i="1"/>
  <c r="Y201" i="1"/>
  <c r="BP184" i="1"/>
  <c r="BN261" i="1"/>
  <c r="Y35" i="1"/>
  <c r="Y148" i="1"/>
  <c r="Y61" i="1"/>
  <c r="BN55" i="1"/>
  <c r="Z109" i="1"/>
  <c r="Z181" i="1"/>
  <c r="Y28" i="1"/>
  <c r="BP107" i="1"/>
  <c r="Y159" i="1"/>
  <c r="BN275" i="1"/>
  <c r="Z34" i="1"/>
  <c r="Z120" i="1"/>
  <c r="BN139" i="1"/>
  <c r="BN267" i="1"/>
  <c r="Z28" i="1"/>
  <c r="BN86" i="1"/>
  <c r="BN133" i="1"/>
  <c r="BN206" i="1"/>
  <c r="BN273" i="1"/>
  <c r="Y104" i="1"/>
  <c r="BN100" i="1"/>
  <c r="BN114" i="1"/>
  <c r="BN157" i="1"/>
  <c r="BN64" i="1"/>
  <c r="BP157" i="1"/>
  <c r="Y57" i="1"/>
  <c r="BN277" i="1"/>
  <c r="BP86" i="1"/>
  <c r="BP22" i="1"/>
  <c r="Y76" i="1"/>
  <c r="BN33" i="1"/>
  <c r="BN118" i="1"/>
  <c r="Z268" i="1"/>
  <c r="Z207" i="1"/>
  <c r="Z281" i="1"/>
  <c r="Y48" i="1"/>
  <c r="BN26" i="1"/>
  <c r="Y65" i="1"/>
  <c r="Y93" i="1"/>
  <c r="BN151" i="1"/>
  <c r="BN180" i="1"/>
  <c r="Z213" i="1"/>
  <c r="BN265" i="1"/>
  <c r="Y87" i="1"/>
  <c r="Z56" i="1"/>
  <c r="BP64" i="1"/>
  <c r="Z93" i="1"/>
  <c r="BN204" i="1"/>
  <c r="BN257" i="1"/>
  <c r="BN271" i="1"/>
  <c r="BN194" i="1"/>
  <c r="BN211" i="1"/>
  <c r="Y70" i="1"/>
  <c r="Z76" i="1"/>
  <c r="Y41" i="1"/>
  <c r="Z48" i="1"/>
  <c r="Z70" i="1"/>
  <c r="Y141" i="1"/>
  <c r="Z147" i="1"/>
  <c r="Z41" i="1"/>
  <c r="Y135" i="1"/>
  <c r="Y160" i="1"/>
  <c r="BN46" i="1"/>
  <c r="BN60" i="1"/>
  <c r="BN68" i="1"/>
  <c r="BN102" i="1"/>
  <c r="Y120" i="1"/>
  <c r="BN116" i="1"/>
  <c r="Y186" i="1"/>
  <c r="F9" i="1"/>
  <c r="X287" i="1"/>
  <c r="J9" i="1"/>
  <c r="BP60" i="1"/>
  <c r="BP68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29" i="1"/>
  <c r="Y136" i="1"/>
  <c r="Y142" i="1"/>
  <c r="Y147" i="1"/>
  <c r="Y164" i="1"/>
  <c r="BP163" i="1"/>
  <c r="BN163" i="1"/>
  <c r="Y174" i="1"/>
  <c r="BP173" i="1"/>
  <c r="BN173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X284" i="1"/>
  <c r="X285" i="1"/>
  <c r="BN23" i="1"/>
  <c r="BN25" i="1"/>
  <c r="BN27" i="1"/>
  <c r="X283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BN134" i="1"/>
  <c r="BN138" i="1"/>
  <c r="BP138" i="1"/>
  <c r="BN140" i="1"/>
  <c r="BN145" i="1"/>
  <c r="BP145" i="1"/>
  <c r="Y154" i="1"/>
  <c r="BN152" i="1"/>
  <c r="Y153" i="1"/>
  <c r="BP158" i="1"/>
  <c r="BN158" i="1"/>
  <c r="Y165" i="1"/>
  <c r="Y169" i="1"/>
  <c r="BP168" i="1"/>
  <c r="BN168" i="1"/>
  <c r="Y175" i="1"/>
  <c r="Y182" i="1"/>
  <c r="BP179" i="1"/>
  <c r="BN179" i="1"/>
  <c r="Y181" i="1"/>
  <c r="BP185" i="1"/>
  <c r="BN185" i="1"/>
  <c r="Z195" i="1"/>
  <c r="Y208" i="1"/>
  <c r="Y213" i="1"/>
  <c r="Y214" i="1"/>
  <c r="Y218" i="1"/>
  <c r="BP217" i="1"/>
  <c r="BN217" i="1"/>
  <c r="Y224" i="1"/>
  <c r="Y229" i="1"/>
  <c r="BP228" i="1"/>
  <c r="BN228" i="1"/>
  <c r="Y236" i="1"/>
  <c r="Y241" i="1"/>
  <c r="BP240" i="1"/>
  <c r="BN240" i="1"/>
  <c r="Y246" i="1"/>
  <c r="Y251" i="1"/>
  <c r="BP250" i="1"/>
  <c r="BN250" i="1"/>
  <c r="Z258" i="1"/>
  <c r="Y269" i="1"/>
  <c r="Y281" i="1"/>
  <c r="Y282" i="1"/>
  <c r="Y285" i="1" l="1"/>
  <c r="Y284" i="1"/>
  <c r="Y286" i="1" s="1"/>
  <c r="Y287" i="1"/>
  <c r="Z288" i="1"/>
  <c r="X286" i="1"/>
  <c r="Y283" i="1"/>
  <c r="C296" i="1" l="1"/>
  <c r="B296" i="1"/>
  <c r="A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<sst xmlns="http://schemas.openxmlformats.org/spreadsheetml/2006/main" count="1292" uniqueCount="417">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</sst>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46202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13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3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0.5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0</v>
      </c>
      <c r="Y28" s="278">
        <f>IFERROR(SUM(Y22:Y27),"0")</f>
        <v>0</v>
      </c>
      <c r="Z28" s="278">
        <f>IFERROR(IF(Z22="",0,Z22),"0")+IFERROR(IF(Z23="",0,Z23),"0")+IFERROR(IF(Z24="",0,Z24),"0")+IFERROR(IF(Z25="",0,Z25),"0")+IFERROR(IF(Z26="",0,Z26),"0")+IFERROR(IF(Z27="",0,Z27),"0")</f>
        <v>0</v>
      </c>
      <c r="AA28" s="279"/>
      <c r="AB28" s="279"/>
      <c r="AC28" s="279"/>
    </row>
    <row r="29" spans="1:68" hidden="1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0</v>
      </c>
      <c r="Y29" s="278">
        <f>IFERROR(SUMPRODUCT(Y22:Y27*H22:H27),"0")</f>
        <v>0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84</v>
      </c>
      <c r="Y39" s="277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84</v>
      </c>
      <c r="Y41" s="278">
        <f>IFERROR(SUM(Y39:Y40),"0")</f>
        <v>84</v>
      </c>
      <c r="Z41" s="278">
        <f>IFERROR(IF(Z39="",0,Z39),"0")+IFERROR(IF(Z40="",0,Z40),"0")</f>
        <v>0.79044000000000003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126</v>
      </c>
      <c r="Y42" s="278">
        <f>IFERROR(SUMPRODUCT(Y39:Y40*H39:H40),"0")</f>
        <v>126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48</v>
      </c>
      <c r="Y45" s="277">
        <f>IFERROR(IF(X45="","",X45),"")</f>
        <v>48</v>
      </c>
      <c r="Z45" s="36">
        <f>IFERROR(IF(X45="","",X45*0.0155),"")</f>
        <v>0.74399999999999999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281.76</v>
      </c>
      <c r="BN45" s="67">
        <f>IFERROR(Y45*I45,"0")</f>
        <v>281.76</v>
      </c>
      <c r="BO45" s="67">
        <f>IFERROR(X45/J45,"0")</f>
        <v>0.5714285714285714</v>
      </c>
      <c r="BP45" s="67">
        <f>IFERROR(Y45/J45,"0")</f>
        <v>0.5714285714285714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48</v>
      </c>
      <c r="Y46" s="277">
        <f>IFERROR(IF(X46="","",X46),"")</f>
        <v>48</v>
      </c>
      <c r="Z46" s="36">
        <f>IFERROR(IF(X46="","",X46*0.0155),"")</f>
        <v>0.74399999999999999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281.76</v>
      </c>
      <c r="BN46" s="67">
        <f>IFERROR(Y46*I46,"0")</f>
        <v>281.76</v>
      </c>
      <c r="BO46" s="67">
        <f>IFERROR(X46/J46,"0")</f>
        <v>0.5714285714285714</v>
      </c>
      <c r="BP46" s="67">
        <f>IFERROR(Y46/J46,"0")</f>
        <v>0.5714285714285714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72</v>
      </c>
      <c r="Y47" s="277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168</v>
      </c>
      <c r="Y48" s="278">
        <f>IFERROR(SUM(Y45:Y47),"0")</f>
        <v>168</v>
      </c>
      <c r="Z48" s="278">
        <f>IFERROR(IF(Z45="",0,Z45),"0")+IFERROR(IF(Z46="",0,Z46),"0")+IFERROR(IF(Z47="",0,Z47),"0")</f>
        <v>2.6040000000000001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940.8</v>
      </c>
      <c r="Y49" s="278">
        <f>IFERROR(SUMPRODUCT(Y45:Y47*H45:H47),"0")</f>
        <v>940.8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12</v>
      </c>
      <c r="Y52" s="277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48</v>
      </c>
      <c r="Y53" s="277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36</v>
      </c>
      <c r="Y54" s="277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241.90559999999999</v>
      </c>
      <c r="BN54" s="67">
        <f>IFERROR(Y54*I54,"0")</f>
        <v>241.90559999999999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72</v>
      </c>
      <c r="Y55" s="277">
        <f>IFERROR(IF(X55="","",X55),"")</f>
        <v>72</v>
      </c>
      <c r="Z55" s="36">
        <f>IFERROR(IF(X55="","",X55*0.0155),"")</f>
        <v>1.1160000000000001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525.6</v>
      </c>
      <c r="BN55" s="67">
        <f>IFERROR(Y55*I55,"0")</f>
        <v>525.6</v>
      </c>
      <c r="BO55" s="67">
        <f>IFERROR(X55/J55,"0")</f>
        <v>0.8571428571428571</v>
      </c>
      <c r="BP55" s="67">
        <f>IFERROR(Y55/J55,"0")</f>
        <v>0.8571428571428571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168</v>
      </c>
      <c r="Y56" s="278">
        <f>IFERROR(SUM(Y52:Y55),"0")</f>
        <v>168</v>
      </c>
      <c r="Z56" s="278">
        <f>IFERROR(IF(Z52="",0,Z52),"0")+IFERROR(IF(Z53="",0,Z53),"0")+IFERROR(IF(Z54="",0,Z54),"0")+IFERROR(IF(Z55="",0,Z55),"0")</f>
        <v>2.6040000000000001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1154.4000000000001</v>
      </c>
      <c r="Y57" s="278">
        <f>IFERROR(SUMPRODUCT(Y52:Y55*H52:H55),"0")</f>
        <v>1154.4000000000001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98</v>
      </c>
      <c r="Y75" s="277">
        <f>IFERROR(IF(X75="","",X75),"")</f>
        <v>98</v>
      </c>
      <c r="Z75" s="36">
        <f>IFERROR(IF(X75="","",X75*0.00941),"")</f>
        <v>0.92218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152.88</v>
      </c>
      <c r="BN75" s="67">
        <f>IFERROR(Y75*I75,"0")</f>
        <v>152.88</v>
      </c>
      <c r="BO75" s="67">
        <f>IFERROR(X75/J75,"0")</f>
        <v>0.7</v>
      </c>
      <c r="BP75" s="67">
        <f>IFERROR(Y75/J75,"0")</f>
        <v>0.7</v>
      </c>
    </row>
    <row r="76" spans="1:68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98</v>
      </c>
      <c r="Y76" s="278">
        <f>IFERROR(SUM(Y73:Y75),"0")</f>
        <v>98</v>
      </c>
      <c r="Z76" s="278">
        <f>IFERROR(IF(Z73="",0,Z73),"0")+IFERROR(IF(Z74="",0,Z74),"0")+IFERROR(IF(Z75="",0,Z75),"0")</f>
        <v>0.92218</v>
      </c>
      <c r="AA76" s="279"/>
      <c r="AB76" s="279"/>
      <c r="AC76" s="279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117.6</v>
      </c>
      <c r="Y77" s="278">
        <f>IFERROR(SUMPRODUCT(Y73:Y75*H73:H75),"0")</f>
        <v>117.6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84</v>
      </c>
      <c r="Y81" s="277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84</v>
      </c>
      <c r="Y82" s="278">
        <f>IFERROR(SUM(Y80:Y81),"0")</f>
        <v>84</v>
      </c>
      <c r="Z82" s="278">
        <f>IFERROR(IF(Z80="",0,Z80),"0")+IFERROR(IF(Z81="",0,Z81),"0")</f>
        <v>0.72743999999999998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420</v>
      </c>
      <c r="Y83" s="278">
        <f>IFERROR(SUMPRODUCT(Y80:Y81*H80:H81),"0")</f>
        <v>420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56</v>
      </c>
      <c r="Y86" s="277">
        <f>IFERROR(IF(X86="","",X86),"")</f>
        <v>56</v>
      </c>
      <c r="Z86" s="36">
        <f>IFERROR(IF(X86="","",X86*0.01788),"")</f>
        <v>1.0012799999999999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56</v>
      </c>
      <c r="Y87" s="278">
        <f>IFERROR(SUM(Y86:Y86),"0")</f>
        <v>56</v>
      </c>
      <c r="Z87" s="278">
        <f>IFERROR(IF(Z86="",0,Z86),"0")</f>
        <v>1.0012799999999999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201.6</v>
      </c>
      <c r="Y88" s="278">
        <f>IFERROR(SUMPRODUCT(Y86:Y86*H86:H86),"0")</f>
        <v>201.6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70</v>
      </c>
      <c r="Y91" s="27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42</v>
      </c>
      <c r="Y92" s="27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112</v>
      </c>
      <c r="Y93" s="278">
        <f>IFERROR(SUM(Y91:Y92),"0")</f>
        <v>112</v>
      </c>
      <c r="Z93" s="278">
        <f>IFERROR(IF(Z91="",0,Z91),"0")+IFERROR(IF(Z92="",0,Z92),"0")</f>
        <v>2.0025599999999999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403.20000000000005</v>
      </c>
      <c r="Y94" s="278">
        <f>IFERROR(SUMPRODUCT(Y91:Y92*H91:H92),"0")</f>
        <v>403.20000000000005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0</v>
      </c>
      <c r="Y97" s="27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42</v>
      </c>
      <c r="Y98" s="277">
        <f t="shared" si="6"/>
        <v>42</v>
      </c>
      <c r="Z98" s="36">
        <f t="shared" si="7"/>
        <v>0.75095999999999996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84</v>
      </c>
      <c r="Y99" s="277">
        <f t="shared" si="6"/>
        <v>84</v>
      </c>
      <c r="Z99" s="36">
        <f t="shared" si="7"/>
        <v>1.5019199999999999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301.0224</v>
      </c>
      <c r="BN99" s="67">
        <f t="shared" si="9"/>
        <v>301.0224</v>
      </c>
      <c r="BO99" s="67">
        <f t="shared" si="10"/>
        <v>1.2</v>
      </c>
      <c r="BP99" s="67">
        <f t="shared" si="11"/>
        <v>1.2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56</v>
      </c>
      <c r="Y100" s="277">
        <f t="shared" si="6"/>
        <v>56</v>
      </c>
      <c r="Z100" s="36">
        <f t="shared" si="7"/>
        <v>1.0012799999999999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56</v>
      </c>
      <c r="Y102" s="277">
        <f t="shared" si="6"/>
        <v>56</v>
      </c>
      <c r="Z102" s="36">
        <f t="shared" si="7"/>
        <v>1.0012799999999999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253.63520000000003</v>
      </c>
      <c r="BN102" s="67">
        <f t="shared" si="9"/>
        <v>253.63520000000003</v>
      </c>
      <c r="BO102" s="67">
        <f t="shared" si="10"/>
        <v>0.8</v>
      </c>
      <c r="BP102" s="67">
        <f t="shared" si="11"/>
        <v>0.8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238</v>
      </c>
      <c r="Y103" s="278">
        <f>IFERROR(SUM(Y97:Y102),"0")</f>
        <v>238</v>
      </c>
      <c r="Z103" s="278">
        <f>IFERROR(IF(Z97="",0,Z97),"0")+IFERROR(IF(Z98="",0,Z98),"0")+IFERROR(IF(Z99="",0,Z99),"0")+IFERROR(IF(Z100="",0,Z100),"0")+IFERROR(IF(Z101="",0,Z101),"0")+IFERROR(IF(Z102="",0,Z102),"0")</f>
        <v>4.2554400000000001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759.36</v>
      </c>
      <c r="Y104" s="278">
        <f>IFERROR(SUMPRODUCT(Y97:Y102*H97:H102),"0")</f>
        <v>759.36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84</v>
      </c>
      <c r="Y107" s="277">
        <f>IFERROR(IF(X107="","",X107),"")</f>
        <v>84</v>
      </c>
      <c r="Z107" s="36">
        <f>IFERROR(IF(X107="","",X107*0.00936),"")</f>
        <v>0.78624000000000005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209.26080000000002</v>
      </c>
      <c r="BN107" s="67">
        <f>IFERROR(Y107*I107,"0")</f>
        <v>209.26080000000002</v>
      </c>
      <c r="BO107" s="67">
        <f>IFERROR(X107/J107,"0")</f>
        <v>0.66666666666666663</v>
      </c>
      <c r="BP107" s="67">
        <f>IFERROR(Y107/J107,"0")</f>
        <v>0.66666666666666663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0</v>
      </c>
      <c r="Y108" s="27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0.78624000000000005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181.44</v>
      </c>
      <c r="Y110" s="278">
        <f>IFERROR(SUMPRODUCT(Y107:Y108*H107:H108),"0")</f>
        <v>181.44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84</v>
      </c>
      <c r="Y113" s="277">
        <f t="shared" ref="Y113:Y119" si="12">IFERROR(IF(X113="","",X113),"")</f>
        <v>84</v>
      </c>
      <c r="Z113" s="36">
        <f t="shared" ref="Z113:Z119" si="13">IFERROR(IF(X113="","",X113*0.0155),"")</f>
        <v>1.302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611.52</v>
      </c>
      <c r="BN113" s="67">
        <f t="shared" ref="BN113:BN119" si="15">IFERROR(Y113*I113,"0")</f>
        <v>611.52</v>
      </c>
      <c r="BO113" s="67">
        <f t="shared" ref="BO113:BO119" si="16">IFERROR(X113/J113,"0")</f>
        <v>1</v>
      </c>
      <c r="BP113" s="67">
        <f t="shared" ref="BP113:BP119" si="17">IFERROR(Y113/J113,"0")</f>
        <v>1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60</v>
      </c>
      <c r="Y116" s="277">
        <f t="shared" si="12"/>
        <v>60</v>
      </c>
      <c r="Z116" s="36">
        <f t="shared" si="13"/>
        <v>0.92999999999999994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84</v>
      </c>
      <c r="Y119" s="277">
        <f t="shared" si="12"/>
        <v>84</v>
      </c>
      <c r="Z119" s="36">
        <f t="shared" si="13"/>
        <v>1.302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228</v>
      </c>
      <c r="Y120" s="278">
        <f>IFERROR(SUM(Y113:Y119),"0")</f>
        <v>228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3.5340000000000003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1596</v>
      </c>
      <c r="Y121" s="278">
        <f>IFERROR(SUMPRODUCT(Y113:Y119*H113:H119),"0")</f>
        <v>1596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294</v>
      </c>
      <c r="Y132" s="277">
        <f>IFERROR(IF(X132="","",X132),"")</f>
        <v>294</v>
      </c>
      <c r="Z132" s="36">
        <f>IFERROR(IF(X132="","",X132*0.00941),"")</f>
        <v>2.76654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529.20000000000005</v>
      </c>
      <c r="BN132" s="67">
        <f>IFERROR(Y132*I132,"0")</f>
        <v>529.20000000000005</v>
      </c>
      <c r="BO132" s="67">
        <f>IFERROR(X132/J132,"0")</f>
        <v>2.1</v>
      </c>
      <c r="BP132" s="67">
        <f>IFERROR(Y132/J132,"0")</f>
        <v>2.1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280</v>
      </c>
      <c r="Y134" s="277">
        <f>IFERROR(IF(X134="","",X134),"")</f>
        <v>280</v>
      </c>
      <c r="Z134" s="36">
        <f>IFERROR(IF(X134="","",X134*0.00941),"")</f>
        <v>2.6347999999999998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504</v>
      </c>
      <c r="BN134" s="67">
        <f>IFERROR(Y134*I134,"0")</f>
        <v>504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574</v>
      </c>
      <c r="Y135" s="278">
        <f>IFERROR(SUM(Y132:Y134),"0")</f>
        <v>574</v>
      </c>
      <c r="Z135" s="278">
        <f>IFERROR(IF(Z132="",0,Z132),"0")+IFERROR(IF(Z133="",0,Z133),"0")+IFERROR(IF(Z134="",0,Z134),"0")</f>
        <v>5.4013399999999994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792.11999999999989</v>
      </c>
      <c r="Y136" s="278">
        <f>IFERROR(SUMPRODUCT(Y132:Y134*H132:H134),"0")</f>
        <v>792.11999999999989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56</v>
      </c>
      <c r="Y139" s="277">
        <f>IFERROR(IF(X139="","",X139),"")</f>
        <v>56</v>
      </c>
      <c r="Z139" s="36">
        <f>IFERROR(IF(X139="","",X139*0.00941),"")</f>
        <v>0.52695999999999998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78.287999999999997</v>
      </c>
      <c r="BN139" s="67">
        <f>IFERROR(Y139*I139,"0")</f>
        <v>78.287999999999997</v>
      </c>
      <c r="BO139" s="67">
        <f>IFERROR(X139/J139,"0")</f>
        <v>0.4</v>
      </c>
      <c r="BP139" s="67">
        <f>IFERROR(Y139/J139,"0")</f>
        <v>0.4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56</v>
      </c>
      <c r="Y141" s="278">
        <f>IFERROR(SUM(Y138:Y140),"0")</f>
        <v>56</v>
      </c>
      <c r="Z141" s="278">
        <f>IFERROR(IF(Z138="",0,Z138),"0")+IFERROR(IF(Z139="",0,Z139),"0")+IFERROR(IF(Z140="",0,Z140),"0")</f>
        <v>0.52695999999999998</v>
      </c>
      <c r="AA141" s="279"/>
      <c r="AB141" s="279"/>
      <c r="AC141" s="279"/>
    </row>
    <row r="142" spans="1:68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60.480000000000004</v>
      </c>
      <c r="Y142" s="278">
        <f>IFERROR(SUMPRODUCT(Y138:Y140*H138:H140),"0")</f>
        <v>60.480000000000004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hidden="1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0</v>
      </c>
      <c r="Y145" s="277">
        <f>IFERROR(IF(X145="","",X145),"")</f>
        <v>0</v>
      </c>
      <c r="Z145" s="36">
        <f>IFERROR(IF(X145="","",X145*0.01788),"")</f>
        <v>0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210</v>
      </c>
      <c r="Y146" s="277">
        <f>IFERROR(IF(X146="","",X146),"")</f>
        <v>210</v>
      </c>
      <c r="Z146" s="36">
        <f>IFERROR(IF(X146="","",X146*0.01788),"")</f>
        <v>3.7547999999999999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777.75599999999997</v>
      </c>
      <c r="BN146" s="67">
        <f>IFERROR(Y146*I146,"0")</f>
        <v>777.75599999999997</v>
      </c>
      <c r="BO146" s="67">
        <f>IFERROR(X146/J146,"0")</f>
        <v>3</v>
      </c>
      <c r="BP146" s="67">
        <f>IFERROR(Y146/J146,"0")</f>
        <v>3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210</v>
      </c>
      <c r="Y147" s="278">
        <f>IFERROR(SUM(Y145:Y146),"0")</f>
        <v>210</v>
      </c>
      <c r="Z147" s="278">
        <f>IFERROR(IF(Z145="",0,Z145),"0")+IFERROR(IF(Z146="",0,Z146),"0")</f>
        <v>3.7547999999999999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630</v>
      </c>
      <c r="Y148" s="278">
        <f>IFERROR(SUMPRODUCT(Y145:Y146*H145:H146),"0")</f>
        <v>630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70</v>
      </c>
      <c r="Y151" s="277">
        <f>IFERROR(IF(X151="","",X151),"")</f>
        <v>70</v>
      </c>
      <c r="Z151" s="36">
        <f>IFERROR(IF(X151="","",X151*0.01788),"")</f>
        <v>1.2516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262.36</v>
      </c>
      <c r="BN151" s="67">
        <f>IFERROR(Y151*I151,"0")</f>
        <v>262.36</v>
      </c>
      <c r="BO151" s="67">
        <f>IFERROR(X151/J151,"0")</f>
        <v>1</v>
      </c>
      <c r="BP151" s="67">
        <f>IFERROR(Y151/J151,"0")</f>
        <v>1</v>
      </c>
    </row>
    <row r="152" spans="1:68" ht="16.5" hidden="1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0</v>
      </c>
      <c r="Y152" s="277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70</v>
      </c>
      <c r="Y153" s="278">
        <f>IFERROR(SUM(Y151:Y152),"0")</f>
        <v>70</v>
      </c>
      <c r="Z153" s="278">
        <f>IFERROR(IF(Z151="",0,Z151),"0")+IFERROR(IF(Z152="",0,Z152),"0")</f>
        <v>1.2516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210</v>
      </c>
      <c r="Y154" s="278">
        <f>IFERROR(SUMPRODUCT(Y151:Y152*H151:H152),"0")</f>
        <v>210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hidden="1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42</v>
      </c>
      <c r="Y158" s="277">
        <f>IFERROR(IF(X158="","",X158),"")</f>
        <v>42</v>
      </c>
      <c r="Z158" s="36">
        <f>IFERROR(IF(X158="","",X158*0.01788),"")</f>
        <v>0.75095999999999996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112.56</v>
      </c>
      <c r="BN158" s="67">
        <f>IFERROR(Y158*I158,"0")</f>
        <v>112.56</v>
      </c>
      <c r="BO158" s="67">
        <f>IFERROR(X158/J158,"0")</f>
        <v>0.6</v>
      </c>
      <c r="BP158" s="67">
        <f>IFERROR(Y158/J158,"0")</f>
        <v>0.6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42</v>
      </c>
      <c r="Y159" s="278">
        <f>IFERROR(SUM(Y157:Y158),"0")</f>
        <v>42</v>
      </c>
      <c r="Z159" s="278">
        <f>IFERROR(IF(Z157="",0,Z157),"0")+IFERROR(IF(Z158="",0,Z158),"0")</f>
        <v>0.75095999999999996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100.8</v>
      </c>
      <c r="Y160" s="278">
        <f>IFERROR(SUMPRODUCT(Y157:Y158*H157:H158),"0")</f>
        <v>100.8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14</v>
      </c>
      <c r="Y163" s="277">
        <f>IFERROR(IF(X163="","",X163),"")</f>
        <v>14</v>
      </c>
      <c r="Z163" s="36">
        <f>IFERROR(IF(X163="","",X163*0.01788),"")</f>
        <v>0.25031999999999999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51.850399999999993</v>
      </c>
      <c r="BN163" s="67">
        <f>IFERROR(Y163*I163,"0")</f>
        <v>51.850399999999993</v>
      </c>
      <c r="BO163" s="67">
        <f>IFERROR(X163/J163,"0")</f>
        <v>0.2</v>
      </c>
      <c r="BP163" s="67">
        <f>IFERROR(Y163/J163,"0")</f>
        <v>0.2</v>
      </c>
    </row>
    <row r="164" spans="1:68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14</v>
      </c>
      <c r="Y164" s="278">
        <f>IFERROR(SUM(Y163:Y163),"0")</f>
        <v>14</v>
      </c>
      <c r="Z164" s="278">
        <f>IFERROR(IF(Z163="",0,Z163),"0")</f>
        <v>0.25031999999999999</v>
      </c>
      <c r="AA164" s="279"/>
      <c r="AB164" s="279"/>
      <c r="AC164" s="279"/>
    </row>
    <row r="165" spans="1:68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42</v>
      </c>
      <c r="Y165" s="278">
        <f>IFERROR(SUMPRODUCT(Y163:Y163*H163:H163),"0")</f>
        <v>42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140</v>
      </c>
      <c r="Y173" s="277">
        <f>IFERROR(IF(X173="","",X173),"")</f>
        <v>140</v>
      </c>
      <c r="Z173" s="36">
        <f>IFERROR(IF(X173="","",X173*0.00941),"")</f>
        <v>1.3173999999999999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294.25200000000001</v>
      </c>
      <c r="BN173" s="67">
        <f>IFERROR(Y173*I173,"0")</f>
        <v>294.25200000000001</v>
      </c>
      <c r="BO173" s="67">
        <f>IFERROR(X173/J173,"0")</f>
        <v>1</v>
      </c>
      <c r="BP173" s="67">
        <f>IFERROR(Y173/J173,"0")</f>
        <v>1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140</v>
      </c>
      <c r="Y174" s="278">
        <f>IFERROR(SUM(Y173:Y173),"0")</f>
        <v>140</v>
      </c>
      <c r="Z174" s="278">
        <f>IFERROR(IF(Z173="",0,Z173),"0")</f>
        <v>1.3173999999999999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235.2</v>
      </c>
      <c r="Y175" s="278">
        <f>IFERROR(SUMPRODUCT(Y173:Y173*H173:H173),"0")</f>
        <v>235.2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84</v>
      </c>
      <c r="Y180" s="277">
        <f>IFERROR(IF(X180="","",X180),"")</f>
        <v>84</v>
      </c>
      <c r="Z180" s="36">
        <f>IFERROR(IF(X180="","",X180*0.00866),"")</f>
        <v>0.72743999999999998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437.90879999999999</v>
      </c>
      <c r="BN180" s="67">
        <f>IFERROR(Y180*I180,"0")</f>
        <v>437.90879999999999</v>
      </c>
      <c r="BO180" s="67">
        <f>IFERROR(X180/J180,"0")</f>
        <v>0.58333333333333337</v>
      </c>
      <c r="BP180" s="67">
        <f>IFERROR(Y180/J180,"0")</f>
        <v>0.58333333333333337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84</v>
      </c>
      <c r="Y181" s="278">
        <f>IFERROR(SUM(Y179:Y180),"0")</f>
        <v>84</v>
      </c>
      <c r="Z181" s="278">
        <f>IFERROR(IF(Z179="",0,Z179),"0")+IFERROR(IF(Z180="",0,Z180),"0")</f>
        <v>0.72743999999999998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420</v>
      </c>
      <c r="Y182" s="278">
        <f>IFERROR(SUMPRODUCT(Y179:Y180*H179:H180),"0")</f>
        <v>420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70</v>
      </c>
      <c r="Y191" s="277">
        <f>IFERROR(IF(X191="","",X191),"")</f>
        <v>70</v>
      </c>
      <c r="Z191" s="36">
        <f>IFERROR(IF(X191="","",X191*0.01788),"")</f>
        <v>1.2516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237.16</v>
      </c>
      <c r="BN191" s="67">
        <f>IFERROR(Y191*I191,"0")</f>
        <v>237.16</v>
      </c>
      <c r="BO191" s="67">
        <f>IFERROR(X191/J191,"0")</f>
        <v>1</v>
      </c>
      <c r="BP191" s="67">
        <f>IFERROR(Y191/J191,"0")</f>
        <v>1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28</v>
      </c>
      <c r="Y192" s="277">
        <f>IFERROR(IF(X192="","",X192),"")</f>
        <v>28</v>
      </c>
      <c r="Z192" s="36">
        <f>IFERROR(IF(X192="","",X192*0.01788),"")</f>
        <v>0.50063999999999997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94.864000000000004</v>
      </c>
      <c r="BN192" s="67">
        <f>IFERROR(Y192*I192,"0")</f>
        <v>94.864000000000004</v>
      </c>
      <c r="BO192" s="67">
        <f>IFERROR(X192/J192,"0")</f>
        <v>0.4</v>
      </c>
      <c r="BP192" s="67">
        <f>IFERROR(Y192/J192,"0")</f>
        <v>0.4</v>
      </c>
    </row>
    <row r="193" spans="1:68" ht="27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42</v>
      </c>
      <c r="Y193" s="277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156.91200000000001</v>
      </c>
      <c r="BN193" s="67">
        <f>IFERROR(Y193*I193,"0")</f>
        <v>156.91200000000001</v>
      </c>
      <c r="BO193" s="67">
        <f>IFERROR(X193/J193,"0")</f>
        <v>0.6</v>
      </c>
      <c r="BP193" s="67">
        <f>IFERROR(Y193/J193,"0")</f>
        <v>0.6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140</v>
      </c>
      <c r="Y195" s="278">
        <f>IFERROR(SUM(Y191:Y194),"0")</f>
        <v>140</v>
      </c>
      <c r="Z195" s="278">
        <f>IFERROR(IF(Z191="",0,Z191),"0")+IFERROR(IF(Z192="",0,Z192),"0")+IFERROR(IF(Z193="",0,Z193),"0")+IFERROR(IF(Z194="",0,Z194),"0")</f>
        <v>2.5032000000000001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420</v>
      </c>
      <c r="Y196" s="278">
        <f>IFERROR(SUMPRODUCT(Y191:Y194*H191:H194),"0")</f>
        <v>420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210</v>
      </c>
      <c r="Y200" s="277">
        <f>IFERROR(IF(X200="","",X200),"")</f>
        <v>210</v>
      </c>
      <c r="Z200" s="36">
        <f>IFERROR(IF(X200="","",X200*0.01788),"")</f>
        <v>3.7547999999999999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625.79999999999995</v>
      </c>
      <c r="BN200" s="67">
        <f>IFERROR(Y200*I200,"0")</f>
        <v>625.79999999999995</v>
      </c>
      <c r="BO200" s="67">
        <f>IFERROR(X200/J200,"0")</f>
        <v>3</v>
      </c>
      <c r="BP200" s="67">
        <f>IFERROR(Y200/J200,"0")</f>
        <v>3</v>
      </c>
    </row>
    <row r="201" spans="1:68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210</v>
      </c>
      <c r="Y201" s="278">
        <f>IFERROR(SUM(Y200:Y200),"0")</f>
        <v>210</v>
      </c>
      <c r="Z201" s="278">
        <f>IFERROR(IF(Z200="",0,Z200),"0")</f>
        <v>3.7547999999999999</v>
      </c>
      <c r="AA201" s="279"/>
      <c r="AB201" s="279"/>
      <c r="AC201" s="279"/>
    </row>
    <row r="202" spans="1:68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579.59999999999991</v>
      </c>
      <c r="Y202" s="278">
        <f>IFERROR(SUMPRODUCT(Y200:Y200*H200:H200),"0")</f>
        <v>579.59999999999991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132</v>
      </c>
      <c r="Y217" s="277">
        <f>IFERROR(IF(X217="","",X217),"")</f>
        <v>132</v>
      </c>
      <c r="Z217" s="36">
        <f>IFERROR(IF(X217="","",X217*0.0155),"")</f>
        <v>2.0459999999999998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690.36</v>
      </c>
      <c r="BN217" s="67">
        <f>IFERROR(Y217*I217,"0")</f>
        <v>690.36</v>
      </c>
      <c r="BO217" s="67">
        <f>IFERROR(X217/J217,"0")</f>
        <v>1.5714285714285714</v>
      </c>
      <c r="BP217" s="67">
        <f>IFERROR(Y217/J217,"0")</f>
        <v>1.5714285714285714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132</v>
      </c>
      <c r="Y218" s="278">
        <f>IFERROR(SUM(Y217:Y217),"0")</f>
        <v>132</v>
      </c>
      <c r="Z218" s="278">
        <f>IFERROR(IF(Z217="",0,Z217),"0")</f>
        <v>2.0459999999999998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660</v>
      </c>
      <c r="Y219" s="278">
        <f>IFERROR(SUMPRODUCT(Y217:Y217*H217:H217),"0")</f>
        <v>660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hidden="1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60</v>
      </c>
      <c r="Y261" s="277">
        <f>IFERROR(IF(X261="","",X261),"")</f>
        <v>60</v>
      </c>
      <c r="Z261" s="36">
        <f>IFERROR(IF(X261="","",X261*0.0155),"")</f>
        <v>0.92999999999999994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375.59999999999997</v>
      </c>
      <c r="BN261" s="67">
        <f>IFERROR(Y261*I261,"0")</f>
        <v>375.59999999999997</v>
      </c>
      <c r="BO261" s="67">
        <f>IFERROR(X261/J261,"0")</f>
        <v>0.7142857142857143</v>
      </c>
      <c r="BP261" s="67">
        <f>IFERROR(Y261/J261,"0")</f>
        <v>0.7142857142857143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60</v>
      </c>
      <c r="Y262" s="278">
        <f>IFERROR(SUM(Y261:Y261),"0")</f>
        <v>60</v>
      </c>
      <c r="Z262" s="278">
        <f>IFERROR(IF(Z261="",0,Z261),"0")</f>
        <v>0.92999999999999994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360</v>
      </c>
      <c r="Y263" s="278">
        <f>IFERROR(SUMPRODUCT(Y261:Y261*H261:H261),"0")</f>
        <v>360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14</v>
      </c>
      <c r="Y265" s="277">
        <f>IFERROR(IF(X265="","",X265),"")</f>
        <v>14</v>
      </c>
      <c r="Z265" s="36">
        <f>IFERROR(IF(X265="","",X265*0.00936),"")</f>
        <v>0.13103999999999999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40.468400000000003</v>
      </c>
      <c r="BN265" s="67">
        <f>IFERROR(Y265*I265,"0")</f>
        <v>40.468400000000003</v>
      </c>
      <c r="BO265" s="67">
        <f>IFERROR(X265/J265,"0")</f>
        <v>0.1111111111111111</v>
      </c>
      <c r="BP265" s="67">
        <f>IFERROR(Y265/J265,"0")</f>
        <v>0.1111111111111111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48</v>
      </c>
      <c r="Y266" s="277">
        <f>IFERROR(IF(X266="","",X266),"")</f>
        <v>48</v>
      </c>
      <c r="Z266" s="36">
        <f>IFERROR(IF(X266="","",X266*0.0155),"")</f>
        <v>0.74399999999999999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251.28000000000003</v>
      </c>
      <c r="BN266" s="67">
        <f>IFERROR(Y266*I266,"0")</f>
        <v>251.28000000000003</v>
      </c>
      <c r="BO266" s="67">
        <f>IFERROR(X266/J266,"0")</f>
        <v>0.5714285714285714</v>
      </c>
      <c r="BP266" s="67">
        <f>IFERROR(Y266/J266,"0")</f>
        <v>0.5714285714285714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62</v>
      </c>
      <c r="Y268" s="278">
        <f>IFERROR(SUM(Y265:Y267),"0")</f>
        <v>62</v>
      </c>
      <c r="Z268" s="278">
        <f>IFERROR(IF(Z265="",0,Z265),"0")+IFERROR(IF(Z266="",0,Z266),"0")+IFERROR(IF(Z267="",0,Z267),"0")</f>
        <v>0.87504000000000004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277.8</v>
      </c>
      <c r="Y269" s="278">
        <f>IFERROR(SUMPRODUCT(Y265:Y267*H265:H267),"0")</f>
        <v>277.8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36</v>
      </c>
      <c r="Y272" s="277">
        <f t="shared" si="18"/>
        <v>36</v>
      </c>
      <c r="Z272" s="36">
        <f>IFERROR(IF(X272="","",X272*0.0155),"")</f>
        <v>0.55800000000000005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24</v>
      </c>
      <c r="Y273" s="277">
        <f t="shared" si="18"/>
        <v>24</v>
      </c>
      <c r="Z273" s="36">
        <f>IFERROR(IF(X273="","",X273*0.0155),"")</f>
        <v>0.372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137.64000000000001</v>
      </c>
      <c r="BN273" s="67">
        <f t="shared" si="20"/>
        <v>137.64000000000001</v>
      </c>
      <c r="BO273" s="67">
        <f t="shared" si="21"/>
        <v>0.2857142857142857</v>
      </c>
      <c r="BP273" s="67">
        <f t="shared" si="22"/>
        <v>0.2857142857142857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126</v>
      </c>
      <c r="Y274" s="277">
        <f t="shared" si="18"/>
        <v>126</v>
      </c>
      <c r="Z274" s="36">
        <f t="shared" ref="Z274:Z279" si="23">IFERROR(IF(X274="","",X274*0.00936),"")</f>
        <v>1.17936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402.19200000000001</v>
      </c>
      <c r="BN274" s="67">
        <f t="shared" si="20"/>
        <v>402.19200000000001</v>
      </c>
      <c r="BO274" s="67">
        <f t="shared" si="21"/>
        <v>1</v>
      </c>
      <c r="BP274" s="67">
        <f t="shared" si="22"/>
        <v>1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28</v>
      </c>
      <c r="Y275" s="277">
        <f t="shared" si="18"/>
        <v>28</v>
      </c>
      <c r="Z275" s="36">
        <f t="shared" si="23"/>
        <v>0.26207999999999998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108.976</v>
      </c>
      <c r="BN275" s="67">
        <f t="shared" si="20"/>
        <v>108.976</v>
      </c>
      <c r="BO275" s="67">
        <f t="shared" si="21"/>
        <v>0.22222222222222221</v>
      </c>
      <c r="BP275" s="67">
        <f t="shared" si="22"/>
        <v>0.22222222222222221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214</v>
      </c>
      <c r="Y281" s="278">
        <f>IFERROR(SUM(Y271:Y280),"0")</f>
        <v>214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2.3714400000000002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793.6</v>
      </c>
      <c r="Y282" s="278">
        <f>IFERROR(SUMPRODUCT(Y271:Y280*H271:H280),"0")</f>
        <v>793.6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11481.999999999998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11481.999999999998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12801.757199999998</v>
      </c>
      <c r="Y284" s="278">
        <f>IFERROR(SUM(BN22:BN280),"0")</f>
        <v>12801.757199999998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36</v>
      </c>
      <c r="Y285" s="38">
        <f>ROUNDUP(SUM(BP22:BP280),0)</f>
        <v>36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13701.757199999998</v>
      </c>
      <c r="Y286" s="278">
        <f>GrossWeightTotalR+PalletQtyTotalR*25</f>
        <v>13701.757199999998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3328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3328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45.688879999999997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0</v>
      </c>
      <c r="C293" s="46">
        <f>IFERROR(X32*H32,"0")+IFERROR(X33*H33,"0")</f>
        <v>0</v>
      </c>
      <c r="D293" s="46">
        <f>IFERROR(X39*H39,"0")+IFERROR(X40*H40,"0")</f>
        <v>126</v>
      </c>
      <c r="E293" s="46">
        <f>IFERROR(X45*H45,"0")+IFERROR(X46*H46,"0")+IFERROR(X47*H47,"0")</f>
        <v>940.8</v>
      </c>
      <c r="F293" s="46">
        <f>IFERROR(X52*H52,"0")+IFERROR(X53*H53,"0")+IFERROR(X54*H54,"0")+IFERROR(X55*H55,"0")</f>
        <v>1154.4000000000001</v>
      </c>
      <c r="G293" s="46">
        <f>IFERROR(X60*H60,"0")+IFERROR(X64*H64,"0")+IFERROR(X68*H68,"0")+IFERROR(X69*H69,"0")+IFERROR(X73*H73,"0")+IFERROR(X74*H74,"0")+IFERROR(X75*H75,"0")</f>
        <v>117.6</v>
      </c>
      <c r="H293" s="46">
        <f>IFERROR(X80*H80,"0")+IFERROR(X81*H81,"0")</f>
        <v>420</v>
      </c>
      <c r="I293" s="46">
        <f>IFERROR(X86*H86,"0")</f>
        <v>201.6</v>
      </c>
      <c r="J293" s="46">
        <f>IFERROR(X91*H91,"0")+IFERROR(X92*H92,"0")</f>
        <v>403.20000000000005</v>
      </c>
      <c r="K293" s="46">
        <f>IFERROR(X97*H97,"0")+IFERROR(X98*H98,"0")+IFERROR(X99*H99,"0")+IFERROR(X100*H100,"0")+IFERROR(X101*H101,"0")+IFERROR(X102*H102,"0")</f>
        <v>759.36</v>
      </c>
      <c r="L293" s="46">
        <f>IFERROR(X107*H107,"0")+IFERROR(X108*H108,"0")</f>
        <v>181.44</v>
      </c>
      <c r="M293" s="46">
        <f>IFERROR(X113*H113,"0")+IFERROR(X114*H114,"0")+IFERROR(X115*H115,"0")+IFERROR(X116*H116,"0")+IFERROR(X117*H117,"0")+IFERROR(X118*H118,"0")+IFERROR(X119*H119,"0")+IFERROR(X123*H123,"0")+IFERROR(X127*H127,"0")</f>
        <v>1596</v>
      </c>
      <c r="N293" s="274"/>
      <c r="O293" s="46">
        <f>IFERROR(X132*H132,"0")+IFERROR(X133*H133,"0")+IFERROR(X134*H134,"0")+IFERROR(X138*H138,"0")+IFERROR(X139*H139,"0")+IFERROR(X140*H140,"0")</f>
        <v>852.59999999999991</v>
      </c>
      <c r="P293" s="46">
        <f>IFERROR(X145*H145,"0")+IFERROR(X146*H146,"0")</f>
        <v>630</v>
      </c>
      <c r="Q293" s="46">
        <f>IFERROR(X151*H151,"0")+IFERROR(X152*H152,"0")</f>
        <v>210</v>
      </c>
      <c r="R293" s="46">
        <f>IFERROR(X157*H157,"0")+IFERROR(X158*H158,"0")</f>
        <v>100.8</v>
      </c>
      <c r="S293" s="46">
        <f>IFERROR(X163*H163,"0")</f>
        <v>42</v>
      </c>
      <c r="T293" s="46">
        <f>IFERROR(X168*H168,"0")</f>
        <v>0</v>
      </c>
      <c r="U293" s="46">
        <f>IFERROR(X173*H173,"0")</f>
        <v>235.2</v>
      </c>
      <c r="V293" s="46">
        <f>IFERROR(X179*H179,"0")+IFERROR(X180*H180,"0")+IFERROR(X184*H184,"0")+IFERROR(X185*H185,"0")</f>
        <v>420</v>
      </c>
      <c r="W293" s="46">
        <f>IFERROR(X191*H191,"0")+IFERROR(X192*H192,"0")+IFERROR(X193*H193,"0")+IFERROR(X194*H194,"0")</f>
        <v>420</v>
      </c>
      <c r="X293" s="46">
        <f>IFERROR(X200*H200,"0")+IFERROR(X204*H204,"0")+IFERROR(X205*H205,"0")+IFERROR(X206*H206,"0")</f>
        <v>579.59999999999991</v>
      </c>
      <c r="Y293" s="46">
        <f>IFERROR(X211*H211,"0")+IFERROR(X212*H212,"0")</f>
        <v>0</v>
      </c>
      <c r="Z293" s="46">
        <f>IFERROR(X217*H217,"0")</f>
        <v>660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1431.3999999999999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5191.2</v>
      </c>
      <c r="B296" s="60">
        <f>SUMPRODUCT(--(BB:BB="ПГП"),--(W:W="кор"),H:H,Y:Y)+SUMPRODUCT(--(BB:BB="ПГП"),--(W:W="кг"),Y:Y)</f>
        <v>6290.8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4,40"/>
        <filter val="1 596,00"/>
        <filter val="100,80"/>
        <filter val="11 482,00"/>
        <filter val="112,00"/>
        <filter val="117,60"/>
        <filter val="12 801,76"/>
        <filter val="12,00"/>
        <filter val="126,00"/>
        <filter val="13 701,76"/>
        <filter val="132,00"/>
        <filter val="14,00"/>
        <filter val="140,00"/>
        <filter val="168,00"/>
        <filter val="181,44"/>
        <filter val="201,60"/>
        <filter val="210,00"/>
        <filter val="214,00"/>
        <filter val="228,00"/>
        <filter val="235,20"/>
        <filter val="238,00"/>
        <filter val="24,00"/>
        <filter val="277,80"/>
        <filter val="28,00"/>
        <filter val="280,00"/>
        <filter val="294,00"/>
        <filter val="3 328,00"/>
        <filter val="36"/>
        <filter val="36,00"/>
        <filter val="360,00"/>
        <filter val="403,20"/>
        <filter val="42,00"/>
        <filter val="420,00"/>
        <filter val="48,00"/>
        <filter val="56,00"/>
        <filter val="574,00"/>
        <filter val="579,60"/>
        <filter val="60,00"/>
        <filter val="60,48"/>
        <filter val="62,00"/>
        <filter val="630,00"/>
        <filter val="660,00"/>
        <filter val="70,00"/>
        <filter val="72,00"/>
        <filter val="759,36"/>
        <filter val="792,12"/>
        <filter val="793,60"/>
        <filter val="84,00"/>
        <filter val="940,8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