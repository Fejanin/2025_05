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N513" i="2"/>
  <c r="BM513" i="2"/>
  <c r="Z513" i="2"/>
  <c r="Y513" i="2"/>
  <c r="BP513" i="2" s="1"/>
  <c r="P513" i="2"/>
  <c r="X511" i="2"/>
  <c r="X510" i="2"/>
  <c r="BO509" i="2"/>
  <c r="BM509" i="2"/>
  <c r="Y509" i="2"/>
  <c r="P509" i="2"/>
  <c r="X507" i="2"/>
  <c r="X506" i="2"/>
  <c r="BO505" i="2"/>
  <c r="BM505" i="2"/>
  <c r="Y505" i="2"/>
  <c r="Y506" i="2" s="1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O432" i="2"/>
  <c r="BM432" i="2"/>
  <c r="Y432" i="2"/>
  <c r="BP432" i="2" s="1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O422" i="2"/>
  <c r="BM422" i="2"/>
  <c r="Y422" i="2"/>
  <c r="BN422" i="2" s="1"/>
  <c r="P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Z405" i="2" s="1"/>
  <c r="P405" i="2"/>
  <c r="BO404" i="2"/>
  <c r="BM404" i="2"/>
  <c r="Y404" i="2"/>
  <c r="P404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U541" i="2" s="1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N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X380" i="2"/>
  <c r="X379" i="2"/>
  <c r="BO378" i="2"/>
  <c r="BM378" i="2"/>
  <c r="Y378" i="2"/>
  <c r="BN378" i="2" s="1"/>
  <c r="P378" i="2"/>
  <c r="BO377" i="2"/>
  <c r="BM377" i="2"/>
  <c r="Y377" i="2"/>
  <c r="BN377" i="2" s="1"/>
  <c r="P377" i="2"/>
  <c r="BO376" i="2"/>
  <c r="BM376" i="2"/>
  <c r="Y376" i="2"/>
  <c r="Y379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X298" i="2"/>
  <c r="X297" i="2"/>
  <c r="BO296" i="2"/>
  <c r="BM296" i="2"/>
  <c r="Y296" i="2"/>
  <c r="Y298" i="2" s="1"/>
  <c r="P296" i="2"/>
  <c r="X294" i="2"/>
  <c r="X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Z250" i="2" s="1"/>
  <c r="P250" i="2"/>
  <c r="BO249" i="2"/>
  <c r="BM249" i="2"/>
  <c r="Y249" i="2"/>
  <c r="P249" i="2"/>
  <c r="X247" i="2"/>
  <c r="X246" i="2"/>
  <c r="BO245" i="2"/>
  <c r="BM245" i="2"/>
  <c r="Y245" i="2"/>
  <c r="Z245" i="2" s="1"/>
  <c r="P245" i="2"/>
  <c r="BO244" i="2"/>
  <c r="BM244" i="2"/>
  <c r="Y244" i="2"/>
  <c r="Y247" i="2" s="1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M63" i="2"/>
  <c r="Y63" i="2"/>
  <c r="BP63" i="2" s="1"/>
  <c r="P63" i="2"/>
  <c r="X60" i="2"/>
  <c r="X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Z55" i="2" s="1"/>
  <c r="P55" i="2"/>
  <c r="X51" i="2"/>
  <c r="X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X38" i="2"/>
  <c r="X37" i="2"/>
  <c r="BO36" i="2"/>
  <c r="BM36" i="2"/>
  <c r="Y36" i="2"/>
  <c r="P36" i="2"/>
  <c r="BO35" i="2"/>
  <c r="BM35" i="2"/>
  <c r="Y35" i="2"/>
  <c r="Z35" i="2" s="1"/>
  <c r="P35" i="2"/>
  <c r="BO34" i="2"/>
  <c r="BM34" i="2"/>
  <c r="Y34" i="2"/>
  <c r="Z34" i="2" s="1"/>
  <c r="P34" i="2"/>
  <c r="BO33" i="2"/>
  <c r="BM33" i="2"/>
  <c r="Y33" i="2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X26" i="2"/>
  <c r="X25" i="2"/>
  <c r="BO24" i="2"/>
  <c r="BM24" i="2"/>
  <c r="Y24" i="2"/>
  <c r="Z24" i="2" s="1"/>
  <c r="P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BP31" i="2" l="1"/>
  <c r="BP258" i="2"/>
  <c r="BP170" i="2"/>
  <c r="Z385" i="2"/>
  <c r="BN385" i="2"/>
  <c r="Z117" i="2"/>
  <c r="BN117" i="2"/>
  <c r="Y310" i="2"/>
  <c r="Z29" i="2"/>
  <c r="BN29" i="2"/>
  <c r="BP49" i="2"/>
  <c r="Z154" i="2"/>
  <c r="BN154" i="2"/>
  <c r="Z256" i="2"/>
  <c r="BN256" i="2"/>
  <c r="BP267" i="2"/>
  <c r="Y301" i="2"/>
  <c r="Z372" i="2"/>
  <c r="BN372" i="2"/>
  <c r="BP377" i="2"/>
  <c r="Z432" i="2"/>
  <c r="BN432" i="2"/>
  <c r="BP482" i="2"/>
  <c r="Y519" i="2"/>
  <c r="Z522" i="2"/>
  <c r="BP214" i="2"/>
  <c r="B541" i="2"/>
  <c r="BP22" i="2"/>
  <c r="BN28" i="2"/>
  <c r="BN30" i="2"/>
  <c r="BN32" i="2"/>
  <c r="BP32" i="2"/>
  <c r="BP36" i="2"/>
  <c r="BN36" i="2"/>
  <c r="Z36" i="2"/>
  <c r="Y42" i="2"/>
  <c r="Y41" i="2"/>
  <c r="BP40" i="2"/>
  <c r="BN40" i="2"/>
  <c r="Z40" i="2"/>
  <c r="Z41" i="2" s="1"/>
  <c r="BN48" i="2"/>
  <c r="BP48" i="2"/>
  <c r="BN67" i="2"/>
  <c r="BN99" i="2"/>
  <c r="BN110" i="2"/>
  <c r="BN125" i="2"/>
  <c r="BP127" i="2"/>
  <c r="BN127" i="2"/>
  <c r="Z127" i="2"/>
  <c r="Y133" i="2"/>
  <c r="Y132" i="2"/>
  <c r="BP131" i="2"/>
  <c r="BN131" i="2"/>
  <c r="Z131" i="2"/>
  <c r="Z132" i="2" s="1"/>
  <c r="Y148" i="2"/>
  <c r="BP146" i="2"/>
  <c r="BN172" i="2"/>
  <c r="BP174" i="2"/>
  <c r="BN174" i="2"/>
  <c r="Z174" i="2"/>
  <c r="BP178" i="2"/>
  <c r="BN178" i="2"/>
  <c r="Z178" i="2"/>
  <c r="BN188" i="2"/>
  <c r="BN201" i="2"/>
  <c r="BN215" i="2"/>
  <c r="BP215" i="2"/>
  <c r="BN223" i="2"/>
  <c r="Z223" i="2"/>
  <c r="BP229" i="2"/>
  <c r="BN229" i="2"/>
  <c r="Z229" i="2"/>
  <c r="BN234" i="2"/>
  <c r="BP234" i="2"/>
  <c r="BP56" i="2"/>
  <c r="BN56" i="2"/>
  <c r="Z56" i="2"/>
  <c r="BN63" i="2"/>
  <c r="Y83" i="2"/>
  <c r="BN85" i="2"/>
  <c r="BN106" i="2"/>
  <c r="BN116" i="2"/>
  <c r="BN169" i="2"/>
  <c r="BP169" i="2"/>
  <c r="BP213" i="2"/>
  <c r="BN213" i="2"/>
  <c r="Z213" i="2"/>
  <c r="BN261" i="2"/>
  <c r="BN271" i="2"/>
  <c r="BN308" i="2"/>
  <c r="BN314" i="2"/>
  <c r="BN350" i="2"/>
  <c r="BN365" i="2"/>
  <c r="Z376" i="2"/>
  <c r="BN376" i="2"/>
  <c r="BP376" i="2"/>
  <c r="BP378" i="2"/>
  <c r="BP382" i="2"/>
  <c r="Z397" i="2"/>
  <c r="BN398" i="2"/>
  <c r="BN407" i="2"/>
  <c r="BN415" i="2"/>
  <c r="BP422" i="2"/>
  <c r="Z448" i="2"/>
  <c r="BN448" i="2"/>
  <c r="BN449" i="2"/>
  <c r="BP452" i="2"/>
  <c r="BN457" i="2"/>
  <c r="BN467" i="2"/>
  <c r="BN489" i="2"/>
  <c r="BN518" i="2"/>
  <c r="BN254" i="2"/>
  <c r="BN24" i="2"/>
  <c r="BN34" i="2"/>
  <c r="BN57" i="2"/>
  <c r="BN66" i="2"/>
  <c r="BN76" i="2"/>
  <c r="BN91" i="2"/>
  <c r="BN100" i="2"/>
  <c r="BN107" i="2"/>
  <c r="BN112" i="2"/>
  <c r="BN120" i="2"/>
  <c r="I541" i="2"/>
  <c r="BN182" i="2"/>
  <c r="BN211" i="2"/>
  <c r="BN218" i="2"/>
  <c r="BN224" i="2"/>
  <c r="BN245" i="2"/>
  <c r="BN250" i="2"/>
  <c r="BP257" i="2"/>
  <c r="BN275" i="2"/>
  <c r="BP289" i="2"/>
  <c r="BN291" i="2"/>
  <c r="Z296" i="2"/>
  <c r="Z297" i="2" s="1"/>
  <c r="BN296" i="2"/>
  <c r="BP296" i="2"/>
  <c r="Y297" i="2"/>
  <c r="BN300" i="2"/>
  <c r="BN304" i="2"/>
  <c r="BN316" i="2"/>
  <c r="Z331" i="2"/>
  <c r="BN331" i="2"/>
  <c r="BN332" i="2"/>
  <c r="BP333" i="2"/>
  <c r="BN344" i="2"/>
  <c r="BN352" i="2"/>
  <c r="Z361" i="2"/>
  <c r="BN361" i="2"/>
  <c r="BN405" i="2"/>
  <c r="BN410" i="2"/>
  <c r="BN463" i="2"/>
  <c r="BP477" i="2"/>
  <c r="BN479" i="2"/>
  <c r="BN494" i="2"/>
  <c r="Z177" i="2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Z515" i="2" s="1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Y190" i="2"/>
  <c r="Z199" i="2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92" i="2"/>
  <c r="Z304" i="2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24" i="2"/>
  <c r="Z359" i="2"/>
  <c r="Z369" i="2"/>
  <c r="Z404" i="2"/>
  <c r="BN426" i="2"/>
  <c r="BN451" i="2"/>
  <c r="Y454" i="2"/>
  <c r="BN476" i="2"/>
  <c r="BN496" i="2"/>
  <c r="Z354" i="2"/>
  <c r="Z364" i="2"/>
  <c r="Y71" i="2"/>
  <c r="Z80" i="2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216" i="2"/>
  <c r="Z57" i="2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BN404" i="2"/>
  <c r="BP426" i="2"/>
  <c r="Z449" i="2"/>
  <c r="Y485" i="2"/>
  <c r="Z494" i="2"/>
  <c r="Z518" i="2"/>
  <c r="Z519" i="2" s="1"/>
  <c r="D541" i="2"/>
  <c r="W541" i="2"/>
  <c r="Z343" i="2"/>
  <c r="Y180" i="2"/>
  <c r="Z234" i="2"/>
  <c r="Z257" i="2"/>
  <c r="Z267" i="2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373" i="2" l="1"/>
  <c r="Z277" i="2"/>
  <c r="Z346" i="2"/>
  <c r="Z59" i="2"/>
  <c r="Z128" i="2"/>
  <c r="Z318" i="2"/>
  <c r="Z309" i="2"/>
  <c r="Z282" i="2"/>
  <c r="Z203" i="2"/>
  <c r="Z143" i="2"/>
  <c r="Z433" i="2"/>
  <c r="Z162" i="2"/>
  <c r="Z524" i="2"/>
  <c r="Z50" i="2"/>
  <c r="Z392" i="2"/>
  <c r="Z82" i="2"/>
  <c r="Z470" i="2"/>
  <c r="Z262" i="2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Y534" i="2" l="1"/>
  <c r="Z536" i="2"/>
</calcChain>
</file>

<file path=xl/sharedStrings.xml><?xml version="1.0" encoding="utf-8"?>
<sst xmlns="http://schemas.openxmlformats.org/spreadsheetml/2006/main" count="4009" uniqueCount="857">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</sst>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1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48" t="s">
        <v>26</v>
      </c>
      <c r="E1" s="948"/>
      <c r="F1" s="948"/>
      <c r="G1" s="14" t="s">
        <v>67</v>
      </c>
      <c r="H1" s="948" t="s">
        <v>47</v>
      </c>
      <c r="I1" s="948"/>
      <c r="J1" s="948"/>
      <c r="K1" s="948"/>
      <c r="L1" s="948"/>
      <c r="M1" s="948"/>
      <c r="N1" s="948"/>
      <c r="O1" s="948"/>
      <c r="P1" s="948"/>
      <c r="Q1" s="948"/>
      <c r="R1" s="949" t="s">
        <v>68</v>
      </c>
      <c r="S1" s="950"/>
      <c r="T1" s="9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51"/>
      <c r="R2" s="951"/>
      <c r="S2" s="951"/>
      <c r="T2" s="951"/>
      <c r="U2" s="951"/>
      <c r="V2" s="951"/>
      <c r="W2" s="9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51"/>
      <c r="Q3" s="951"/>
      <c r="R3" s="951"/>
      <c r="S3" s="951"/>
      <c r="T3" s="951"/>
      <c r="U3" s="951"/>
      <c r="V3" s="951"/>
      <c r="W3" s="9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30" t="s">
        <v>8</v>
      </c>
      <c r="B5" s="930"/>
      <c r="C5" s="930"/>
      <c r="D5" s="952"/>
      <c r="E5" s="952"/>
      <c r="F5" s="953" t="s">
        <v>14</v>
      </c>
      <c r="G5" s="953"/>
      <c r="H5" s="952" t="s">
        <v>856</v>
      </c>
      <c r="I5" s="952"/>
      <c r="J5" s="952"/>
      <c r="K5" s="952"/>
      <c r="L5" s="952"/>
      <c r="M5" s="952"/>
      <c r="N5" s="72"/>
      <c r="P5" s="27" t="s">
        <v>4</v>
      </c>
      <c r="Q5" s="954">
        <v>46201</v>
      </c>
      <c r="R5" s="954"/>
      <c r="T5" s="955" t="s">
        <v>3</v>
      </c>
      <c r="U5" s="956"/>
      <c r="V5" s="957" t="s">
        <v>832</v>
      </c>
      <c r="W5" s="958"/>
      <c r="AB5" s="59"/>
      <c r="AC5" s="59"/>
      <c r="AD5" s="59"/>
      <c r="AE5" s="59"/>
    </row>
    <row r="6" spans="1:32" s="17" customFormat="1" ht="24" customHeight="1" x14ac:dyDescent="0.25">
      <c r="A6" s="930" t="s">
        <v>1</v>
      </c>
      <c r="B6" s="930"/>
      <c r="C6" s="930"/>
      <c r="D6" s="931" t="s">
        <v>839</v>
      </c>
      <c r="E6" s="931"/>
      <c r="F6" s="931"/>
      <c r="G6" s="931"/>
      <c r="H6" s="931"/>
      <c r="I6" s="931"/>
      <c r="J6" s="931"/>
      <c r="K6" s="931"/>
      <c r="L6" s="931"/>
      <c r="M6" s="931"/>
      <c r="N6" s="73"/>
      <c r="P6" s="27" t="s">
        <v>27</v>
      </c>
      <c r="Q6" s="932" t="str">
        <f>IF(Q5=0," ",CHOOSE(WEEKDAY(Q5,2),"Понедельник","Вторник","Среда","Четверг","Пятница","Суббота","Воскресенье"))</f>
        <v>Воскресенье</v>
      </c>
      <c r="R6" s="932"/>
      <c r="T6" s="933" t="s">
        <v>5</v>
      </c>
      <c r="U6" s="934"/>
      <c r="V6" s="935" t="s">
        <v>70</v>
      </c>
      <c r="W6" s="936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41" t="str">
        <f>IFERROR(VLOOKUP(DeliveryAddress,Table,3,0),1)</f>
        <v>3</v>
      </c>
      <c r="E7" s="942"/>
      <c r="F7" s="942"/>
      <c r="G7" s="942"/>
      <c r="H7" s="942"/>
      <c r="I7" s="942"/>
      <c r="J7" s="942"/>
      <c r="K7" s="942"/>
      <c r="L7" s="942"/>
      <c r="M7" s="943"/>
      <c r="N7" s="74"/>
      <c r="P7" s="29"/>
      <c r="Q7" s="48"/>
      <c r="R7" s="48"/>
      <c r="T7" s="933"/>
      <c r="U7" s="934"/>
      <c r="V7" s="937"/>
      <c r="W7" s="938"/>
      <c r="AB7" s="59"/>
      <c r="AC7" s="59"/>
      <c r="AD7" s="59"/>
      <c r="AE7" s="59"/>
    </row>
    <row r="8" spans="1:32" s="17" customFormat="1" ht="25.5" customHeight="1" x14ac:dyDescent="0.25">
      <c r="A8" s="944" t="s">
        <v>58</v>
      </c>
      <c r="B8" s="944"/>
      <c r="C8" s="944"/>
      <c r="D8" s="945"/>
      <c r="E8" s="945"/>
      <c r="F8" s="945"/>
      <c r="G8" s="945"/>
      <c r="H8" s="945"/>
      <c r="I8" s="945"/>
      <c r="J8" s="945"/>
      <c r="K8" s="945"/>
      <c r="L8" s="945"/>
      <c r="M8" s="945"/>
      <c r="N8" s="75"/>
      <c r="P8" s="27" t="s">
        <v>11</v>
      </c>
      <c r="Q8" s="928">
        <v>0.45833333333333331</v>
      </c>
      <c r="R8" s="928"/>
      <c r="T8" s="933"/>
      <c r="U8" s="934"/>
      <c r="V8" s="937"/>
      <c r="W8" s="938"/>
      <c r="AB8" s="59"/>
      <c r="AC8" s="59"/>
      <c r="AD8" s="59"/>
      <c r="AE8" s="59"/>
    </row>
    <row r="9" spans="1:32" s="17" customFormat="1" ht="39.9" customHeight="1" x14ac:dyDescent="0.25">
      <c r="A9" s="92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0"/>
      <c r="C9" s="920"/>
      <c r="D9" s="921" t="s">
        <v>46</v>
      </c>
      <c r="E9" s="922"/>
      <c r="F9" s="92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0"/>
      <c r="H9" s="946" t="str">
        <f>IF(AND($A$9="Тип доверенности/получателя при получении в адресе перегруза:",$D$9="Разовая доверенность"),"Введите ФИО","")</f>
        <v/>
      </c>
      <c r="I9" s="946"/>
      <c r="J9" s="94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6"/>
      <c r="L9" s="946"/>
      <c r="M9" s="946"/>
      <c r="N9" s="70"/>
      <c r="P9" s="31" t="s">
        <v>15</v>
      </c>
      <c r="Q9" s="947"/>
      <c r="R9" s="947"/>
      <c r="T9" s="933"/>
      <c r="U9" s="934"/>
      <c r="V9" s="939"/>
      <c r="W9" s="94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2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0"/>
      <c r="C10" s="920"/>
      <c r="D10" s="921"/>
      <c r="E10" s="922"/>
      <c r="F10" s="92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0"/>
      <c r="H10" s="923" t="str">
        <f>IFERROR(VLOOKUP($D$10,Proxy,2,FALSE),"")</f>
        <v/>
      </c>
      <c r="I10" s="923"/>
      <c r="J10" s="923"/>
      <c r="K10" s="923"/>
      <c r="L10" s="923"/>
      <c r="M10" s="923"/>
      <c r="N10" s="71"/>
      <c r="P10" s="31" t="s">
        <v>32</v>
      </c>
      <c r="Q10" s="924"/>
      <c r="R10" s="924"/>
      <c r="U10" s="29" t="s">
        <v>12</v>
      </c>
      <c r="V10" s="925" t="s">
        <v>71</v>
      </c>
      <c r="W10" s="92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7"/>
      <c r="R11" s="927"/>
      <c r="U11" s="29" t="s">
        <v>28</v>
      </c>
      <c r="V11" s="906" t="s">
        <v>55</v>
      </c>
      <c r="W11" s="90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05" t="s">
        <v>72</v>
      </c>
      <c r="B12" s="905"/>
      <c r="C12" s="905"/>
      <c r="D12" s="905"/>
      <c r="E12" s="905"/>
      <c r="F12" s="905"/>
      <c r="G12" s="905"/>
      <c r="H12" s="905"/>
      <c r="I12" s="905"/>
      <c r="J12" s="905"/>
      <c r="K12" s="905"/>
      <c r="L12" s="905"/>
      <c r="M12" s="905"/>
      <c r="N12" s="76"/>
      <c r="P12" s="27" t="s">
        <v>30</v>
      </c>
      <c r="Q12" s="928"/>
      <c r="R12" s="928"/>
      <c r="S12" s="28"/>
      <c r="T12"/>
      <c r="U12" s="29" t="s">
        <v>46</v>
      </c>
      <c r="V12" s="929"/>
      <c r="W12" s="929"/>
      <c r="X12"/>
      <c r="AB12" s="59"/>
      <c r="AC12" s="59"/>
      <c r="AD12" s="59"/>
      <c r="AE12" s="59"/>
    </row>
    <row r="13" spans="1:32" s="17" customFormat="1" ht="23.25" customHeight="1" x14ac:dyDescent="0.25">
      <c r="A13" s="905" t="s">
        <v>73</v>
      </c>
      <c r="B13" s="905"/>
      <c r="C13" s="905"/>
      <c r="D13" s="905"/>
      <c r="E13" s="905"/>
      <c r="F13" s="905"/>
      <c r="G13" s="905"/>
      <c r="H13" s="905"/>
      <c r="I13" s="905"/>
      <c r="J13" s="905"/>
      <c r="K13" s="905"/>
      <c r="L13" s="905"/>
      <c r="M13" s="905"/>
      <c r="N13" s="76"/>
      <c r="O13" s="31"/>
      <c r="P13" s="31" t="s">
        <v>31</v>
      </c>
      <c r="Q13" s="906"/>
      <c r="R13" s="90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05" t="s">
        <v>74</v>
      </c>
      <c r="B14" s="905"/>
      <c r="C14" s="905"/>
      <c r="D14" s="905"/>
      <c r="E14" s="905"/>
      <c r="F14" s="905"/>
      <c r="G14" s="905"/>
      <c r="H14" s="905"/>
      <c r="I14" s="905"/>
      <c r="J14" s="905"/>
      <c r="K14" s="905"/>
      <c r="L14" s="905"/>
      <c r="M14" s="90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07" t="s">
        <v>75</v>
      </c>
      <c r="B15" s="907"/>
      <c r="C15" s="907"/>
      <c r="D15" s="907"/>
      <c r="E15" s="907"/>
      <c r="F15" s="907"/>
      <c r="G15" s="907"/>
      <c r="H15" s="907"/>
      <c r="I15" s="907"/>
      <c r="J15" s="907"/>
      <c r="K15" s="907"/>
      <c r="L15" s="907"/>
      <c r="M15" s="907"/>
      <c r="N15" s="77"/>
      <c r="O15"/>
      <c r="P15" s="908" t="s">
        <v>61</v>
      </c>
      <c r="Q15" s="908"/>
      <c r="R15" s="908"/>
      <c r="S15" s="908"/>
      <c r="T15" s="90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9"/>
      <c r="Q16" s="909"/>
      <c r="R16" s="909"/>
      <c r="S16" s="909"/>
      <c r="T16" s="90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91" t="s">
        <v>59</v>
      </c>
      <c r="B17" s="891" t="s">
        <v>49</v>
      </c>
      <c r="C17" s="912" t="s">
        <v>48</v>
      </c>
      <c r="D17" s="914" t="s">
        <v>50</v>
      </c>
      <c r="E17" s="915"/>
      <c r="F17" s="891" t="s">
        <v>21</v>
      </c>
      <c r="G17" s="891" t="s">
        <v>24</v>
      </c>
      <c r="H17" s="891" t="s">
        <v>22</v>
      </c>
      <c r="I17" s="891" t="s">
        <v>23</v>
      </c>
      <c r="J17" s="891" t="s">
        <v>16</v>
      </c>
      <c r="K17" s="891" t="s">
        <v>66</v>
      </c>
      <c r="L17" s="891" t="s">
        <v>64</v>
      </c>
      <c r="M17" s="891" t="s">
        <v>2</v>
      </c>
      <c r="N17" s="891" t="s">
        <v>63</v>
      </c>
      <c r="O17" s="891" t="s">
        <v>25</v>
      </c>
      <c r="P17" s="914" t="s">
        <v>17</v>
      </c>
      <c r="Q17" s="918"/>
      <c r="R17" s="918"/>
      <c r="S17" s="918"/>
      <c r="T17" s="915"/>
      <c r="U17" s="910" t="s">
        <v>56</v>
      </c>
      <c r="V17" s="911"/>
      <c r="W17" s="891" t="s">
        <v>6</v>
      </c>
      <c r="X17" s="891" t="s">
        <v>41</v>
      </c>
      <c r="Y17" s="893" t="s">
        <v>54</v>
      </c>
      <c r="Z17" s="895" t="s">
        <v>18</v>
      </c>
      <c r="AA17" s="897" t="s">
        <v>60</v>
      </c>
      <c r="AB17" s="897" t="s">
        <v>19</v>
      </c>
      <c r="AC17" s="897" t="s">
        <v>65</v>
      </c>
      <c r="AD17" s="899" t="s">
        <v>57</v>
      </c>
      <c r="AE17" s="900"/>
      <c r="AF17" s="901"/>
      <c r="AG17" s="82"/>
      <c r="BD17" s="81" t="s">
        <v>62</v>
      </c>
    </row>
    <row r="18" spans="1:68" ht="14.25" customHeight="1" x14ac:dyDescent="0.25">
      <c r="A18" s="892"/>
      <c r="B18" s="892"/>
      <c r="C18" s="913"/>
      <c r="D18" s="916"/>
      <c r="E18" s="917"/>
      <c r="F18" s="892"/>
      <c r="G18" s="892"/>
      <c r="H18" s="892"/>
      <c r="I18" s="892"/>
      <c r="J18" s="892"/>
      <c r="K18" s="892"/>
      <c r="L18" s="892"/>
      <c r="M18" s="892"/>
      <c r="N18" s="892"/>
      <c r="O18" s="892"/>
      <c r="P18" s="916"/>
      <c r="Q18" s="919"/>
      <c r="R18" s="919"/>
      <c r="S18" s="919"/>
      <c r="T18" s="917"/>
      <c r="U18" s="83" t="s">
        <v>44</v>
      </c>
      <c r="V18" s="83" t="s">
        <v>43</v>
      </c>
      <c r="W18" s="892"/>
      <c r="X18" s="892"/>
      <c r="Y18" s="894"/>
      <c r="Z18" s="896"/>
      <c r="AA18" s="898"/>
      <c r="AB18" s="898"/>
      <c r="AC18" s="898"/>
      <c r="AD18" s="902"/>
      <c r="AE18" s="903"/>
      <c r="AF18" s="904"/>
      <c r="AG18" s="82"/>
      <c r="BD18" s="81"/>
    </row>
    <row r="19" spans="1:68" ht="27.75" customHeight="1" x14ac:dyDescent="0.25">
      <c r="A19" s="635" t="s">
        <v>76</v>
      </c>
      <c r="B19" s="635"/>
      <c r="C19" s="635"/>
      <c r="D19" s="635"/>
      <c r="E19" s="635"/>
      <c r="F19" s="635"/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  <c r="R19" s="635"/>
      <c r="S19" s="635"/>
      <c r="T19" s="635"/>
      <c r="U19" s="635"/>
      <c r="V19" s="635"/>
      <c r="W19" s="635"/>
      <c r="X19" s="635"/>
      <c r="Y19" s="635"/>
      <c r="Z19" s="635"/>
      <c r="AA19" s="54"/>
      <c r="AB19" s="54"/>
      <c r="AC19" s="54"/>
    </row>
    <row r="20" spans="1:68" ht="16.5" customHeight="1" x14ac:dyDescent="0.25">
      <c r="A20" s="630" t="s">
        <v>76</v>
      </c>
      <c r="B20" s="630"/>
      <c r="C20" s="630"/>
      <c r="D20" s="630"/>
      <c r="E20" s="630"/>
      <c r="F20" s="630"/>
      <c r="G20" s="630"/>
      <c r="H20" s="630"/>
      <c r="I20" s="630"/>
      <c r="J20" s="630"/>
      <c r="K20" s="630"/>
      <c r="L20" s="63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5"/>
      <c r="AB20" s="65"/>
      <c r="AC20" s="79"/>
    </row>
    <row r="21" spans="1:68" ht="14.25" customHeight="1" x14ac:dyDescent="0.25">
      <c r="A21" s="614" t="s">
        <v>77</v>
      </c>
      <c r="B21" s="614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14"/>
      <c r="W21" s="614"/>
      <c r="X21" s="614"/>
      <c r="Y21" s="614"/>
      <c r="Z21" s="6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15">
        <v>4680115887510</v>
      </c>
      <c r="E22" s="61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7"/>
      <c r="R22" s="617"/>
      <c r="S22" s="617"/>
      <c r="T22" s="6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15">
        <v>4680115886643</v>
      </c>
      <c r="E23" s="61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7"/>
      <c r="R23" s="617"/>
      <c r="S23" s="617"/>
      <c r="T23" s="6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15">
        <v>4680115889071</v>
      </c>
      <c r="E24" s="615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89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17"/>
      <c r="R24" s="617"/>
      <c r="S24" s="617"/>
      <c r="T24" s="618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5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3"/>
      <c r="P25" s="619" t="s">
        <v>40</v>
      </c>
      <c r="Q25" s="620"/>
      <c r="R25" s="620"/>
      <c r="S25" s="620"/>
      <c r="T25" s="620"/>
      <c r="U25" s="620"/>
      <c r="V25" s="621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5">
      <c r="A26" s="622"/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3"/>
      <c r="P26" s="619" t="s">
        <v>40</v>
      </c>
      <c r="Q26" s="620"/>
      <c r="R26" s="620"/>
      <c r="S26" s="620"/>
      <c r="T26" s="620"/>
      <c r="U26" s="620"/>
      <c r="V26" s="621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14" t="s">
        <v>90</v>
      </c>
      <c r="B27" s="614"/>
      <c r="C27" s="614"/>
      <c r="D27" s="614"/>
      <c r="E27" s="614"/>
      <c r="F27" s="614"/>
      <c r="G27" s="614"/>
      <c r="H27" s="614"/>
      <c r="I27" s="614"/>
      <c r="J27" s="614"/>
      <c r="K27" s="614"/>
      <c r="L27" s="614"/>
      <c r="M27" s="614"/>
      <c r="N27" s="614"/>
      <c r="O27" s="614"/>
      <c r="P27" s="614"/>
      <c r="Q27" s="614"/>
      <c r="R27" s="614"/>
      <c r="S27" s="614"/>
      <c r="T27" s="614"/>
      <c r="U27" s="614"/>
      <c r="V27" s="614"/>
      <c r="W27" s="614"/>
      <c r="X27" s="614"/>
      <c r="Y27" s="614"/>
      <c r="Z27" s="614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15">
        <v>4680115885912</v>
      </c>
      <c r="E28" s="6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88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17"/>
      <c r="R28" s="617"/>
      <c r="S28" s="617"/>
      <c r="T28" s="61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15">
        <v>4607091388237</v>
      </c>
      <c r="E29" s="615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8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17"/>
      <c r="R29" s="617"/>
      <c r="S29" s="617"/>
      <c r="T29" s="61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15">
        <v>4680115887350</v>
      </c>
      <c r="E30" s="6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88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17"/>
      <c r="R30" s="617"/>
      <c r="S30" s="617"/>
      <c r="T30" s="61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15">
        <v>4680115886230</v>
      </c>
      <c r="E31" s="615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88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17"/>
      <c r="R31" s="617"/>
      <c r="S31" s="617"/>
      <c r="T31" s="61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15">
        <v>4680115886278</v>
      </c>
      <c r="E32" s="615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8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17"/>
      <c r="R32" s="617"/>
      <c r="S32" s="617"/>
      <c r="T32" s="61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15">
        <v>4680115886247</v>
      </c>
      <c r="E33" s="615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8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17"/>
      <c r="R33" s="617"/>
      <c r="S33" s="617"/>
      <c r="T33" s="61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15">
        <v>4680115885905</v>
      </c>
      <c r="E34" s="615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8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17"/>
      <c r="R34" s="617"/>
      <c r="S34" s="617"/>
      <c r="T34" s="618"/>
      <c r="U34" s="39" t="s">
        <v>46</v>
      </c>
      <c r="V34" s="39" t="s">
        <v>46</v>
      </c>
      <c r="W34" s="40" t="s">
        <v>0</v>
      </c>
      <c r="X34" s="58">
        <v>90</v>
      </c>
      <c r="Y34" s="55">
        <f t="shared" si="0"/>
        <v>90</v>
      </c>
      <c r="Z34" s="41">
        <f t="shared" si="1"/>
        <v>0.32550000000000001</v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159</v>
      </c>
      <c r="BN34" s="78">
        <f t="shared" si="3"/>
        <v>159</v>
      </c>
      <c r="BO34" s="78">
        <f t="shared" si="4"/>
        <v>0.27472527472527475</v>
      </c>
      <c r="BP34" s="78">
        <f t="shared" si="5"/>
        <v>0.27472527472527475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15">
        <v>4680115887657</v>
      </c>
      <c r="E35" s="615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8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17"/>
      <c r="R35" s="617"/>
      <c r="S35" s="617"/>
      <c r="T35" s="618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15">
        <v>4680115887619</v>
      </c>
      <c r="E36" s="615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8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17"/>
      <c r="R36" s="617"/>
      <c r="S36" s="617"/>
      <c r="T36" s="618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5">
      <c r="A37" s="622"/>
      <c r="B37" s="622"/>
      <c r="C37" s="622"/>
      <c r="D37" s="622"/>
      <c r="E37" s="622"/>
      <c r="F37" s="622"/>
      <c r="G37" s="622"/>
      <c r="H37" s="622"/>
      <c r="I37" s="622"/>
      <c r="J37" s="622"/>
      <c r="K37" s="622"/>
      <c r="L37" s="622"/>
      <c r="M37" s="622"/>
      <c r="N37" s="622"/>
      <c r="O37" s="623"/>
      <c r="P37" s="619" t="s">
        <v>40</v>
      </c>
      <c r="Q37" s="620"/>
      <c r="R37" s="620"/>
      <c r="S37" s="620"/>
      <c r="T37" s="620"/>
      <c r="U37" s="620"/>
      <c r="V37" s="621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50</v>
      </c>
      <c r="Y37" s="43">
        <f>IFERROR(Y28/H28,"0")+IFERROR(Y29/H29,"0")+IFERROR(Y30/H30,"0")+IFERROR(Y31/H31,"0")+IFERROR(Y32/H32,"0")+IFERROR(Y33/H33,"0")+IFERROR(Y34/H34,"0")+IFERROR(Y35/H35,"0")+IFERROR(Y36/H36,"0")</f>
        <v>50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0.32550000000000001</v>
      </c>
      <c r="AA37" s="67"/>
      <c r="AB37" s="67"/>
      <c r="AC37" s="67"/>
    </row>
    <row r="38" spans="1:68" x14ac:dyDescent="0.25">
      <c r="A38" s="622"/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3"/>
      <c r="P38" s="619" t="s">
        <v>40</v>
      </c>
      <c r="Q38" s="620"/>
      <c r="R38" s="620"/>
      <c r="S38" s="620"/>
      <c r="T38" s="620"/>
      <c r="U38" s="620"/>
      <c r="V38" s="621"/>
      <c r="W38" s="42" t="s">
        <v>0</v>
      </c>
      <c r="X38" s="43">
        <f>IFERROR(SUM(X28:X36),"0")</f>
        <v>90</v>
      </c>
      <c r="Y38" s="43">
        <f>IFERROR(SUM(Y28:Y36),"0")</f>
        <v>90</v>
      </c>
      <c r="Z38" s="42"/>
      <c r="AA38" s="67"/>
      <c r="AB38" s="67"/>
      <c r="AC38" s="67"/>
    </row>
    <row r="39" spans="1:68" ht="14.25" customHeight="1" x14ac:dyDescent="0.25">
      <c r="A39" s="614" t="s">
        <v>118</v>
      </c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614"/>
      <c r="W39" s="614"/>
      <c r="X39" s="614"/>
      <c r="Y39" s="614"/>
      <c r="Z39" s="614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15">
        <v>4607091388503</v>
      </c>
      <c r="E40" s="615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8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17"/>
      <c r="R40" s="617"/>
      <c r="S40" s="617"/>
      <c r="T40" s="6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5">
      <c r="A41" s="622"/>
      <c r="B41" s="622"/>
      <c r="C41" s="622"/>
      <c r="D41" s="622"/>
      <c r="E41" s="622"/>
      <c r="F41" s="622"/>
      <c r="G41" s="622"/>
      <c r="H41" s="622"/>
      <c r="I41" s="622"/>
      <c r="J41" s="622"/>
      <c r="K41" s="622"/>
      <c r="L41" s="622"/>
      <c r="M41" s="622"/>
      <c r="N41" s="622"/>
      <c r="O41" s="623"/>
      <c r="P41" s="619" t="s">
        <v>40</v>
      </c>
      <c r="Q41" s="620"/>
      <c r="R41" s="620"/>
      <c r="S41" s="620"/>
      <c r="T41" s="620"/>
      <c r="U41" s="620"/>
      <c r="V41" s="621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5">
      <c r="A42" s="622"/>
      <c r="B42" s="622"/>
      <c r="C42" s="622"/>
      <c r="D42" s="622"/>
      <c r="E42" s="622"/>
      <c r="F42" s="622"/>
      <c r="G42" s="622"/>
      <c r="H42" s="622"/>
      <c r="I42" s="622"/>
      <c r="J42" s="622"/>
      <c r="K42" s="622"/>
      <c r="L42" s="622"/>
      <c r="M42" s="622"/>
      <c r="N42" s="622"/>
      <c r="O42" s="623"/>
      <c r="P42" s="619" t="s">
        <v>40</v>
      </c>
      <c r="Q42" s="620"/>
      <c r="R42" s="620"/>
      <c r="S42" s="620"/>
      <c r="T42" s="620"/>
      <c r="U42" s="620"/>
      <c r="V42" s="621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5">
      <c r="A43" s="635" t="s">
        <v>45</v>
      </c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5"/>
      <c r="W43" s="635"/>
      <c r="X43" s="635"/>
      <c r="Y43" s="635"/>
      <c r="Z43" s="635"/>
      <c r="AA43" s="54"/>
      <c r="AB43" s="54"/>
      <c r="AC43" s="54"/>
    </row>
    <row r="44" spans="1:68" ht="16.5" customHeight="1" x14ac:dyDescent="0.25">
      <c r="A44" s="630" t="s">
        <v>124</v>
      </c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0"/>
      <c r="S44" s="630"/>
      <c r="T44" s="630"/>
      <c r="U44" s="630"/>
      <c r="V44" s="630"/>
      <c r="W44" s="630"/>
      <c r="X44" s="630"/>
      <c r="Y44" s="630"/>
      <c r="Z44" s="630"/>
      <c r="AA44" s="65"/>
      <c r="AB44" s="65"/>
      <c r="AC44" s="79"/>
    </row>
    <row r="45" spans="1:68" ht="14.25" customHeight="1" x14ac:dyDescent="0.25">
      <c r="A45" s="614" t="s">
        <v>90</v>
      </c>
      <c r="B45" s="614"/>
      <c r="C45" s="614"/>
      <c r="D45" s="614"/>
      <c r="E45" s="614"/>
      <c r="F45" s="614"/>
      <c r="G45" s="614"/>
      <c r="H45" s="614"/>
      <c r="I45" s="614"/>
      <c r="J45" s="614"/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14"/>
      <c r="X45" s="614"/>
      <c r="Y45" s="614"/>
      <c r="Z45" s="614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15">
        <v>4680115888463</v>
      </c>
      <c r="E46" s="615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8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17"/>
      <c r="R46" s="617"/>
      <c r="S46" s="617"/>
      <c r="T46" s="618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15">
        <v>4680115888494</v>
      </c>
      <c r="E47" s="615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87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17"/>
      <c r="R47" s="617"/>
      <c r="S47" s="617"/>
      <c r="T47" s="6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15">
        <v>4680115888272</v>
      </c>
      <c r="E48" s="615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8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17"/>
      <c r="R48" s="617"/>
      <c r="S48" s="617"/>
      <c r="T48" s="6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15">
        <v>4680115888364</v>
      </c>
      <c r="E49" s="615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87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17"/>
      <c r="R49" s="617"/>
      <c r="S49" s="617"/>
      <c r="T49" s="6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5">
      <c r="A50" s="622"/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3"/>
      <c r="P50" s="619" t="s">
        <v>40</v>
      </c>
      <c r="Q50" s="620"/>
      <c r="R50" s="620"/>
      <c r="S50" s="620"/>
      <c r="T50" s="620"/>
      <c r="U50" s="620"/>
      <c r="V50" s="621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5">
      <c r="A51" s="622"/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3"/>
      <c r="P51" s="619" t="s">
        <v>40</v>
      </c>
      <c r="Q51" s="620"/>
      <c r="R51" s="620"/>
      <c r="S51" s="620"/>
      <c r="T51" s="620"/>
      <c r="U51" s="620"/>
      <c r="V51" s="621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5">
      <c r="A52" s="635" t="s">
        <v>137</v>
      </c>
      <c r="B52" s="635"/>
      <c r="C52" s="635"/>
      <c r="D52" s="635"/>
      <c r="E52" s="635"/>
      <c r="F52" s="635"/>
      <c r="G52" s="635"/>
      <c r="H52" s="635"/>
      <c r="I52" s="635"/>
      <c r="J52" s="635"/>
      <c r="K52" s="635"/>
      <c r="L52" s="635"/>
      <c r="M52" s="635"/>
      <c r="N52" s="635"/>
      <c r="O52" s="635"/>
      <c r="P52" s="635"/>
      <c r="Q52" s="635"/>
      <c r="R52" s="635"/>
      <c r="S52" s="635"/>
      <c r="T52" s="635"/>
      <c r="U52" s="635"/>
      <c r="V52" s="635"/>
      <c r="W52" s="635"/>
      <c r="X52" s="635"/>
      <c r="Y52" s="635"/>
      <c r="Z52" s="635"/>
      <c r="AA52" s="54"/>
      <c r="AB52" s="54"/>
      <c r="AC52" s="54"/>
    </row>
    <row r="53" spans="1:68" ht="16.5" customHeight="1" x14ac:dyDescent="0.25">
      <c r="A53" s="630" t="s">
        <v>138</v>
      </c>
      <c r="B53" s="630"/>
      <c r="C53" s="630"/>
      <c r="D53" s="630"/>
      <c r="E53" s="630"/>
      <c r="F53" s="630"/>
      <c r="G53" s="630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5"/>
      <c r="AB53" s="65"/>
      <c r="AC53" s="79"/>
    </row>
    <row r="54" spans="1:68" ht="14.25" customHeight="1" x14ac:dyDescent="0.25">
      <c r="A54" s="614" t="s">
        <v>139</v>
      </c>
      <c r="B54" s="614"/>
      <c r="C54" s="614"/>
      <c r="D54" s="614"/>
      <c r="E54" s="614"/>
      <c r="F54" s="614"/>
      <c r="G54" s="614"/>
      <c r="H54" s="614"/>
      <c r="I54" s="614"/>
      <c r="J54" s="614"/>
      <c r="K54" s="614"/>
      <c r="L54" s="614"/>
      <c r="M54" s="614"/>
      <c r="N54" s="614"/>
      <c r="O54" s="614"/>
      <c r="P54" s="614"/>
      <c r="Q54" s="614"/>
      <c r="R54" s="614"/>
      <c r="S54" s="614"/>
      <c r="T54" s="614"/>
      <c r="U54" s="614"/>
      <c r="V54" s="614"/>
      <c r="W54" s="614"/>
      <c r="X54" s="614"/>
      <c r="Y54" s="614"/>
      <c r="Z54" s="614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15">
        <v>4607091385670</v>
      </c>
      <c r="E55" s="615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8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17"/>
      <c r="R55" s="617"/>
      <c r="S55" s="617"/>
      <c r="T55" s="618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15">
        <v>4680115887725</v>
      </c>
      <c r="E56" s="615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87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17"/>
      <c r="R56" s="617"/>
      <c r="S56" s="617"/>
      <c r="T56" s="618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15">
        <v>4607091385687</v>
      </c>
      <c r="E57" s="615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8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17"/>
      <c r="R57" s="617"/>
      <c r="S57" s="617"/>
      <c r="T57" s="618"/>
      <c r="U57" s="39" t="s">
        <v>46</v>
      </c>
      <c r="V57" s="39" t="s">
        <v>46</v>
      </c>
      <c r="W57" s="40" t="s">
        <v>0</v>
      </c>
      <c r="X57" s="58">
        <v>84</v>
      </c>
      <c r="Y57" s="55">
        <f>IFERROR(IF(X57="",0,CEILING((X57/$H57),1)*$H57),"")</f>
        <v>84</v>
      </c>
      <c r="Z57" s="41">
        <f>IFERROR(IF(Y57=0,"",ROUNDUP(Y57/H57,0)*0.00902),"")</f>
        <v>0.18942000000000001</v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87.990000000000009</v>
      </c>
      <c r="BN57" s="78">
        <f>IFERROR(Y57*I57/H57,"0")</f>
        <v>87.990000000000009</v>
      </c>
      <c r="BO57" s="78">
        <f>IFERROR(1/J57*(X57/H57),"0")</f>
        <v>0.15909090909090909</v>
      </c>
      <c r="BP57" s="78">
        <f>IFERROR(1/J57*(Y57/H57),"0")</f>
        <v>0.15909090909090909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15">
        <v>4680115882539</v>
      </c>
      <c r="E58" s="615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8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17"/>
      <c r="R58" s="617"/>
      <c r="S58" s="617"/>
      <c r="T58" s="618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5">
      <c r="A59" s="622"/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3"/>
      <c r="P59" s="619" t="s">
        <v>40</v>
      </c>
      <c r="Q59" s="620"/>
      <c r="R59" s="620"/>
      <c r="S59" s="620"/>
      <c r="T59" s="620"/>
      <c r="U59" s="620"/>
      <c r="V59" s="621"/>
      <c r="W59" s="42" t="s">
        <v>39</v>
      </c>
      <c r="X59" s="43">
        <f>IFERROR(X55/H55,"0")+IFERROR(X56/H56,"0")+IFERROR(X57/H57,"0")+IFERROR(X58/H58,"0")</f>
        <v>21</v>
      </c>
      <c r="Y59" s="43">
        <f>IFERROR(Y55/H55,"0")+IFERROR(Y56/H56,"0")+IFERROR(Y57/H57,"0")+IFERROR(Y58/H58,"0")</f>
        <v>21</v>
      </c>
      <c r="Z59" s="43">
        <f>IFERROR(IF(Z55="",0,Z55),"0")+IFERROR(IF(Z56="",0,Z56),"0")+IFERROR(IF(Z57="",0,Z57),"0")+IFERROR(IF(Z58="",0,Z58),"0")</f>
        <v>0.18942000000000001</v>
      </c>
      <c r="AA59" s="67"/>
      <c r="AB59" s="67"/>
      <c r="AC59" s="67"/>
    </row>
    <row r="60" spans="1:68" x14ac:dyDescent="0.25">
      <c r="A60" s="622"/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3"/>
      <c r="P60" s="619" t="s">
        <v>40</v>
      </c>
      <c r="Q60" s="620"/>
      <c r="R60" s="620"/>
      <c r="S60" s="620"/>
      <c r="T60" s="620"/>
      <c r="U60" s="620"/>
      <c r="V60" s="621"/>
      <c r="W60" s="42" t="s">
        <v>0</v>
      </c>
      <c r="X60" s="43">
        <f>IFERROR(SUM(X55:X58),"0")</f>
        <v>84</v>
      </c>
      <c r="Y60" s="43">
        <f>IFERROR(SUM(Y55:Y58),"0")</f>
        <v>84</v>
      </c>
      <c r="Z60" s="42"/>
      <c r="AA60" s="67"/>
      <c r="AB60" s="67"/>
      <c r="AC60" s="67"/>
    </row>
    <row r="61" spans="1:68" ht="16.5" customHeight="1" x14ac:dyDescent="0.25">
      <c r="A61" s="630" t="s">
        <v>154</v>
      </c>
      <c r="B61" s="630"/>
      <c r="C61" s="630"/>
      <c r="D61" s="630"/>
      <c r="E61" s="630"/>
      <c r="F61" s="630"/>
      <c r="G61" s="630"/>
      <c r="H61" s="630"/>
      <c r="I61" s="630"/>
      <c r="J61" s="630"/>
      <c r="K61" s="630"/>
      <c r="L61" s="630"/>
      <c r="M61" s="630"/>
      <c r="N61" s="630"/>
      <c r="O61" s="630"/>
      <c r="P61" s="630"/>
      <c r="Q61" s="630"/>
      <c r="R61" s="630"/>
      <c r="S61" s="630"/>
      <c r="T61" s="630"/>
      <c r="U61" s="630"/>
      <c r="V61" s="630"/>
      <c r="W61" s="630"/>
      <c r="X61" s="630"/>
      <c r="Y61" s="630"/>
      <c r="Z61" s="630"/>
      <c r="AA61" s="65"/>
      <c r="AB61" s="65"/>
      <c r="AC61" s="79"/>
    </row>
    <row r="62" spans="1:68" ht="14.25" customHeight="1" x14ac:dyDescent="0.25">
      <c r="A62" s="614" t="s">
        <v>139</v>
      </c>
      <c r="B62" s="614"/>
      <c r="C62" s="614"/>
      <c r="D62" s="614"/>
      <c r="E62" s="614"/>
      <c r="F62" s="614"/>
      <c r="G62" s="614"/>
      <c r="H62" s="614"/>
      <c r="I62" s="614"/>
      <c r="J62" s="614"/>
      <c r="K62" s="614"/>
      <c r="L62" s="614"/>
      <c r="M62" s="614"/>
      <c r="N62" s="614"/>
      <c r="O62" s="614"/>
      <c r="P62" s="614"/>
      <c r="Q62" s="614"/>
      <c r="R62" s="614"/>
      <c r="S62" s="614"/>
      <c r="T62" s="614"/>
      <c r="U62" s="614"/>
      <c r="V62" s="614"/>
      <c r="W62" s="614"/>
      <c r="X62" s="614"/>
      <c r="Y62" s="614"/>
      <c r="Z62" s="614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15">
        <v>4680115885882</v>
      </c>
      <c r="E63" s="615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8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17"/>
      <c r="R63" s="617"/>
      <c r="S63" s="617"/>
      <c r="T63" s="6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15">
        <v>4680115885882</v>
      </c>
      <c r="E64" s="615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8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17"/>
      <c r="R64" s="617"/>
      <c r="S64" s="617"/>
      <c r="T64" s="6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15">
        <v>4680115881426</v>
      </c>
      <c r="E65" s="615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86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17"/>
      <c r="R65" s="617"/>
      <c r="S65" s="617"/>
      <c r="T65" s="6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15">
        <v>4680115880283</v>
      </c>
      <c r="E66" s="615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8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17"/>
      <c r="R66" s="617"/>
      <c r="S66" s="617"/>
      <c r="T66" s="6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15">
        <v>4680115881525</v>
      </c>
      <c r="E67" s="615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8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17"/>
      <c r="R67" s="617"/>
      <c r="S67" s="617"/>
      <c r="T67" s="61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15">
        <v>4680115885899</v>
      </c>
      <c r="E68" s="615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8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17"/>
      <c r="R68" s="617"/>
      <c r="S68" s="617"/>
      <c r="T68" s="61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15">
        <v>4680115881419</v>
      </c>
      <c r="E69" s="615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8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17"/>
      <c r="R69" s="617"/>
      <c r="S69" s="617"/>
      <c r="T69" s="61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5">
      <c r="A70" s="622"/>
      <c r="B70" s="622"/>
      <c r="C70" s="622"/>
      <c r="D70" s="622"/>
      <c r="E70" s="622"/>
      <c r="F70" s="622"/>
      <c r="G70" s="622"/>
      <c r="H70" s="622"/>
      <c r="I70" s="622"/>
      <c r="J70" s="622"/>
      <c r="K70" s="622"/>
      <c r="L70" s="622"/>
      <c r="M70" s="622"/>
      <c r="N70" s="622"/>
      <c r="O70" s="623"/>
      <c r="P70" s="619" t="s">
        <v>40</v>
      </c>
      <c r="Q70" s="620"/>
      <c r="R70" s="620"/>
      <c r="S70" s="620"/>
      <c r="T70" s="620"/>
      <c r="U70" s="620"/>
      <c r="V70" s="621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5">
      <c r="A71" s="622"/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3"/>
      <c r="P71" s="619" t="s">
        <v>40</v>
      </c>
      <c r="Q71" s="620"/>
      <c r="R71" s="620"/>
      <c r="S71" s="620"/>
      <c r="T71" s="620"/>
      <c r="U71" s="620"/>
      <c r="V71" s="621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14" t="s">
        <v>174</v>
      </c>
      <c r="B72" s="614"/>
      <c r="C72" s="614"/>
      <c r="D72" s="614"/>
      <c r="E72" s="614"/>
      <c r="F72" s="614"/>
      <c r="G72" s="614"/>
      <c r="H72" s="614"/>
      <c r="I72" s="614"/>
      <c r="J72" s="614"/>
      <c r="K72" s="614"/>
      <c r="L72" s="614"/>
      <c r="M72" s="614"/>
      <c r="N72" s="614"/>
      <c r="O72" s="614"/>
      <c r="P72" s="614"/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15">
        <v>4680115881440</v>
      </c>
      <c r="E73" s="615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17"/>
      <c r="R73" s="617"/>
      <c r="S73" s="617"/>
      <c r="T73" s="6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15">
        <v>4680115885950</v>
      </c>
      <c r="E74" s="615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8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17"/>
      <c r="R74" s="617"/>
      <c r="S74" s="617"/>
      <c r="T74" s="6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15">
        <v>4680115887688</v>
      </c>
      <c r="E75" s="615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8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17"/>
      <c r="R75" s="617"/>
      <c r="S75" s="617"/>
      <c r="T75" s="618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15">
        <v>4680115881433</v>
      </c>
      <c r="E76" s="615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8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17"/>
      <c r="R76" s="617"/>
      <c r="S76" s="617"/>
      <c r="T76" s="618"/>
      <c r="U76" s="39" t="s">
        <v>46</v>
      </c>
      <c r="V76" s="39" t="s">
        <v>46</v>
      </c>
      <c r="W76" s="40" t="s">
        <v>0</v>
      </c>
      <c r="X76" s="58">
        <v>76.05</v>
      </c>
      <c r="Y76" s="55">
        <f>IFERROR(IF(X76="",0,CEILING((X76/$H76),1)*$H76),"")</f>
        <v>78.300000000000011</v>
      </c>
      <c r="Z76" s="41">
        <f>IFERROR(IF(Y76=0,"",ROUNDUP(Y76/H76,0)*0.00651),"")</f>
        <v>0.18879000000000001</v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81.11999999999999</v>
      </c>
      <c r="BN76" s="78">
        <f>IFERROR(Y76*I76/H76,"0")</f>
        <v>83.52</v>
      </c>
      <c r="BO76" s="78">
        <f>IFERROR(1/J76*(X76/H76),"0")</f>
        <v>0.15476190476190477</v>
      </c>
      <c r="BP76" s="78">
        <f>IFERROR(1/J76*(Y76/H76),"0")</f>
        <v>0.15934065934065939</v>
      </c>
    </row>
    <row r="77" spans="1:68" x14ac:dyDescent="0.25">
      <c r="A77" s="622"/>
      <c r="B77" s="622"/>
      <c r="C77" s="622"/>
      <c r="D77" s="622"/>
      <c r="E77" s="622"/>
      <c r="F77" s="622"/>
      <c r="G77" s="622"/>
      <c r="H77" s="622"/>
      <c r="I77" s="622"/>
      <c r="J77" s="622"/>
      <c r="K77" s="622"/>
      <c r="L77" s="622"/>
      <c r="M77" s="622"/>
      <c r="N77" s="622"/>
      <c r="O77" s="623"/>
      <c r="P77" s="619" t="s">
        <v>40</v>
      </c>
      <c r="Q77" s="620"/>
      <c r="R77" s="620"/>
      <c r="S77" s="620"/>
      <c r="T77" s="620"/>
      <c r="U77" s="620"/>
      <c r="V77" s="621"/>
      <c r="W77" s="42" t="s">
        <v>39</v>
      </c>
      <c r="X77" s="43">
        <f>IFERROR(X73/H73,"0")+IFERROR(X74/H74,"0")+IFERROR(X75/H75,"0")+IFERROR(X76/H76,"0")</f>
        <v>28.166666666666664</v>
      </c>
      <c r="Y77" s="43">
        <f>IFERROR(Y73/H73,"0")+IFERROR(Y74/H74,"0")+IFERROR(Y75/H75,"0")+IFERROR(Y76/H76,"0")</f>
        <v>29.000000000000004</v>
      </c>
      <c r="Z77" s="43">
        <f>IFERROR(IF(Z73="",0,Z73),"0")+IFERROR(IF(Z74="",0,Z74),"0")+IFERROR(IF(Z75="",0,Z75),"0")+IFERROR(IF(Z76="",0,Z76),"0")</f>
        <v>0.18879000000000001</v>
      </c>
      <c r="AA77" s="67"/>
      <c r="AB77" s="67"/>
      <c r="AC77" s="67"/>
    </row>
    <row r="78" spans="1:68" x14ac:dyDescent="0.25">
      <c r="A78" s="622"/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3"/>
      <c r="P78" s="619" t="s">
        <v>40</v>
      </c>
      <c r="Q78" s="620"/>
      <c r="R78" s="620"/>
      <c r="S78" s="620"/>
      <c r="T78" s="620"/>
      <c r="U78" s="620"/>
      <c r="V78" s="621"/>
      <c r="W78" s="42" t="s">
        <v>0</v>
      </c>
      <c r="X78" s="43">
        <f>IFERROR(SUM(X73:X76),"0")</f>
        <v>76.05</v>
      </c>
      <c r="Y78" s="43">
        <f>IFERROR(SUM(Y73:Y76),"0")</f>
        <v>78.300000000000011</v>
      </c>
      <c r="Z78" s="42"/>
      <c r="AA78" s="67"/>
      <c r="AB78" s="67"/>
      <c r="AC78" s="67"/>
    </row>
    <row r="79" spans="1:68" ht="14.25" customHeight="1" x14ac:dyDescent="0.25">
      <c r="A79" s="614" t="s">
        <v>90</v>
      </c>
      <c r="B79" s="614"/>
      <c r="C79" s="614"/>
      <c r="D79" s="614"/>
      <c r="E79" s="614"/>
      <c r="F79" s="614"/>
      <c r="G79" s="614"/>
      <c r="H79" s="614"/>
      <c r="I79" s="614"/>
      <c r="J79" s="614"/>
      <c r="K79" s="614"/>
      <c r="L79" s="614"/>
      <c r="M79" s="614"/>
      <c r="N79" s="614"/>
      <c r="O79" s="614"/>
      <c r="P79" s="614"/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15">
        <v>4680115884311</v>
      </c>
      <c r="E80" s="615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8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17"/>
      <c r="R80" s="617"/>
      <c r="S80" s="617"/>
      <c r="T80" s="618"/>
      <c r="U80" s="39" t="s">
        <v>46</v>
      </c>
      <c r="V80" s="39" t="s">
        <v>46</v>
      </c>
      <c r="W80" s="40" t="s">
        <v>0</v>
      </c>
      <c r="X80" s="58">
        <v>75</v>
      </c>
      <c r="Y80" s="55">
        <f>IFERROR(IF(X80="",0,CEILING((X80/$H80),1)*$H80),"")</f>
        <v>75.600000000000009</v>
      </c>
      <c r="Z80" s="41">
        <f>IFERROR(IF(Y80=0,"",ROUNDUP(Y80/H80,0)*0.00651),"")</f>
        <v>0.27342</v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85.249999999999986</v>
      </c>
      <c r="BN80" s="78">
        <f>IFERROR(Y80*I80/H80,"0")</f>
        <v>85.932000000000002</v>
      </c>
      <c r="BO80" s="78">
        <f>IFERROR(1/J80*(X80/H80),"0")</f>
        <v>0.22893772893772893</v>
      </c>
      <c r="BP80" s="78">
        <f>IFERROR(1/J80*(Y80/H80),"0")</f>
        <v>0.23076923076923084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15">
        <v>4680115884403</v>
      </c>
      <c r="E81" s="615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8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17"/>
      <c r="R81" s="617"/>
      <c r="S81" s="617"/>
      <c r="T81" s="618"/>
      <c r="U81" s="39" t="s">
        <v>46</v>
      </c>
      <c r="V81" s="39" t="s">
        <v>46</v>
      </c>
      <c r="W81" s="40" t="s">
        <v>0</v>
      </c>
      <c r="X81" s="58">
        <v>75</v>
      </c>
      <c r="Y81" s="55">
        <f>IFERROR(IF(X81="",0,CEILING((X81/$H81),1)*$H81),"")</f>
        <v>75.600000000000009</v>
      </c>
      <c r="Z81" s="41">
        <f>IFERROR(IF(Y81=0,"",ROUNDUP(Y81/H81,0)*0.00651),"")</f>
        <v>0.27342</v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82.5</v>
      </c>
      <c r="BN81" s="78">
        <f>IFERROR(Y81*I81/H81,"0")</f>
        <v>83.160000000000011</v>
      </c>
      <c r="BO81" s="78">
        <f>IFERROR(1/J81*(X81/H81),"0")</f>
        <v>0.22893772893772893</v>
      </c>
      <c r="BP81" s="78">
        <f>IFERROR(1/J81*(Y81/H81),"0")</f>
        <v>0.23076923076923084</v>
      </c>
    </row>
    <row r="82" spans="1:68" x14ac:dyDescent="0.25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O82" s="623"/>
      <c r="P82" s="619" t="s">
        <v>40</v>
      </c>
      <c r="Q82" s="620"/>
      <c r="R82" s="620"/>
      <c r="S82" s="620"/>
      <c r="T82" s="620"/>
      <c r="U82" s="620"/>
      <c r="V82" s="621"/>
      <c r="W82" s="42" t="s">
        <v>39</v>
      </c>
      <c r="X82" s="43">
        <f>IFERROR(X80/H80,"0")+IFERROR(X81/H81,"0")</f>
        <v>83.333333333333329</v>
      </c>
      <c r="Y82" s="43">
        <f>IFERROR(Y80/H80,"0")+IFERROR(Y81/H81,"0")</f>
        <v>84.000000000000014</v>
      </c>
      <c r="Z82" s="43">
        <f>IFERROR(IF(Z80="",0,Z80),"0")+IFERROR(IF(Z81="",0,Z81),"0")</f>
        <v>0.54683999999999999</v>
      </c>
      <c r="AA82" s="67"/>
      <c r="AB82" s="67"/>
      <c r="AC82" s="67"/>
    </row>
    <row r="83" spans="1:68" x14ac:dyDescent="0.25">
      <c r="A83" s="622"/>
      <c r="B83" s="622"/>
      <c r="C83" s="622"/>
      <c r="D83" s="622"/>
      <c r="E83" s="622"/>
      <c r="F83" s="622"/>
      <c r="G83" s="622"/>
      <c r="H83" s="622"/>
      <c r="I83" s="622"/>
      <c r="J83" s="622"/>
      <c r="K83" s="622"/>
      <c r="L83" s="622"/>
      <c r="M83" s="622"/>
      <c r="N83" s="622"/>
      <c r="O83" s="623"/>
      <c r="P83" s="619" t="s">
        <v>40</v>
      </c>
      <c r="Q83" s="620"/>
      <c r="R83" s="620"/>
      <c r="S83" s="620"/>
      <c r="T83" s="620"/>
      <c r="U83" s="620"/>
      <c r="V83" s="621"/>
      <c r="W83" s="42" t="s">
        <v>0</v>
      </c>
      <c r="X83" s="43">
        <f>IFERROR(SUM(X80:X81),"0")</f>
        <v>150</v>
      </c>
      <c r="Y83" s="43">
        <f>IFERROR(SUM(Y80:Y81),"0")</f>
        <v>151.20000000000002</v>
      </c>
      <c r="Z83" s="42"/>
      <c r="AA83" s="67"/>
      <c r="AB83" s="67"/>
      <c r="AC83" s="67"/>
    </row>
    <row r="84" spans="1:68" ht="14.25" customHeight="1" x14ac:dyDescent="0.25">
      <c r="A84" s="614" t="s">
        <v>191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15">
        <v>4680115881532</v>
      </c>
      <c r="E85" s="615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8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17"/>
      <c r="R85" s="617"/>
      <c r="S85" s="617"/>
      <c r="T85" s="6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15">
        <v>4680115881464</v>
      </c>
      <c r="E86" s="615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8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17"/>
      <c r="R86" s="617"/>
      <c r="S86" s="617"/>
      <c r="T86" s="618"/>
      <c r="U86" s="39" t="s">
        <v>46</v>
      </c>
      <c r="V86" s="39" t="s">
        <v>46</v>
      </c>
      <c r="W86" s="40" t="s">
        <v>0</v>
      </c>
      <c r="X86" s="58">
        <v>48</v>
      </c>
      <c r="Y86" s="55">
        <f>IFERROR(IF(X86="",0,CEILING((X86/$H86),1)*$H86),"")</f>
        <v>48</v>
      </c>
      <c r="Z86" s="41">
        <f>IFERROR(IF(Y86=0,"",ROUNDUP(Y86/H86,0)*0.00902),"")</f>
        <v>0.1804</v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51.8</v>
      </c>
      <c r="BN86" s="78">
        <f>IFERROR(Y86*I86/H86,"0")</f>
        <v>51.8</v>
      </c>
      <c r="BO86" s="78">
        <f>IFERROR(1/J86*(X86/H86),"0")</f>
        <v>0.15151515151515152</v>
      </c>
      <c r="BP86" s="78">
        <f>IFERROR(1/J86*(Y86/H86),"0")</f>
        <v>0.15151515151515152</v>
      </c>
    </row>
    <row r="87" spans="1:68" x14ac:dyDescent="0.25">
      <c r="A87" s="622"/>
      <c r="B87" s="622"/>
      <c r="C87" s="622"/>
      <c r="D87" s="622"/>
      <c r="E87" s="622"/>
      <c r="F87" s="622"/>
      <c r="G87" s="622"/>
      <c r="H87" s="622"/>
      <c r="I87" s="622"/>
      <c r="J87" s="622"/>
      <c r="K87" s="622"/>
      <c r="L87" s="622"/>
      <c r="M87" s="622"/>
      <c r="N87" s="622"/>
      <c r="O87" s="623"/>
      <c r="P87" s="619" t="s">
        <v>40</v>
      </c>
      <c r="Q87" s="620"/>
      <c r="R87" s="620"/>
      <c r="S87" s="620"/>
      <c r="T87" s="620"/>
      <c r="U87" s="620"/>
      <c r="V87" s="621"/>
      <c r="W87" s="42" t="s">
        <v>39</v>
      </c>
      <c r="X87" s="43">
        <f>IFERROR(X85/H85,"0")+IFERROR(X86/H86,"0")</f>
        <v>20</v>
      </c>
      <c r="Y87" s="43">
        <f>IFERROR(Y85/H85,"0")+IFERROR(Y86/H86,"0")</f>
        <v>20</v>
      </c>
      <c r="Z87" s="43">
        <f>IFERROR(IF(Z85="",0,Z85),"0")+IFERROR(IF(Z86="",0,Z86),"0")</f>
        <v>0.1804</v>
      </c>
      <c r="AA87" s="67"/>
      <c r="AB87" s="67"/>
      <c r="AC87" s="67"/>
    </row>
    <row r="88" spans="1:68" x14ac:dyDescent="0.25">
      <c r="A88" s="622"/>
      <c r="B88" s="622"/>
      <c r="C88" s="622"/>
      <c r="D88" s="622"/>
      <c r="E88" s="622"/>
      <c r="F88" s="622"/>
      <c r="G88" s="622"/>
      <c r="H88" s="622"/>
      <c r="I88" s="622"/>
      <c r="J88" s="622"/>
      <c r="K88" s="622"/>
      <c r="L88" s="622"/>
      <c r="M88" s="622"/>
      <c r="N88" s="622"/>
      <c r="O88" s="623"/>
      <c r="P88" s="619" t="s">
        <v>40</v>
      </c>
      <c r="Q88" s="620"/>
      <c r="R88" s="620"/>
      <c r="S88" s="620"/>
      <c r="T88" s="620"/>
      <c r="U88" s="620"/>
      <c r="V88" s="621"/>
      <c r="W88" s="42" t="s">
        <v>0</v>
      </c>
      <c r="X88" s="43">
        <f>IFERROR(SUM(X85:X86),"0")</f>
        <v>48</v>
      </c>
      <c r="Y88" s="43">
        <f>IFERROR(SUM(Y85:Y86),"0")</f>
        <v>48</v>
      </c>
      <c r="Z88" s="42"/>
      <c r="AA88" s="67"/>
      <c r="AB88" s="67"/>
      <c r="AC88" s="67"/>
    </row>
    <row r="89" spans="1:68" ht="16.5" customHeight="1" x14ac:dyDescent="0.25">
      <c r="A89" s="630" t="s">
        <v>198</v>
      </c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30"/>
      <c r="U89" s="630"/>
      <c r="V89" s="630"/>
      <c r="W89" s="630"/>
      <c r="X89" s="630"/>
      <c r="Y89" s="630"/>
      <c r="Z89" s="630"/>
      <c r="AA89" s="65"/>
      <c r="AB89" s="65"/>
      <c r="AC89" s="79"/>
    </row>
    <row r="90" spans="1:68" ht="14.25" customHeight="1" x14ac:dyDescent="0.25">
      <c r="A90" s="614" t="s">
        <v>139</v>
      </c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15">
        <v>4680115881327</v>
      </c>
      <c r="E91" s="615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17"/>
      <c r="R91" s="617"/>
      <c r="S91" s="617"/>
      <c r="T91" s="6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15">
        <v>4680115887732</v>
      </c>
      <c r="E92" s="615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85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17"/>
      <c r="R92" s="617"/>
      <c r="S92" s="617"/>
      <c r="T92" s="618"/>
      <c r="U92" s="39" t="s">
        <v>46</v>
      </c>
      <c r="V92" s="39" t="s">
        <v>46</v>
      </c>
      <c r="W92" s="40" t="s">
        <v>0</v>
      </c>
      <c r="X92" s="58">
        <v>15.3</v>
      </c>
      <c r="Y92" s="55">
        <f>IFERROR(IF(X92="",0,CEILING((X92/$H92),1)*$H92),"")</f>
        <v>15.299999999999999</v>
      </c>
      <c r="Z92" s="41">
        <f>IFERROR(IF(Y92=0,"",ROUNDUP(Y92/H92,0)*0.00726),"")</f>
        <v>6.5339999999999995E-2</v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16.200000000000003</v>
      </c>
      <c r="BN92" s="78">
        <f>IFERROR(Y92*I92/H92,"0")</f>
        <v>16.2</v>
      </c>
      <c r="BO92" s="78">
        <f>IFERROR(1/J92*(X92/H92),"0")</f>
        <v>4.6875E-2</v>
      </c>
      <c r="BP92" s="78">
        <f>IFERROR(1/J92*(Y92/H92),"0")</f>
        <v>4.6875E-2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15">
        <v>4680115881518</v>
      </c>
      <c r="E93" s="6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17"/>
      <c r="R93" s="617"/>
      <c r="S93" s="617"/>
      <c r="T93" s="6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15">
        <v>4680115881303</v>
      </c>
      <c r="E94" s="6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85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17"/>
      <c r="R94" s="617"/>
      <c r="S94" s="617"/>
      <c r="T94" s="6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5">
      <c r="A95" s="622"/>
      <c r="B95" s="622"/>
      <c r="C95" s="622"/>
      <c r="D95" s="622"/>
      <c r="E95" s="622"/>
      <c r="F95" s="622"/>
      <c r="G95" s="622"/>
      <c r="H95" s="622"/>
      <c r="I95" s="622"/>
      <c r="J95" s="622"/>
      <c r="K95" s="622"/>
      <c r="L95" s="622"/>
      <c r="M95" s="622"/>
      <c r="N95" s="622"/>
      <c r="O95" s="623"/>
      <c r="P95" s="619" t="s">
        <v>40</v>
      </c>
      <c r="Q95" s="620"/>
      <c r="R95" s="620"/>
      <c r="S95" s="620"/>
      <c r="T95" s="620"/>
      <c r="U95" s="620"/>
      <c r="V95" s="621"/>
      <c r="W95" s="42" t="s">
        <v>39</v>
      </c>
      <c r="X95" s="43">
        <f>IFERROR(X91/H91,"0")+IFERROR(X92/H92,"0")+IFERROR(X93/H93,"0")+IFERROR(X94/H94,"0")</f>
        <v>9</v>
      </c>
      <c r="Y95" s="43">
        <f>IFERROR(Y91/H91,"0")+IFERROR(Y92/H92,"0")+IFERROR(Y93/H93,"0")+IFERROR(Y94/H94,"0")</f>
        <v>9</v>
      </c>
      <c r="Z95" s="43">
        <f>IFERROR(IF(Z91="",0,Z91),"0")+IFERROR(IF(Z92="",0,Z92),"0")+IFERROR(IF(Z93="",0,Z93),"0")+IFERROR(IF(Z94="",0,Z94),"0")</f>
        <v>6.5339999999999995E-2</v>
      </c>
      <c r="AA95" s="67"/>
      <c r="AB95" s="67"/>
      <c r="AC95" s="67"/>
    </row>
    <row r="96" spans="1:68" x14ac:dyDescent="0.25">
      <c r="A96" s="622"/>
      <c r="B96" s="622"/>
      <c r="C96" s="622"/>
      <c r="D96" s="622"/>
      <c r="E96" s="622"/>
      <c r="F96" s="622"/>
      <c r="G96" s="622"/>
      <c r="H96" s="622"/>
      <c r="I96" s="622"/>
      <c r="J96" s="622"/>
      <c r="K96" s="622"/>
      <c r="L96" s="622"/>
      <c r="M96" s="622"/>
      <c r="N96" s="622"/>
      <c r="O96" s="623"/>
      <c r="P96" s="619" t="s">
        <v>40</v>
      </c>
      <c r="Q96" s="620"/>
      <c r="R96" s="620"/>
      <c r="S96" s="620"/>
      <c r="T96" s="620"/>
      <c r="U96" s="620"/>
      <c r="V96" s="621"/>
      <c r="W96" s="42" t="s">
        <v>0</v>
      </c>
      <c r="X96" s="43">
        <f>IFERROR(SUM(X91:X94),"0")</f>
        <v>15.3</v>
      </c>
      <c r="Y96" s="43">
        <f>IFERROR(SUM(Y91:Y94),"0")</f>
        <v>15.299999999999999</v>
      </c>
      <c r="Z96" s="42"/>
      <c r="AA96" s="67"/>
      <c r="AB96" s="67"/>
      <c r="AC96" s="67"/>
    </row>
    <row r="97" spans="1:68" ht="14.25" customHeight="1" x14ac:dyDescent="0.25">
      <c r="A97" s="614" t="s">
        <v>90</v>
      </c>
      <c r="B97" s="614"/>
      <c r="C97" s="614"/>
      <c r="D97" s="614"/>
      <c r="E97" s="614"/>
      <c r="F97" s="614"/>
      <c r="G97" s="614"/>
      <c r="H97" s="614"/>
      <c r="I97" s="614"/>
      <c r="J97" s="614"/>
      <c r="K97" s="614"/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15">
        <v>4607091386967</v>
      </c>
      <c r="E98" s="6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8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17"/>
      <c r="R98" s="617"/>
      <c r="S98" s="617"/>
      <c r="T98" s="6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15">
        <v>4680115884953</v>
      </c>
      <c r="E99" s="6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84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17"/>
      <c r="R99" s="617"/>
      <c r="S99" s="617"/>
      <c r="T99" s="6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15">
        <v>4607091385731</v>
      </c>
      <c r="E100" s="6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17"/>
      <c r="R100" s="617"/>
      <c r="S100" s="617"/>
      <c r="T100" s="618"/>
      <c r="U100" s="39" t="s">
        <v>46</v>
      </c>
      <c r="V100" s="39" t="s">
        <v>46</v>
      </c>
      <c r="W100" s="40" t="s">
        <v>0</v>
      </c>
      <c r="X100" s="58">
        <v>81</v>
      </c>
      <c r="Y100" s="55">
        <f>IFERROR(IF(X100="",0,CEILING((X100/$H100),1)*$H100),"")</f>
        <v>81</v>
      </c>
      <c r="Z100" s="41">
        <f>IFERROR(IF(Y100=0,"",ROUNDUP(Y100/H100,0)*0.00651),"")</f>
        <v>0.1953</v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88.559999999999988</v>
      </c>
      <c r="BN100" s="78">
        <f>IFERROR(Y100*I100/H100,"0")</f>
        <v>88.559999999999988</v>
      </c>
      <c r="BO100" s="78">
        <f>IFERROR(1/J100*(X100/H100),"0")</f>
        <v>0.16483516483516483</v>
      </c>
      <c r="BP100" s="78">
        <f>IFERROR(1/J100*(Y100/H100),"0")</f>
        <v>0.16483516483516483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15">
        <v>4680115880894</v>
      </c>
      <c r="E101" s="6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8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17"/>
      <c r="R101" s="617"/>
      <c r="S101" s="617"/>
      <c r="T101" s="6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5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3"/>
      <c r="P102" s="619" t="s">
        <v>40</v>
      </c>
      <c r="Q102" s="620"/>
      <c r="R102" s="620"/>
      <c r="S102" s="620"/>
      <c r="T102" s="620"/>
      <c r="U102" s="620"/>
      <c r="V102" s="621"/>
      <c r="W102" s="42" t="s">
        <v>39</v>
      </c>
      <c r="X102" s="43">
        <f>IFERROR(X98/H98,"0")+IFERROR(X99/H99,"0")+IFERROR(X100/H100,"0")+IFERROR(X101/H101,"0")</f>
        <v>29.999999999999996</v>
      </c>
      <c r="Y102" s="43">
        <f>IFERROR(Y98/H98,"0")+IFERROR(Y99/H99,"0")+IFERROR(Y100/H100,"0")+IFERROR(Y101/H101,"0")</f>
        <v>29.999999999999996</v>
      </c>
      <c r="Z102" s="43">
        <f>IFERROR(IF(Z98="",0,Z98),"0")+IFERROR(IF(Z99="",0,Z99),"0")+IFERROR(IF(Z100="",0,Z100),"0")+IFERROR(IF(Z101="",0,Z101),"0")</f>
        <v>0.1953</v>
      </c>
      <c r="AA102" s="67"/>
      <c r="AB102" s="67"/>
      <c r="AC102" s="67"/>
    </row>
    <row r="103" spans="1:68" x14ac:dyDescent="0.25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3"/>
      <c r="P103" s="619" t="s">
        <v>40</v>
      </c>
      <c r="Q103" s="620"/>
      <c r="R103" s="620"/>
      <c r="S103" s="620"/>
      <c r="T103" s="620"/>
      <c r="U103" s="620"/>
      <c r="V103" s="621"/>
      <c r="W103" s="42" t="s">
        <v>0</v>
      </c>
      <c r="X103" s="43">
        <f>IFERROR(SUM(X98:X101),"0")</f>
        <v>81</v>
      </c>
      <c r="Y103" s="43">
        <f>IFERROR(SUM(Y98:Y101),"0")</f>
        <v>81</v>
      </c>
      <c r="Z103" s="42"/>
      <c r="AA103" s="67"/>
      <c r="AB103" s="67"/>
      <c r="AC103" s="67"/>
    </row>
    <row r="104" spans="1:68" ht="16.5" customHeight="1" x14ac:dyDescent="0.25">
      <c r="A104" s="630" t="s">
        <v>219</v>
      </c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0"/>
      <c r="P104" s="630"/>
      <c r="Q104" s="630"/>
      <c r="R104" s="630"/>
      <c r="S104" s="630"/>
      <c r="T104" s="630"/>
      <c r="U104" s="630"/>
      <c r="V104" s="630"/>
      <c r="W104" s="630"/>
      <c r="X104" s="630"/>
      <c r="Y104" s="630"/>
      <c r="Z104" s="630"/>
      <c r="AA104" s="65"/>
      <c r="AB104" s="65"/>
      <c r="AC104" s="79"/>
    </row>
    <row r="105" spans="1:68" ht="14.25" customHeight="1" x14ac:dyDescent="0.25">
      <c r="A105" s="614" t="s">
        <v>139</v>
      </c>
      <c r="B105" s="614"/>
      <c r="C105" s="614"/>
      <c r="D105" s="614"/>
      <c r="E105" s="614"/>
      <c r="F105" s="614"/>
      <c r="G105" s="614"/>
      <c r="H105" s="614"/>
      <c r="I105" s="614"/>
      <c r="J105" s="614"/>
      <c r="K105" s="614"/>
      <c r="L105" s="614"/>
      <c r="M105" s="614"/>
      <c r="N105" s="614"/>
      <c r="O105" s="614"/>
      <c r="P105" s="614"/>
      <c r="Q105" s="614"/>
      <c r="R105" s="614"/>
      <c r="S105" s="614"/>
      <c r="T105" s="614"/>
      <c r="U105" s="614"/>
      <c r="V105" s="614"/>
      <c r="W105" s="614"/>
      <c r="X105" s="614"/>
      <c r="Y105" s="614"/>
      <c r="Z105" s="614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15">
        <v>4680115882133</v>
      </c>
      <c r="E106" s="6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17"/>
      <c r="R106" s="617"/>
      <c r="S106" s="617"/>
      <c r="T106" s="6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15">
        <v>4680115887718</v>
      </c>
      <c r="E107" s="615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17"/>
      <c r="R107" s="617"/>
      <c r="S107" s="617"/>
      <c r="T107" s="618"/>
      <c r="U107" s="39" t="s">
        <v>46</v>
      </c>
      <c r="V107" s="39" t="s">
        <v>46</v>
      </c>
      <c r="W107" s="40" t="s">
        <v>0</v>
      </c>
      <c r="X107" s="58">
        <v>11</v>
      </c>
      <c r="Y107" s="55">
        <f t="shared" si="11"/>
        <v>11</v>
      </c>
      <c r="Z107" s="41">
        <f>IFERROR(IF(Y107=0,"",ROUNDUP(Y107/H107,0)*0.00726),"")</f>
        <v>7.2599999999999998E-2</v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13.1</v>
      </c>
      <c r="BN107" s="78">
        <f t="shared" si="13"/>
        <v>13.1</v>
      </c>
      <c r="BO107" s="78">
        <f t="shared" si="14"/>
        <v>5.2083333333333329E-2</v>
      </c>
      <c r="BP107" s="78">
        <f t="shared" si="15"/>
        <v>5.2083333333333329E-2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15">
        <v>4680115887718</v>
      </c>
      <c r="E108" s="615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84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17"/>
      <c r="R108" s="617"/>
      <c r="S108" s="617"/>
      <c r="T108" s="6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15">
        <v>4680115887749</v>
      </c>
      <c r="E109" s="615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84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17"/>
      <c r="R109" s="617"/>
      <c r="S109" s="617"/>
      <c r="T109" s="6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15">
        <v>4680115880269</v>
      </c>
      <c r="E110" s="615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8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17"/>
      <c r="R110" s="617"/>
      <c r="S110" s="617"/>
      <c r="T110" s="6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15">
        <v>4680115880429</v>
      </c>
      <c r="E111" s="615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8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17"/>
      <c r="R111" s="617"/>
      <c r="S111" s="617"/>
      <c r="T111" s="6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15">
        <v>4680115881457</v>
      </c>
      <c r="E112" s="615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8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17"/>
      <c r="R112" s="617"/>
      <c r="S112" s="617"/>
      <c r="T112" s="6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5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3"/>
      <c r="P113" s="619" t="s">
        <v>40</v>
      </c>
      <c r="Q113" s="620"/>
      <c r="R113" s="620"/>
      <c r="S113" s="620"/>
      <c r="T113" s="620"/>
      <c r="U113" s="620"/>
      <c r="V113" s="6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10</v>
      </c>
      <c r="Y113" s="43">
        <f>IFERROR(Y106/H106,"0")+IFERROR(Y107/H107,"0")+IFERROR(Y108/H108,"0")+IFERROR(Y109/H109,"0")+IFERROR(Y110/H110,"0")+IFERROR(Y111/H111,"0")+IFERROR(Y112/H112,"0")</f>
        <v>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7.2599999999999998E-2</v>
      </c>
      <c r="AA113" s="67"/>
      <c r="AB113" s="67"/>
      <c r="AC113" s="67"/>
    </row>
    <row r="114" spans="1:68" x14ac:dyDescent="0.25">
      <c r="A114" s="622"/>
      <c r="B114" s="622"/>
      <c r="C114" s="622"/>
      <c r="D114" s="622"/>
      <c r="E114" s="622"/>
      <c r="F114" s="622"/>
      <c r="G114" s="622"/>
      <c r="H114" s="622"/>
      <c r="I114" s="622"/>
      <c r="J114" s="622"/>
      <c r="K114" s="622"/>
      <c r="L114" s="622"/>
      <c r="M114" s="622"/>
      <c r="N114" s="622"/>
      <c r="O114" s="623"/>
      <c r="P114" s="619" t="s">
        <v>40</v>
      </c>
      <c r="Q114" s="620"/>
      <c r="R114" s="620"/>
      <c r="S114" s="620"/>
      <c r="T114" s="620"/>
      <c r="U114" s="620"/>
      <c r="V114" s="621"/>
      <c r="W114" s="42" t="s">
        <v>0</v>
      </c>
      <c r="X114" s="43">
        <f>IFERROR(SUM(X106:X112),"0")</f>
        <v>11</v>
      </c>
      <c r="Y114" s="43">
        <f>IFERROR(SUM(Y106:Y112),"0")</f>
        <v>11</v>
      </c>
      <c r="Z114" s="42"/>
      <c r="AA114" s="67"/>
      <c r="AB114" s="67"/>
      <c r="AC114" s="67"/>
    </row>
    <row r="115" spans="1:68" ht="14.25" customHeight="1" x14ac:dyDescent="0.25">
      <c r="A115" s="614" t="s">
        <v>174</v>
      </c>
      <c r="B115" s="614"/>
      <c r="C115" s="614"/>
      <c r="D115" s="614"/>
      <c r="E115" s="614"/>
      <c r="F115" s="614"/>
      <c r="G115" s="614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15">
        <v>4680115881488</v>
      </c>
      <c r="E116" s="6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83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17"/>
      <c r="R116" s="617"/>
      <c r="S116" s="617"/>
      <c r="T116" s="6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15">
        <v>4680115887664</v>
      </c>
      <c r="E117" s="615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8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17"/>
      <c r="R117" s="617"/>
      <c r="S117" s="617"/>
      <c r="T117" s="618"/>
      <c r="U117" s="39" t="s">
        <v>46</v>
      </c>
      <c r="V117" s="39" t="s">
        <v>46</v>
      </c>
      <c r="W117" s="40" t="s">
        <v>0</v>
      </c>
      <c r="X117" s="58">
        <v>22.5</v>
      </c>
      <c r="Y117" s="55">
        <f>IFERROR(IF(X117="",0,CEILING((X117/$H117),1)*$H117),"")</f>
        <v>23</v>
      </c>
      <c r="Z117" s="41">
        <f>IFERROR(IF(Y117=0,"",ROUNDUP(Y117/H117,0)*0.00358),"")</f>
        <v>8.2339999999999997E-2</v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27.224999999999998</v>
      </c>
      <c r="BN117" s="78">
        <f>IFERROR(Y117*I117/H117,"0")</f>
        <v>27.83</v>
      </c>
      <c r="BO117" s="78">
        <f>IFERROR(1/J117*(X117/H117),"0")</f>
        <v>5.7397959183673464E-2</v>
      </c>
      <c r="BP117" s="78">
        <f>IFERROR(1/J117*(Y117/H117),"0")</f>
        <v>5.8673469387755098E-2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15">
        <v>4680115887664</v>
      </c>
      <c r="E118" s="6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8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17"/>
      <c r="R118" s="617"/>
      <c r="S118" s="617"/>
      <c r="T118" s="6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15">
        <v>4680115882775</v>
      </c>
      <c r="E119" s="6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8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17"/>
      <c r="R119" s="617"/>
      <c r="S119" s="617"/>
      <c r="T119" s="6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15">
        <v>4680115880658</v>
      </c>
      <c r="E120" s="6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8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17"/>
      <c r="R120" s="617"/>
      <c r="S120" s="617"/>
      <c r="T120" s="6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5">
      <c r="A121" s="622"/>
      <c r="B121" s="622"/>
      <c r="C121" s="622"/>
      <c r="D121" s="622"/>
      <c r="E121" s="622"/>
      <c r="F121" s="622"/>
      <c r="G121" s="622"/>
      <c r="H121" s="622"/>
      <c r="I121" s="622"/>
      <c r="J121" s="622"/>
      <c r="K121" s="622"/>
      <c r="L121" s="622"/>
      <c r="M121" s="622"/>
      <c r="N121" s="622"/>
      <c r="O121" s="623"/>
      <c r="P121" s="619" t="s">
        <v>40</v>
      </c>
      <c r="Q121" s="620"/>
      <c r="R121" s="620"/>
      <c r="S121" s="620"/>
      <c r="T121" s="620"/>
      <c r="U121" s="620"/>
      <c r="V121" s="621"/>
      <c r="W121" s="42" t="s">
        <v>39</v>
      </c>
      <c r="X121" s="43">
        <f>IFERROR(X116/H116,"0")+IFERROR(X117/H117,"0")+IFERROR(X118/H118,"0")+IFERROR(X119/H119,"0")+IFERROR(X120/H120,"0")</f>
        <v>22.5</v>
      </c>
      <c r="Y121" s="43">
        <f>IFERROR(Y116/H116,"0")+IFERROR(Y117/H117,"0")+IFERROR(Y118/H118,"0")+IFERROR(Y119/H119,"0")+IFERROR(Y120/H120,"0")</f>
        <v>23</v>
      </c>
      <c r="Z121" s="43">
        <f>IFERROR(IF(Z116="",0,Z116),"0")+IFERROR(IF(Z117="",0,Z117),"0")+IFERROR(IF(Z118="",0,Z118),"0")+IFERROR(IF(Z119="",0,Z119),"0")+IFERROR(IF(Z120="",0,Z120),"0")</f>
        <v>8.2339999999999997E-2</v>
      </c>
      <c r="AA121" s="67"/>
      <c r="AB121" s="67"/>
      <c r="AC121" s="67"/>
    </row>
    <row r="122" spans="1:68" x14ac:dyDescent="0.25">
      <c r="A122" s="622"/>
      <c r="B122" s="622"/>
      <c r="C122" s="622"/>
      <c r="D122" s="622"/>
      <c r="E122" s="622"/>
      <c r="F122" s="622"/>
      <c r="G122" s="622"/>
      <c r="H122" s="622"/>
      <c r="I122" s="622"/>
      <c r="J122" s="622"/>
      <c r="K122" s="622"/>
      <c r="L122" s="622"/>
      <c r="M122" s="622"/>
      <c r="N122" s="622"/>
      <c r="O122" s="623"/>
      <c r="P122" s="619" t="s">
        <v>40</v>
      </c>
      <c r="Q122" s="620"/>
      <c r="R122" s="620"/>
      <c r="S122" s="620"/>
      <c r="T122" s="620"/>
      <c r="U122" s="620"/>
      <c r="V122" s="621"/>
      <c r="W122" s="42" t="s">
        <v>0</v>
      </c>
      <c r="X122" s="43">
        <f>IFERROR(SUM(X116:X120),"0")</f>
        <v>22.5</v>
      </c>
      <c r="Y122" s="43">
        <f>IFERROR(SUM(Y116:Y120),"0")</f>
        <v>23</v>
      </c>
      <c r="Z122" s="42"/>
      <c r="AA122" s="67"/>
      <c r="AB122" s="67"/>
      <c r="AC122" s="67"/>
    </row>
    <row r="123" spans="1:68" ht="14.25" customHeight="1" x14ac:dyDescent="0.25">
      <c r="A123" s="614" t="s">
        <v>90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15">
        <v>4607091385168</v>
      </c>
      <c r="E124" s="6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8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17"/>
      <c r="R124" s="617"/>
      <c r="S124" s="617"/>
      <c r="T124" s="6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15">
        <v>4607091383256</v>
      </c>
      <c r="E125" s="6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8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17"/>
      <c r="R125" s="617"/>
      <c r="S125" s="617"/>
      <c r="T125" s="6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15">
        <v>4607091385748</v>
      </c>
      <c r="E126" s="6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8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17"/>
      <c r="R126" s="617"/>
      <c r="S126" s="617"/>
      <c r="T126" s="6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15">
        <v>4680115884533</v>
      </c>
      <c r="E127" s="6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8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17"/>
      <c r="R127" s="617"/>
      <c r="S127" s="617"/>
      <c r="T127" s="618"/>
      <c r="U127" s="39" t="s">
        <v>46</v>
      </c>
      <c r="V127" s="39" t="s">
        <v>46</v>
      </c>
      <c r="W127" s="40" t="s">
        <v>0</v>
      </c>
      <c r="X127" s="58">
        <v>72</v>
      </c>
      <c r="Y127" s="55">
        <f>IFERROR(IF(X127="",0,CEILING((X127/$H127),1)*$H127),"")</f>
        <v>72</v>
      </c>
      <c r="Z127" s="41">
        <f>IFERROR(IF(Y127=0,"",ROUNDUP(Y127/H127,0)*0.00651),"")</f>
        <v>0.26040000000000002</v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79.2</v>
      </c>
      <c r="BN127" s="78">
        <f>IFERROR(Y127*I127/H127,"0")</f>
        <v>79.2</v>
      </c>
      <c r="BO127" s="78">
        <f>IFERROR(1/J127*(X127/H127),"0")</f>
        <v>0.2197802197802198</v>
      </c>
      <c r="BP127" s="78">
        <f>IFERROR(1/J127*(Y127/H127),"0")</f>
        <v>0.2197802197802198</v>
      </c>
    </row>
    <row r="128" spans="1:68" x14ac:dyDescent="0.25">
      <c r="A128" s="622"/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3"/>
      <c r="P128" s="619" t="s">
        <v>40</v>
      </c>
      <c r="Q128" s="620"/>
      <c r="R128" s="620"/>
      <c r="S128" s="620"/>
      <c r="T128" s="620"/>
      <c r="U128" s="620"/>
      <c r="V128" s="621"/>
      <c r="W128" s="42" t="s">
        <v>39</v>
      </c>
      <c r="X128" s="43">
        <f>IFERROR(X124/H124,"0")+IFERROR(X125/H125,"0")+IFERROR(X126/H126,"0")+IFERROR(X127/H127,"0")</f>
        <v>40</v>
      </c>
      <c r="Y128" s="43">
        <f>IFERROR(Y124/H124,"0")+IFERROR(Y125/H125,"0")+IFERROR(Y126/H126,"0")+IFERROR(Y127/H127,"0")</f>
        <v>40</v>
      </c>
      <c r="Z128" s="43">
        <f>IFERROR(IF(Z124="",0,Z124),"0")+IFERROR(IF(Z125="",0,Z125),"0")+IFERROR(IF(Z126="",0,Z126),"0")+IFERROR(IF(Z127="",0,Z127),"0")</f>
        <v>0.26040000000000002</v>
      </c>
      <c r="AA128" s="67"/>
      <c r="AB128" s="67"/>
      <c r="AC128" s="67"/>
    </row>
    <row r="129" spans="1:68" x14ac:dyDescent="0.25">
      <c r="A129" s="622"/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3"/>
      <c r="P129" s="619" t="s">
        <v>40</v>
      </c>
      <c r="Q129" s="620"/>
      <c r="R129" s="620"/>
      <c r="S129" s="620"/>
      <c r="T129" s="620"/>
      <c r="U129" s="620"/>
      <c r="V129" s="621"/>
      <c r="W129" s="42" t="s">
        <v>0</v>
      </c>
      <c r="X129" s="43">
        <f>IFERROR(SUM(X124:X127),"0")</f>
        <v>72</v>
      </c>
      <c r="Y129" s="43">
        <f>IFERROR(SUM(Y124:Y127),"0")</f>
        <v>72</v>
      </c>
      <c r="Z129" s="42"/>
      <c r="AA129" s="67"/>
      <c r="AB129" s="67"/>
      <c r="AC129" s="67"/>
    </row>
    <row r="130" spans="1:68" ht="14.25" customHeight="1" x14ac:dyDescent="0.25">
      <c r="A130" s="614" t="s">
        <v>191</v>
      </c>
      <c r="B130" s="614"/>
      <c r="C130" s="614"/>
      <c r="D130" s="614"/>
      <c r="E130" s="614"/>
      <c r="F130" s="614"/>
      <c r="G130" s="614"/>
      <c r="H130" s="614"/>
      <c r="I130" s="614"/>
      <c r="J130" s="614"/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15">
        <v>4680115880238</v>
      </c>
      <c r="E131" s="6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17"/>
      <c r="R131" s="617"/>
      <c r="S131" s="617"/>
      <c r="T131" s="6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22"/>
      <c r="B132" s="622"/>
      <c r="C132" s="622"/>
      <c r="D132" s="622"/>
      <c r="E132" s="622"/>
      <c r="F132" s="622"/>
      <c r="G132" s="622"/>
      <c r="H132" s="622"/>
      <c r="I132" s="622"/>
      <c r="J132" s="622"/>
      <c r="K132" s="622"/>
      <c r="L132" s="622"/>
      <c r="M132" s="622"/>
      <c r="N132" s="622"/>
      <c r="O132" s="623"/>
      <c r="P132" s="619" t="s">
        <v>40</v>
      </c>
      <c r="Q132" s="620"/>
      <c r="R132" s="620"/>
      <c r="S132" s="620"/>
      <c r="T132" s="620"/>
      <c r="U132" s="620"/>
      <c r="V132" s="6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5">
      <c r="A133" s="622"/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3"/>
      <c r="P133" s="619" t="s">
        <v>40</v>
      </c>
      <c r="Q133" s="620"/>
      <c r="R133" s="620"/>
      <c r="S133" s="620"/>
      <c r="T133" s="620"/>
      <c r="U133" s="620"/>
      <c r="V133" s="6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30" t="s">
        <v>261</v>
      </c>
      <c r="B134" s="630"/>
      <c r="C134" s="630"/>
      <c r="D134" s="630"/>
      <c r="E134" s="630"/>
      <c r="F134" s="630"/>
      <c r="G134" s="630"/>
      <c r="H134" s="630"/>
      <c r="I134" s="630"/>
      <c r="J134" s="630"/>
      <c r="K134" s="630"/>
      <c r="L134" s="630"/>
      <c r="M134" s="630"/>
      <c r="N134" s="630"/>
      <c r="O134" s="630"/>
      <c r="P134" s="630"/>
      <c r="Q134" s="630"/>
      <c r="R134" s="630"/>
      <c r="S134" s="630"/>
      <c r="T134" s="630"/>
      <c r="U134" s="630"/>
      <c r="V134" s="630"/>
      <c r="W134" s="630"/>
      <c r="X134" s="630"/>
      <c r="Y134" s="630"/>
      <c r="Z134" s="630"/>
      <c r="AA134" s="65"/>
      <c r="AB134" s="65"/>
      <c r="AC134" s="79"/>
    </row>
    <row r="135" spans="1:68" ht="14.25" customHeight="1" x14ac:dyDescent="0.25">
      <c r="A135" s="614" t="s">
        <v>139</v>
      </c>
      <c r="B135" s="614"/>
      <c r="C135" s="614"/>
      <c r="D135" s="614"/>
      <c r="E135" s="614"/>
      <c r="F135" s="614"/>
      <c r="G135" s="614"/>
      <c r="H135" s="614"/>
      <c r="I135" s="614"/>
      <c r="J135" s="614"/>
      <c r="K135" s="614"/>
      <c r="L135" s="614"/>
      <c r="M135" s="614"/>
      <c r="N135" s="614"/>
      <c r="O135" s="614"/>
      <c r="P135" s="614"/>
      <c r="Q135" s="614"/>
      <c r="R135" s="614"/>
      <c r="S135" s="614"/>
      <c r="T135" s="614"/>
      <c r="U135" s="614"/>
      <c r="V135" s="614"/>
      <c r="W135" s="614"/>
      <c r="X135" s="614"/>
      <c r="Y135" s="614"/>
      <c r="Z135" s="614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15">
        <v>4680115882577</v>
      </c>
      <c r="E136" s="6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17"/>
      <c r="R136" s="617"/>
      <c r="S136" s="617"/>
      <c r="T136" s="6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15">
        <v>4680115882577</v>
      </c>
      <c r="E137" s="6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82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17"/>
      <c r="R137" s="617"/>
      <c r="S137" s="617"/>
      <c r="T137" s="6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22"/>
      <c r="B138" s="622"/>
      <c r="C138" s="622"/>
      <c r="D138" s="622"/>
      <c r="E138" s="622"/>
      <c r="F138" s="622"/>
      <c r="G138" s="622"/>
      <c r="H138" s="622"/>
      <c r="I138" s="622"/>
      <c r="J138" s="622"/>
      <c r="K138" s="622"/>
      <c r="L138" s="622"/>
      <c r="M138" s="622"/>
      <c r="N138" s="622"/>
      <c r="O138" s="623"/>
      <c r="P138" s="619" t="s">
        <v>40</v>
      </c>
      <c r="Q138" s="620"/>
      <c r="R138" s="620"/>
      <c r="S138" s="620"/>
      <c r="T138" s="620"/>
      <c r="U138" s="620"/>
      <c r="V138" s="6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5">
      <c r="A139" s="622"/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3"/>
      <c r="P139" s="619" t="s">
        <v>40</v>
      </c>
      <c r="Q139" s="620"/>
      <c r="R139" s="620"/>
      <c r="S139" s="620"/>
      <c r="T139" s="620"/>
      <c r="U139" s="620"/>
      <c r="V139" s="6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14" t="s">
        <v>77</v>
      </c>
      <c r="B140" s="614"/>
      <c r="C140" s="614"/>
      <c r="D140" s="614"/>
      <c r="E140" s="614"/>
      <c r="F140" s="614"/>
      <c r="G140" s="614"/>
      <c r="H140" s="614"/>
      <c r="I140" s="614"/>
      <c r="J140" s="614"/>
      <c r="K140" s="614"/>
      <c r="L140" s="614"/>
      <c r="M140" s="614"/>
      <c r="N140" s="614"/>
      <c r="O140" s="614"/>
      <c r="P140" s="614"/>
      <c r="Q140" s="614"/>
      <c r="R140" s="614"/>
      <c r="S140" s="614"/>
      <c r="T140" s="614"/>
      <c r="U140" s="614"/>
      <c r="V140" s="614"/>
      <c r="W140" s="614"/>
      <c r="X140" s="614"/>
      <c r="Y140" s="614"/>
      <c r="Z140" s="614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15">
        <v>4680115883444</v>
      </c>
      <c r="E141" s="6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8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17"/>
      <c r="R141" s="617"/>
      <c r="S141" s="617"/>
      <c r="T141" s="6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15">
        <v>4680115883444</v>
      </c>
      <c r="E142" s="6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17"/>
      <c r="R142" s="617"/>
      <c r="S142" s="617"/>
      <c r="T142" s="6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5">
      <c r="A143" s="622"/>
      <c r="B143" s="622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2"/>
      <c r="N143" s="622"/>
      <c r="O143" s="623"/>
      <c r="P143" s="619" t="s">
        <v>40</v>
      </c>
      <c r="Q143" s="620"/>
      <c r="R143" s="620"/>
      <c r="S143" s="620"/>
      <c r="T143" s="620"/>
      <c r="U143" s="620"/>
      <c r="V143" s="6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5">
      <c r="A144" s="622"/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3"/>
      <c r="P144" s="619" t="s">
        <v>40</v>
      </c>
      <c r="Q144" s="620"/>
      <c r="R144" s="620"/>
      <c r="S144" s="620"/>
      <c r="T144" s="620"/>
      <c r="U144" s="620"/>
      <c r="V144" s="6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14" t="s">
        <v>90</v>
      </c>
      <c r="B145" s="614"/>
      <c r="C145" s="614"/>
      <c r="D145" s="614"/>
      <c r="E145" s="614"/>
      <c r="F145" s="614"/>
      <c r="G145" s="614"/>
      <c r="H145" s="614"/>
      <c r="I145" s="614"/>
      <c r="J145" s="614"/>
      <c r="K145" s="614"/>
      <c r="L145" s="614"/>
      <c r="M145" s="614"/>
      <c r="N145" s="614"/>
      <c r="O145" s="614"/>
      <c r="P145" s="614"/>
      <c r="Q145" s="614"/>
      <c r="R145" s="614"/>
      <c r="S145" s="614"/>
      <c r="T145" s="614"/>
      <c r="U145" s="614"/>
      <c r="V145" s="614"/>
      <c r="W145" s="614"/>
      <c r="X145" s="614"/>
      <c r="Y145" s="614"/>
      <c r="Z145" s="614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15">
        <v>4680115882584</v>
      </c>
      <c r="E146" s="6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8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17"/>
      <c r="R146" s="617"/>
      <c r="S146" s="617"/>
      <c r="T146" s="6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15">
        <v>4680115882584</v>
      </c>
      <c r="E147" s="6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8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17"/>
      <c r="R147" s="617"/>
      <c r="S147" s="617"/>
      <c r="T147" s="6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22"/>
      <c r="B148" s="622"/>
      <c r="C148" s="622"/>
      <c r="D148" s="622"/>
      <c r="E148" s="622"/>
      <c r="F148" s="622"/>
      <c r="G148" s="622"/>
      <c r="H148" s="622"/>
      <c r="I148" s="622"/>
      <c r="J148" s="622"/>
      <c r="K148" s="622"/>
      <c r="L148" s="622"/>
      <c r="M148" s="622"/>
      <c r="N148" s="622"/>
      <c r="O148" s="623"/>
      <c r="P148" s="619" t="s">
        <v>40</v>
      </c>
      <c r="Q148" s="620"/>
      <c r="R148" s="620"/>
      <c r="S148" s="620"/>
      <c r="T148" s="620"/>
      <c r="U148" s="620"/>
      <c r="V148" s="6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22"/>
      <c r="B149" s="622"/>
      <c r="C149" s="622"/>
      <c r="D149" s="622"/>
      <c r="E149" s="622"/>
      <c r="F149" s="622"/>
      <c r="G149" s="622"/>
      <c r="H149" s="622"/>
      <c r="I149" s="622"/>
      <c r="J149" s="622"/>
      <c r="K149" s="622"/>
      <c r="L149" s="622"/>
      <c r="M149" s="622"/>
      <c r="N149" s="622"/>
      <c r="O149" s="623"/>
      <c r="P149" s="619" t="s">
        <v>40</v>
      </c>
      <c r="Q149" s="620"/>
      <c r="R149" s="620"/>
      <c r="S149" s="620"/>
      <c r="T149" s="620"/>
      <c r="U149" s="620"/>
      <c r="V149" s="6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30" t="s">
        <v>273</v>
      </c>
      <c r="B150" s="630"/>
      <c r="C150" s="630"/>
      <c r="D150" s="630"/>
      <c r="E150" s="630"/>
      <c r="F150" s="630"/>
      <c r="G150" s="630"/>
      <c r="H150" s="630"/>
      <c r="I150" s="630"/>
      <c r="J150" s="630"/>
      <c r="K150" s="630"/>
      <c r="L150" s="630"/>
      <c r="M150" s="630"/>
      <c r="N150" s="630"/>
      <c r="O150" s="630"/>
      <c r="P150" s="630"/>
      <c r="Q150" s="630"/>
      <c r="R150" s="630"/>
      <c r="S150" s="630"/>
      <c r="T150" s="630"/>
      <c r="U150" s="630"/>
      <c r="V150" s="630"/>
      <c r="W150" s="630"/>
      <c r="X150" s="630"/>
      <c r="Y150" s="630"/>
      <c r="Z150" s="630"/>
      <c r="AA150" s="65"/>
      <c r="AB150" s="65"/>
      <c r="AC150" s="79"/>
    </row>
    <row r="151" spans="1:68" ht="14.25" customHeight="1" x14ac:dyDescent="0.25">
      <c r="A151" s="614" t="s">
        <v>90</v>
      </c>
      <c r="B151" s="614"/>
      <c r="C151" s="614"/>
      <c r="D151" s="614"/>
      <c r="E151" s="614"/>
      <c r="F151" s="614"/>
      <c r="G151" s="614"/>
      <c r="H151" s="614"/>
      <c r="I151" s="614"/>
      <c r="J151" s="614"/>
      <c r="K151" s="614"/>
      <c r="L151" s="614"/>
      <c r="M151" s="614"/>
      <c r="N151" s="614"/>
      <c r="O151" s="614"/>
      <c r="P151" s="614"/>
      <c r="Q151" s="614"/>
      <c r="R151" s="614"/>
      <c r="S151" s="614"/>
      <c r="T151" s="614"/>
      <c r="U151" s="614"/>
      <c r="V151" s="614"/>
      <c r="W151" s="614"/>
      <c r="X151" s="614"/>
      <c r="Y151" s="614"/>
      <c r="Z151" s="614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15">
        <v>4680115888203</v>
      </c>
      <c r="E152" s="6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82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17"/>
      <c r="R152" s="617"/>
      <c r="S152" s="617"/>
      <c r="T152" s="6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15">
        <v>4680115888180</v>
      </c>
      <c r="E153" s="615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82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17"/>
      <c r="R153" s="617"/>
      <c r="S153" s="617"/>
      <c r="T153" s="6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15">
        <v>4680115888197</v>
      </c>
      <c r="E154" s="6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82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17"/>
      <c r="R154" s="617"/>
      <c r="S154" s="617"/>
      <c r="T154" s="6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15">
        <v>4680115888210</v>
      </c>
      <c r="E155" s="61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82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17"/>
      <c r="R155" s="617"/>
      <c r="S155" s="617"/>
      <c r="T155" s="6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5">
      <c r="A156" s="622"/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3"/>
      <c r="P156" s="619" t="s">
        <v>40</v>
      </c>
      <c r="Q156" s="620"/>
      <c r="R156" s="620"/>
      <c r="S156" s="620"/>
      <c r="T156" s="620"/>
      <c r="U156" s="620"/>
      <c r="V156" s="6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22"/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3"/>
      <c r="P157" s="619" t="s">
        <v>40</v>
      </c>
      <c r="Q157" s="620"/>
      <c r="R157" s="620"/>
      <c r="S157" s="620"/>
      <c r="T157" s="620"/>
      <c r="U157" s="620"/>
      <c r="V157" s="6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30" t="s">
        <v>137</v>
      </c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0"/>
      <c r="P158" s="630"/>
      <c r="Q158" s="630"/>
      <c r="R158" s="630"/>
      <c r="S158" s="630"/>
      <c r="T158" s="630"/>
      <c r="U158" s="630"/>
      <c r="V158" s="630"/>
      <c r="W158" s="630"/>
      <c r="X158" s="630"/>
      <c r="Y158" s="630"/>
      <c r="Z158" s="630"/>
      <c r="AA158" s="65"/>
      <c r="AB158" s="65"/>
      <c r="AC158" s="79"/>
    </row>
    <row r="159" spans="1:68" ht="14.25" customHeight="1" x14ac:dyDescent="0.25">
      <c r="A159" s="614" t="s">
        <v>139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15">
        <v>4680115887374</v>
      </c>
      <c r="E160" s="615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81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17"/>
      <c r="R160" s="617"/>
      <c r="S160" s="617"/>
      <c r="T160" s="618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15">
        <v>4607091384604</v>
      </c>
      <c r="E161" s="615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81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17"/>
      <c r="R161" s="617"/>
      <c r="S161" s="617"/>
      <c r="T161" s="618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5">
      <c r="A162" s="622"/>
      <c r="B162" s="622"/>
      <c r="C162" s="622"/>
      <c r="D162" s="622"/>
      <c r="E162" s="622"/>
      <c r="F162" s="622"/>
      <c r="G162" s="622"/>
      <c r="H162" s="622"/>
      <c r="I162" s="622"/>
      <c r="J162" s="622"/>
      <c r="K162" s="622"/>
      <c r="L162" s="622"/>
      <c r="M162" s="622"/>
      <c r="N162" s="622"/>
      <c r="O162" s="623"/>
      <c r="P162" s="619" t="s">
        <v>40</v>
      </c>
      <c r="Q162" s="620"/>
      <c r="R162" s="620"/>
      <c r="S162" s="620"/>
      <c r="T162" s="620"/>
      <c r="U162" s="620"/>
      <c r="V162" s="621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5">
      <c r="A163" s="622"/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3"/>
      <c r="P163" s="619" t="s">
        <v>40</v>
      </c>
      <c r="Q163" s="620"/>
      <c r="R163" s="620"/>
      <c r="S163" s="620"/>
      <c r="T163" s="620"/>
      <c r="U163" s="620"/>
      <c r="V163" s="621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14" t="s">
        <v>174</v>
      </c>
      <c r="B164" s="614"/>
      <c r="C164" s="614"/>
      <c r="D164" s="614"/>
      <c r="E164" s="614"/>
      <c r="F164" s="614"/>
      <c r="G164" s="614"/>
      <c r="H164" s="614"/>
      <c r="I164" s="614"/>
      <c r="J164" s="614"/>
      <c r="K164" s="614"/>
      <c r="L164" s="614"/>
      <c r="M164" s="614"/>
      <c r="N164" s="614"/>
      <c r="O164" s="614"/>
      <c r="P164" s="614"/>
      <c r="Q164" s="614"/>
      <c r="R164" s="614"/>
      <c r="S164" s="614"/>
      <c r="T164" s="614"/>
      <c r="U164" s="614"/>
      <c r="V164" s="614"/>
      <c r="W164" s="614"/>
      <c r="X164" s="614"/>
      <c r="Y164" s="614"/>
      <c r="Z164" s="614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15">
        <v>4680115887695</v>
      </c>
      <c r="E165" s="615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17"/>
      <c r="R165" s="617"/>
      <c r="S165" s="617"/>
      <c r="T165" s="6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22"/>
      <c r="B166" s="622"/>
      <c r="C166" s="622"/>
      <c r="D166" s="622"/>
      <c r="E166" s="622"/>
      <c r="F166" s="622"/>
      <c r="G166" s="622"/>
      <c r="H166" s="622"/>
      <c r="I166" s="622"/>
      <c r="J166" s="622"/>
      <c r="K166" s="622"/>
      <c r="L166" s="622"/>
      <c r="M166" s="622"/>
      <c r="N166" s="622"/>
      <c r="O166" s="623"/>
      <c r="P166" s="619" t="s">
        <v>40</v>
      </c>
      <c r="Q166" s="620"/>
      <c r="R166" s="620"/>
      <c r="S166" s="620"/>
      <c r="T166" s="620"/>
      <c r="U166" s="620"/>
      <c r="V166" s="621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5">
      <c r="A167" s="622"/>
      <c r="B167" s="622"/>
      <c r="C167" s="622"/>
      <c r="D167" s="622"/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O167" s="623"/>
      <c r="P167" s="619" t="s">
        <v>40</v>
      </c>
      <c r="Q167" s="620"/>
      <c r="R167" s="620"/>
      <c r="S167" s="620"/>
      <c r="T167" s="620"/>
      <c r="U167" s="620"/>
      <c r="V167" s="621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14" t="s">
        <v>77</v>
      </c>
      <c r="B168" s="614"/>
      <c r="C168" s="614"/>
      <c r="D168" s="614"/>
      <c r="E168" s="614"/>
      <c r="F168" s="614"/>
      <c r="G168" s="614"/>
      <c r="H168" s="614"/>
      <c r="I168" s="614"/>
      <c r="J168" s="614"/>
      <c r="K168" s="614"/>
      <c r="L168" s="614"/>
      <c r="M168" s="614"/>
      <c r="N168" s="614"/>
      <c r="O168" s="614"/>
      <c r="P168" s="614"/>
      <c r="Q168" s="614"/>
      <c r="R168" s="614"/>
      <c r="S168" s="614"/>
      <c r="T168" s="614"/>
      <c r="U168" s="614"/>
      <c r="V168" s="614"/>
      <c r="W168" s="614"/>
      <c r="X168" s="614"/>
      <c r="Y168" s="614"/>
      <c r="Z168" s="614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15">
        <v>4680115887428</v>
      </c>
      <c r="E169" s="615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17"/>
      <c r="R169" s="617"/>
      <c r="S169" s="617"/>
      <c r="T169" s="61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15">
        <v>4607091382426</v>
      </c>
      <c r="E170" s="615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17"/>
      <c r="R170" s="617"/>
      <c r="S170" s="617"/>
      <c r="T170" s="61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15">
        <v>4680115887398</v>
      </c>
      <c r="E171" s="615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81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17"/>
      <c r="R171" s="617"/>
      <c r="S171" s="617"/>
      <c r="T171" s="61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15">
        <v>4680115887336</v>
      </c>
      <c r="E172" s="615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81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17"/>
      <c r="R172" s="617"/>
      <c r="S172" s="617"/>
      <c r="T172" s="61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15">
        <v>4680115887787</v>
      </c>
      <c r="E173" s="615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81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17"/>
      <c r="R173" s="617"/>
      <c r="S173" s="617"/>
      <c r="T173" s="61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15">
        <v>4680115887503</v>
      </c>
      <c r="E174" s="615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81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17"/>
      <c r="R174" s="617"/>
      <c r="S174" s="617"/>
      <c r="T174" s="61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15">
        <v>4680115887763</v>
      </c>
      <c r="E175" s="615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7"/>
      <c r="R175" s="617"/>
      <c r="S175" s="617"/>
      <c r="T175" s="6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15">
        <v>4680115887480</v>
      </c>
      <c r="E176" s="61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80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7"/>
      <c r="R176" s="617"/>
      <c r="S176" s="617"/>
      <c r="T176" s="6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15">
        <v>4680115888067</v>
      </c>
      <c r="E177" s="615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7"/>
      <c r="R177" s="617"/>
      <c r="S177" s="617"/>
      <c r="T177" s="6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15">
        <v>4680115887435</v>
      </c>
      <c r="E178" s="615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81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7"/>
      <c r="R178" s="617"/>
      <c r="S178" s="617"/>
      <c r="T178" s="6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5">
      <c r="A179" s="622"/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3"/>
      <c r="P179" s="619" t="s">
        <v>40</v>
      </c>
      <c r="Q179" s="620"/>
      <c r="R179" s="620"/>
      <c r="S179" s="620"/>
      <c r="T179" s="620"/>
      <c r="U179" s="620"/>
      <c r="V179" s="621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5">
      <c r="A180" s="622"/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3"/>
      <c r="P180" s="619" t="s">
        <v>40</v>
      </c>
      <c r="Q180" s="620"/>
      <c r="R180" s="620"/>
      <c r="S180" s="620"/>
      <c r="T180" s="620"/>
      <c r="U180" s="620"/>
      <c r="V180" s="621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14" t="s">
        <v>90</v>
      </c>
      <c r="B181" s="614"/>
      <c r="C181" s="614"/>
      <c r="D181" s="614"/>
      <c r="E181" s="614"/>
      <c r="F181" s="614"/>
      <c r="G181" s="614"/>
      <c r="H181" s="614"/>
      <c r="I181" s="614"/>
      <c r="J181" s="614"/>
      <c r="K181" s="614"/>
      <c r="L181" s="614"/>
      <c r="M181" s="614"/>
      <c r="N181" s="614"/>
      <c r="O181" s="614"/>
      <c r="P181" s="614"/>
      <c r="Q181" s="614"/>
      <c r="R181" s="614"/>
      <c r="S181" s="614"/>
      <c r="T181" s="614"/>
      <c r="U181" s="614"/>
      <c r="V181" s="614"/>
      <c r="W181" s="614"/>
      <c r="X181" s="614"/>
      <c r="Y181" s="614"/>
      <c r="Z181" s="614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15">
        <v>4680115888395</v>
      </c>
      <c r="E182" s="61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8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7"/>
      <c r="R182" s="617"/>
      <c r="S182" s="617"/>
      <c r="T182" s="61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15">
        <v>4680115888371</v>
      </c>
      <c r="E183" s="615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7"/>
      <c r="R183" s="617"/>
      <c r="S183" s="617"/>
      <c r="T183" s="61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15">
        <v>4680115887459</v>
      </c>
      <c r="E184" s="615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8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7"/>
      <c r="R184" s="617"/>
      <c r="S184" s="617"/>
      <c r="T184" s="618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5">
      <c r="A185" s="622"/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3"/>
      <c r="P185" s="619" t="s">
        <v>40</v>
      </c>
      <c r="Q185" s="620"/>
      <c r="R185" s="620"/>
      <c r="S185" s="620"/>
      <c r="T185" s="620"/>
      <c r="U185" s="620"/>
      <c r="V185" s="621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22"/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3"/>
      <c r="P186" s="619" t="s">
        <v>40</v>
      </c>
      <c r="Q186" s="620"/>
      <c r="R186" s="620"/>
      <c r="S186" s="620"/>
      <c r="T186" s="620"/>
      <c r="U186" s="620"/>
      <c r="V186" s="621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14" t="s">
        <v>118</v>
      </c>
      <c r="B187" s="614"/>
      <c r="C187" s="614"/>
      <c r="D187" s="614"/>
      <c r="E187" s="614"/>
      <c r="F187" s="614"/>
      <c r="G187" s="614"/>
      <c r="H187" s="614"/>
      <c r="I187" s="614"/>
      <c r="J187" s="614"/>
      <c r="K187" s="614"/>
      <c r="L187" s="614"/>
      <c r="M187" s="614"/>
      <c r="N187" s="614"/>
      <c r="O187" s="614"/>
      <c r="P187" s="614"/>
      <c r="Q187" s="614"/>
      <c r="R187" s="614"/>
      <c r="S187" s="614"/>
      <c r="T187" s="614"/>
      <c r="U187" s="614"/>
      <c r="V187" s="614"/>
      <c r="W187" s="614"/>
      <c r="X187" s="614"/>
      <c r="Y187" s="614"/>
      <c r="Z187" s="614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15">
        <v>4680115889026</v>
      </c>
      <c r="E188" s="61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7"/>
      <c r="R188" s="617"/>
      <c r="S188" s="617"/>
      <c r="T188" s="61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15">
        <v>4680115889088</v>
      </c>
      <c r="E189" s="615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80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7"/>
      <c r="R189" s="617"/>
      <c r="S189" s="617"/>
      <c r="T189" s="6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5">
      <c r="A190" s="622"/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3"/>
      <c r="P190" s="619" t="s">
        <v>40</v>
      </c>
      <c r="Q190" s="620"/>
      <c r="R190" s="620"/>
      <c r="S190" s="620"/>
      <c r="T190" s="620"/>
      <c r="U190" s="620"/>
      <c r="V190" s="621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5">
      <c r="A191" s="622"/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3"/>
      <c r="P191" s="619" t="s">
        <v>40</v>
      </c>
      <c r="Q191" s="620"/>
      <c r="R191" s="620"/>
      <c r="S191" s="620"/>
      <c r="T191" s="620"/>
      <c r="U191" s="620"/>
      <c r="V191" s="621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14" t="s">
        <v>340</v>
      </c>
      <c r="B192" s="614"/>
      <c r="C192" s="614"/>
      <c r="D192" s="614"/>
      <c r="E192" s="614"/>
      <c r="F192" s="614"/>
      <c r="G192" s="614"/>
      <c r="H192" s="614"/>
      <c r="I192" s="614"/>
      <c r="J192" s="614"/>
      <c r="K192" s="614"/>
      <c r="L192" s="614"/>
      <c r="M192" s="614"/>
      <c r="N192" s="614"/>
      <c r="O192" s="614"/>
      <c r="P192" s="614"/>
      <c r="Q192" s="614"/>
      <c r="R192" s="614"/>
      <c r="S192" s="614"/>
      <c r="T192" s="614"/>
      <c r="U192" s="614"/>
      <c r="V192" s="614"/>
      <c r="W192" s="614"/>
      <c r="X192" s="614"/>
      <c r="Y192" s="614"/>
      <c r="Z192" s="614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15">
        <v>4680115889033</v>
      </c>
      <c r="E193" s="615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80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7"/>
      <c r="R193" s="617"/>
      <c r="S193" s="617"/>
      <c r="T193" s="618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5">
      <c r="A194" s="622"/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3"/>
      <c r="P194" s="619" t="s">
        <v>40</v>
      </c>
      <c r="Q194" s="620"/>
      <c r="R194" s="620"/>
      <c r="S194" s="620"/>
      <c r="T194" s="620"/>
      <c r="U194" s="620"/>
      <c r="V194" s="621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5">
      <c r="A195" s="622"/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3"/>
      <c r="P195" s="619" t="s">
        <v>40</v>
      </c>
      <c r="Q195" s="620"/>
      <c r="R195" s="620"/>
      <c r="S195" s="620"/>
      <c r="T195" s="620"/>
      <c r="U195" s="620"/>
      <c r="V195" s="621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5">
      <c r="A196" s="635" t="s">
        <v>344</v>
      </c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5"/>
      <c r="P196" s="635"/>
      <c r="Q196" s="635"/>
      <c r="R196" s="635"/>
      <c r="S196" s="635"/>
      <c r="T196" s="635"/>
      <c r="U196" s="635"/>
      <c r="V196" s="635"/>
      <c r="W196" s="635"/>
      <c r="X196" s="635"/>
      <c r="Y196" s="635"/>
      <c r="Z196" s="635"/>
      <c r="AA196" s="54"/>
      <c r="AB196" s="54"/>
      <c r="AC196" s="54"/>
    </row>
    <row r="197" spans="1:68" ht="16.5" customHeight="1" x14ac:dyDescent="0.25">
      <c r="A197" s="630" t="s">
        <v>345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5"/>
      <c r="AB197" s="65"/>
      <c r="AC197" s="79"/>
    </row>
    <row r="198" spans="1:68" ht="14.25" customHeight="1" x14ac:dyDescent="0.25">
      <c r="A198" s="614" t="s">
        <v>139</v>
      </c>
      <c r="B198" s="614"/>
      <c r="C198" s="614"/>
      <c r="D198" s="614"/>
      <c r="E198" s="614"/>
      <c r="F198" s="614"/>
      <c r="G198" s="614"/>
      <c r="H198" s="614"/>
      <c r="I198" s="614"/>
      <c r="J198" s="614"/>
      <c r="K198" s="614"/>
      <c r="L198" s="614"/>
      <c r="M198" s="614"/>
      <c r="N198" s="614"/>
      <c r="O198" s="614"/>
      <c r="P198" s="614"/>
      <c r="Q198" s="614"/>
      <c r="R198" s="614"/>
      <c r="S198" s="614"/>
      <c r="T198" s="614"/>
      <c r="U198" s="614"/>
      <c r="V198" s="614"/>
      <c r="W198" s="614"/>
      <c r="X198" s="614"/>
      <c r="Y198" s="614"/>
      <c r="Z198" s="614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15">
        <v>4607091383423</v>
      </c>
      <c r="E199" s="615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8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17"/>
      <c r="R199" s="617"/>
      <c r="S199" s="617"/>
      <c r="T199" s="6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15">
        <v>4680115886957</v>
      </c>
      <c r="E200" s="61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9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17"/>
      <c r="R200" s="617"/>
      <c r="S200" s="617"/>
      <c r="T200" s="6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15">
        <v>4680115885660</v>
      </c>
      <c r="E201" s="61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9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17"/>
      <c r="R201" s="617"/>
      <c r="S201" s="617"/>
      <c r="T201" s="61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15">
        <v>4680115886773</v>
      </c>
      <c r="E202" s="615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99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17"/>
      <c r="R202" s="617"/>
      <c r="S202" s="617"/>
      <c r="T202" s="618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5">
      <c r="A203" s="622"/>
      <c r="B203" s="622"/>
      <c r="C203" s="622"/>
      <c r="D203" s="622"/>
      <c r="E203" s="622"/>
      <c r="F203" s="622"/>
      <c r="G203" s="622"/>
      <c r="H203" s="622"/>
      <c r="I203" s="622"/>
      <c r="J203" s="622"/>
      <c r="K203" s="622"/>
      <c r="L203" s="622"/>
      <c r="M203" s="622"/>
      <c r="N203" s="622"/>
      <c r="O203" s="623"/>
      <c r="P203" s="619" t="s">
        <v>40</v>
      </c>
      <c r="Q203" s="620"/>
      <c r="R203" s="620"/>
      <c r="S203" s="620"/>
      <c r="T203" s="620"/>
      <c r="U203" s="620"/>
      <c r="V203" s="621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5">
      <c r="A204" s="622"/>
      <c r="B204" s="622"/>
      <c r="C204" s="622"/>
      <c r="D204" s="622"/>
      <c r="E204" s="622"/>
      <c r="F204" s="622"/>
      <c r="G204" s="622"/>
      <c r="H204" s="622"/>
      <c r="I204" s="622"/>
      <c r="J204" s="622"/>
      <c r="K204" s="622"/>
      <c r="L204" s="622"/>
      <c r="M204" s="622"/>
      <c r="N204" s="622"/>
      <c r="O204" s="623"/>
      <c r="P204" s="619" t="s">
        <v>40</v>
      </c>
      <c r="Q204" s="620"/>
      <c r="R204" s="620"/>
      <c r="S204" s="620"/>
      <c r="T204" s="620"/>
      <c r="U204" s="620"/>
      <c r="V204" s="621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30" t="s">
        <v>357</v>
      </c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30"/>
      <c r="U205" s="630"/>
      <c r="V205" s="630"/>
      <c r="W205" s="630"/>
      <c r="X205" s="630"/>
      <c r="Y205" s="630"/>
      <c r="Z205" s="630"/>
      <c r="AA205" s="65"/>
      <c r="AB205" s="65"/>
      <c r="AC205" s="79"/>
    </row>
    <row r="206" spans="1:68" ht="14.25" customHeight="1" x14ac:dyDescent="0.25">
      <c r="A206" s="614" t="s">
        <v>174</v>
      </c>
      <c r="B206" s="614"/>
      <c r="C206" s="614"/>
      <c r="D206" s="614"/>
      <c r="E206" s="614"/>
      <c r="F206" s="614"/>
      <c r="G206" s="614"/>
      <c r="H206" s="614"/>
      <c r="I206" s="614"/>
      <c r="J206" s="614"/>
      <c r="K206" s="614"/>
      <c r="L206" s="614"/>
      <c r="M206" s="614"/>
      <c r="N206" s="614"/>
      <c r="O206" s="614"/>
      <c r="P206" s="614"/>
      <c r="Q206" s="614"/>
      <c r="R206" s="614"/>
      <c r="S206" s="614"/>
      <c r="T206" s="614"/>
      <c r="U206" s="614"/>
      <c r="V206" s="614"/>
      <c r="W206" s="614"/>
      <c r="X206" s="614"/>
      <c r="Y206" s="614"/>
      <c r="Z206" s="614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15">
        <v>4680115886223</v>
      </c>
      <c r="E207" s="615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17"/>
      <c r="R207" s="617"/>
      <c r="S207" s="617"/>
      <c r="T207" s="61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5">
      <c r="A208" s="622"/>
      <c r="B208" s="622"/>
      <c r="C208" s="622"/>
      <c r="D208" s="622"/>
      <c r="E208" s="622"/>
      <c r="F208" s="622"/>
      <c r="G208" s="622"/>
      <c r="H208" s="622"/>
      <c r="I208" s="622"/>
      <c r="J208" s="622"/>
      <c r="K208" s="622"/>
      <c r="L208" s="622"/>
      <c r="M208" s="622"/>
      <c r="N208" s="622"/>
      <c r="O208" s="623"/>
      <c r="P208" s="619" t="s">
        <v>40</v>
      </c>
      <c r="Q208" s="620"/>
      <c r="R208" s="620"/>
      <c r="S208" s="620"/>
      <c r="T208" s="620"/>
      <c r="U208" s="620"/>
      <c r="V208" s="621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5">
      <c r="A209" s="622"/>
      <c r="B209" s="622"/>
      <c r="C209" s="622"/>
      <c r="D209" s="622"/>
      <c r="E209" s="622"/>
      <c r="F209" s="622"/>
      <c r="G209" s="622"/>
      <c r="H209" s="622"/>
      <c r="I209" s="622"/>
      <c r="J209" s="622"/>
      <c r="K209" s="622"/>
      <c r="L209" s="622"/>
      <c r="M209" s="622"/>
      <c r="N209" s="622"/>
      <c r="O209" s="623"/>
      <c r="P209" s="619" t="s">
        <v>40</v>
      </c>
      <c r="Q209" s="620"/>
      <c r="R209" s="620"/>
      <c r="S209" s="620"/>
      <c r="T209" s="620"/>
      <c r="U209" s="620"/>
      <c r="V209" s="621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14" t="s">
        <v>77</v>
      </c>
      <c r="B210" s="614"/>
      <c r="C210" s="614"/>
      <c r="D210" s="614"/>
      <c r="E210" s="614"/>
      <c r="F210" s="614"/>
      <c r="G210" s="614"/>
      <c r="H210" s="614"/>
      <c r="I210" s="614"/>
      <c r="J210" s="614"/>
      <c r="K210" s="614"/>
      <c r="L210" s="614"/>
      <c r="M210" s="614"/>
      <c r="N210" s="614"/>
      <c r="O210" s="614"/>
      <c r="P210" s="614"/>
      <c r="Q210" s="614"/>
      <c r="R210" s="614"/>
      <c r="S210" s="614"/>
      <c r="T210" s="614"/>
      <c r="U210" s="614"/>
      <c r="V210" s="614"/>
      <c r="W210" s="614"/>
      <c r="X210" s="614"/>
      <c r="Y210" s="614"/>
      <c r="Z210" s="614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15">
        <v>4680115880993</v>
      </c>
      <c r="E211" s="615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17"/>
      <c r="R211" s="617"/>
      <c r="S211" s="617"/>
      <c r="T211" s="6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15">
        <v>4680115881761</v>
      </c>
      <c r="E212" s="615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17"/>
      <c r="R212" s="617"/>
      <c r="S212" s="617"/>
      <c r="T212" s="6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15">
        <v>4680115881563</v>
      </c>
      <c r="E213" s="615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17"/>
      <c r="R213" s="617"/>
      <c r="S213" s="617"/>
      <c r="T213" s="61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15">
        <v>4680115887565</v>
      </c>
      <c r="E214" s="615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9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17"/>
      <c r="R214" s="617"/>
      <c r="S214" s="617"/>
      <c r="T214" s="618"/>
      <c r="U214" s="39" t="s">
        <v>46</v>
      </c>
      <c r="V214" s="39" t="s">
        <v>46</v>
      </c>
      <c r="W214" s="40" t="s">
        <v>0</v>
      </c>
      <c r="X214" s="58">
        <v>20.8</v>
      </c>
      <c r="Y214" s="55">
        <f t="shared" si="21"/>
        <v>20.8</v>
      </c>
      <c r="Z214" s="41">
        <f>IFERROR(IF(Y214=0,"",ROUNDUP(Y214/H214,0)*0.00556),"")</f>
        <v>0.14455999999999999</v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24.18</v>
      </c>
      <c r="BN214" s="78">
        <f t="shared" si="23"/>
        <v>24.18</v>
      </c>
      <c r="BO214" s="78">
        <f t="shared" si="24"/>
        <v>0.10317460317460317</v>
      </c>
      <c r="BP214" s="78">
        <f t="shared" si="25"/>
        <v>0.10317460317460317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15">
        <v>4680115880986</v>
      </c>
      <c r="E215" s="615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17"/>
      <c r="R215" s="617"/>
      <c r="S215" s="617"/>
      <c r="T215" s="61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15">
        <v>4680115887213</v>
      </c>
      <c r="E216" s="615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17"/>
      <c r="R216" s="617"/>
      <c r="S216" s="617"/>
      <c r="T216" s="61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15">
        <v>4680115881785</v>
      </c>
      <c r="E217" s="615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17"/>
      <c r="R217" s="617"/>
      <c r="S217" s="617"/>
      <c r="T217" s="61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15">
        <v>4680115888432</v>
      </c>
      <c r="E218" s="615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17"/>
      <c r="R218" s="617"/>
      <c r="S218" s="617"/>
      <c r="T218" s="61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15">
        <v>4680115888104</v>
      </c>
      <c r="E219" s="615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8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17"/>
      <c r="R219" s="617"/>
      <c r="S219" s="617"/>
      <c r="T219" s="61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15">
        <v>4680115886537</v>
      </c>
      <c r="E220" s="61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17"/>
      <c r="R220" s="617"/>
      <c r="S220" s="617"/>
      <c r="T220" s="6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15">
        <v>4680115887596</v>
      </c>
      <c r="E221" s="615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17"/>
      <c r="R221" s="617"/>
      <c r="S221" s="617"/>
      <c r="T221" s="618"/>
      <c r="U221" s="39" t="s">
        <v>46</v>
      </c>
      <c r="V221" s="39" t="s">
        <v>46</v>
      </c>
      <c r="W221" s="40" t="s">
        <v>0</v>
      </c>
      <c r="X221" s="58">
        <v>18.48</v>
      </c>
      <c r="Y221" s="55">
        <f t="shared" si="21"/>
        <v>19.200000000000003</v>
      </c>
      <c r="Z221" s="41">
        <f>IFERROR(IF(Y221=0,"",ROUNDUP(Y221/H221,0)*0.00417),"")</f>
        <v>0.10008</v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23.331</v>
      </c>
      <c r="BN221" s="78">
        <f t="shared" si="23"/>
        <v>24.240000000000002</v>
      </c>
      <c r="BO221" s="78">
        <f t="shared" si="24"/>
        <v>6.8749999999999992E-2</v>
      </c>
      <c r="BP221" s="78">
        <f t="shared" si="25"/>
        <v>7.1428571428571438E-2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15">
        <v>4680115881679</v>
      </c>
      <c r="E222" s="615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17"/>
      <c r="R222" s="617"/>
      <c r="S222" s="617"/>
      <c r="T222" s="6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15">
        <v>4680115880191</v>
      </c>
      <c r="E223" s="615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17"/>
      <c r="R223" s="617"/>
      <c r="S223" s="617"/>
      <c r="T223" s="6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15">
        <v>4680115883963</v>
      </c>
      <c r="E224" s="615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17"/>
      <c r="R224" s="617"/>
      <c r="S224" s="617"/>
      <c r="T224" s="6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5">
      <c r="A225" s="622"/>
      <c r="B225" s="622"/>
      <c r="C225" s="622"/>
      <c r="D225" s="622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  <c r="O225" s="623"/>
      <c r="P225" s="619" t="s">
        <v>40</v>
      </c>
      <c r="Q225" s="620"/>
      <c r="R225" s="620"/>
      <c r="S225" s="620"/>
      <c r="T225" s="620"/>
      <c r="U225" s="620"/>
      <c r="V225" s="621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49.099999999999994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50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0.24464</v>
      </c>
      <c r="AA225" s="67"/>
      <c r="AB225" s="67"/>
      <c r="AC225" s="67"/>
    </row>
    <row r="226" spans="1:68" x14ac:dyDescent="0.25">
      <c r="A226" s="622"/>
      <c r="B226" s="622"/>
      <c r="C226" s="622"/>
      <c r="D226" s="622"/>
      <c r="E226" s="622"/>
      <c r="F226" s="622"/>
      <c r="G226" s="622"/>
      <c r="H226" s="622"/>
      <c r="I226" s="622"/>
      <c r="J226" s="622"/>
      <c r="K226" s="622"/>
      <c r="L226" s="622"/>
      <c r="M226" s="622"/>
      <c r="N226" s="622"/>
      <c r="O226" s="623"/>
      <c r="P226" s="619" t="s">
        <v>40</v>
      </c>
      <c r="Q226" s="620"/>
      <c r="R226" s="620"/>
      <c r="S226" s="620"/>
      <c r="T226" s="620"/>
      <c r="U226" s="620"/>
      <c r="V226" s="621"/>
      <c r="W226" s="42" t="s">
        <v>0</v>
      </c>
      <c r="X226" s="43">
        <f>IFERROR(SUM(X211:X224),"0")</f>
        <v>39.28</v>
      </c>
      <c r="Y226" s="43">
        <f>IFERROR(SUM(Y211:Y224),"0")</f>
        <v>40</v>
      </c>
      <c r="Z226" s="42"/>
      <c r="AA226" s="67"/>
      <c r="AB226" s="67"/>
      <c r="AC226" s="67"/>
    </row>
    <row r="227" spans="1:68" ht="14.25" customHeight="1" x14ac:dyDescent="0.25">
      <c r="A227" s="614" t="s">
        <v>90</v>
      </c>
      <c r="B227" s="614"/>
      <c r="C227" s="614"/>
      <c r="D227" s="614"/>
      <c r="E227" s="614"/>
      <c r="F227" s="614"/>
      <c r="G227" s="614"/>
      <c r="H227" s="614"/>
      <c r="I227" s="614"/>
      <c r="J227" s="614"/>
      <c r="K227" s="614"/>
      <c r="L227" s="614"/>
      <c r="M227" s="614"/>
      <c r="N227" s="614"/>
      <c r="O227" s="614"/>
      <c r="P227" s="614"/>
      <c r="Q227" s="614"/>
      <c r="R227" s="614"/>
      <c r="S227" s="614"/>
      <c r="T227" s="614"/>
      <c r="U227" s="614"/>
      <c r="V227" s="614"/>
      <c r="W227" s="614"/>
      <c r="X227" s="614"/>
      <c r="Y227" s="614"/>
      <c r="Z227" s="614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15">
        <v>4680115888982</v>
      </c>
      <c r="E228" s="615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8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17"/>
      <c r="R228" s="617"/>
      <c r="S228" s="617"/>
      <c r="T228" s="618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15">
        <v>4680115888951</v>
      </c>
      <c r="E229" s="615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8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7"/>
      <c r="R229" s="617"/>
      <c r="S229" s="617"/>
      <c r="T229" s="618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5">
      <c r="A230" s="622"/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3"/>
      <c r="P230" s="619" t="s">
        <v>40</v>
      </c>
      <c r="Q230" s="620"/>
      <c r="R230" s="620"/>
      <c r="S230" s="620"/>
      <c r="T230" s="620"/>
      <c r="U230" s="620"/>
      <c r="V230" s="621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5">
      <c r="A231" s="622"/>
      <c r="B231" s="622"/>
      <c r="C231" s="622"/>
      <c r="D231" s="622"/>
      <c r="E231" s="622"/>
      <c r="F231" s="622"/>
      <c r="G231" s="622"/>
      <c r="H231" s="622"/>
      <c r="I231" s="622"/>
      <c r="J231" s="622"/>
      <c r="K231" s="622"/>
      <c r="L231" s="622"/>
      <c r="M231" s="622"/>
      <c r="N231" s="622"/>
      <c r="O231" s="623"/>
      <c r="P231" s="619" t="s">
        <v>40</v>
      </c>
      <c r="Q231" s="620"/>
      <c r="R231" s="620"/>
      <c r="S231" s="620"/>
      <c r="T231" s="620"/>
      <c r="U231" s="620"/>
      <c r="V231" s="621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14" t="s">
        <v>118</v>
      </c>
      <c r="B232" s="614"/>
      <c r="C232" s="614"/>
      <c r="D232" s="614"/>
      <c r="E232" s="614"/>
      <c r="F232" s="614"/>
      <c r="G232" s="614"/>
      <c r="H232" s="614"/>
      <c r="I232" s="614"/>
      <c r="J232" s="614"/>
      <c r="K232" s="614"/>
      <c r="L232" s="614"/>
      <c r="M232" s="614"/>
      <c r="N232" s="614"/>
      <c r="O232" s="614"/>
      <c r="P232" s="614"/>
      <c r="Q232" s="614"/>
      <c r="R232" s="614"/>
      <c r="S232" s="614"/>
      <c r="T232" s="614"/>
      <c r="U232" s="614"/>
      <c r="V232" s="614"/>
      <c r="W232" s="614"/>
      <c r="X232" s="614"/>
      <c r="Y232" s="614"/>
      <c r="Z232" s="614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15">
        <v>4680115886780</v>
      </c>
      <c r="E233" s="615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17"/>
      <c r="R233" s="617"/>
      <c r="S233" s="617"/>
      <c r="T233" s="61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15">
        <v>4680115886742</v>
      </c>
      <c r="E234" s="615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17"/>
      <c r="R234" s="617"/>
      <c r="S234" s="617"/>
      <c r="T234" s="61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15">
        <v>4680115886766</v>
      </c>
      <c r="E235" s="615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17"/>
      <c r="R235" s="617"/>
      <c r="S235" s="617"/>
      <c r="T235" s="618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5">
      <c r="A236" s="622"/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3"/>
      <c r="P236" s="619" t="s">
        <v>40</v>
      </c>
      <c r="Q236" s="620"/>
      <c r="R236" s="620"/>
      <c r="S236" s="620"/>
      <c r="T236" s="620"/>
      <c r="U236" s="620"/>
      <c r="V236" s="621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22"/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3"/>
      <c r="P237" s="619" t="s">
        <v>40</v>
      </c>
      <c r="Q237" s="620"/>
      <c r="R237" s="620"/>
      <c r="S237" s="620"/>
      <c r="T237" s="620"/>
      <c r="U237" s="620"/>
      <c r="V237" s="621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14" t="s">
        <v>413</v>
      </c>
      <c r="B238" s="614"/>
      <c r="C238" s="614"/>
      <c r="D238" s="614"/>
      <c r="E238" s="614"/>
      <c r="F238" s="614"/>
      <c r="G238" s="614"/>
      <c r="H238" s="614"/>
      <c r="I238" s="614"/>
      <c r="J238" s="614"/>
      <c r="K238" s="614"/>
      <c r="L238" s="614"/>
      <c r="M238" s="614"/>
      <c r="N238" s="614"/>
      <c r="O238" s="614"/>
      <c r="P238" s="614"/>
      <c r="Q238" s="614"/>
      <c r="R238" s="614"/>
      <c r="S238" s="614"/>
      <c r="T238" s="614"/>
      <c r="U238" s="614"/>
      <c r="V238" s="614"/>
      <c r="W238" s="614"/>
      <c r="X238" s="614"/>
      <c r="Y238" s="614"/>
      <c r="Z238" s="614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15">
        <v>4680115886797</v>
      </c>
      <c r="E239" s="61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17"/>
      <c r="R239" s="617"/>
      <c r="S239" s="617"/>
      <c r="T239" s="6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5">
      <c r="A240" s="622"/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3"/>
      <c r="P240" s="619" t="s">
        <v>40</v>
      </c>
      <c r="Q240" s="620"/>
      <c r="R240" s="620"/>
      <c r="S240" s="620"/>
      <c r="T240" s="620"/>
      <c r="U240" s="620"/>
      <c r="V240" s="621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5">
      <c r="A241" s="622"/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3"/>
      <c r="P241" s="619" t="s">
        <v>40</v>
      </c>
      <c r="Q241" s="620"/>
      <c r="R241" s="620"/>
      <c r="S241" s="620"/>
      <c r="T241" s="620"/>
      <c r="U241" s="620"/>
      <c r="V241" s="621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30" t="s">
        <v>416</v>
      </c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30"/>
      <c r="U242" s="630"/>
      <c r="V242" s="630"/>
      <c r="W242" s="630"/>
      <c r="X242" s="630"/>
      <c r="Y242" s="630"/>
      <c r="Z242" s="630"/>
      <c r="AA242" s="65"/>
      <c r="AB242" s="65"/>
      <c r="AC242" s="79"/>
    </row>
    <row r="243" spans="1:68" ht="14.25" customHeight="1" x14ac:dyDescent="0.25">
      <c r="A243" s="614" t="s">
        <v>139</v>
      </c>
      <c r="B243" s="614"/>
      <c r="C243" s="614"/>
      <c r="D243" s="614"/>
      <c r="E243" s="614"/>
      <c r="F243" s="614"/>
      <c r="G243" s="614"/>
      <c r="H243" s="614"/>
      <c r="I243" s="614"/>
      <c r="J243" s="614"/>
      <c r="K243" s="614"/>
      <c r="L243" s="614"/>
      <c r="M243" s="614"/>
      <c r="N243" s="614"/>
      <c r="O243" s="614"/>
      <c r="P243" s="614"/>
      <c r="Q243" s="614"/>
      <c r="R243" s="614"/>
      <c r="S243" s="614"/>
      <c r="T243" s="614"/>
      <c r="U243" s="614"/>
      <c r="V243" s="614"/>
      <c r="W243" s="614"/>
      <c r="X243" s="614"/>
      <c r="Y243" s="614"/>
      <c r="Z243" s="614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15">
        <v>4680115881402</v>
      </c>
      <c r="E244" s="615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17"/>
      <c r="R244" s="617"/>
      <c r="S244" s="617"/>
      <c r="T244" s="6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15">
        <v>4680115881396</v>
      </c>
      <c r="E245" s="615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77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17"/>
      <c r="R245" s="617"/>
      <c r="S245" s="617"/>
      <c r="T245" s="6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5">
      <c r="A246" s="622"/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3"/>
      <c r="P246" s="619" t="s">
        <v>40</v>
      </c>
      <c r="Q246" s="620"/>
      <c r="R246" s="620"/>
      <c r="S246" s="620"/>
      <c r="T246" s="620"/>
      <c r="U246" s="620"/>
      <c r="V246" s="621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5">
      <c r="A247" s="622"/>
      <c r="B247" s="622"/>
      <c r="C247" s="622"/>
      <c r="D247" s="622"/>
      <c r="E247" s="622"/>
      <c r="F247" s="622"/>
      <c r="G247" s="622"/>
      <c r="H247" s="622"/>
      <c r="I247" s="622"/>
      <c r="J247" s="622"/>
      <c r="K247" s="622"/>
      <c r="L247" s="622"/>
      <c r="M247" s="622"/>
      <c r="N247" s="622"/>
      <c r="O247" s="623"/>
      <c r="P247" s="619" t="s">
        <v>40</v>
      </c>
      <c r="Q247" s="620"/>
      <c r="R247" s="620"/>
      <c r="S247" s="620"/>
      <c r="T247" s="620"/>
      <c r="U247" s="620"/>
      <c r="V247" s="621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14" t="s">
        <v>174</v>
      </c>
      <c r="B248" s="614"/>
      <c r="C248" s="614"/>
      <c r="D248" s="614"/>
      <c r="E248" s="614"/>
      <c r="F248" s="614"/>
      <c r="G248" s="614"/>
      <c r="H248" s="614"/>
      <c r="I248" s="614"/>
      <c r="J248" s="614"/>
      <c r="K248" s="614"/>
      <c r="L248" s="614"/>
      <c r="M248" s="614"/>
      <c r="N248" s="614"/>
      <c r="O248" s="614"/>
      <c r="P248" s="614"/>
      <c r="Q248" s="614"/>
      <c r="R248" s="614"/>
      <c r="S248" s="614"/>
      <c r="T248" s="614"/>
      <c r="U248" s="614"/>
      <c r="V248" s="614"/>
      <c r="W248" s="614"/>
      <c r="X248" s="614"/>
      <c r="Y248" s="614"/>
      <c r="Z248" s="614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15">
        <v>4680115882935</v>
      </c>
      <c r="E249" s="61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7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17"/>
      <c r="R249" s="617"/>
      <c r="S249" s="617"/>
      <c r="T249" s="61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15">
        <v>4680115880764</v>
      </c>
      <c r="E250" s="615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77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17"/>
      <c r="R250" s="617"/>
      <c r="S250" s="617"/>
      <c r="T250" s="6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22"/>
      <c r="B251" s="622"/>
      <c r="C251" s="622"/>
      <c r="D251" s="622"/>
      <c r="E251" s="622"/>
      <c r="F251" s="622"/>
      <c r="G251" s="622"/>
      <c r="H251" s="622"/>
      <c r="I251" s="622"/>
      <c r="J251" s="622"/>
      <c r="K251" s="622"/>
      <c r="L251" s="622"/>
      <c r="M251" s="622"/>
      <c r="N251" s="622"/>
      <c r="O251" s="623"/>
      <c r="P251" s="619" t="s">
        <v>40</v>
      </c>
      <c r="Q251" s="620"/>
      <c r="R251" s="620"/>
      <c r="S251" s="620"/>
      <c r="T251" s="620"/>
      <c r="U251" s="620"/>
      <c r="V251" s="621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5">
      <c r="A252" s="622"/>
      <c r="B252" s="622"/>
      <c r="C252" s="622"/>
      <c r="D252" s="622"/>
      <c r="E252" s="622"/>
      <c r="F252" s="622"/>
      <c r="G252" s="622"/>
      <c r="H252" s="622"/>
      <c r="I252" s="622"/>
      <c r="J252" s="622"/>
      <c r="K252" s="622"/>
      <c r="L252" s="622"/>
      <c r="M252" s="622"/>
      <c r="N252" s="622"/>
      <c r="O252" s="623"/>
      <c r="P252" s="619" t="s">
        <v>40</v>
      </c>
      <c r="Q252" s="620"/>
      <c r="R252" s="620"/>
      <c r="S252" s="620"/>
      <c r="T252" s="620"/>
      <c r="U252" s="620"/>
      <c r="V252" s="621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14" t="s">
        <v>77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15">
        <v>4680115882683</v>
      </c>
      <c r="E254" s="615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7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17"/>
      <c r="R254" s="617"/>
      <c r="S254" s="617"/>
      <c r="T254" s="618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15">
        <v>4680115882690</v>
      </c>
      <c r="E255" s="615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7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17"/>
      <c r="R255" s="617"/>
      <c r="S255" s="617"/>
      <c r="T255" s="618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15">
        <v>4680115882669</v>
      </c>
      <c r="E256" s="615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17"/>
      <c r="R256" s="617"/>
      <c r="S256" s="617"/>
      <c r="T256" s="618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15">
        <v>4680115882676</v>
      </c>
      <c r="E257" s="615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7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17"/>
      <c r="R257" s="617"/>
      <c r="S257" s="617"/>
      <c r="T257" s="618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15">
        <v>4680115884014</v>
      </c>
      <c r="E258" s="615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7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17"/>
      <c r="R258" s="617"/>
      <c r="S258" s="617"/>
      <c r="T258" s="618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15">
        <v>4680115884007</v>
      </c>
      <c r="E259" s="615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17"/>
      <c r="R259" s="617"/>
      <c r="S259" s="617"/>
      <c r="T259" s="61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15">
        <v>4680115884038</v>
      </c>
      <c r="E260" s="615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7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17"/>
      <c r="R260" s="617"/>
      <c r="S260" s="617"/>
      <c r="T260" s="61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15">
        <v>4680115884021</v>
      </c>
      <c r="E261" s="615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7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17"/>
      <c r="R261" s="617"/>
      <c r="S261" s="617"/>
      <c r="T261" s="61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5">
      <c r="A262" s="622"/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3"/>
      <c r="P262" s="619" t="s">
        <v>40</v>
      </c>
      <c r="Q262" s="620"/>
      <c r="R262" s="620"/>
      <c r="S262" s="620"/>
      <c r="T262" s="620"/>
      <c r="U262" s="620"/>
      <c r="V262" s="621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5">
      <c r="A263" s="622"/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3"/>
      <c r="P263" s="619" t="s">
        <v>40</v>
      </c>
      <c r="Q263" s="620"/>
      <c r="R263" s="620"/>
      <c r="S263" s="620"/>
      <c r="T263" s="620"/>
      <c r="U263" s="620"/>
      <c r="V263" s="621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14" t="s">
        <v>90</v>
      </c>
      <c r="B264" s="614"/>
      <c r="C264" s="614"/>
      <c r="D264" s="614"/>
      <c r="E264" s="614"/>
      <c r="F264" s="614"/>
      <c r="G264" s="614"/>
      <c r="H264" s="614"/>
      <c r="I264" s="614"/>
      <c r="J264" s="614"/>
      <c r="K264" s="614"/>
      <c r="L264" s="614"/>
      <c r="M264" s="614"/>
      <c r="N264" s="614"/>
      <c r="O264" s="614"/>
      <c r="P264" s="614"/>
      <c r="Q264" s="614"/>
      <c r="R264" s="614"/>
      <c r="S264" s="614"/>
      <c r="T264" s="614"/>
      <c r="U264" s="614"/>
      <c r="V264" s="614"/>
      <c r="W264" s="614"/>
      <c r="X264" s="614"/>
      <c r="Y264" s="614"/>
      <c r="Z264" s="614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15">
        <v>4680115889064</v>
      </c>
      <c r="E265" s="615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17"/>
      <c r="R265" s="617"/>
      <c r="S265" s="617"/>
      <c r="T265" s="6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15">
        <v>4680115881594</v>
      </c>
      <c r="E266" s="615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76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7"/>
      <c r="R266" s="617"/>
      <c r="S266" s="617"/>
      <c r="T266" s="6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15">
        <v>4680115881617</v>
      </c>
      <c r="E267" s="615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76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7"/>
      <c r="R267" s="617"/>
      <c r="S267" s="617"/>
      <c r="T267" s="6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15">
        <v>4680115880573</v>
      </c>
      <c r="E268" s="615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7"/>
      <c r="R268" s="617"/>
      <c r="S268" s="617"/>
      <c r="T268" s="6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15">
        <v>4680115882195</v>
      </c>
      <c r="E269" s="615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7"/>
      <c r="R269" s="617"/>
      <c r="S269" s="617"/>
      <c r="T269" s="6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15">
        <v>4680115882607</v>
      </c>
      <c r="E270" s="615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7"/>
      <c r="R270" s="617"/>
      <c r="S270" s="617"/>
      <c r="T270" s="6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15">
        <v>4680115882607</v>
      </c>
      <c r="E271" s="615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7"/>
      <c r="R271" s="617"/>
      <c r="S271" s="617"/>
      <c r="T271" s="6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15">
        <v>4680115880092</v>
      </c>
      <c r="E272" s="615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7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7"/>
      <c r="R272" s="617"/>
      <c r="S272" s="617"/>
      <c r="T272" s="618"/>
      <c r="U272" s="39" t="s">
        <v>46</v>
      </c>
      <c r="V272" s="39" t="s">
        <v>46</v>
      </c>
      <c r="W272" s="40" t="s">
        <v>0</v>
      </c>
      <c r="X272" s="58">
        <v>85.2</v>
      </c>
      <c r="Y272" s="55">
        <f t="shared" si="32"/>
        <v>86.399999999999991</v>
      </c>
      <c r="Z272" s="41">
        <f>IFERROR(IF(Y272=0,"",ROUNDUP(Y272/H272,0)*0.00651),"")</f>
        <v>0.23436000000000001</v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94.146000000000015</v>
      </c>
      <c r="BN272" s="78">
        <f t="shared" si="34"/>
        <v>95.472000000000008</v>
      </c>
      <c r="BO272" s="78">
        <f t="shared" si="35"/>
        <v>0.19505494505494508</v>
      </c>
      <c r="BP272" s="78">
        <f t="shared" si="36"/>
        <v>0.19780219780219782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15">
        <v>4680115880221</v>
      </c>
      <c r="E273" s="61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17"/>
      <c r="R273" s="617"/>
      <c r="S273" s="617"/>
      <c r="T273" s="618"/>
      <c r="U273" s="39" t="s">
        <v>46</v>
      </c>
      <c r="V273" s="39" t="s">
        <v>46</v>
      </c>
      <c r="W273" s="40" t="s">
        <v>0</v>
      </c>
      <c r="X273" s="58">
        <v>87.2</v>
      </c>
      <c r="Y273" s="55">
        <f t="shared" si="32"/>
        <v>88.8</v>
      </c>
      <c r="Z273" s="41">
        <f>IFERROR(IF(Y273=0,"",ROUNDUP(Y273/H273,0)*0.00651),"")</f>
        <v>0.24087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96.356000000000023</v>
      </c>
      <c r="BN273" s="78">
        <f t="shared" si="34"/>
        <v>98.124000000000009</v>
      </c>
      <c r="BO273" s="78">
        <f t="shared" si="35"/>
        <v>0.19963369963369967</v>
      </c>
      <c r="BP273" s="78">
        <f t="shared" si="36"/>
        <v>0.20329670329670332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15">
        <v>4680115880504</v>
      </c>
      <c r="E274" s="615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7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17"/>
      <c r="R274" s="617"/>
      <c r="S274" s="617"/>
      <c r="T274" s="6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15">
        <v>4680115882164</v>
      </c>
      <c r="E275" s="615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17"/>
      <c r="R275" s="617"/>
      <c r="S275" s="617"/>
      <c r="T275" s="61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15">
        <v>4680115888340</v>
      </c>
      <c r="E276" s="61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75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17"/>
      <c r="R276" s="617"/>
      <c r="S276" s="617"/>
      <c r="T276" s="61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5">
      <c r="A277" s="622"/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3"/>
      <c r="P277" s="619" t="s">
        <v>40</v>
      </c>
      <c r="Q277" s="620"/>
      <c r="R277" s="620"/>
      <c r="S277" s="620"/>
      <c r="T277" s="620"/>
      <c r="U277" s="620"/>
      <c r="V277" s="621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71.833333333333343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73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0.47523000000000004</v>
      </c>
      <c r="AA277" s="67"/>
      <c r="AB277" s="67"/>
      <c r="AC277" s="67"/>
    </row>
    <row r="278" spans="1:68" x14ac:dyDescent="0.25">
      <c r="A278" s="622"/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3"/>
      <c r="P278" s="619" t="s">
        <v>40</v>
      </c>
      <c r="Q278" s="620"/>
      <c r="R278" s="620"/>
      <c r="S278" s="620"/>
      <c r="T278" s="620"/>
      <c r="U278" s="620"/>
      <c r="V278" s="621"/>
      <c r="W278" s="42" t="s">
        <v>0</v>
      </c>
      <c r="X278" s="43">
        <f>IFERROR(SUM(X265:X276),"0")</f>
        <v>172.4</v>
      </c>
      <c r="Y278" s="43">
        <f>IFERROR(SUM(Y265:Y276),"0")</f>
        <v>175.2</v>
      </c>
      <c r="Z278" s="42"/>
      <c r="AA278" s="67"/>
      <c r="AB278" s="67"/>
      <c r="AC278" s="67"/>
    </row>
    <row r="279" spans="1:68" ht="14.25" customHeight="1" x14ac:dyDescent="0.25">
      <c r="A279" s="614" t="s">
        <v>191</v>
      </c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  <c r="Z279" s="61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15">
        <v>4680115880818</v>
      </c>
      <c r="E280" s="61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7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17"/>
      <c r="R280" s="617"/>
      <c r="S280" s="617"/>
      <c r="T280" s="618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15">
        <v>4680115880801</v>
      </c>
      <c r="E281" s="61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7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17"/>
      <c r="R281" s="617"/>
      <c r="S281" s="617"/>
      <c r="T281" s="618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5">
      <c r="A282" s="622"/>
      <c r="B282" s="622"/>
      <c r="C282" s="622"/>
      <c r="D282" s="622"/>
      <c r="E282" s="622"/>
      <c r="F282" s="622"/>
      <c r="G282" s="622"/>
      <c r="H282" s="622"/>
      <c r="I282" s="622"/>
      <c r="J282" s="622"/>
      <c r="K282" s="622"/>
      <c r="L282" s="622"/>
      <c r="M282" s="622"/>
      <c r="N282" s="622"/>
      <c r="O282" s="623"/>
      <c r="P282" s="619" t="s">
        <v>40</v>
      </c>
      <c r="Q282" s="620"/>
      <c r="R282" s="620"/>
      <c r="S282" s="620"/>
      <c r="T282" s="620"/>
      <c r="U282" s="620"/>
      <c r="V282" s="621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5">
      <c r="A283" s="622"/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3"/>
      <c r="P283" s="619" t="s">
        <v>40</v>
      </c>
      <c r="Q283" s="620"/>
      <c r="R283" s="620"/>
      <c r="S283" s="620"/>
      <c r="T283" s="620"/>
      <c r="U283" s="620"/>
      <c r="V283" s="621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30" t="s">
        <v>484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5"/>
      <c r="AB284" s="65"/>
      <c r="AC284" s="79"/>
    </row>
    <row r="285" spans="1:68" ht="14.25" customHeight="1" x14ac:dyDescent="0.25">
      <c r="A285" s="614" t="s">
        <v>139</v>
      </c>
      <c r="B285" s="614"/>
      <c r="C285" s="614"/>
      <c r="D285" s="614"/>
      <c r="E285" s="614"/>
      <c r="F285" s="614"/>
      <c r="G285" s="614"/>
      <c r="H285" s="614"/>
      <c r="I285" s="614"/>
      <c r="J285" s="614"/>
      <c r="K285" s="614"/>
      <c r="L285" s="614"/>
      <c r="M285" s="614"/>
      <c r="N285" s="614"/>
      <c r="O285" s="614"/>
      <c r="P285" s="614"/>
      <c r="Q285" s="614"/>
      <c r="R285" s="614"/>
      <c r="S285" s="614"/>
      <c r="T285" s="614"/>
      <c r="U285" s="614"/>
      <c r="V285" s="614"/>
      <c r="W285" s="614"/>
      <c r="X285" s="614"/>
      <c r="Y285" s="614"/>
      <c r="Z285" s="614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15">
        <v>4680115884137</v>
      </c>
      <c r="E286" s="615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7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17"/>
      <c r="R286" s="617"/>
      <c r="S286" s="617"/>
      <c r="T286" s="6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15">
        <v>4680115884236</v>
      </c>
      <c r="E287" s="615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17"/>
      <c r="R287" s="617"/>
      <c r="S287" s="617"/>
      <c r="T287" s="6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15">
        <v>4680115884175</v>
      </c>
      <c r="E288" s="615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7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17"/>
      <c r="R288" s="617"/>
      <c r="S288" s="617"/>
      <c r="T288" s="6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15">
        <v>4680115884144</v>
      </c>
      <c r="E289" s="615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17"/>
      <c r="R289" s="617"/>
      <c r="S289" s="617"/>
      <c r="T289" s="618"/>
      <c r="U289" s="39" t="s">
        <v>46</v>
      </c>
      <c r="V289" s="39" t="s">
        <v>46</v>
      </c>
      <c r="W289" s="40" t="s">
        <v>0</v>
      </c>
      <c r="X289" s="58">
        <v>92</v>
      </c>
      <c r="Y289" s="55">
        <f t="shared" si="37"/>
        <v>92</v>
      </c>
      <c r="Z289" s="41">
        <f>IFERROR(IF(Y289=0,"",ROUNDUP(Y289/H289,0)*0.00902),"")</f>
        <v>0.20746000000000001</v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96.37</v>
      </c>
      <c r="BN289" s="78">
        <f t="shared" si="39"/>
        <v>96.37</v>
      </c>
      <c r="BO289" s="78">
        <f t="shared" si="40"/>
        <v>0.17424242424242425</v>
      </c>
      <c r="BP289" s="78">
        <f t="shared" si="41"/>
        <v>0.17424242424242425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15">
        <v>4680115886551</v>
      </c>
      <c r="E290" s="615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17"/>
      <c r="R290" s="617"/>
      <c r="S290" s="617"/>
      <c r="T290" s="61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15">
        <v>4680115887282</v>
      </c>
      <c r="E291" s="615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17"/>
      <c r="R291" s="617"/>
      <c r="S291" s="617"/>
      <c r="T291" s="61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15">
        <v>4680115884205</v>
      </c>
      <c r="E292" s="615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17"/>
      <c r="R292" s="617"/>
      <c r="S292" s="617"/>
      <c r="T292" s="618"/>
      <c r="U292" s="39" t="s">
        <v>46</v>
      </c>
      <c r="V292" s="39" t="s">
        <v>46</v>
      </c>
      <c r="W292" s="40" t="s">
        <v>0</v>
      </c>
      <c r="X292" s="58">
        <v>105.2</v>
      </c>
      <c r="Y292" s="55">
        <f t="shared" si="37"/>
        <v>108</v>
      </c>
      <c r="Z292" s="41">
        <f>IFERROR(IF(Y292=0,"",ROUNDUP(Y292/H292,0)*0.00902),"")</f>
        <v>0.24354000000000001</v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110.19700000000002</v>
      </c>
      <c r="BN292" s="78">
        <f t="shared" si="39"/>
        <v>113.13000000000001</v>
      </c>
      <c r="BO292" s="78">
        <f t="shared" si="40"/>
        <v>0.19924242424242425</v>
      </c>
      <c r="BP292" s="78">
        <f t="shared" si="41"/>
        <v>0.20454545454545456</v>
      </c>
    </row>
    <row r="293" spans="1:68" x14ac:dyDescent="0.25">
      <c r="A293" s="622"/>
      <c r="B293" s="622"/>
      <c r="C293" s="622"/>
      <c r="D293" s="622"/>
      <c r="E293" s="622"/>
      <c r="F293" s="622"/>
      <c r="G293" s="622"/>
      <c r="H293" s="622"/>
      <c r="I293" s="622"/>
      <c r="J293" s="622"/>
      <c r="K293" s="622"/>
      <c r="L293" s="622"/>
      <c r="M293" s="622"/>
      <c r="N293" s="622"/>
      <c r="O293" s="623"/>
      <c r="P293" s="619" t="s">
        <v>40</v>
      </c>
      <c r="Q293" s="620"/>
      <c r="R293" s="620"/>
      <c r="S293" s="620"/>
      <c r="T293" s="620"/>
      <c r="U293" s="620"/>
      <c r="V293" s="621"/>
      <c r="W293" s="42" t="s">
        <v>39</v>
      </c>
      <c r="X293" s="43">
        <f>IFERROR(X286/H286,"0")+IFERROR(X287/H287,"0")+IFERROR(X288/H288,"0")+IFERROR(X289/H289,"0")+IFERROR(X290/H290,"0")+IFERROR(X291/H291,"0")+IFERROR(X292/H292,"0")</f>
        <v>49.3</v>
      </c>
      <c r="Y293" s="43">
        <f>IFERROR(Y286/H286,"0")+IFERROR(Y287/H287,"0")+IFERROR(Y288/H288,"0")+IFERROR(Y289/H289,"0")+IFERROR(Y290/H290,"0")+IFERROR(Y291/H291,"0")+IFERROR(Y292/H292,"0")</f>
        <v>50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0.45100000000000001</v>
      </c>
      <c r="AA293" s="67"/>
      <c r="AB293" s="67"/>
      <c r="AC293" s="67"/>
    </row>
    <row r="294" spans="1:68" x14ac:dyDescent="0.25">
      <c r="A294" s="622"/>
      <c r="B294" s="622"/>
      <c r="C294" s="622"/>
      <c r="D294" s="622"/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623"/>
      <c r="P294" s="619" t="s">
        <v>40</v>
      </c>
      <c r="Q294" s="620"/>
      <c r="R294" s="620"/>
      <c r="S294" s="620"/>
      <c r="T294" s="620"/>
      <c r="U294" s="620"/>
      <c r="V294" s="621"/>
      <c r="W294" s="42" t="s">
        <v>0</v>
      </c>
      <c r="X294" s="43">
        <f>IFERROR(SUM(X286:X292),"0")</f>
        <v>197.2</v>
      </c>
      <c r="Y294" s="43">
        <f>IFERROR(SUM(Y286:Y292),"0")</f>
        <v>200</v>
      </c>
      <c r="Z294" s="42"/>
      <c r="AA294" s="67"/>
      <c r="AB294" s="67"/>
      <c r="AC294" s="67"/>
    </row>
    <row r="295" spans="1:68" ht="14.25" customHeight="1" x14ac:dyDescent="0.25">
      <c r="A295" s="614" t="s">
        <v>174</v>
      </c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  <c r="Z295" s="614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15">
        <v>4680115885981</v>
      </c>
      <c r="E296" s="615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7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17"/>
      <c r="R296" s="617"/>
      <c r="S296" s="617"/>
      <c r="T296" s="618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5">
      <c r="A297" s="622"/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3"/>
      <c r="P297" s="619" t="s">
        <v>40</v>
      </c>
      <c r="Q297" s="620"/>
      <c r="R297" s="620"/>
      <c r="S297" s="620"/>
      <c r="T297" s="620"/>
      <c r="U297" s="620"/>
      <c r="V297" s="621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5">
      <c r="A298" s="622"/>
      <c r="B298" s="622"/>
      <c r="C298" s="622"/>
      <c r="D298" s="622"/>
      <c r="E298" s="622"/>
      <c r="F298" s="622"/>
      <c r="G298" s="622"/>
      <c r="H298" s="622"/>
      <c r="I298" s="622"/>
      <c r="J298" s="622"/>
      <c r="K298" s="622"/>
      <c r="L298" s="622"/>
      <c r="M298" s="622"/>
      <c r="N298" s="622"/>
      <c r="O298" s="623"/>
      <c r="P298" s="619" t="s">
        <v>40</v>
      </c>
      <c r="Q298" s="620"/>
      <c r="R298" s="620"/>
      <c r="S298" s="620"/>
      <c r="T298" s="620"/>
      <c r="U298" s="620"/>
      <c r="V298" s="621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14" t="s">
        <v>506</v>
      </c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4"/>
      <c r="P299" s="614"/>
      <c r="Q299" s="614"/>
      <c r="R299" s="614"/>
      <c r="S299" s="614"/>
      <c r="T299" s="614"/>
      <c r="U299" s="614"/>
      <c r="V299" s="614"/>
      <c r="W299" s="614"/>
      <c r="X299" s="614"/>
      <c r="Y299" s="614"/>
      <c r="Z299" s="614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15">
        <v>4680115886803</v>
      </c>
      <c r="E300" s="615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74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17"/>
      <c r="R300" s="617"/>
      <c r="S300" s="617"/>
      <c r="T300" s="61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5">
      <c r="A301" s="622"/>
      <c r="B301" s="622"/>
      <c r="C301" s="622"/>
      <c r="D301" s="622"/>
      <c r="E301" s="622"/>
      <c r="F301" s="622"/>
      <c r="G301" s="622"/>
      <c r="H301" s="622"/>
      <c r="I301" s="622"/>
      <c r="J301" s="622"/>
      <c r="K301" s="622"/>
      <c r="L301" s="622"/>
      <c r="M301" s="622"/>
      <c r="N301" s="622"/>
      <c r="O301" s="623"/>
      <c r="P301" s="619" t="s">
        <v>40</v>
      </c>
      <c r="Q301" s="620"/>
      <c r="R301" s="620"/>
      <c r="S301" s="620"/>
      <c r="T301" s="620"/>
      <c r="U301" s="620"/>
      <c r="V301" s="621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5">
      <c r="A302" s="622"/>
      <c r="B302" s="622"/>
      <c r="C302" s="622"/>
      <c r="D302" s="622"/>
      <c r="E302" s="622"/>
      <c r="F302" s="622"/>
      <c r="G302" s="622"/>
      <c r="H302" s="622"/>
      <c r="I302" s="622"/>
      <c r="J302" s="622"/>
      <c r="K302" s="622"/>
      <c r="L302" s="622"/>
      <c r="M302" s="622"/>
      <c r="N302" s="622"/>
      <c r="O302" s="623"/>
      <c r="P302" s="619" t="s">
        <v>40</v>
      </c>
      <c r="Q302" s="620"/>
      <c r="R302" s="620"/>
      <c r="S302" s="620"/>
      <c r="T302" s="620"/>
      <c r="U302" s="620"/>
      <c r="V302" s="621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14" t="s">
        <v>340</v>
      </c>
      <c r="B303" s="614"/>
      <c r="C303" s="614"/>
      <c r="D303" s="614"/>
      <c r="E303" s="614"/>
      <c r="F303" s="614"/>
      <c r="G303" s="614"/>
      <c r="H303" s="614"/>
      <c r="I303" s="614"/>
      <c r="J303" s="614"/>
      <c r="K303" s="614"/>
      <c r="L303" s="614"/>
      <c r="M303" s="614"/>
      <c r="N303" s="614"/>
      <c r="O303" s="614"/>
      <c r="P303" s="614"/>
      <c r="Q303" s="614"/>
      <c r="R303" s="614"/>
      <c r="S303" s="614"/>
      <c r="T303" s="614"/>
      <c r="U303" s="614"/>
      <c r="V303" s="614"/>
      <c r="W303" s="614"/>
      <c r="X303" s="614"/>
      <c r="Y303" s="614"/>
      <c r="Z303" s="614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15">
        <v>4680115886704</v>
      </c>
      <c r="E304" s="615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7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17"/>
      <c r="R304" s="617"/>
      <c r="S304" s="617"/>
      <c r="T304" s="61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15">
        <v>4680115886681</v>
      </c>
      <c r="E305" s="61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7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17"/>
      <c r="R305" s="617"/>
      <c r="S305" s="617"/>
      <c r="T305" s="61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15">
        <v>4680115886735</v>
      </c>
      <c r="E306" s="615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7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17"/>
      <c r="R306" s="617"/>
      <c r="S306" s="617"/>
      <c r="T306" s="618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15">
        <v>4680115886728</v>
      </c>
      <c r="E307" s="615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17"/>
      <c r="R307" s="617"/>
      <c r="S307" s="617"/>
      <c r="T307" s="6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15">
        <v>4680115886711</v>
      </c>
      <c r="E308" s="615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73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17"/>
      <c r="R308" s="617"/>
      <c r="S308" s="617"/>
      <c r="T308" s="618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5">
      <c r="A309" s="622"/>
      <c r="B309" s="622"/>
      <c r="C309" s="622"/>
      <c r="D309" s="622"/>
      <c r="E309" s="622"/>
      <c r="F309" s="622"/>
      <c r="G309" s="622"/>
      <c r="H309" s="622"/>
      <c r="I309" s="622"/>
      <c r="J309" s="622"/>
      <c r="K309" s="622"/>
      <c r="L309" s="622"/>
      <c r="M309" s="622"/>
      <c r="N309" s="622"/>
      <c r="O309" s="623"/>
      <c r="P309" s="619" t="s">
        <v>40</v>
      </c>
      <c r="Q309" s="620"/>
      <c r="R309" s="620"/>
      <c r="S309" s="620"/>
      <c r="T309" s="620"/>
      <c r="U309" s="620"/>
      <c r="V309" s="621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5">
      <c r="A310" s="622"/>
      <c r="B310" s="622"/>
      <c r="C310" s="622"/>
      <c r="D310" s="622"/>
      <c r="E310" s="622"/>
      <c r="F310" s="622"/>
      <c r="G310" s="622"/>
      <c r="H310" s="622"/>
      <c r="I310" s="622"/>
      <c r="J310" s="622"/>
      <c r="K310" s="622"/>
      <c r="L310" s="622"/>
      <c r="M310" s="622"/>
      <c r="N310" s="622"/>
      <c r="O310" s="623"/>
      <c r="P310" s="619" t="s">
        <v>40</v>
      </c>
      <c r="Q310" s="620"/>
      <c r="R310" s="620"/>
      <c r="S310" s="620"/>
      <c r="T310" s="620"/>
      <c r="U310" s="620"/>
      <c r="V310" s="621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30" t="s">
        <v>521</v>
      </c>
      <c r="B311" s="630"/>
      <c r="C311" s="630"/>
      <c r="D311" s="630"/>
      <c r="E311" s="630"/>
      <c r="F311" s="630"/>
      <c r="G311" s="630"/>
      <c r="H311" s="630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30"/>
      <c r="U311" s="630"/>
      <c r="V311" s="630"/>
      <c r="W311" s="630"/>
      <c r="X311" s="630"/>
      <c r="Y311" s="630"/>
      <c r="Z311" s="630"/>
      <c r="AA311" s="65"/>
      <c r="AB311" s="65"/>
      <c r="AC311" s="79"/>
    </row>
    <row r="312" spans="1:68" ht="14.25" customHeight="1" x14ac:dyDescent="0.25">
      <c r="A312" s="614" t="s">
        <v>139</v>
      </c>
      <c r="B312" s="614"/>
      <c r="C312" s="614"/>
      <c r="D312" s="614"/>
      <c r="E312" s="614"/>
      <c r="F312" s="614"/>
      <c r="G312" s="614"/>
      <c r="H312" s="614"/>
      <c r="I312" s="614"/>
      <c r="J312" s="614"/>
      <c r="K312" s="614"/>
      <c r="L312" s="614"/>
      <c r="M312" s="614"/>
      <c r="N312" s="614"/>
      <c r="O312" s="614"/>
      <c r="P312" s="614"/>
      <c r="Q312" s="614"/>
      <c r="R312" s="614"/>
      <c r="S312" s="614"/>
      <c r="T312" s="614"/>
      <c r="U312" s="614"/>
      <c r="V312" s="614"/>
      <c r="W312" s="614"/>
      <c r="X312" s="614"/>
      <c r="Y312" s="614"/>
      <c r="Z312" s="614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15">
        <v>4680115885837</v>
      </c>
      <c r="E313" s="61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7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17"/>
      <c r="R313" s="617"/>
      <c r="S313" s="617"/>
      <c r="T313" s="6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15">
        <v>4680115887237</v>
      </c>
      <c r="E314" s="61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73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17"/>
      <c r="R314" s="617"/>
      <c r="S314" s="617"/>
      <c r="T314" s="61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15">
        <v>4680115885806</v>
      </c>
      <c r="E315" s="615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7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17"/>
      <c r="R315" s="617"/>
      <c r="S315" s="617"/>
      <c r="T315" s="6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15">
        <v>4680115885844</v>
      </c>
      <c r="E316" s="61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7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17"/>
      <c r="R316" s="617"/>
      <c r="S316" s="617"/>
      <c r="T316" s="6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15">
        <v>4680115885820</v>
      </c>
      <c r="E317" s="61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7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17"/>
      <c r="R317" s="617"/>
      <c r="S317" s="617"/>
      <c r="T317" s="618"/>
      <c r="U317" s="39" t="s">
        <v>46</v>
      </c>
      <c r="V317" s="39" t="s">
        <v>46</v>
      </c>
      <c r="W317" s="40" t="s">
        <v>0</v>
      </c>
      <c r="X317" s="58">
        <v>120</v>
      </c>
      <c r="Y317" s="55">
        <f>IFERROR(IF(X317="",0,CEILING((X317/$H317),1)*$H317),"")</f>
        <v>120</v>
      </c>
      <c r="Z317" s="41">
        <f>IFERROR(IF(Y317=0,"",ROUNDUP(Y317/H317,0)*0.00902),"")</f>
        <v>0.27060000000000001</v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125.70000000000002</v>
      </c>
      <c r="BN317" s="78">
        <f>IFERROR(Y317*I317/H317,"0")</f>
        <v>125.70000000000002</v>
      </c>
      <c r="BO317" s="78">
        <f>IFERROR(1/J317*(X317/H317),"0")</f>
        <v>0.22727272727272729</v>
      </c>
      <c r="BP317" s="78">
        <f>IFERROR(1/J317*(Y317/H317),"0")</f>
        <v>0.22727272727272729</v>
      </c>
    </row>
    <row r="318" spans="1:68" x14ac:dyDescent="0.25">
      <c r="A318" s="622"/>
      <c r="B318" s="622"/>
      <c r="C318" s="622"/>
      <c r="D318" s="622"/>
      <c r="E318" s="622"/>
      <c r="F318" s="622"/>
      <c r="G318" s="622"/>
      <c r="H318" s="622"/>
      <c r="I318" s="622"/>
      <c r="J318" s="622"/>
      <c r="K318" s="622"/>
      <c r="L318" s="622"/>
      <c r="M318" s="622"/>
      <c r="N318" s="622"/>
      <c r="O318" s="623"/>
      <c r="P318" s="619" t="s">
        <v>40</v>
      </c>
      <c r="Q318" s="620"/>
      <c r="R318" s="620"/>
      <c r="S318" s="620"/>
      <c r="T318" s="620"/>
      <c r="U318" s="620"/>
      <c r="V318" s="621"/>
      <c r="W318" s="42" t="s">
        <v>39</v>
      </c>
      <c r="X318" s="43">
        <f>IFERROR(X313/H313,"0")+IFERROR(X314/H314,"0")+IFERROR(X315/H315,"0")+IFERROR(X316/H316,"0")+IFERROR(X317/H317,"0")</f>
        <v>30</v>
      </c>
      <c r="Y318" s="43">
        <f>IFERROR(Y313/H313,"0")+IFERROR(Y314/H314,"0")+IFERROR(Y315/H315,"0")+IFERROR(Y316/H316,"0")+IFERROR(Y317/H317,"0")</f>
        <v>30</v>
      </c>
      <c r="Z318" s="43">
        <f>IFERROR(IF(Z313="",0,Z313),"0")+IFERROR(IF(Z314="",0,Z314),"0")+IFERROR(IF(Z315="",0,Z315),"0")+IFERROR(IF(Z316="",0,Z316),"0")+IFERROR(IF(Z317="",0,Z317),"0")</f>
        <v>0.27060000000000001</v>
      </c>
      <c r="AA318" s="67"/>
      <c r="AB318" s="67"/>
      <c r="AC318" s="67"/>
    </row>
    <row r="319" spans="1:68" x14ac:dyDescent="0.25">
      <c r="A319" s="622"/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3"/>
      <c r="P319" s="619" t="s">
        <v>40</v>
      </c>
      <c r="Q319" s="620"/>
      <c r="R319" s="620"/>
      <c r="S319" s="620"/>
      <c r="T319" s="620"/>
      <c r="U319" s="620"/>
      <c r="V319" s="621"/>
      <c r="W319" s="42" t="s">
        <v>0</v>
      </c>
      <c r="X319" s="43">
        <f>IFERROR(SUM(X313:X317),"0")</f>
        <v>120</v>
      </c>
      <c r="Y319" s="43">
        <f>IFERROR(SUM(Y313:Y317),"0")</f>
        <v>120</v>
      </c>
      <c r="Z319" s="42"/>
      <c r="AA319" s="67"/>
      <c r="AB319" s="67"/>
      <c r="AC319" s="67"/>
    </row>
    <row r="320" spans="1:68" ht="16.5" customHeight="1" x14ac:dyDescent="0.25">
      <c r="A320" s="630" t="s">
        <v>537</v>
      </c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30"/>
      <c r="U320" s="630"/>
      <c r="V320" s="630"/>
      <c r="W320" s="630"/>
      <c r="X320" s="630"/>
      <c r="Y320" s="630"/>
      <c r="Z320" s="630"/>
      <c r="AA320" s="65"/>
      <c r="AB320" s="65"/>
      <c r="AC320" s="79"/>
    </row>
    <row r="321" spans="1:68" ht="14.25" customHeight="1" x14ac:dyDescent="0.25">
      <c r="A321" s="614" t="s">
        <v>90</v>
      </c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4"/>
      <c r="P321" s="614"/>
      <c r="Q321" s="614"/>
      <c r="R321" s="614"/>
      <c r="S321" s="614"/>
      <c r="T321" s="614"/>
      <c r="U321" s="614"/>
      <c r="V321" s="614"/>
      <c r="W321" s="614"/>
      <c r="X321" s="614"/>
      <c r="Y321" s="614"/>
      <c r="Z321" s="614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15">
        <v>4680115886186</v>
      </c>
      <c r="E322" s="615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72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17"/>
      <c r="R322" s="617"/>
      <c r="S322" s="617"/>
      <c r="T322" s="61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15">
        <v>4680115881228</v>
      </c>
      <c r="E323" s="615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73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17"/>
      <c r="R323" s="617"/>
      <c r="S323" s="617"/>
      <c r="T323" s="618"/>
      <c r="U323" s="39" t="s">
        <v>46</v>
      </c>
      <c r="V323" s="39" t="s">
        <v>46</v>
      </c>
      <c r="W323" s="40" t="s">
        <v>0</v>
      </c>
      <c r="X323" s="58">
        <v>96</v>
      </c>
      <c r="Y323" s="55">
        <f>IFERROR(IF(X323="",0,CEILING((X323/$H323),1)*$H323),"")</f>
        <v>96</v>
      </c>
      <c r="Z323" s="41">
        <f>IFERROR(IF(Y323=0,"",ROUNDUP(Y323/H323,0)*0.00651),"")</f>
        <v>0.26040000000000002</v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106.08000000000001</v>
      </c>
      <c r="BN323" s="78">
        <f>IFERROR(Y323*I323/H323,"0")</f>
        <v>106.08000000000001</v>
      </c>
      <c r="BO323" s="78">
        <f>IFERROR(1/J323*(X323/H323),"0")</f>
        <v>0.2197802197802198</v>
      </c>
      <c r="BP323" s="78">
        <f>IFERROR(1/J323*(Y323/H323),"0")</f>
        <v>0.2197802197802198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15">
        <v>4680115881211</v>
      </c>
      <c r="E324" s="615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72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17"/>
      <c r="R324" s="617"/>
      <c r="S324" s="617"/>
      <c r="T324" s="618"/>
      <c r="U324" s="39" t="s">
        <v>46</v>
      </c>
      <c r="V324" s="39" t="s">
        <v>46</v>
      </c>
      <c r="W324" s="40" t="s">
        <v>0</v>
      </c>
      <c r="X324" s="58">
        <v>60</v>
      </c>
      <c r="Y324" s="55">
        <f>IFERROR(IF(X324="",0,CEILING((X324/$H324),1)*$H324),"")</f>
        <v>60</v>
      </c>
      <c r="Z324" s="41">
        <f>IFERROR(IF(Y324=0,"",ROUNDUP(Y324/H324,0)*0.00651),"")</f>
        <v>0.16275000000000001</v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64.500000000000014</v>
      </c>
      <c r="BN324" s="78">
        <f>IFERROR(Y324*I324/H324,"0")</f>
        <v>64.500000000000014</v>
      </c>
      <c r="BO324" s="78">
        <f>IFERROR(1/J324*(X324/H324),"0")</f>
        <v>0.13736263736263737</v>
      </c>
      <c r="BP324" s="78">
        <f>IFERROR(1/J324*(Y324/H324),"0")</f>
        <v>0.13736263736263737</v>
      </c>
    </row>
    <row r="325" spans="1:68" x14ac:dyDescent="0.25">
      <c r="A325" s="622"/>
      <c r="B325" s="622"/>
      <c r="C325" s="622"/>
      <c r="D325" s="622"/>
      <c r="E325" s="622"/>
      <c r="F325" s="622"/>
      <c r="G325" s="622"/>
      <c r="H325" s="622"/>
      <c r="I325" s="622"/>
      <c r="J325" s="622"/>
      <c r="K325" s="622"/>
      <c r="L325" s="622"/>
      <c r="M325" s="622"/>
      <c r="N325" s="622"/>
      <c r="O325" s="623"/>
      <c r="P325" s="619" t="s">
        <v>40</v>
      </c>
      <c r="Q325" s="620"/>
      <c r="R325" s="620"/>
      <c r="S325" s="620"/>
      <c r="T325" s="620"/>
      <c r="U325" s="620"/>
      <c r="V325" s="621"/>
      <c r="W325" s="42" t="s">
        <v>39</v>
      </c>
      <c r="X325" s="43">
        <f>IFERROR(X322/H322,"0")+IFERROR(X323/H323,"0")+IFERROR(X324/H324,"0")</f>
        <v>65</v>
      </c>
      <c r="Y325" s="43">
        <f>IFERROR(Y322/H322,"0")+IFERROR(Y323/H323,"0")+IFERROR(Y324/H324,"0")</f>
        <v>65</v>
      </c>
      <c r="Z325" s="43">
        <f>IFERROR(IF(Z322="",0,Z322),"0")+IFERROR(IF(Z323="",0,Z323),"0")+IFERROR(IF(Z324="",0,Z324),"0")</f>
        <v>0.42315000000000003</v>
      </c>
      <c r="AA325" s="67"/>
      <c r="AB325" s="67"/>
      <c r="AC325" s="67"/>
    </row>
    <row r="326" spans="1:68" x14ac:dyDescent="0.25">
      <c r="A326" s="622"/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3"/>
      <c r="P326" s="619" t="s">
        <v>40</v>
      </c>
      <c r="Q326" s="620"/>
      <c r="R326" s="620"/>
      <c r="S326" s="620"/>
      <c r="T326" s="620"/>
      <c r="U326" s="620"/>
      <c r="V326" s="621"/>
      <c r="W326" s="42" t="s">
        <v>0</v>
      </c>
      <c r="X326" s="43">
        <f>IFERROR(SUM(X322:X324),"0")</f>
        <v>156</v>
      </c>
      <c r="Y326" s="43">
        <f>IFERROR(SUM(Y322:Y324),"0")</f>
        <v>156</v>
      </c>
      <c r="Z326" s="42"/>
      <c r="AA326" s="67"/>
      <c r="AB326" s="67"/>
      <c r="AC326" s="67"/>
    </row>
    <row r="327" spans="1:68" ht="16.5" customHeight="1" x14ac:dyDescent="0.25">
      <c r="A327" s="630" t="s">
        <v>546</v>
      </c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  <c r="AA327" s="65"/>
      <c r="AB327" s="65"/>
      <c r="AC327" s="79"/>
    </row>
    <row r="328" spans="1:68" ht="14.25" customHeight="1" x14ac:dyDescent="0.25">
      <c r="A328" s="614" t="s">
        <v>77</v>
      </c>
      <c r="B328" s="614"/>
      <c r="C328" s="614"/>
      <c r="D328" s="614"/>
      <c r="E328" s="614"/>
      <c r="F328" s="614"/>
      <c r="G328" s="614"/>
      <c r="H328" s="614"/>
      <c r="I328" s="614"/>
      <c r="J328" s="614"/>
      <c r="K328" s="614"/>
      <c r="L328" s="614"/>
      <c r="M328" s="614"/>
      <c r="N328" s="614"/>
      <c r="O328" s="614"/>
      <c r="P328" s="614"/>
      <c r="Q328" s="614"/>
      <c r="R328" s="614"/>
      <c r="S328" s="614"/>
      <c r="T328" s="614"/>
      <c r="U328" s="614"/>
      <c r="V328" s="614"/>
      <c r="W328" s="614"/>
      <c r="X328" s="614"/>
      <c r="Y328" s="614"/>
      <c r="Z328" s="614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15">
        <v>4680115888319</v>
      </c>
      <c r="E329" s="615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72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17"/>
      <c r="R329" s="617"/>
      <c r="S329" s="617"/>
      <c r="T329" s="61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15">
        <v>4680115884700</v>
      </c>
      <c r="E330" s="615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72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17"/>
      <c r="R330" s="617"/>
      <c r="S330" s="617"/>
      <c r="T330" s="61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15">
        <v>4680115880344</v>
      </c>
      <c r="E331" s="615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7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17"/>
      <c r="R331" s="617"/>
      <c r="S331" s="617"/>
      <c r="T331" s="61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15">
        <v>4680115886919</v>
      </c>
      <c r="E332" s="615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17"/>
      <c r="R332" s="617"/>
      <c r="S332" s="617"/>
      <c r="T332" s="61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15">
        <v>4680115883970</v>
      </c>
      <c r="E333" s="615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72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17"/>
      <c r="R333" s="617"/>
      <c r="S333" s="617"/>
      <c r="T333" s="6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22"/>
      <c r="B334" s="622"/>
      <c r="C334" s="622"/>
      <c r="D334" s="622"/>
      <c r="E334" s="622"/>
      <c r="F334" s="622"/>
      <c r="G334" s="622"/>
      <c r="H334" s="622"/>
      <c r="I334" s="622"/>
      <c r="J334" s="622"/>
      <c r="K334" s="622"/>
      <c r="L334" s="622"/>
      <c r="M334" s="622"/>
      <c r="N334" s="622"/>
      <c r="O334" s="623"/>
      <c r="P334" s="619" t="s">
        <v>40</v>
      </c>
      <c r="Q334" s="620"/>
      <c r="R334" s="620"/>
      <c r="S334" s="620"/>
      <c r="T334" s="620"/>
      <c r="U334" s="620"/>
      <c r="V334" s="621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22"/>
      <c r="B335" s="622"/>
      <c r="C335" s="622"/>
      <c r="D335" s="622"/>
      <c r="E335" s="622"/>
      <c r="F335" s="622"/>
      <c r="G335" s="622"/>
      <c r="H335" s="622"/>
      <c r="I335" s="622"/>
      <c r="J335" s="622"/>
      <c r="K335" s="622"/>
      <c r="L335" s="622"/>
      <c r="M335" s="622"/>
      <c r="N335" s="622"/>
      <c r="O335" s="623"/>
      <c r="P335" s="619" t="s">
        <v>40</v>
      </c>
      <c r="Q335" s="620"/>
      <c r="R335" s="620"/>
      <c r="S335" s="620"/>
      <c r="T335" s="620"/>
      <c r="U335" s="620"/>
      <c r="V335" s="621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14" t="s">
        <v>90</v>
      </c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4"/>
      <c r="P336" s="614"/>
      <c r="Q336" s="614"/>
      <c r="R336" s="614"/>
      <c r="S336" s="614"/>
      <c r="T336" s="614"/>
      <c r="U336" s="614"/>
      <c r="V336" s="614"/>
      <c r="W336" s="614"/>
      <c r="X336" s="614"/>
      <c r="Y336" s="614"/>
      <c r="Z336" s="614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15">
        <v>4680115884618</v>
      </c>
      <c r="E337" s="615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17"/>
      <c r="R337" s="617"/>
      <c r="S337" s="617"/>
      <c r="T337" s="618"/>
      <c r="U337" s="39" t="s">
        <v>46</v>
      </c>
      <c r="V337" s="39" t="s">
        <v>46</v>
      </c>
      <c r="W337" s="40" t="s">
        <v>0</v>
      </c>
      <c r="X337" s="58">
        <v>108</v>
      </c>
      <c r="Y337" s="55">
        <f>IFERROR(IF(X337="",0,CEILING((X337/$H337),1)*$H337),"")</f>
        <v>108</v>
      </c>
      <c r="Z337" s="41">
        <f>IFERROR(IF(Y337=0,"",ROUNDUP(Y337/H337,0)*0.00902),"")</f>
        <v>0.27060000000000001</v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113.69999999999999</v>
      </c>
      <c r="BN337" s="78">
        <f>IFERROR(Y337*I337/H337,"0")</f>
        <v>113.69999999999999</v>
      </c>
      <c r="BO337" s="78">
        <f>IFERROR(1/J337*(X337/H337),"0")</f>
        <v>0.22727272727272729</v>
      </c>
      <c r="BP337" s="78">
        <f>IFERROR(1/J337*(Y337/H337),"0")</f>
        <v>0.22727272727272729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15">
        <v>4680115887114</v>
      </c>
      <c r="E338" s="615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72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17"/>
      <c r="R338" s="617"/>
      <c r="S338" s="617"/>
      <c r="T338" s="61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5">
      <c r="A339" s="622"/>
      <c r="B339" s="622"/>
      <c r="C339" s="622"/>
      <c r="D339" s="622"/>
      <c r="E339" s="622"/>
      <c r="F339" s="622"/>
      <c r="G339" s="622"/>
      <c r="H339" s="622"/>
      <c r="I339" s="622"/>
      <c r="J339" s="622"/>
      <c r="K339" s="622"/>
      <c r="L339" s="622"/>
      <c r="M339" s="622"/>
      <c r="N339" s="622"/>
      <c r="O339" s="623"/>
      <c r="P339" s="619" t="s">
        <v>40</v>
      </c>
      <c r="Q339" s="620"/>
      <c r="R339" s="620"/>
      <c r="S339" s="620"/>
      <c r="T339" s="620"/>
      <c r="U339" s="620"/>
      <c r="V339" s="621"/>
      <c r="W339" s="42" t="s">
        <v>39</v>
      </c>
      <c r="X339" s="43">
        <f>IFERROR(X337/H337,"0")+IFERROR(X338/H338,"0")</f>
        <v>30</v>
      </c>
      <c r="Y339" s="43">
        <f>IFERROR(Y337/H337,"0")+IFERROR(Y338/H338,"0")</f>
        <v>30</v>
      </c>
      <c r="Z339" s="43">
        <f>IFERROR(IF(Z337="",0,Z337),"0")+IFERROR(IF(Z338="",0,Z338),"0")</f>
        <v>0.27060000000000001</v>
      </c>
      <c r="AA339" s="67"/>
      <c r="AB339" s="67"/>
      <c r="AC339" s="67"/>
    </row>
    <row r="340" spans="1:68" x14ac:dyDescent="0.25">
      <c r="A340" s="622"/>
      <c r="B340" s="622"/>
      <c r="C340" s="622"/>
      <c r="D340" s="622"/>
      <c r="E340" s="622"/>
      <c r="F340" s="622"/>
      <c r="G340" s="622"/>
      <c r="H340" s="622"/>
      <c r="I340" s="622"/>
      <c r="J340" s="622"/>
      <c r="K340" s="622"/>
      <c r="L340" s="622"/>
      <c r="M340" s="622"/>
      <c r="N340" s="622"/>
      <c r="O340" s="623"/>
      <c r="P340" s="619" t="s">
        <v>40</v>
      </c>
      <c r="Q340" s="620"/>
      <c r="R340" s="620"/>
      <c r="S340" s="620"/>
      <c r="T340" s="620"/>
      <c r="U340" s="620"/>
      <c r="V340" s="621"/>
      <c r="W340" s="42" t="s">
        <v>0</v>
      </c>
      <c r="X340" s="43">
        <f>IFERROR(SUM(X337:X338),"0")</f>
        <v>108</v>
      </c>
      <c r="Y340" s="43">
        <f>IFERROR(SUM(Y337:Y338),"0")</f>
        <v>108</v>
      </c>
      <c r="Z340" s="42"/>
      <c r="AA340" s="67"/>
      <c r="AB340" s="67"/>
      <c r="AC340" s="67"/>
    </row>
    <row r="341" spans="1:68" ht="16.5" customHeight="1" x14ac:dyDescent="0.25">
      <c r="A341" s="630" t="s">
        <v>567</v>
      </c>
      <c r="B341" s="630"/>
      <c r="C341" s="630"/>
      <c r="D341" s="630"/>
      <c r="E341" s="630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  <c r="AA341" s="65"/>
      <c r="AB341" s="65"/>
      <c r="AC341" s="79"/>
    </row>
    <row r="342" spans="1:68" ht="14.25" customHeight="1" x14ac:dyDescent="0.25">
      <c r="A342" s="614" t="s">
        <v>139</v>
      </c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  <c r="Z342" s="614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15">
        <v>4680115887947</v>
      </c>
      <c r="E343" s="615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71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17"/>
      <c r="R343" s="617"/>
      <c r="S343" s="617"/>
      <c r="T343" s="6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15">
        <v>4680115887978</v>
      </c>
      <c r="E344" s="615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71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17"/>
      <c r="R344" s="617"/>
      <c r="S344" s="617"/>
      <c r="T344" s="6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15">
        <v>4680115887992</v>
      </c>
      <c r="E345" s="615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7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17"/>
      <c r="R345" s="617"/>
      <c r="S345" s="617"/>
      <c r="T345" s="61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5">
      <c r="A346" s="622"/>
      <c r="B346" s="622"/>
      <c r="C346" s="622"/>
      <c r="D346" s="622"/>
      <c r="E346" s="622"/>
      <c r="F346" s="622"/>
      <c r="G346" s="622"/>
      <c r="H346" s="622"/>
      <c r="I346" s="622"/>
      <c r="J346" s="622"/>
      <c r="K346" s="622"/>
      <c r="L346" s="622"/>
      <c r="M346" s="622"/>
      <c r="N346" s="622"/>
      <c r="O346" s="623"/>
      <c r="P346" s="619" t="s">
        <v>40</v>
      </c>
      <c r="Q346" s="620"/>
      <c r="R346" s="620"/>
      <c r="S346" s="620"/>
      <c r="T346" s="620"/>
      <c r="U346" s="620"/>
      <c r="V346" s="621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5">
      <c r="A347" s="622"/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3"/>
      <c r="P347" s="619" t="s">
        <v>40</v>
      </c>
      <c r="Q347" s="620"/>
      <c r="R347" s="620"/>
      <c r="S347" s="620"/>
      <c r="T347" s="620"/>
      <c r="U347" s="620"/>
      <c r="V347" s="621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30" t="s">
        <v>577</v>
      </c>
      <c r="B348" s="630"/>
      <c r="C348" s="630"/>
      <c r="D348" s="630"/>
      <c r="E348" s="630"/>
      <c r="F348" s="630"/>
      <c r="G348" s="630"/>
      <c r="H348" s="630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30"/>
      <c r="U348" s="630"/>
      <c r="V348" s="630"/>
      <c r="W348" s="630"/>
      <c r="X348" s="630"/>
      <c r="Y348" s="630"/>
      <c r="Z348" s="630"/>
      <c r="AA348" s="65"/>
      <c r="AB348" s="65"/>
      <c r="AC348" s="79"/>
    </row>
    <row r="349" spans="1:68" ht="14.25" customHeight="1" x14ac:dyDescent="0.25">
      <c r="A349" s="614" t="s">
        <v>139</v>
      </c>
      <c r="B349" s="614"/>
      <c r="C349" s="614"/>
      <c r="D349" s="614"/>
      <c r="E349" s="614"/>
      <c r="F349" s="614"/>
      <c r="G349" s="614"/>
      <c r="H349" s="614"/>
      <c r="I349" s="614"/>
      <c r="J349" s="614"/>
      <c r="K349" s="614"/>
      <c r="L349" s="614"/>
      <c r="M349" s="614"/>
      <c r="N349" s="614"/>
      <c r="O349" s="614"/>
      <c r="P349" s="614"/>
      <c r="Q349" s="614"/>
      <c r="R349" s="614"/>
      <c r="S349" s="614"/>
      <c r="T349" s="614"/>
      <c r="U349" s="614"/>
      <c r="V349" s="614"/>
      <c r="W349" s="614"/>
      <c r="X349" s="614"/>
      <c r="Y349" s="614"/>
      <c r="Z349" s="614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15">
        <v>4607091386004</v>
      </c>
      <c r="E350" s="615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71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17"/>
      <c r="R350" s="617"/>
      <c r="S350" s="617"/>
      <c r="T350" s="618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ref="Y350:Y355" si="42"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0</v>
      </c>
      <c r="BN350" s="78">
        <f t="shared" ref="BN350:BN355" si="44">IFERROR(Y350*I350/H350,"0")</f>
        <v>0</v>
      </c>
      <c r="BO350" s="78">
        <f t="shared" ref="BO350:BO355" si="45">IFERROR(1/J350*(X350/H350),"0")</f>
        <v>0</v>
      </c>
      <c r="BP350" s="78">
        <f t="shared" ref="BP350:BP355" si="46">IFERROR(1/J350*(Y350/H350),"0")</f>
        <v>0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15">
        <v>4680115887190</v>
      </c>
      <c r="E351" s="615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7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17"/>
      <c r="R351" s="617"/>
      <c r="S351" s="617"/>
      <c r="T351" s="618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2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0</v>
      </c>
      <c r="BN351" s="78">
        <f t="shared" si="44"/>
        <v>0</v>
      </c>
      <c r="BO351" s="78">
        <f t="shared" si="45"/>
        <v>0</v>
      </c>
      <c r="BP351" s="78">
        <f t="shared" si="46"/>
        <v>0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15">
        <v>4680115887138</v>
      </c>
      <c r="E352" s="615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7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17"/>
      <c r="R352" s="617"/>
      <c r="S352" s="617"/>
      <c r="T352" s="618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2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0</v>
      </c>
      <c r="BN352" s="78">
        <f t="shared" si="44"/>
        <v>0</v>
      </c>
      <c r="BO352" s="78">
        <f t="shared" si="45"/>
        <v>0</v>
      </c>
      <c r="BP352" s="78">
        <f t="shared" si="46"/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15">
        <v>4680115885554</v>
      </c>
      <c r="E353" s="61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17"/>
      <c r="R353" s="617"/>
      <c r="S353" s="617"/>
      <c r="T353" s="618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2"/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0</v>
      </c>
      <c r="BN353" s="78">
        <f t="shared" si="44"/>
        <v>0</v>
      </c>
      <c r="BO353" s="78">
        <f t="shared" si="45"/>
        <v>0</v>
      </c>
      <c r="BP353" s="78">
        <f t="shared" si="46"/>
        <v>0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15">
        <v>4680115887220</v>
      </c>
      <c r="E354" s="61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7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17"/>
      <c r="R354" s="617"/>
      <c r="S354" s="617"/>
      <c r="T354" s="618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15">
        <v>4680115885608</v>
      </c>
      <c r="E355" s="615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7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17"/>
      <c r="R355" s="617"/>
      <c r="S355" s="617"/>
      <c r="T355" s="618"/>
      <c r="U355" s="39" t="s">
        <v>46</v>
      </c>
      <c r="V355" s="39" t="s">
        <v>46</v>
      </c>
      <c r="W355" s="40" t="s">
        <v>0</v>
      </c>
      <c r="X355" s="58">
        <v>72</v>
      </c>
      <c r="Y355" s="55">
        <f t="shared" si="42"/>
        <v>72</v>
      </c>
      <c r="Z355" s="41">
        <f>IFERROR(IF(Y355=0,"",ROUNDUP(Y355/H355,0)*0.00902),"")</f>
        <v>0.16236</v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75.42</v>
      </c>
      <c r="BN355" s="78">
        <f t="shared" si="44"/>
        <v>75.42</v>
      </c>
      <c r="BO355" s="78">
        <f t="shared" si="45"/>
        <v>0.13636363636363635</v>
      </c>
      <c r="BP355" s="78">
        <f t="shared" si="46"/>
        <v>0.13636363636363635</v>
      </c>
    </row>
    <row r="356" spans="1:68" x14ac:dyDescent="0.25">
      <c r="A356" s="622"/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3"/>
      <c r="P356" s="619" t="s">
        <v>40</v>
      </c>
      <c r="Q356" s="620"/>
      <c r="R356" s="620"/>
      <c r="S356" s="620"/>
      <c r="T356" s="620"/>
      <c r="U356" s="620"/>
      <c r="V356" s="621"/>
      <c r="W356" s="42" t="s">
        <v>39</v>
      </c>
      <c r="X356" s="43">
        <f>IFERROR(X350/H350,"0")+IFERROR(X351/H351,"0")+IFERROR(X352/H352,"0")+IFERROR(X353/H353,"0")+IFERROR(X354/H354,"0")+IFERROR(X355/H355,"0")</f>
        <v>18</v>
      </c>
      <c r="Y356" s="43">
        <f>IFERROR(Y350/H350,"0")+IFERROR(Y351/H351,"0")+IFERROR(Y352/H352,"0")+IFERROR(Y353/H353,"0")+IFERROR(Y354/H354,"0")+IFERROR(Y355/H355,"0")</f>
        <v>18</v>
      </c>
      <c r="Z356" s="43">
        <f>IFERROR(IF(Z350="",0,Z350),"0")+IFERROR(IF(Z351="",0,Z351),"0")+IFERROR(IF(Z352="",0,Z352),"0")+IFERROR(IF(Z353="",0,Z353),"0")+IFERROR(IF(Z354="",0,Z354),"0")+IFERROR(IF(Z355="",0,Z355),"0")</f>
        <v>0.16236</v>
      </c>
      <c r="AA356" s="67"/>
      <c r="AB356" s="67"/>
      <c r="AC356" s="67"/>
    </row>
    <row r="357" spans="1:68" x14ac:dyDescent="0.25">
      <c r="A357" s="622"/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3"/>
      <c r="P357" s="619" t="s">
        <v>40</v>
      </c>
      <c r="Q357" s="620"/>
      <c r="R357" s="620"/>
      <c r="S357" s="620"/>
      <c r="T357" s="620"/>
      <c r="U357" s="620"/>
      <c r="V357" s="621"/>
      <c r="W357" s="42" t="s">
        <v>0</v>
      </c>
      <c r="X357" s="43">
        <f>IFERROR(SUM(X350:X355),"0")</f>
        <v>72</v>
      </c>
      <c r="Y357" s="43">
        <f>IFERROR(SUM(Y350:Y355),"0")</f>
        <v>72</v>
      </c>
      <c r="Z357" s="42"/>
      <c r="AA357" s="67"/>
      <c r="AB357" s="67"/>
      <c r="AC357" s="67"/>
    </row>
    <row r="358" spans="1:68" ht="14.25" customHeight="1" x14ac:dyDescent="0.25">
      <c r="A358" s="614" t="s">
        <v>77</v>
      </c>
      <c r="B358" s="614"/>
      <c r="C358" s="614"/>
      <c r="D358" s="614"/>
      <c r="E358" s="614"/>
      <c r="F358" s="614"/>
      <c r="G358" s="614"/>
      <c r="H358" s="614"/>
      <c r="I358" s="614"/>
      <c r="J358" s="614"/>
      <c r="K358" s="614"/>
      <c r="L358" s="614"/>
      <c r="M358" s="614"/>
      <c r="N358" s="614"/>
      <c r="O358" s="614"/>
      <c r="P358" s="614"/>
      <c r="Q358" s="614"/>
      <c r="R358" s="614"/>
      <c r="S358" s="614"/>
      <c r="T358" s="614"/>
      <c r="U358" s="614"/>
      <c r="V358" s="614"/>
      <c r="W358" s="614"/>
      <c r="X358" s="614"/>
      <c r="Y358" s="614"/>
      <c r="Z358" s="614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15">
        <v>4607091387193</v>
      </c>
      <c r="E359" s="615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7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17"/>
      <c r="R359" s="617"/>
      <c r="S359" s="617"/>
      <c r="T359" s="618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47">IFERROR(IF(X359="",0,CEILING((X359/$H359),1)*$H359),"")</f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0</v>
      </c>
      <c r="BN359" s="78">
        <f t="shared" ref="BN359:BN365" si="49">IFERROR(Y359*I359/H359,"0")</f>
        <v>0</v>
      </c>
      <c r="BO359" s="78">
        <f t="shared" ref="BO359:BO365" si="50">IFERROR(1/J359*(X359/H359),"0")</f>
        <v>0</v>
      </c>
      <c r="BP359" s="78">
        <f t="shared" ref="BP359:BP365" si="51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15">
        <v>4607091387230</v>
      </c>
      <c r="E360" s="615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70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17"/>
      <c r="R360" s="617"/>
      <c r="S360" s="617"/>
      <c r="T360" s="618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15">
        <v>4607091387292</v>
      </c>
      <c r="E361" s="615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17"/>
      <c r="R361" s="617"/>
      <c r="S361" s="617"/>
      <c r="T361" s="6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15">
        <v>4607091387285</v>
      </c>
      <c r="E362" s="615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17"/>
      <c r="R362" s="617"/>
      <c r="S362" s="617"/>
      <c r="T362" s="6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15">
        <v>4607091389845</v>
      </c>
      <c r="E363" s="615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17"/>
      <c r="R363" s="617"/>
      <c r="S363" s="617"/>
      <c r="T363" s="618"/>
      <c r="U363" s="39" t="s">
        <v>46</v>
      </c>
      <c r="V363" s="39" t="s">
        <v>46</v>
      </c>
      <c r="W363" s="40" t="s">
        <v>0</v>
      </c>
      <c r="X363" s="58">
        <v>71.400000000000006</v>
      </c>
      <c r="Y363" s="55">
        <f t="shared" si="47"/>
        <v>71.400000000000006</v>
      </c>
      <c r="Z363" s="41">
        <f>IFERROR(IF(Y363=0,"",ROUNDUP(Y363/H363,0)*0.00502),"")</f>
        <v>0.17068</v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74.8</v>
      </c>
      <c r="BN363" s="78">
        <f t="shared" si="49"/>
        <v>74.8</v>
      </c>
      <c r="BO363" s="78">
        <f t="shared" si="50"/>
        <v>0.14529914529914531</v>
      </c>
      <c r="BP363" s="78">
        <f t="shared" si="51"/>
        <v>0.14529914529914531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15">
        <v>4680115887442</v>
      </c>
      <c r="E364" s="615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7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17"/>
      <c r="R364" s="617"/>
      <c r="S364" s="617"/>
      <c r="T364" s="6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15">
        <v>4607091383836</v>
      </c>
      <c r="E365" s="615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0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17"/>
      <c r="R365" s="617"/>
      <c r="S365" s="617"/>
      <c r="T365" s="618"/>
      <c r="U365" s="39" t="s">
        <v>46</v>
      </c>
      <c r="V365" s="39" t="s">
        <v>46</v>
      </c>
      <c r="W365" s="40" t="s">
        <v>0</v>
      </c>
      <c r="X365" s="58">
        <v>57.3</v>
      </c>
      <c r="Y365" s="55">
        <f t="shared" si="47"/>
        <v>57.6</v>
      </c>
      <c r="Z365" s="41">
        <f>IFERROR(IF(Y365=0,"",ROUNDUP(Y365/H365,0)*0.00651),"")</f>
        <v>0.20832000000000001</v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64.557999999999993</v>
      </c>
      <c r="BN365" s="78">
        <f t="shared" si="49"/>
        <v>64.896000000000001</v>
      </c>
      <c r="BO365" s="78">
        <f t="shared" si="50"/>
        <v>0.17490842490842493</v>
      </c>
      <c r="BP365" s="78">
        <f t="shared" si="51"/>
        <v>0.17582417582417584</v>
      </c>
    </row>
    <row r="366" spans="1:68" x14ac:dyDescent="0.25">
      <c r="A366" s="622"/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3"/>
      <c r="P366" s="619" t="s">
        <v>40</v>
      </c>
      <c r="Q366" s="620"/>
      <c r="R366" s="620"/>
      <c r="S366" s="620"/>
      <c r="T366" s="620"/>
      <c r="U366" s="620"/>
      <c r="V366" s="621"/>
      <c r="W366" s="42" t="s">
        <v>39</v>
      </c>
      <c r="X366" s="43">
        <f>IFERROR(X359/H359,"0")+IFERROR(X360/H360,"0")+IFERROR(X361/H361,"0")+IFERROR(X362/H362,"0")+IFERROR(X363/H363,"0")+IFERROR(X364/H364,"0")+IFERROR(X365/H365,"0")</f>
        <v>65.833333333333329</v>
      </c>
      <c r="Y366" s="43">
        <f>IFERROR(Y359/H359,"0")+IFERROR(Y360/H360,"0")+IFERROR(Y361/H361,"0")+IFERROR(Y362/H362,"0")+IFERROR(Y363/H363,"0")+IFERROR(Y364/H364,"0")+IFERROR(Y365/H365,"0")</f>
        <v>66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0.379</v>
      </c>
      <c r="AA366" s="67"/>
      <c r="AB366" s="67"/>
      <c r="AC366" s="67"/>
    </row>
    <row r="367" spans="1:68" x14ac:dyDescent="0.25">
      <c r="A367" s="622"/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3"/>
      <c r="P367" s="619" t="s">
        <v>40</v>
      </c>
      <c r="Q367" s="620"/>
      <c r="R367" s="620"/>
      <c r="S367" s="620"/>
      <c r="T367" s="620"/>
      <c r="U367" s="620"/>
      <c r="V367" s="621"/>
      <c r="W367" s="42" t="s">
        <v>0</v>
      </c>
      <c r="X367" s="43">
        <f>IFERROR(SUM(X359:X365),"0")</f>
        <v>128.69999999999999</v>
      </c>
      <c r="Y367" s="43">
        <f>IFERROR(SUM(Y359:Y365),"0")</f>
        <v>129</v>
      </c>
      <c r="Z367" s="42"/>
      <c r="AA367" s="67"/>
      <c r="AB367" s="67"/>
      <c r="AC367" s="67"/>
    </row>
    <row r="368" spans="1:68" ht="14.25" customHeight="1" x14ac:dyDescent="0.25">
      <c r="A368" s="614" t="s">
        <v>90</v>
      </c>
      <c r="B368" s="614"/>
      <c r="C368" s="614"/>
      <c r="D368" s="614"/>
      <c r="E368" s="614"/>
      <c r="F368" s="614"/>
      <c r="G368" s="614"/>
      <c r="H368" s="614"/>
      <c r="I368" s="614"/>
      <c r="J368" s="614"/>
      <c r="K368" s="614"/>
      <c r="L368" s="614"/>
      <c r="M368" s="614"/>
      <c r="N368" s="614"/>
      <c r="O368" s="614"/>
      <c r="P368" s="614"/>
      <c r="Q368" s="614"/>
      <c r="R368" s="614"/>
      <c r="S368" s="614"/>
      <c r="T368" s="614"/>
      <c r="U368" s="614"/>
      <c r="V368" s="614"/>
      <c r="W368" s="614"/>
      <c r="X368" s="614"/>
      <c r="Y368" s="614"/>
      <c r="Z368" s="614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15">
        <v>4607091387766</v>
      </c>
      <c r="E369" s="615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70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17"/>
      <c r="R369" s="617"/>
      <c r="S369" s="617"/>
      <c r="T369" s="618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15">
        <v>4607091387957</v>
      </c>
      <c r="E370" s="615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17"/>
      <c r="R370" s="617"/>
      <c r="S370" s="617"/>
      <c r="T370" s="618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15">
        <v>4607091387964</v>
      </c>
      <c r="E371" s="615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17"/>
      <c r="R371" s="617"/>
      <c r="S371" s="617"/>
      <c r="T371" s="61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15">
        <v>4680115884588</v>
      </c>
      <c r="E372" s="615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17"/>
      <c r="R372" s="617"/>
      <c r="S372" s="617"/>
      <c r="T372" s="61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5">
      <c r="A373" s="622"/>
      <c r="B373" s="622"/>
      <c r="C373" s="622"/>
      <c r="D373" s="622"/>
      <c r="E373" s="622"/>
      <c r="F373" s="622"/>
      <c r="G373" s="622"/>
      <c r="H373" s="622"/>
      <c r="I373" s="622"/>
      <c r="J373" s="622"/>
      <c r="K373" s="622"/>
      <c r="L373" s="622"/>
      <c r="M373" s="622"/>
      <c r="N373" s="622"/>
      <c r="O373" s="623"/>
      <c r="P373" s="619" t="s">
        <v>40</v>
      </c>
      <c r="Q373" s="620"/>
      <c r="R373" s="620"/>
      <c r="S373" s="620"/>
      <c r="T373" s="620"/>
      <c r="U373" s="620"/>
      <c r="V373" s="621"/>
      <c r="W373" s="42" t="s">
        <v>39</v>
      </c>
      <c r="X373" s="43">
        <f>IFERROR(X369/H369,"0")+IFERROR(X370/H370,"0")+IFERROR(X371/H371,"0")+IFERROR(X372/H372,"0")</f>
        <v>0</v>
      </c>
      <c r="Y373" s="43">
        <f>IFERROR(Y369/H369,"0")+IFERROR(Y370/H370,"0")+IFERROR(Y371/H371,"0")+IFERROR(Y372/H372,"0")</f>
        <v>0</v>
      </c>
      <c r="Z373" s="43">
        <f>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5">
      <c r="A374" s="622"/>
      <c r="B374" s="622"/>
      <c r="C374" s="622"/>
      <c r="D374" s="622"/>
      <c r="E374" s="622"/>
      <c r="F374" s="622"/>
      <c r="G374" s="622"/>
      <c r="H374" s="622"/>
      <c r="I374" s="622"/>
      <c r="J374" s="622"/>
      <c r="K374" s="622"/>
      <c r="L374" s="622"/>
      <c r="M374" s="622"/>
      <c r="N374" s="622"/>
      <c r="O374" s="623"/>
      <c r="P374" s="619" t="s">
        <v>40</v>
      </c>
      <c r="Q374" s="620"/>
      <c r="R374" s="620"/>
      <c r="S374" s="620"/>
      <c r="T374" s="620"/>
      <c r="U374" s="620"/>
      <c r="V374" s="621"/>
      <c r="W374" s="42" t="s">
        <v>0</v>
      </c>
      <c r="X374" s="43">
        <f>IFERROR(SUM(X369:X372),"0")</f>
        <v>0</v>
      </c>
      <c r="Y374" s="43">
        <f>IFERROR(SUM(Y369:Y372),"0")</f>
        <v>0</v>
      </c>
      <c r="Z374" s="42"/>
      <c r="AA374" s="67"/>
      <c r="AB374" s="67"/>
      <c r="AC374" s="67"/>
    </row>
    <row r="375" spans="1:68" ht="14.25" customHeight="1" x14ac:dyDescent="0.25">
      <c r="A375" s="614" t="s">
        <v>191</v>
      </c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  <c r="Z375" s="614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15">
        <v>4607091380880</v>
      </c>
      <c r="E376" s="615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7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17"/>
      <c r="R376" s="617"/>
      <c r="S376" s="617"/>
      <c r="T376" s="618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15">
        <v>4607091384482</v>
      </c>
      <c r="E377" s="615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6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17"/>
      <c r="R377" s="617"/>
      <c r="S377" s="617"/>
      <c r="T377" s="61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15">
        <v>4607091380897</v>
      </c>
      <c r="E378" s="61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6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17"/>
      <c r="R378" s="617"/>
      <c r="S378" s="617"/>
      <c r="T378" s="61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5">
      <c r="A379" s="622"/>
      <c r="B379" s="622"/>
      <c r="C379" s="622"/>
      <c r="D379" s="622"/>
      <c r="E379" s="622"/>
      <c r="F379" s="622"/>
      <c r="G379" s="622"/>
      <c r="H379" s="622"/>
      <c r="I379" s="622"/>
      <c r="J379" s="622"/>
      <c r="K379" s="622"/>
      <c r="L379" s="622"/>
      <c r="M379" s="622"/>
      <c r="N379" s="622"/>
      <c r="O379" s="623"/>
      <c r="P379" s="619" t="s">
        <v>40</v>
      </c>
      <c r="Q379" s="620"/>
      <c r="R379" s="620"/>
      <c r="S379" s="620"/>
      <c r="T379" s="620"/>
      <c r="U379" s="620"/>
      <c r="V379" s="621"/>
      <c r="W379" s="42" t="s">
        <v>39</v>
      </c>
      <c r="X379" s="43">
        <f>IFERROR(X376/H376,"0")+IFERROR(X377/H377,"0")+IFERROR(X378/H378,"0")</f>
        <v>0</v>
      </c>
      <c r="Y379" s="43">
        <f>IFERROR(Y376/H376,"0")+IFERROR(Y377/H377,"0")+IFERROR(Y378/H378,"0")</f>
        <v>0</v>
      </c>
      <c r="Z379" s="43">
        <f>IFERROR(IF(Z376="",0,Z376),"0")+IFERROR(IF(Z377="",0,Z377),"0")+IFERROR(IF(Z378="",0,Z378),"0")</f>
        <v>0</v>
      </c>
      <c r="AA379" s="67"/>
      <c r="AB379" s="67"/>
      <c r="AC379" s="67"/>
    </row>
    <row r="380" spans="1:68" x14ac:dyDescent="0.25">
      <c r="A380" s="622"/>
      <c r="B380" s="622"/>
      <c r="C380" s="622"/>
      <c r="D380" s="622"/>
      <c r="E380" s="622"/>
      <c r="F380" s="622"/>
      <c r="G380" s="622"/>
      <c r="H380" s="622"/>
      <c r="I380" s="622"/>
      <c r="J380" s="622"/>
      <c r="K380" s="622"/>
      <c r="L380" s="622"/>
      <c r="M380" s="622"/>
      <c r="N380" s="622"/>
      <c r="O380" s="623"/>
      <c r="P380" s="619" t="s">
        <v>40</v>
      </c>
      <c r="Q380" s="620"/>
      <c r="R380" s="620"/>
      <c r="S380" s="620"/>
      <c r="T380" s="620"/>
      <c r="U380" s="620"/>
      <c r="V380" s="621"/>
      <c r="W380" s="42" t="s">
        <v>0</v>
      </c>
      <c r="X380" s="43">
        <f>IFERROR(SUM(X376:X378),"0")</f>
        <v>0</v>
      </c>
      <c r="Y380" s="43">
        <f>IFERROR(SUM(Y376:Y378),"0")</f>
        <v>0</v>
      </c>
      <c r="Z380" s="42"/>
      <c r="AA380" s="67"/>
      <c r="AB380" s="67"/>
      <c r="AC380" s="67"/>
    </row>
    <row r="381" spans="1:68" ht="14.25" customHeight="1" x14ac:dyDescent="0.25">
      <c r="A381" s="614" t="s">
        <v>118</v>
      </c>
      <c r="B381" s="614"/>
      <c r="C381" s="614"/>
      <c r="D381" s="614"/>
      <c r="E381" s="614"/>
      <c r="F381" s="614"/>
      <c r="G381" s="614"/>
      <c r="H381" s="614"/>
      <c r="I381" s="614"/>
      <c r="J381" s="614"/>
      <c r="K381" s="614"/>
      <c r="L381" s="614"/>
      <c r="M381" s="614"/>
      <c r="N381" s="614"/>
      <c r="O381" s="614"/>
      <c r="P381" s="614"/>
      <c r="Q381" s="614"/>
      <c r="R381" s="614"/>
      <c r="S381" s="614"/>
      <c r="T381" s="614"/>
      <c r="U381" s="614"/>
      <c r="V381" s="614"/>
      <c r="W381" s="614"/>
      <c r="X381" s="614"/>
      <c r="Y381" s="614"/>
      <c r="Z381" s="614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15">
        <v>4607091388381</v>
      </c>
      <c r="E382" s="615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6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17"/>
      <c r="R382" s="617"/>
      <c r="S382" s="617"/>
      <c r="T382" s="6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15">
        <v>4607091388374</v>
      </c>
      <c r="E383" s="615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17"/>
      <c r="R383" s="617"/>
      <c r="S383" s="617"/>
      <c r="T383" s="6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15">
        <v>4607091383102</v>
      </c>
      <c r="E384" s="615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17"/>
      <c r="R384" s="617"/>
      <c r="S384" s="617"/>
      <c r="T384" s="618"/>
      <c r="U384" s="39" t="s">
        <v>46</v>
      </c>
      <c r="V384" s="39" t="s">
        <v>46</v>
      </c>
      <c r="W384" s="40" t="s">
        <v>0</v>
      </c>
      <c r="X384" s="58">
        <v>20.059999999999999</v>
      </c>
      <c r="Y384" s="55">
        <f>IFERROR(IF(X384="",0,CEILING((X384/$H384),1)*$H384),"")</f>
        <v>20.399999999999999</v>
      </c>
      <c r="Z384" s="41">
        <f>IFERROR(IF(Y384=0,"",ROUNDUP(Y384/H384,0)*0.00651),"")</f>
        <v>5.2080000000000001E-2</v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23.245999999999999</v>
      </c>
      <c r="BN384" s="78">
        <f>IFERROR(Y384*I384/H384,"0")</f>
        <v>23.64</v>
      </c>
      <c r="BO384" s="78">
        <f>IFERROR(1/J384*(X384/H384),"0")</f>
        <v>4.3223443223443229E-2</v>
      </c>
      <c r="BP384" s="78">
        <f>IFERROR(1/J384*(Y384/H384),"0")</f>
        <v>4.3956043956043959E-2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15">
        <v>4607091388404</v>
      </c>
      <c r="E385" s="615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17"/>
      <c r="R385" s="617"/>
      <c r="S385" s="617"/>
      <c r="T385" s="61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5">
      <c r="A386" s="622"/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3"/>
      <c r="P386" s="619" t="s">
        <v>40</v>
      </c>
      <c r="Q386" s="620"/>
      <c r="R386" s="620"/>
      <c r="S386" s="620"/>
      <c r="T386" s="620"/>
      <c r="U386" s="620"/>
      <c r="V386" s="621"/>
      <c r="W386" s="42" t="s">
        <v>39</v>
      </c>
      <c r="X386" s="43">
        <f>IFERROR(X382/H382,"0")+IFERROR(X383/H383,"0")+IFERROR(X384/H384,"0")+IFERROR(X385/H385,"0")</f>
        <v>7.8666666666666671</v>
      </c>
      <c r="Y386" s="43">
        <f>IFERROR(Y382/H382,"0")+IFERROR(Y383/H383,"0")+IFERROR(Y384/H384,"0")+IFERROR(Y385/H385,"0")</f>
        <v>8</v>
      </c>
      <c r="Z386" s="43">
        <f>IFERROR(IF(Z382="",0,Z382),"0")+IFERROR(IF(Z383="",0,Z383),"0")+IFERROR(IF(Z384="",0,Z384),"0")+IFERROR(IF(Z385="",0,Z385),"0")</f>
        <v>5.2080000000000001E-2</v>
      </c>
      <c r="AA386" s="67"/>
      <c r="AB386" s="67"/>
      <c r="AC386" s="67"/>
    </row>
    <row r="387" spans="1:68" x14ac:dyDescent="0.25">
      <c r="A387" s="622"/>
      <c r="B387" s="622"/>
      <c r="C387" s="622"/>
      <c r="D387" s="622"/>
      <c r="E387" s="622"/>
      <c r="F387" s="622"/>
      <c r="G387" s="622"/>
      <c r="H387" s="622"/>
      <c r="I387" s="622"/>
      <c r="J387" s="622"/>
      <c r="K387" s="622"/>
      <c r="L387" s="622"/>
      <c r="M387" s="622"/>
      <c r="N387" s="622"/>
      <c r="O387" s="623"/>
      <c r="P387" s="619" t="s">
        <v>40</v>
      </c>
      <c r="Q387" s="620"/>
      <c r="R387" s="620"/>
      <c r="S387" s="620"/>
      <c r="T387" s="620"/>
      <c r="U387" s="620"/>
      <c r="V387" s="621"/>
      <c r="W387" s="42" t="s">
        <v>0</v>
      </c>
      <c r="X387" s="43">
        <f>IFERROR(SUM(X382:X385),"0")</f>
        <v>20.059999999999999</v>
      </c>
      <c r="Y387" s="43">
        <f>IFERROR(SUM(Y382:Y385),"0")</f>
        <v>20.399999999999999</v>
      </c>
      <c r="Z387" s="42"/>
      <c r="AA387" s="67"/>
      <c r="AB387" s="67"/>
      <c r="AC387" s="67"/>
    </row>
    <row r="388" spans="1:68" ht="14.25" customHeight="1" x14ac:dyDescent="0.25">
      <c r="A388" s="614" t="s">
        <v>643</v>
      </c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4"/>
      <c r="P388" s="614"/>
      <c r="Q388" s="614"/>
      <c r="R388" s="614"/>
      <c r="S388" s="614"/>
      <c r="T388" s="614"/>
      <c r="U388" s="614"/>
      <c r="V388" s="614"/>
      <c r="W388" s="614"/>
      <c r="X388" s="614"/>
      <c r="Y388" s="614"/>
      <c r="Z388" s="614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15">
        <v>4680115881808</v>
      </c>
      <c r="E389" s="615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17"/>
      <c r="R389" s="617"/>
      <c r="S389" s="617"/>
      <c r="T389" s="6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15">
        <v>4680115881822</v>
      </c>
      <c r="E390" s="615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17"/>
      <c r="R390" s="617"/>
      <c r="S390" s="617"/>
      <c r="T390" s="61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15">
        <v>4680115880016</v>
      </c>
      <c r="E391" s="61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6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17"/>
      <c r="R391" s="617"/>
      <c r="S391" s="617"/>
      <c r="T391" s="618"/>
      <c r="U391" s="39" t="s">
        <v>46</v>
      </c>
      <c r="V391" s="39" t="s">
        <v>46</v>
      </c>
      <c r="W391" s="40" t="s">
        <v>0</v>
      </c>
      <c r="X391" s="58">
        <v>18.7</v>
      </c>
      <c r="Y391" s="55">
        <f>IFERROR(IF(X391="",0,CEILING((X391/$H391),1)*$H391),"")</f>
        <v>20</v>
      </c>
      <c r="Z391" s="41">
        <f>IFERROR(IF(Y391=0,"",ROUNDUP(Y391/H391,0)*0.00474),"")</f>
        <v>4.7400000000000005E-2</v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20.944000000000003</v>
      </c>
      <c r="BN391" s="78">
        <f>IFERROR(Y391*I391/H391,"0")</f>
        <v>22.400000000000002</v>
      </c>
      <c r="BO391" s="78">
        <f>IFERROR(1/J391*(X391/H391),"0")</f>
        <v>3.9285714285714285E-2</v>
      </c>
      <c r="BP391" s="78">
        <f>IFERROR(1/J391*(Y391/H391),"0")</f>
        <v>4.2016806722689072E-2</v>
      </c>
    </row>
    <row r="392" spans="1:68" x14ac:dyDescent="0.25">
      <c r="A392" s="622"/>
      <c r="B392" s="622"/>
      <c r="C392" s="622"/>
      <c r="D392" s="622"/>
      <c r="E392" s="622"/>
      <c r="F392" s="622"/>
      <c r="G392" s="622"/>
      <c r="H392" s="622"/>
      <c r="I392" s="622"/>
      <c r="J392" s="622"/>
      <c r="K392" s="622"/>
      <c r="L392" s="622"/>
      <c r="M392" s="622"/>
      <c r="N392" s="622"/>
      <c r="O392" s="623"/>
      <c r="P392" s="619" t="s">
        <v>40</v>
      </c>
      <c r="Q392" s="620"/>
      <c r="R392" s="620"/>
      <c r="S392" s="620"/>
      <c r="T392" s="620"/>
      <c r="U392" s="620"/>
      <c r="V392" s="621"/>
      <c r="W392" s="42" t="s">
        <v>39</v>
      </c>
      <c r="X392" s="43">
        <f>IFERROR(X389/H389,"0")+IFERROR(X390/H390,"0")+IFERROR(X391/H391,"0")</f>
        <v>9.35</v>
      </c>
      <c r="Y392" s="43">
        <f>IFERROR(Y389/H389,"0")+IFERROR(Y390/H390,"0")+IFERROR(Y391/H391,"0")</f>
        <v>10</v>
      </c>
      <c r="Z392" s="43">
        <f>IFERROR(IF(Z389="",0,Z389),"0")+IFERROR(IF(Z390="",0,Z390),"0")+IFERROR(IF(Z391="",0,Z391),"0")</f>
        <v>4.7400000000000005E-2</v>
      </c>
      <c r="AA392" s="67"/>
      <c r="AB392" s="67"/>
      <c r="AC392" s="67"/>
    </row>
    <row r="393" spans="1:68" x14ac:dyDescent="0.25">
      <c r="A393" s="622"/>
      <c r="B393" s="622"/>
      <c r="C393" s="622"/>
      <c r="D393" s="622"/>
      <c r="E393" s="622"/>
      <c r="F393" s="622"/>
      <c r="G393" s="622"/>
      <c r="H393" s="622"/>
      <c r="I393" s="622"/>
      <c r="J393" s="622"/>
      <c r="K393" s="622"/>
      <c r="L393" s="622"/>
      <c r="M393" s="622"/>
      <c r="N393" s="622"/>
      <c r="O393" s="623"/>
      <c r="P393" s="619" t="s">
        <v>40</v>
      </c>
      <c r="Q393" s="620"/>
      <c r="R393" s="620"/>
      <c r="S393" s="620"/>
      <c r="T393" s="620"/>
      <c r="U393" s="620"/>
      <c r="V393" s="621"/>
      <c r="W393" s="42" t="s">
        <v>0</v>
      </c>
      <c r="X393" s="43">
        <f>IFERROR(SUM(X389:X391),"0")</f>
        <v>18.7</v>
      </c>
      <c r="Y393" s="43">
        <f>IFERROR(SUM(Y389:Y391),"0")</f>
        <v>20</v>
      </c>
      <c r="Z393" s="42"/>
      <c r="AA393" s="67"/>
      <c r="AB393" s="67"/>
      <c r="AC393" s="67"/>
    </row>
    <row r="394" spans="1:68" ht="16.5" customHeight="1" x14ac:dyDescent="0.25">
      <c r="A394" s="630" t="s">
        <v>652</v>
      </c>
      <c r="B394" s="630"/>
      <c r="C394" s="630"/>
      <c r="D394" s="630"/>
      <c r="E394" s="630"/>
      <c r="F394" s="630"/>
      <c r="G394" s="630"/>
      <c r="H394" s="630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30"/>
      <c r="U394" s="630"/>
      <c r="V394" s="630"/>
      <c r="W394" s="630"/>
      <c r="X394" s="630"/>
      <c r="Y394" s="630"/>
      <c r="Z394" s="630"/>
      <c r="AA394" s="65"/>
      <c r="AB394" s="65"/>
      <c r="AC394" s="79"/>
    </row>
    <row r="395" spans="1:68" ht="14.25" customHeight="1" x14ac:dyDescent="0.25">
      <c r="A395" s="614" t="s">
        <v>90</v>
      </c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  <c r="Z395" s="614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15">
        <v>4607091387919</v>
      </c>
      <c r="E396" s="615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17"/>
      <c r="R396" s="617"/>
      <c r="S396" s="617"/>
      <c r="T396" s="6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15">
        <v>4680115883604</v>
      </c>
      <c r="E397" s="615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6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17"/>
      <c r="R397" s="617"/>
      <c r="S397" s="617"/>
      <c r="T397" s="618"/>
      <c r="U397" s="39" t="s">
        <v>46</v>
      </c>
      <c r="V397" s="39" t="s">
        <v>46</v>
      </c>
      <c r="W397" s="40" t="s">
        <v>0</v>
      </c>
      <c r="X397" s="58">
        <v>90.65</v>
      </c>
      <c r="Y397" s="55">
        <f>IFERROR(IF(X397="",0,CEILING((X397/$H397),1)*$H397),"")</f>
        <v>92.4</v>
      </c>
      <c r="Z397" s="41">
        <f>IFERROR(IF(Y397=0,"",ROUNDUP(Y397/H397,0)*0.00651),"")</f>
        <v>0.28644000000000003</v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101.52799999999999</v>
      </c>
      <c r="BN397" s="78">
        <f>IFERROR(Y397*I397/H397,"0")</f>
        <v>103.488</v>
      </c>
      <c r="BO397" s="78">
        <f>IFERROR(1/J397*(X397/H397),"0")</f>
        <v>0.2371794871794872</v>
      </c>
      <c r="BP397" s="78">
        <f>IFERROR(1/J397*(Y397/H397),"0")</f>
        <v>0.24175824175824179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15">
        <v>4680115883567</v>
      </c>
      <c r="E398" s="615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6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17"/>
      <c r="R398" s="617"/>
      <c r="S398" s="617"/>
      <c r="T398" s="618"/>
      <c r="U398" s="39" t="s">
        <v>46</v>
      </c>
      <c r="V398" s="39" t="s">
        <v>46</v>
      </c>
      <c r="W398" s="40" t="s">
        <v>0</v>
      </c>
      <c r="X398" s="58">
        <v>63</v>
      </c>
      <c r="Y398" s="55">
        <f>IFERROR(IF(X398="",0,CEILING((X398/$H398),1)*$H398),"")</f>
        <v>63</v>
      </c>
      <c r="Z398" s="41">
        <f>IFERROR(IF(Y398=0,"",ROUNDUP(Y398/H398,0)*0.00651),"")</f>
        <v>0.1953</v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70.199999999999989</v>
      </c>
      <c r="BN398" s="78">
        <f>IFERROR(Y398*I398/H398,"0")</f>
        <v>70.199999999999989</v>
      </c>
      <c r="BO398" s="78">
        <f>IFERROR(1/J398*(X398/H398),"0")</f>
        <v>0.16483516483516486</v>
      </c>
      <c r="BP398" s="78">
        <f>IFERROR(1/J398*(Y398/H398),"0")</f>
        <v>0.16483516483516486</v>
      </c>
    </row>
    <row r="399" spans="1:68" x14ac:dyDescent="0.25">
      <c r="A399" s="622"/>
      <c r="B399" s="622"/>
      <c r="C399" s="622"/>
      <c r="D399" s="622"/>
      <c r="E399" s="622"/>
      <c r="F399" s="622"/>
      <c r="G399" s="622"/>
      <c r="H399" s="622"/>
      <c r="I399" s="622"/>
      <c r="J399" s="622"/>
      <c r="K399" s="622"/>
      <c r="L399" s="622"/>
      <c r="M399" s="622"/>
      <c r="N399" s="622"/>
      <c r="O399" s="623"/>
      <c r="P399" s="619" t="s">
        <v>40</v>
      </c>
      <c r="Q399" s="620"/>
      <c r="R399" s="620"/>
      <c r="S399" s="620"/>
      <c r="T399" s="620"/>
      <c r="U399" s="620"/>
      <c r="V399" s="621"/>
      <c r="W399" s="42" t="s">
        <v>39</v>
      </c>
      <c r="X399" s="43">
        <f>IFERROR(X396/H396,"0")+IFERROR(X397/H397,"0")+IFERROR(X398/H398,"0")</f>
        <v>73.166666666666657</v>
      </c>
      <c r="Y399" s="43">
        <f>IFERROR(Y396/H396,"0")+IFERROR(Y397/H397,"0")+IFERROR(Y398/H398,"0")</f>
        <v>74</v>
      </c>
      <c r="Z399" s="43">
        <f>IFERROR(IF(Z396="",0,Z396),"0")+IFERROR(IF(Z397="",0,Z397),"0")+IFERROR(IF(Z398="",0,Z398),"0")</f>
        <v>0.48174000000000006</v>
      </c>
      <c r="AA399" s="67"/>
      <c r="AB399" s="67"/>
      <c r="AC399" s="67"/>
    </row>
    <row r="400" spans="1:68" x14ac:dyDescent="0.25">
      <c r="A400" s="622"/>
      <c r="B400" s="622"/>
      <c r="C400" s="622"/>
      <c r="D400" s="622"/>
      <c r="E400" s="622"/>
      <c r="F400" s="622"/>
      <c r="G400" s="622"/>
      <c r="H400" s="622"/>
      <c r="I400" s="622"/>
      <c r="J400" s="622"/>
      <c r="K400" s="622"/>
      <c r="L400" s="622"/>
      <c r="M400" s="622"/>
      <c r="N400" s="622"/>
      <c r="O400" s="623"/>
      <c r="P400" s="619" t="s">
        <v>40</v>
      </c>
      <c r="Q400" s="620"/>
      <c r="R400" s="620"/>
      <c r="S400" s="620"/>
      <c r="T400" s="620"/>
      <c r="U400" s="620"/>
      <c r="V400" s="621"/>
      <c r="W400" s="42" t="s">
        <v>0</v>
      </c>
      <c r="X400" s="43">
        <f>IFERROR(SUM(X396:X398),"0")</f>
        <v>153.65</v>
      </c>
      <c r="Y400" s="43">
        <f>IFERROR(SUM(Y396:Y398),"0")</f>
        <v>155.4</v>
      </c>
      <c r="Z400" s="42"/>
      <c r="AA400" s="67"/>
      <c r="AB400" s="67"/>
      <c r="AC400" s="67"/>
    </row>
    <row r="401" spans="1:68" ht="27.75" customHeight="1" x14ac:dyDescent="0.25">
      <c r="A401" s="635" t="s">
        <v>662</v>
      </c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5"/>
      <c r="P401" s="635"/>
      <c r="Q401" s="635"/>
      <c r="R401" s="635"/>
      <c r="S401" s="635"/>
      <c r="T401" s="635"/>
      <c r="U401" s="635"/>
      <c r="V401" s="635"/>
      <c r="W401" s="635"/>
      <c r="X401" s="635"/>
      <c r="Y401" s="635"/>
      <c r="Z401" s="635"/>
      <c r="AA401" s="54"/>
      <c r="AB401" s="54"/>
      <c r="AC401" s="54"/>
    </row>
    <row r="402" spans="1:68" ht="16.5" customHeight="1" x14ac:dyDescent="0.25">
      <c r="A402" s="630" t="s">
        <v>663</v>
      </c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30"/>
      <c r="U402" s="630"/>
      <c r="V402" s="630"/>
      <c r="W402" s="630"/>
      <c r="X402" s="630"/>
      <c r="Y402" s="630"/>
      <c r="Z402" s="630"/>
      <c r="AA402" s="65"/>
      <c r="AB402" s="65"/>
      <c r="AC402" s="79"/>
    </row>
    <row r="403" spans="1:68" ht="14.25" customHeight="1" x14ac:dyDescent="0.25">
      <c r="A403" s="614" t="s">
        <v>139</v>
      </c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  <c r="Z403" s="614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15">
        <v>4680115888401</v>
      </c>
      <c r="E404" s="615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17"/>
      <c r="R404" s="617"/>
      <c r="S404" s="617"/>
      <c r="T404" s="618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15">
        <v>4680115884847</v>
      </c>
      <c r="E405" s="615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17"/>
      <c r="R405" s="617"/>
      <c r="S405" s="617"/>
      <c r="T405" s="618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15">
        <v>4680115884854</v>
      </c>
      <c r="E406" s="615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17"/>
      <c r="R406" s="617"/>
      <c r="S406" s="617"/>
      <c r="T406" s="618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15">
        <v>4680115884830</v>
      </c>
      <c r="E407" s="615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6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17"/>
      <c r="R407" s="617"/>
      <c r="S407" s="617"/>
      <c r="T407" s="618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15">
        <v>4680115887046</v>
      </c>
      <c r="E408" s="615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6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17"/>
      <c r="R408" s="617"/>
      <c r="S408" s="617"/>
      <c r="T408" s="618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15">
        <v>4680115882638</v>
      </c>
      <c r="E409" s="615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17"/>
      <c r="R409" s="617"/>
      <c r="S409" s="617"/>
      <c r="T409" s="61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15">
        <v>4680115884922</v>
      </c>
      <c r="E410" s="615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6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17"/>
      <c r="R410" s="617"/>
      <c r="S410" s="617"/>
      <c r="T410" s="618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15">
        <v>4680115884861</v>
      </c>
      <c r="E411" s="615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6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17"/>
      <c r="R411" s="617"/>
      <c r="S411" s="617"/>
      <c r="T411" s="618"/>
      <c r="U411" s="39" t="s">
        <v>46</v>
      </c>
      <c r="V411" s="39" t="s">
        <v>46</v>
      </c>
      <c r="W411" s="40" t="s">
        <v>0</v>
      </c>
      <c r="X411" s="58">
        <v>150</v>
      </c>
      <c r="Y411" s="55">
        <f t="shared" si="52"/>
        <v>150</v>
      </c>
      <c r="Z411" s="41">
        <f>IFERROR(IF(Y411=0,"",ROUNDUP(Y411/H411,0)*0.00902),"")</f>
        <v>0.27060000000000001</v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155.70000000000002</v>
      </c>
      <c r="BN411" s="78">
        <f t="shared" si="54"/>
        <v>155.70000000000002</v>
      </c>
      <c r="BO411" s="78">
        <f t="shared" si="55"/>
        <v>0.22727272727272729</v>
      </c>
      <c r="BP411" s="78">
        <f t="shared" si="56"/>
        <v>0.22727272727272729</v>
      </c>
    </row>
    <row r="412" spans="1:68" x14ac:dyDescent="0.25">
      <c r="A412" s="622"/>
      <c r="B412" s="622"/>
      <c r="C412" s="622"/>
      <c r="D412" s="622"/>
      <c r="E412" s="622"/>
      <c r="F412" s="622"/>
      <c r="G412" s="622"/>
      <c r="H412" s="622"/>
      <c r="I412" s="622"/>
      <c r="J412" s="622"/>
      <c r="K412" s="622"/>
      <c r="L412" s="622"/>
      <c r="M412" s="622"/>
      <c r="N412" s="622"/>
      <c r="O412" s="623"/>
      <c r="P412" s="619" t="s">
        <v>40</v>
      </c>
      <c r="Q412" s="620"/>
      <c r="R412" s="620"/>
      <c r="S412" s="620"/>
      <c r="T412" s="620"/>
      <c r="U412" s="620"/>
      <c r="V412" s="621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30</v>
      </c>
      <c r="Y412" s="43">
        <f>IFERROR(Y404/H404,"0")+IFERROR(Y405/H405,"0")+IFERROR(Y406/H406,"0")+IFERROR(Y407/H407,"0")+IFERROR(Y408/H408,"0")+IFERROR(Y409/H409,"0")+IFERROR(Y410/H410,"0")+IFERROR(Y411/H411,"0")</f>
        <v>30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0.27060000000000001</v>
      </c>
      <c r="AA412" s="67"/>
      <c r="AB412" s="67"/>
      <c r="AC412" s="67"/>
    </row>
    <row r="413" spans="1:68" x14ac:dyDescent="0.25">
      <c r="A413" s="622"/>
      <c r="B413" s="622"/>
      <c r="C413" s="622"/>
      <c r="D413" s="622"/>
      <c r="E413" s="622"/>
      <c r="F413" s="622"/>
      <c r="G413" s="622"/>
      <c r="H413" s="622"/>
      <c r="I413" s="622"/>
      <c r="J413" s="622"/>
      <c r="K413" s="622"/>
      <c r="L413" s="622"/>
      <c r="M413" s="622"/>
      <c r="N413" s="622"/>
      <c r="O413" s="623"/>
      <c r="P413" s="619" t="s">
        <v>40</v>
      </c>
      <c r="Q413" s="620"/>
      <c r="R413" s="620"/>
      <c r="S413" s="620"/>
      <c r="T413" s="620"/>
      <c r="U413" s="620"/>
      <c r="V413" s="621"/>
      <c r="W413" s="42" t="s">
        <v>0</v>
      </c>
      <c r="X413" s="43">
        <f>IFERROR(SUM(X404:X411),"0")</f>
        <v>150</v>
      </c>
      <c r="Y413" s="43">
        <f>IFERROR(SUM(Y404:Y411),"0")</f>
        <v>150</v>
      </c>
      <c r="Z413" s="42"/>
      <c r="AA413" s="67"/>
      <c r="AB413" s="67"/>
      <c r="AC413" s="67"/>
    </row>
    <row r="414" spans="1:68" ht="14.25" customHeight="1" x14ac:dyDescent="0.25">
      <c r="A414" s="614" t="s">
        <v>174</v>
      </c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4"/>
      <c r="P414" s="614"/>
      <c r="Q414" s="614"/>
      <c r="R414" s="614"/>
      <c r="S414" s="614"/>
      <c r="T414" s="614"/>
      <c r="U414" s="614"/>
      <c r="V414" s="614"/>
      <c r="W414" s="614"/>
      <c r="X414" s="614"/>
      <c r="Y414" s="614"/>
      <c r="Z414" s="614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15">
        <v>4607091383980</v>
      </c>
      <c r="E415" s="615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6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17"/>
      <c r="R415" s="617"/>
      <c r="S415" s="617"/>
      <c r="T415" s="618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15">
        <v>4680115888425</v>
      </c>
      <c r="E416" s="615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6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17"/>
      <c r="R416" s="617"/>
      <c r="S416" s="617"/>
      <c r="T416" s="618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15">
        <v>4607091384178</v>
      </c>
      <c r="E417" s="615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6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17"/>
      <c r="R417" s="617"/>
      <c r="S417" s="617"/>
      <c r="T417" s="618"/>
      <c r="U417" s="39" t="s">
        <v>46</v>
      </c>
      <c r="V417" s="39" t="s">
        <v>46</v>
      </c>
      <c r="W417" s="40" t="s">
        <v>0</v>
      </c>
      <c r="X417" s="58">
        <v>120</v>
      </c>
      <c r="Y417" s="55">
        <f>IFERROR(IF(X417="",0,CEILING((X417/$H417),1)*$H417),"")</f>
        <v>120</v>
      </c>
      <c r="Z417" s="41">
        <f>IFERROR(IF(Y417=0,"",ROUNDUP(Y417/H417,0)*0.00902),"")</f>
        <v>0.27060000000000001</v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125.70000000000002</v>
      </c>
      <c r="BN417" s="78">
        <f>IFERROR(Y417*I417/H417,"0")</f>
        <v>125.70000000000002</v>
      </c>
      <c r="BO417" s="78">
        <f>IFERROR(1/J417*(X417/H417),"0")</f>
        <v>0.22727272727272729</v>
      </c>
      <c r="BP417" s="78">
        <f>IFERROR(1/J417*(Y417/H417),"0")</f>
        <v>0.22727272727272729</v>
      </c>
    </row>
    <row r="418" spans="1:68" x14ac:dyDescent="0.25">
      <c r="A418" s="622"/>
      <c r="B418" s="622"/>
      <c r="C418" s="622"/>
      <c r="D418" s="622"/>
      <c r="E418" s="622"/>
      <c r="F418" s="622"/>
      <c r="G418" s="622"/>
      <c r="H418" s="622"/>
      <c r="I418" s="622"/>
      <c r="J418" s="622"/>
      <c r="K418" s="622"/>
      <c r="L418" s="622"/>
      <c r="M418" s="622"/>
      <c r="N418" s="622"/>
      <c r="O418" s="623"/>
      <c r="P418" s="619" t="s">
        <v>40</v>
      </c>
      <c r="Q418" s="620"/>
      <c r="R418" s="620"/>
      <c r="S418" s="620"/>
      <c r="T418" s="620"/>
      <c r="U418" s="620"/>
      <c r="V418" s="621"/>
      <c r="W418" s="42" t="s">
        <v>39</v>
      </c>
      <c r="X418" s="43">
        <f>IFERROR(X415/H415,"0")+IFERROR(X416/H416,"0")+IFERROR(X417/H417,"0")</f>
        <v>30</v>
      </c>
      <c r="Y418" s="43">
        <f>IFERROR(Y415/H415,"0")+IFERROR(Y416/H416,"0")+IFERROR(Y417/H417,"0")</f>
        <v>30</v>
      </c>
      <c r="Z418" s="43">
        <f>IFERROR(IF(Z415="",0,Z415),"0")+IFERROR(IF(Z416="",0,Z416),"0")+IFERROR(IF(Z417="",0,Z417),"0")</f>
        <v>0.27060000000000001</v>
      </c>
      <c r="AA418" s="67"/>
      <c r="AB418" s="67"/>
      <c r="AC418" s="67"/>
    </row>
    <row r="419" spans="1:68" x14ac:dyDescent="0.25">
      <c r="A419" s="622"/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3"/>
      <c r="P419" s="619" t="s">
        <v>40</v>
      </c>
      <c r="Q419" s="620"/>
      <c r="R419" s="620"/>
      <c r="S419" s="620"/>
      <c r="T419" s="620"/>
      <c r="U419" s="620"/>
      <c r="V419" s="621"/>
      <c r="W419" s="42" t="s">
        <v>0</v>
      </c>
      <c r="X419" s="43">
        <f>IFERROR(SUM(X415:X417),"0")</f>
        <v>120</v>
      </c>
      <c r="Y419" s="43">
        <f>IFERROR(SUM(Y415:Y417),"0")</f>
        <v>120</v>
      </c>
      <c r="Z419" s="42"/>
      <c r="AA419" s="67"/>
      <c r="AB419" s="67"/>
      <c r="AC419" s="67"/>
    </row>
    <row r="420" spans="1:68" ht="14.25" customHeight="1" x14ac:dyDescent="0.25">
      <c r="A420" s="614" t="s">
        <v>90</v>
      </c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4"/>
      <c r="P420" s="614"/>
      <c r="Q420" s="614"/>
      <c r="R420" s="614"/>
      <c r="S420" s="614"/>
      <c r="T420" s="614"/>
      <c r="U420" s="614"/>
      <c r="V420" s="614"/>
      <c r="W420" s="614"/>
      <c r="X420" s="614"/>
      <c r="Y420" s="614"/>
      <c r="Z420" s="614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15">
        <v>4607091383928</v>
      </c>
      <c r="E421" s="615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6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17"/>
      <c r="R421" s="617"/>
      <c r="S421" s="617"/>
      <c r="T421" s="6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15">
        <v>4607091384260</v>
      </c>
      <c r="E422" s="615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17"/>
      <c r="R422" s="617"/>
      <c r="S422" s="617"/>
      <c r="T422" s="61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5">
      <c r="A423" s="622"/>
      <c r="B423" s="622"/>
      <c r="C423" s="622"/>
      <c r="D423" s="622"/>
      <c r="E423" s="622"/>
      <c r="F423" s="622"/>
      <c r="G423" s="622"/>
      <c r="H423" s="622"/>
      <c r="I423" s="622"/>
      <c r="J423" s="622"/>
      <c r="K423" s="622"/>
      <c r="L423" s="622"/>
      <c r="M423" s="622"/>
      <c r="N423" s="622"/>
      <c r="O423" s="623"/>
      <c r="P423" s="619" t="s">
        <v>40</v>
      </c>
      <c r="Q423" s="620"/>
      <c r="R423" s="620"/>
      <c r="S423" s="620"/>
      <c r="T423" s="620"/>
      <c r="U423" s="620"/>
      <c r="V423" s="621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5">
      <c r="A424" s="622"/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3"/>
      <c r="P424" s="619" t="s">
        <v>40</v>
      </c>
      <c r="Q424" s="620"/>
      <c r="R424" s="620"/>
      <c r="S424" s="620"/>
      <c r="T424" s="620"/>
      <c r="U424" s="620"/>
      <c r="V424" s="621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4.25" customHeight="1" x14ac:dyDescent="0.25">
      <c r="A425" s="614" t="s">
        <v>191</v>
      </c>
      <c r="B425" s="614"/>
      <c r="C425" s="614"/>
      <c r="D425" s="614"/>
      <c r="E425" s="614"/>
      <c r="F425" s="614"/>
      <c r="G425" s="614"/>
      <c r="H425" s="614"/>
      <c r="I425" s="614"/>
      <c r="J425" s="614"/>
      <c r="K425" s="614"/>
      <c r="L425" s="614"/>
      <c r="M425" s="614"/>
      <c r="N425" s="614"/>
      <c r="O425" s="614"/>
      <c r="P425" s="614"/>
      <c r="Q425" s="614"/>
      <c r="R425" s="614"/>
      <c r="S425" s="614"/>
      <c r="T425" s="614"/>
      <c r="U425" s="614"/>
      <c r="V425" s="614"/>
      <c r="W425" s="614"/>
      <c r="X425" s="614"/>
      <c r="Y425" s="614"/>
      <c r="Z425" s="614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15">
        <v>4607091384673</v>
      </c>
      <c r="E426" s="615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17"/>
      <c r="R426" s="617"/>
      <c r="S426" s="617"/>
      <c r="T426" s="6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22"/>
      <c r="B427" s="622"/>
      <c r="C427" s="622"/>
      <c r="D427" s="622"/>
      <c r="E427" s="622"/>
      <c r="F427" s="622"/>
      <c r="G427" s="622"/>
      <c r="H427" s="622"/>
      <c r="I427" s="622"/>
      <c r="J427" s="622"/>
      <c r="K427" s="622"/>
      <c r="L427" s="622"/>
      <c r="M427" s="622"/>
      <c r="N427" s="622"/>
      <c r="O427" s="623"/>
      <c r="P427" s="619" t="s">
        <v>40</v>
      </c>
      <c r="Q427" s="620"/>
      <c r="R427" s="620"/>
      <c r="S427" s="620"/>
      <c r="T427" s="620"/>
      <c r="U427" s="620"/>
      <c r="V427" s="621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5">
      <c r="A428" s="622"/>
      <c r="B428" s="622"/>
      <c r="C428" s="622"/>
      <c r="D428" s="622"/>
      <c r="E428" s="622"/>
      <c r="F428" s="622"/>
      <c r="G428" s="622"/>
      <c r="H428" s="622"/>
      <c r="I428" s="622"/>
      <c r="J428" s="622"/>
      <c r="K428" s="622"/>
      <c r="L428" s="622"/>
      <c r="M428" s="622"/>
      <c r="N428" s="622"/>
      <c r="O428" s="623"/>
      <c r="P428" s="619" t="s">
        <v>40</v>
      </c>
      <c r="Q428" s="620"/>
      <c r="R428" s="620"/>
      <c r="S428" s="620"/>
      <c r="T428" s="620"/>
      <c r="U428" s="620"/>
      <c r="V428" s="621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30" t="s">
        <v>706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5"/>
      <c r="AB429" s="65"/>
      <c r="AC429" s="79"/>
    </row>
    <row r="430" spans="1:68" ht="14.25" customHeight="1" x14ac:dyDescent="0.25">
      <c r="A430" s="614" t="s">
        <v>139</v>
      </c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  <c r="Z430" s="614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15">
        <v>4680115884885</v>
      </c>
      <c r="E431" s="615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17"/>
      <c r="R431" s="617"/>
      <c r="S431" s="617"/>
      <c r="T431" s="6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15">
        <v>4680115884908</v>
      </c>
      <c r="E432" s="6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6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17"/>
      <c r="R432" s="617"/>
      <c r="S432" s="617"/>
      <c r="T432" s="6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5">
      <c r="A433" s="622"/>
      <c r="B433" s="622"/>
      <c r="C433" s="622"/>
      <c r="D433" s="622"/>
      <c r="E433" s="622"/>
      <c r="F433" s="622"/>
      <c r="G433" s="622"/>
      <c r="H433" s="622"/>
      <c r="I433" s="622"/>
      <c r="J433" s="622"/>
      <c r="K433" s="622"/>
      <c r="L433" s="622"/>
      <c r="M433" s="622"/>
      <c r="N433" s="622"/>
      <c r="O433" s="623"/>
      <c r="P433" s="619" t="s">
        <v>40</v>
      </c>
      <c r="Q433" s="620"/>
      <c r="R433" s="620"/>
      <c r="S433" s="620"/>
      <c r="T433" s="620"/>
      <c r="U433" s="620"/>
      <c r="V433" s="621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5">
      <c r="A434" s="622"/>
      <c r="B434" s="622"/>
      <c r="C434" s="622"/>
      <c r="D434" s="622"/>
      <c r="E434" s="622"/>
      <c r="F434" s="622"/>
      <c r="G434" s="622"/>
      <c r="H434" s="622"/>
      <c r="I434" s="622"/>
      <c r="J434" s="622"/>
      <c r="K434" s="622"/>
      <c r="L434" s="622"/>
      <c r="M434" s="622"/>
      <c r="N434" s="622"/>
      <c r="O434" s="623"/>
      <c r="P434" s="619" t="s">
        <v>40</v>
      </c>
      <c r="Q434" s="620"/>
      <c r="R434" s="620"/>
      <c r="S434" s="620"/>
      <c r="T434" s="620"/>
      <c r="U434" s="620"/>
      <c r="V434" s="621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14" t="s">
        <v>77</v>
      </c>
      <c r="B435" s="614"/>
      <c r="C435" s="614"/>
      <c r="D435" s="614"/>
      <c r="E435" s="614"/>
      <c r="F435" s="614"/>
      <c r="G435" s="614"/>
      <c r="H435" s="614"/>
      <c r="I435" s="614"/>
      <c r="J435" s="614"/>
      <c r="K435" s="614"/>
      <c r="L435" s="614"/>
      <c r="M435" s="614"/>
      <c r="N435" s="614"/>
      <c r="O435" s="614"/>
      <c r="P435" s="614"/>
      <c r="Q435" s="614"/>
      <c r="R435" s="614"/>
      <c r="S435" s="614"/>
      <c r="T435" s="614"/>
      <c r="U435" s="614"/>
      <c r="V435" s="614"/>
      <c r="W435" s="614"/>
      <c r="X435" s="614"/>
      <c r="Y435" s="614"/>
      <c r="Z435" s="614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15">
        <v>4607091384802</v>
      </c>
      <c r="E436" s="615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6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17"/>
      <c r="R436" s="617"/>
      <c r="S436" s="617"/>
      <c r="T436" s="618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5">
      <c r="A437" s="622"/>
      <c r="B437" s="622"/>
      <c r="C437" s="622"/>
      <c r="D437" s="622"/>
      <c r="E437" s="622"/>
      <c r="F437" s="622"/>
      <c r="G437" s="622"/>
      <c r="H437" s="622"/>
      <c r="I437" s="622"/>
      <c r="J437" s="622"/>
      <c r="K437" s="622"/>
      <c r="L437" s="622"/>
      <c r="M437" s="622"/>
      <c r="N437" s="622"/>
      <c r="O437" s="623"/>
      <c r="P437" s="619" t="s">
        <v>40</v>
      </c>
      <c r="Q437" s="620"/>
      <c r="R437" s="620"/>
      <c r="S437" s="620"/>
      <c r="T437" s="620"/>
      <c r="U437" s="620"/>
      <c r="V437" s="621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5">
      <c r="A438" s="622"/>
      <c r="B438" s="622"/>
      <c r="C438" s="622"/>
      <c r="D438" s="622"/>
      <c r="E438" s="622"/>
      <c r="F438" s="622"/>
      <c r="G438" s="622"/>
      <c r="H438" s="622"/>
      <c r="I438" s="622"/>
      <c r="J438" s="622"/>
      <c r="K438" s="622"/>
      <c r="L438" s="622"/>
      <c r="M438" s="622"/>
      <c r="N438" s="622"/>
      <c r="O438" s="623"/>
      <c r="P438" s="619" t="s">
        <v>40</v>
      </c>
      <c r="Q438" s="620"/>
      <c r="R438" s="620"/>
      <c r="S438" s="620"/>
      <c r="T438" s="620"/>
      <c r="U438" s="620"/>
      <c r="V438" s="621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14" t="s">
        <v>90</v>
      </c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  <c r="Z439" s="614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15">
        <v>4607091384246</v>
      </c>
      <c r="E440" s="615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6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17"/>
      <c r="R440" s="617"/>
      <c r="S440" s="617"/>
      <c r="T440" s="6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15">
        <v>4607091384253</v>
      </c>
      <c r="E441" s="615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6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17"/>
      <c r="R441" s="617"/>
      <c r="S441" s="617"/>
      <c r="T441" s="618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15">
        <v>4607091384253</v>
      </c>
      <c r="E442" s="615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6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17"/>
      <c r="R442" s="617"/>
      <c r="S442" s="617"/>
      <c r="T442" s="61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5">
      <c r="A443" s="622"/>
      <c r="B443" s="622"/>
      <c r="C443" s="622"/>
      <c r="D443" s="622"/>
      <c r="E443" s="622"/>
      <c r="F443" s="622"/>
      <c r="G443" s="622"/>
      <c r="H443" s="622"/>
      <c r="I443" s="622"/>
      <c r="J443" s="622"/>
      <c r="K443" s="622"/>
      <c r="L443" s="622"/>
      <c r="M443" s="622"/>
      <c r="N443" s="622"/>
      <c r="O443" s="623"/>
      <c r="P443" s="619" t="s">
        <v>40</v>
      </c>
      <c r="Q443" s="620"/>
      <c r="R443" s="620"/>
      <c r="S443" s="620"/>
      <c r="T443" s="620"/>
      <c r="U443" s="620"/>
      <c r="V443" s="621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5">
      <c r="A444" s="622"/>
      <c r="B444" s="622"/>
      <c r="C444" s="622"/>
      <c r="D444" s="622"/>
      <c r="E444" s="622"/>
      <c r="F444" s="622"/>
      <c r="G444" s="622"/>
      <c r="H444" s="622"/>
      <c r="I444" s="622"/>
      <c r="J444" s="622"/>
      <c r="K444" s="622"/>
      <c r="L444" s="622"/>
      <c r="M444" s="622"/>
      <c r="N444" s="622"/>
      <c r="O444" s="623"/>
      <c r="P444" s="619" t="s">
        <v>40</v>
      </c>
      <c r="Q444" s="620"/>
      <c r="R444" s="620"/>
      <c r="S444" s="620"/>
      <c r="T444" s="620"/>
      <c r="U444" s="620"/>
      <c r="V444" s="621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27.75" customHeight="1" x14ac:dyDescent="0.25">
      <c r="A445" s="635" t="s">
        <v>722</v>
      </c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5"/>
      <c r="P445" s="635"/>
      <c r="Q445" s="635"/>
      <c r="R445" s="635"/>
      <c r="S445" s="635"/>
      <c r="T445" s="635"/>
      <c r="U445" s="635"/>
      <c r="V445" s="635"/>
      <c r="W445" s="635"/>
      <c r="X445" s="635"/>
      <c r="Y445" s="635"/>
      <c r="Z445" s="635"/>
      <c r="AA445" s="54"/>
      <c r="AB445" s="54"/>
      <c r="AC445" s="54"/>
    </row>
    <row r="446" spans="1:68" ht="16.5" customHeight="1" x14ac:dyDescent="0.25">
      <c r="A446" s="630" t="s">
        <v>723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5"/>
      <c r="AB446" s="65"/>
      <c r="AC446" s="79"/>
    </row>
    <row r="447" spans="1:68" ht="14.25" customHeight="1" x14ac:dyDescent="0.25">
      <c r="A447" s="614" t="s">
        <v>77</v>
      </c>
      <c r="B447" s="614"/>
      <c r="C447" s="614"/>
      <c r="D447" s="614"/>
      <c r="E447" s="614"/>
      <c r="F447" s="614"/>
      <c r="G447" s="614"/>
      <c r="H447" s="614"/>
      <c r="I447" s="614"/>
      <c r="J447" s="614"/>
      <c r="K447" s="614"/>
      <c r="L447" s="614"/>
      <c r="M447" s="614"/>
      <c r="N447" s="614"/>
      <c r="O447" s="614"/>
      <c r="P447" s="614"/>
      <c r="Q447" s="614"/>
      <c r="R447" s="614"/>
      <c r="S447" s="614"/>
      <c r="T447" s="614"/>
      <c r="U447" s="614"/>
      <c r="V447" s="614"/>
      <c r="W447" s="614"/>
      <c r="X447" s="614"/>
      <c r="Y447" s="614"/>
      <c r="Z447" s="614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15">
        <v>4680115886100</v>
      </c>
      <c r="E448" s="615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6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17"/>
      <c r="R448" s="617"/>
      <c r="S448" s="617"/>
      <c r="T448" s="618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ref="Y448:Y453" si="57"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0</v>
      </c>
      <c r="BN448" s="78">
        <f t="shared" ref="BN448:BN453" si="59">IFERROR(Y448*I448/H448,"0")</f>
        <v>0</v>
      </c>
      <c r="BO448" s="78">
        <f t="shared" ref="BO448:BO453" si="60">IFERROR(1/J448*(X448/H448),"0")</f>
        <v>0</v>
      </c>
      <c r="BP448" s="78">
        <f t="shared" ref="BP448:BP453" si="61">IFERROR(1/J448*(Y448/H448),"0")</f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15">
        <v>4680115886124</v>
      </c>
      <c r="E449" s="615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6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17"/>
      <c r="R449" s="617"/>
      <c r="S449" s="617"/>
      <c r="T449" s="61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15">
        <v>4607091384338</v>
      </c>
      <c r="E450" s="615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17"/>
      <c r="R450" s="617"/>
      <c r="S450" s="617"/>
      <c r="T450" s="618"/>
      <c r="U450" s="39" t="s">
        <v>46</v>
      </c>
      <c r="V450" s="39" t="s">
        <v>46</v>
      </c>
      <c r="W450" s="40" t="s">
        <v>0</v>
      </c>
      <c r="X450" s="58">
        <v>122.5</v>
      </c>
      <c r="Y450" s="55">
        <f t="shared" si="57"/>
        <v>123.9</v>
      </c>
      <c r="Z450" s="41">
        <f>IFERROR(IF(Y450=0,"",ROUNDUP(Y450/H450,0)*0.00502),"")</f>
        <v>0.29618</v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130.08333333333334</v>
      </c>
      <c r="BN450" s="78">
        <f t="shared" si="59"/>
        <v>131.57</v>
      </c>
      <c r="BO450" s="78">
        <f t="shared" si="60"/>
        <v>0.2492877492877493</v>
      </c>
      <c r="BP450" s="78">
        <f t="shared" si="61"/>
        <v>0.25213675213675218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15">
        <v>4680115883161</v>
      </c>
      <c r="E451" s="615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6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17"/>
      <c r="R451" s="617"/>
      <c r="S451" s="617"/>
      <c r="T451" s="61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15">
        <v>4607091389531</v>
      </c>
      <c r="E452" s="615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6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17"/>
      <c r="R452" s="617"/>
      <c r="S452" s="617"/>
      <c r="T452" s="618"/>
      <c r="U452" s="39" t="s">
        <v>46</v>
      </c>
      <c r="V452" s="39" t="s">
        <v>46</v>
      </c>
      <c r="W452" s="40" t="s">
        <v>0</v>
      </c>
      <c r="X452" s="58">
        <v>42</v>
      </c>
      <c r="Y452" s="55">
        <f t="shared" si="57"/>
        <v>42</v>
      </c>
      <c r="Z452" s="41">
        <f>IFERROR(IF(Y452=0,"",ROUNDUP(Y452/H452,0)*0.00502),"")</f>
        <v>0.1004</v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44.599999999999994</v>
      </c>
      <c r="BN452" s="78">
        <f t="shared" si="59"/>
        <v>44.599999999999994</v>
      </c>
      <c r="BO452" s="78">
        <f t="shared" si="60"/>
        <v>8.5470085470085472E-2</v>
      </c>
      <c r="BP452" s="78">
        <f t="shared" si="61"/>
        <v>8.5470085470085472E-2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15">
        <v>4607091384345</v>
      </c>
      <c r="E453" s="615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6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17"/>
      <c r="R453" s="617"/>
      <c r="S453" s="617"/>
      <c r="T453" s="618"/>
      <c r="U453" s="39" t="s">
        <v>46</v>
      </c>
      <c r="V453" s="39" t="s">
        <v>46</v>
      </c>
      <c r="W453" s="40" t="s">
        <v>0</v>
      </c>
      <c r="X453" s="58">
        <v>122.5</v>
      </c>
      <c r="Y453" s="55">
        <f t="shared" si="57"/>
        <v>123.9</v>
      </c>
      <c r="Z453" s="41">
        <f>IFERROR(IF(Y453=0,"",ROUNDUP(Y453/H453,0)*0.00502),"")</f>
        <v>0.29618</v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130.08333333333334</v>
      </c>
      <c r="BN453" s="78">
        <f t="shared" si="59"/>
        <v>131.57</v>
      </c>
      <c r="BO453" s="78">
        <f t="shared" si="60"/>
        <v>0.2492877492877493</v>
      </c>
      <c r="BP453" s="78">
        <f t="shared" si="61"/>
        <v>0.25213675213675218</v>
      </c>
    </row>
    <row r="454" spans="1:68" x14ac:dyDescent="0.25">
      <c r="A454" s="622"/>
      <c r="B454" s="622"/>
      <c r="C454" s="622"/>
      <c r="D454" s="622"/>
      <c r="E454" s="622"/>
      <c r="F454" s="622"/>
      <c r="G454" s="622"/>
      <c r="H454" s="622"/>
      <c r="I454" s="622"/>
      <c r="J454" s="622"/>
      <c r="K454" s="622"/>
      <c r="L454" s="622"/>
      <c r="M454" s="622"/>
      <c r="N454" s="622"/>
      <c r="O454" s="623"/>
      <c r="P454" s="619" t="s">
        <v>40</v>
      </c>
      <c r="Q454" s="620"/>
      <c r="R454" s="620"/>
      <c r="S454" s="620"/>
      <c r="T454" s="620"/>
      <c r="U454" s="620"/>
      <c r="V454" s="621"/>
      <c r="W454" s="42" t="s">
        <v>39</v>
      </c>
      <c r="X454" s="43">
        <f>IFERROR(X448/H448,"0")+IFERROR(X449/H449,"0")+IFERROR(X450/H450,"0")+IFERROR(X451/H451,"0")+IFERROR(X452/H452,"0")+IFERROR(X453/H453,"0")</f>
        <v>136.66666666666666</v>
      </c>
      <c r="Y454" s="43">
        <f>IFERROR(Y448/H448,"0")+IFERROR(Y449/H449,"0")+IFERROR(Y450/H450,"0")+IFERROR(Y451/H451,"0")+IFERROR(Y452/H452,"0")+IFERROR(Y453/H453,"0")</f>
        <v>138</v>
      </c>
      <c r="Z454" s="43">
        <f>IFERROR(IF(Z448="",0,Z448),"0")+IFERROR(IF(Z449="",0,Z449),"0")+IFERROR(IF(Z450="",0,Z450),"0")+IFERROR(IF(Z451="",0,Z451),"0")+IFERROR(IF(Z452="",0,Z452),"0")+IFERROR(IF(Z453="",0,Z453),"0")</f>
        <v>0.69276000000000004</v>
      </c>
      <c r="AA454" s="67"/>
      <c r="AB454" s="67"/>
      <c r="AC454" s="67"/>
    </row>
    <row r="455" spans="1:68" x14ac:dyDescent="0.25">
      <c r="A455" s="622"/>
      <c r="B455" s="622"/>
      <c r="C455" s="622"/>
      <c r="D455" s="622"/>
      <c r="E455" s="622"/>
      <c r="F455" s="622"/>
      <c r="G455" s="622"/>
      <c r="H455" s="622"/>
      <c r="I455" s="622"/>
      <c r="J455" s="622"/>
      <c r="K455" s="622"/>
      <c r="L455" s="622"/>
      <c r="M455" s="622"/>
      <c r="N455" s="622"/>
      <c r="O455" s="623"/>
      <c r="P455" s="619" t="s">
        <v>40</v>
      </c>
      <c r="Q455" s="620"/>
      <c r="R455" s="620"/>
      <c r="S455" s="620"/>
      <c r="T455" s="620"/>
      <c r="U455" s="620"/>
      <c r="V455" s="621"/>
      <c r="W455" s="42" t="s">
        <v>0</v>
      </c>
      <c r="X455" s="43">
        <f>IFERROR(SUM(X448:X453),"0")</f>
        <v>287</v>
      </c>
      <c r="Y455" s="43">
        <f>IFERROR(SUM(Y448:Y453),"0")</f>
        <v>289.8</v>
      </c>
      <c r="Z455" s="42"/>
      <c r="AA455" s="67"/>
      <c r="AB455" s="67"/>
      <c r="AC455" s="67"/>
    </row>
    <row r="456" spans="1:68" ht="14.25" customHeight="1" x14ac:dyDescent="0.25">
      <c r="A456" s="614" t="s">
        <v>90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15">
        <v>4607091384352</v>
      </c>
      <c r="E457" s="615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6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17"/>
      <c r="R457" s="617"/>
      <c r="S457" s="617"/>
      <c r="T457" s="618"/>
      <c r="U457" s="39" t="s">
        <v>46</v>
      </c>
      <c r="V457" s="39" t="s">
        <v>46</v>
      </c>
      <c r="W457" s="40" t="s">
        <v>0</v>
      </c>
      <c r="X457" s="58">
        <v>175.8</v>
      </c>
      <c r="Y457" s="55">
        <f>IFERROR(IF(X457="",0,CEILING((X457/$H457),1)*$H457),"")</f>
        <v>177.6</v>
      </c>
      <c r="Z457" s="41">
        <f>IFERROR(IF(Y457=0,"",ROUNDUP(Y457/H457,0)*0.00902),"")</f>
        <v>0.66748000000000007</v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192.3545</v>
      </c>
      <c r="BN457" s="78">
        <f>IFERROR(Y457*I457/H457,"0")</f>
        <v>194.32399999999998</v>
      </c>
      <c r="BO457" s="78">
        <f>IFERROR(1/J457*(X457/H457),"0")</f>
        <v>0.55492424242424254</v>
      </c>
      <c r="BP457" s="78">
        <f>IFERROR(1/J457*(Y457/H457),"0")</f>
        <v>0.56060606060606066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15">
        <v>4607091389654</v>
      </c>
      <c r="E458" s="615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66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17"/>
      <c r="R458" s="617"/>
      <c r="S458" s="617"/>
      <c r="T458" s="618"/>
      <c r="U458" s="39" t="s">
        <v>46</v>
      </c>
      <c r="V458" s="39" t="s">
        <v>46</v>
      </c>
      <c r="W458" s="40" t="s">
        <v>0</v>
      </c>
      <c r="X458" s="58">
        <v>82.5</v>
      </c>
      <c r="Y458" s="55">
        <f>IFERROR(IF(X458="",0,CEILING((X458/$H458),1)*$H458),"")</f>
        <v>83.16</v>
      </c>
      <c r="Z458" s="41">
        <f>IFERROR(IF(Y458=0,"",ROUNDUP(Y458/H458,0)*0.00651),"")</f>
        <v>0.27342</v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93.25</v>
      </c>
      <c r="BN458" s="78">
        <f>IFERROR(Y458*I458/H458,"0")</f>
        <v>93.995999999999995</v>
      </c>
      <c r="BO458" s="78">
        <f>IFERROR(1/J458*(X458/H458),"0")</f>
        <v>0.22893772893772893</v>
      </c>
      <c r="BP458" s="78">
        <f>IFERROR(1/J458*(Y458/H458),"0")</f>
        <v>0.23076923076923078</v>
      </c>
    </row>
    <row r="459" spans="1:68" x14ac:dyDescent="0.25">
      <c r="A459" s="622"/>
      <c r="B459" s="622"/>
      <c r="C459" s="622"/>
      <c r="D459" s="622"/>
      <c r="E459" s="622"/>
      <c r="F459" s="622"/>
      <c r="G459" s="622"/>
      <c r="H459" s="622"/>
      <c r="I459" s="622"/>
      <c r="J459" s="622"/>
      <c r="K459" s="622"/>
      <c r="L459" s="622"/>
      <c r="M459" s="622"/>
      <c r="N459" s="622"/>
      <c r="O459" s="623"/>
      <c r="P459" s="619" t="s">
        <v>40</v>
      </c>
      <c r="Q459" s="620"/>
      <c r="R459" s="620"/>
      <c r="S459" s="620"/>
      <c r="T459" s="620"/>
      <c r="U459" s="620"/>
      <c r="V459" s="621"/>
      <c r="W459" s="42" t="s">
        <v>39</v>
      </c>
      <c r="X459" s="43">
        <f>IFERROR(X457/H457,"0")+IFERROR(X458/H458,"0")</f>
        <v>114.91666666666669</v>
      </c>
      <c r="Y459" s="43">
        <f>IFERROR(Y457/H457,"0")+IFERROR(Y458/H458,"0")</f>
        <v>116</v>
      </c>
      <c r="Z459" s="43">
        <f>IFERROR(IF(Z457="",0,Z457),"0")+IFERROR(IF(Z458="",0,Z458),"0")</f>
        <v>0.94090000000000007</v>
      </c>
      <c r="AA459" s="67"/>
      <c r="AB459" s="67"/>
      <c r="AC459" s="67"/>
    </row>
    <row r="460" spans="1:68" x14ac:dyDescent="0.25">
      <c r="A460" s="622"/>
      <c r="B460" s="622"/>
      <c r="C460" s="622"/>
      <c r="D460" s="622"/>
      <c r="E460" s="622"/>
      <c r="F460" s="622"/>
      <c r="G460" s="622"/>
      <c r="H460" s="622"/>
      <c r="I460" s="622"/>
      <c r="J460" s="622"/>
      <c r="K460" s="622"/>
      <c r="L460" s="622"/>
      <c r="M460" s="622"/>
      <c r="N460" s="622"/>
      <c r="O460" s="623"/>
      <c r="P460" s="619" t="s">
        <v>40</v>
      </c>
      <c r="Q460" s="620"/>
      <c r="R460" s="620"/>
      <c r="S460" s="620"/>
      <c r="T460" s="620"/>
      <c r="U460" s="620"/>
      <c r="V460" s="621"/>
      <c r="W460" s="42" t="s">
        <v>0</v>
      </c>
      <c r="X460" s="43">
        <f>IFERROR(SUM(X457:X458),"0")</f>
        <v>258.3</v>
      </c>
      <c r="Y460" s="43">
        <f>IFERROR(SUM(Y457:Y458),"0")</f>
        <v>260.76</v>
      </c>
      <c r="Z460" s="42"/>
      <c r="AA460" s="67"/>
      <c r="AB460" s="67"/>
      <c r="AC460" s="67"/>
    </row>
    <row r="461" spans="1:68" ht="16.5" customHeight="1" x14ac:dyDescent="0.25">
      <c r="A461" s="630" t="s">
        <v>746</v>
      </c>
      <c r="B461" s="630"/>
      <c r="C461" s="630"/>
      <c r="D461" s="630"/>
      <c r="E461" s="630"/>
      <c r="F461" s="630"/>
      <c r="G461" s="630"/>
      <c r="H461" s="630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30"/>
      <c r="U461" s="630"/>
      <c r="V461" s="630"/>
      <c r="W461" s="630"/>
      <c r="X461" s="630"/>
      <c r="Y461" s="630"/>
      <c r="Z461" s="630"/>
      <c r="AA461" s="65"/>
      <c r="AB461" s="65"/>
      <c r="AC461" s="79"/>
    </row>
    <row r="462" spans="1:68" ht="14.25" customHeight="1" x14ac:dyDescent="0.25">
      <c r="A462" s="614" t="s">
        <v>174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15">
        <v>4680115885240</v>
      </c>
      <c r="E463" s="615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17"/>
      <c r="R463" s="617"/>
      <c r="S463" s="617"/>
      <c r="T463" s="6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22"/>
      <c r="B464" s="622"/>
      <c r="C464" s="622"/>
      <c r="D464" s="622"/>
      <c r="E464" s="622"/>
      <c r="F464" s="622"/>
      <c r="G464" s="622"/>
      <c r="H464" s="622"/>
      <c r="I464" s="622"/>
      <c r="J464" s="622"/>
      <c r="K464" s="622"/>
      <c r="L464" s="622"/>
      <c r="M464" s="622"/>
      <c r="N464" s="622"/>
      <c r="O464" s="623"/>
      <c r="P464" s="619" t="s">
        <v>40</v>
      </c>
      <c r="Q464" s="620"/>
      <c r="R464" s="620"/>
      <c r="S464" s="620"/>
      <c r="T464" s="620"/>
      <c r="U464" s="620"/>
      <c r="V464" s="621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5">
      <c r="A465" s="622"/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3"/>
      <c r="P465" s="619" t="s">
        <v>40</v>
      </c>
      <c r="Q465" s="620"/>
      <c r="R465" s="620"/>
      <c r="S465" s="620"/>
      <c r="T465" s="620"/>
      <c r="U465" s="620"/>
      <c r="V465" s="621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14" t="s">
        <v>77</v>
      </c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  <c r="Z466" s="614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15">
        <v>4680115886094</v>
      </c>
      <c r="E467" s="615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6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17"/>
      <c r="R467" s="617"/>
      <c r="S467" s="617"/>
      <c r="T467" s="6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15">
        <v>4680115880771</v>
      </c>
      <c r="E468" s="615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6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17"/>
      <c r="R468" s="617"/>
      <c r="S468" s="617"/>
      <c r="T468" s="6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15">
        <v>4607091389500</v>
      </c>
      <c r="E469" s="615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6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17"/>
      <c r="R469" s="617"/>
      <c r="S469" s="617"/>
      <c r="T469" s="6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5">
      <c r="A470" s="622"/>
      <c r="B470" s="622"/>
      <c r="C470" s="622"/>
      <c r="D470" s="622"/>
      <c r="E470" s="622"/>
      <c r="F470" s="622"/>
      <c r="G470" s="622"/>
      <c r="H470" s="622"/>
      <c r="I470" s="622"/>
      <c r="J470" s="622"/>
      <c r="K470" s="622"/>
      <c r="L470" s="622"/>
      <c r="M470" s="622"/>
      <c r="N470" s="622"/>
      <c r="O470" s="623"/>
      <c r="P470" s="619" t="s">
        <v>40</v>
      </c>
      <c r="Q470" s="620"/>
      <c r="R470" s="620"/>
      <c r="S470" s="620"/>
      <c r="T470" s="620"/>
      <c r="U470" s="620"/>
      <c r="V470" s="621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5">
      <c r="A471" s="622"/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3"/>
      <c r="P471" s="619" t="s">
        <v>40</v>
      </c>
      <c r="Q471" s="620"/>
      <c r="R471" s="620"/>
      <c r="S471" s="620"/>
      <c r="T471" s="620"/>
      <c r="U471" s="620"/>
      <c r="V471" s="621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5">
      <c r="A472" s="635" t="s">
        <v>758</v>
      </c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5"/>
      <c r="P472" s="635"/>
      <c r="Q472" s="635"/>
      <c r="R472" s="635"/>
      <c r="S472" s="635"/>
      <c r="T472" s="635"/>
      <c r="U472" s="635"/>
      <c r="V472" s="635"/>
      <c r="W472" s="635"/>
      <c r="X472" s="635"/>
      <c r="Y472" s="635"/>
      <c r="Z472" s="635"/>
      <c r="AA472" s="54"/>
      <c r="AB472" s="54"/>
      <c r="AC472" s="54"/>
    </row>
    <row r="473" spans="1:68" ht="16.5" customHeight="1" x14ac:dyDescent="0.25">
      <c r="A473" s="630" t="s">
        <v>758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5"/>
      <c r="AB473" s="65"/>
      <c r="AC473" s="79"/>
    </row>
    <row r="474" spans="1:68" ht="14.25" customHeight="1" x14ac:dyDescent="0.25">
      <c r="A474" s="614" t="s">
        <v>139</v>
      </c>
      <c r="B474" s="614"/>
      <c r="C474" s="614"/>
      <c r="D474" s="614"/>
      <c r="E474" s="614"/>
      <c r="F474" s="614"/>
      <c r="G474" s="614"/>
      <c r="H474" s="614"/>
      <c r="I474" s="614"/>
      <c r="J474" s="614"/>
      <c r="K474" s="614"/>
      <c r="L474" s="614"/>
      <c r="M474" s="614"/>
      <c r="N474" s="614"/>
      <c r="O474" s="614"/>
      <c r="P474" s="614"/>
      <c r="Q474" s="614"/>
      <c r="R474" s="614"/>
      <c r="S474" s="614"/>
      <c r="T474" s="614"/>
      <c r="U474" s="614"/>
      <c r="V474" s="614"/>
      <c r="W474" s="614"/>
      <c r="X474" s="614"/>
      <c r="Y474" s="614"/>
      <c r="Z474" s="614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15">
        <v>4607091389067</v>
      </c>
      <c r="E475" s="615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17"/>
      <c r="R475" s="617"/>
      <c r="S475" s="617"/>
      <c r="T475" s="6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15">
        <v>4607091383522</v>
      </c>
      <c r="E476" s="615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65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17"/>
      <c r="R476" s="617"/>
      <c r="S476" s="617"/>
      <c r="T476" s="6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15">
        <v>4680115885271</v>
      </c>
      <c r="E477" s="615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65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17"/>
      <c r="R477" s="617"/>
      <c r="S477" s="617"/>
      <c r="T477" s="6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15">
        <v>4680115885226</v>
      </c>
      <c r="E478" s="615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6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17"/>
      <c r="R478" s="617"/>
      <c r="S478" s="617"/>
      <c r="T478" s="6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 t="shared" si="63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15">
        <v>4680115884502</v>
      </c>
      <c r="E479" s="615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17"/>
      <c r="R479" s="617"/>
      <c r="S479" s="617"/>
      <c r="T479" s="61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15">
        <v>4607091389104</v>
      </c>
      <c r="E480" s="615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6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17"/>
      <c r="R480" s="617"/>
      <c r="S480" s="617"/>
      <c r="T480" s="61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15">
        <v>4680115886391</v>
      </c>
      <c r="E481" s="615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17"/>
      <c r="R481" s="617"/>
      <c r="S481" s="617"/>
      <c r="T481" s="61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15">
        <v>4680115880603</v>
      </c>
      <c r="E482" s="615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6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17"/>
      <c r="R482" s="617"/>
      <c r="S482" s="617"/>
      <c r="T482" s="618"/>
      <c r="U482" s="39" t="s">
        <v>46</v>
      </c>
      <c r="V482" s="39" t="s">
        <v>46</v>
      </c>
      <c r="W482" s="40" t="s">
        <v>0</v>
      </c>
      <c r="X482" s="58">
        <v>120</v>
      </c>
      <c r="Y482" s="55">
        <f t="shared" si="62"/>
        <v>120</v>
      </c>
      <c r="Z482" s="41">
        <f>IFERROR(IF(Y482=0,"",ROUNDUP(Y482/H482,0)*0.00902),"")</f>
        <v>0.22550000000000001</v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172.75000000000003</v>
      </c>
      <c r="BN482" s="78">
        <f t="shared" si="65"/>
        <v>172.75000000000003</v>
      </c>
      <c r="BO482" s="78">
        <f t="shared" si="66"/>
        <v>0.18939393939393939</v>
      </c>
      <c r="BP482" s="78">
        <f t="shared" si="67"/>
        <v>0.18939393939393939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15">
        <v>4607091389982</v>
      </c>
      <c r="E483" s="615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6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17"/>
      <c r="R483" s="617"/>
      <c r="S483" s="617"/>
      <c r="T483" s="618"/>
      <c r="U483" s="39" t="s">
        <v>46</v>
      </c>
      <c r="V483" s="39" t="s">
        <v>46</v>
      </c>
      <c r="W483" s="40" t="s">
        <v>0</v>
      </c>
      <c r="X483" s="58">
        <v>142.19999999999999</v>
      </c>
      <c r="Y483" s="55">
        <f t="shared" si="62"/>
        <v>144</v>
      </c>
      <c r="Z483" s="41">
        <f>IFERROR(IF(Y483=0,"",ROUNDUP(Y483/H483,0)*0.00902),"")</f>
        <v>0.27060000000000001</v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204.70875000000001</v>
      </c>
      <c r="BN483" s="78">
        <f t="shared" si="65"/>
        <v>207.3</v>
      </c>
      <c r="BO483" s="78">
        <f t="shared" si="66"/>
        <v>0.22443181818181818</v>
      </c>
      <c r="BP483" s="78">
        <f t="shared" si="67"/>
        <v>0.22727272727272729</v>
      </c>
    </row>
    <row r="484" spans="1:68" x14ac:dyDescent="0.25">
      <c r="A484" s="622"/>
      <c r="B484" s="622"/>
      <c r="C484" s="622"/>
      <c r="D484" s="622"/>
      <c r="E484" s="622"/>
      <c r="F484" s="622"/>
      <c r="G484" s="622"/>
      <c r="H484" s="622"/>
      <c r="I484" s="622"/>
      <c r="J484" s="622"/>
      <c r="K484" s="622"/>
      <c r="L484" s="622"/>
      <c r="M484" s="622"/>
      <c r="N484" s="622"/>
      <c r="O484" s="623"/>
      <c r="P484" s="619" t="s">
        <v>40</v>
      </c>
      <c r="Q484" s="620"/>
      <c r="R484" s="620"/>
      <c r="S484" s="620"/>
      <c r="T484" s="620"/>
      <c r="U484" s="620"/>
      <c r="V484" s="621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54.625</v>
      </c>
      <c r="Y484" s="43">
        <f>IFERROR(Y475/H475,"0")+IFERROR(Y476/H476,"0")+IFERROR(Y477/H477,"0")+IFERROR(Y478/H478,"0")+IFERROR(Y479/H479,"0")+IFERROR(Y480/H480,"0")+IFERROR(Y481/H481,"0")+IFERROR(Y482/H482,"0")+IFERROR(Y483/H483,"0")</f>
        <v>55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0.49609999999999999</v>
      </c>
      <c r="AA484" s="67"/>
      <c r="AB484" s="67"/>
      <c r="AC484" s="67"/>
    </row>
    <row r="485" spans="1:68" x14ac:dyDescent="0.25">
      <c r="A485" s="622"/>
      <c r="B485" s="622"/>
      <c r="C485" s="622"/>
      <c r="D485" s="622"/>
      <c r="E485" s="622"/>
      <c r="F485" s="622"/>
      <c r="G485" s="622"/>
      <c r="H485" s="622"/>
      <c r="I485" s="622"/>
      <c r="J485" s="622"/>
      <c r="K485" s="622"/>
      <c r="L485" s="622"/>
      <c r="M485" s="622"/>
      <c r="N485" s="622"/>
      <c r="O485" s="623"/>
      <c r="P485" s="619" t="s">
        <v>40</v>
      </c>
      <c r="Q485" s="620"/>
      <c r="R485" s="620"/>
      <c r="S485" s="620"/>
      <c r="T485" s="620"/>
      <c r="U485" s="620"/>
      <c r="V485" s="621"/>
      <c r="W485" s="42" t="s">
        <v>0</v>
      </c>
      <c r="X485" s="43">
        <f>IFERROR(SUM(X475:X483),"0")</f>
        <v>262.2</v>
      </c>
      <c r="Y485" s="43">
        <f>IFERROR(SUM(Y475:Y483),"0")</f>
        <v>264</v>
      </c>
      <c r="Z485" s="42"/>
      <c r="AA485" s="67"/>
      <c r="AB485" s="67"/>
      <c r="AC485" s="67"/>
    </row>
    <row r="486" spans="1:68" ht="14.25" customHeight="1" x14ac:dyDescent="0.25">
      <c r="A486" s="614" t="s">
        <v>174</v>
      </c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4"/>
      <c r="P486" s="614"/>
      <c r="Q486" s="614"/>
      <c r="R486" s="614"/>
      <c r="S486" s="614"/>
      <c r="T486" s="614"/>
      <c r="U486" s="614"/>
      <c r="V486" s="614"/>
      <c r="W486" s="614"/>
      <c r="X486" s="614"/>
      <c r="Y486" s="614"/>
      <c r="Z486" s="614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15">
        <v>4607091388930</v>
      </c>
      <c r="E487" s="615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6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17"/>
      <c r="R487" s="617"/>
      <c r="S487" s="617"/>
      <c r="T487" s="61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IFERROR(IF(Y487=0,"",ROUNDUP(Y487/H487,0)*0.01196),"")</f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15">
        <v>4680115886407</v>
      </c>
      <c r="E488" s="615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6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17"/>
      <c r="R488" s="617"/>
      <c r="S488" s="617"/>
      <c r="T488" s="6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15">
        <v>4680115880054</v>
      </c>
      <c r="E489" s="615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6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17"/>
      <c r="R489" s="617"/>
      <c r="S489" s="617"/>
      <c r="T489" s="618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5">
      <c r="A490" s="622"/>
      <c r="B490" s="622"/>
      <c r="C490" s="622"/>
      <c r="D490" s="622"/>
      <c r="E490" s="622"/>
      <c r="F490" s="622"/>
      <c r="G490" s="622"/>
      <c r="H490" s="622"/>
      <c r="I490" s="622"/>
      <c r="J490" s="622"/>
      <c r="K490" s="622"/>
      <c r="L490" s="622"/>
      <c r="M490" s="622"/>
      <c r="N490" s="622"/>
      <c r="O490" s="623"/>
      <c r="P490" s="619" t="s">
        <v>40</v>
      </c>
      <c r="Q490" s="620"/>
      <c r="R490" s="620"/>
      <c r="S490" s="620"/>
      <c r="T490" s="620"/>
      <c r="U490" s="620"/>
      <c r="V490" s="621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5">
      <c r="A491" s="622"/>
      <c r="B491" s="622"/>
      <c r="C491" s="622"/>
      <c r="D491" s="622"/>
      <c r="E491" s="622"/>
      <c r="F491" s="622"/>
      <c r="G491" s="622"/>
      <c r="H491" s="622"/>
      <c r="I491" s="622"/>
      <c r="J491" s="622"/>
      <c r="K491" s="622"/>
      <c r="L491" s="622"/>
      <c r="M491" s="622"/>
      <c r="N491" s="622"/>
      <c r="O491" s="623"/>
      <c r="P491" s="619" t="s">
        <v>40</v>
      </c>
      <c r="Q491" s="620"/>
      <c r="R491" s="620"/>
      <c r="S491" s="620"/>
      <c r="T491" s="620"/>
      <c r="U491" s="620"/>
      <c r="V491" s="621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14.25" customHeight="1" x14ac:dyDescent="0.25">
      <c r="A492" s="614" t="s">
        <v>77</v>
      </c>
      <c r="B492" s="614"/>
      <c r="C492" s="614"/>
      <c r="D492" s="614"/>
      <c r="E492" s="614"/>
      <c r="F492" s="614"/>
      <c r="G492" s="614"/>
      <c r="H492" s="614"/>
      <c r="I492" s="614"/>
      <c r="J492" s="614"/>
      <c r="K492" s="614"/>
      <c r="L492" s="614"/>
      <c r="M492" s="614"/>
      <c r="N492" s="614"/>
      <c r="O492" s="614"/>
      <c r="P492" s="614"/>
      <c r="Q492" s="614"/>
      <c r="R492" s="614"/>
      <c r="S492" s="614"/>
      <c r="T492" s="614"/>
      <c r="U492" s="614"/>
      <c r="V492" s="614"/>
      <c r="W492" s="614"/>
      <c r="X492" s="614"/>
      <c r="Y492" s="614"/>
      <c r="Z492" s="614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15">
        <v>4680115883116</v>
      </c>
      <c r="E493" s="615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6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17"/>
      <c r="R493" s="617"/>
      <c r="S493" s="617"/>
      <c r="T493" s="618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ref="Y493:Y499" si="68">IFERROR(IF(X493="",0,CEILING((X493/$H493),1)*$H493),"")</f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0</v>
      </c>
      <c r="BN493" s="78">
        <f t="shared" ref="BN493:BN499" si="70">IFERROR(Y493*I493/H493,"0")</f>
        <v>0</v>
      </c>
      <c r="BO493" s="78">
        <f t="shared" ref="BO493:BO499" si="71">IFERROR(1/J493*(X493/H493),"0")</f>
        <v>0</v>
      </c>
      <c r="BP493" s="78">
        <f t="shared" ref="BP493:BP499" si="72">IFERROR(1/J493*(Y493/H493),"0")</f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15">
        <v>4680115883093</v>
      </c>
      <c r="E494" s="615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64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17"/>
      <c r="R494" s="617"/>
      <c r="S494" s="617"/>
      <c r="T494" s="618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15">
        <v>4680115883109</v>
      </c>
      <c r="E495" s="615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6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17"/>
      <c r="R495" s="617"/>
      <c r="S495" s="617"/>
      <c r="T495" s="618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15">
        <v>4680115882072</v>
      </c>
      <c r="E496" s="615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17"/>
      <c r="R496" s="617"/>
      <c r="S496" s="617"/>
      <c r="T496" s="618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15">
        <v>4680115882102</v>
      </c>
      <c r="E497" s="615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6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17"/>
      <c r="R497" s="617"/>
      <c r="S497" s="617"/>
      <c r="T497" s="618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15">
        <v>4680115882102</v>
      </c>
      <c r="E498" s="615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6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17"/>
      <c r="R498" s="617"/>
      <c r="S498" s="617"/>
      <c r="T498" s="618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15">
        <v>4680115882096</v>
      </c>
      <c r="E499" s="615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17"/>
      <c r="R499" s="617"/>
      <c r="S499" s="617"/>
      <c r="T499" s="61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5">
      <c r="A500" s="622"/>
      <c r="B500" s="622"/>
      <c r="C500" s="622"/>
      <c r="D500" s="622"/>
      <c r="E500" s="622"/>
      <c r="F500" s="622"/>
      <c r="G500" s="622"/>
      <c r="H500" s="622"/>
      <c r="I500" s="622"/>
      <c r="J500" s="622"/>
      <c r="K500" s="622"/>
      <c r="L500" s="622"/>
      <c r="M500" s="622"/>
      <c r="N500" s="622"/>
      <c r="O500" s="623"/>
      <c r="P500" s="619" t="s">
        <v>40</v>
      </c>
      <c r="Q500" s="620"/>
      <c r="R500" s="620"/>
      <c r="S500" s="620"/>
      <c r="T500" s="620"/>
      <c r="U500" s="620"/>
      <c r="V500" s="621"/>
      <c r="W500" s="42" t="s">
        <v>39</v>
      </c>
      <c r="X500" s="43">
        <f>IFERROR(X493/H493,"0")+IFERROR(X494/H494,"0")+IFERROR(X495/H495,"0")+IFERROR(X496/H496,"0")+IFERROR(X497/H497,"0")+IFERROR(X498/H498,"0")+IFERROR(X499/H499,"0")</f>
        <v>0</v>
      </c>
      <c r="Y500" s="43">
        <f>IFERROR(Y493/H493,"0")+IFERROR(Y494/H494,"0")+IFERROR(Y495/H495,"0")+IFERROR(Y496/H496,"0")+IFERROR(Y497/H497,"0")+IFERROR(Y498/H498,"0")+IFERROR(Y499/H499,"0")</f>
        <v>0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5">
      <c r="A501" s="622"/>
      <c r="B501" s="622"/>
      <c r="C501" s="622"/>
      <c r="D501" s="622"/>
      <c r="E501" s="622"/>
      <c r="F501" s="622"/>
      <c r="G501" s="622"/>
      <c r="H501" s="622"/>
      <c r="I501" s="622"/>
      <c r="J501" s="622"/>
      <c r="K501" s="622"/>
      <c r="L501" s="622"/>
      <c r="M501" s="622"/>
      <c r="N501" s="622"/>
      <c r="O501" s="623"/>
      <c r="P501" s="619" t="s">
        <v>40</v>
      </c>
      <c r="Q501" s="620"/>
      <c r="R501" s="620"/>
      <c r="S501" s="620"/>
      <c r="T501" s="620"/>
      <c r="U501" s="620"/>
      <c r="V501" s="621"/>
      <c r="W501" s="42" t="s">
        <v>0</v>
      </c>
      <c r="X501" s="43">
        <f>IFERROR(SUM(X493:X499),"0")</f>
        <v>0</v>
      </c>
      <c r="Y501" s="43">
        <f>IFERROR(SUM(Y493:Y499),"0")</f>
        <v>0</v>
      </c>
      <c r="Z501" s="42"/>
      <c r="AA501" s="67"/>
      <c r="AB501" s="67"/>
      <c r="AC501" s="67"/>
    </row>
    <row r="502" spans="1:68" ht="27.75" customHeight="1" x14ac:dyDescent="0.25">
      <c r="A502" s="635" t="s">
        <v>805</v>
      </c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635"/>
      <c r="N502" s="635"/>
      <c r="O502" s="635"/>
      <c r="P502" s="635"/>
      <c r="Q502" s="635"/>
      <c r="R502" s="635"/>
      <c r="S502" s="635"/>
      <c r="T502" s="635"/>
      <c r="U502" s="635"/>
      <c r="V502" s="635"/>
      <c r="W502" s="635"/>
      <c r="X502" s="635"/>
      <c r="Y502" s="635"/>
      <c r="Z502" s="635"/>
      <c r="AA502" s="54"/>
      <c r="AB502" s="54"/>
      <c r="AC502" s="54"/>
    </row>
    <row r="503" spans="1:68" ht="16.5" customHeight="1" x14ac:dyDescent="0.25">
      <c r="A503" s="630" t="s">
        <v>805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5"/>
      <c r="AB503" s="65"/>
      <c r="AC503" s="79"/>
    </row>
    <row r="504" spans="1:68" ht="14.25" customHeight="1" x14ac:dyDescent="0.25">
      <c r="A504" s="614" t="s">
        <v>139</v>
      </c>
      <c r="B504" s="614"/>
      <c r="C504" s="614"/>
      <c r="D504" s="614"/>
      <c r="E504" s="614"/>
      <c r="F504" s="614"/>
      <c r="G504" s="614"/>
      <c r="H504" s="614"/>
      <c r="I504" s="614"/>
      <c r="J504" s="614"/>
      <c r="K504" s="614"/>
      <c r="L504" s="614"/>
      <c r="M504" s="614"/>
      <c r="N504" s="614"/>
      <c r="O504" s="614"/>
      <c r="P504" s="614"/>
      <c r="Q504" s="614"/>
      <c r="R504" s="614"/>
      <c r="S504" s="614"/>
      <c r="T504" s="614"/>
      <c r="U504" s="614"/>
      <c r="V504" s="614"/>
      <c r="W504" s="614"/>
      <c r="X504" s="614"/>
      <c r="Y504" s="614"/>
      <c r="Z504" s="614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15">
        <v>4640242180564</v>
      </c>
      <c r="E505" s="615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63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17"/>
      <c r="R505" s="617"/>
      <c r="S505" s="617"/>
      <c r="T505" s="6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5">
      <c r="A506" s="622"/>
      <c r="B506" s="622"/>
      <c r="C506" s="622"/>
      <c r="D506" s="622"/>
      <c r="E506" s="622"/>
      <c r="F506" s="622"/>
      <c r="G506" s="622"/>
      <c r="H506" s="622"/>
      <c r="I506" s="622"/>
      <c r="J506" s="622"/>
      <c r="K506" s="622"/>
      <c r="L506" s="622"/>
      <c r="M506" s="622"/>
      <c r="N506" s="622"/>
      <c r="O506" s="623"/>
      <c r="P506" s="619" t="s">
        <v>40</v>
      </c>
      <c r="Q506" s="620"/>
      <c r="R506" s="620"/>
      <c r="S506" s="620"/>
      <c r="T506" s="620"/>
      <c r="U506" s="620"/>
      <c r="V506" s="621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5">
      <c r="A507" s="622"/>
      <c r="B507" s="622"/>
      <c r="C507" s="622"/>
      <c r="D507" s="622"/>
      <c r="E507" s="622"/>
      <c r="F507" s="622"/>
      <c r="G507" s="622"/>
      <c r="H507" s="622"/>
      <c r="I507" s="622"/>
      <c r="J507" s="622"/>
      <c r="K507" s="622"/>
      <c r="L507" s="622"/>
      <c r="M507" s="622"/>
      <c r="N507" s="622"/>
      <c r="O507" s="623"/>
      <c r="P507" s="619" t="s">
        <v>40</v>
      </c>
      <c r="Q507" s="620"/>
      <c r="R507" s="620"/>
      <c r="S507" s="620"/>
      <c r="T507" s="620"/>
      <c r="U507" s="620"/>
      <c r="V507" s="621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14" t="s">
        <v>174</v>
      </c>
      <c r="B508" s="614"/>
      <c r="C508" s="614"/>
      <c r="D508" s="614"/>
      <c r="E508" s="614"/>
      <c r="F508" s="614"/>
      <c r="G508" s="614"/>
      <c r="H508" s="614"/>
      <c r="I508" s="614"/>
      <c r="J508" s="614"/>
      <c r="K508" s="614"/>
      <c r="L508" s="614"/>
      <c r="M508" s="614"/>
      <c r="N508" s="614"/>
      <c r="O508" s="614"/>
      <c r="P508" s="614"/>
      <c r="Q508" s="614"/>
      <c r="R508" s="614"/>
      <c r="S508" s="614"/>
      <c r="T508" s="614"/>
      <c r="U508" s="614"/>
      <c r="V508" s="614"/>
      <c r="W508" s="614"/>
      <c r="X508" s="614"/>
      <c r="Y508" s="614"/>
      <c r="Z508" s="614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15">
        <v>4640242180519</v>
      </c>
      <c r="E509" s="615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6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17"/>
      <c r="R509" s="617"/>
      <c r="S509" s="617"/>
      <c r="T509" s="618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5">
      <c r="A510" s="622"/>
      <c r="B510" s="622"/>
      <c r="C510" s="622"/>
      <c r="D510" s="622"/>
      <c r="E510" s="622"/>
      <c r="F510" s="622"/>
      <c r="G510" s="622"/>
      <c r="H510" s="622"/>
      <c r="I510" s="622"/>
      <c r="J510" s="622"/>
      <c r="K510" s="622"/>
      <c r="L510" s="622"/>
      <c r="M510" s="622"/>
      <c r="N510" s="622"/>
      <c r="O510" s="623"/>
      <c r="P510" s="619" t="s">
        <v>40</v>
      </c>
      <c r="Q510" s="620"/>
      <c r="R510" s="620"/>
      <c r="S510" s="620"/>
      <c r="T510" s="620"/>
      <c r="U510" s="620"/>
      <c r="V510" s="621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5">
      <c r="A511" s="622"/>
      <c r="B511" s="622"/>
      <c r="C511" s="622"/>
      <c r="D511" s="622"/>
      <c r="E511" s="622"/>
      <c r="F511" s="622"/>
      <c r="G511" s="622"/>
      <c r="H511" s="622"/>
      <c r="I511" s="622"/>
      <c r="J511" s="622"/>
      <c r="K511" s="622"/>
      <c r="L511" s="622"/>
      <c r="M511" s="622"/>
      <c r="N511" s="622"/>
      <c r="O511" s="623"/>
      <c r="P511" s="619" t="s">
        <v>40</v>
      </c>
      <c r="Q511" s="620"/>
      <c r="R511" s="620"/>
      <c r="S511" s="620"/>
      <c r="T511" s="620"/>
      <c r="U511" s="620"/>
      <c r="V511" s="621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14" t="s">
        <v>77</v>
      </c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4"/>
      <c r="P512" s="614"/>
      <c r="Q512" s="614"/>
      <c r="R512" s="614"/>
      <c r="S512" s="614"/>
      <c r="T512" s="614"/>
      <c r="U512" s="614"/>
      <c r="V512" s="614"/>
      <c r="W512" s="614"/>
      <c r="X512" s="614"/>
      <c r="Y512" s="614"/>
      <c r="Z512" s="614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15">
        <v>4640242180595</v>
      </c>
      <c r="E513" s="615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6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7"/>
      <c r="R513" s="617"/>
      <c r="S513" s="617"/>
      <c r="T513" s="6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15">
        <v>4640242180595</v>
      </c>
      <c r="E514" s="615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6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17"/>
      <c r="R514" s="617"/>
      <c r="S514" s="617"/>
      <c r="T514" s="6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5">
      <c r="A515" s="622"/>
      <c r="B515" s="622"/>
      <c r="C515" s="622"/>
      <c r="D515" s="622"/>
      <c r="E515" s="622"/>
      <c r="F515" s="622"/>
      <c r="G515" s="622"/>
      <c r="H515" s="622"/>
      <c r="I515" s="622"/>
      <c r="J515" s="622"/>
      <c r="K515" s="622"/>
      <c r="L515" s="622"/>
      <c r="M515" s="622"/>
      <c r="N515" s="622"/>
      <c r="O515" s="623"/>
      <c r="P515" s="619" t="s">
        <v>40</v>
      </c>
      <c r="Q515" s="620"/>
      <c r="R515" s="620"/>
      <c r="S515" s="620"/>
      <c r="T515" s="620"/>
      <c r="U515" s="620"/>
      <c r="V515" s="621"/>
      <c r="W515" s="42" t="s">
        <v>39</v>
      </c>
      <c r="X515" s="43">
        <f>IFERROR(X513/H513,"0")+IFERROR(X514/H514,"0")</f>
        <v>0</v>
      </c>
      <c r="Y515" s="43">
        <f>IFERROR(Y513/H513,"0")+IFERROR(Y514/H514,"0")</f>
        <v>0</v>
      </c>
      <c r="Z515" s="43">
        <f>IFERROR(IF(Z513="",0,Z513),"0")+IFERROR(IF(Z514="",0,Z514),"0")</f>
        <v>0</v>
      </c>
      <c r="AA515" s="67"/>
      <c r="AB515" s="67"/>
      <c r="AC515" s="67"/>
    </row>
    <row r="516" spans="1:68" x14ac:dyDescent="0.25">
      <c r="A516" s="622"/>
      <c r="B516" s="622"/>
      <c r="C516" s="622"/>
      <c r="D516" s="622"/>
      <c r="E516" s="622"/>
      <c r="F516" s="622"/>
      <c r="G516" s="622"/>
      <c r="H516" s="622"/>
      <c r="I516" s="622"/>
      <c r="J516" s="622"/>
      <c r="K516" s="622"/>
      <c r="L516" s="622"/>
      <c r="M516" s="622"/>
      <c r="N516" s="622"/>
      <c r="O516" s="623"/>
      <c r="P516" s="619" t="s">
        <v>40</v>
      </c>
      <c r="Q516" s="620"/>
      <c r="R516" s="620"/>
      <c r="S516" s="620"/>
      <c r="T516" s="620"/>
      <c r="U516" s="620"/>
      <c r="V516" s="621"/>
      <c r="W516" s="42" t="s">
        <v>0</v>
      </c>
      <c r="X516" s="43">
        <f>IFERROR(SUM(X513:X514),"0")</f>
        <v>0</v>
      </c>
      <c r="Y516" s="43">
        <f>IFERROR(SUM(Y513:Y514),"0")</f>
        <v>0</v>
      </c>
      <c r="Z516" s="42"/>
      <c r="AA516" s="67"/>
      <c r="AB516" s="67"/>
      <c r="AC516" s="67"/>
    </row>
    <row r="517" spans="1:68" ht="14.25" customHeight="1" x14ac:dyDescent="0.25">
      <c r="A517" s="614" t="s">
        <v>90</v>
      </c>
      <c r="B517" s="614"/>
      <c r="C517" s="614"/>
      <c r="D517" s="614"/>
      <c r="E517" s="614"/>
      <c r="F517" s="614"/>
      <c r="G517" s="614"/>
      <c r="H517" s="614"/>
      <c r="I517" s="614"/>
      <c r="J517" s="614"/>
      <c r="K517" s="614"/>
      <c r="L517" s="614"/>
      <c r="M517" s="614"/>
      <c r="N517" s="614"/>
      <c r="O517" s="614"/>
      <c r="P517" s="614"/>
      <c r="Q517" s="614"/>
      <c r="R517" s="614"/>
      <c r="S517" s="614"/>
      <c r="T517" s="614"/>
      <c r="U517" s="614"/>
      <c r="V517" s="614"/>
      <c r="W517" s="614"/>
      <c r="X517" s="614"/>
      <c r="Y517" s="614"/>
      <c r="Z517" s="614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15">
        <v>4640242180533</v>
      </c>
      <c r="E518" s="615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6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17"/>
      <c r="R518" s="617"/>
      <c r="S518" s="617"/>
      <c r="T518" s="61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5">
      <c r="A519" s="622"/>
      <c r="B519" s="622"/>
      <c r="C519" s="622"/>
      <c r="D519" s="622"/>
      <c r="E519" s="622"/>
      <c r="F519" s="622"/>
      <c r="G519" s="622"/>
      <c r="H519" s="622"/>
      <c r="I519" s="622"/>
      <c r="J519" s="622"/>
      <c r="K519" s="622"/>
      <c r="L519" s="622"/>
      <c r="M519" s="622"/>
      <c r="N519" s="622"/>
      <c r="O519" s="623"/>
      <c r="P519" s="619" t="s">
        <v>40</v>
      </c>
      <c r="Q519" s="620"/>
      <c r="R519" s="620"/>
      <c r="S519" s="620"/>
      <c r="T519" s="620"/>
      <c r="U519" s="620"/>
      <c r="V519" s="621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5">
      <c r="A520" s="622"/>
      <c r="B520" s="622"/>
      <c r="C520" s="622"/>
      <c r="D520" s="622"/>
      <c r="E520" s="622"/>
      <c r="F520" s="622"/>
      <c r="G520" s="622"/>
      <c r="H520" s="622"/>
      <c r="I520" s="622"/>
      <c r="J520" s="622"/>
      <c r="K520" s="622"/>
      <c r="L520" s="622"/>
      <c r="M520" s="622"/>
      <c r="N520" s="622"/>
      <c r="O520" s="623"/>
      <c r="P520" s="619" t="s">
        <v>40</v>
      </c>
      <c r="Q520" s="620"/>
      <c r="R520" s="620"/>
      <c r="S520" s="620"/>
      <c r="T520" s="620"/>
      <c r="U520" s="620"/>
      <c r="V520" s="621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14" t="s">
        <v>191</v>
      </c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4"/>
      <c r="P521" s="614"/>
      <c r="Q521" s="614"/>
      <c r="R521" s="614"/>
      <c r="S521" s="614"/>
      <c r="T521" s="614"/>
      <c r="U521" s="614"/>
      <c r="V521" s="614"/>
      <c r="W521" s="614"/>
      <c r="X521" s="614"/>
      <c r="Y521" s="614"/>
      <c r="Z521" s="614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15">
        <v>4640242180120</v>
      </c>
      <c r="E522" s="615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62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17"/>
      <c r="R522" s="617"/>
      <c r="S522" s="617"/>
      <c r="T522" s="6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15">
        <v>4640242180137</v>
      </c>
      <c r="E523" s="615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62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17"/>
      <c r="R523" s="617"/>
      <c r="S523" s="617"/>
      <c r="T523" s="6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5">
      <c r="A524" s="622"/>
      <c r="B524" s="622"/>
      <c r="C524" s="622"/>
      <c r="D524" s="622"/>
      <c r="E524" s="622"/>
      <c r="F524" s="622"/>
      <c r="G524" s="622"/>
      <c r="H524" s="622"/>
      <c r="I524" s="622"/>
      <c r="J524" s="622"/>
      <c r="K524" s="622"/>
      <c r="L524" s="622"/>
      <c r="M524" s="622"/>
      <c r="N524" s="622"/>
      <c r="O524" s="623"/>
      <c r="P524" s="619" t="s">
        <v>40</v>
      </c>
      <c r="Q524" s="620"/>
      <c r="R524" s="620"/>
      <c r="S524" s="620"/>
      <c r="T524" s="620"/>
      <c r="U524" s="620"/>
      <c r="V524" s="621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5">
      <c r="A525" s="622"/>
      <c r="B525" s="622"/>
      <c r="C525" s="622"/>
      <c r="D525" s="622"/>
      <c r="E525" s="622"/>
      <c r="F525" s="622"/>
      <c r="G525" s="622"/>
      <c r="H525" s="622"/>
      <c r="I525" s="622"/>
      <c r="J525" s="622"/>
      <c r="K525" s="622"/>
      <c r="L525" s="622"/>
      <c r="M525" s="622"/>
      <c r="N525" s="622"/>
      <c r="O525" s="623"/>
      <c r="P525" s="619" t="s">
        <v>40</v>
      </c>
      <c r="Q525" s="620"/>
      <c r="R525" s="620"/>
      <c r="S525" s="620"/>
      <c r="T525" s="620"/>
      <c r="U525" s="620"/>
      <c r="V525" s="621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30" t="s">
        <v>826</v>
      </c>
      <c r="B526" s="630"/>
      <c r="C526" s="630"/>
      <c r="D526" s="630"/>
      <c r="E526" s="630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30"/>
      <c r="Y526" s="630"/>
      <c r="Z526" s="630"/>
      <c r="AA526" s="65"/>
      <c r="AB526" s="65"/>
      <c r="AC526" s="79"/>
    </row>
    <row r="527" spans="1:68" ht="14.25" customHeight="1" x14ac:dyDescent="0.25">
      <c r="A527" s="614" t="s">
        <v>174</v>
      </c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4"/>
      <c r="P527" s="614"/>
      <c r="Q527" s="614"/>
      <c r="R527" s="614"/>
      <c r="S527" s="614"/>
      <c r="T527" s="614"/>
      <c r="U527" s="614"/>
      <c r="V527" s="614"/>
      <c r="W527" s="614"/>
      <c r="X527" s="614"/>
      <c r="Y527" s="614"/>
      <c r="Z527" s="614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15">
        <v>4640242180090</v>
      </c>
      <c r="E528" s="615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61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17"/>
      <c r="R528" s="617"/>
      <c r="S528" s="617"/>
      <c r="T528" s="618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5">
      <c r="A529" s="622"/>
      <c r="B529" s="622"/>
      <c r="C529" s="622"/>
      <c r="D529" s="622"/>
      <c r="E529" s="622"/>
      <c r="F529" s="622"/>
      <c r="G529" s="622"/>
      <c r="H529" s="622"/>
      <c r="I529" s="622"/>
      <c r="J529" s="622"/>
      <c r="K529" s="622"/>
      <c r="L529" s="622"/>
      <c r="M529" s="622"/>
      <c r="N529" s="622"/>
      <c r="O529" s="623"/>
      <c r="P529" s="619" t="s">
        <v>40</v>
      </c>
      <c r="Q529" s="620"/>
      <c r="R529" s="620"/>
      <c r="S529" s="620"/>
      <c r="T529" s="620"/>
      <c r="U529" s="620"/>
      <c r="V529" s="621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5">
      <c r="A530" s="622"/>
      <c r="B530" s="622"/>
      <c r="C530" s="622"/>
      <c r="D530" s="622"/>
      <c r="E530" s="622"/>
      <c r="F530" s="622"/>
      <c r="G530" s="622"/>
      <c r="H530" s="622"/>
      <c r="I530" s="622"/>
      <c r="J530" s="622"/>
      <c r="K530" s="622"/>
      <c r="L530" s="622"/>
      <c r="M530" s="622"/>
      <c r="N530" s="622"/>
      <c r="O530" s="623"/>
      <c r="P530" s="619" t="s">
        <v>40</v>
      </c>
      <c r="Q530" s="620"/>
      <c r="R530" s="620"/>
      <c r="S530" s="620"/>
      <c r="T530" s="620"/>
      <c r="U530" s="620"/>
      <c r="V530" s="621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5">
      <c r="A531" s="622"/>
      <c r="B531" s="622"/>
      <c r="C531" s="622"/>
      <c r="D531" s="622"/>
      <c r="E531" s="622"/>
      <c r="F531" s="622"/>
      <c r="G531" s="622"/>
      <c r="H531" s="622"/>
      <c r="I531" s="622"/>
      <c r="J531" s="622"/>
      <c r="K531" s="622"/>
      <c r="L531" s="622"/>
      <c r="M531" s="622"/>
      <c r="N531" s="622"/>
      <c r="O531" s="627"/>
      <c r="P531" s="624" t="s">
        <v>33</v>
      </c>
      <c r="Q531" s="625"/>
      <c r="R531" s="625"/>
      <c r="S531" s="625"/>
      <c r="T531" s="625"/>
      <c r="U531" s="625"/>
      <c r="V531" s="626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2913.34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2934.3600000000006</v>
      </c>
      <c r="Z531" s="42"/>
      <c r="AA531" s="67"/>
      <c r="AB531" s="67"/>
      <c r="AC531" s="67"/>
    </row>
    <row r="532" spans="1:32" x14ac:dyDescent="0.25">
      <c r="A532" s="622"/>
      <c r="B532" s="622"/>
      <c r="C532" s="622"/>
      <c r="D532" s="622"/>
      <c r="E532" s="622"/>
      <c r="F532" s="622"/>
      <c r="G532" s="622"/>
      <c r="H532" s="622"/>
      <c r="I532" s="622"/>
      <c r="J532" s="622"/>
      <c r="K532" s="622"/>
      <c r="L532" s="622"/>
      <c r="M532" s="622"/>
      <c r="N532" s="622"/>
      <c r="O532" s="627"/>
      <c r="P532" s="624" t="s">
        <v>34</v>
      </c>
      <c r="Q532" s="625"/>
      <c r="R532" s="625"/>
      <c r="S532" s="625"/>
      <c r="T532" s="625"/>
      <c r="U532" s="625"/>
      <c r="V532" s="626"/>
      <c r="W532" s="42" t="s">
        <v>0</v>
      </c>
      <c r="X532" s="43">
        <f>IFERROR(SUM(BM22:BM528),"0")</f>
        <v>3306.4309166666662</v>
      </c>
      <c r="Y532" s="43">
        <f>IFERROR(SUM(BN22:BN528),"0")</f>
        <v>3330.1420000000007</v>
      </c>
      <c r="Z532" s="42"/>
      <c r="AA532" s="67"/>
      <c r="AB532" s="67"/>
      <c r="AC532" s="67"/>
    </row>
    <row r="533" spans="1:32" x14ac:dyDescent="0.25">
      <c r="A533" s="622"/>
      <c r="B533" s="622"/>
      <c r="C533" s="622"/>
      <c r="D533" s="622"/>
      <c r="E533" s="622"/>
      <c r="F533" s="622"/>
      <c r="G533" s="622"/>
      <c r="H533" s="622"/>
      <c r="I533" s="622"/>
      <c r="J533" s="622"/>
      <c r="K533" s="622"/>
      <c r="L533" s="622"/>
      <c r="M533" s="622"/>
      <c r="N533" s="622"/>
      <c r="O533" s="627"/>
      <c r="P533" s="624" t="s">
        <v>35</v>
      </c>
      <c r="Q533" s="625"/>
      <c r="R533" s="625"/>
      <c r="S533" s="625"/>
      <c r="T533" s="625"/>
      <c r="U533" s="625"/>
      <c r="V533" s="626"/>
      <c r="W533" s="42" t="s">
        <v>20</v>
      </c>
      <c r="X533" s="44">
        <f>ROUNDUP(SUM(BO22:BO528),0)</f>
        <v>7</v>
      </c>
      <c r="Y533" s="44">
        <f>ROUNDUP(SUM(BP22:BP528),0)</f>
        <v>7</v>
      </c>
      <c r="Z533" s="42"/>
      <c r="AA533" s="67"/>
      <c r="AB533" s="67"/>
      <c r="AC533" s="67"/>
    </row>
    <row r="534" spans="1:32" x14ac:dyDescent="0.25">
      <c r="A534" s="622"/>
      <c r="B534" s="622"/>
      <c r="C534" s="622"/>
      <c r="D534" s="622"/>
      <c r="E534" s="622"/>
      <c r="F534" s="622"/>
      <c r="G534" s="622"/>
      <c r="H534" s="622"/>
      <c r="I534" s="622"/>
      <c r="J534" s="622"/>
      <c r="K534" s="622"/>
      <c r="L534" s="622"/>
      <c r="M534" s="622"/>
      <c r="N534" s="622"/>
      <c r="O534" s="627"/>
      <c r="P534" s="624" t="s">
        <v>36</v>
      </c>
      <c r="Q534" s="625"/>
      <c r="R534" s="625"/>
      <c r="S534" s="625"/>
      <c r="T534" s="625"/>
      <c r="U534" s="625"/>
      <c r="V534" s="626"/>
      <c r="W534" s="42" t="s">
        <v>0</v>
      </c>
      <c r="X534" s="43">
        <f>GrossWeightTotal+PalletQtyTotal*25</f>
        <v>3481.4309166666662</v>
      </c>
      <c r="Y534" s="43">
        <f>GrossWeightTotalR+PalletQtyTotalR*25</f>
        <v>3505.1420000000007</v>
      </c>
      <c r="Z534" s="42"/>
      <c r="AA534" s="67"/>
      <c r="AB534" s="67"/>
      <c r="AC534" s="67"/>
    </row>
    <row r="535" spans="1:32" x14ac:dyDescent="0.25">
      <c r="A535" s="622"/>
      <c r="B535" s="622"/>
      <c r="C535" s="622"/>
      <c r="D535" s="622"/>
      <c r="E535" s="622"/>
      <c r="F535" s="622"/>
      <c r="G535" s="622"/>
      <c r="H535" s="622"/>
      <c r="I535" s="622"/>
      <c r="J535" s="622"/>
      <c r="K535" s="622"/>
      <c r="L535" s="622"/>
      <c r="M535" s="622"/>
      <c r="N535" s="622"/>
      <c r="O535" s="627"/>
      <c r="P535" s="624" t="s">
        <v>37</v>
      </c>
      <c r="Q535" s="625"/>
      <c r="R535" s="625"/>
      <c r="S535" s="625"/>
      <c r="T535" s="625"/>
      <c r="U535" s="625"/>
      <c r="V535" s="626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1149.6583333333333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1159</v>
      </c>
      <c r="Z535" s="42"/>
      <c r="AA535" s="67"/>
      <c r="AB535" s="67"/>
      <c r="AC535" s="67"/>
    </row>
    <row r="536" spans="1:32" ht="15.6" x14ac:dyDescent="0.25">
      <c r="A536" s="622"/>
      <c r="B536" s="622"/>
      <c r="C536" s="622"/>
      <c r="D536" s="622"/>
      <c r="E536" s="622"/>
      <c r="F536" s="622"/>
      <c r="G536" s="622"/>
      <c r="H536" s="622"/>
      <c r="I536" s="622"/>
      <c r="J536" s="622"/>
      <c r="K536" s="622"/>
      <c r="L536" s="622"/>
      <c r="M536" s="622"/>
      <c r="N536" s="622"/>
      <c r="O536" s="627"/>
      <c r="P536" s="624" t="s">
        <v>38</v>
      </c>
      <c r="Q536" s="625"/>
      <c r="R536" s="625"/>
      <c r="S536" s="625"/>
      <c r="T536" s="625"/>
      <c r="U536" s="625"/>
      <c r="V536" s="626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8.0356899999999989</v>
      </c>
      <c r="AA536" s="67"/>
      <c r="AB536" s="67"/>
      <c r="AC536" s="67"/>
    </row>
    <row r="537" spans="1:32" ht="13.8" thickBot="1" x14ac:dyDescent="0.3"/>
    <row r="538" spans="1:32" ht="28.8" thickTop="1" thickBot="1" x14ac:dyDescent="0.3">
      <c r="A538" s="46" t="s">
        <v>9</v>
      </c>
      <c r="B538" s="85" t="s">
        <v>76</v>
      </c>
      <c r="C538" s="85" t="s">
        <v>45</v>
      </c>
      <c r="D538" s="610" t="s">
        <v>137</v>
      </c>
      <c r="E538" s="610" t="s">
        <v>137</v>
      </c>
      <c r="F538" s="610" t="s">
        <v>137</v>
      </c>
      <c r="G538" s="610" t="s">
        <v>137</v>
      </c>
      <c r="H538" s="610" t="s">
        <v>137</v>
      </c>
      <c r="I538" s="610" t="s">
        <v>137</v>
      </c>
      <c r="J538" s="610" t="s">
        <v>137</v>
      </c>
      <c r="K538" s="610" t="s">
        <v>344</v>
      </c>
      <c r="L538" s="610" t="s">
        <v>344</v>
      </c>
      <c r="M538" s="610" t="s">
        <v>344</v>
      </c>
      <c r="N538" s="611"/>
      <c r="O538" s="610" t="s">
        <v>344</v>
      </c>
      <c r="P538" s="610" t="s">
        <v>344</v>
      </c>
      <c r="Q538" s="610" t="s">
        <v>344</v>
      </c>
      <c r="R538" s="610" t="s">
        <v>344</v>
      </c>
      <c r="S538" s="610" t="s">
        <v>344</v>
      </c>
      <c r="T538" s="610" t="s">
        <v>344</v>
      </c>
      <c r="U538" s="610" t="s">
        <v>344</v>
      </c>
      <c r="V538" s="610" t="s">
        <v>662</v>
      </c>
      <c r="W538" s="610" t="s">
        <v>662</v>
      </c>
      <c r="X538" s="610" t="s">
        <v>722</v>
      </c>
      <c r="Y538" s="610" t="s">
        <v>722</v>
      </c>
      <c r="Z538" s="85" t="s">
        <v>758</v>
      </c>
      <c r="AA538" s="610" t="s">
        <v>805</v>
      </c>
      <c r="AB538" s="610" t="s">
        <v>805</v>
      </c>
      <c r="AC538" s="60"/>
      <c r="AF538" s="1"/>
    </row>
    <row r="539" spans="1:32" ht="14.25" customHeight="1" thickTop="1" x14ac:dyDescent="0.25">
      <c r="A539" s="612" t="s">
        <v>10</v>
      </c>
      <c r="B539" s="610" t="s">
        <v>76</v>
      </c>
      <c r="C539" s="610" t="s">
        <v>124</v>
      </c>
      <c r="D539" s="610" t="s">
        <v>138</v>
      </c>
      <c r="E539" s="610" t="s">
        <v>154</v>
      </c>
      <c r="F539" s="610" t="s">
        <v>198</v>
      </c>
      <c r="G539" s="610" t="s">
        <v>219</v>
      </c>
      <c r="H539" s="610" t="s">
        <v>261</v>
      </c>
      <c r="I539" s="610" t="s">
        <v>273</v>
      </c>
      <c r="J539" s="610" t="s">
        <v>137</v>
      </c>
      <c r="K539" s="610" t="s">
        <v>345</v>
      </c>
      <c r="L539" s="610" t="s">
        <v>357</v>
      </c>
      <c r="M539" s="610" t="s">
        <v>416</v>
      </c>
      <c r="N539" s="1"/>
      <c r="O539" s="610" t="s">
        <v>484</v>
      </c>
      <c r="P539" s="610" t="s">
        <v>521</v>
      </c>
      <c r="Q539" s="610" t="s">
        <v>537</v>
      </c>
      <c r="R539" s="610" t="s">
        <v>546</v>
      </c>
      <c r="S539" s="610" t="s">
        <v>567</v>
      </c>
      <c r="T539" s="610" t="s">
        <v>577</v>
      </c>
      <c r="U539" s="610" t="s">
        <v>652</v>
      </c>
      <c r="V539" s="610" t="s">
        <v>663</v>
      </c>
      <c r="W539" s="610" t="s">
        <v>706</v>
      </c>
      <c r="X539" s="610" t="s">
        <v>723</v>
      </c>
      <c r="Y539" s="610" t="s">
        <v>746</v>
      </c>
      <c r="Z539" s="610" t="s">
        <v>758</v>
      </c>
      <c r="AA539" s="610" t="s">
        <v>805</v>
      </c>
      <c r="AB539" s="610" t="s">
        <v>826</v>
      </c>
      <c r="AC539" s="60"/>
      <c r="AF539" s="1"/>
    </row>
    <row r="540" spans="1:32" ht="13.8" thickBot="1" x14ac:dyDescent="0.3">
      <c r="A540" s="613"/>
      <c r="B540" s="610"/>
      <c r="C540" s="610"/>
      <c r="D540" s="610"/>
      <c r="E540" s="610"/>
      <c r="F540" s="610"/>
      <c r="G540" s="610"/>
      <c r="H540" s="610"/>
      <c r="I540" s="610"/>
      <c r="J540" s="610"/>
      <c r="K540" s="610"/>
      <c r="L540" s="610"/>
      <c r="M540" s="610"/>
      <c r="N540" s="1"/>
      <c r="O540" s="610"/>
      <c r="P540" s="610"/>
      <c r="Q540" s="610"/>
      <c r="R540" s="610"/>
      <c r="S540" s="610"/>
      <c r="T540" s="610"/>
      <c r="U540" s="610"/>
      <c r="V540" s="610"/>
      <c r="W540" s="610"/>
      <c r="X540" s="610"/>
      <c r="Y540" s="610"/>
      <c r="Z540" s="610"/>
      <c r="AA540" s="610"/>
      <c r="AB540" s="610"/>
      <c r="AC540" s="60"/>
      <c r="AF540" s="1"/>
    </row>
    <row r="541" spans="1:32" ht="15" thickTop="1" thickBot="1" x14ac:dyDescent="0.3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90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84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277.50000000000006</v>
      </c>
      <c r="F541" s="52">
        <f>IFERROR(Y91*1,"0")+IFERROR(Y92*1,"0")+IFERROR(Y93*1,"0")+IFERROR(Y94*1,"0")+IFERROR(Y98*1,"0")+IFERROR(Y99*1,"0")+IFERROR(Y100*1,"0")+IFERROR(Y101*1,"0")</f>
        <v>96.3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106</v>
      </c>
      <c r="H541" s="52">
        <f>IFERROR(Y136*1,"0")+IFERROR(Y137*1,"0")+IFERROR(Y141*1,"0")+IFERROR(Y142*1,"0")+IFERROR(Y146*1,"0")+IFERROR(Y147*1,"0")</f>
        <v>0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40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175.2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200</v>
      </c>
      <c r="P541" s="52">
        <f>IFERROR(Y313*1,"0")+IFERROR(Y314*1,"0")+IFERROR(Y315*1,"0")+IFERROR(Y316*1,"0")+IFERROR(Y317*1,"0")</f>
        <v>120</v>
      </c>
      <c r="Q541" s="52">
        <f>IFERROR(Y322*1,"0")+IFERROR(Y323*1,"0")+IFERROR(Y324*1,"0")</f>
        <v>156</v>
      </c>
      <c r="R541" s="52">
        <f>IFERROR(Y329*1,"0")+IFERROR(Y330*1,"0")+IFERROR(Y331*1,"0")+IFERROR(Y332*1,"0")+IFERROR(Y333*1,"0")+IFERROR(Y337*1,"0")+IFERROR(Y338*1,"0")</f>
        <v>108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241.4</v>
      </c>
      <c r="U541" s="52">
        <f>IFERROR(Y396*1,"0")+IFERROR(Y397*1,"0")+IFERROR(Y398*1,"0")</f>
        <v>155.4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270</v>
      </c>
      <c r="W541" s="52">
        <f>IFERROR(Y431*1,"0")+IFERROR(Y432*1,"0")+IFERROR(Y436*1,"0")+IFERROR(Y440*1,"0")+IFERROR(Y441*1,"0")+IFERROR(Y442*1,"0")</f>
        <v>0</v>
      </c>
      <c r="X541" s="52">
        <f>IFERROR(Y448*1,"0")+IFERROR(Y449*1,"0")+IFERROR(Y450*1,"0")+IFERROR(Y451*1,"0")+IFERROR(Y452*1,"0")+IFERROR(Y453*1,"0")+IFERROR(Y457*1,"0")+IFERROR(Y458*1,"0")</f>
        <v>550.55999999999995</v>
      </c>
      <c r="Y541" s="52">
        <f>IFERROR(Y463*1,"0")+IFERROR(Y467*1,"0")+IFERROR(Y468*1,"0")+IFERROR(Y469*1,"0")</f>
        <v>0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264</v>
      </c>
      <c r="AA541" s="52">
        <f>IFERROR(Y505*1,"0")+IFERROR(Y509*1,"0")+IFERROR(Y513*1,"0")+IFERROR(Y514*1,"0")+IFERROR(Y518*1,"0")+IFERROR(Y522*1,"0")+IFERROR(Y523*1,"0")</f>
        <v>0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536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830</v>
      </c>
      <c r="H1" s="9"/>
    </row>
    <row r="3" spans="2:8" x14ac:dyDescent="0.25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5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5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5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5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5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5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