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Z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P467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Y428" i="2"/>
  <c r="X428" i="2"/>
  <c r="Y427" i="2"/>
  <c r="X427" i="2"/>
  <c r="BO426" i="2"/>
  <c r="BM426" i="2"/>
  <c r="Y426" i="2"/>
  <c r="BN426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P414" i="2"/>
  <c r="BO414" i="2"/>
  <c r="BN414" i="2"/>
  <c r="BM414" i="2"/>
  <c r="Z414" i="2"/>
  <c r="Y414" i="2"/>
  <c r="P414" i="2"/>
  <c r="BO413" i="2"/>
  <c r="BM413" i="2"/>
  <c r="Z413" i="2"/>
  <c r="Y413" i="2"/>
  <c r="BN413" i="2" s="1"/>
  <c r="P413" i="2"/>
  <c r="BO412" i="2"/>
  <c r="BM412" i="2"/>
  <c r="Y412" i="2"/>
  <c r="BP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P402" i="2"/>
  <c r="BO402" i="2"/>
  <c r="BN402" i="2"/>
  <c r="BM402" i="2"/>
  <c r="Z402" i="2"/>
  <c r="Y402" i="2"/>
  <c r="P402" i="2"/>
  <c r="BO401" i="2"/>
  <c r="BM401" i="2"/>
  <c r="Z401" i="2"/>
  <c r="Y401" i="2"/>
  <c r="P401" i="2"/>
  <c r="BO400" i="2"/>
  <c r="BM400" i="2"/>
  <c r="Y400" i="2"/>
  <c r="BP400" i="2" s="1"/>
  <c r="P400" i="2"/>
  <c r="Y398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Z392" i="2" s="1"/>
  <c r="P392" i="2"/>
  <c r="BO391" i="2"/>
  <c r="BM391" i="2"/>
  <c r="Y391" i="2"/>
  <c r="U512" i="2" s="1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P351" i="2"/>
  <c r="BO351" i="2"/>
  <c r="BM351" i="2"/>
  <c r="Y351" i="2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Y333" i="2"/>
  <c r="BN333" i="2" s="1"/>
  <c r="P333" i="2"/>
  <c r="BO332" i="2"/>
  <c r="BM332" i="2"/>
  <c r="Y332" i="2"/>
  <c r="Y335" i="2" s="1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P316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Z304" i="2"/>
  <c r="Y304" i="2"/>
  <c r="P304" i="2"/>
  <c r="X302" i="2"/>
  <c r="X301" i="2"/>
  <c r="BO300" i="2"/>
  <c r="BM300" i="2"/>
  <c r="Z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Z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Z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Y240" i="2"/>
  <c r="BN240" i="2" s="1"/>
  <c r="P240" i="2"/>
  <c r="X238" i="2"/>
  <c r="X237" i="2"/>
  <c r="BO236" i="2"/>
  <c r="BM236" i="2"/>
  <c r="Z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Z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Z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Z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N190" i="2"/>
  <c r="BM190" i="2"/>
  <c r="Z190" i="2"/>
  <c r="Y190" i="2"/>
  <c r="BP190" i="2" s="1"/>
  <c r="P190" i="2"/>
  <c r="BO189" i="2"/>
  <c r="BM189" i="2"/>
  <c r="Z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Z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Z113" i="2"/>
  <c r="Y113" i="2"/>
  <c r="BN113" i="2" s="1"/>
  <c r="P113" i="2"/>
  <c r="BO112" i="2"/>
  <c r="BM112" i="2"/>
  <c r="Y112" i="2"/>
  <c r="P112" i="2"/>
  <c r="BO111" i="2"/>
  <c r="BM111" i="2"/>
  <c r="Y111" i="2"/>
  <c r="BN111" i="2" s="1"/>
  <c r="P111" i="2"/>
  <c r="X109" i="2"/>
  <c r="X108" i="2"/>
  <c r="BP107" i="2"/>
  <c r="BO107" i="2"/>
  <c r="BN107" i="2"/>
  <c r="BM107" i="2"/>
  <c r="Z107" i="2"/>
  <c r="Y107" i="2"/>
  <c r="P107" i="2"/>
  <c r="BO106" i="2"/>
  <c r="BM106" i="2"/>
  <c r="Z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P60" i="2"/>
  <c r="BO60" i="2"/>
  <c r="BM60" i="2"/>
  <c r="Y60" i="2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Y24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Z30" i="2"/>
  <c r="Z31" i="2"/>
  <c r="BN31" i="2"/>
  <c r="Z67" i="2"/>
  <c r="BN67" i="2"/>
  <c r="Z90" i="2"/>
  <c r="BN98" i="2"/>
  <c r="BP106" i="2"/>
  <c r="Z111" i="2"/>
  <c r="Y115" i="2"/>
  <c r="Z121" i="2"/>
  <c r="Z140" i="2"/>
  <c r="Z146" i="2"/>
  <c r="BP182" i="2"/>
  <c r="BN185" i="2"/>
  <c r="BP189" i="2"/>
  <c r="Z196" i="2"/>
  <c r="Z212" i="2"/>
  <c r="Z222" i="2"/>
  <c r="BN222" i="2"/>
  <c r="Z240" i="2"/>
  <c r="Z248" i="2"/>
  <c r="BN248" i="2"/>
  <c r="BP251" i="2"/>
  <c r="Y257" i="2"/>
  <c r="Z267" i="2"/>
  <c r="BN267" i="2"/>
  <c r="BP277" i="2"/>
  <c r="Z285" i="2"/>
  <c r="BN285" i="2"/>
  <c r="BP299" i="2"/>
  <c r="Y307" i="2"/>
  <c r="Z311" i="2"/>
  <c r="BN314" i="2"/>
  <c r="Z315" i="2"/>
  <c r="Z317" i="2"/>
  <c r="BN317" i="2"/>
  <c r="BN331" i="2"/>
  <c r="Z333" i="2"/>
  <c r="Z352" i="2"/>
  <c r="BN352" i="2"/>
  <c r="Z372" i="2"/>
  <c r="Y387" i="2"/>
  <c r="Y404" i="2"/>
  <c r="BP401" i="2"/>
  <c r="Z409" i="2"/>
  <c r="BP413" i="2"/>
  <c r="Z437" i="2"/>
  <c r="Z438" i="2" s="1"/>
  <c r="BN437" i="2"/>
  <c r="BP437" i="2"/>
  <c r="BN481" i="2"/>
  <c r="BP30" i="2"/>
  <c r="BP90" i="2"/>
  <c r="BN104" i="2"/>
  <c r="Y143" i="2"/>
  <c r="BN187" i="2"/>
  <c r="BP212" i="2"/>
  <c r="BN231" i="2"/>
  <c r="BP240" i="2"/>
  <c r="Y301" i="2"/>
  <c r="BP315" i="2"/>
  <c r="BN327" i="2"/>
  <c r="BP333" i="2"/>
  <c r="BN358" i="2"/>
  <c r="BN400" i="2"/>
  <c r="BN412" i="2"/>
  <c r="BN416" i="2"/>
  <c r="BN449" i="2"/>
  <c r="BN459" i="2"/>
  <c r="BN468" i="2"/>
  <c r="Y486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Z198" i="2" s="1"/>
  <c r="Y209" i="2"/>
  <c r="Z218" i="2"/>
  <c r="Z228" i="2"/>
  <c r="Y269" i="2"/>
  <c r="Z305" i="2"/>
  <c r="Z306" i="2" s="1"/>
  <c r="Z346" i="2"/>
  <c r="Z381" i="2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3" i="2" s="1"/>
  <c r="Z69" i="2"/>
  <c r="Y74" i="2"/>
  <c r="Z131" i="2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01" i="2" l="1"/>
  <c r="Z132" i="2"/>
  <c r="Z383" i="2"/>
  <c r="Z335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<sst xmlns="http://schemas.openxmlformats.org/spreadsheetml/2006/main" count="3742" uniqueCount="803">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</sst>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12"/>
  <sheetViews>
    <sheetView showGridLines="0" tabSelected="1" topLeftCell="G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576" t="s">
        <v>8</v>
      </c>
      <c r="B5" s="576"/>
      <c r="C5" s="576"/>
      <c r="D5" s="577"/>
      <c r="E5" s="577"/>
      <c r="F5" s="578" t="s">
        <v>14</v>
      </c>
      <c r="G5" s="578"/>
      <c r="H5" s="577" t="s">
        <v>802</v>
      </c>
      <c r="I5" s="577"/>
      <c r="J5" s="577"/>
      <c r="K5" s="577"/>
      <c r="L5" s="577"/>
      <c r="M5" s="577"/>
      <c r="N5" s="72"/>
      <c r="P5" s="27" t="s">
        <v>4</v>
      </c>
      <c r="Q5" s="579">
        <v>46201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5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Воскресенье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5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" customHeight="1" x14ac:dyDescent="0.25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5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5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customHeight="1" x14ac:dyDescent="0.25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5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5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5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5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5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5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5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5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>
        <v>20</v>
      </c>
      <c r="Y49" s="55">
        <f>IFERROR(IF(X49="",0,CEILING((X49/$H49),1)*$H49),"")</f>
        <v>21.6</v>
      </c>
      <c r="Z49" s="41">
        <f>IFERROR(IF(Y49=0,"",ROUNDUP(Y49/H49,0)*0.01898),"")</f>
        <v>3.7960000000000001E-2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20.75925925925926</v>
      </c>
      <c r="BN49" s="78">
        <f>IFERROR(Y49*I49/H49,"0")</f>
        <v>22.42</v>
      </c>
      <c r="BO49" s="78">
        <f>IFERROR(1/J49*(X49/H49),"0")</f>
        <v>2.8935185185185182E-2</v>
      </c>
      <c r="BP49" s="78">
        <f>IFERROR(1/J49*(Y49/H49),"0")</f>
        <v>3.125E-2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5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1.8518518518518516</v>
      </c>
      <c r="Y53" s="43">
        <f>IFERROR(Y49/H49,"0")+IFERROR(Y50/H50,"0")+IFERROR(Y51/H51,"0")+IFERROR(Y52/H52,"0")</f>
        <v>2</v>
      </c>
      <c r="Z53" s="43">
        <f>IFERROR(IF(Z49="",0,Z49),"0")+IFERROR(IF(Z50="",0,Z50),"0")+IFERROR(IF(Z51="",0,Z51),"0")+IFERROR(IF(Z52="",0,Z52),"0")</f>
        <v>3.7960000000000001E-2</v>
      </c>
      <c r="AA53" s="67"/>
      <c r="AB53" s="67"/>
      <c r="AC53" s="67"/>
    </row>
    <row r="54" spans="1:68" x14ac:dyDescent="0.25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20</v>
      </c>
      <c r="Y54" s="43">
        <f>IFERROR(SUM(Y49:Y52),"0")</f>
        <v>21.6</v>
      </c>
      <c r="Z54" s="42"/>
      <c r="AA54" s="67"/>
      <c r="AB54" s="67"/>
      <c r="AC54" s="67"/>
    </row>
    <row r="55" spans="1:68" ht="16.5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/>
      <c r="Y58" s="55">
        <f t="shared" si="6"/>
        <v>0</v>
      </c>
      <c r="Z58" s="41" t="str">
        <f>IFERROR(IF(Y58=0,"",ROUNDUP(Y58/H58,0)*0.01898),"")</f>
        <v/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5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10</v>
      </c>
      <c r="Y63" s="43">
        <f>IFERROR(Y57/H57,"0")+IFERROR(Y58/H58,"0")+IFERROR(Y59/H59,"0")+IFERROR(Y60/H60,"0")+IFERROR(Y61/H61,"0")+IFERROR(Y62/H62,"0")</f>
        <v>10</v>
      </c>
      <c r="Z63" s="43">
        <f>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5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45</v>
      </c>
      <c r="Y64" s="43">
        <f>IFERROR(SUM(Y57:Y62),"0")</f>
        <v>45</v>
      </c>
      <c r="Z64" s="42"/>
      <c r="AA64" s="67"/>
      <c r="AB64" s="67"/>
      <c r="AC64" s="67"/>
    </row>
    <row r="65" spans="1:68" ht="14.25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/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5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5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5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>
        <v>15</v>
      </c>
      <c r="Y82" s="55">
        <f>IFERROR(IF(X82="",0,CEILING((X82/$H82),1)*$H82),"")</f>
        <v>15.6</v>
      </c>
      <c r="Z82" s="41">
        <f>IFERROR(IF(Y82=0,"",ROUNDUP(Y82/H82,0)*0.01898),"")</f>
        <v>3.7960000000000001E-2</v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15.78846153846154</v>
      </c>
      <c r="BN82" s="78">
        <f>IFERROR(Y82*I82/H82,"0")</f>
        <v>16.420000000000002</v>
      </c>
      <c r="BO82" s="78">
        <f>IFERROR(1/J82*(X82/H82),"0")</f>
        <v>3.0048076923076924E-2</v>
      </c>
      <c r="BP82" s="78">
        <f>IFERROR(1/J82*(Y82/H82),"0")</f>
        <v>3.125E-2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5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1.9230769230769231</v>
      </c>
      <c r="Y84" s="43">
        <f>IFERROR(Y82/H82,"0")+IFERROR(Y83/H83,"0")</f>
        <v>2</v>
      </c>
      <c r="Z84" s="43">
        <f>IFERROR(IF(Z82="",0,Z82),"0")+IFERROR(IF(Z83="",0,Z83),"0")</f>
        <v>3.7960000000000001E-2</v>
      </c>
      <c r="AA84" s="67"/>
      <c r="AB84" s="67"/>
      <c r="AC84" s="67"/>
    </row>
    <row r="85" spans="1:68" x14ac:dyDescent="0.25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15</v>
      </c>
      <c r="Y85" s="43">
        <f>IFERROR(SUM(Y82:Y83),"0")</f>
        <v>15.6</v>
      </c>
      <c r="Z85" s="42"/>
      <c r="AA85" s="67"/>
      <c r="AB85" s="67"/>
      <c r="AC85" s="67"/>
    </row>
    <row r="86" spans="1:68" ht="16.5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/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/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5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5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>
        <v>8</v>
      </c>
      <c r="Y95" s="55">
        <f>IFERROR(IF(X95="",0,CEILING((X95/$H95),1)*$H95),"")</f>
        <v>8.1</v>
      </c>
      <c r="Z95" s="41">
        <f>IFERROR(IF(Y95=0,"",ROUNDUP(Y95/H95,0)*0.01898),"")</f>
        <v>1.898E-2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8.4879012345679019</v>
      </c>
      <c r="BN95" s="78">
        <f>IFERROR(Y95*I95/H95,"0")</f>
        <v>8.5939999999999994</v>
      </c>
      <c r="BO95" s="78">
        <f>IFERROR(1/J95*(X95/H95),"0")</f>
        <v>1.54320987654321E-2</v>
      </c>
      <c r="BP95" s="78">
        <f>IFERROR(1/J95*(Y95/H95),"0")</f>
        <v>1.5625E-2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5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2.9876543209876543</v>
      </c>
      <c r="Y99" s="43">
        <f>IFERROR(Y95/H95,"0")+IFERROR(Y96/H96,"0")+IFERROR(Y97/H97,"0")+IFERROR(Y98/H98,"0")</f>
        <v>3</v>
      </c>
      <c r="Z99" s="43">
        <f>IFERROR(IF(Z95="",0,Z95),"0")+IFERROR(IF(Z96="",0,Z96),"0")+IFERROR(IF(Z97="",0,Z97),"0")+IFERROR(IF(Z98="",0,Z98),"0")</f>
        <v>3.2000000000000001E-2</v>
      </c>
      <c r="AA99" s="67"/>
      <c r="AB99" s="67"/>
      <c r="AC99" s="67"/>
    </row>
    <row r="100" spans="1:68" x14ac:dyDescent="0.25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13.4</v>
      </c>
      <c r="Y100" s="43">
        <f>IFERROR(SUM(Y95:Y98),"0")</f>
        <v>13.5</v>
      </c>
      <c r="Z100" s="42"/>
      <c r="AA100" s="67"/>
      <c r="AB100" s="67"/>
      <c r="AC100" s="67"/>
    </row>
    <row r="101" spans="1:68" ht="16.5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5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x14ac:dyDescent="0.25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5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5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60</v>
      </c>
      <c r="Y118" s="55">
        <f>IFERROR(IF(X118="",0,CEILING((X118/$H118),1)*$H118),"")</f>
        <v>64.8</v>
      </c>
      <c r="Z118" s="41">
        <f>IFERROR(IF(Y118=0,"",ROUNDUP(Y118/H118,0)*0.01898),"")</f>
        <v>0.15184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63.614814814814814</v>
      </c>
      <c r="BN118" s="78">
        <f>IFERROR(Y118*I118/H118,"0")</f>
        <v>68.703999999999994</v>
      </c>
      <c r="BO118" s="78">
        <f>IFERROR(1/J118*(X118/H118),"0")</f>
        <v>0.11574074074074074</v>
      </c>
      <c r="BP118" s="78">
        <f>IFERROR(1/J118*(Y118/H118),"0")</f>
        <v>0.125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>
        <v>21.6</v>
      </c>
      <c r="Y120" s="55">
        <f>IFERROR(IF(X120="",0,CEILING((X120/$H120),1)*$H120),"")</f>
        <v>21.6</v>
      </c>
      <c r="Z120" s="41">
        <f>IFERROR(IF(Y120=0,"",ROUNDUP(Y120/H120,0)*0.00651),"")</f>
        <v>5.2080000000000001E-2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23.616</v>
      </c>
      <c r="BN120" s="78">
        <f>IFERROR(Y120*I120/H120,"0")</f>
        <v>23.616</v>
      </c>
      <c r="BO120" s="78">
        <f>IFERROR(1/J120*(X120/H120),"0")</f>
        <v>4.3956043956043959E-2</v>
      </c>
      <c r="BP120" s="78">
        <f>IFERROR(1/J120*(Y120/H120),"0")</f>
        <v>4.3956043956043959E-2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5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15.407407407407408</v>
      </c>
      <c r="Y122" s="43">
        <f>IFERROR(Y118/H118,"0")+IFERROR(Y119/H119,"0")+IFERROR(Y120/H120,"0")+IFERROR(Y121/H121,"0")</f>
        <v>16</v>
      </c>
      <c r="Z122" s="43">
        <f>IFERROR(IF(Z118="",0,Z118),"0")+IFERROR(IF(Z119="",0,Z119),"0")+IFERROR(IF(Z120="",0,Z120),"0")+IFERROR(IF(Z121="",0,Z121),"0")</f>
        <v>0.20391999999999999</v>
      </c>
      <c r="AA122" s="67"/>
      <c r="AB122" s="67"/>
      <c r="AC122" s="67"/>
    </row>
    <row r="123" spans="1:68" x14ac:dyDescent="0.25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81.599999999999994</v>
      </c>
      <c r="Y123" s="43">
        <f>IFERROR(SUM(Y118:Y121),"0")</f>
        <v>86.4</v>
      </c>
      <c r="Z123" s="42"/>
      <c r="AA123" s="67"/>
      <c r="AB123" s="67"/>
      <c r="AC123" s="67"/>
    </row>
    <row r="124" spans="1:68" ht="14.25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5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5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5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5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5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5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5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5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5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5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5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5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>
        <v>27</v>
      </c>
      <c r="Y155" s="55">
        <f t="shared" ref="Y155:Y164" si="11">IFERROR(IF(X155="",0,CEILING((X155/$H155),1)*$H155),"")</f>
        <v>29.400000000000002</v>
      </c>
      <c r="Z155" s="41">
        <f>IFERROR(IF(Y155=0,"",ROUNDUP(Y155/H155,0)*0.00902),"")</f>
        <v>6.3140000000000002E-2</v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28.221428571428568</v>
      </c>
      <c r="BN155" s="78">
        <f t="shared" ref="BN155:BN164" si="13">IFERROR(Y155*I155/H155,"0")</f>
        <v>30.73</v>
      </c>
      <c r="BO155" s="78">
        <f t="shared" ref="BO155:BO164" si="14">IFERROR(1/J155*(X155/H155),"0")</f>
        <v>4.8701298701298697E-2</v>
      </c>
      <c r="BP155" s="78">
        <f t="shared" ref="BP155:BP164" si="15">IFERROR(1/J155*(Y155/H155),"0")</f>
        <v>5.3030303030303032E-2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>
        <v>15</v>
      </c>
      <c r="Y156" s="55">
        <f t="shared" si="11"/>
        <v>16.8</v>
      </c>
      <c r="Z156" s="41">
        <f>IFERROR(IF(Y156=0,"",ROUNDUP(Y156/H156,0)*0.00902),"")</f>
        <v>3.6080000000000001E-2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15.678571428571427</v>
      </c>
      <c r="BN156" s="78">
        <f t="shared" si="13"/>
        <v>17.559999999999999</v>
      </c>
      <c r="BO156" s="78">
        <f t="shared" si="14"/>
        <v>2.7056277056277056E-2</v>
      </c>
      <c r="BP156" s="78">
        <f t="shared" si="15"/>
        <v>3.0303030303030304E-2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>
        <v>8</v>
      </c>
      <c r="Y158" s="55">
        <f t="shared" si="11"/>
        <v>8.4</v>
      </c>
      <c r="Z158" s="41">
        <f>IFERROR(IF(Y158=0,"",ROUNDUP(Y158/H158,0)*0.00902),"")</f>
        <v>1.804E-2</v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8.3619047619047606</v>
      </c>
      <c r="BN158" s="78">
        <f t="shared" si="13"/>
        <v>8.7799999999999994</v>
      </c>
      <c r="BO158" s="78">
        <f t="shared" si="14"/>
        <v>1.443001443001443E-2</v>
      </c>
      <c r="BP158" s="78">
        <f t="shared" si="15"/>
        <v>1.5151515151515152E-2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>
        <v>9.24</v>
      </c>
      <c r="Y160" s="55">
        <f t="shared" si="11"/>
        <v>10.08</v>
      </c>
      <c r="Z160" s="41">
        <f>IFERROR(IF(Y160=0,"",ROUNDUP(Y160/H160,0)*0.00502),"")</f>
        <v>3.0120000000000001E-2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9.7900000000000009</v>
      </c>
      <c r="BN160" s="78">
        <f t="shared" si="13"/>
        <v>10.68</v>
      </c>
      <c r="BO160" s="78">
        <f t="shared" si="14"/>
        <v>2.3504273504273508E-2</v>
      </c>
      <c r="BP160" s="78">
        <f t="shared" si="15"/>
        <v>2.5641025641025644E-2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>
        <v>3</v>
      </c>
      <c r="Y162" s="55">
        <f t="shared" si="11"/>
        <v>3.36</v>
      </c>
      <c r="Z162" s="41">
        <f>IFERROR(IF(Y162=0,"",ROUNDUP(Y162/H162,0)*0.00502),"")</f>
        <v>1.004E-2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3.1785714285714288</v>
      </c>
      <c r="BN162" s="78">
        <f t="shared" si="13"/>
        <v>3.5599999999999996</v>
      </c>
      <c r="BO162" s="78">
        <f t="shared" si="14"/>
        <v>7.6312576312576328E-3</v>
      </c>
      <c r="BP162" s="78">
        <f t="shared" si="15"/>
        <v>8.5470085470085479E-3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>
        <v>3</v>
      </c>
      <c r="Y164" s="55">
        <f t="shared" si="11"/>
        <v>3.36</v>
      </c>
      <c r="Z164" s="41">
        <f>IFERROR(IF(Y164=0,"",ROUNDUP(Y164/H164,0)*0.00502),"")</f>
        <v>1.004E-2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3.1785714285714288</v>
      </c>
      <c r="BN164" s="78">
        <f t="shared" si="13"/>
        <v>3.5599999999999996</v>
      </c>
      <c r="BO164" s="78">
        <f t="shared" si="14"/>
        <v>7.6312576312576328E-3</v>
      </c>
      <c r="BP164" s="78">
        <f t="shared" si="15"/>
        <v>8.5470085470085479E-3</v>
      </c>
    </row>
    <row r="165" spans="1:68" x14ac:dyDescent="0.25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20.976190476190474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23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0.16746</v>
      </c>
      <c r="AA165" s="67"/>
      <c r="AB165" s="67"/>
      <c r="AC165" s="67"/>
    </row>
    <row r="166" spans="1:68" x14ac:dyDescent="0.25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65.240000000000009</v>
      </c>
      <c r="Y166" s="43">
        <f>IFERROR(SUM(Y155:Y164),"0")</f>
        <v>71.400000000000006</v>
      </c>
      <c r="Z166" s="42"/>
      <c r="AA166" s="67"/>
      <c r="AB166" s="67"/>
      <c r="AC166" s="67"/>
    </row>
    <row r="167" spans="1:68" ht="14.25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5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5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5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5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5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5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5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5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5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5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5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5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5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5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5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/>
      <c r="Y216" s="55">
        <f t="shared" ref="Y216:Y223" si="22">IFERROR(IF(X216="",0,CEILING((X216/$H216),1)*$H216),"")</f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0</v>
      </c>
      <c r="BN216" s="78">
        <f t="shared" ref="BN216:BN223" si="24">IFERROR(Y216*I216/H216,"0")</f>
        <v>0</v>
      </c>
      <c r="BO216" s="78">
        <f t="shared" ref="BO216:BO223" si="25">IFERROR(1/J216*(X216/H216),"0")</f>
        <v>0</v>
      </c>
      <c r="BP216" s="78">
        <f t="shared" ref="BP216:BP223" si="26">IFERROR(1/J216*(Y216/H216),"0")</f>
        <v>0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>
        <v>20</v>
      </c>
      <c r="Y218" s="55">
        <f t="shared" si="22"/>
        <v>21.6</v>
      </c>
      <c r="Z218" s="41">
        <f>IFERROR(IF(Y218=0,"",ROUNDUP(Y218/H218,0)*0.00902),"")</f>
        <v>3.6080000000000001E-2</v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20.703703703703702</v>
      </c>
      <c r="BN218" s="78">
        <f t="shared" si="24"/>
        <v>22.36</v>
      </c>
      <c r="BO218" s="78">
        <f t="shared" si="25"/>
        <v>2.8058361391694722E-2</v>
      </c>
      <c r="BP218" s="78">
        <f t="shared" si="26"/>
        <v>3.0303030303030304E-2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si="22"/>
        <v>32.400000000000006</v>
      </c>
      <c r="Z219" s="41">
        <f>IFERROR(IF(Y219=0,"",ROUNDUP(Y219/H219,0)*0.00902),"")</f>
        <v>5.4120000000000001E-2</v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31.05555555555555</v>
      </c>
      <c r="BN219" s="78">
        <f t="shared" si="24"/>
        <v>33.54</v>
      </c>
      <c r="BO219" s="78">
        <f t="shared" si="25"/>
        <v>4.208754208754209E-2</v>
      </c>
      <c r="BP219" s="78">
        <f t="shared" si="26"/>
        <v>4.5454545454545463E-2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5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9.2592592592592595</v>
      </c>
      <c r="Y224" s="43">
        <f>IFERROR(Y216/H216,"0")+IFERROR(Y217/H217,"0")+IFERROR(Y218/H218,"0")+IFERROR(Y219/H219,"0")+IFERROR(Y220/H220,"0")+IFERROR(Y221/H221,"0")+IFERROR(Y222/H222,"0")+IFERROR(Y223/H223,"0")</f>
        <v>10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9.0200000000000002E-2</v>
      </c>
      <c r="AA224" s="67"/>
      <c r="AB224" s="67"/>
      <c r="AC224" s="67"/>
    </row>
    <row r="225" spans="1:68" x14ac:dyDescent="0.25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50</v>
      </c>
      <c r="Y225" s="43">
        <f>IFERROR(SUM(Y216:Y223),"0")</f>
        <v>54.000000000000007</v>
      </c>
      <c r="Z225" s="42"/>
      <c r="AA225" s="67"/>
      <c r="AB225" s="67"/>
      <c r="AC225" s="67"/>
    </row>
    <row r="226" spans="1:68" ht="14.25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>
        <v>16</v>
      </c>
      <c r="Y228" s="55">
        <f t="shared" si="27"/>
        <v>16.2</v>
      </c>
      <c r="Z228" s="41">
        <f>IFERROR(IF(Y228=0,"",ROUNDUP(Y228/H228,0)*0.01898),"")</f>
        <v>3.7960000000000001E-2</v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16.94024691358025</v>
      </c>
      <c r="BN228" s="78">
        <f t="shared" si="29"/>
        <v>17.152000000000001</v>
      </c>
      <c r="BO228" s="78">
        <f t="shared" si="30"/>
        <v>3.0864197530864199E-2</v>
      </c>
      <c r="BP228" s="78">
        <f t="shared" si="31"/>
        <v>3.125E-2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5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1.9753086419753088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2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3.7960000000000001E-2</v>
      </c>
      <c r="AA237" s="67"/>
      <c r="AB237" s="67"/>
      <c r="AC237" s="67"/>
    </row>
    <row r="238" spans="1:68" x14ac:dyDescent="0.25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16</v>
      </c>
      <c r="Y238" s="43">
        <f>IFERROR(SUM(Y227:Y236),"0")</f>
        <v>16.2</v>
      </c>
      <c r="Z238" s="42"/>
      <c r="AA238" s="67"/>
      <c r="AB238" s="67"/>
      <c r="AC238" s="67"/>
    </row>
    <row r="239" spans="1:68" ht="14.25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5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5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5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5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5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5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5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5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5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5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>
        <v>10</v>
      </c>
      <c r="Y274" s="55">
        <f>IFERROR(IF(X274="",0,CEILING((X274/$H274),1)*$H274),"")</f>
        <v>10.8</v>
      </c>
      <c r="Z274" s="41">
        <f>IFERROR(IF(Y274=0,"",ROUNDUP(Y274/H274,0)*0.01898),"")</f>
        <v>1.898E-2</v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10.37962962962963</v>
      </c>
      <c r="BN274" s="78">
        <f>IFERROR(Y274*I274/H274,"0")</f>
        <v>11.21</v>
      </c>
      <c r="BO274" s="78">
        <f>IFERROR(1/J274*(X274/H274),"0")</f>
        <v>1.4467592592592591E-2</v>
      </c>
      <c r="BP274" s="78">
        <f>IFERROR(1/J274*(Y274/H274),"0")</f>
        <v>1.5625E-2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>
        <v>50</v>
      </c>
      <c r="Y275" s="55">
        <f>IFERROR(IF(X275="",0,CEILING((X275/$H275),1)*$H275),"")</f>
        <v>54</v>
      </c>
      <c r="Z275" s="41">
        <f>IFERROR(IF(Y275=0,"",ROUNDUP(Y275/H275,0)*0.01898),"")</f>
        <v>9.4899999999999998E-2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51.898148148148145</v>
      </c>
      <c r="BN275" s="78">
        <f>IFERROR(Y275*I275/H275,"0")</f>
        <v>56.05</v>
      </c>
      <c r="BO275" s="78">
        <f>IFERROR(1/J275*(X275/H275),"0")</f>
        <v>7.2337962962962965E-2</v>
      </c>
      <c r="BP275" s="78">
        <f>IFERROR(1/J275*(Y275/H275),"0")</f>
        <v>7.8125E-2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5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5.5555555555555554</v>
      </c>
      <c r="Y278" s="43">
        <f>IFERROR(Y273/H273,"0")+IFERROR(Y274/H274,"0")+IFERROR(Y275/H275,"0")+IFERROR(Y276/H276,"0")+IFERROR(Y277/H277,"0")</f>
        <v>6</v>
      </c>
      <c r="Z278" s="43">
        <f>IFERROR(IF(Z273="",0,Z273),"0")+IFERROR(IF(Z274="",0,Z274),"0")+IFERROR(IF(Z275="",0,Z275),"0")+IFERROR(IF(Z276="",0,Z276),"0")+IFERROR(IF(Z277="",0,Z277),"0")</f>
        <v>0.11388</v>
      </c>
      <c r="AA278" s="67"/>
      <c r="AB278" s="67"/>
      <c r="AC278" s="67"/>
    </row>
    <row r="279" spans="1:68" x14ac:dyDescent="0.25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60</v>
      </c>
      <c r="Y279" s="43">
        <f>IFERROR(SUM(Y273:Y277),"0")</f>
        <v>64.8</v>
      </c>
      <c r="Z279" s="42"/>
      <c r="AA279" s="67"/>
      <c r="AB279" s="67"/>
      <c r="AC279" s="67"/>
    </row>
    <row r="280" spans="1:68" ht="16.5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5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5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5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5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5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5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5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5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5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8</v>
      </c>
      <c r="Y321" s="55">
        <f t="shared" ref="Y321:Y327" si="43">IFERROR(IF(X321="",0,CEILING((X321/$H321),1)*$H321),"")</f>
        <v>8.4</v>
      </c>
      <c r="Z321" s="41">
        <f>IFERROR(IF(Y321=0,"",ROUNDUP(Y321/H321,0)*0.00902),"")</f>
        <v>1.804E-2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8.4761904761904763</v>
      </c>
      <c r="BN321" s="78">
        <f t="shared" ref="BN321:BN327" si="45">IFERROR(Y321*I321/H321,"0")</f>
        <v>8.9</v>
      </c>
      <c r="BO321" s="78">
        <f t="shared" ref="BO321:BO327" si="46">IFERROR(1/J321*(X321/H321),"0")</f>
        <v>1.443001443001443E-2</v>
      </c>
      <c r="BP321" s="78">
        <f t="shared" ref="BP321:BP327" si="47">IFERROR(1/J321*(Y321/H321),"0")</f>
        <v>1.5151515151515152E-2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5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1.9047619047619047</v>
      </c>
      <c r="Y328" s="43">
        <f>IFERROR(Y321/H321,"0")+IFERROR(Y322/H322,"0")+IFERROR(Y323/H323,"0")+IFERROR(Y324/H324,"0")+IFERROR(Y325/H325,"0")+IFERROR(Y326/H326,"0")+IFERROR(Y327/H327,"0")</f>
        <v>2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1.804E-2</v>
      </c>
      <c r="AA328" s="67"/>
      <c r="AB328" s="67"/>
      <c r="AC328" s="67"/>
    </row>
    <row r="329" spans="1:68" x14ac:dyDescent="0.25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8</v>
      </c>
      <c r="Y329" s="43">
        <f>IFERROR(SUM(Y321:Y327),"0")</f>
        <v>8.4</v>
      </c>
      <c r="Z329" s="42"/>
      <c r="AA329" s="67"/>
      <c r="AB329" s="67"/>
      <c r="AC329" s="67"/>
    </row>
    <row r="330" spans="1:68" ht="14.25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5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5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50</v>
      </c>
      <c r="Y339" s="55">
        <f>IFERROR(IF(X339="",0,CEILING((X339/$H339),1)*$H339),"")</f>
        <v>54.6</v>
      </c>
      <c r="Z339" s="41">
        <f>IFERROR(IF(Y339=0,"",ROUNDUP(Y339/H339,0)*0.01898),"")</f>
        <v>0.13286000000000001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53.166666666666671</v>
      </c>
      <c r="BN339" s="78">
        <f>IFERROR(Y339*I339/H339,"0")</f>
        <v>58.058000000000007</v>
      </c>
      <c r="BO339" s="78">
        <f>IFERROR(1/J339*(X339/H339),"0")</f>
        <v>0.10016025641025642</v>
      </c>
      <c r="BP339" s="78">
        <f>IFERROR(1/J339*(Y339/H339),"0")</f>
        <v>0.109375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5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6.4102564102564106</v>
      </c>
      <c r="Y341" s="43">
        <f>IFERROR(Y338/H338,"0")+IFERROR(Y339/H339,"0")+IFERROR(Y340/H340,"0")</f>
        <v>7</v>
      </c>
      <c r="Z341" s="43">
        <f>IFERROR(IF(Z338="",0,Z338),"0")+IFERROR(IF(Z339="",0,Z339),"0")+IFERROR(IF(Z340="",0,Z340),"0")</f>
        <v>0.13286000000000001</v>
      </c>
      <c r="AA341" s="67"/>
      <c r="AB341" s="67"/>
      <c r="AC341" s="67"/>
    </row>
    <row r="342" spans="1:68" x14ac:dyDescent="0.25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50</v>
      </c>
      <c r="Y342" s="43">
        <f>IFERROR(SUM(Y338:Y340),"0")</f>
        <v>54.6</v>
      </c>
      <c r="Z342" s="42"/>
      <c r="AA342" s="67"/>
      <c r="AB342" s="67"/>
      <c r="AC342" s="67"/>
    </row>
    <row r="343" spans="1:68" ht="14.25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5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5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5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5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>
        <v>8.75</v>
      </c>
      <c r="Y359" s="55">
        <f>IFERROR(IF(X359="",0,CEILING((X359/$H359),1)*$H359),"")</f>
        <v>10.5</v>
      </c>
      <c r="Z359" s="41">
        <f>IFERROR(IF(Y359=0,"",ROUNDUP(Y359/H359,0)*0.00651),"")</f>
        <v>3.2550000000000003E-2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9.7999999999999989</v>
      </c>
      <c r="BN359" s="78">
        <f>IFERROR(Y359*I359/H359,"0")</f>
        <v>11.759999999999998</v>
      </c>
      <c r="BO359" s="78">
        <f>IFERROR(1/J359*(X359/H359),"0")</f>
        <v>2.2893772893772892E-2</v>
      </c>
      <c r="BP359" s="78">
        <f>IFERROR(1/J359*(Y359/H359),"0")</f>
        <v>2.7472527472527476E-2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5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5.1666666666666661</v>
      </c>
      <c r="Y361" s="43">
        <f>IFERROR(Y358/H358,"0")+IFERROR(Y359/H359,"0")+IFERROR(Y360/H360,"0")</f>
        <v>6</v>
      </c>
      <c r="Z361" s="43">
        <f>IFERROR(IF(Z358="",0,Z358),"0")+IFERROR(IF(Z359="",0,Z359),"0")+IFERROR(IF(Z360="",0,Z360),"0")</f>
        <v>3.9060000000000004E-2</v>
      </c>
      <c r="AA361" s="67"/>
      <c r="AB361" s="67"/>
      <c r="AC361" s="67"/>
    </row>
    <row r="362" spans="1:68" x14ac:dyDescent="0.25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10.85</v>
      </c>
      <c r="Y362" s="43">
        <f>IFERROR(SUM(Y358:Y360),"0")</f>
        <v>12.6</v>
      </c>
      <c r="Z362" s="42"/>
      <c r="AA362" s="67"/>
      <c r="AB362" s="67"/>
      <c r="AC362" s="67"/>
    </row>
    <row r="363" spans="1:68" ht="27.75" customHeight="1" x14ac:dyDescent="0.25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/>
      <c r="Y366" s="55">
        <f t="shared" ref="Y366:Y372" si="48">IFERROR(IF(X366="",0,CEILING((X366/$H366),1)*$H366),"")</f>
        <v>0</v>
      </c>
      <c r="Z366" s="41" t="str">
        <f>IFERROR(IF(Y366=0,"",ROUNDUP(Y366/H366,0)*0.02175),"")</f>
        <v/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0</v>
      </c>
      <c r="BN366" s="78">
        <f t="shared" ref="BN366:BN372" si="50">IFERROR(Y366*I366/H366,"0")</f>
        <v>0</v>
      </c>
      <c r="BO366" s="78">
        <f t="shared" ref="BO366:BO372" si="51">IFERROR(1/J366*(X366/H366),"0")</f>
        <v>0</v>
      </c>
      <c r="BP366" s="78">
        <f t="shared" ref="BP366:BP372" si="52">IFERROR(1/J366*(Y366/H366),"0")</f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/>
      <c r="Y367" s="55">
        <f t="shared" si="48"/>
        <v>0</v>
      </c>
      <c r="Z367" s="41" t="str">
        <f>IFERROR(IF(Y367=0,"",ROUNDUP(Y367/H367,0)*0.02175),"")</f>
        <v/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0</v>
      </c>
      <c r="BN367" s="78">
        <f t="shared" si="50"/>
        <v>0</v>
      </c>
      <c r="BO367" s="78">
        <f t="shared" si="51"/>
        <v>0</v>
      </c>
      <c r="BP367" s="78">
        <f t="shared" si="52"/>
        <v>0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48"/>
        <v>210</v>
      </c>
      <c r="Z368" s="41">
        <f>IFERROR(IF(Y368=0,"",ROUNDUP(Y368/H368,0)*0.02175),"")</f>
        <v>0.30449999999999999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206.26666666666668</v>
      </c>
      <c r="BN368" s="78">
        <f t="shared" si="50"/>
        <v>216.58</v>
      </c>
      <c r="BO368" s="78">
        <f t="shared" si="51"/>
        <v>0.27777777777777779</v>
      </c>
      <c r="BP368" s="78">
        <f t="shared" si="52"/>
        <v>0.29166666666666663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5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13.333333333333334</v>
      </c>
      <c r="Y373" s="43">
        <f>IFERROR(Y366/H366,"0")+IFERROR(Y367/H367,"0")+IFERROR(Y368/H368,"0")+IFERROR(Y369/H369,"0")+IFERROR(Y370/H370,"0")+IFERROR(Y371/H371,"0")+IFERROR(Y372/H372,"0")</f>
        <v>14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0.30449999999999999</v>
      </c>
      <c r="AA373" s="67"/>
      <c r="AB373" s="67"/>
      <c r="AC373" s="67"/>
    </row>
    <row r="374" spans="1:68" x14ac:dyDescent="0.25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200</v>
      </c>
      <c r="Y374" s="43">
        <f>IFERROR(SUM(Y366:Y372),"0")</f>
        <v>210</v>
      </c>
      <c r="Z374" s="42"/>
      <c r="AA374" s="67"/>
      <c r="AB374" s="67"/>
      <c r="AC374" s="67"/>
    </row>
    <row r="375" spans="1:68" ht="14.25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200</v>
      </c>
      <c r="Y376" s="55">
        <f>IFERROR(IF(X376="",0,CEILING((X376/$H376),1)*$H376),"")</f>
        <v>210</v>
      </c>
      <c r="Z376" s="41">
        <f>IFERROR(IF(Y376=0,"",ROUNDUP(Y376/H376,0)*0.02175),"")</f>
        <v>0.30449999999999999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206.26666666666668</v>
      </c>
      <c r="BN376" s="78">
        <f>IFERROR(Y376*I376/H376,"0")</f>
        <v>216.58</v>
      </c>
      <c r="BO376" s="78">
        <f>IFERROR(1/J376*(X376/H376),"0")</f>
        <v>0.27777777777777779</v>
      </c>
      <c r="BP376" s="78">
        <f>IFERROR(1/J376*(Y376/H376),"0")</f>
        <v>0.29166666666666663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5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13.333333333333334</v>
      </c>
      <c r="Y378" s="43">
        <f>IFERROR(Y376/H376,"0")+IFERROR(Y377/H377,"0")</f>
        <v>14</v>
      </c>
      <c r="Z378" s="43">
        <f>IFERROR(IF(Z376="",0,Z376),"0")+IFERROR(IF(Z377="",0,Z377),"0")</f>
        <v>0.30449999999999999</v>
      </c>
      <c r="AA378" s="67"/>
      <c r="AB378" s="67"/>
      <c r="AC378" s="67"/>
    </row>
    <row r="379" spans="1:68" x14ac:dyDescent="0.25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200</v>
      </c>
      <c r="Y379" s="43">
        <f>IFERROR(SUM(Y376:Y377),"0")</f>
        <v>210</v>
      </c>
      <c r="Z379" s="42"/>
      <c r="AA379" s="67"/>
      <c r="AB379" s="67"/>
      <c r="AC379" s="67"/>
    </row>
    <row r="380" spans="1:68" ht="14.25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5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5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5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5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>
        <v>20</v>
      </c>
      <c r="Y391" s="55">
        <f>IFERROR(IF(X391="",0,CEILING((X391/$H391),1)*$H391),"")</f>
        <v>24</v>
      </c>
      <c r="Z391" s="41">
        <f>IFERROR(IF(Y391=0,"",ROUNDUP(Y391/H391,0)*0.01898),"")</f>
        <v>3.7960000000000001E-2</v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20.683333333333334</v>
      </c>
      <c r="BN391" s="78">
        <f>IFERROR(Y391*I391/H391,"0")</f>
        <v>24.820000000000004</v>
      </c>
      <c r="BO391" s="78">
        <f>IFERROR(1/J391*(X391/H391),"0")</f>
        <v>2.6041666666666668E-2</v>
      </c>
      <c r="BP391" s="78">
        <f>IFERROR(1/J391*(Y391/H391),"0")</f>
        <v>3.125E-2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5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1.6666666666666667</v>
      </c>
      <c r="Y393" s="43">
        <f>IFERROR(Y391/H391,"0")+IFERROR(Y392/H392,"0")</f>
        <v>2</v>
      </c>
      <c r="Z393" s="43">
        <f>IFERROR(IF(Z391="",0,Z391),"0")+IFERROR(IF(Z392="",0,Z392),"0")</f>
        <v>3.7960000000000001E-2</v>
      </c>
      <c r="AA393" s="67"/>
      <c r="AB393" s="67"/>
      <c r="AC393" s="67"/>
    </row>
    <row r="394" spans="1:68" x14ac:dyDescent="0.25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20</v>
      </c>
      <c r="Y394" s="43">
        <f>IFERROR(SUM(Y391:Y392),"0")</f>
        <v>24</v>
      </c>
      <c r="Z394" s="42"/>
      <c r="AA394" s="67"/>
      <c r="AB394" s="67"/>
      <c r="AC394" s="67"/>
    </row>
    <row r="395" spans="1:68" ht="14.25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5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5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5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5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5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5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1.8518518518518516</v>
      </c>
      <c r="Y417" s="43">
        <f>IFERROR(Y408/H408,"0")+IFERROR(Y409/H409,"0")+IFERROR(Y410/H410,"0")+IFERROR(Y411/H411,"0")+IFERROR(Y412/H412,"0")+IFERROR(Y413/H413,"0")+IFERROR(Y414/H414,"0")+IFERROR(Y415/H415,"0")+IFERROR(Y416/H416,"0")</f>
        <v>2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1.804E-2</v>
      </c>
      <c r="AA417" s="67"/>
      <c r="AB417" s="67"/>
      <c r="AC417" s="67"/>
    </row>
    <row r="418" spans="1:68" x14ac:dyDescent="0.25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10</v>
      </c>
      <c r="Y418" s="43">
        <f>IFERROR(SUM(Y408:Y416),"0")</f>
        <v>10.8</v>
      </c>
      <c r="Z418" s="42"/>
      <c r="AA418" s="67"/>
      <c r="AB418" s="67"/>
      <c r="AC418" s="67"/>
    </row>
    <row r="419" spans="1:68" ht="14.25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5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5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5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5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5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5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5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5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>
        <v>20</v>
      </c>
      <c r="Y443" s="55">
        <f t="shared" ref="Y443:Y453" si="59">IFERROR(IF(X443="",0,CEILING((X443/$H443),1)*$H443),"")</f>
        <v>21.12</v>
      </c>
      <c r="Z443" s="41">
        <f t="shared" ref="Z443:Z448" si="60">IFERROR(IF(Y443=0,"",ROUNDUP(Y443/H443,0)*0.01196),"")</f>
        <v>4.7840000000000001E-2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21.325757575757574</v>
      </c>
      <c r="BN443" s="78">
        <f t="shared" ref="BN443:BN453" si="62">IFERROR(Y443*I443/H443,"0")</f>
        <v>22.52</v>
      </c>
      <c r="BO443" s="78">
        <f t="shared" ref="BO443:BO453" si="63">IFERROR(1/J443*(X443/H443),"0")</f>
        <v>3.6421911421911424E-2</v>
      </c>
      <c r="BP443" s="78">
        <f t="shared" ref="BP443:BP453" si="64">IFERROR(1/J443*(Y443/H443),"0")</f>
        <v>3.8461538461538464E-2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>
        <v>50</v>
      </c>
      <c r="Y446" s="55">
        <f t="shared" si="59"/>
        <v>52.800000000000004</v>
      </c>
      <c r="Z446" s="41">
        <f t="shared" si="60"/>
        <v>0.1196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53.314393939393938</v>
      </c>
      <c r="BN446" s="78">
        <f t="shared" si="62"/>
        <v>56.3</v>
      </c>
      <c r="BO446" s="78">
        <f t="shared" si="63"/>
        <v>9.1054778554778545E-2</v>
      </c>
      <c r="BP446" s="78">
        <f t="shared" si="64"/>
        <v>9.6153846153846159E-2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50</v>
      </c>
      <c r="Y448" s="55">
        <f t="shared" si="59"/>
        <v>52.800000000000004</v>
      </c>
      <c r="Z448" s="41">
        <f t="shared" si="60"/>
        <v>0.1196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53.314393939393938</v>
      </c>
      <c r="BN448" s="78">
        <f t="shared" si="62"/>
        <v>56.3</v>
      </c>
      <c r="BO448" s="78">
        <f t="shared" si="63"/>
        <v>9.1054778554778545E-2</v>
      </c>
      <c r="BP448" s="78">
        <f t="shared" si="64"/>
        <v>9.6153846153846159E-2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/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5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23.674242424242422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25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0.29899999999999999</v>
      </c>
      <c r="AA454" s="67"/>
      <c r="AB454" s="67"/>
      <c r="AC454" s="67"/>
    </row>
    <row r="455" spans="1:68" x14ac:dyDescent="0.25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125</v>
      </c>
      <c r="Y455" s="43">
        <f>IFERROR(SUM(Y443:Y453),"0")</f>
        <v>132</v>
      </c>
      <c r="Z455" s="42"/>
      <c r="AA455" s="67"/>
      <c r="AB455" s="67"/>
      <c r="AC455" s="67"/>
    </row>
    <row r="456" spans="1:68" ht="14.25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100</v>
      </c>
      <c r="Y457" s="55">
        <f>IFERROR(IF(X457="",0,CEILING((X457/$H457),1)*$H457),"")</f>
        <v>100.32000000000001</v>
      </c>
      <c r="Z457" s="41">
        <f>IFERROR(IF(Y457=0,"",ROUNDUP(Y457/H457,0)*0.01196),"")</f>
        <v>0.22724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106.62878787878788</v>
      </c>
      <c r="BN457" s="78">
        <f>IFERROR(Y457*I457/H457,"0")</f>
        <v>106.97</v>
      </c>
      <c r="BO457" s="78">
        <f>IFERROR(1/J457*(X457/H457),"0")</f>
        <v>0.18210955710955709</v>
      </c>
      <c r="BP457" s="78">
        <f>IFERROR(1/J457*(Y457/H457),"0")</f>
        <v>0.18269230769230771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/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5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18.939393939393938</v>
      </c>
      <c r="Y460" s="43">
        <f>IFERROR(Y457/H457,"0")+IFERROR(Y458/H458,"0")+IFERROR(Y459/H459,"0")</f>
        <v>19</v>
      </c>
      <c r="Z460" s="43">
        <f>IFERROR(IF(Z457="",0,Z457),"0")+IFERROR(IF(Z458="",0,Z458),"0")+IFERROR(IF(Z459="",0,Z459),"0")</f>
        <v>0.22724</v>
      </c>
      <c r="AA460" s="67"/>
      <c r="AB460" s="67"/>
      <c r="AC460" s="67"/>
    </row>
    <row r="461" spans="1:68" x14ac:dyDescent="0.25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100</v>
      </c>
      <c r="Y461" s="43">
        <f>IFERROR(SUM(Y457:Y459),"0")</f>
        <v>100.32000000000001</v>
      </c>
      <c r="Z461" s="42"/>
      <c r="AA461" s="67"/>
      <c r="AB461" s="67"/>
      <c r="AC461" s="67"/>
    </row>
    <row r="462" spans="1:68" ht="14.25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10</v>
      </c>
      <c r="Y463" s="55">
        <f t="shared" ref="Y463:Y469" si="65">IFERROR(IF(X463="",0,CEILING((X463/$H463),1)*$H463),"")</f>
        <v>10.56</v>
      </c>
      <c r="Z463" s="41">
        <f>IFERROR(IF(Y463=0,"",ROUNDUP(Y463/H463,0)*0.01196),"")</f>
        <v>2.392E-2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10.662878787878787</v>
      </c>
      <c r="BN463" s="78">
        <f t="shared" ref="BN463:BN469" si="67">IFERROR(Y463*I463/H463,"0")</f>
        <v>11.26</v>
      </c>
      <c r="BO463" s="78">
        <f t="shared" ref="BO463:BO469" si="68">IFERROR(1/J463*(X463/H463),"0")</f>
        <v>1.8210955710955712E-2</v>
      </c>
      <c r="BP463" s="78">
        <f t="shared" ref="BP463:BP469" si="69">IFERROR(1/J463*(Y463/H463),"0")</f>
        <v>1.9230769230769232E-2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10</v>
      </c>
      <c r="Y464" s="55">
        <f t="shared" si="65"/>
        <v>10.56</v>
      </c>
      <c r="Z464" s="41">
        <f>IFERROR(IF(Y464=0,"",ROUNDUP(Y464/H464,0)*0.01196),"")</f>
        <v>2.392E-2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10.662878787878787</v>
      </c>
      <c r="BN464" s="78">
        <f t="shared" si="67"/>
        <v>11.26</v>
      </c>
      <c r="BO464" s="78">
        <f t="shared" si="68"/>
        <v>1.8210955710955712E-2</v>
      </c>
      <c r="BP464" s="78">
        <f t="shared" si="69"/>
        <v>1.9230769230769232E-2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10</v>
      </c>
      <c r="Y465" s="55">
        <f t="shared" si="65"/>
        <v>10.56</v>
      </c>
      <c r="Z465" s="41">
        <f>IFERROR(IF(Y465=0,"",ROUNDUP(Y465/H465,0)*0.01196),"")</f>
        <v>2.392E-2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10.662878787878787</v>
      </c>
      <c r="BN465" s="78">
        <f t="shared" si="67"/>
        <v>11.26</v>
      </c>
      <c r="BO465" s="78">
        <f t="shared" si="68"/>
        <v>1.8210955710955712E-2</v>
      </c>
      <c r="BP465" s="78">
        <f t="shared" si="69"/>
        <v>1.9230769230769232E-2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5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5.6818181818181817</v>
      </c>
      <c r="Y470" s="43">
        <f>IFERROR(Y463/H463,"0")+IFERROR(Y464/H464,"0")+IFERROR(Y465/H465,"0")+IFERROR(Y466/H466,"0")+IFERROR(Y467/H467,"0")+IFERROR(Y468/H468,"0")+IFERROR(Y469/H469,"0")</f>
        <v>6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7.1760000000000004E-2</v>
      </c>
      <c r="AA470" s="67"/>
      <c r="AB470" s="67"/>
      <c r="AC470" s="67"/>
    </row>
    <row r="471" spans="1:68" x14ac:dyDescent="0.25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30</v>
      </c>
      <c r="Y471" s="43">
        <f>IFERROR(SUM(Y463:Y469),"0")</f>
        <v>31.68</v>
      </c>
      <c r="Z471" s="42"/>
      <c r="AA471" s="67"/>
      <c r="AB471" s="67"/>
      <c r="AC471" s="67"/>
    </row>
    <row r="472" spans="1:68" ht="27.75" customHeight="1" x14ac:dyDescent="0.25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/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5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</v>
      </c>
      <c r="Y478" s="43">
        <f>IFERROR(Y475/H475,"0")+IFERROR(Y476/H476,"0")+IFERROR(Y477/H477,"0")</f>
        <v>0</v>
      </c>
      <c r="Z478" s="43">
        <f>IFERROR(IF(Z475="",0,Z475),"0")+IFERROR(IF(Z476="",0,Z476),"0")+IFERROR(IF(Z477="",0,Z477),"0")</f>
        <v>0</v>
      </c>
      <c r="AA478" s="67"/>
      <c r="AB478" s="67"/>
      <c r="AC478" s="67"/>
    </row>
    <row r="479" spans="1:68" x14ac:dyDescent="0.25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0</v>
      </c>
      <c r="Y479" s="43">
        <f>IFERROR(SUM(Y475:Y477),"0")</f>
        <v>0</v>
      </c>
      <c r="Z479" s="42"/>
      <c r="AA479" s="67"/>
      <c r="AB479" s="67"/>
      <c r="AC479" s="67"/>
    </row>
    <row r="480" spans="1:68" ht="14.25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5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5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5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5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100</v>
      </c>
      <c r="Y489" s="55">
        <f>IFERROR(IF(X489="",0,CEILING((X489/$H489),1)*$H489),"")</f>
        <v>108</v>
      </c>
      <c r="Z489" s="41">
        <f>IFERROR(IF(Y489=0,"",ROUNDUP(Y489/H489,0)*0.01898),"")</f>
        <v>0.22776000000000002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105.48888888888888</v>
      </c>
      <c r="BN489" s="78">
        <f>IFERROR(Y489*I489/H489,"0")</f>
        <v>113.92799999999998</v>
      </c>
      <c r="BO489" s="78">
        <f>IFERROR(1/J489*(X489/H489),"0")</f>
        <v>0.1736111111111111</v>
      </c>
      <c r="BP489" s="78">
        <f>IFERROR(1/J489*(Y489/H489),"0")</f>
        <v>0.1875</v>
      </c>
    </row>
    <row r="490" spans="1:68" x14ac:dyDescent="0.25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11.111111111111111</v>
      </c>
      <c r="Y490" s="43">
        <f>IFERROR(Y489/H489,"0")</f>
        <v>12</v>
      </c>
      <c r="Z490" s="43">
        <f>IFERROR(IF(Z489="",0,Z489),"0")</f>
        <v>0.22776000000000002</v>
      </c>
      <c r="AA490" s="67"/>
      <c r="AB490" s="67"/>
      <c r="AC490" s="67"/>
    </row>
    <row r="491" spans="1:68" x14ac:dyDescent="0.25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100</v>
      </c>
      <c r="Y491" s="43">
        <f>IFERROR(SUM(Y489:Y489),"0")</f>
        <v>108</v>
      </c>
      <c r="Z491" s="42"/>
      <c r="AA491" s="67"/>
      <c r="AB491" s="67"/>
      <c r="AC491" s="67"/>
    </row>
    <row r="492" spans="1:68" ht="14.25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5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5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5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5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5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1220.0900000000001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1290.9000000000001</v>
      </c>
      <c r="Z502" s="42"/>
      <c r="AA502" s="67"/>
      <c r="AB502" s="67"/>
      <c r="AC502" s="67"/>
    </row>
    <row r="503" spans="1:68" x14ac:dyDescent="0.25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1279.2004420579419</v>
      </c>
      <c r="Y503" s="43">
        <f>IFERROR(SUM(BN22:BN499),"0")</f>
        <v>1353.3859999999997</v>
      </c>
      <c r="Z503" s="42"/>
      <c r="AA503" s="67"/>
      <c r="AB503" s="67"/>
      <c r="AC503" s="67"/>
    </row>
    <row r="504" spans="1:68" x14ac:dyDescent="0.25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3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5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1354.2004420579419</v>
      </c>
      <c r="Y505" s="43">
        <f>GrossWeightTotalR+PalletQtyTotalR*25</f>
        <v>1428.3859999999997</v>
      </c>
      <c r="Z505" s="42"/>
      <c r="AA505" s="67"/>
      <c r="AB505" s="67"/>
      <c r="AC505" s="67"/>
    </row>
    <row r="506" spans="1:68" x14ac:dyDescent="0.25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173.00974025974025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183</v>
      </c>
      <c r="Z506" s="42"/>
      <c r="AA506" s="67"/>
      <c r="AB506" s="67"/>
      <c r="AC506" s="67"/>
    </row>
    <row r="507" spans="1:68" ht="15.6" x14ac:dyDescent="0.25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2.4922599999999999</v>
      </c>
      <c r="AA507" s="67"/>
      <c r="AB507" s="67"/>
      <c r="AC507" s="67"/>
    </row>
    <row r="508" spans="1:68" ht="13.8" thickBot="1" x14ac:dyDescent="0.3"/>
    <row r="509" spans="1:68" ht="28.8" thickTop="1" thickBot="1" x14ac:dyDescent="0.3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5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8" thickBot="1" x14ac:dyDescent="0.3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5" thickTop="1" thickBot="1" x14ac:dyDescent="0.3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21.6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60.6</v>
      </c>
      <c r="F512" s="52">
        <f>IFERROR(Y88*1,"0")+IFERROR(Y89*1,"0")+IFERROR(Y90*1,"0")+IFERROR(Y91*1,"0")+IFERROR(Y95*1,"0")+IFERROR(Y96*1,"0")+IFERROR(Y97*1,"0")+IFERROR(Y98*1,"0")</f>
        <v>13.5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86.4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71.400000000000006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70.2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64.8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63</v>
      </c>
      <c r="S512" s="52">
        <f>IFERROR(Y358*1,"0")+IFERROR(Y359*1,"0")+IFERROR(Y360*1,"0")</f>
        <v>12.6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420</v>
      </c>
      <c r="U512" s="52">
        <f>IFERROR(Y391*1,"0")+IFERROR(Y392*1,"0")+IFERROR(Y396*1,"0")+IFERROR(Y400*1,"0")+IFERROR(Y401*1,"0")+IFERROR(Y402*1,"0")</f>
        <v>24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10.8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264</v>
      </c>
      <c r="Z512" s="52">
        <f>IFERROR(Y475*1,"0")+IFERROR(Y476*1,"0")+IFERROR(Y477*1,"0")+IFERROR(Y481*1,"0")+IFERROR(Y485*1,"0")+IFERROR(Y489*1,"0")+IFERROR(Y493*1,"0")+IFERROR(Y494*1,"0")</f>
        <v>108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781</v>
      </c>
      <c r="H1" s="9"/>
    </row>
    <row r="3" spans="2:8" x14ac:dyDescent="0.25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5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5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5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5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2026-06-25T10:56:57Z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