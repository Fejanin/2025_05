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<sst xmlns="http://schemas.openxmlformats.org/spreadsheetml/2006/main" count="3645" uniqueCount="788">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</sst>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498"/>
  <sheetViews>
    <sheetView showGridLines="0" tabSelected="1" topLeftCell="F1" zoomScaleNormal="100" zoomScaleSheetLayoutView="100" workbookViewId="0">
      <selection activeCell="D8" sqref="D8:M8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841" t="s">
        <v>8</v>
      </c>
      <c r="B5" s="841"/>
      <c r="C5" s="841"/>
      <c r="D5" s="863"/>
      <c r="E5" s="863"/>
      <c r="F5" s="864" t="s">
        <v>14</v>
      </c>
      <c r="G5" s="864"/>
      <c r="H5" s="863" t="s">
        <v>787</v>
      </c>
      <c r="I5" s="863"/>
      <c r="J5" s="863"/>
      <c r="K5" s="863"/>
      <c r="L5" s="863"/>
      <c r="M5" s="863"/>
      <c r="N5" s="69"/>
      <c r="P5" s="26" t="s">
        <v>4</v>
      </c>
      <c r="Q5" s="865">
        <v>46201</v>
      </c>
      <c r="R5" s="865"/>
      <c r="T5" s="866" t="s">
        <v>3</v>
      </c>
      <c r="U5" s="867"/>
      <c r="V5" s="868" t="s">
        <v>751</v>
      </c>
      <c r="W5" s="869"/>
      <c r="AB5" s="57"/>
      <c r="AC5" s="57"/>
      <c r="AD5" s="57"/>
      <c r="AE5" s="57"/>
    </row>
    <row r="6" spans="1:32" s="17" customFormat="1" ht="24" customHeight="1" x14ac:dyDescent="0.25">
      <c r="A6" s="841" t="s">
        <v>1</v>
      </c>
      <c r="B6" s="841"/>
      <c r="C6" s="841"/>
      <c r="D6" s="842" t="s">
        <v>767</v>
      </c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Воскресенье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852" t="str">
        <f>IFERROR(VLOOKUP(DeliveryAddress,Table,3,0),1)</f>
        <v>6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5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>
        <v>0.41666666666666669</v>
      </c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" customHeight="1" x14ac:dyDescent="0.25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46203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5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5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5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5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5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5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5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5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5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5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864</v>
      </c>
      <c r="Y42" s="53">
        <f>IFERROR(IF(X42="",0,CEILING((X42/$H42),1)*$H42),"")</f>
        <v>864</v>
      </c>
      <c r="Z42" s="39">
        <f>IFERROR(IF(Y42=0,"",ROUNDUP(Y42/H42,0)*0.01898),"")</f>
        <v>1.5184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896.8</v>
      </c>
      <c r="BN42" s="75">
        <f>IFERROR(Y42*I42/H42,"0")</f>
        <v>896.8</v>
      </c>
      <c r="BO42" s="75">
        <f>IFERROR(1/J42*(X42/H42),"0")</f>
        <v>1.25</v>
      </c>
      <c r="BP42" s="75">
        <f>IFERROR(1/J42*(Y42/H42),"0")</f>
        <v>1.25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5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80</v>
      </c>
      <c r="Y45" s="41">
        <f>IFERROR(Y42/H42,"0")+IFERROR(Y43/H43,"0")+IFERROR(Y44/H44,"0")</f>
        <v>80</v>
      </c>
      <c r="Z45" s="41">
        <f>IFERROR(IF(Z42="",0,Z42),"0")+IFERROR(IF(Z43="",0,Z43),"0")+IFERROR(IF(Z44="",0,Z44),"0")</f>
        <v>1.5184</v>
      </c>
      <c r="AA45" s="64"/>
      <c r="AB45" s="64"/>
      <c r="AC45" s="64"/>
    </row>
    <row r="46" spans="1:68" x14ac:dyDescent="0.25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864</v>
      </c>
      <c r="Y46" s="41">
        <f>IFERROR(SUM(Y42:Y44),"0")</f>
        <v>864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5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5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5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5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5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5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5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5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5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5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65.680000000000007</v>
      </c>
      <c r="BN80" s="75">
        <f>IFERROR(Y80*I80/H80,"0")</f>
        <v>65.680000000000007</v>
      </c>
      <c r="BO80" s="75">
        <f>IFERROR(1/J80*(X80/H80),"0")</f>
        <v>0.125</v>
      </c>
      <c r="BP80" s="75">
        <f>IFERROR(1/J80*(Y80/H80),"0")</f>
        <v>0.125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5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5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345.6</v>
      </c>
      <c r="Y86" s="53">
        <f>IFERROR(IF(X86="",0,CEILING((X86/$H86),1)*$H86),"")</f>
        <v>345.6</v>
      </c>
      <c r="Z86" s="39">
        <f>IFERROR(IF(Y86=0,"",ROUNDUP(Y86/H86,0)*0.01898),"")</f>
        <v>0.60736000000000001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358.72</v>
      </c>
      <c r="BN86" s="75">
        <f>IFERROR(Y86*I86/H86,"0")</f>
        <v>358.72</v>
      </c>
      <c r="BO86" s="75">
        <f>IFERROR(1/J86*(X86/H86),"0")</f>
        <v>0.5</v>
      </c>
      <c r="BP86" s="75">
        <f>IFERROR(1/J86*(Y86/H86),"0")</f>
        <v>0.5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5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32</v>
      </c>
      <c r="Y90" s="41">
        <f>IFERROR(Y86/H86,"0")+IFERROR(Y87/H87,"0")+IFERROR(Y88/H88,"0")+IFERROR(Y89/H89,"0")</f>
        <v>32</v>
      </c>
      <c r="Z90" s="41">
        <f>IFERROR(IF(Z86="",0,Z86),"0")+IFERROR(IF(Z87="",0,Z87),"0")+IFERROR(IF(Z88="",0,Z88),"0")+IFERROR(IF(Z89="",0,Z89),"0")</f>
        <v>0.60736000000000001</v>
      </c>
      <c r="AA90" s="64"/>
      <c r="AB90" s="64"/>
      <c r="AC90" s="64"/>
    </row>
    <row r="91" spans="1:68" x14ac:dyDescent="0.25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345.6</v>
      </c>
      <c r="Y91" s="41">
        <f>IFERROR(SUM(Y86:Y89),"0")</f>
        <v>345.6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5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24</v>
      </c>
      <c r="Y97" s="41">
        <f>IFERROR(Y93/H93,"0")+IFERROR(Y94/H94,"0")+IFERROR(Y95/H95,"0")+IFERROR(Y96/H96,"0")</f>
        <v>24</v>
      </c>
      <c r="Z97" s="41">
        <f>IFERROR(IF(Z93="",0,Z93),"0")+IFERROR(IF(Z94="",0,Z94),"0")+IFERROR(IF(Z95="",0,Z95),"0")+IFERROR(IF(Z96="",0,Z96),"0")</f>
        <v>0.45552000000000004</v>
      </c>
      <c r="AA97" s="64"/>
      <c r="AB97" s="64"/>
      <c r="AC97" s="64"/>
    </row>
    <row r="98" spans="1:68" x14ac:dyDescent="0.25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194.4</v>
      </c>
      <c r="Y98" s="41">
        <f>IFERROR(SUM(Y93:Y96),"0")</f>
        <v>194.39999999999998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5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5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5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5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97.2</v>
      </c>
      <c r="Y118" s="53">
        <f>IFERROR(IF(X118="",0,CEILING((X118/$H118),1)*$H118),"")</f>
        <v>97.2</v>
      </c>
      <c r="Z118" s="39">
        <f>IFERROR(IF(Y118=0,"",ROUNDUP(Y118/H118,0)*0.00651),"")</f>
        <v>0.23436000000000001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106.27199999999999</v>
      </c>
      <c r="BN118" s="75">
        <f>IFERROR(Y118*I118/H118,"0")</f>
        <v>106.27199999999999</v>
      </c>
      <c r="BO118" s="75">
        <f>IFERROR(1/J118*(X118/H118),"0")</f>
        <v>0.19780219780219782</v>
      </c>
      <c r="BP118" s="75">
        <f>IFERROR(1/J118*(Y118/H118),"0")</f>
        <v>0.19780219780219782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5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76</v>
      </c>
      <c r="Y120" s="41">
        <f>IFERROR(Y116/H116,"0")+IFERROR(Y117/H117,"0")+IFERROR(Y118/H118,"0")+IFERROR(Y119/H119,"0")</f>
        <v>76</v>
      </c>
      <c r="Z120" s="41">
        <f>IFERROR(IF(Z116="",0,Z116),"0")+IFERROR(IF(Z117="",0,Z117),"0")+IFERROR(IF(Z118="",0,Z118),"0")+IFERROR(IF(Z119="",0,Z119),"0")</f>
        <v>0.99356</v>
      </c>
      <c r="AA120" s="64"/>
      <c r="AB120" s="64"/>
      <c r="AC120" s="64"/>
    </row>
    <row r="121" spans="1:68" x14ac:dyDescent="0.25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421.2</v>
      </c>
      <c r="Y121" s="41">
        <f>IFERROR(SUM(Y116:Y119),"0")</f>
        <v>421.2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5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5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5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5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5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5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5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5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5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5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5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5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5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5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5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5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5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ref="Y167:Y181" si="11">IFERROR(IF(X167="",0,CEILING((X167/$H167),1)*$H167),"")</f>
        <v>0</v>
      </c>
      <c r="Z167" s="39" t="str">
        <f>IFERROR(IF(Y167=0,"",ROUNDUP(Y167/H167,0)*0.00902),"")</f>
        <v/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0</v>
      </c>
      <c r="BN167" s="75">
        <f t="shared" ref="BN167:BN181" si="13">IFERROR(Y167*I167/H167,"0")</f>
        <v>0</v>
      </c>
      <c r="BO167" s="75">
        <f t="shared" ref="BO167:BO181" si="14">IFERROR(1/J167*(X167/H167),"0")</f>
        <v>0</v>
      </c>
      <c r="BP167" s="75">
        <f t="shared" ref="BP167:BP181" si="15">IFERROR(1/J167*(Y167/H167),"0")</f>
        <v>0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5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53.999999999999986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54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0.41508</v>
      </c>
      <c r="AA182" s="64"/>
      <c r="AB182" s="64"/>
      <c r="AC182" s="64"/>
    </row>
    <row r="183" spans="1:68" x14ac:dyDescent="0.25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189</v>
      </c>
      <c r="Y183" s="41">
        <f>IFERROR(SUM(Y167:Y181),"0")</f>
        <v>189.00000000000003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5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5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5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5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5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5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5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5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259.2</v>
      </c>
      <c r="Y206" s="53">
        <f t="shared" ref="Y206:Y213" si="16">IFERROR(IF(X206="",0,CEILING((X206/$H206),1)*$H206),"")</f>
        <v>259.20000000000005</v>
      </c>
      <c r="Z206" s="39">
        <f>IFERROR(IF(Y206=0,"",ROUNDUP(Y206/H206,0)*0.00902),"")</f>
        <v>0.43296000000000001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268.31999999999994</v>
      </c>
      <c r="BN206" s="75">
        <f t="shared" ref="BN206:BN213" si="18">IFERROR(Y206*I206/H206,"0")</f>
        <v>268.32</v>
      </c>
      <c r="BO206" s="75">
        <f t="shared" ref="BO206:BO213" si="19">IFERROR(1/J206*(X206/H206),"0")</f>
        <v>0.36363636363636359</v>
      </c>
      <c r="BP206" s="75">
        <f t="shared" ref="BP206:BP213" si="20">IFERROR(1/J206*(Y206/H206),"0")</f>
        <v>0.3636363636363637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5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119.99999999999999</v>
      </c>
      <c r="Y214" s="41">
        <f>IFERROR(Y206/H206,"0")+IFERROR(Y207/H207,"0")+IFERROR(Y208/H208,"0")+IFERROR(Y209/H209,"0")+IFERROR(Y210/H210,"0")+IFERROR(Y211/H211,"0")+IFERROR(Y212/H212,"0")+IFERROR(Y213/H213,"0")</f>
        <v>120.00000000000001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1.0824</v>
      </c>
      <c r="AA214" s="64"/>
      <c r="AB214" s="64"/>
      <c r="AC214" s="64"/>
    </row>
    <row r="215" spans="1:68" x14ac:dyDescent="0.25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647.99999999999989</v>
      </c>
      <c r="Y215" s="41">
        <f>IFERROR(SUM(Y206:Y213),"0")</f>
        <v>648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5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204</v>
      </c>
      <c r="Y226" s="41">
        <f>IFERROR(Y217/H217,"0")+IFERROR(Y218/H218,"0")+IFERROR(Y219/H219,"0")+IFERROR(Y220/H220,"0")+IFERROR(Y221/H221,"0")+IFERROR(Y222/H222,"0")+IFERROR(Y223/H223,"0")+IFERROR(Y224/H224,"0")+IFERROR(Y225/H225,"0")</f>
        <v>204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1.9266000000000001</v>
      </c>
      <c r="AA226" s="64"/>
      <c r="AB226" s="64"/>
      <c r="AC226" s="64"/>
    </row>
    <row r="227" spans="1:68" x14ac:dyDescent="0.25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792</v>
      </c>
      <c r="Y227" s="41">
        <f>IFERROR(SUM(Y217:Y225),"0")</f>
        <v>791.99999999999989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5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5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5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5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5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5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5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5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5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5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5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5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5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5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5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60.000000000000007</v>
      </c>
      <c r="Y282" s="41">
        <f>IFERROR(Y279/H279,"0")+IFERROR(Y280/H280,"0")+IFERROR(Y281/H281,"0")</f>
        <v>60</v>
      </c>
      <c r="Z282" s="41">
        <f>IFERROR(IF(Z279="",0,Z279),"0")+IFERROR(IF(Z280="",0,Z280),"0")+IFERROR(IF(Z281="",0,Z281),"0")</f>
        <v>0.3906</v>
      </c>
      <c r="AA282" s="64"/>
      <c r="AB282" s="64"/>
      <c r="AC282" s="64"/>
    </row>
    <row r="283" spans="1:68" x14ac:dyDescent="0.25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144</v>
      </c>
      <c r="Y283" s="41">
        <f>IFERROR(SUM(Y279:Y281),"0")</f>
        <v>144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5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5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5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5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5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5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5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5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5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5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436.8</v>
      </c>
      <c r="Y323" s="53">
        <f>IFERROR(IF(X323="",0,CEILING((X323/$H323),1)*$H323),"")</f>
        <v>436.8</v>
      </c>
      <c r="Z323" s="39">
        <f>IFERROR(IF(Y323=0,"",ROUNDUP(Y323/H323,0)*0.01898),"")</f>
        <v>1.06288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464.46400000000006</v>
      </c>
      <c r="BN323" s="75">
        <f>IFERROR(Y323*I323/H323,"0")</f>
        <v>464.46400000000006</v>
      </c>
      <c r="BO323" s="75">
        <f>IFERROR(1/J323*(X323/H323),"0")</f>
        <v>0.875</v>
      </c>
      <c r="BP323" s="75">
        <f>IFERROR(1/J323*(Y323/H323),"0")</f>
        <v>0.875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5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96</v>
      </c>
      <c r="Y325" s="41">
        <f>IFERROR(Y322/H322,"0")+IFERROR(Y323/H323,"0")+IFERROR(Y324/H324,"0")</f>
        <v>96</v>
      </c>
      <c r="Z325" s="41">
        <f>IFERROR(IF(Z322="",0,Z322),"0")+IFERROR(IF(Z323="",0,Z323),"0")+IFERROR(IF(Z324="",0,Z324),"0")</f>
        <v>1.8220800000000001</v>
      </c>
      <c r="AA325" s="64"/>
      <c r="AB325" s="64"/>
      <c r="AC325" s="64"/>
    </row>
    <row r="326" spans="1:68" x14ac:dyDescent="0.25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772.8</v>
      </c>
      <c r="Y326" s="41">
        <f>IFERROR(SUM(Y322:Y324),"0")</f>
        <v>772.80000000000007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5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5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5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5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5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5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5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480</v>
      </c>
      <c r="Y350" s="53">
        <f t="shared" ref="Y350:Y356" si="37">IFERROR(IF(X350="",0,CEILING((X350/$H350),1)*$H350),"")</f>
        <v>480</v>
      </c>
      <c r="Z350" s="39">
        <f>IFERROR(IF(Y350=0,"",ROUNDUP(Y350/H350,0)*0.02175),"")</f>
        <v>0.69599999999999995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495.04</v>
      </c>
      <c r="BN350" s="75">
        <f t="shared" ref="BN350:BN356" si="39">IFERROR(Y350*I350/H350,"0")</f>
        <v>495.04</v>
      </c>
      <c r="BO350" s="75">
        <f t="shared" ref="BO350:BO356" si="40">IFERROR(1/J350*(X350/H350),"0")</f>
        <v>0.66666666666666663</v>
      </c>
      <c r="BP350" s="75">
        <f t="shared" ref="BP350:BP356" si="41">IFERROR(1/J350*(Y350/H350),"0")</f>
        <v>0.66666666666666663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5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66</v>
      </c>
      <c r="Y357" s="41">
        <f>IFERROR(Y350/H350,"0")+IFERROR(Y351/H351,"0")+IFERROR(Y352/H352,"0")+IFERROR(Y353/H353,"0")+IFERROR(Y354/H354,"0")+IFERROR(Y355/H355,"0")+IFERROR(Y356/H356,"0")</f>
        <v>66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1.4355</v>
      </c>
      <c r="AA357" s="64"/>
      <c r="AB357" s="64"/>
      <c r="AC357" s="64"/>
    </row>
    <row r="358" spans="1:68" x14ac:dyDescent="0.25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990</v>
      </c>
      <c r="Y358" s="41">
        <f>IFERROR(SUM(Y350:Y356),"0")</f>
        <v>990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240</v>
      </c>
      <c r="Y360" s="53">
        <f>IFERROR(IF(X360="",0,CEILING((X360/$H360),1)*$H360),"")</f>
        <v>240</v>
      </c>
      <c r="Z360" s="39">
        <f>IFERROR(IF(Y360=0,"",ROUNDUP(Y360/H360,0)*0.02175),"")</f>
        <v>0.34799999999999998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247.52</v>
      </c>
      <c r="BN360" s="75">
        <f>IFERROR(Y360*I360/H360,"0")</f>
        <v>247.52</v>
      </c>
      <c r="BO360" s="75">
        <f>IFERROR(1/J360*(X360/H360),"0")</f>
        <v>0.33333333333333331</v>
      </c>
      <c r="BP360" s="75">
        <f>IFERROR(1/J360*(Y360/H360),"0")</f>
        <v>0.33333333333333331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5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16</v>
      </c>
      <c r="Y362" s="41">
        <f>IFERROR(Y360/H360,"0")+IFERROR(Y361/H361,"0")</f>
        <v>16</v>
      </c>
      <c r="Z362" s="41">
        <f>IFERROR(IF(Z360="",0,Z360),"0")+IFERROR(IF(Z361="",0,Z361),"0")</f>
        <v>0.34799999999999998</v>
      </c>
      <c r="AA362" s="64"/>
      <c r="AB362" s="64"/>
      <c r="AC362" s="64"/>
    </row>
    <row r="363" spans="1:68" x14ac:dyDescent="0.25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240</v>
      </c>
      <c r="Y363" s="41">
        <f>IFERROR(SUM(Y360:Y361),"0")</f>
        <v>240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5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5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5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5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5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5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5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5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28.8</v>
      </c>
      <c r="Y385" s="53">
        <f>IFERROR(IF(X385="",0,CEILING((X385/$H385),1)*$H385),"")</f>
        <v>28.799999999999997</v>
      </c>
      <c r="Z385" s="39">
        <f>IFERROR(IF(Y385=0,"",ROUNDUP(Y385/H385,0)*0.00651),"")</f>
        <v>7.8119999999999995E-2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31.968000000000004</v>
      </c>
      <c r="BN385" s="75">
        <f>IFERROR(Y385*I385/H385,"0")</f>
        <v>31.967999999999996</v>
      </c>
      <c r="BO385" s="75">
        <f>IFERROR(1/J385*(X385/H385),"0")</f>
        <v>6.5934065934065936E-2</v>
      </c>
      <c r="BP385" s="75">
        <f>IFERROR(1/J385*(Y385/H385),"0")</f>
        <v>6.5934065934065936E-2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5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52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0.83731999999999995</v>
      </c>
      <c r="AA387" s="64"/>
      <c r="AB387" s="64"/>
      <c r="AC387" s="64"/>
    </row>
    <row r="388" spans="1:68" x14ac:dyDescent="0.25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388.8</v>
      </c>
      <c r="Y388" s="41">
        <f>IFERROR(SUM(Y384:Y386),"0")</f>
        <v>388.8</v>
      </c>
      <c r="Z388" s="40"/>
      <c r="AA388" s="64"/>
      <c r="AB388" s="64"/>
      <c r="AC388" s="64"/>
    </row>
    <row r="389" spans="1:68" ht="27.75" customHeight="1" x14ac:dyDescent="0.25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5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5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5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5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5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5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5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5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5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5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5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126.72</v>
      </c>
      <c r="Y433" s="53">
        <f t="shared" si="48"/>
        <v>126.72</v>
      </c>
      <c r="Z433" s="39">
        <f t="shared" si="49"/>
        <v>0.28704000000000002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135.11999999999998</v>
      </c>
      <c r="BN433" s="75">
        <f t="shared" si="51"/>
        <v>135.11999999999998</v>
      </c>
      <c r="BO433" s="75">
        <f t="shared" si="52"/>
        <v>0.23076923076923078</v>
      </c>
      <c r="BP433" s="75">
        <f t="shared" si="53"/>
        <v>0.23076923076923078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5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4"/>
      <c r="AB439" s="64"/>
      <c r="AC439" s="64"/>
    </row>
    <row r="440" spans="1:68" x14ac:dyDescent="0.25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211.2</v>
      </c>
      <c r="Y440" s="41">
        <f>IFERROR(SUM(Y427:Y438),"0")</f>
        <v>211.2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5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5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0</v>
      </c>
      <c r="Y450" s="53">
        <f t="shared" si="54"/>
        <v>0</v>
      </c>
      <c r="Z450" s="39" t="str">
        <f>IFERROR(IF(Y450=0,"",ROUNDUP(Y450/H450,0)*0.01196),"")</f>
        <v/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0</v>
      </c>
      <c r="BN450" s="75">
        <f t="shared" si="56"/>
        <v>0</v>
      </c>
      <c r="BO450" s="75">
        <f t="shared" si="57"/>
        <v>0</v>
      </c>
      <c r="BP450" s="75">
        <f t="shared" si="58"/>
        <v>0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5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5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customHeight="1" x14ac:dyDescent="0.25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5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5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5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5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5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5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5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5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5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5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5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5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5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7957.9600000000009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7957.9600000000009</v>
      </c>
      <c r="Z488" s="40"/>
      <c r="AA488" s="64"/>
      <c r="AB488" s="64"/>
      <c r="AC488" s="64"/>
    </row>
    <row r="489" spans="1:68" x14ac:dyDescent="0.25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8351.1640000000007</v>
      </c>
      <c r="Y489" s="41">
        <f>IFERROR(SUM(BN22:BN485),"0")</f>
        <v>8351.1640000000007</v>
      </c>
      <c r="Z489" s="40"/>
      <c r="AA489" s="64"/>
      <c r="AB489" s="64"/>
      <c r="AC489" s="64"/>
    </row>
    <row r="490" spans="1:68" x14ac:dyDescent="0.25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5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8701.1640000000007</v>
      </c>
      <c r="Y491" s="41">
        <f>GrossWeightTotalR+PalletQtyTotalR*25</f>
        <v>8701.1640000000007</v>
      </c>
      <c r="Z491" s="40"/>
      <c r="AA491" s="64"/>
      <c r="AB491" s="64"/>
      <c r="AC491" s="64"/>
    </row>
    <row r="492" spans="1:68" x14ac:dyDescent="0.25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1104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1104</v>
      </c>
      <c r="Z492" s="40"/>
      <c r="AA492" s="64"/>
      <c r="AB492" s="64"/>
      <c r="AC492" s="64"/>
    </row>
    <row r="493" spans="1:68" ht="15.6" x14ac:dyDescent="0.25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15.5785</v>
      </c>
      <c r="AA493" s="64"/>
      <c r="AB493" s="64"/>
      <c r="AC493" s="64"/>
    </row>
    <row r="494" spans="1:68" ht="13.8" thickBot="1" x14ac:dyDescent="0.3"/>
    <row r="495" spans="1:68" ht="28.8" thickTop="1" thickBot="1" x14ac:dyDescent="0.3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5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8" thickBot="1" x14ac:dyDescent="0.3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5" thickTop="1" thickBot="1" x14ac:dyDescent="0.3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864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760.00000000000011</v>
      </c>
      <c r="E498" s="50">
        <f>IFERROR(Y86*1,"0")+IFERROR(Y87*1,"0")+IFERROR(Y88*1,"0")+IFERROR(Y89*1,"0")+IFERROR(Y93*1,"0")+IFERROR(Y94*1,"0")+IFERROR(Y95*1,"0")+IFERROR(Y96*1,"0")</f>
        <v>540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1112.4000000000001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189.00000000000003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1440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144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772.80000000000007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1302</v>
      </c>
      <c r="T498" s="50">
        <f>IFERROR(Y375*1,"0")+IFERROR(Y376*1,"0")+IFERROR(Y380*1,"0")+IFERROR(Y384*1,"0")+IFERROR(Y385*1,"0")+IFERROR(Y386*1,"0")</f>
        <v>388.8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380.16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5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749</v>
      </c>
      <c r="H1" s="9"/>
    </row>
    <row r="3" spans="2:8" x14ac:dyDescent="0.25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5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5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5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5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5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5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5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5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5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5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5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5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5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5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5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5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5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5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5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5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5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5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5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5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cp:lastPrinted>2026-05-07T10:03:18Z</cp:lastPrinted>
  <dcterms:created xsi:type="dcterms:W3CDTF">2021-11-12T12:13:19Z</dcterms:created>
  <dcterms:modified xsi:type="dcterms:W3CDTF">2026-06-25T11:16:53Z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