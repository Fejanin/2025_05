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<sst xmlns="http://schemas.openxmlformats.org/spreadsheetml/2006/main" count="3645" uniqueCount="788">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</sst>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498"/>
  <sheetViews>
    <sheetView showGridLines="0" tabSelected="1" topLeftCell="F3" zoomScaleNormal="100" zoomScaleSheetLayoutView="100" workbookViewId="0">
      <selection activeCell="D8" sqref="D8:M8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558" t="s">
        <v>8</v>
      </c>
      <c r="B5" s="558"/>
      <c r="C5" s="558"/>
      <c r="D5" s="559"/>
      <c r="E5" s="559"/>
      <c r="F5" s="560" t="s">
        <v>14</v>
      </c>
      <c r="G5" s="560"/>
      <c r="H5" s="559" t="s">
        <v>787</v>
      </c>
      <c r="I5" s="559"/>
      <c r="J5" s="559"/>
      <c r="K5" s="559"/>
      <c r="L5" s="559"/>
      <c r="M5" s="559"/>
      <c r="N5" s="72"/>
      <c r="P5" s="27" t="s">
        <v>4</v>
      </c>
      <c r="Q5" s="561">
        <v>46201</v>
      </c>
      <c r="R5" s="561"/>
      <c r="T5" s="562" t="s">
        <v>3</v>
      </c>
      <c r="U5" s="563"/>
      <c r="V5" s="564" t="s">
        <v>751</v>
      </c>
      <c r="W5" s="565"/>
      <c r="AB5" s="59"/>
      <c r="AC5" s="59"/>
      <c r="AD5" s="59"/>
      <c r="AE5" s="59"/>
    </row>
    <row r="6" spans="1:32" s="17" customFormat="1" ht="24" customHeight="1" x14ac:dyDescent="0.25">
      <c r="A6" s="558" t="s">
        <v>1</v>
      </c>
      <c r="B6" s="558"/>
      <c r="C6" s="558"/>
      <c r="D6" s="566" t="s">
        <v>767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Воскресенье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576" t="str">
        <f>IFERROR(VLOOKUP(DeliveryAddress,Table,3,0),1)</f>
        <v>6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5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" customHeight="1" x14ac:dyDescent="0.25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>
        <v>46203</v>
      </c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>
        <v>0.54166666666666663</v>
      </c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5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5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5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5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5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5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5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5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5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5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5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5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86.4</v>
      </c>
      <c r="Y54" s="55">
        <f t="shared" si="6"/>
        <v>86.4</v>
      </c>
      <c r="Z54" s="41">
        <f>IFERROR(IF(Y54=0,"",ROUNDUP(Y54/H54,0)*0.01898),"")</f>
        <v>0.15184</v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89.68</v>
      </c>
      <c r="BN54" s="78">
        <f t="shared" si="8"/>
        <v>89.68</v>
      </c>
      <c r="BO54" s="78">
        <f t="shared" si="9"/>
        <v>0.125</v>
      </c>
      <c r="BP54" s="78">
        <f t="shared" si="10"/>
        <v>0.125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5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8</v>
      </c>
      <c r="Y59" s="43">
        <f>IFERROR(Y53/H53,"0")+IFERROR(Y54/H54,"0")+IFERROR(Y55/H55,"0")+IFERROR(Y56/H56,"0")+IFERROR(Y57/H57,"0")+IFERROR(Y58/H58,"0")</f>
        <v>8</v>
      </c>
      <c r="Z59" s="43">
        <f>IFERROR(IF(Z53="",0,Z53),"0")+IFERROR(IF(Z54="",0,Z54),"0")+IFERROR(IF(Z55="",0,Z55),"0")+IFERROR(IF(Z56="",0,Z56),"0")+IFERROR(IF(Z57="",0,Z57),"0")+IFERROR(IF(Z58="",0,Z58),"0")</f>
        <v>0.15184</v>
      </c>
      <c r="AA59" s="67"/>
      <c r="AB59" s="67"/>
      <c r="AC59" s="67"/>
    </row>
    <row r="60" spans="1:68" x14ac:dyDescent="0.25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86.4</v>
      </c>
      <c r="Y60" s="43">
        <f>IFERROR(SUM(Y53:Y58),"0")</f>
        <v>86.4</v>
      </c>
      <c r="Z60" s="42"/>
      <c r="AA60" s="67"/>
      <c r="AB60" s="67"/>
      <c r="AC60" s="67"/>
    </row>
    <row r="61" spans="1:68" ht="14.25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5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5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5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5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5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5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5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5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5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5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64.8</v>
      </c>
      <c r="Y93" s="55">
        <f>IFERROR(IF(X93="",0,CEILING((X93/$H93),1)*$H93),"")</f>
        <v>64.8</v>
      </c>
      <c r="Z93" s="41">
        <f>IFERROR(IF(Y93=0,"",ROUNDUP(Y93/H93,0)*0.01898),"")</f>
        <v>0.15184</v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68.751999999999995</v>
      </c>
      <c r="BN93" s="78">
        <f>IFERROR(Y93*I93/H93,"0")</f>
        <v>68.751999999999995</v>
      </c>
      <c r="BO93" s="78">
        <f>IFERROR(1/J93*(X93/H93),"0")</f>
        <v>0.125</v>
      </c>
      <c r="BP93" s="78">
        <f>IFERROR(1/J93*(Y93/H93),"0")</f>
        <v>0.125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5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8</v>
      </c>
      <c r="Y97" s="43">
        <f>IFERROR(Y93/H93,"0")+IFERROR(Y94/H94,"0")+IFERROR(Y95/H95,"0")+IFERROR(Y96/H96,"0")</f>
        <v>8</v>
      </c>
      <c r="Z97" s="43">
        <f>IFERROR(IF(Z93="",0,Z93),"0")+IFERROR(IF(Z94="",0,Z94),"0")+IFERROR(IF(Z95="",0,Z95),"0")+IFERROR(IF(Z96="",0,Z96),"0")</f>
        <v>0.15184</v>
      </c>
      <c r="AA97" s="67"/>
      <c r="AB97" s="67"/>
      <c r="AC97" s="67"/>
    </row>
    <row r="98" spans="1:68" x14ac:dyDescent="0.25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64.8</v>
      </c>
      <c r="Y98" s="43">
        <f>IFERROR(SUM(Y93:Y96),"0")</f>
        <v>64.8</v>
      </c>
      <c r="Z98" s="42"/>
      <c r="AA98" s="67"/>
      <c r="AB98" s="67"/>
      <c r="AC98" s="67"/>
    </row>
    <row r="99" spans="1:68" ht="16.5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5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5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5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64.8</v>
      </c>
      <c r="Y116" s="55">
        <f>IFERROR(IF(X116="",0,CEILING((X116/$H116),1)*$H116),"")</f>
        <v>64.8</v>
      </c>
      <c r="Z116" s="41">
        <f>IFERROR(IF(Y116=0,"",ROUNDUP(Y116/H116,0)*0.01898),"")</f>
        <v>0.15184</v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68.703999999999994</v>
      </c>
      <c r="BN116" s="78">
        <f>IFERROR(Y116*I116/H116,"0")</f>
        <v>68.703999999999994</v>
      </c>
      <c r="BO116" s="78">
        <f>IFERROR(1/J116*(X116/H116),"0")</f>
        <v>0.125</v>
      </c>
      <c r="BP116" s="78">
        <f>IFERROR(1/J116*(Y116/H116),"0")</f>
        <v>0.125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5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8</v>
      </c>
      <c r="Y120" s="43">
        <f>IFERROR(Y116/H116,"0")+IFERROR(Y117/H117,"0")+IFERROR(Y118/H118,"0")+IFERROR(Y119/H119,"0")</f>
        <v>8</v>
      </c>
      <c r="Z120" s="43">
        <f>IFERROR(IF(Z116="",0,Z116),"0")+IFERROR(IF(Z117="",0,Z117),"0")+IFERROR(IF(Z118="",0,Z118),"0")+IFERROR(IF(Z119="",0,Z119),"0")</f>
        <v>0.15184</v>
      </c>
      <c r="AA120" s="67"/>
      <c r="AB120" s="67"/>
      <c r="AC120" s="67"/>
    </row>
    <row r="121" spans="1:68" x14ac:dyDescent="0.25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64.8</v>
      </c>
      <c r="Y121" s="43">
        <f>IFERROR(SUM(Y116:Y119),"0")</f>
        <v>64.8</v>
      </c>
      <c r="Z121" s="42"/>
      <c r="AA121" s="67"/>
      <c r="AB121" s="67"/>
      <c r="AC121" s="67"/>
    </row>
    <row r="122" spans="1:68" ht="14.25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5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5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5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5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5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5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5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5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5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5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5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5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5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5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5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5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5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5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5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5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5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5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5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5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5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5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5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5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5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5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5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5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5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5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5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5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5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5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5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5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5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5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5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5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5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5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5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5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5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5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5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5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5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5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5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5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5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187.2</v>
      </c>
      <c r="Y323" s="55">
        <f>IFERROR(IF(X323="",0,CEILING((X323/$H323),1)*$H323),"")</f>
        <v>187.2</v>
      </c>
      <c r="Z323" s="41">
        <f>IFERROR(IF(Y323=0,"",ROUNDUP(Y323/H323,0)*0.01898),"")</f>
        <v>0.45552000000000004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199.05600000000001</v>
      </c>
      <c r="BN323" s="78">
        <f>IFERROR(Y323*I323/H323,"0")</f>
        <v>199.05600000000001</v>
      </c>
      <c r="BO323" s="78">
        <f>IFERROR(1/J323*(X323/H323),"0")</f>
        <v>0.375</v>
      </c>
      <c r="BP323" s="78">
        <f>IFERROR(1/J323*(Y323/H323),"0")</f>
        <v>0.375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67.2</v>
      </c>
      <c r="Y324" s="55">
        <f>IFERROR(IF(X324="",0,CEILING((X324/$H324),1)*$H324),"")</f>
        <v>67.2</v>
      </c>
      <c r="Z324" s="41">
        <f>IFERROR(IF(Y324=0,"",ROUNDUP(Y324/H324,0)*0.01898),"")</f>
        <v>0.15184</v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71.152000000000001</v>
      </c>
      <c r="BN324" s="78">
        <f>IFERROR(Y324*I324/H324,"0")</f>
        <v>71.152000000000001</v>
      </c>
      <c r="BO324" s="78">
        <f>IFERROR(1/J324*(X324/H324),"0")</f>
        <v>0.125</v>
      </c>
      <c r="BP324" s="78">
        <f>IFERROR(1/J324*(Y324/H324),"0")</f>
        <v>0.125</v>
      </c>
    </row>
    <row r="325" spans="1:68" x14ac:dyDescent="0.25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32</v>
      </c>
      <c r="Y325" s="43">
        <f>IFERROR(Y322/H322,"0")+IFERROR(Y323/H323,"0")+IFERROR(Y324/H324,"0")</f>
        <v>32</v>
      </c>
      <c r="Z325" s="43">
        <f>IFERROR(IF(Z322="",0,Z322),"0")+IFERROR(IF(Z323="",0,Z323),"0")+IFERROR(IF(Z324="",0,Z324),"0")</f>
        <v>0.60736000000000001</v>
      </c>
      <c r="AA325" s="67"/>
      <c r="AB325" s="67"/>
      <c r="AC325" s="67"/>
    </row>
    <row r="326" spans="1:68" x14ac:dyDescent="0.25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254.39999999999998</v>
      </c>
      <c r="Y326" s="43">
        <f>IFERROR(SUM(Y322:Y324),"0")</f>
        <v>254.39999999999998</v>
      </c>
      <c r="Z326" s="42"/>
      <c r="AA326" s="67"/>
      <c r="AB326" s="67"/>
      <c r="AC326" s="67"/>
    </row>
    <row r="327" spans="1:68" ht="14.25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5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5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5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5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5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5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5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240</v>
      </c>
      <c r="Y352" s="55">
        <f t="shared" si="37"/>
        <v>240</v>
      </c>
      <c r="Z352" s="41">
        <f>IFERROR(IF(Y352=0,"",ROUNDUP(Y352/H352,0)*0.02175),"")</f>
        <v>0.34799999999999998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247.52</v>
      </c>
      <c r="BN352" s="78">
        <f t="shared" si="39"/>
        <v>247.52</v>
      </c>
      <c r="BO352" s="78">
        <f t="shared" si="40"/>
        <v>0.33333333333333331</v>
      </c>
      <c r="BP352" s="78">
        <f t="shared" si="41"/>
        <v>0.33333333333333331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5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24</v>
      </c>
      <c r="Y357" s="43">
        <f>IFERROR(Y350/H350,"0")+IFERROR(Y351/H351,"0")+IFERROR(Y352/H352,"0")+IFERROR(Y353/H353,"0")+IFERROR(Y354/H354,"0")+IFERROR(Y355/H355,"0")+IFERROR(Y356/H356,"0")</f>
        <v>24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0.52200000000000002</v>
      </c>
      <c r="AA357" s="67"/>
      <c r="AB357" s="67"/>
      <c r="AC357" s="67"/>
    </row>
    <row r="358" spans="1:68" x14ac:dyDescent="0.25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360</v>
      </c>
      <c r="Y358" s="43">
        <f>IFERROR(SUM(Y350:Y356),"0")</f>
        <v>360</v>
      </c>
      <c r="Z358" s="42"/>
      <c r="AA358" s="67"/>
      <c r="AB358" s="67"/>
      <c r="AC358" s="67"/>
    </row>
    <row r="359" spans="1:68" ht="14.25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>
        <v>120</v>
      </c>
      <c r="Y360" s="55">
        <f>IFERROR(IF(X360="",0,CEILING((X360/$H360),1)*$H360),"")</f>
        <v>120</v>
      </c>
      <c r="Z360" s="41">
        <f>IFERROR(IF(Y360=0,"",ROUNDUP(Y360/H360,0)*0.02175),"")</f>
        <v>0.17399999999999999</v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123.76</v>
      </c>
      <c r="BN360" s="78">
        <f>IFERROR(Y360*I360/H360,"0")</f>
        <v>123.76</v>
      </c>
      <c r="BO360" s="78">
        <f>IFERROR(1/J360*(X360/H360),"0")</f>
        <v>0.16666666666666666</v>
      </c>
      <c r="BP360" s="78">
        <f>IFERROR(1/J360*(Y360/H360),"0")</f>
        <v>0.16666666666666666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5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8</v>
      </c>
      <c r="Y362" s="43">
        <f>IFERROR(Y360/H360,"0")+IFERROR(Y361/H361,"0")</f>
        <v>8</v>
      </c>
      <c r="Z362" s="43">
        <f>IFERROR(IF(Z360="",0,Z360),"0")+IFERROR(IF(Z361="",0,Z361),"0")</f>
        <v>0.17399999999999999</v>
      </c>
      <c r="AA362" s="67"/>
      <c r="AB362" s="67"/>
      <c r="AC362" s="67"/>
    </row>
    <row r="363" spans="1:68" x14ac:dyDescent="0.25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120</v>
      </c>
      <c r="Y363" s="43">
        <f>IFERROR(SUM(Y360:Y361),"0")</f>
        <v>120</v>
      </c>
      <c r="Z363" s="42"/>
      <c r="AA363" s="67"/>
      <c r="AB363" s="67"/>
      <c r="AC363" s="67"/>
    </row>
    <row r="364" spans="1:68" ht="14.25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5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5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5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5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5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5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5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5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216</v>
      </c>
      <c r="Y384" s="55">
        <f>IFERROR(IF(X384="",0,CEILING((X384/$H384),1)*$H384),"")</f>
        <v>216</v>
      </c>
      <c r="Z384" s="41">
        <f>IFERROR(IF(Y384=0,"",ROUNDUP(Y384/H384,0)*0.01898),"")</f>
        <v>0.45552000000000004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227.85599999999997</v>
      </c>
      <c r="BN384" s="78">
        <f>IFERROR(Y384*I384/H384,"0")</f>
        <v>227.85599999999997</v>
      </c>
      <c r="BO384" s="78">
        <f>IFERROR(1/J384*(X384/H384),"0")</f>
        <v>0.375</v>
      </c>
      <c r="BP384" s="78">
        <f>IFERROR(1/J384*(Y384/H384),"0")</f>
        <v>0.375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5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38</v>
      </c>
      <c r="Y387" s="43">
        <f>IFERROR(Y384/H384,"0")+IFERROR(Y385/H385,"0")+IFERROR(Y386/H386,"0")</f>
        <v>38</v>
      </c>
      <c r="Z387" s="43">
        <f>IFERROR(IF(Z384="",0,Z384),"0")+IFERROR(IF(Z385="",0,Z385),"0")+IFERROR(IF(Z386="",0,Z386),"0")</f>
        <v>0.54666000000000003</v>
      </c>
      <c r="AA387" s="67"/>
      <c r="AB387" s="67"/>
      <c r="AC387" s="67"/>
    </row>
    <row r="388" spans="1:68" x14ac:dyDescent="0.25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249.6</v>
      </c>
      <c r="Y388" s="43">
        <f>IFERROR(SUM(Y384:Y386),"0")</f>
        <v>249.6</v>
      </c>
      <c r="Z388" s="42"/>
      <c r="AA388" s="67"/>
      <c r="AB388" s="67"/>
      <c r="AC388" s="67"/>
    </row>
    <row r="389" spans="1:68" ht="27.75" customHeight="1" x14ac:dyDescent="0.25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5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5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5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5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5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5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5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5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5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5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5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126.72</v>
      </c>
      <c r="Y433" s="55">
        <f t="shared" si="48"/>
        <v>126.72</v>
      </c>
      <c r="Z433" s="41">
        <f t="shared" si="49"/>
        <v>0.28704000000000002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135.11999999999998</v>
      </c>
      <c r="BN433" s="78">
        <f t="shared" si="51"/>
        <v>135.11999999999998</v>
      </c>
      <c r="BO433" s="78">
        <f t="shared" si="52"/>
        <v>0.23076923076923078</v>
      </c>
      <c r="BP433" s="78">
        <f t="shared" si="53"/>
        <v>0.23076923076923078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5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24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24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0.28704000000000002</v>
      </c>
      <c r="AA439" s="67"/>
      <c r="AB439" s="67"/>
      <c r="AC439" s="67"/>
    </row>
    <row r="440" spans="1:68" x14ac:dyDescent="0.25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126.72</v>
      </c>
      <c r="Y440" s="43">
        <f>IFERROR(SUM(Y427:Y438),"0")</f>
        <v>126.72</v>
      </c>
      <c r="Z440" s="42"/>
      <c r="AA440" s="67"/>
      <c r="AB440" s="67"/>
      <c r="AC440" s="67"/>
    </row>
    <row r="441" spans="1:68" ht="14.25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5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5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5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16</v>
      </c>
      <c r="Y455" s="43">
        <f>IFERROR(Y448/H448,"0")+IFERROR(Y449/H449,"0")+IFERROR(Y450/H450,"0")+IFERROR(Y451/H451,"0")+IFERROR(Y452/H452,"0")+IFERROR(Y453/H453,"0")+IFERROR(Y454/H454,"0")</f>
        <v>16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0.19136</v>
      </c>
      <c r="AA455" s="67"/>
      <c r="AB455" s="67"/>
      <c r="AC455" s="67"/>
    </row>
    <row r="456" spans="1:68" x14ac:dyDescent="0.25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84.48</v>
      </c>
      <c r="Y456" s="43">
        <f>IFERROR(SUM(Y448:Y454),"0")</f>
        <v>84.48</v>
      </c>
      <c r="Z456" s="42"/>
      <c r="AA456" s="67"/>
      <c r="AB456" s="67"/>
      <c r="AC456" s="67"/>
    </row>
    <row r="457" spans="1:68" ht="27.75" customHeight="1" x14ac:dyDescent="0.25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5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5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5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5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5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5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5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5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5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5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5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5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5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1497.6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1497.6</v>
      </c>
      <c r="Z488" s="42"/>
      <c r="AA488" s="67"/>
      <c r="AB488" s="67"/>
      <c r="AC488" s="67"/>
    </row>
    <row r="489" spans="1:68" x14ac:dyDescent="0.25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1572.4159999999999</v>
      </c>
      <c r="Y489" s="43">
        <f>IFERROR(SUM(BN22:BN485),"0")</f>
        <v>1572.4159999999999</v>
      </c>
      <c r="Z489" s="42"/>
      <c r="AA489" s="67"/>
      <c r="AB489" s="67"/>
      <c r="AC489" s="67"/>
    </row>
    <row r="490" spans="1:68" x14ac:dyDescent="0.25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3</v>
      </c>
      <c r="Y490" s="44">
        <f>ROUNDUP(SUM(BP22:BP485),0)</f>
        <v>3</v>
      </c>
      <c r="Z490" s="42"/>
      <c r="AA490" s="67"/>
      <c r="AB490" s="67"/>
      <c r="AC490" s="67"/>
    </row>
    <row r="491" spans="1:68" x14ac:dyDescent="0.25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1647.4159999999999</v>
      </c>
      <c r="Y491" s="43">
        <f>GrossWeightTotalR+PalletQtyTotalR*25</f>
        <v>1647.4159999999999</v>
      </c>
      <c r="Z491" s="42"/>
      <c r="AA491" s="67"/>
      <c r="AB491" s="67"/>
      <c r="AC491" s="67"/>
    </row>
    <row r="492" spans="1:68" x14ac:dyDescent="0.25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174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174</v>
      </c>
      <c r="Z492" s="42"/>
      <c r="AA492" s="67"/>
      <c r="AB492" s="67"/>
      <c r="AC492" s="67"/>
    </row>
    <row r="493" spans="1:68" ht="15.6" x14ac:dyDescent="0.25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2.9357800000000003</v>
      </c>
      <c r="AA493" s="67"/>
      <c r="AB493" s="67"/>
      <c r="AC493" s="67"/>
    </row>
    <row r="494" spans="1:68" ht="13.8" thickBot="1" x14ac:dyDescent="0.3"/>
    <row r="495" spans="1:68" ht="28.8" thickTop="1" thickBot="1" x14ac:dyDescent="0.3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5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8" thickBot="1" x14ac:dyDescent="0.3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5" thickTop="1" thickBot="1" x14ac:dyDescent="0.3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86.4</v>
      </c>
      <c r="E498" s="52">
        <f>IFERROR(Y86*1,"0")+IFERROR(Y87*1,"0")+IFERROR(Y88*1,"0")+IFERROR(Y89*1,"0")+IFERROR(Y93*1,"0")+IFERROR(Y94*1,"0")+IFERROR(Y95*1,"0")+IFERROR(Y96*1,"0")</f>
        <v>64.8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151.19999999999999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254.39999999999998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480</v>
      </c>
      <c r="T498" s="52">
        <f>IFERROR(Y375*1,"0")+IFERROR(Y376*1,"0")+IFERROR(Y380*1,"0")+IFERROR(Y384*1,"0")+IFERROR(Y385*1,"0")+IFERROR(Y386*1,"0")</f>
        <v>249.6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211.20000000000002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749</v>
      </c>
      <c r="H1" s="9"/>
    </row>
    <row r="3" spans="2:8" x14ac:dyDescent="0.25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5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5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5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5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5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5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5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5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5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5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5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5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5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5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5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5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5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5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5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5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5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5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5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5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bb0b2827-4eb3-461f-8866-28597c48f47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2026-06-25T11:13:30Z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