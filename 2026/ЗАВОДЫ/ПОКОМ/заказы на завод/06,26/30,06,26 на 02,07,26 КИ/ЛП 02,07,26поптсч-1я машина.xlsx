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8557456-625E-4B9C-8BDF-0A7BADDE78C3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Z505" i="2" s="1"/>
  <c r="Z506" i="2" s="1"/>
  <c r="P505" i="2"/>
  <c r="X503" i="2"/>
  <c r="X502" i="2"/>
  <c r="BO501" i="2"/>
  <c r="BM501" i="2"/>
  <c r="Y501" i="2"/>
  <c r="Z501" i="2" s="1"/>
  <c r="Z502" i="2" s="1"/>
  <c r="P501" i="2"/>
  <c r="X497" i="2"/>
  <c r="X496" i="2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BP492" i="2" s="1"/>
  <c r="P492" i="2"/>
  <c r="BO491" i="2"/>
  <c r="BM491" i="2"/>
  <c r="Y491" i="2"/>
  <c r="Z491" i="2" s="1"/>
  <c r="P491" i="2"/>
  <c r="BO490" i="2"/>
  <c r="BM490" i="2"/>
  <c r="Y490" i="2"/>
  <c r="BP490" i="2" s="1"/>
  <c r="P490" i="2"/>
  <c r="BO489" i="2"/>
  <c r="BM489" i="2"/>
  <c r="Y489" i="2"/>
  <c r="BN489" i="2" s="1"/>
  <c r="P489" i="2"/>
  <c r="X487" i="2"/>
  <c r="X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P483" i="2"/>
  <c r="X481" i="2"/>
  <c r="X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BN454" i="2" s="1"/>
  <c r="P454" i="2"/>
  <c r="BP453" i="2"/>
  <c r="BO453" i="2"/>
  <c r="BN453" i="2"/>
  <c r="BM453" i="2"/>
  <c r="Z453" i="2"/>
  <c r="Y453" i="2"/>
  <c r="P453" i="2"/>
  <c r="X451" i="2"/>
  <c r="X450" i="2"/>
  <c r="BO449" i="2"/>
  <c r="BM449" i="2"/>
  <c r="Z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BO446" i="2"/>
  <c r="BM446" i="2"/>
  <c r="Y446" i="2"/>
  <c r="Z446" i="2" s="1"/>
  <c r="P446" i="2"/>
  <c r="BO445" i="2"/>
  <c r="BM445" i="2"/>
  <c r="Y445" i="2"/>
  <c r="BN445" i="2" s="1"/>
  <c r="P445" i="2"/>
  <c r="BP444" i="2"/>
  <c r="BO444" i="2"/>
  <c r="BM444" i="2"/>
  <c r="Y444" i="2"/>
  <c r="BN444" i="2" s="1"/>
  <c r="P444" i="2"/>
  <c r="X440" i="2"/>
  <c r="X439" i="2"/>
  <c r="BO438" i="2"/>
  <c r="BM438" i="2"/>
  <c r="Y438" i="2"/>
  <c r="BP438" i="2" s="1"/>
  <c r="P438" i="2"/>
  <c r="BO437" i="2"/>
  <c r="BM437" i="2"/>
  <c r="Z437" i="2"/>
  <c r="Y437" i="2"/>
  <c r="BP437" i="2" s="1"/>
  <c r="P437" i="2"/>
  <c r="BO436" i="2"/>
  <c r="BM436" i="2"/>
  <c r="Y436" i="2"/>
  <c r="Z436" i="2" s="1"/>
  <c r="P436" i="2"/>
  <c r="X434" i="2"/>
  <c r="X433" i="2"/>
  <c r="BO432" i="2"/>
  <c r="BM432" i="2"/>
  <c r="Y432" i="2"/>
  <c r="BP432" i="2" s="1"/>
  <c r="P432" i="2"/>
  <c r="X430" i="2"/>
  <c r="X429" i="2"/>
  <c r="BO428" i="2"/>
  <c r="BM428" i="2"/>
  <c r="Y428" i="2"/>
  <c r="P428" i="2"/>
  <c r="BO427" i="2"/>
  <c r="BM427" i="2"/>
  <c r="Y427" i="2"/>
  <c r="BN427" i="2" s="1"/>
  <c r="P427" i="2"/>
  <c r="X424" i="2"/>
  <c r="X423" i="2"/>
  <c r="BO422" i="2"/>
  <c r="BM422" i="2"/>
  <c r="Y422" i="2"/>
  <c r="Y424" i="2" s="1"/>
  <c r="P422" i="2"/>
  <c r="X420" i="2"/>
  <c r="X419" i="2"/>
  <c r="BO418" i="2"/>
  <c r="BM418" i="2"/>
  <c r="Y418" i="2"/>
  <c r="BN418" i="2" s="1"/>
  <c r="P418" i="2"/>
  <c r="BO417" i="2"/>
  <c r="BM417" i="2"/>
  <c r="Y417" i="2"/>
  <c r="P417" i="2"/>
  <c r="X415" i="2"/>
  <c r="X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Z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Z401" i="2" s="1"/>
  <c r="P401" i="2"/>
  <c r="BO400" i="2"/>
  <c r="BM400" i="2"/>
  <c r="Y400" i="2"/>
  <c r="P400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BP392" i="2" s="1"/>
  <c r="P392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P385" i="2"/>
  <c r="X383" i="2"/>
  <c r="X382" i="2"/>
  <c r="BO381" i="2"/>
  <c r="BM381" i="2"/>
  <c r="Y381" i="2"/>
  <c r="BN381" i="2" s="1"/>
  <c r="P381" i="2"/>
  <c r="BO380" i="2"/>
  <c r="BM380" i="2"/>
  <c r="Y380" i="2"/>
  <c r="BP380" i="2" s="1"/>
  <c r="P380" i="2"/>
  <c r="BO379" i="2"/>
  <c r="BN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N374" i="2" s="1"/>
  <c r="P374" i="2"/>
  <c r="BO373" i="2"/>
  <c r="BM373" i="2"/>
  <c r="Y373" i="2"/>
  <c r="BN373" i="2" s="1"/>
  <c r="P373" i="2"/>
  <c r="BO372" i="2"/>
  <c r="BM372" i="2"/>
  <c r="Y372" i="2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BP361" i="2" s="1"/>
  <c r="P361" i="2"/>
  <c r="BO360" i="2"/>
  <c r="BM360" i="2"/>
  <c r="Y360" i="2"/>
  <c r="BN360" i="2" s="1"/>
  <c r="P360" i="2"/>
  <c r="BO359" i="2"/>
  <c r="BM359" i="2"/>
  <c r="Y359" i="2"/>
  <c r="BN359" i="2" s="1"/>
  <c r="P359" i="2"/>
  <c r="BO358" i="2"/>
  <c r="BM358" i="2"/>
  <c r="Z358" i="2"/>
  <c r="Y358" i="2"/>
  <c r="BP358" i="2" s="1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BP355" i="2" s="1"/>
  <c r="P355" i="2"/>
  <c r="X353" i="2"/>
  <c r="X352" i="2"/>
  <c r="BO351" i="2"/>
  <c r="BM351" i="2"/>
  <c r="Y351" i="2"/>
  <c r="BP351" i="2" s="1"/>
  <c r="P351" i="2"/>
  <c r="BO350" i="2"/>
  <c r="BM350" i="2"/>
  <c r="Z350" i="2"/>
  <c r="Y350" i="2"/>
  <c r="BP350" i="2" s="1"/>
  <c r="P350" i="2"/>
  <c r="BO349" i="2"/>
  <c r="BM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BP333" i="2" s="1"/>
  <c r="P333" i="2"/>
  <c r="X331" i="2"/>
  <c r="X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P318" i="2"/>
  <c r="X315" i="2"/>
  <c r="X314" i="2"/>
  <c r="BO313" i="2"/>
  <c r="BM313" i="2"/>
  <c r="Y313" i="2"/>
  <c r="P313" i="2"/>
  <c r="BO312" i="2"/>
  <c r="BM312" i="2"/>
  <c r="Y312" i="2"/>
  <c r="BP312" i="2" s="1"/>
  <c r="P312" i="2"/>
  <c r="BO311" i="2"/>
  <c r="BM311" i="2"/>
  <c r="Y311" i="2"/>
  <c r="BN311" i="2" s="1"/>
  <c r="P311" i="2"/>
  <c r="BO310" i="2"/>
  <c r="BM310" i="2"/>
  <c r="Y310" i="2"/>
  <c r="Z310" i="2" s="1"/>
  <c r="P310" i="2"/>
  <c r="BO309" i="2"/>
  <c r="BM309" i="2"/>
  <c r="Y309" i="2"/>
  <c r="P309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BP301" i="2" s="1"/>
  <c r="P301" i="2"/>
  <c r="X299" i="2"/>
  <c r="X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X291" i="2"/>
  <c r="X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BP283" i="2" s="1"/>
  <c r="P283" i="2"/>
  <c r="X280" i="2"/>
  <c r="X279" i="2"/>
  <c r="BO278" i="2"/>
  <c r="BM278" i="2"/>
  <c r="Y278" i="2"/>
  <c r="P278" i="2"/>
  <c r="BO277" i="2"/>
  <c r="BM277" i="2"/>
  <c r="Y277" i="2"/>
  <c r="BN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BN267" i="2" s="1"/>
  <c r="P267" i="2"/>
  <c r="BO266" i="2"/>
  <c r="BM266" i="2"/>
  <c r="Y266" i="2"/>
  <c r="Z266" i="2" s="1"/>
  <c r="P266" i="2"/>
  <c r="BO265" i="2"/>
  <c r="BM265" i="2"/>
  <c r="Y265" i="2"/>
  <c r="BP265" i="2" s="1"/>
  <c r="P265" i="2"/>
  <c r="BO264" i="2"/>
  <c r="BM264" i="2"/>
  <c r="Y264" i="2"/>
  <c r="P264" i="2"/>
  <c r="BO263" i="2"/>
  <c r="BM263" i="2"/>
  <c r="Y263" i="2"/>
  <c r="BN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BN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BO254" i="2"/>
  <c r="BM254" i="2"/>
  <c r="Y254" i="2"/>
  <c r="BN254" i="2" s="1"/>
  <c r="P254" i="2"/>
  <c r="BO253" i="2"/>
  <c r="BM253" i="2"/>
  <c r="Y253" i="2"/>
  <c r="BN253" i="2" s="1"/>
  <c r="P253" i="2"/>
  <c r="BO252" i="2"/>
  <c r="BM252" i="2"/>
  <c r="Y252" i="2"/>
  <c r="BP252" i="2" s="1"/>
  <c r="P252" i="2"/>
  <c r="BO251" i="2"/>
  <c r="BM251" i="2"/>
  <c r="Y251" i="2"/>
  <c r="P251" i="2"/>
  <c r="X249" i="2"/>
  <c r="X248" i="2"/>
  <c r="BO247" i="2"/>
  <c r="BM247" i="2"/>
  <c r="Z247" i="2"/>
  <c r="Y247" i="2"/>
  <c r="BN247" i="2" s="1"/>
  <c r="P247" i="2"/>
  <c r="BO246" i="2"/>
  <c r="BM246" i="2"/>
  <c r="Y246" i="2"/>
  <c r="Z246" i="2" s="1"/>
  <c r="P246" i="2"/>
  <c r="X244" i="2"/>
  <c r="X243" i="2"/>
  <c r="BO242" i="2"/>
  <c r="BM242" i="2"/>
  <c r="Y242" i="2"/>
  <c r="P242" i="2"/>
  <c r="BO241" i="2"/>
  <c r="BM241" i="2"/>
  <c r="Y241" i="2"/>
  <c r="Z241" i="2" s="1"/>
  <c r="P241" i="2"/>
  <c r="X238" i="2"/>
  <c r="X237" i="2"/>
  <c r="BO236" i="2"/>
  <c r="BM236" i="2"/>
  <c r="Y236" i="2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X223" i="2"/>
  <c r="X222" i="2"/>
  <c r="BO221" i="2"/>
  <c r="BM221" i="2"/>
  <c r="Y221" i="2"/>
  <c r="P221" i="2"/>
  <c r="BO220" i="2"/>
  <c r="BM220" i="2"/>
  <c r="Z220" i="2"/>
  <c r="Y220" i="2"/>
  <c r="BN220" i="2" s="1"/>
  <c r="P220" i="2"/>
  <c r="BO219" i="2"/>
  <c r="BM219" i="2"/>
  <c r="Y219" i="2"/>
  <c r="BP219" i="2" s="1"/>
  <c r="P219" i="2"/>
  <c r="BO218" i="2"/>
  <c r="BN218" i="2"/>
  <c r="BM218" i="2"/>
  <c r="Z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BN208" i="2" s="1"/>
  <c r="P208" i="2"/>
  <c r="X206" i="2"/>
  <c r="X205" i="2"/>
  <c r="BO204" i="2"/>
  <c r="BM204" i="2"/>
  <c r="Y204" i="2"/>
  <c r="P204" i="2"/>
  <c r="X201" i="2"/>
  <c r="X200" i="2"/>
  <c r="BO199" i="2"/>
  <c r="BM199" i="2"/>
  <c r="Y199" i="2"/>
  <c r="BN199" i="2" s="1"/>
  <c r="P199" i="2"/>
  <c r="BO198" i="2"/>
  <c r="BM198" i="2"/>
  <c r="Y198" i="2"/>
  <c r="BP198" i="2" s="1"/>
  <c r="P198" i="2"/>
  <c r="BO197" i="2"/>
  <c r="BM197" i="2"/>
  <c r="Y197" i="2"/>
  <c r="BN197" i="2" s="1"/>
  <c r="P197" i="2"/>
  <c r="BO196" i="2"/>
  <c r="BM196" i="2"/>
  <c r="Y196" i="2"/>
  <c r="BN196" i="2" s="1"/>
  <c r="P196" i="2"/>
  <c r="X192" i="2"/>
  <c r="X191" i="2"/>
  <c r="BO190" i="2"/>
  <c r="BM190" i="2"/>
  <c r="Y190" i="2"/>
  <c r="P190" i="2"/>
  <c r="X188" i="2"/>
  <c r="X187" i="2"/>
  <c r="BO186" i="2"/>
  <c r="BM186" i="2"/>
  <c r="Y186" i="2"/>
  <c r="Z186" i="2" s="1"/>
  <c r="P186" i="2"/>
  <c r="BO185" i="2"/>
  <c r="BM185" i="2"/>
  <c r="Y185" i="2"/>
  <c r="BN185" i="2" s="1"/>
  <c r="P185" i="2"/>
  <c r="X183" i="2"/>
  <c r="X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X177" i="2"/>
  <c r="X176" i="2"/>
  <c r="BO175" i="2"/>
  <c r="BM175" i="2"/>
  <c r="Y175" i="2"/>
  <c r="BN175" i="2" s="1"/>
  <c r="P175" i="2"/>
  <c r="BO174" i="2"/>
  <c r="BM174" i="2"/>
  <c r="Y174" i="2"/>
  <c r="BP174" i="2" s="1"/>
  <c r="P174" i="2"/>
  <c r="BP173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X164" i="2"/>
  <c r="X163" i="2"/>
  <c r="BO162" i="2"/>
  <c r="BM162" i="2"/>
  <c r="Y162" i="2"/>
  <c r="BP162" i="2" s="1"/>
  <c r="P162" i="2"/>
  <c r="X160" i="2"/>
  <c r="X159" i="2"/>
  <c r="BO158" i="2"/>
  <c r="BM158" i="2"/>
  <c r="Y158" i="2"/>
  <c r="BP158" i="2" s="1"/>
  <c r="P158" i="2"/>
  <c r="BO157" i="2"/>
  <c r="BM157" i="2"/>
  <c r="Y157" i="2"/>
  <c r="BN157" i="2" s="1"/>
  <c r="P157" i="2"/>
  <c r="X154" i="2"/>
  <c r="X153" i="2"/>
  <c r="BO152" i="2"/>
  <c r="BM152" i="2"/>
  <c r="Y152" i="2"/>
  <c r="BN152" i="2" s="1"/>
  <c r="P152" i="2"/>
  <c r="BO151" i="2"/>
  <c r="BM151" i="2"/>
  <c r="Z151" i="2"/>
  <c r="Y151" i="2"/>
  <c r="BP151" i="2" s="1"/>
  <c r="P151" i="2"/>
  <c r="BO150" i="2"/>
  <c r="BM150" i="2"/>
  <c r="Y150" i="2"/>
  <c r="P150" i="2"/>
  <c r="BO149" i="2"/>
  <c r="BM149" i="2"/>
  <c r="Y149" i="2"/>
  <c r="Z149" i="2" s="1"/>
  <c r="P149" i="2"/>
  <c r="X146" i="2"/>
  <c r="X145" i="2"/>
  <c r="BO144" i="2"/>
  <c r="BM144" i="2"/>
  <c r="Y144" i="2"/>
  <c r="Z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0" i="2"/>
  <c r="X129" i="2"/>
  <c r="BO128" i="2"/>
  <c r="BM128" i="2"/>
  <c r="Y128" i="2"/>
  <c r="Z128" i="2" s="1"/>
  <c r="Z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BN122" i="2" s="1"/>
  <c r="P122" i="2"/>
  <c r="BO121" i="2"/>
  <c r="BM121" i="2"/>
  <c r="Y121" i="2"/>
  <c r="Z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Z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O97" i="2"/>
  <c r="BM97" i="2"/>
  <c r="Y97" i="2"/>
  <c r="BN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N94" i="2" s="1"/>
  <c r="P94" i="2"/>
  <c r="X92" i="2"/>
  <c r="X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X79" i="2"/>
  <c r="X78" i="2"/>
  <c r="BO77" i="2"/>
  <c r="BM77" i="2"/>
  <c r="Y77" i="2"/>
  <c r="Z77" i="2" s="1"/>
  <c r="P77" i="2"/>
  <c r="BO76" i="2"/>
  <c r="BM76" i="2"/>
  <c r="Y76" i="2"/>
  <c r="BP76" i="2" s="1"/>
  <c r="P76" i="2"/>
  <c r="X74" i="2"/>
  <c r="X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BO69" i="2"/>
  <c r="BM69" i="2"/>
  <c r="Y69" i="2"/>
  <c r="BP69" i="2" s="1"/>
  <c r="P69" i="2"/>
  <c r="X67" i="2"/>
  <c r="X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Z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P43" i="2"/>
  <c r="BO42" i="2"/>
  <c r="BM42" i="2"/>
  <c r="Y42" i="2"/>
  <c r="BN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N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Z265" i="2" l="1"/>
  <c r="BN340" i="2"/>
  <c r="Z479" i="2"/>
  <c r="Z349" i="2"/>
  <c r="Y298" i="2"/>
  <c r="Z444" i="2"/>
  <c r="BN149" i="2"/>
  <c r="BN484" i="2"/>
  <c r="BN351" i="2"/>
  <c r="BN134" i="2"/>
  <c r="BN219" i="2"/>
  <c r="Z303" i="2"/>
  <c r="BN319" i="2"/>
  <c r="BN350" i="2"/>
  <c r="BN407" i="2"/>
  <c r="BP77" i="2"/>
  <c r="BN104" i="2"/>
  <c r="BN174" i="2"/>
  <c r="BN361" i="2"/>
  <c r="BN393" i="2"/>
  <c r="Z23" i="2"/>
  <c r="Z64" i="2"/>
  <c r="Y164" i="2"/>
  <c r="BN211" i="2"/>
  <c r="Z339" i="2"/>
  <c r="BP23" i="2"/>
  <c r="BN474" i="2"/>
  <c r="Z304" i="2"/>
  <c r="BN339" i="2"/>
  <c r="BN60" i="2"/>
  <c r="Y140" i="2"/>
  <c r="Z267" i="2"/>
  <c r="BN386" i="2"/>
  <c r="Z72" i="2"/>
  <c r="BN138" i="2"/>
  <c r="BN304" i="2"/>
  <c r="BP479" i="2"/>
  <c r="Z82" i="2"/>
  <c r="Z208" i="2"/>
  <c r="Z231" i="2"/>
  <c r="Z359" i="2"/>
  <c r="Z380" i="2"/>
  <c r="BN231" i="2"/>
  <c r="Z273" i="2"/>
  <c r="BN158" i="2"/>
  <c r="BN186" i="2"/>
  <c r="BN355" i="2"/>
  <c r="Z252" i="2"/>
  <c r="Z62" i="2"/>
  <c r="BN54" i="2"/>
  <c r="Z173" i="2"/>
  <c r="BP186" i="2"/>
  <c r="Z257" i="2"/>
  <c r="Z360" i="2"/>
  <c r="Z36" i="2"/>
  <c r="Z37" i="2" s="1"/>
  <c r="Z214" i="2"/>
  <c r="BN326" i="2"/>
  <c r="BP374" i="2"/>
  <c r="BP381" i="2"/>
  <c r="Y455" i="2"/>
  <c r="BP360" i="2"/>
  <c r="BN63" i="2"/>
  <c r="BN70" i="2"/>
  <c r="BN162" i="2"/>
  <c r="BP115" i="2"/>
  <c r="BN128" i="2"/>
  <c r="BP217" i="2"/>
  <c r="BN432" i="2"/>
  <c r="BN446" i="2"/>
  <c r="BN241" i="2"/>
  <c r="Z392" i="2"/>
  <c r="Z402" i="2"/>
  <c r="BN485" i="2"/>
  <c r="Y163" i="2"/>
  <c r="BN198" i="2"/>
  <c r="BP254" i="2"/>
  <c r="Z262" i="2"/>
  <c r="Z270" i="2"/>
  <c r="BN334" i="2"/>
  <c r="Z368" i="2"/>
  <c r="BN449" i="2"/>
  <c r="Y456" i="2"/>
  <c r="Z53" i="2"/>
  <c r="Z97" i="2"/>
  <c r="Z106" i="2"/>
  <c r="Z116" i="2"/>
  <c r="BP241" i="2"/>
  <c r="Y433" i="2"/>
  <c r="D537" i="2"/>
  <c r="Z44" i="2"/>
  <c r="Z51" i="2"/>
  <c r="Z95" i="2"/>
  <c r="BN116" i="2"/>
  <c r="BN124" i="2"/>
  <c r="Z255" i="2"/>
  <c r="Z268" i="2"/>
  <c r="BP270" i="2"/>
  <c r="Z374" i="2"/>
  <c r="BN494" i="2"/>
  <c r="Z509" i="2"/>
  <c r="Z31" i="2"/>
  <c r="BN438" i="2"/>
  <c r="BN44" i="2"/>
  <c r="Z122" i="2"/>
  <c r="BN255" i="2"/>
  <c r="Z301" i="2"/>
  <c r="BP303" i="2"/>
  <c r="Z312" i="2"/>
  <c r="BP349" i="2"/>
  <c r="Y502" i="2"/>
  <c r="BN436" i="2"/>
  <c r="BN107" i="2"/>
  <c r="Z115" i="2"/>
  <c r="Z217" i="2"/>
  <c r="Z283" i="2"/>
  <c r="Y295" i="2"/>
  <c r="Z325" i="2"/>
  <c r="BP359" i="2"/>
  <c r="Y389" i="2"/>
  <c r="Z412" i="2"/>
  <c r="Z495" i="2"/>
  <c r="BP30" i="2"/>
  <c r="BN96" i="2"/>
  <c r="Z175" i="2"/>
  <c r="Z348" i="2"/>
  <c r="Z406" i="2"/>
  <c r="BP406" i="2"/>
  <c r="BN143" i="2"/>
  <c r="Z143" i="2"/>
  <c r="Z145" i="2" s="1"/>
  <c r="BP271" i="2"/>
  <c r="Y434" i="2"/>
  <c r="Z169" i="2"/>
  <c r="BN166" i="2"/>
  <c r="BN463" i="2"/>
  <c r="Y466" i="2"/>
  <c r="BN65" i="2"/>
  <c r="BN404" i="2"/>
  <c r="Y376" i="2"/>
  <c r="Z365" i="2"/>
  <c r="Z254" i="2"/>
  <c r="BN272" i="2"/>
  <c r="Z271" i="2"/>
  <c r="BN491" i="2"/>
  <c r="Z372" i="2"/>
  <c r="Y395" i="2"/>
  <c r="BN394" i="2"/>
  <c r="Y396" i="2"/>
  <c r="Z277" i="2"/>
  <c r="X528" i="2"/>
  <c r="J9" i="2"/>
  <c r="Y83" i="2"/>
  <c r="BP172" i="2"/>
  <c r="Y206" i="2"/>
  <c r="Y205" i="2"/>
  <c r="BP204" i="2"/>
  <c r="BN357" i="2"/>
  <c r="Z357" i="2"/>
  <c r="X529" i="2"/>
  <c r="X531" i="2"/>
  <c r="C537" i="2"/>
  <c r="Y56" i="2"/>
  <c r="BP52" i="2"/>
  <c r="Z61" i="2"/>
  <c r="BP61" i="2"/>
  <c r="BP63" i="2"/>
  <c r="Z71" i="2"/>
  <c r="BP71" i="2"/>
  <c r="Z81" i="2"/>
  <c r="Z83" i="2" s="1"/>
  <c r="F537" i="2"/>
  <c r="BP87" i="2"/>
  <c r="BN88" i="2"/>
  <c r="Z90" i="2"/>
  <c r="Z94" i="2"/>
  <c r="BP94" i="2"/>
  <c r="Y99" i="2"/>
  <c r="Z105" i="2"/>
  <c r="BP105" i="2"/>
  <c r="Z114" i="2"/>
  <c r="BP114" i="2"/>
  <c r="H537" i="2"/>
  <c r="Z139" i="2"/>
  <c r="BP167" i="2"/>
  <c r="Z167" i="2"/>
  <c r="Z172" i="2"/>
  <c r="BP181" i="2"/>
  <c r="Z181" i="2"/>
  <c r="Z190" i="2"/>
  <c r="Z191" i="2" s="1"/>
  <c r="Y192" i="2"/>
  <c r="BN190" i="2"/>
  <c r="Y191" i="2"/>
  <c r="BP197" i="2"/>
  <c r="Z199" i="2"/>
  <c r="Z204" i="2"/>
  <c r="Z205" i="2" s="1"/>
  <c r="BP209" i="2"/>
  <c r="Z209" i="2"/>
  <c r="BP232" i="2"/>
  <c r="BN232" i="2"/>
  <c r="Z232" i="2"/>
  <c r="BN251" i="2"/>
  <c r="BP251" i="2"/>
  <c r="BN269" i="2"/>
  <c r="BP269" i="2"/>
  <c r="Z269" i="2"/>
  <c r="BN285" i="2"/>
  <c r="BP285" i="2"/>
  <c r="Z285" i="2"/>
  <c r="BN288" i="2"/>
  <c r="Z288" i="2"/>
  <c r="Z346" i="2"/>
  <c r="Y353" i="2"/>
  <c r="BN347" i="2"/>
  <c r="Z347" i="2"/>
  <c r="Y429" i="2"/>
  <c r="BN428" i="2"/>
  <c r="BP428" i="2"/>
  <c r="Z428" i="2"/>
  <c r="BP475" i="2"/>
  <c r="BN475" i="2"/>
  <c r="Z475" i="2"/>
  <c r="Z483" i="2"/>
  <c r="BN483" i="2"/>
  <c r="Z493" i="2"/>
  <c r="BN493" i="2"/>
  <c r="BP518" i="2"/>
  <c r="Z518" i="2"/>
  <c r="Y141" i="2"/>
  <c r="BN150" i="2"/>
  <c r="Z150" i="2"/>
  <c r="Y244" i="2"/>
  <c r="BN242" i="2"/>
  <c r="BN405" i="2"/>
  <c r="BP405" i="2"/>
  <c r="Z405" i="2"/>
  <c r="BP417" i="2"/>
  <c r="Z417" i="2"/>
  <c r="X527" i="2"/>
  <c r="BN27" i="2"/>
  <c r="Z28" i="2"/>
  <c r="BN29" i="2"/>
  <c r="BP31" i="2"/>
  <c r="Y47" i="2"/>
  <c r="BN45" i="2"/>
  <c r="BN51" i="2"/>
  <c r="Y55" i="2"/>
  <c r="Z60" i="2"/>
  <c r="BN62" i="2"/>
  <c r="Y66" i="2"/>
  <c r="Z70" i="2"/>
  <c r="BN72" i="2"/>
  <c r="Y74" i="2"/>
  <c r="BN76" i="2"/>
  <c r="BP82" i="2"/>
  <c r="Z87" i="2"/>
  <c r="BN95" i="2"/>
  <c r="BP97" i="2"/>
  <c r="Z104" i="2"/>
  <c r="BN106" i="2"/>
  <c r="BP108" i="2"/>
  <c r="Y119" i="2"/>
  <c r="BP112" i="2"/>
  <c r="BN117" i="2"/>
  <c r="Z124" i="2"/>
  <c r="Z134" i="2"/>
  <c r="Z138" i="2"/>
  <c r="BP138" i="2"/>
  <c r="I537" i="2"/>
  <c r="Z197" i="2"/>
  <c r="BP212" i="2"/>
  <c r="BN212" i="2"/>
  <c r="Z212" i="2"/>
  <c r="BP221" i="2"/>
  <c r="BN221" i="2"/>
  <c r="BN264" i="2"/>
  <c r="BP264" i="2"/>
  <c r="Z264" i="2"/>
  <c r="BP278" i="2"/>
  <c r="Z278" i="2"/>
  <c r="BP309" i="2"/>
  <c r="BN309" i="2"/>
  <c r="BP320" i="2"/>
  <c r="BN320" i="2"/>
  <c r="BP328" i="2"/>
  <c r="Z328" i="2"/>
  <c r="Y409" i="2"/>
  <c r="BN400" i="2"/>
  <c r="Z400" i="2"/>
  <c r="BN514" i="2"/>
  <c r="Z514" i="2"/>
  <c r="Z515" i="2" s="1"/>
  <c r="K537" i="2"/>
  <c r="BP196" i="2"/>
  <c r="Z196" i="2"/>
  <c r="BP199" i="2"/>
  <c r="BN226" i="2"/>
  <c r="BP226" i="2"/>
  <c r="Z226" i="2"/>
  <c r="H9" i="2"/>
  <c r="BP53" i="2"/>
  <c r="BP64" i="2"/>
  <c r="BN81" i="2"/>
  <c r="Y84" i="2"/>
  <c r="BN90" i="2"/>
  <c r="G537" i="2"/>
  <c r="BP102" i="2"/>
  <c r="BP122" i="2"/>
  <c r="BN139" i="2"/>
  <c r="BP150" i="2"/>
  <c r="BP171" i="2"/>
  <c r="Z171" i="2"/>
  <c r="BN216" i="2"/>
  <c r="BP216" i="2"/>
  <c r="Z216" i="2"/>
  <c r="Y237" i="2"/>
  <c r="Y238" i="2"/>
  <c r="BN236" i="2"/>
  <c r="Z236" i="2"/>
  <c r="Z237" i="2" s="1"/>
  <c r="BN302" i="2"/>
  <c r="BP302" i="2"/>
  <c r="Z302" i="2"/>
  <c r="BN313" i="2"/>
  <c r="BP313" i="2"/>
  <c r="Z313" i="2"/>
  <c r="Y343" i="2"/>
  <c r="BN341" i="2"/>
  <c r="BP357" i="2"/>
  <c r="Z378" i="2"/>
  <c r="Y382" i="2"/>
  <c r="BN378" i="2"/>
  <c r="BP403" i="2"/>
  <c r="Z403" i="2"/>
  <c r="BN490" i="2"/>
  <c r="Z490" i="2"/>
  <c r="Y222" i="2"/>
  <c r="Y233" i="2"/>
  <c r="M537" i="2"/>
  <c r="Y248" i="2"/>
  <c r="BP267" i="2"/>
  <c r="BN286" i="2"/>
  <c r="BP297" i="2"/>
  <c r="Y299" i="2"/>
  <c r="BP311" i="2"/>
  <c r="Y321" i="2"/>
  <c r="Y342" i="2"/>
  <c r="Y363" i="2"/>
  <c r="BP367" i="2"/>
  <c r="BP385" i="2"/>
  <c r="W537" i="2"/>
  <c r="BP445" i="2"/>
  <c r="Y451" i="2"/>
  <c r="Y481" i="2"/>
  <c r="Y511" i="2"/>
  <c r="Y188" i="2"/>
  <c r="BP208" i="2"/>
  <c r="Z211" i="2"/>
  <c r="BP214" i="2"/>
  <c r="BP220" i="2"/>
  <c r="BN265" i="2"/>
  <c r="BP273" i="2"/>
  <c r="BP277" i="2"/>
  <c r="Z293" i="2"/>
  <c r="Z294" i="2" s="1"/>
  <c r="Y294" i="2"/>
  <c r="Y306" i="2"/>
  <c r="Z311" i="2"/>
  <c r="Z319" i="2"/>
  <c r="BN325" i="2"/>
  <c r="Z326" i="2"/>
  <c r="BP327" i="2"/>
  <c r="S537" i="2"/>
  <c r="Z340" i="2"/>
  <c r="Z351" i="2"/>
  <c r="Z361" i="2"/>
  <c r="BN365" i="2"/>
  <c r="Z367" i="2"/>
  <c r="Z379" i="2"/>
  <c r="BN380" i="2"/>
  <c r="Z385" i="2"/>
  <c r="BN392" i="2"/>
  <c r="Z394" i="2"/>
  <c r="BP402" i="2"/>
  <c r="Z404" i="2"/>
  <c r="Z413" i="2"/>
  <c r="Z427" i="2"/>
  <c r="BP427" i="2"/>
  <c r="BN437" i="2"/>
  <c r="Z438" i="2"/>
  <c r="Z439" i="2" s="1"/>
  <c r="X537" i="2"/>
  <c r="Z445" i="2"/>
  <c r="Z454" i="2"/>
  <c r="Z455" i="2" s="1"/>
  <c r="BP454" i="2"/>
  <c r="Z463" i="2"/>
  <c r="Z484" i="2"/>
  <c r="BP491" i="2"/>
  <c r="Z494" i="2"/>
  <c r="BN495" i="2"/>
  <c r="BN509" i="2"/>
  <c r="Z158" i="2"/>
  <c r="Z162" i="2"/>
  <c r="Z163" i="2" s="1"/>
  <c r="Z166" i="2"/>
  <c r="BP169" i="2"/>
  <c r="BP175" i="2"/>
  <c r="Y182" i="2"/>
  <c r="BP179" i="2"/>
  <c r="Z248" i="2"/>
  <c r="BP247" i="2"/>
  <c r="BP257" i="2"/>
  <c r="Z289" i="2"/>
  <c r="BP386" i="2"/>
  <c r="U537" i="2"/>
  <c r="Z393" i="2"/>
  <c r="Z407" i="2"/>
  <c r="BP412" i="2"/>
  <c r="Z432" i="2"/>
  <c r="Z433" i="2" s="1"/>
  <c r="Y439" i="2"/>
  <c r="BP446" i="2"/>
  <c r="BN448" i="2"/>
  <c r="Y467" i="2"/>
  <c r="Z537" i="2"/>
  <c r="BP471" i="2"/>
  <c r="BN473" i="2"/>
  <c r="Z474" i="2"/>
  <c r="Z477" i="2"/>
  <c r="Y486" i="2"/>
  <c r="Y496" i="2"/>
  <c r="AA537" i="2"/>
  <c r="BP501" i="2"/>
  <c r="Y98" i="2"/>
  <c r="Y109" i="2"/>
  <c r="BP152" i="2"/>
  <c r="Y176" i="2"/>
  <c r="BP185" i="2"/>
  <c r="Y200" i="2"/>
  <c r="BP210" i="2"/>
  <c r="BP230" i="2"/>
  <c r="Z251" i="2"/>
  <c r="BP253" i="2"/>
  <c r="BP263" i="2"/>
  <c r="Y274" i="2"/>
  <c r="BP284" i="2"/>
  <c r="BP318" i="2"/>
  <c r="Z327" i="2"/>
  <c r="BP329" i="2"/>
  <c r="BP373" i="2"/>
  <c r="Z381" i="2"/>
  <c r="BP418" i="2"/>
  <c r="Y430" i="2"/>
  <c r="Z464" i="2"/>
  <c r="Z476" i="2"/>
  <c r="BP478" i="2"/>
  <c r="Z510" i="2"/>
  <c r="Y515" i="2"/>
  <c r="J537" i="2"/>
  <c r="BP133" i="2"/>
  <c r="BP157" i="2"/>
  <c r="BP22" i="2"/>
  <c r="Z30" i="2"/>
  <c r="BP32" i="2"/>
  <c r="BP128" i="2"/>
  <c r="Y33" i="2"/>
  <c r="Z42" i="2"/>
  <c r="Z54" i="2"/>
  <c r="Z65" i="2"/>
  <c r="BN77" i="2"/>
  <c r="Z88" i="2"/>
  <c r="BN121" i="2"/>
  <c r="BN144" i="2"/>
  <c r="BN168" i="2"/>
  <c r="BP190" i="2"/>
  <c r="BN213" i="2"/>
  <c r="Z221" i="2"/>
  <c r="Y234" i="2"/>
  <c r="BN246" i="2"/>
  <c r="BN256" i="2"/>
  <c r="Y259" i="2"/>
  <c r="BN266" i="2"/>
  <c r="Y279" i="2"/>
  <c r="BN287" i="2"/>
  <c r="Y290" i="2"/>
  <c r="Z297" i="2"/>
  <c r="Z298" i="2" s="1"/>
  <c r="BN310" i="2"/>
  <c r="Y322" i="2"/>
  <c r="BP334" i="2"/>
  <c r="BN346" i="2"/>
  <c r="BN356" i="2"/>
  <c r="BN366" i="2"/>
  <c r="Y369" i="2"/>
  <c r="BP378" i="2"/>
  <c r="BN401" i="2"/>
  <c r="BN411" i="2"/>
  <c r="Y414" i="2"/>
  <c r="BP436" i="2"/>
  <c r="BP448" i="2"/>
  <c r="BN459" i="2"/>
  <c r="Z471" i="2"/>
  <c r="BP473" i="2"/>
  <c r="BP483" i="2"/>
  <c r="BP493" i="2"/>
  <c r="BN505" i="2"/>
  <c r="Y520" i="2"/>
  <c r="BP43" i="2"/>
  <c r="Y38" i="2"/>
  <c r="BP27" i="2"/>
  <c r="BP51" i="2"/>
  <c r="Y129" i="2"/>
  <c r="Y153" i="2"/>
  <c r="Y330" i="2"/>
  <c r="Y419" i="2"/>
  <c r="Y440" i="2"/>
  <c r="BN464" i="2"/>
  <c r="BN476" i="2"/>
  <c r="Y487" i="2"/>
  <c r="Y497" i="2"/>
  <c r="BN510" i="2"/>
  <c r="L537" i="2"/>
  <c r="Y91" i="2"/>
  <c r="Y110" i="2"/>
  <c r="BP121" i="2"/>
  <c r="Y135" i="2"/>
  <c r="BP144" i="2"/>
  <c r="Y159" i="2"/>
  <c r="BP168" i="2"/>
  <c r="Y177" i="2"/>
  <c r="Y201" i="2"/>
  <c r="BP213" i="2"/>
  <c r="BP246" i="2"/>
  <c r="BP256" i="2"/>
  <c r="BP266" i="2"/>
  <c r="Y275" i="2"/>
  <c r="BP287" i="2"/>
  <c r="BP310" i="2"/>
  <c r="Y335" i="2"/>
  <c r="BP346" i="2"/>
  <c r="BP356" i="2"/>
  <c r="BP366" i="2"/>
  <c r="BP401" i="2"/>
  <c r="BP411" i="2"/>
  <c r="BP459" i="2"/>
  <c r="BP505" i="2"/>
  <c r="Y516" i="2"/>
  <c r="Y260" i="2"/>
  <c r="Y280" i="2"/>
  <c r="Y291" i="2"/>
  <c r="Y305" i="2"/>
  <c r="Y352" i="2"/>
  <c r="Y362" i="2"/>
  <c r="Y370" i="2"/>
  <c r="Y415" i="2"/>
  <c r="Y521" i="2"/>
  <c r="O537" i="2"/>
  <c r="Y34" i="2"/>
  <c r="Z45" i="2"/>
  <c r="Y73" i="2"/>
  <c r="F9" i="2"/>
  <c r="BP42" i="2"/>
  <c r="Z52" i="2"/>
  <c r="Y78" i="2"/>
  <c r="Z96" i="2"/>
  <c r="Z107" i="2"/>
  <c r="Z117" i="2"/>
  <c r="Y130" i="2"/>
  <c r="Y145" i="2"/>
  <c r="Y154" i="2"/>
  <c r="Z174" i="2"/>
  <c r="Z198" i="2"/>
  <c r="Z200" i="2" s="1"/>
  <c r="Z219" i="2"/>
  <c r="Z242" i="2"/>
  <c r="Z243" i="2" s="1"/>
  <c r="Z272" i="2"/>
  <c r="Y331" i="2"/>
  <c r="Z341" i="2"/>
  <c r="Y420" i="2"/>
  <c r="Y460" i="2"/>
  <c r="Z489" i="2"/>
  <c r="Y506" i="2"/>
  <c r="P537" i="2"/>
  <c r="Y92" i="2"/>
  <c r="Y136" i="2"/>
  <c r="Y160" i="2"/>
  <c r="Y336" i="2"/>
  <c r="Q537" i="2"/>
  <c r="BN501" i="2"/>
  <c r="Z524" i="2"/>
  <c r="Z525" i="2" s="1"/>
  <c r="R537" i="2"/>
  <c r="A10" i="2"/>
  <c r="Y24" i="2"/>
  <c r="Z43" i="2"/>
  <c r="Y79" i="2"/>
  <c r="Z89" i="2"/>
  <c r="BN102" i="2"/>
  <c r="BN112" i="2"/>
  <c r="Y125" i="2"/>
  <c r="Z133" i="2"/>
  <c r="Y146" i="2"/>
  <c r="Z157" i="2"/>
  <c r="BN179" i="2"/>
  <c r="BN204" i="2"/>
  <c r="Y227" i="2"/>
  <c r="BP236" i="2"/>
  <c r="Y314" i="2"/>
  <c r="Z333" i="2"/>
  <c r="Z335" i="2" s="1"/>
  <c r="Z387" i="2"/>
  <c r="Z388" i="2" s="1"/>
  <c r="Z422" i="2"/>
  <c r="Z423" i="2" s="1"/>
  <c r="Z447" i="2"/>
  <c r="Y461" i="2"/>
  <c r="Z472" i="2"/>
  <c r="Z492" i="2"/>
  <c r="Y507" i="2"/>
  <c r="BN518" i="2"/>
  <c r="BN36" i="2"/>
  <c r="BN151" i="2"/>
  <c r="Y187" i="2"/>
  <c r="BN209" i="2"/>
  <c r="BP242" i="2"/>
  <c r="BN252" i="2"/>
  <c r="BN262" i="2"/>
  <c r="BN283" i="2"/>
  <c r="BN293" i="2"/>
  <c r="BN328" i="2"/>
  <c r="BP341" i="2"/>
  <c r="BN372" i="2"/>
  <c r="Y375" i="2"/>
  <c r="Y383" i="2"/>
  <c r="BN417" i="2"/>
  <c r="BN465" i="2"/>
  <c r="BN477" i="2"/>
  <c r="Y480" i="2"/>
  <c r="BP489" i="2"/>
  <c r="Y512" i="2"/>
  <c r="BN524" i="2"/>
  <c r="T537" i="2"/>
  <c r="Z29" i="2"/>
  <c r="BN43" i="2"/>
  <c r="Y46" i="2"/>
  <c r="Y67" i="2"/>
  <c r="Z76" i="2"/>
  <c r="Z78" i="2" s="1"/>
  <c r="BN89" i="2"/>
  <c r="BN133" i="2"/>
  <c r="Y223" i="2"/>
  <c r="Z286" i="2"/>
  <c r="Z309" i="2"/>
  <c r="Z320" i="2"/>
  <c r="BN333" i="2"/>
  <c r="Z355" i="2"/>
  <c r="BN387" i="2"/>
  <c r="BN422" i="2"/>
  <c r="BN447" i="2"/>
  <c r="Y450" i="2"/>
  <c r="BN472" i="2"/>
  <c r="BN492" i="2"/>
  <c r="B537" i="2"/>
  <c r="Y25" i="2"/>
  <c r="BP36" i="2"/>
  <c r="Y118" i="2"/>
  <c r="Y126" i="2"/>
  <c r="Y183" i="2"/>
  <c r="Y228" i="2"/>
  <c r="Y243" i="2"/>
  <c r="Y315" i="2"/>
  <c r="BP372" i="2"/>
  <c r="Y408" i="2"/>
  <c r="BP465" i="2"/>
  <c r="BP524" i="2"/>
  <c r="V537" i="2"/>
  <c r="BP422" i="2"/>
  <c r="BP447" i="2"/>
  <c r="BP472" i="2"/>
  <c r="Z22" i="2"/>
  <c r="Z24" i="2" s="1"/>
  <c r="Z59" i="2"/>
  <c r="Z103" i="2"/>
  <c r="Z113" i="2"/>
  <c r="Z123" i="2"/>
  <c r="Z170" i="2"/>
  <c r="Z215" i="2"/>
  <c r="Z225" i="2"/>
  <c r="Z227" i="2" s="1"/>
  <c r="Z258" i="2"/>
  <c r="Z519" i="2"/>
  <c r="Y525" i="2"/>
  <c r="E537" i="2"/>
  <c r="Z32" i="2"/>
  <c r="Z69" i="2"/>
  <c r="Z180" i="2"/>
  <c r="Z182" i="2" s="1"/>
  <c r="BN87" i="2"/>
  <c r="Z152" i="2"/>
  <c r="Z185" i="2"/>
  <c r="Z187" i="2" s="1"/>
  <c r="Z210" i="2"/>
  <c r="Z230" i="2"/>
  <c r="Z253" i="2"/>
  <c r="Z263" i="2"/>
  <c r="Z284" i="2"/>
  <c r="Z318" i="2"/>
  <c r="Z329" i="2"/>
  <c r="Z373" i="2"/>
  <c r="BN385" i="2"/>
  <c r="Y388" i="2"/>
  <c r="BP400" i="2"/>
  <c r="Z418" i="2"/>
  <c r="Y423" i="2"/>
  <c r="Z478" i="2"/>
  <c r="Y503" i="2"/>
  <c r="Y537" i="2"/>
  <c r="BN59" i="2"/>
  <c r="BN69" i="2"/>
  <c r="BN103" i="2"/>
  <c r="BN113" i="2"/>
  <c r="BN123" i="2"/>
  <c r="BP149" i="2"/>
  <c r="BN170" i="2"/>
  <c r="BN180" i="2"/>
  <c r="BN215" i="2"/>
  <c r="BN225" i="2"/>
  <c r="Y249" i="2"/>
  <c r="BN258" i="2"/>
  <c r="BN268" i="2"/>
  <c r="BN278" i="2"/>
  <c r="BN289" i="2"/>
  <c r="BN301" i="2"/>
  <c r="BN312" i="2"/>
  <c r="BN348" i="2"/>
  <c r="BN358" i="2"/>
  <c r="BN368" i="2"/>
  <c r="BN403" i="2"/>
  <c r="BN413" i="2"/>
  <c r="BP485" i="2"/>
  <c r="BN519" i="2"/>
  <c r="BN230" i="2"/>
  <c r="BN318" i="2"/>
  <c r="Y526" i="2"/>
  <c r="Z369" i="2" l="1"/>
  <c r="Z382" i="2"/>
  <c r="Z305" i="2"/>
  <c r="Z222" i="2"/>
  <c r="Z153" i="2"/>
  <c r="Z330" i="2"/>
  <c r="Z414" i="2"/>
  <c r="Z140" i="2"/>
  <c r="Z109" i="2"/>
  <c r="Z511" i="2"/>
  <c r="Z91" i="2"/>
  <c r="Z98" i="2"/>
  <c r="Z290" i="2"/>
  <c r="Z429" i="2"/>
  <c r="Z362" i="2"/>
  <c r="Z159" i="2"/>
  <c r="Z520" i="2"/>
  <c r="Z135" i="2"/>
  <c r="Z55" i="2"/>
  <c r="Z176" i="2"/>
  <c r="Z450" i="2"/>
  <c r="Z279" i="2"/>
  <c r="Z66" i="2"/>
  <c r="Z419" i="2"/>
  <c r="Z408" i="2"/>
  <c r="Z274" i="2"/>
  <c r="Z375" i="2"/>
  <c r="Z496" i="2"/>
  <c r="X530" i="2"/>
  <c r="Z466" i="2"/>
  <c r="Z395" i="2"/>
  <c r="Z73" i="2"/>
  <c r="Z314" i="2"/>
  <c r="Y529" i="2"/>
  <c r="Z259" i="2"/>
  <c r="Z352" i="2"/>
  <c r="Y528" i="2"/>
  <c r="Z33" i="2"/>
  <c r="Z486" i="2"/>
  <c r="Z125" i="2"/>
  <c r="Z321" i="2"/>
  <c r="Z233" i="2"/>
  <c r="Z118" i="2"/>
  <c r="Z342" i="2"/>
  <c r="Y527" i="2"/>
  <c r="Z46" i="2"/>
  <c r="Y531" i="2"/>
  <c r="Z480" i="2"/>
  <c r="Y530" i="2" l="1"/>
  <c r="Z532" i="2"/>
</calcChain>
</file>

<file path=xl/sharedStrings.xml><?xml version="1.0" encoding="utf-8"?>
<sst xmlns="http://schemas.openxmlformats.org/spreadsheetml/2006/main" count="3957" uniqueCount="845">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</sst>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32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23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11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7"/>
  <sheetViews>
    <sheetView showGridLines="0" tabSelected="1" zoomScaleNormal="100" zoomScaleSheetLayoutView="100" workbookViewId="0">
      <selection activeCell="AA61" sqref="AA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31" t="s">
        <v>26</v>
      </c>
      <c r="E1" s="931"/>
      <c r="F1" s="931"/>
      <c r="G1" s="14" t="s">
        <v>67</v>
      </c>
      <c r="H1" s="931" t="s">
        <v>47</v>
      </c>
      <c r="I1" s="931"/>
      <c r="J1" s="931"/>
      <c r="K1" s="931"/>
      <c r="L1" s="931"/>
      <c r="M1" s="931"/>
      <c r="N1" s="931"/>
      <c r="O1" s="931"/>
      <c r="P1" s="931"/>
      <c r="Q1" s="931"/>
      <c r="R1" s="932" t="s">
        <v>68</v>
      </c>
      <c r="S1" s="933"/>
      <c r="T1" s="93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34"/>
      <c r="R2" s="934"/>
      <c r="S2" s="934"/>
      <c r="T2" s="934"/>
      <c r="U2" s="934"/>
      <c r="V2" s="934"/>
      <c r="W2" s="93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34"/>
      <c r="Q3" s="934"/>
      <c r="R3" s="934"/>
      <c r="S3" s="934"/>
      <c r="T3" s="934"/>
      <c r="U3" s="934"/>
      <c r="V3" s="934"/>
      <c r="W3" s="93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13" t="s">
        <v>8</v>
      </c>
      <c r="B5" s="913"/>
      <c r="C5" s="913"/>
      <c r="D5" s="935"/>
      <c r="E5" s="935"/>
      <c r="F5" s="936" t="s">
        <v>14</v>
      </c>
      <c r="G5" s="936"/>
      <c r="H5" s="935" t="s">
        <v>844</v>
      </c>
      <c r="I5" s="935"/>
      <c r="J5" s="935"/>
      <c r="K5" s="935"/>
      <c r="L5" s="935"/>
      <c r="M5" s="935"/>
      <c r="N5" s="69"/>
      <c r="P5" s="26" t="s">
        <v>4</v>
      </c>
      <c r="Q5" s="937">
        <v>46205</v>
      </c>
      <c r="R5" s="937"/>
      <c r="T5" s="938" t="s">
        <v>3</v>
      </c>
      <c r="U5" s="939"/>
      <c r="V5" s="940" t="s">
        <v>820</v>
      </c>
      <c r="W5" s="941"/>
      <c r="AB5" s="57"/>
      <c r="AC5" s="57"/>
      <c r="AD5" s="57"/>
      <c r="AE5" s="57"/>
    </row>
    <row r="6" spans="1:32" s="17" customFormat="1" ht="24" customHeight="1" x14ac:dyDescent="0.2">
      <c r="A6" s="913" t="s">
        <v>1</v>
      </c>
      <c r="B6" s="913"/>
      <c r="C6" s="913"/>
      <c r="D6" s="914" t="s">
        <v>827</v>
      </c>
      <c r="E6" s="914"/>
      <c r="F6" s="914"/>
      <c r="G6" s="914"/>
      <c r="H6" s="914"/>
      <c r="I6" s="914"/>
      <c r="J6" s="914"/>
      <c r="K6" s="914"/>
      <c r="L6" s="914"/>
      <c r="M6" s="914"/>
      <c r="N6" s="70"/>
      <c r="P6" s="26" t="s">
        <v>27</v>
      </c>
      <c r="Q6" s="915" t="str">
        <f>IF(Q5=0," ",CHOOSE(WEEKDAY(Q5,2),"Понедельник","Вторник","Среда","Четверг","Пятница","Суббота","Воскресенье"))</f>
        <v>Четверг</v>
      </c>
      <c r="R6" s="915"/>
      <c r="T6" s="916" t="s">
        <v>5</v>
      </c>
      <c r="U6" s="917"/>
      <c r="V6" s="918" t="s">
        <v>70</v>
      </c>
      <c r="W6" s="919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24" t="str">
        <f>IFERROR(VLOOKUP(DeliveryAddress,Table,3,0),1)</f>
        <v>3</v>
      </c>
      <c r="E7" s="925"/>
      <c r="F7" s="925"/>
      <c r="G7" s="925"/>
      <c r="H7" s="925"/>
      <c r="I7" s="925"/>
      <c r="J7" s="925"/>
      <c r="K7" s="925"/>
      <c r="L7" s="925"/>
      <c r="M7" s="926"/>
      <c r="N7" s="71"/>
      <c r="P7" s="26"/>
      <c r="Q7" s="46"/>
      <c r="R7" s="46"/>
      <c r="T7" s="916"/>
      <c r="U7" s="917"/>
      <c r="V7" s="920"/>
      <c r="W7" s="921"/>
      <c r="AB7" s="57"/>
      <c r="AC7" s="57"/>
      <c r="AD7" s="57"/>
      <c r="AE7" s="57"/>
    </row>
    <row r="8" spans="1:32" s="17" customFormat="1" ht="25.5" customHeight="1" x14ac:dyDescent="0.2">
      <c r="A8" s="927" t="s">
        <v>58</v>
      </c>
      <c r="B8" s="927"/>
      <c r="C8" s="927"/>
      <c r="D8" s="928"/>
      <c r="E8" s="928"/>
      <c r="F8" s="928"/>
      <c r="G8" s="928"/>
      <c r="H8" s="928"/>
      <c r="I8" s="928"/>
      <c r="J8" s="928"/>
      <c r="K8" s="928"/>
      <c r="L8" s="928"/>
      <c r="M8" s="928"/>
      <c r="N8" s="72"/>
      <c r="P8" s="26" t="s">
        <v>11</v>
      </c>
      <c r="Q8" s="911">
        <v>0.41666666666666669</v>
      </c>
      <c r="R8" s="911"/>
      <c r="T8" s="916"/>
      <c r="U8" s="917"/>
      <c r="V8" s="920"/>
      <c r="W8" s="921"/>
      <c r="AB8" s="57"/>
      <c r="AC8" s="57"/>
      <c r="AD8" s="57"/>
      <c r="AE8" s="57"/>
    </row>
    <row r="9" spans="1:32" s="17" customFormat="1" ht="39.950000000000003" customHeight="1" x14ac:dyDescent="0.2">
      <c r="A9" s="90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03"/>
      <c r="C9" s="903"/>
      <c r="D9" s="904" t="s">
        <v>46</v>
      </c>
      <c r="E9" s="905"/>
      <c r="F9" s="90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03"/>
      <c r="H9" s="929" t="str">
        <f>IF(AND($A$9="Тип доверенности/получателя при получении в адресе перегруза:",$D$9="Разовая доверенность"),"Введите ФИО","")</f>
        <v/>
      </c>
      <c r="I9" s="929"/>
      <c r="J9" s="92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29"/>
      <c r="L9" s="929"/>
      <c r="M9" s="929"/>
      <c r="N9" s="67"/>
      <c r="P9" s="29" t="s">
        <v>15</v>
      </c>
      <c r="Q9" s="930"/>
      <c r="R9" s="930"/>
      <c r="T9" s="916"/>
      <c r="U9" s="917"/>
      <c r="V9" s="922"/>
      <c r="W9" s="92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0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03"/>
      <c r="C10" s="903"/>
      <c r="D10" s="904"/>
      <c r="E10" s="905"/>
      <c r="F10" s="90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03"/>
      <c r="H10" s="906" t="str">
        <f>IFERROR(VLOOKUP($D$10,Proxy,2,FALSE),"")</f>
        <v/>
      </c>
      <c r="I10" s="906"/>
      <c r="J10" s="906"/>
      <c r="K10" s="906"/>
      <c r="L10" s="906"/>
      <c r="M10" s="906"/>
      <c r="N10" s="68"/>
      <c r="P10" s="29" t="s">
        <v>32</v>
      </c>
      <c r="Q10" s="907"/>
      <c r="R10" s="907"/>
      <c r="U10" s="26" t="s">
        <v>12</v>
      </c>
      <c r="V10" s="908" t="s">
        <v>71</v>
      </c>
      <c r="W10" s="90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10"/>
      <c r="R11" s="910"/>
      <c r="U11" s="26" t="s">
        <v>28</v>
      </c>
      <c r="V11" s="889" t="s">
        <v>55</v>
      </c>
      <c r="W11" s="88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88" t="s">
        <v>72</v>
      </c>
      <c r="B12" s="888"/>
      <c r="C12" s="888"/>
      <c r="D12" s="888"/>
      <c r="E12" s="888"/>
      <c r="F12" s="888"/>
      <c r="G12" s="888"/>
      <c r="H12" s="888"/>
      <c r="I12" s="888"/>
      <c r="J12" s="888"/>
      <c r="K12" s="888"/>
      <c r="L12" s="888"/>
      <c r="M12" s="888"/>
      <c r="N12" s="73"/>
      <c r="P12" s="26" t="s">
        <v>30</v>
      </c>
      <c r="Q12" s="911"/>
      <c r="R12" s="911"/>
      <c r="S12" s="27"/>
      <c r="T12"/>
      <c r="U12" s="26" t="s">
        <v>46</v>
      </c>
      <c r="V12" s="912"/>
      <c r="W12" s="912"/>
      <c r="X12"/>
      <c r="AB12" s="57"/>
      <c r="AC12" s="57"/>
      <c r="AD12" s="57"/>
      <c r="AE12" s="57"/>
    </row>
    <row r="13" spans="1:32" s="17" customFormat="1" ht="23.25" customHeight="1" x14ac:dyDescent="0.2">
      <c r="A13" s="888" t="s">
        <v>73</v>
      </c>
      <c r="B13" s="888"/>
      <c r="C13" s="888"/>
      <c r="D13" s="888"/>
      <c r="E13" s="888"/>
      <c r="F13" s="888"/>
      <c r="G13" s="888"/>
      <c r="H13" s="888"/>
      <c r="I13" s="888"/>
      <c r="J13" s="888"/>
      <c r="K13" s="888"/>
      <c r="L13" s="888"/>
      <c r="M13" s="888"/>
      <c r="N13" s="73"/>
      <c r="O13" s="29"/>
      <c r="P13" s="29" t="s">
        <v>31</v>
      </c>
      <c r="Q13" s="889"/>
      <c r="R13" s="88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88" t="s">
        <v>74</v>
      </c>
      <c r="B14" s="888"/>
      <c r="C14" s="888"/>
      <c r="D14" s="888"/>
      <c r="E14" s="888"/>
      <c r="F14" s="888"/>
      <c r="G14" s="888"/>
      <c r="H14" s="888"/>
      <c r="I14" s="888"/>
      <c r="J14" s="888"/>
      <c r="K14" s="888"/>
      <c r="L14" s="888"/>
      <c r="M14" s="8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90" t="s">
        <v>75</v>
      </c>
      <c r="B15" s="890"/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74"/>
      <c r="O15"/>
      <c r="P15" s="891" t="s">
        <v>61</v>
      </c>
      <c r="Q15" s="891"/>
      <c r="R15" s="891"/>
      <c r="S15" s="891"/>
      <c r="T15" s="8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92"/>
      <c r="Q16" s="892"/>
      <c r="R16" s="892"/>
      <c r="S16" s="892"/>
      <c r="T16" s="8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74" t="s">
        <v>59</v>
      </c>
      <c r="B17" s="874" t="s">
        <v>49</v>
      </c>
      <c r="C17" s="895" t="s">
        <v>48</v>
      </c>
      <c r="D17" s="897" t="s">
        <v>50</v>
      </c>
      <c r="E17" s="898"/>
      <c r="F17" s="874" t="s">
        <v>21</v>
      </c>
      <c r="G17" s="874" t="s">
        <v>24</v>
      </c>
      <c r="H17" s="874" t="s">
        <v>22</v>
      </c>
      <c r="I17" s="874" t="s">
        <v>23</v>
      </c>
      <c r="J17" s="874" t="s">
        <v>16</v>
      </c>
      <c r="K17" s="874" t="s">
        <v>66</v>
      </c>
      <c r="L17" s="874" t="s">
        <v>64</v>
      </c>
      <c r="M17" s="874" t="s">
        <v>2</v>
      </c>
      <c r="N17" s="874" t="s">
        <v>63</v>
      </c>
      <c r="O17" s="874" t="s">
        <v>25</v>
      </c>
      <c r="P17" s="897" t="s">
        <v>17</v>
      </c>
      <c r="Q17" s="901"/>
      <c r="R17" s="901"/>
      <c r="S17" s="901"/>
      <c r="T17" s="898"/>
      <c r="U17" s="893" t="s">
        <v>56</v>
      </c>
      <c r="V17" s="894"/>
      <c r="W17" s="874" t="s">
        <v>6</v>
      </c>
      <c r="X17" s="874" t="s">
        <v>41</v>
      </c>
      <c r="Y17" s="876" t="s">
        <v>54</v>
      </c>
      <c r="Z17" s="878" t="s">
        <v>18</v>
      </c>
      <c r="AA17" s="880" t="s">
        <v>60</v>
      </c>
      <c r="AB17" s="880" t="s">
        <v>19</v>
      </c>
      <c r="AC17" s="880" t="s">
        <v>65</v>
      </c>
      <c r="AD17" s="882" t="s">
        <v>57</v>
      </c>
      <c r="AE17" s="883"/>
      <c r="AF17" s="884"/>
      <c r="AG17" s="77"/>
      <c r="BD17" s="76" t="s">
        <v>62</v>
      </c>
    </row>
    <row r="18" spans="1:68" ht="14.25" customHeight="1" x14ac:dyDescent="0.2">
      <c r="A18" s="875"/>
      <c r="B18" s="875"/>
      <c r="C18" s="896"/>
      <c r="D18" s="899"/>
      <c r="E18" s="900"/>
      <c r="F18" s="875"/>
      <c r="G18" s="875"/>
      <c r="H18" s="875"/>
      <c r="I18" s="875"/>
      <c r="J18" s="875"/>
      <c r="K18" s="875"/>
      <c r="L18" s="875"/>
      <c r="M18" s="875"/>
      <c r="N18" s="875"/>
      <c r="O18" s="875"/>
      <c r="P18" s="899"/>
      <c r="Q18" s="902"/>
      <c r="R18" s="902"/>
      <c r="S18" s="902"/>
      <c r="T18" s="900"/>
      <c r="U18" s="78" t="s">
        <v>44</v>
      </c>
      <c r="V18" s="78" t="s">
        <v>43</v>
      </c>
      <c r="W18" s="875"/>
      <c r="X18" s="875"/>
      <c r="Y18" s="877"/>
      <c r="Z18" s="879"/>
      <c r="AA18" s="881"/>
      <c r="AB18" s="881"/>
      <c r="AC18" s="881"/>
      <c r="AD18" s="885"/>
      <c r="AE18" s="886"/>
      <c r="AF18" s="887"/>
      <c r="AG18" s="77"/>
      <c r="BD18" s="76"/>
    </row>
    <row r="19" spans="1:68" ht="27.75" hidden="1" customHeight="1" x14ac:dyDescent="0.2">
      <c r="A19" s="622" t="s">
        <v>76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2"/>
      <c r="AB19" s="52"/>
      <c r="AC19" s="52"/>
    </row>
    <row r="20" spans="1:68" ht="16.5" hidden="1" customHeight="1" x14ac:dyDescent="0.25">
      <c r="A20" s="617" t="s">
        <v>76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2"/>
      <c r="AB20" s="62"/>
      <c r="AC20" s="62"/>
    </row>
    <row r="21" spans="1:68" ht="14.25" hidden="1" customHeight="1" x14ac:dyDescent="0.25">
      <c r="A21" s="601" t="s">
        <v>77</v>
      </c>
      <c r="B21" s="601"/>
      <c r="C21" s="601"/>
      <c r="D21" s="601"/>
      <c r="E21" s="601"/>
      <c r="F21" s="601"/>
      <c r="G21" s="601"/>
      <c r="H21" s="601"/>
      <c r="I21" s="601"/>
      <c r="J21" s="601"/>
      <c r="K21" s="601"/>
      <c r="L21" s="601"/>
      <c r="M21" s="601"/>
      <c r="N21" s="601"/>
      <c r="O21" s="601"/>
      <c r="P21" s="601"/>
      <c r="Q21" s="601"/>
      <c r="R21" s="601"/>
      <c r="S21" s="601"/>
      <c r="T21" s="601"/>
      <c r="U21" s="601"/>
      <c r="V21" s="601"/>
      <c r="W21" s="601"/>
      <c r="X21" s="601"/>
      <c r="Y21" s="601"/>
      <c r="Z21" s="60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02">
        <v>4680115886643</v>
      </c>
      <c r="E22" s="60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8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4"/>
      <c r="R22" s="604"/>
      <c r="S22" s="604"/>
      <c r="T22" s="60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02">
        <v>4680115889071</v>
      </c>
      <c r="E23" s="60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8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4"/>
      <c r="R23" s="604"/>
      <c r="S23" s="604"/>
      <c r="T23" s="60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09"/>
      <c r="B24" s="609"/>
      <c r="C24" s="609"/>
      <c r="D24" s="609"/>
      <c r="E24" s="609"/>
      <c r="F24" s="609"/>
      <c r="G24" s="609"/>
      <c r="H24" s="609"/>
      <c r="I24" s="609"/>
      <c r="J24" s="609"/>
      <c r="K24" s="609"/>
      <c r="L24" s="609"/>
      <c r="M24" s="609"/>
      <c r="N24" s="609"/>
      <c r="O24" s="610"/>
      <c r="P24" s="606" t="s">
        <v>40</v>
      </c>
      <c r="Q24" s="607"/>
      <c r="R24" s="607"/>
      <c r="S24" s="607"/>
      <c r="T24" s="607"/>
      <c r="U24" s="607"/>
      <c r="V24" s="608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09"/>
      <c r="B25" s="609"/>
      <c r="C25" s="609"/>
      <c r="D25" s="609"/>
      <c r="E25" s="609"/>
      <c r="F25" s="609"/>
      <c r="G25" s="609"/>
      <c r="H25" s="609"/>
      <c r="I25" s="609"/>
      <c r="J25" s="609"/>
      <c r="K25" s="609"/>
      <c r="L25" s="609"/>
      <c r="M25" s="609"/>
      <c r="N25" s="609"/>
      <c r="O25" s="610"/>
      <c r="P25" s="606" t="s">
        <v>40</v>
      </c>
      <c r="Q25" s="607"/>
      <c r="R25" s="607"/>
      <c r="S25" s="607"/>
      <c r="T25" s="607"/>
      <c r="U25" s="607"/>
      <c r="V25" s="608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01" t="s">
        <v>86</v>
      </c>
      <c r="B26" s="601"/>
      <c r="C26" s="601"/>
      <c r="D26" s="601"/>
      <c r="E26" s="601"/>
      <c r="F26" s="601"/>
      <c r="G26" s="601"/>
      <c r="H26" s="601"/>
      <c r="I26" s="601"/>
      <c r="J26" s="601"/>
      <c r="K26" s="601"/>
      <c r="L26" s="601"/>
      <c r="M26" s="601"/>
      <c r="N26" s="601"/>
      <c r="O26" s="601"/>
      <c r="P26" s="601"/>
      <c r="Q26" s="601"/>
      <c r="R26" s="601"/>
      <c r="S26" s="601"/>
      <c r="T26" s="601"/>
      <c r="U26" s="601"/>
      <c r="V26" s="601"/>
      <c r="W26" s="601"/>
      <c r="X26" s="601"/>
      <c r="Y26" s="601"/>
      <c r="Z26" s="601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02">
        <v>4680115885912</v>
      </c>
      <c r="E27" s="60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86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4"/>
      <c r="R27" s="604"/>
      <c r="S27" s="604"/>
      <c r="T27" s="605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02">
        <v>4607091388237</v>
      </c>
      <c r="E28" s="60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86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4"/>
      <c r="R28" s="604"/>
      <c r="S28" s="604"/>
      <c r="T28" s="605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02">
        <v>4680115887350</v>
      </c>
      <c r="E29" s="60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87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4"/>
      <c r="R29" s="604"/>
      <c r="S29" s="604"/>
      <c r="T29" s="605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02">
        <v>4680115885905</v>
      </c>
      <c r="E30" s="60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87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4"/>
      <c r="R30" s="604"/>
      <c r="S30" s="604"/>
      <c r="T30" s="605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02">
        <v>4680115887657</v>
      </c>
      <c r="E31" s="60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865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4"/>
      <c r="R31" s="604"/>
      <c r="S31" s="604"/>
      <c r="T31" s="605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02">
        <v>4680115887619</v>
      </c>
      <c r="E32" s="602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8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4"/>
      <c r="R32" s="604"/>
      <c r="S32" s="604"/>
      <c r="T32" s="605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09"/>
      <c r="B33" s="609"/>
      <c r="C33" s="609"/>
      <c r="D33" s="609"/>
      <c r="E33" s="609"/>
      <c r="F33" s="609"/>
      <c r="G33" s="609"/>
      <c r="H33" s="609"/>
      <c r="I33" s="609"/>
      <c r="J33" s="609"/>
      <c r="K33" s="609"/>
      <c r="L33" s="609"/>
      <c r="M33" s="609"/>
      <c r="N33" s="609"/>
      <c r="O33" s="610"/>
      <c r="P33" s="606" t="s">
        <v>40</v>
      </c>
      <c r="Q33" s="607"/>
      <c r="R33" s="607"/>
      <c r="S33" s="607"/>
      <c r="T33" s="607"/>
      <c r="U33" s="607"/>
      <c r="V33" s="608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09"/>
      <c r="B34" s="609"/>
      <c r="C34" s="609"/>
      <c r="D34" s="609"/>
      <c r="E34" s="609"/>
      <c r="F34" s="609"/>
      <c r="G34" s="609"/>
      <c r="H34" s="609"/>
      <c r="I34" s="609"/>
      <c r="J34" s="609"/>
      <c r="K34" s="609"/>
      <c r="L34" s="609"/>
      <c r="M34" s="609"/>
      <c r="N34" s="609"/>
      <c r="O34" s="610"/>
      <c r="P34" s="606" t="s">
        <v>40</v>
      </c>
      <c r="Q34" s="607"/>
      <c r="R34" s="607"/>
      <c r="S34" s="607"/>
      <c r="T34" s="607"/>
      <c r="U34" s="607"/>
      <c r="V34" s="608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01" t="s">
        <v>107</v>
      </c>
      <c r="B35" s="601"/>
      <c r="C35" s="601"/>
      <c r="D35" s="601"/>
      <c r="E35" s="601"/>
      <c r="F35" s="601"/>
      <c r="G35" s="601"/>
      <c r="H35" s="601"/>
      <c r="I35" s="601"/>
      <c r="J35" s="601"/>
      <c r="K35" s="601"/>
      <c r="L35" s="601"/>
      <c r="M35" s="601"/>
      <c r="N35" s="601"/>
      <c r="O35" s="601"/>
      <c r="P35" s="601"/>
      <c r="Q35" s="601"/>
      <c r="R35" s="601"/>
      <c r="S35" s="601"/>
      <c r="T35" s="601"/>
      <c r="U35" s="601"/>
      <c r="V35" s="601"/>
      <c r="W35" s="601"/>
      <c r="X35" s="601"/>
      <c r="Y35" s="601"/>
      <c r="Z35" s="601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02">
        <v>4607091388503</v>
      </c>
      <c r="E36" s="602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86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4"/>
      <c r="R36" s="604"/>
      <c r="S36" s="604"/>
      <c r="T36" s="605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09"/>
      <c r="B37" s="609"/>
      <c r="C37" s="609"/>
      <c r="D37" s="609"/>
      <c r="E37" s="609"/>
      <c r="F37" s="609"/>
      <c r="G37" s="609"/>
      <c r="H37" s="609"/>
      <c r="I37" s="609"/>
      <c r="J37" s="609"/>
      <c r="K37" s="609"/>
      <c r="L37" s="609"/>
      <c r="M37" s="609"/>
      <c r="N37" s="609"/>
      <c r="O37" s="610"/>
      <c r="P37" s="606" t="s">
        <v>40</v>
      </c>
      <c r="Q37" s="607"/>
      <c r="R37" s="607"/>
      <c r="S37" s="607"/>
      <c r="T37" s="607"/>
      <c r="U37" s="607"/>
      <c r="V37" s="608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09"/>
      <c r="B38" s="609"/>
      <c r="C38" s="609"/>
      <c r="D38" s="609"/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610"/>
      <c r="P38" s="606" t="s">
        <v>40</v>
      </c>
      <c r="Q38" s="607"/>
      <c r="R38" s="607"/>
      <c r="S38" s="607"/>
      <c r="T38" s="607"/>
      <c r="U38" s="607"/>
      <c r="V38" s="608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22" t="s">
        <v>45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52"/>
      <c r="AB39" s="52"/>
      <c r="AC39" s="52"/>
    </row>
    <row r="40" spans="1:68" ht="16.5" hidden="1" customHeight="1" x14ac:dyDescent="0.25">
      <c r="A40" s="617" t="s">
        <v>113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62"/>
      <c r="AB40" s="62"/>
      <c r="AC40" s="62"/>
    </row>
    <row r="41" spans="1:68" ht="14.25" hidden="1" customHeight="1" x14ac:dyDescent="0.25">
      <c r="A41" s="601" t="s">
        <v>86</v>
      </c>
      <c r="B41" s="601"/>
      <c r="C41" s="601"/>
      <c r="D41" s="601"/>
      <c r="E41" s="601"/>
      <c r="F41" s="601"/>
      <c r="G41" s="601"/>
      <c r="H41" s="601"/>
      <c r="I41" s="601"/>
      <c r="J41" s="601"/>
      <c r="K41" s="601"/>
      <c r="L41" s="601"/>
      <c r="M41" s="601"/>
      <c r="N41" s="601"/>
      <c r="O41" s="601"/>
      <c r="P41" s="601"/>
      <c r="Q41" s="601"/>
      <c r="R41" s="601"/>
      <c r="S41" s="601"/>
      <c r="T41" s="601"/>
      <c r="U41" s="601"/>
      <c r="V41" s="601"/>
      <c r="W41" s="601"/>
      <c r="X41" s="601"/>
      <c r="Y41" s="601"/>
      <c r="Z41" s="601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02">
        <v>4680115888463</v>
      </c>
      <c r="E42" s="60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86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4"/>
      <c r="R42" s="604"/>
      <c r="S42" s="604"/>
      <c r="T42" s="60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02">
        <v>4680115888494</v>
      </c>
      <c r="E43" s="60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86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4"/>
      <c r="R43" s="604"/>
      <c r="S43" s="604"/>
      <c r="T43" s="60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602">
        <v>4680115888272</v>
      </c>
      <c r="E44" s="60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86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4"/>
      <c r="R44" s="604"/>
      <c r="S44" s="604"/>
      <c r="T44" s="605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02">
        <v>4680115888364</v>
      </c>
      <c r="E45" s="60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86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4"/>
      <c r="R45" s="604"/>
      <c r="S45" s="604"/>
      <c r="T45" s="605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09"/>
      <c r="B46" s="609"/>
      <c r="C46" s="609"/>
      <c r="D46" s="609"/>
      <c r="E46" s="609"/>
      <c r="F46" s="609"/>
      <c r="G46" s="609"/>
      <c r="H46" s="609"/>
      <c r="I46" s="609"/>
      <c r="J46" s="609"/>
      <c r="K46" s="609"/>
      <c r="L46" s="609"/>
      <c r="M46" s="609"/>
      <c r="N46" s="609"/>
      <c r="O46" s="610"/>
      <c r="P46" s="606" t="s">
        <v>40</v>
      </c>
      <c r="Q46" s="607"/>
      <c r="R46" s="607"/>
      <c r="S46" s="607"/>
      <c r="T46" s="607"/>
      <c r="U46" s="607"/>
      <c r="V46" s="608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09"/>
      <c r="B47" s="609"/>
      <c r="C47" s="609"/>
      <c r="D47" s="609"/>
      <c r="E47" s="609"/>
      <c r="F47" s="609"/>
      <c r="G47" s="609"/>
      <c r="H47" s="609"/>
      <c r="I47" s="609"/>
      <c r="J47" s="609"/>
      <c r="K47" s="609"/>
      <c r="L47" s="609"/>
      <c r="M47" s="609"/>
      <c r="N47" s="609"/>
      <c r="O47" s="610"/>
      <c r="P47" s="606" t="s">
        <v>40</v>
      </c>
      <c r="Q47" s="607"/>
      <c r="R47" s="607"/>
      <c r="S47" s="607"/>
      <c r="T47" s="607"/>
      <c r="U47" s="607"/>
      <c r="V47" s="608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22" t="s">
        <v>126</v>
      </c>
      <c r="B48" s="622"/>
      <c r="C48" s="622"/>
      <c r="D48" s="622"/>
      <c r="E48" s="622"/>
      <c r="F48" s="622"/>
      <c r="G48" s="622"/>
      <c r="H48" s="622"/>
      <c r="I48" s="622"/>
      <c r="J48" s="622"/>
      <c r="K48" s="622"/>
      <c r="L48" s="622"/>
      <c r="M48" s="622"/>
      <c r="N48" s="622"/>
      <c r="O48" s="622"/>
      <c r="P48" s="622"/>
      <c r="Q48" s="622"/>
      <c r="R48" s="622"/>
      <c r="S48" s="622"/>
      <c r="T48" s="622"/>
      <c r="U48" s="622"/>
      <c r="V48" s="622"/>
      <c r="W48" s="622"/>
      <c r="X48" s="622"/>
      <c r="Y48" s="622"/>
      <c r="Z48" s="622"/>
      <c r="AA48" s="52"/>
      <c r="AB48" s="52"/>
      <c r="AC48" s="52"/>
    </row>
    <row r="49" spans="1:68" ht="16.5" hidden="1" customHeight="1" x14ac:dyDescent="0.25">
      <c r="A49" s="617" t="s">
        <v>127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2"/>
      <c r="AB49" s="62"/>
      <c r="AC49" s="62"/>
    </row>
    <row r="50" spans="1:68" ht="14.25" hidden="1" customHeight="1" x14ac:dyDescent="0.25">
      <c r="A50" s="601" t="s">
        <v>128</v>
      </c>
      <c r="B50" s="601"/>
      <c r="C50" s="601"/>
      <c r="D50" s="601"/>
      <c r="E50" s="601"/>
      <c r="F50" s="601"/>
      <c r="G50" s="601"/>
      <c r="H50" s="601"/>
      <c r="I50" s="601"/>
      <c r="J50" s="601"/>
      <c r="K50" s="601"/>
      <c r="L50" s="601"/>
      <c r="M50" s="601"/>
      <c r="N50" s="601"/>
      <c r="O50" s="601"/>
      <c r="P50" s="601"/>
      <c r="Q50" s="601"/>
      <c r="R50" s="601"/>
      <c r="S50" s="601"/>
      <c r="T50" s="601"/>
      <c r="U50" s="601"/>
      <c r="V50" s="601"/>
      <c r="W50" s="601"/>
      <c r="X50" s="601"/>
      <c r="Y50" s="601"/>
      <c r="Z50" s="601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602">
        <v>4607091385670</v>
      </c>
      <c r="E51" s="60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8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4"/>
      <c r="R51" s="604"/>
      <c r="S51" s="604"/>
      <c r="T51" s="605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02">
        <v>4680115887725</v>
      </c>
      <c r="E52" s="60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85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4"/>
      <c r="R52" s="604"/>
      <c r="S52" s="604"/>
      <c r="T52" s="60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138</v>
      </c>
      <c r="B53" s="60" t="s">
        <v>139</v>
      </c>
      <c r="C53" s="34">
        <v>4301011382</v>
      </c>
      <c r="D53" s="602">
        <v>4607091385687</v>
      </c>
      <c r="E53" s="60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85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4"/>
      <c r="R53" s="604"/>
      <c r="S53" s="604"/>
      <c r="T53" s="605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02">
        <v>4680115882539</v>
      </c>
      <c r="E54" s="60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8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4"/>
      <c r="R54" s="604"/>
      <c r="S54" s="604"/>
      <c r="T54" s="60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09"/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10"/>
      <c r="P55" s="606" t="s">
        <v>40</v>
      </c>
      <c r="Q55" s="607"/>
      <c r="R55" s="607"/>
      <c r="S55" s="607"/>
      <c r="T55" s="607"/>
      <c r="U55" s="607"/>
      <c r="V55" s="608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09"/>
      <c r="B56" s="609"/>
      <c r="C56" s="609"/>
      <c r="D56" s="609"/>
      <c r="E56" s="609"/>
      <c r="F56" s="609"/>
      <c r="G56" s="609"/>
      <c r="H56" s="609"/>
      <c r="I56" s="609"/>
      <c r="J56" s="609"/>
      <c r="K56" s="609"/>
      <c r="L56" s="609"/>
      <c r="M56" s="609"/>
      <c r="N56" s="609"/>
      <c r="O56" s="610"/>
      <c r="P56" s="606" t="s">
        <v>40</v>
      </c>
      <c r="Q56" s="607"/>
      <c r="R56" s="607"/>
      <c r="S56" s="607"/>
      <c r="T56" s="607"/>
      <c r="U56" s="607"/>
      <c r="V56" s="608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17" t="s">
        <v>143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2"/>
      <c r="AB57" s="62"/>
      <c r="AC57" s="62"/>
    </row>
    <row r="58" spans="1:68" ht="14.25" hidden="1" customHeight="1" x14ac:dyDescent="0.25">
      <c r="A58" s="601" t="s">
        <v>128</v>
      </c>
      <c r="B58" s="601"/>
      <c r="C58" s="601"/>
      <c r="D58" s="601"/>
      <c r="E58" s="601"/>
      <c r="F58" s="601"/>
      <c r="G58" s="601"/>
      <c r="H58" s="601"/>
      <c r="I58" s="601"/>
      <c r="J58" s="601"/>
      <c r="K58" s="601"/>
      <c r="L58" s="601"/>
      <c r="M58" s="601"/>
      <c r="N58" s="601"/>
      <c r="O58" s="601"/>
      <c r="P58" s="601"/>
      <c r="Q58" s="601"/>
      <c r="R58" s="601"/>
      <c r="S58" s="601"/>
      <c r="T58" s="601"/>
      <c r="U58" s="601"/>
      <c r="V58" s="601"/>
      <c r="W58" s="601"/>
      <c r="X58" s="601"/>
      <c r="Y58" s="601"/>
      <c r="Z58" s="601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02">
        <v>4680115885882</v>
      </c>
      <c r="E59" s="60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8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4"/>
      <c r="R59" s="604"/>
      <c r="S59" s="604"/>
      <c r="T59" s="60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02">
        <v>4680115885882</v>
      </c>
      <c r="E60" s="60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8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4"/>
      <c r="R60" s="604"/>
      <c r="S60" s="604"/>
      <c r="T60" s="60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02">
        <v>4680115881426</v>
      </c>
      <c r="E61" s="60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8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4"/>
      <c r="R61" s="604"/>
      <c r="S61" s="604"/>
      <c r="T61" s="605"/>
      <c r="U61" s="37" t="s">
        <v>46</v>
      </c>
      <c r="V61" s="37" t="s">
        <v>46</v>
      </c>
      <c r="W61" s="38" t="s">
        <v>0</v>
      </c>
      <c r="X61" s="56">
        <v>1200</v>
      </c>
      <c r="Y61" s="53">
        <f t="shared" si="6"/>
        <v>1209.6000000000001</v>
      </c>
      <c r="Z61" s="39">
        <f>IFERROR(IF(Y61=0,"",ROUNDUP(Y61/H61,0)*0.01898),"")</f>
        <v>2.1257600000000001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1245.5555555555557</v>
      </c>
      <c r="BN61" s="75">
        <f t="shared" si="8"/>
        <v>1255.52</v>
      </c>
      <c r="BO61" s="75">
        <f t="shared" si="9"/>
        <v>1.7361111111111109</v>
      </c>
      <c r="BP61" s="75">
        <f t="shared" si="10"/>
        <v>1.75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02">
        <v>4680115880283</v>
      </c>
      <c r="E62" s="60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8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4"/>
      <c r="R62" s="604"/>
      <c r="S62" s="604"/>
      <c r="T62" s="60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02">
        <v>4680115881525</v>
      </c>
      <c r="E63" s="602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8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4"/>
      <c r="R63" s="604"/>
      <c r="S63" s="604"/>
      <c r="T63" s="60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02">
        <v>4680115885899</v>
      </c>
      <c r="E64" s="602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8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4"/>
      <c r="R64" s="604"/>
      <c r="S64" s="604"/>
      <c r="T64" s="60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160</v>
      </c>
      <c r="B65" s="60" t="s">
        <v>161</v>
      </c>
      <c r="C65" s="34">
        <v>4301011801</v>
      </c>
      <c r="D65" s="602">
        <v>4680115881419</v>
      </c>
      <c r="E65" s="602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8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4"/>
      <c r="R65" s="604"/>
      <c r="S65" s="604"/>
      <c r="T65" s="605"/>
      <c r="U65" s="37" t="s">
        <v>46</v>
      </c>
      <c r="V65" s="37" t="s">
        <v>46</v>
      </c>
      <c r="W65" s="38" t="s">
        <v>0</v>
      </c>
      <c r="X65" s="56">
        <v>45</v>
      </c>
      <c r="Y65" s="53">
        <f t="shared" si="6"/>
        <v>45</v>
      </c>
      <c r="Z65" s="39">
        <f>IFERROR(IF(Y65=0,"",ROUNDUP(Y65/H65,0)*0.00902),"")</f>
        <v>9.0200000000000002E-2</v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46.900000000000006</v>
      </c>
      <c r="BN65" s="75">
        <f t="shared" si="8"/>
        <v>46.900000000000006</v>
      </c>
      <c r="BO65" s="75">
        <f t="shared" si="9"/>
        <v>7.575757575757576E-2</v>
      </c>
      <c r="BP65" s="75">
        <f t="shared" si="10"/>
        <v>7.575757575757576E-2</v>
      </c>
    </row>
    <row r="66" spans="1:68" x14ac:dyDescent="0.2">
      <c r="A66" s="609"/>
      <c r="B66" s="609"/>
      <c r="C66" s="609"/>
      <c r="D66" s="609"/>
      <c r="E66" s="609"/>
      <c r="F66" s="609"/>
      <c r="G66" s="609"/>
      <c r="H66" s="609"/>
      <c r="I66" s="609"/>
      <c r="J66" s="609"/>
      <c r="K66" s="609"/>
      <c r="L66" s="609"/>
      <c r="M66" s="609"/>
      <c r="N66" s="609"/>
      <c r="O66" s="610"/>
      <c r="P66" s="606" t="s">
        <v>40</v>
      </c>
      <c r="Q66" s="607"/>
      <c r="R66" s="607"/>
      <c r="S66" s="607"/>
      <c r="T66" s="607"/>
      <c r="U66" s="607"/>
      <c r="V66" s="608"/>
      <c r="W66" s="40" t="s">
        <v>39</v>
      </c>
      <c r="X66" s="41">
        <f>IFERROR(X59/H59,"0")+IFERROR(X60/H60,"0")+IFERROR(X61/H61,"0")+IFERROR(X62/H62,"0")+IFERROR(X63/H63,"0")+IFERROR(X64/H64,"0")+IFERROR(X65/H65,"0")</f>
        <v>121.1111111111111</v>
      </c>
      <c r="Y66" s="41">
        <f>IFERROR(Y59/H59,"0")+IFERROR(Y60/H60,"0")+IFERROR(Y61/H61,"0")+IFERROR(Y62/H62,"0")+IFERROR(Y63/H63,"0")+IFERROR(Y64/H64,"0")+IFERROR(Y65/H65,"0")</f>
        <v>122</v>
      </c>
      <c r="Z66" s="41">
        <f>IFERROR(IF(Z59="",0,Z59),"0")+IFERROR(IF(Z60="",0,Z60),"0")+IFERROR(IF(Z61="",0,Z61),"0")+IFERROR(IF(Z62="",0,Z62),"0")+IFERROR(IF(Z63="",0,Z63),"0")+IFERROR(IF(Z64="",0,Z64),"0")+IFERROR(IF(Z65="",0,Z65),"0")</f>
        <v>2.2159599999999999</v>
      </c>
      <c r="AA66" s="64"/>
      <c r="AB66" s="64"/>
      <c r="AC66" s="64"/>
    </row>
    <row r="67" spans="1:68" x14ac:dyDescent="0.2">
      <c r="A67" s="609"/>
      <c r="B67" s="609"/>
      <c r="C67" s="609"/>
      <c r="D67" s="609"/>
      <c r="E67" s="609"/>
      <c r="F67" s="609"/>
      <c r="G67" s="609"/>
      <c r="H67" s="609"/>
      <c r="I67" s="609"/>
      <c r="J67" s="609"/>
      <c r="K67" s="609"/>
      <c r="L67" s="609"/>
      <c r="M67" s="609"/>
      <c r="N67" s="609"/>
      <c r="O67" s="610"/>
      <c r="P67" s="606" t="s">
        <v>40</v>
      </c>
      <c r="Q67" s="607"/>
      <c r="R67" s="607"/>
      <c r="S67" s="607"/>
      <c r="T67" s="607"/>
      <c r="U67" s="607"/>
      <c r="V67" s="608"/>
      <c r="W67" s="40" t="s">
        <v>0</v>
      </c>
      <c r="X67" s="41">
        <f>IFERROR(SUM(X59:X65),"0")</f>
        <v>1245</v>
      </c>
      <c r="Y67" s="41">
        <f>IFERROR(SUM(Y59:Y65),"0")</f>
        <v>1254.6000000000001</v>
      </c>
      <c r="Z67" s="40"/>
      <c r="AA67" s="64"/>
      <c r="AB67" s="64"/>
      <c r="AC67" s="64"/>
    </row>
    <row r="68" spans="1:68" ht="14.25" hidden="1" customHeight="1" x14ac:dyDescent="0.25">
      <c r="A68" s="601" t="s">
        <v>163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1"/>
      <c r="Q68" s="601"/>
      <c r="R68" s="601"/>
      <c r="S68" s="601"/>
      <c r="T68" s="601"/>
      <c r="U68" s="601"/>
      <c r="V68" s="601"/>
      <c r="W68" s="601"/>
      <c r="X68" s="601"/>
      <c r="Y68" s="601"/>
      <c r="Z68" s="601"/>
      <c r="AA68" s="63"/>
      <c r="AB68" s="63"/>
      <c r="AC68" s="63"/>
    </row>
    <row r="69" spans="1:68" ht="16.5" customHeight="1" x14ac:dyDescent="0.25">
      <c r="A69" s="60" t="s">
        <v>164</v>
      </c>
      <c r="B69" s="60" t="s">
        <v>165</v>
      </c>
      <c r="C69" s="34">
        <v>4301020298</v>
      </c>
      <c r="D69" s="602">
        <v>4680115881440</v>
      </c>
      <c r="E69" s="602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8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4"/>
      <c r="R69" s="604"/>
      <c r="S69" s="604"/>
      <c r="T69" s="605"/>
      <c r="U69" s="37" t="s">
        <v>46</v>
      </c>
      <c r="V69" s="37" t="s">
        <v>46</v>
      </c>
      <c r="W69" s="38" t="s">
        <v>0</v>
      </c>
      <c r="X69" s="56">
        <v>1300</v>
      </c>
      <c r="Y69" s="53">
        <f>IFERROR(IF(X69="",0,CEILING((X69/$H69),1)*$H69),"")</f>
        <v>1306.8000000000002</v>
      </c>
      <c r="Z69" s="39">
        <f>IFERROR(IF(Y69=0,"",ROUNDUP(Y69/H69,0)*0.01898),"")</f>
        <v>2.2965800000000001</v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1349.351851851852</v>
      </c>
      <c r="BN69" s="75">
        <f>IFERROR(Y69*I69/H69,"0")</f>
        <v>1356.41</v>
      </c>
      <c r="BO69" s="75">
        <f>IFERROR(1/J69*(X69/H69),"0")</f>
        <v>1.880787037037037</v>
      </c>
      <c r="BP69" s="75">
        <f>IFERROR(1/J69*(Y69/H69),"0")</f>
        <v>1.8906250000000002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02">
        <v>4680115885950</v>
      </c>
      <c r="E70" s="602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8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4"/>
      <c r="R70" s="604"/>
      <c r="S70" s="604"/>
      <c r="T70" s="605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02">
        <v>4680115887688</v>
      </c>
      <c r="E71" s="602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8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4"/>
      <c r="R71" s="604"/>
      <c r="S71" s="604"/>
      <c r="T71" s="60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customHeight="1" x14ac:dyDescent="0.25">
      <c r="A72" s="60" t="s">
        <v>172</v>
      </c>
      <c r="B72" s="60" t="s">
        <v>173</v>
      </c>
      <c r="C72" s="34">
        <v>4301020296</v>
      </c>
      <c r="D72" s="602">
        <v>4680115881433</v>
      </c>
      <c r="E72" s="602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84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4"/>
      <c r="R72" s="604"/>
      <c r="S72" s="604"/>
      <c r="T72" s="605"/>
      <c r="U72" s="37" t="s">
        <v>46</v>
      </c>
      <c r="V72" s="37" t="s">
        <v>46</v>
      </c>
      <c r="W72" s="38" t="s">
        <v>0</v>
      </c>
      <c r="X72" s="56">
        <v>4</v>
      </c>
      <c r="Y72" s="53">
        <f>IFERROR(IF(X72="",0,CEILING((X72/$H72),1)*$H72),"")</f>
        <v>5.4</v>
      </c>
      <c r="Z72" s="39">
        <f>IFERROR(IF(Y72=0,"",ROUNDUP(Y72/H72,0)*0.00651),"")</f>
        <v>1.302E-2</v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4.2666666666666666</v>
      </c>
      <c r="BN72" s="75">
        <f>IFERROR(Y72*I72/H72,"0")</f>
        <v>5.76</v>
      </c>
      <c r="BO72" s="75">
        <f>IFERROR(1/J72*(X72/H72),"0")</f>
        <v>8.1400081400081394E-3</v>
      </c>
      <c r="BP72" s="75">
        <f>IFERROR(1/J72*(Y72/H72),"0")</f>
        <v>1.098901098901099E-2</v>
      </c>
    </row>
    <row r="73" spans="1:68" x14ac:dyDescent="0.2">
      <c r="A73" s="609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10"/>
      <c r="P73" s="606" t="s">
        <v>40</v>
      </c>
      <c r="Q73" s="607"/>
      <c r="R73" s="607"/>
      <c r="S73" s="607"/>
      <c r="T73" s="607"/>
      <c r="U73" s="607"/>
      <c r="V73" s="608"/>
      <c r="W73" s="40" t="s">
        <v>39</v>
      </c>
      <c r="X73" s="41">
        <f>IFERROR(X69/H69,"0")+IFERROR(X70/H70,"0")+IFERROR(X71/H71,"0")+IFERROR(X72/H72,"0")</f>
        <v>121.85185185185185</v>
      </c>
      <c r="Y73" s="41">
        <f>IFERROR(Y69/H69,"0")+IFERROR(Y70/H70,"0")+IFERROR(Y71/H71,"0")+IFERROR(Y72/H72,"0")</f>
        <v>123.00000000000001</v>
      </c>
      <c r="Z73" s="41">
        <f>IFERROR(IF(Z69="",0,Z69),"0")+IFERROR(IF(Z70="",0,Z70),"0")+IFERROR(IF(Z71="",0,Z71),"0")+IFERROR(IF(Z72="",0,Z72),"0")</f>
        <v>2.3096000000000001</v>
      </c>
      <c r="AA73" s="64"/>
      <c r="AB73" s="64"/>
      <c r="AC73" s="64"/>
    </row>
    <row r="74" spans="1:68" x14ac:dyDescent="0.2">
      <c r="A74" s="609"/>
      <c r="B74" s="609"/>
      <c r="C74" s="609"/>
      <c r="D74" s="609"/>
      <c r="E74" s="609"/>
      <c r="F74" s="609"/>
      <c r="G74" s="609"/>
      <c r="H74" s="609"/>
      <c r="I74" s="609"/>
      <c r="J74" s="609"/>
      <c r="K74" s="609"/>
      <c r="L74" s="609"/>
      <c r="M74" s="609"/>
      <c r="N74" s="609"/>
      <c r="O74" s="610"/>
      <c r="P74" s="606" t="s">
        <v>40</v>
      </c>
      <c r="Q74" s="607"/>
      <c r="R74" s="607"/>
      <c r="S74" s="607"/>
      <c r="T74" s="607"/>
      <c r="U74" s="607"/>
      <c r="V74" s="608"/>
      <c r="W74" s="40" t="s">
        <v>0</v>
      </c>
      <c r="X74" s="41">
        <f>IFERROR(SUM(X69:X72),"0")</f>
        <v>1304</v>
      </c>
      <c r="Y74" s="41">
        <f>IFERROR(SUM(Y69:Y72),"0")</f>
        <v>1312.2000000000003</v>
      </c>
      <c r="Z74" s="40"/>
      <c r="AA74" s="64"/>
      <c r="AB74" s="64"/>
      <c r="AC74" s="64"/>
    </row>
    <row r="75" spans="1:68" ht="14.25" hidden="1" customHeight="1" x14ac:dyDescent="0.25">
      <c r="A75" s="601" t="s">
        <v>86</v>
      </c>
      <c r="B75" s="601"/>
      <c r="C75" s="601"/>
      <c r="D75" s="601"/>
      <c r="E75" s="601"/>
      <c r="F75" s="601"/>
      <c r="G75" s="601"/>
      <c r="H75" s="601"/>
      <c r="I75" s="601"/>
      <c r="J75" s="601"/>
      <c r="K75" s="601"/>
      <c r="L75" s="601"/>
      <c r="M75" s="601"/>
      <c r="N75" s="601"/>
      <c r="O75" s="601"/>
      <c r="P75" s="601"/>
      <c r="Q75" s="601"/>
      <c r="R75" s="601"/>
      <c r="S75" s="601"/>
      <c r="T75" s="601"/>
      <c r="U75" s="601"/>
      <c r="V75" s="601"/>
      <c r="W75" s="601"/>
      <c r="X75" s="601"/>
      <c r="Y75" s="601"/>
      <c r="Z75" s="601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02">
        <v>4680115884311</v>
      </c>
      <c r="E76" s="602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4"/>
      <c r="R76" s="604"/>
      <c r="S76" s="604"/>
      <c r="T76" s="605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02">
        <v>4680115884403</v>
      </c>
      <c r="E77" s="602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4"/>
      <c r="R77" s="604"/>
      <c r="S77" s="604"/>
      <c r="T77" s="60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09"/>
      <c r="B78" s="609"/>
      <c r="C78" s="609"/>
      <c r="D78" s="609"/>
      <c r="E78" s="609"/>
      <c r="F78" s="609"/>
      <c r="G78" s="609"/>
      <c r="H78" s="609"/>
      <c r="I78" s="609"/>
      <c r="J78" s="609"/>
      <c r="K78" s="609"/>
      <c r="L78" s="609"/>
      <c r="M78" s="609"/>
      <c r="N78" s="609"/>
      <c r="O78" s="610"/>
      <c r="P78" s="606" t="s">
        <v>40</v>
      </c>
      <c r="Q78" s="607"/>
      <c r="R78" s="607"/>
      <c r="S78" s="607"/>
      <c r="T78" s="607"/>
      <c r="U78" s="607"/>
      <c r="V78" s="608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09"/>
      <c r="B79" s="609"/>
      <c r="C79" s="609"/>
      <c r="D79" s="609"/>
      <c r="E79" s="609"/>
      <c r="F79" s="609"/>
      <c r="G79" s="609"/>
      <c r="H79" s="609"/>
      <c r="I79" s="609"/>
      <c r="J79" s="609"/>
      <c r="K79" s="609"/>
      <c r="L79" s="609"/>
      <c r="M79" s="609"/>
      <c r="N79" s="609"/>
      <c r="O79" s="610"/>
      <c r="P79" s="606" t="s">
        <v>40</v>
      </c>
      <c r="Q79" s="607"/>
      <c r="R79" s="607"/>
      <c r="S79" s="607"/>
      <c r="T79" s="607"/>
      <c r="U79" s="607"/>
      <c r="V79" s="608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01" t="s">
        <v>180</v>
      </c>
      <c r="B80" s="601"/>
      <c r="C80" s="601"/>
      <c r="D80" s="601"/>
      <c r="E80" s="601"/>
      <c r="F80" s="601"/>
      <c r="G80" s="601"/>
      <c r="H80" s="601"/>
      <c r="I80" s="601"/>
      <c r="J80" s="601"/>
      <c r="K80" s="601"/>
      <c r="L80" s="601"/>
      <c r="M80" s="601"/>
      <c r="N80" s="601"/>
      <c r="O80" s="601"/>
      <c r="P80" s="601"/>
      <c r="Q80" s="601"/>
      <c r="R80" s="601"/>
      <c r="S80" s="601"/>
      <c r="T80" s="601"/>
      <c r="U80" s="601"/>
      <c r="V80" s="601"/>
      <c r="W80" s="601"/>
      <c r="X80" s="601"/>
      <c r="Y80" s="601"/>
      <c r="Z80" s="601"/>
      <c r="AA80" s="63"/>
      <c r="AB80" s="63"/>
      <c r="AC80" s="63"/>
    </row>
    <row r="81" spans="1:68" ht="27" customHeight="1" x14ac:dyDescent="0.25">
      <c r="A81" s="60" t="s">
        <v>181</v>
      </c>
      <c r="B81" s="60" t="s">
        <v>182</v>
      </c>
      <c r="C81" s="34">
        <v>4301060455</v>
      </c>
      <c r="D81" s="602">
        <v>4680115881532</v>
      </c>
      <c r="E81" s="602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8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4"/>
      <c r="R81" s="604"/>
      <c r="S81" s="604"/>
      <c r="T81" s="605"/>
      <c r="U81" s="37" t="s">
        <v>46</v>
      </c>
      <c r="V81" s="37" t="s">
        <v>46</v>
      </c>
      <c r="W81" s="38" t="s">
        <v>0</v>
      </c>
      <c r="X81" s="56">
        <v>20</v>
      </c>
      <c r="Y81" s="53">
        <f>IFERROR(IF(X81="",0,CEILING((X81/$H81),1)*$H81),"")</f>
        <v>23.4</v>
      </c>
      <c r="Z81" s="39">
        <f>IFERROR(IF(Y81=0,"",ROUNDUP(Y81/H81,0)*0.01898),"")</f>
        <v>5.6940000000000004E-2</v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21.051282051282055</v>
      </c>
      <c r="BN81" s="75">
        <f>IFERROR(Y81*I81/H81,"0")</f>
        <v>24.630000000000003</v>
      </c>
      <c r="BO81" s="75">
        <f>IFERROR(1/J81*(X81/H81),"0")</f>
        <v>4.0064102564102567E-2</v>
      </c>
      <c r="BP81" s="75">
        <f>IFERROR(1/J81*(Y81/H81),"0")</f>
        <v>4.6875E-2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02">
        <v>4680115881464</v>
      </c>
      <c r="E82" s="602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84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4"/>
      <c r="R82" s="604"/>
      <c r="S82" s="604"/>
      <c r="T82" s="60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09"/>
      <c r="B83" s="609"/>
      <c r="C83" s="609"/>
      <c r="D83" s="609"/>
      <c r="E83" s="609"/>
      <c r="F83" s="609"/>
      <c r="G83" s="609"/>
      <c r="H83" s="609"/>
      <c r="I83" s="609"/>
      <c r="J83" s="609"/>
      <c r="K83" s="609"/>
      <c r="L83" s="609"/>
      <c r="M83" s="609"/>
      <c r="N83" s="609"/>
      <c r="O83" s="610"/>
      <c r="P83" s="606" t="s">
        <v>40</v>
      </c>
      <c r="Q83" s="607"/>
      <c r="R83" s="607"/>
      <c r="S83" s="607"/>
      <c r="T83" s="607"/>
      <c r="U83" s="607"/>
      <c r="V83" s="608"/>
      <c r="W83" s="40" t="s">
        <v>39</v>
      </c>
      <c r="X83" s="41">
        <f>IFERROR(X81/H81,"0")+IFERROR(X82/H82,"0")</f>
        <v>2.5641025641025643</v>
      </c>
      <c r="Y83" s="41">
        <f>IFERROR(Y81/H81,"0")+IFERROR(Y82/H82,"0")</f>
        <v>3</v>
      </c>
      <c r="Z83" s="41">
        <f>IFERROR(IF(Z81="",0,Z81),"0")+IFERROR(IF(Z82="",0,Z82),"0")</f>
        <v>5.6940000000000004E-2</v>
      </c>
      <c r="AA83" s="64"/>
      <c r="AB83" s="64"/>
      <c r="AC83" s="64"/>
    </row>
    <row r="84" spans="1:68" x14ac:dyDescent="0.2">
      <c r="A84" s="609"/>
      <c r="B84" s="609"/>
      <c r="C84" s="609"/>
      <c r="D84" s="609"/>
      <c r="E84" s="609"/>
      <c r="F84" s="609"/>
      <c r="G84" s="609"/>
      <c r="H84" s="609"/>
      <c r="I84" s="609"/>
      <c r="J84" s="609"/>
      <c r="K84" s="609"/>
      <c r="L84" s="609"/>
      <c r="M84" s="609"/>
      <c r="N84" s="609"/>
      <c r="O84" s="610"/>
      <c r="P84" s="606" t="s">
        <v>40</v>
      </c>
      <c r="Q84" s="607"/>
      <c r="R84" s="607"/>
      <c r="S84" s="607"/>
      <c r="T84" s="607"/>
      <c r="U84" s="607"/>
      <c r="V84" s="608"/>
      <c r="W84" s="40" t="s">
        <v>0</v>
      </c>
      <c r="X84" s="41">
        <f>IFERROR(SUM(X81:X82),"0")</f>
        <v>20</v>
      </c>
      <c r="Y84" s="41">
        <f>IFERROR(SUM(Y81:Y82),"0")</f>
        <v>23.4</v>
      </c>
      <c r="Z84" s="40"/>
      <c r="AA84" s="64"/>
      <c r="AB84" s="64"/>
      <c r="AC84" s="64"/>
    </row>
    <row r="85" spans="1:68" ht="16.5" hidden="1" customHeight="1" x14ac:dyDescent="0.25">
      <c r="A85" s="617" t="s">
        <v>187</v>
      </c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17"/>
      <c r="P85" s="617"/>
      <c r="Q85" s="617"/>
      <c r="R85" s="617"/>
      <c r="S85" s="617"/>
      <c r="T85" s="617"/>
      <c r="U85" s="617"/>
      <c r="V85" s="617"/>
      <c r="W85" s="617"/>
      <c r="X85" s="617"/>
      <c r="Y85" s="617"/>
      <c r="Z85" s="617"/>
      <c r="AA85" s="62"/>
      <c r="AB85" s="62"/>
      <c r="AC85" s="62"/>
    </row>
    <row r="86" spans="1:68" ht="14.25" hidden="1" customHeight="1" x14ac:dyDescent="0.25">
      <c r="A86" s="601" t="s">
        <v>128</v>
      </c>
      <c r="B86" s="601"/>
      <c r="C86" s="601"/>
      <c r="D86" s="601"/>
      <c r="E86" s="601"/>
      <c r="F86" s="601"/>
      <c r="G86" s="601"/>
      <c r="H86" s="601"/>
      <c r="I86" s="601"/>
      <c r="J86" s="601"/>
      <c r="K86" s="601"/>
      <c r="L86" s="601"/>
      <c r="M86" s="601"/>
      <c r="N86" s="601"/>
      <c r="O86" s="601"/>
      <c r="P86" s="601"/>
      <c r="Q86" s="601"/>
      <c r="R86" s="601"/>
      <c r="S86" s="601"/>
      <c r="T86" s="601"/>
      <c r="U86" s="601"/>
      <c r="V86" s="601"/>
      <c r="W86" s="601"/>
      <c r="X86" s="601"/>
      <c r="Y86" s="601"/>
      <c r="Z86" s="601"/>
      <c r="AA86" s="63"/>
      <c r="AB86" s="63"/>
      <c r="AC86" s="63"/>
    </row>
    <row r="87" spans="1:68" ht="27" customHeight="1" x14ac:dyDescent="0.25">
      <c r="A87" s="60" t="s">
        <v>188</v>
      </c>
      <c r="B87" s="60" t="s">
        <v>189</v>
      </c>
      <c r="C87" s="34">
        <v>4301011468</v>
      </c>
      <c r="D87" s="602">
        <v>4680115881327</v>
      </c>
      <c r="E87" s="602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8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4"/>
      <c r="R87" s="604"/>
      <c r="S87" s="604"/>
      <c r="T87" s="605"/>
      <c r="U87" s="37" t="s">
        <v>46</v>
      </c>
      <c r="V87" s="37" t="s">
        <v>46</v>
      </c>
      <c r="W87" s="38" t="s">
        <v>0</v>
      </c>
      <c r="X87" s="56">
        <v>50</v>
      </c>
      <c r="Y87" s="53">
        <f>IFERROR(IF(X87="",0,CEILING((X87/$H87),1)*$H87),"")</f>
        <v>54</v>
      </c>
      <c r="Z87" s="39">
        <f>IFERROR(IF(Y87=0,"",ROUNDUP(Y87/H87,0)*0.01898),"")</f>
        <v>9.4899999999999998E-2</v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51.898148148148145</v>
      </c>
      <c r="BN87" s="75">
        <f>IFERROR(Y87*I87/H87,"0")</f>
        <v>56.05</v>
      </c>
      <c r="BO87" s="75">
        <f>IFERROR(1/J87*(X87/H87),"0")</f>
        <v>7.2337962962962965E-2</v>
      </c>
      <c r="BP87" s="75">
        <f>IFERROR(1/J87*(Y87/H87),"0")</f>
        <v>7.8125E-2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02">
        <v>4680115887732</v>
      </c>
      <c r="E88" s="602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8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4"/>
      <c r="R88" s="604"/>
      <c r="S88" s="604"/>
      <c r="T88" s="605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02">
        <v>4680115881518</v>
      </c>
      <c r="E89" s="602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8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4"/>
      <c r="R89" s="604"/>
      <c r="S89" s="604"/>
      <c r="T89" s="60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196</v>
      </c>
      <c r="B90" s="60" t="s">
        <v>197</v>
      </c>
      <c r="C90" s="34">
        <v>4301011443</v>
      </c>
      <c r="D90" s="602">
        <v>4680115881303</v>
      </c>
      <c r="E90" s="602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8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4"/>
      <c r="R90" s="604"/>
      <c r="S90" s="604"/>
      <c r="T90" s="605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x14ac:dyDescent="0.2">
      <c r="A91" s="609"/>
      <c r="B91" s="609"/>
      <c r="C91" s="609"/>
      <c r="D91" s="609"/>
      <c r="E91" s="609"/>
      <c r="F91" s="609"/>
      <c r="G91" s="609"/>
      <c r="H91" s="609"/>
      <c r="I91" s="609"/>
      <c r="J91" s="609"/>
      <c r="K91" s="609"/>
      <c r="L91" s="609"/>
      <c r="M91" s="609"/>
      <c r="N91" s="609"/>
      <c r="O91" s="610"/>
      <c r="P91" s="606" t="s">
        <v>40</v>
      </c>
      <c r="Q91" s="607"/>
      <c r="R91" s="607"/>
      <c r="S91" s="607"/>
      <c r="T91" s="607"/>
      <c r="U91" s="607"/>
      <c r="V91" s="608"/>
      <c r="W91" s="40" t="s">
        <v>39</v>
      </c>
      <c r="X91" s="41">
        <f>IFERROR(X87/H87,"0")+IFERROR(X88/H88,"0")+IFERROR(X89/H89,"0")+IFERROR(X90/H90,"0")</f>
        <v>4.6296296296296298</v>
      </c>
      <c r="Y91" s="41">
        <f>IFERROR(Y87/H87,"0")+IFERROR(Y88/H88,"0")+IFERROR(Y89/H89,"0")+IFERROR(Y90/H90,"0")</f>
        <v>5</v>
      </c>
      <c r="Z91" s="41">
        <f>IFERROR(IF(Z87="",0,Z87),"0")+IFERROR(IF(Z88="",0,Z88),"0")+IFERROR(IF(Z89="",0,Z89),"0")+IFERROR(IF(Z90="",0,Z90),"0")</f>
        <v>9.4899999999999998E-2</v>
      </c>
      <c r="AA91" s="64"/>
      <c r="AB91" s="64"/>
      <c r="AC91" s="64"/>
    </row>
    <row r="92" spans="1:68" x14ac:dyDescent="0.2">
      <c r="A92" s="609"/>
      <c r="B92" s="609"/>
      <c r="C92" s="609"/>
      <c r="D92" s="609"/>
      <c r="E92" s="609"/>
      <c r="F92" s="609"/>
      <c r="G92" s="609"/>
      <c r="H92" s="609"/>
      <c r="I92" s="609"/>
      <c r="J92" s="609"/>
      <c r="K92" s="609"/>
      <c r="L92" s="609"/>
      <c r="M92" s="609"/>
      <c r="N92" s="609"/>
      <c r="O92" s="610"/>
      <c r="P92" s="606" t="s">
        <v>40</v>
      </c>
      <c r="Q92" s="607"/>
      <c r="R92" s="607"/>
      <c r="S92" s="607"/>
      <c r="T92" s="607"/>
      <c r="U92" s="607"/>
      <c r="V92" s="608"/>
      <c r="W92" s="40" t="s">
        <v>0</v>
      </c>
      <c r="X92" s="41">
        <f>IFERROR(SUM(X87:X90),"0")</f>
        <v>50</v>
      </c>
      <c r="Y92" s="41">
        <f>IFERROR(SUM(Y87:Y90),"0")</f>
        <v>54</v>
      </c>
      <c r="Z92" s="40"/>
      <c r="AA92" s="64"/>
      <c r="AB92" s="64"/>
      <c r="AC92" s="64"/>
    </row>
    <row r="93" spans="1:68" ht="14.25" hidden="1" customHeight="1" x14ac:dyDescent="0.25">
      <c r="A93" s="601" t="s">
        <v>86</v>
      </c>
      <c r="B93" s="601"/>
      <c r="C93" s="601"/>
      <c r="D93" s="601"/>
      <c r="E93" s="601"/>
      <c r="F93" s="601"/>
      <c r="G93" s="601"/>
      <c r="H93" s="601"/>
      <c r="I93" s="601"/>
      <c r="J93" s="601"/>
      <c r="K93" s="601"/>
      <c r="L93" s="601"/>
      <c r="M93" s="601"/>
      <c r="N93" s="601"/>
      <c r="O93" s="601"/>
      <c r="P93" s="601"/>
      <c r="Q93" s="601"/>
      <c r="R93" s="601"/>
      <c r="S93" s="601"/>
      <c r="T93" s="601"/>
      <c r="U93" s="601"/>
      <c r="V93" s="601"/>
      <c r="W93" s="601"/>
      <c r="X93" s="601"/>
      <c r="Y93" s="601"/>
      <c r="Z93" s="601"/>
      <c r="AA93" s="63"/>
      <c r="AB93" s="63"/>
      <c r="AC93" s="63"/>
    </row>
    <row r="94" spans="1:68" ht="27" customHeight="1" x14ac:dyDescent="0.25">
      <c r="A94" s="60" t="s">
        <v>198</v>
      </c>
      <c r="B94" s="60" t="s">
        <v>199</v>
      </c>
      <c r="C94" s="34">
        <v>4301051712</v>
      </c>
      <c r="D94" s="602">
        <v>4607091386967</v>
      </c>
      <c r="E94" s="602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8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4"/>
      <c r="R94" s="604"/>
      <c r="S94" s="604"/>
      <c r="T94" s="605"/>
      <c r="U94" s="37" t="s">
        <v>46</v>
      </c>
      <c r="V94" s="37" t="s">
        <v>46</v>
      </c>
      <c r="W94" s="38" t="s">
        <v>0</v>
      </c>
      <c r="X94" s="56">
        <v>50</v>
      </c>
      <c r="Y94" s="53">
        <f>IFERROR(IF(X94="",0,CEILING((X94/$H94),1)*$H94),"")</f>
        <v>56.699999999999996</v>
      </c>
      <c r="Z94" s="39">
        <f>IFERROR(IF(Y94=0,"",ROUNDUP(Y94/H94,0)*0.01898),"")</f>
        <v>0.13286000000000001</v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53.049382716049386</v>
      </c>
      <c r="BN94" s="75">
        <f>IFERROR(Y94*I94/H94,"0")</f>
        <v>60.157999999999994</v>
      </c>
      <c r="BO94" s="75">
        <f>IFERROR(1/J94*(X94/H94),"0")</f>
        <v>9.6450617283950615E-2</v>
      </c>
      <c r="BP94" s="75">
        <f>IFERROR(1/J94*(Y94/H94),"0")</f>
        <v>0.109375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02">
        <v>4680115884953</v>
      </c>
      <c r="E95" s="602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83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4"/>
      <c r="R95" s="604"/>
      <c r="S95" s="604"/>
      <c r="T95" s="605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203</v>
      </c>
      <c r="B96" s="60" t="s">
        <v>204</v>
      </c>
      <c r="C96" s="34">
        <v>4301051718</v>
      </c>
      <c r="D96" s="602">
        <v>4607091385731</v>
      </c>
      <c r="E96" s="602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83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4"/>
      <c r="R96" s="604"/>
      <c r="S96" s="604"/>
      <c r="T96" s="605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02">
        <v>4680115880894</v>
      </c>
      <c r="E97" s="602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83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4"/>
      <c r="R97" s="604"/>
      <c r="S97" s="604"/>
      <c r="T97" s="605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09"/>
      <c r="B98" s="609"/>
      <c r="C98" s="609"/>
      <c r="D98" s="609"/>
      <c r="E98" s="609"/>
      <c r="F98" s="609"/>
      <c r="G98" s="609"/>
      <c r="H98" s="609"/>
      <c r="I98" s="609"/>
      <c r="J98" s="609"/>
      <c r="K98" s="609"/>
      <c r="L98" s="609"/>
      <c r="M98" s="609"/>
      <c r="N98" s="609"/>
      <c r="O98" s="610"/>
      <c r="P98" s="606" t="s">
        <v>40</v>
      </c>
      <c r="Q98" s="607"/>
      <c r="R98" s="607"/>
      <c r="S98" s="607"/>
      <c r="T98" s="607"/>
      <c r="U98" s="607"/>
      <c r="V98" s="608"/>
      <c r="W98" s="40" t="s">
        <v>39</v>
      </c>
      <c r="X98" s="41">
        <f>IFERROR(X94/H94,"0")+IFERROR(X95/H95,"0")+IFERROR(X96/H96,"0")+IFERROR(X97/H97,"0")</f>
        <v>6.1728395061728394</v>
      </c>
      <c r="Y98" s="41">
        <f>IFERROR(Y94/H94,"0")+IFERROR(Y95/H95,"0")+IFERROR(Y96/H96,"0")+IFERROR(Y97/H97,"0")</f>
        <v>7</v>
      </c>
      <c r="Z98" s="41">
        <f>IFERROR(IF(Z94="",0,Z94),"0")+IFERROR(IF(Z95="",0,Z95),"0")+IFERROR(IF(Z96="",0,Z96),"0")+IFERROR(IF(Z97="",0,Z97),"0")</f>
        <v>0.13286000000000001</v>
      </c>
      <c r="AA98" s="64"/>
      <c r="AB98" s="64"/>
      <c r="AC98" s="64"/>
    </row>
    <row r="99" spans="1:68" x14ac:dyDescent="0.2">
      <c r="A99" s="609"/>
      <c r="B99" s="609"/>
      <c r="C99" s="609"/>
      <c r="D99" s="609"/>
      <c r="E99" s="609"/>
      <c r="F99" s="609"/>
      <c r="G99" s="609"/>
      <c r="H99" s="609"/>
      <c r="I99" s="609"/>
      <c r="J99" s="609"/>
      <c r="K99" s="609"/>
      <c r="L99" s="609"/>
      <c r="M99" s="609"/>
      <c r="N99" s="609"/>
      <c r="O99" s="610"/>
      <c r="P99" s="606" t="s">
        <v>40</v>
      </c>
      <c r="Q99" s="607"/>
      <c r="R99" s="607"/>
      <c r="S99" s="607"/>
      <c r="T99" s="607"/>
      <c r="U99" s="607"/>
      <c r="V99" s="608"/>
      <c r="W99" s="40" t="s">
        <v>0</v>
      </c>
      <c r="X99" s="41">
        <f>IFERROR(SUM(X94:X97),"0")</f>
        <v>50</v>
      </c>
      <c r="Y99" s="41">
        <f>IFERROR(SUM(Y94:Y97),"0")</f>
        <v>56.699999999999996</v>
      </c>
      <c r="Z99" s="40"/>
      <c r="AA99" s="64"/>
      <c r="AB99" s="64"/>
      <c r="AC99" s="64"/>
    </row>
    <row r="100" spans="1:68" ht="16.5" hidden="1" customHeight="1" x14ac:dyDescent="0.25">
      <c r="A100" s="617" t="s">
        <v>208</v>
      </c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17"/>
      <c r="P100" s="617"/>
      <c r="Q100" s="617"/>
      <c r="R100" s="617"/>
      <c r="S100" s="617"/>
      <c r="T100" s="617"/>
      <c r="U100" s="617"/>
      <c r="V100" s="617"/>
      <c r="W100" s="617"/>
      <c r="X100" s="617"/>
      <c r="Y100" s="617"/>
      <c r="Z100" s="617"/>
      <c r="AA100" s="62"/>
      <c r="AB100" s="62"/>
      <c r="AC100" s="62"/>
    </row>
    <row r="101" spans="1:68" ht="14.25" hidden="1" customHeight="1" x14ac:dyDescent="0.25">
      <c r="A101" s="601" t="s">
        <v>128</v>
      </c>
      <c r="B101" s="601"/>
      <c r="C101" s="601"/>
      <c r="D101" s="601"/>
      <c r="E101" s="601"/>
      <c r="F101" s="601"/>
      <c r="G101" s="601"/>
      <c r="H101" s="601"/>
      <c r="I101" s="601"/>
      <c r="J101" s="601"/>
      <c r="K101" s="601"/>
      <c r="L101" s="601"/>
      <c r="M101" s="601"/>
      <c r="N101" s="601"/>
      <c r="O101" s="601"/>
      <c r="P101" s="601"/>
      <c r="Q101" s="601"/>
      <c r="R101" s="601"/>
      <c r="S101" s="601"/>
      <c r="T101" s="601"/>
      <c r="U101" s="601"/>
      <c r="V101" s="601"/>
      <c r="W101" s="601"/>
      <c r="X101" s="601"/>
      <c r="Y101" s="601"/>
      <c r="Z101" s="601"/>
      <c r="AA101" s="63"/>
      <c r="AB101" s="63"/>
      <c r="AC101" s="63"/>
    </row>
    <row r="102" spans="1:68" ht="37.5" customHeight="1" x14ac:dyDescent="0.25">
      <c r="A102" s="60" t="s">
        <v>209</v>
      </c>
      <c r="B102" s="60" t="s">
        <v>210</v>
      </c>
      <c r="C102" s="34">
        <v>4301011514</v>
      </c>
      <c r="D102" s="602">
        <v>4680115882133</v>
      </c>
      <c r="E102" s="602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83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4"/>
      <c r="R102" s="604"/>
      <c r="S102" s="604"/>
      <c r="T102" s="605"/>
      <c r="U102" s="37" t="s">
        <v>46</v>
      </c>
      <c r="V102" s="37" t="s">
        <v>46</v>
      </c>
      <c r="W102" s="38" t="s">
        <v>0</v>
      </c>
      <c r="X102" s="56">
        <v>20</v>
      </c>
      <c r="Y102" s="53">
        <f t="shared" ref="Y102:Y108" si="11">IFERROR(IF(X102="",0,CEILING((X102/$H102),1)*$H102),"")</f>
        <v>21.6</v>
      </c>
      <c r="Z102" s="39">
        <f>IFERROR(IF(Y102=0,"",ROUNDUP(Y102/H102,0)*0.01898),"")</f>
        <v>3.7960000000000001E-2</v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20.75925925925926</v>
      </c>
      <c r="BN102" s="75">
        <f t="shared" ref="BN102:BN108" si="13">IFERROR(Y102*I102/H102,"0")</f>
        <v>22.42</v>
      </c>
      <c r="BO102" s="75">
        <f t="shared" ref="BO102:BO108" si="14">IFERROR(1/J102*(X102/H102),"0")</f>
        <v>2.8935185185185182E-2</v>
      </c>
      <c r="BP102" s="75">
        <f t="shared" ref="BP102:BP108" si="15">IFERROR(1/J102*(Y102/H102),"0")</f>
        <v>3.125E-2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02">
        <v>4680115887718</v>
      </c>
      <c r="E103" s="602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82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4"/>
      <c r="R103" s="604"/>
      <c r="S103" s="604"/>
      <c r="T103" s="60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02">
        <v>4680115887718</v>
      </c>
      <c r="E104" s="602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2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4"/>
      <c r="R104" s="604"/>
      <c r="S104" s="604"/>
      <c r="T104" s="60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02">
        <v>4680115887749</v>
      </c>
      <c r="E105" s="602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30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4"/>
      <c r="R105" s="604"/>
      <c r="S105" s="604"/>
      <c r="T105" s="60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02">
        <v>4680115880269</v>
      </c>
      <c r="E106" s="60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4"/>
      <c r="R106" s="604"/>
      <c r="S106" s="604"/>
      <c r="T106" s="60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220</v>
      </c>
      <c r="B107" s="60" t="s">
        <v>221</v>
      </c>
      <c r="C107" s="34">
        <v>4301011415</v>
      </c>
      <c r="D107" s="602">
        <v>4680115880429</v>
      </c>
      <c r="E107" s="60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4"/>
      <c r="R107" s="604"/>
      <c r="S107" s="604"/>
      <c r="T107" s="605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02">
        <v>4680115881457</v>
      </c>
      <c r="E108" s="60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2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4"/>
      <c r="R108" s="604"/>
      <c r="S108" s="604"/>
      <c r="T108" s="60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09"/>
      <c r="B109" s="609"/>
      <c r="C109" s="609"/>
      <c r="D109" s="609"/>
      <c r="E109" s="609"/>
      <c r="F109" s="609"/>
      <c r="G109" s="609"/>
      <c r="H109" s="609"/>
      <c r="I109" s="609"/>
      <c r="J109" s="609"/>
      <c r="K109" s="609"/>
      <c r="L109" s="609"/>
      <c r="M109" s="609"/>
      <c r="N109" s="609"/>
      <c r="O109" s="610"/>
      <c r="P109" s="606" t="s">
        <v>40</v>
      </c>
      <c r="Q109" s="607"/>
      <c r="R109" s="607"/>
      <c r="S109" s="607"/>
      <c r="T109" s="607"/>
      <c r="U109" s="607"/>
      <c r="V109" s="608"/>
      <c r="W109" s="40" t="s">
        <v>39</v>
      </c>
      <c r="X109" s="41">
        <f>IFERROR(X102/H102,"0")+IFERROR(X103/H103,"0")+IFERROR(X104/H104,"0")+IFERROR(X105/H105,"0")+IFERROR(X106/H106,"0")+IFERROR(X107/H107,"0")+IFERROR(X108/H108,"0")</f>
        <v>1.8518518518518516</v>
      </c>
      <c r="Y109" s="41">
        <f>IFERROR(Y102/H102,"0")+IFERROR(Y103/H103,"0")+IFERROR(Y104/H104,"0")+IFERROR(Y105/H105,"0")+IFERROR(Y106/H106,"0")+IFERROR(Y107/H107,"0")+IFERROR(Y108/H108,"0")</f>
        <v>2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3.7960000000000001E-2</v>
      </c>
      <c r="AA109" s="64"/>
      <c r="AB109" s="64"/>
      <c r="AC109" s="64"/>
    </row>
    <row r="110" spans="1:68" x14ac:dyDescent="0.2">
      <c r="A110" s="609"/>
      <c r="B110" s="609"/>
      <c r="C110" s="609"/>
      <c r="D110" s="609"/>
      <c r="E110" s="609"/>
      <c r="F110" s="609"/>
      <c r="G110" s="609"/>
      <c r="H110" s="609"/>
      <c r="I110" s="609"/>
      <c r="J110" s="609"/>
      <c r="K110" s="609"/>
      <c r="L110" s="609"/>
      <c r="M110" s="609"/>
      <c r="N110" s="609"/>
      <c r="O110" s="610"/>
      <c r="P110" s="606" t="s">
        <v>40</v>
      </c>
      <c r="Q110" s="607"/>
      <c r="R110" s="607"/>
      <c r="S110" s="607"/>
      <c r="T110" s="607"/>
      <c r="U110" s="607"/>
      <c r="V110" s="608"/>
      <c r="W110" s="40" t="s">
        <v>0</v>
      </c>
      <c r="X110" s="41">
        <f>IFERROR(SUM(X102:X108),"0")</f>
        <v>20</v>
      </c>
      <c r="Y110" s="41">
        <f>IFERROR(SUM(Y102:Y108),"0")</f>
        <v>21.6</v>
      </c>
      <c r="Z110" s="40"/>
      <c r="AA110" s="64"/>
      <c r="AB110" s="64"/>
      <c r="AC110" s="64"/>
    </row>
    <row r="111" spans="1:68" ht="14.25" hidden="1" customHeight="1" x14ac:dyDescent="0.25">
      <c r="A111" s="601" t="s">
        <v>163</v>
      </c>
      <c r="B111" s="601"/>
      <c r="C111" s="601"/>
      <c r="D111" s="601"/>
      <c r="E111" s="601"/>
      <c r="F111" s="601"/>
      <c r="G111" s="601"/>
      <c r="H111" s="601"/>
      <c r="I111" s="601"/>
      <c r="J111" s="601"/>
      <c r="K111" s="601"/>
      <c r="L111" s="601"/>
      <c r="M111" s="601"/>
      <c r="N111" s="601"/>
      <c r="O111" s="601"/>
      <c r="P111" s="601"/>
      <c r="Q111" s="601"/>
      <c r="R111" s="601"/>
      <c r="S111" s="601"/>
      <c r="T111" s="601"/>
      <c r="U111" s="601"/>
      <c r="V111" s="601"/>
      <c r="W111" s="601"/>
      <c r="X111" s="601"/>
      <c r="Y111" s="601"/>
      <c r="Z111" s="601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02">
        <v>4680115881488</v>
      </c>
      <c r="E112" s="60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2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4"/>
      <c r="R112" s="604"/>
      <c r="S112" s="604"/>
      <c r="T112" s="605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02">
        <v>4680115881488</v>
      </c>
      <c r="E113" s="602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82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4"/>
      <c r="R113" s="604"/>
      <c r="S113" s="604"/>
      <c r="T113" s="605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602">
        <v>4680115887664</v>
      </c>
      <c r="E114" s="602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82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4"/>
      <c r="R114" s="604"/>
      <c r="S114" s="604"/>
      <c r="T114" s="605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02">
        <v>4680115887664</v>
      </c>
      <c r="E115" s="602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82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4"/>
      <c r="R115" s="604"/>
      <c r="S115" s="604"/>
      <c r="T115" s="605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02">
        <v>4680115882775</v>
      </c>
      <c r="E116" s="602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82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4"/>
      <c r="R116" s="604"/>
      <c r="S116" s="604"/>
      <c r="T116" s="605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02">
        <v>4680115880658</v>
      </c>
      <c r="E117" s="602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82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4"/>
      <c r="R117" s="604"/>
      <c r="S117" s="604"/>
      <c r="T117" s="605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idden="1" x14ac:dyDescent="0.2">
      <c r="A118" s="609"/>
      <c r="B118" s="609"/>
      <c r="C118" s="609"/>
      <c r="D118" s="609"/>
      <c r="E118" s="609"/>
      <c r="F118" s="609"/>
      <c r="G118" s="609"/>
      <c r="H118" s="609"/>
      <c r="I118" s="609"/>
      <c r="J118" s="609"/>
      <c r="K118" s="609"/>
      <c r="L118" s="609"/>
      <c r="M118" s="609"/>
      <c r="N118" s="609"/>
      <c r="O118" s="610"/>
      <c r="P118" s="606" t="s">
        <v>40</v>
      </c>
      <c r="Q118" s="607"/>
      <c r="R118" s="607"/>
      <c r="S118" s="607"/>
      <c r="T118" s="607"/>
      <c r="U118" s="607"/>
      <c r="V118" s="608"/>
      <c r="W118" s="40" t="s">
        <v>39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09"/>
      <c r="B119" s="609"/>
      <c r="C119" s="609"/>
      <c r="D119" s="609"/>
      <c r="E119" s="609"/>
      <c r="F119" s="609"/>
      <c r="G119" s="609"/>
      <c r="H119" s="609"/>
      <c r="I119" s="609"/>
      <c r="J119" s="609"/>
      <c r="K119" s="609"/>
      <c r="L119" s="609"/>
      <c r="M119" s="609"/>
      <c r="N119" s="609"/>
      <c r="O119" s="610"/>
      <c r="P119" s="606" t="s">
        <v>40</v>
      </c>
      <c r="Q119" s="607"/>
      <c r="R119" s="607"/>
      <c r="S119" s="607"/>
      <c r="T119" s="607"/>
      <c r="U119" s="607"/>
      <c r="V119" s="608"/>
      <c r="W119" s="40" t="s">
        <v>0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01" t="s">
        <v>86</v>
      </c>
      <c r="B120" s="601"/>
      <c r="C120" s="601"/>
      <c r="D120" s="601"/>
      <c r="E120" s="601"/>
      <c r="F120" s="601"/>
      <c r="G120" s="601"/>
      <c r="H120" s="601"/>
      <c r="I120" s="601"/>
      <c r="J120" s="601"/>
      <c r="K120" s="601"/>
      <c r="L120" s="601"/>
      <c r="M120" s="601"/>
      <c r="N120" s="601"/>
      <c r="O120" s="601"/>
      <c r="P120" s="601"/>
      <c r="Q120" s="601"/>
      <c r="R120" s="601"/>
      <c r="S120" s="601"/>
      <c r="T120" s="601"/>
      <c r="U120" s="601"/>
      <c r="V120" s="601"/>
      <c r="W120" s="601"/>
      <c r="X120" s="601"/>
      <c r="Y120" s="601"/>
      <c r="Z120" s="601"/>
      <c r="AA120" s="63"/>
      <c r="AB120" s="63"/>
      <c r="AC120" s="63"/>
    </row>
    <row r="121" spans="1:68" ht="27" customHeight="1" x14ac:dyDescent="0.25">
      <c r="A121" s="60" t="s">
        <v>238</v>
      </c>
      <c r="B121" s="60" t="s">
        <v>239</v>
      </c>
      <c r="C121" s="34">
        <v>4301051724</v>
      </c>
      <c r="D121" s="602">
        <v>4607091385168</v>
      </c>
      <c r="E121" s="602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81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4"/>
      <c r="R121" s="604"/>
      <c r="S121" s="604"/>
      <c r="T121" s="605"/>
      <c r="U121" s="37" t="s">
        <v>46</v>
      </c>
      <c r="V121" s="37" t="s">
        <v>46</v>
      </c>
      <c r="W121" s="38" t="s">
        <v>0</v>
      </c>
      <c r="X121" s="56">
        <v>250</v>
      </c>
      <c r="Y121" s="53">
        <f>IFERROR(IF(X121="",0,CEILING((X121/$H121),1)*$H121),"")</f>
        <v>251.1</v>
      </c>
      <c r="Z121" s="39">
        <f>IFERROR(IF(Y121=0,"",ROUNDUP(Y121/H121,0)*0.01898),"")</f>
        <v>0.58838000000000001</v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265.06172839506172</v>
      </c>
      <c r="BN121" s="75">
        <f>IFERROR(Y121*I121/H121,"0")</f>
        <v>266.22799999999995</v>
      </c>
      <c r="BO121" s="75">
        <f>IFERROR(1/J121*(X121/H121),"0")</f>
        <v>0.48225308641975312</v>
      </c>
      <c r="BP121" s="75">
        <f>IFERROR(1/J121*(Y121/H121),"0")</f>
        <v>0.484375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4301051730</v>
      </c>
      <c r="D122" s="602">
        <v>4607091383256</v>
      </c>
      <c r="E122" s="602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1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4"/>
      <c r="R122" s="604"/>
      <c r="S122" s="604"/>
      <c r="T122" s="605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243</v>
      </c>
      <c r="B123" s="60" t="s">
        <v>244</v>
      </c>
      <c r="C123" s="34">
        <v>4301051721</v>
      </c>
      <c r="D123" s="602">
        <v>4607091385748</v>
      </c>
      <c r="E123" s="602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81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4"/>
      <c r="R123" s="604"/>
      <c r="S123" s="604"/>
      <c r="T123" s="605"/>
      <c r="U123" s="37" t="s">
        <v>46</v>
      </c>
      <c r="V123" s="37" t="s">
        <v>46</v>
      </c>
      <c r="W123" s="38" t="s">
        <v>0</v>
      </c>
      <c r="X123" s="56">
        <v>8</v>
      </c>
      <c r="Y123" s="53">
        <f>IFERROR(IF(X123="",0,CEILING((X123/$H123),1)*$H123),"")</f>
        <v>8.1000000000000014</v>
      </c>
      <c r="Z123" s="39">
        <f>IFERROR(IF(Y123=0,"",ROUNDUP(Y123/H123,0)*0.00651),"")</f>
        <v>1.9529999999999999E-2</v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8.7466666666666661</v>
      </c>
      <c r="BN123" s="75">
        <f>IFERROR(Y123*I123/H123,"0")</f>
        <v>8.8560000000000016</v>
      </c>
      <c r="BO123" s="75">
        <f>IFERROR(1/J123*(X123/H123),"0")</f>
        <v>1.6280016280016279E-2</v>
      </c>
      <c r="BP123" s="75">
        <f>IFERROR(1/J123*(Y123/H123),"0")</f>
        <v>1.6483516483516487E-2</v>
      </c>
    </row>
    <row r="124" spans="1:68" ht="16.5" hidden="1" customHeight="1" x14ac:dyDescent="0.25">
      <c r="A124" s="60" t="s">
        <v>245</v>
      </c>
      <c r="B124" s="60" t="s">
        <v>246</v>
      </c>
      <c r="C124" s="34">
        <v>4301051740</v>
      </c>
      <c r="D124" s="602">
        <v>4680115884533</v>
      </c>
      <c r="E124" s="602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4"/>
      <c r="R124" s="604"/>
      <c r="S124" s="604"/>
      <c r="T124" s="605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09"/>
      <c r="B125" s="609"/>
      <c r="C125" s="609"/>
      <c r="D125" s="609"/>
      <c r="E125" s="609"/>
      <c r="F125" s="609"/>
      <c r="G125" s="609"/>
      <c r="H125" s="609"/>
      <c r="I125" s="609"/>
      <c r="J125" s="609"/>
      <c r="K125" s="609"/>
      <c r="L125" s="609"/>
      <c r="M125" s="609"/>
      <c r="N125" s="609"/>
      <c r="O125" s="610"/>
      <c r="P125" s="606" t="s">
        <v>40</v>
      </c>
      <c r="Q125" s="607"/>
      <c r="R125" s="607"/>
      <c r="S125" s="607"/>
      <c r="T125" s="607"/>
      <c r="U125" s="607"/>
      <c r="V125" s="608"/>
      <c r="W125" s="40" t="s">
        <v>39</v>
      </c>
      <c r="X125" s="41">
        <f>IFERROR(X121/H121,"0")+IFERROR(X122/H122,"0")+IFERROR(X123/H123,"0")+IFERROR(X124/H124,"0")</f>
        <v>33.827160493827165</v>
      </c>
      <c r="Y125" s="41">
        <f>IFERROR(Y121/H121,"0")+IFERROR(Y122/H122,"0")+IFERROR(Y123/H123,"0")+IFERROR(Y124/H124,"0")</f>
        <v>34</v>
      </c>
      <c r="Z125" s="41">
        <f>IFERROR(IF(Z121="",0,Z121),"0")+IFERROR(IF(Z122="",0,Z122),"0")+IFERROR(IF(Z123="",0,Z123),"0")+IFERROR(IF(Z124="",0,Z124),"0")</f>
        <v>0.60791000000000006</v>
      </c>
      <c r="AA125" s="64"/>
      <c r="AB125" s="64"/>
      <c r="AC125" s="64"/>
    </row>
    <row r="126" spans="1:68" x14ac:dyDescent="0.2">
      <c r="A126" s="609"/>
      <c r="B126" s="609"/>
      <c r="C126" s="609"/>
      <c r="D126" s="609"/>
      <c r="E126" s="609"/>
      <c r="F126" s="609"/>
      <c r="G126" s="609"/>
      <c r="H126" s="609"/>
      <c r="I126" s="609"/>
      <c r="J126" s="609"/>
      <c r="K126" s="609"/>
      <c r="L126" s="609"/>
      <c r="M126" s="609"/>
      <c r="N126" s="609"/>
      <c r="O126" s="610"/>
      <c r="P126" s="606" t="s">
        <v>40</v>
      </c>
      <c r="Q126" s="607"/>
      <c r="R126" s="607"/>
      <c r="S126" s="607"/>
      <c r="T126" s="607"/>
      <c r="U126" s="607"/>
      <c r="V126" s="608"/>
      <c r="W126" s="40" t="s">
        <v>0</v>
      </c>
      <c r="X126" s="41">
        <f>IFERROR(SUM(X121:X124),"0")</f>
        <v>258</v>
      </c>
      <c r="Y126" s="41">
        <f>IFERROR(SUM(Y121:Y124),"0")</f>
        <v>259.2</v>
      </c>
      <c r="Z126" s="40"/>
      <c r="AA126" s="64"/>
      <c r="AB126" s="64"/>
      <c r="AC126" s="64"/>
    </row>
    <row r="127" spans="1:68" ht="14.25" hidden="1" customHeight="1" x14ac:dyDescent="0.25">
      <c r="A127" s="601" t="s">
        <v>180</v>
      </c>
      <c r="B127" s="601"/>
      <c r="C127" s="601"/>
      <c r="D127" s="601"/>
      <c r="E127" s="601"/>
      <c r="F127" s="601"/>
      <c r="G127" s="601"/>
      <c r="H127" s="601"/>
      <c r="I127" s="601"/>
      <c r="J127" s="601"/>
      <c r="K127" s="601"/>
      <c r="L127" s="601"/>
      <c r="M127" s="601"/>
      <c r="N127" s="601"/>
      <c r="O127" s="601"/>
      <c r="P127" s="601"/>
      <c r="Q127" s="601"/>
      <c r="R127" s="601"/>
      <c r="S127" s="601"/>
      <c r="T127" s="601"/>
      <c r="U127" s="601"/>
      <c r="V127" s="601"/>
      <c r="W127" s="601"/>
      <c r="X127" s="601"/>
      <c r="Y127" s="601"/>
      <c r="Z127" s="601"/>
      <c r="AA127" s="63"/>
      <c r="AB127" s="63"/>
      <c r="AC127" s="63"/>
    </row>
    <row r="128" spans="1:68" ht="16.5" hidden="1" customHeight="1" x14ac:dyDescent="0.25">
      <c r="A128" s="60" t="s">
        <v>248</v>
      </c>
      <c r="B128" s="60" t="s">
        <v>249</v>
      </c>
      <c r="C128" s="34">
        <v>4301060317</v>
      </c>
      <c r="D128" s="602">
        <v>4680115880238</v>
      </c>
      <c r="E128" s="602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8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4"/>
      <c r="R128" s="604"/>
      <c r="S128" s="604"/>
      <c r="T128" s="605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09"/>
      <c r="B129" s="609"/>
      <c r="C129" s="609"/>
      <c r="D129" s="609"/>
      <c r="E129" s="609"/>
      <c r="F129" s="609"/>
      <c r="G129" s="609"/>
      <c r="H129" s="609"/>
      <c r="I129" s="609"/>
      <c r="J129" s="609"/>
      <c r="K129" s="609"/>
      <c r="L129" s="609"/>
      <c r="M129" s="609"/>
      <c r="N129" s="609"/>
      <c r="O129" s="610"/>
      <c r="P129" s="606" t="s">
        <v>40</v>
      </c>
      <c r="Q129" s="607"/>
      <c r="R129" s="607"/>
      <c r="S129" s="607"/>
      <c r="T129" s="607"/>
      <c r="U129" s="607"/>
      <c r="V129" s="608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09"/>
      <c r="B130" s="609"/>
      <c r="C130" s="609"/>
      <c r="D130" s="609"/>
      <c r="E130" s="609"/>
      <c r="F130" s="609"/>
      <c r="G130" s="609"/>
      <c r="H130" s="609"/>
      <c r="I130" s="609"/>
      <c r="J130" s="609"/>
      <c r="K130" s="609"/>
      <c r="L130" s="609"/>
      <c r="M130" s="609"/>
      <c r="N130" s="609"/>
      <c r="O130" s="610"/>
      <c r="P130" s="606" t="s">
        <v>40</v>
      </c>
      <c r="Q130" s="607"/>
      <c r="R130" s="607"/>
      <c r="S130" s="607"/>
      <c r="T130" s="607"/>
      <c r="U130" s="607"/>
      <c r="V130" s="608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17" t="s">
        <v>251</v>
      </c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17"/>
      <c r="P131" s="617"/>
      <c r="Q131" s="617"/>
      <c r="R131" s="617"/>
      <c r="S131" s="617"/>
      <c r="T131" s="617"/>
      <c r="U131" s="617"/>
      <c r="V131" s="617"/>
      <c r="W131" s="617"/>
      <c r="X131" s="617"/>
      <c r="Y131" s="617"/>
      <c r="Z131" s="617"/>
      <c r="AA131" s="62"/>
      <c r="AB131" s="62"/>
      <c r="AC131" s="62"/>
    </row>
    <row r="132" spans="1:68" ht="14.25" hidden="1" customHeight="1" x14ac:dyDescent="0.25">
      <c r="A132" s="601" t="s">
        <v>128</v>
      </c>
      <c r="B132" s="601"/>
      <c r="C132" s="601"/>
      <c r="D132" s="601"/>
      <c r="E132" s="601"/>
      <c r="F132" s="601"/>
      <c r="G132" s="601"/>
      <c r="H132" s="601"/>
      <c r="I132" s="601"/>
      <c r="J132" s="601"/>
      <c r="K132" s="601"/>
      <c r="L132" s="601"/>
      <c r="M132" s="601"/>
      <c r="N132" s="601"/>
      <c r="O132" s="601"/>
      <c r="P132" s="601"/>
      <c r="Q132" s="601"/>
      <c r="R132" s="601"/>
      <c r="S132" s="601"/>
      <c r="T132" s="601"/>
      <c r="U132" s="601"/>
      <c r="V132" s="601"/>
      <c r="W132" s="601"/>
      <c r="X132" s="601"/>
      <c r="Y132" s="601"/>
      <c r="Z132" s="601"/>
      <c r="AA132" s="63"/>
      <c r="AB132" s="63"/>
      <c r="AC132" s="63"/>
    </row>
    <row r="133" spans="1:68" ht="27" customHeight="1" x14ac:dyDescent="0.25">
      <c r="A133" s="60" t="s">
        <v>252</v>
      </c>
      <c r="B133" s="60" t="s">
        <v>253</v>
      </c>
      <c r="C133" s="34">
        <v>4301011562</v>
      </c>
      <c r="D133" s="602">
        <v>4680115882577</v>
      </c>
      <c r="E133" s="602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81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4"/>
      <c r="R133" s="604"/>
      <c r="S133" s="604"/>
      <c r="T133" s="605"/>
      <c r="U133" s="37" t="s">
        <v>46</v>
      </c>
      <c r="V133" s="37" t="s">
        <v>46</v>
      </c>
      <c r="W133" s="38" t="s">
        <v>0</v>
      </c>
      <c r="X133" s="56">
        <v>69</v>
      </c>
      <c r="Y133" s="53">
        <f>IFERROR(IF(X133="",0,CEILING((X133/$H133),1)*$H133),"")</f>
        <v>70.400000000000006</v>
      </c>
      <c r="Z133" s="39">
        <f>IFERROR(IF(Y133=0,"",ROUNDUP(Y133/H133,0)*0.00651),"")</f>
        <v>0.14322000000000001</v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72.881249999999994</v>
      </c>
      <c r="BN133" s="75">
        <f>IFERROR(Y133*I133/H133,"0")</f>
        <v>74.36</v>
      </c>
      <c r="BO133" s="75">
        <f>IFERROR(1/J133*(X133/H133),"0")</f>
        <v>0.11847527472527473</v>
      </c>
      <c r="BP133" s="75">
        <f>IFERROR(1/J133*(Y133/H133),"0")</f>
        <v>0.12087912087912089</v>
      </c>
    </row>
    <row r="134" spans="1:68" ht="27" hidden="1" customHeight="1" x14ac:dyDescent="0.25">
      <c r="A134" s="60" t="s">
        <v>252</v>
      </c>
      <c r="B134" s="60" t="s">
        <v>255</v>
      </c>
      <c r="C134" s="34">
        <v>4301011564</v>
      </c>
      <c r="D134" s="602">
        <v>4680115882577</v>
      </c>
      <c r="E134" s="602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8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4"/>
      <c r="R134" s="604"/>
      <c r="S134" s="604"/>
      <c r="T134" s="605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09"/>
      <c r="B135" s="609"/>
      <c r="C135" s="609"/>
      <c r="D135" s="609"/>
      <c r="E135" s="609"/>
      <c r="F135" s="609"/>
      <c r="G135" s="609"/>
      <c r="H135" s="609"/>
      <c r="I135" s="609"/>
      <c r="J135" s="609"/>
      <c r="K135" s="609"/>
      <c r="L135" s="609"/>
      <c r="M135" s="609"/>
      <c r="N135" s="609"/>
      <c r="O135" s="610"/>
      <c r="P135" s="606" t="s">
        <v>40</v>
      </c>
      <c r="Q135" s="607"/>
      <c r="R135" s="607"/>
      <c r="S135" s="607"/>
      <c r="T135" s="607"/>
      <c r="U135" s="607"/>
      <c r="V135" s="608"/>
      <c r="W135" s="40" t="s">
        <v>39</v>
      </c>
      <c r="X135" s="41">
        <f>IFERROR(X133/H133,"0")+IFERROR(X134/H134,"0")</f>
        <v>21.5625</v>
      </c>
      <c r="Y135" s="41">
        <f>IFERROR(Y133/H133,"0")+IFERROR(Y134/H134,"0")</f>
        <v>22</v>
      </c>
      <c r="Z135" s="41">
        <f>IFERROR(IF(Z133="",0,Z133),"0")+IFERROR(IF(Z134="",0,Z134),"0")</f>
        <v>0.14322000000000001</v>
      </c>
      <c r="AA135" s="64"/>
      <c r="AB135" s="64"/>
      <c r="AC135" s="64"/>
    </row>
    <row r="136" spans="1:68" x14ac:dyDescent="0.2">
      <c r="A136" s="609"/>
      <c r="B136" s="609"/>
      <c r="C136" s="609"/>
      <c r="D136" s="609"/>
      <c r="E136" s="609"/>
      <c r="F136" s="609"/>
      <c r="G136" s="609"/>
      <c r="H136" s="609"/>
      <c r="I136" s="609"/>
      <c r="J136" s="609"/>
      <c r="K136" s="609"/>
      <c r="L136" s="609"/>
      <c r="M136" s="609"/>
      <c r="N136" s="609"/>
      <c r="O136" s="610"/>
      <c r="P136" s="606" t="s">
        <v>40</v>
      </c>
      <c r="Q136" s="607"/>
      <c r="R136" s="607"/>
      <c r="S136" s="607"/>
      <c r="T136" s="607"/>
      <c r="U136" s="607"/>
      <c r="V136" s="608"/>
      <c r="W136" s="40" t="s">
        <v>0</v>
      </c>
      <c r="X136" s="41">
        <f>IFERROR(SUM(X133:X134),"0")</f>
        <v>69</v>
      </c>
      <c r="Y136" s="41">
        <f>IFERROR(SUM(Y133:Y134),"0")</f>
        <v>70.400000000000006</v>
      </c>
      <c r="Z136" s="40"/>
      <c r="AA136" s="64"/>
      <c r="AB136" s="64"/>
      <c r="AC136" s="64"/>
    </row>
    <row r="137" spans="1:68" ht="14.25" hidden="1" customHeight="1" x14ac:dyDescent="0.25">
      <c r="A137" s="601" t="s">
        <v>77</v>
      </c>
      <c r="B137" s="601"/>
      <c r="C137" s="601"/>
      <c r="D137" s="601"/>
      <c r="E137" s="601"/>
      <c r="F137" s="601"/>
      <c r="G137" s="601"/>
      <c r="H137" s="601"/>
      <c r="I137" s="601"/>
      <c r="J137" s="601"/>
      <c r="K137" s="601"/>
      <c r="L137" s="601"/>
      <c r="M137" s="601"/>
      <c r="N137" s="601"/>
      <c r="O137" s="601"/>
      <c r="P137" s="601"/>
      <c r="Q137" s="601"/>
      <c r="R137" s="601"/>
      <c r="S137" s="601"/>
      <c r="T137" s="601"/>
      <c r="U137" s="601"/>
      <c r="V137" s="601"/>
      <c r="W137" s="601"/>
      <c r="X137" s="601"/>
      <c r="Y137" s="601"/>
      <c r="Z137" s="601"/>
      <c r="AA137" s="63"/>
      <c r="AB137" s="63"/>
      <c r="AC137" s="63"/>
    </row>
    <row r="138" spans="1:68" ht="27" customHeight="1" x14ac:dyDescent="0.25">
      <c r="A138" s="60" t="s">
        <v>256</v>
      </c>
      <c r="B138" s="60" t="s">
        <v>257</v>
      </c>
      <c r="C138" s="34">
        <v>4301031234</v>
      </c>
      <c r="D138" s="602">
        <v>4680115883444</v>
      </c>
      <c r="E138" s="602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4"/>
      <c r="R138" s="604"/>
      <c r="S138" s="604"/>
      <c r="T138" s="605"/>
      <c r="U138" s="37" t="s">
        <v>46</v>
      </c>
      <c r="V138" s="37" t="s">
        <v>46</v>
      </c>
      <c r="W138" s="38" t="s">
        <v>0</v>
      </c>
      <c r="X138" s="56">
        <v>35</v>
      </c>
      <c r="Y138" s="53">
        <f>IFERROR(IF(X138="",0,CEILING((X138/$H138),1)*$H138),"")</f>
        <v>36.4</v>
      </c>
      <c r="Z138" s="39">
        <f>IFERROR(IF(Y138=0,"",ROUNDUP(Y138/H138,0)*0.00651),"")</f>
        <v>8.4629999999999997E-2</v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38.35</v>
      </c>
      <c r="BN138" s="75">
        <f>IFERROR(Y138*I138/H138,"0")</f>
        <v>39.884</v>
      </c>
      <c r="BO138" s="75">
        <f>IFERROR(1/J138*(X138/H138),"0")</f>
        <v>6.8681318681318687E-2</v>
      </c>
      <c r="BP138" s="75">
        <f>IFERROR(1/J138*(Y138/H138),"0")</f>
        <v>7.1428571428571438E-2</v>
      </c>
    </row>
    <row r="139" spans="1:68" ht="27" hidden="1" customHeight="1" x14ac:dyDescent="0.25">
      <c r="A139" s="60" t="s">
        <v>256</v>
      </c>
      <c r="B139" s="60" t="s">
        <v>259</v>
      </c>
      <c r="C139" s="34">
        <v>4301031235</v>
      </c>
      <c r="D139" s="602">
        <v>4680115883444</v>
      </c>
      <c r="E139" s="602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4"/>
      <c r="R139" s="604"/>
      <c r="S139" s="604"/>
      <c r="T139" s="605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09"/>
      <c r="B140" s="609"/>
      <c r="C140" s="609"/>
      <c r="D140" s="609"/>
      <c r="E140" s="609"/>
      <c r="F140" s="609"/>
      <c r="G140" s="609"/>
      <c r="H140" s="609"/>
      <c r="I140" s="609"/>
      <c r="J140" s="609"/>
      <c r="K140" s="609"/>
      <c r="L140" s="609"/>
      <c r="M140" s="609"/>
      <c r="N140" s="609"/>
      <c r="O140" s="610"/>
      <c r="P140" s="606" t="s">
        <v>40</v>
      </c>
      <c r="Q140" s="607"/>
      <c r="R140" s="607"/>
      <c r="S140" s="607"/>
      <c r="T140" s="607"/>
      <c r="U140" s="607"/>
      <c r="V140" s="608"/>
      <c r="W140" s="40" t="s">
        <v>39</v>
      </c>
      <c r="X140" s="41">
        <f>IFERROR(X138/H138,"0")+IFERROR(X139/H139,"0")</f>
        <v>12.5</v>
      </c>
      <c r="Y140" s="41">
        <f>IFERROR(Y138/H138,"0")+IFERROR(Y139/H139,"0")</f>
        <v>13</v>
      </c>
      <c r="Z140" s="41">
        <f>IFERROR(IF(Z138="",0,Z138),"0")+IFERROR(IF(Z139="",0,Z139),"0")</f>
        <v>8.4629999999999997E-2</v>
      </c>
      <c r="AA140" s="64"/>
      <c r="AB140" s="64"/>
      <c r="AC140" s="64"/>
    </row>
    <row r="141" spans="1:68" x14ac:dyDescent="0.2">
      <c r="A141" s="609"/>
      <c r="B141" s="609"/>
      <c r="C141" s="609"/>
      <c r="D141" s="609"/>
      <c r="E141" s="609"/>
      <c r="F141" s="609"/>
      <c r="G141" s="609"/>
      <c r="H141" s="609"/>
      <c r="I141" s="609"/>
      <c r="J141" s="609"/>
      <c r="K141" s="609"/>
      <c r="L141" s="609"/>
      <c r="M141" s="609"/>
      <c r="N141" s="609"/>
      <c r="O141" s="610"/>
      <c r="P141" s="606" t="s">
        <v>40</v>
      </c>
      <c r="Q141" s="607"/>
      <c r="R141" s="607"/>
      <c r="S141" s="607"/>
      <c r="T141" s="607"/>
      <c r="U141" s="607"/>
      <c r="V141" s="608"/>
      <c r="W141" s="40" t="s">
        <v>0</v>
      </c>
      <c r="X141" s="41">
        <f>IFERROR(SUM(X138:X139),"0")</f>
        <v>35</v>
      </c>
      <c r="Y141" s="41">
        <f>IFERROR(SUM(Y138:Y139),"0")</f>
        <v>36.4</v>
      </c>
      <c r="Z141" s="40"/>
      <c r="AA141" s="64"/>
      <c r="AB141" s="64"/>
      <c r="AC141" s="64"/>
    </row>
    <row r="142" spans="1:68" ht="14.25" hidden="1" customHeight="1" x14ac:dyDescent="0.25">
      <c r="A142" s="601" t="s">
        <v>86</v>
      </c>
      <c r="B142" s="601"/>
      <c r="C142" s="601"/>
      <c r="D142" s="601"/>
      <c r="E142" s="601"/>
      <c r="F142" s="601"/>
      <c r="G142" s="601"/>
      <c r="H142" s="601"/>
      <c r="I142" s="601"/>
      <c r="J142" s="601"/>
      <c r="K142" s="601"/>
      <c r="L142" s="601"/>
      <c r="M142" s="601"/>
      <c r="N142" s="601"/>
      <c r="O142" s="601"/>
      <c r="P142" s="601"/>
      <c r="Q142" s="601"/>
      <c r="R142" s="601"/>
      <c r="S142" s="601"/>
      <c r="T142" s="601"/>
      <c r="U142" s="601"/>
      <c r="V142" s="601"/>
      <c r="W142" s="601"/>
      <c r="X142" s="601"/>
      <c r="Y142" s="601"/>
      <c r="Z142" s="601"/>
      <c r="AA142" s="63"/>
      <c r="AB142" s="63"/>
      <c r="AC142" s="63"/>
    </row>
    <row r="143" spans="1:68" ht="16.5" customHeight="1" x14ac:dyDescent="0.25">
      <c r="A143" s="60" t="s">
        <v>260</v>
      </c>
      <c r="B143" s="60" t="s">
        <v>261</v>
      </c>
      <c r="C143" s="34">
        <v>4301051476</v>
      </c>
      <c r="D143" s="602">
        <v>4680115882584</v>
      </c>
      <c r="E143" s="60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8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4"/>
      <c r="R143" s="604"/>
      <c r="S143" s="604"/>
      <c r="T143" s="605"/>
      <c r="U143" s="37" t="s">
        <v>46</v>
      </c>
      <c r="V143" s="37" t="s">
        <v>46</v>
      </c>
      <c r="W143" s="38" t="s">
        <v>0</v>
      </c>
      <c r="X143" s="56">
        <v>7</v>
      </c>
      <c r="Y143" s="53">
        <f>IFERROR(IF(X143="",0,CEILING((X143/$H143),1)*$H143),"")</f>
        <v>7.92</v>
      </c>
      <c r="Z143" s="39">
        <f>IFERROR(IF(Y143=0,"",ROUNDUP(Y143/H143,0)*0.00651),"")</f>
        <v>1.9529999999999999E-2</v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7.7106060606060591</v>
      </c>
      <c r="BN143" s="75">
        <f>IFERROR(Y143*I143/H143,"0")</f>
        <v>8.7240000000000002</v>
      </c>
      <c r="BO143" s="75">
        <f>IFERROR(1/J143*(X143/H143),"0")</f>
        <v>1.456876456876457E-2</v>
      </c>
      <c r="BP143" s="75">
        <f>IFERROR(1/J143*(Y143/H143),"0")</f>
        <v>1.6483516483516484E-2</v>
      </c>
    </row>
    <row r="144" spans="1:68" ht="16.5" hidden="1" customHeight="1" x14ac:dyDescent="0.25">
      <c r="A144" s="60" t="s">
        <v>260</v>
      </c>
      <c r="B144" s="60" t="s">
        <v>262</v>
      </c>
      <c r="C144" s="34">
        <v>4301051477</v>
      </c>
      <c r="D144" s="602">
        <v>4680115882584</v>
      </c>
      <c r="E144" s="602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81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4"/>
      <c r="R144" s="604"/>
      <c r="S144" s="604"/>
      <c r="T144" s="605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09"/>
      <c r="B145" s="609"/>
      <c r="C145" s="609"/>
      <c r="D145" s="609"/>
      <c r="E145" s="609"/>
      <c r="F145" s="609"/>
      <c r="G145" s="609"/>
      <c r="H145" s="609"/>
      <c r="I145" s="609"/>
      <c r="J145" s="609"/>
      <c r="K145" s="609"/>
      <c r="L145" s="609"/>
      <c r="M145" s="609"/>
      <c r="N145" s="609"/>
      <c r="O145" s="610"/>
      <c r="P145" s="606" t="s">
        <v>40</v>
      </c>
      <c r="Q145" s="607"/>
      <c r="R145" s="607"/>
      <c r="S145" s="607"/>
      <c r="T145" s="607"/>
      <c r="U145" s="607"/>
      <c r="V145" s="608"/>
      <c r="W145" s="40" t="s">
        <v>39</v>
      </c>
      <c r="X145" s="41">
        <f>IFERROR(X143/H143,"0")+IFERROR(X144/H144,"0")</f>
        <v>2.6515151515151514</v>
      </c>
      <c r="Y145" s="41">
        <f>IFERROR(Y143/H143,"0")+IFERROR(Y144/H144,"0")</f>
        <v>3</v>
      </c>
      <c r="Z145" s="41">
        <f>IFERROR(IF(Z143="",0,Z143),"0")+IFERROR(IF(Z144="",0,Z144),"0")</f>
        <v>1.9529999999999999E-2</v>
      </c>
      <c r="AA145" s="64"/>
      <c r="AB145" s="64"/>
      <c r="AC145" s="64"/>
    </row>
    <row r="146" spans="1:68" x14ac:dyDescent="0.2">
      <c r="A146" s="609"/>
      <c r="B146" s="609"/>
      <c r="C146" s="609"/>
      <c r="D146" s="609"/>
      <c r="E146" s="609"/>
      <c r="F146" s="609"/>
      <c r="G146" s="609"/>
      <c r="H146" s="609"/>
      <c r="I146" s="609"/>
      <c r="J146" s="609"/>
      <c r="K146" s="609"/>
      <c r="L146" s="609"/>
      <c r="M146" s="609"/>
      <c r="N146" s="609"/>
      <c r="O146" s="610"/>
      <c r="P146" s="606" t="s">
        <v>40</v>
      </c>
      <c r="Q146" s="607"/>
      <c r="R146" s="607"/>
      <c r="S146" s="607"/>
      <c r="T146" s="607"/>
      <c r="U146" s="607"/>
      <c r="V146" s="608"/>
      <c r="W146" s="40" t="s">
        <v>0</v>
      </c>
      <c r="X146" s="41">
        <f>IFERROR(SUM(X143:X144),"0")</f>
        <v>7</v>
      </c>
      <c r="Y146" s="41">
        <f>IFERROR(SUM(Y143:Y144),"0")</f>
        <v>7.92</v>
      </c>
      <c r="Z146" s="40"/>
      <c r="AA146" s="64"/>
      <c r="AB146" s="64"/>
      <c r="AC146" s="64"/>
    </row>
    <row r="147" spans="1:68" ht="16.5" hidden="1" customHeight="1" x14ac:dyDescent="0.25">
      <c r="A147" s="617" t="s">
        <v>263</v>
      </c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17"/>
      <c r="P147" s="617"/>
      <c r="Q147" s="617"/>
      <c r="R147" s="617"/>
      <c r="S147" s="617"/>
      <c r="T147" s="617"/>
      <c r="U147" s="617"/>
      <c r="V147" s="617"/>
      <c r="W147" s="617"/>
      <c r="X147" s="617"/>
      <c r="Y147" s="617"/>
      <c r="Z147" s="617"/>
      <c r="AA147" s="62"/>
      <c r="AB147" s="62"/>
      <c r="AC147" s="62"/>
    </row>
    <row r="148" spans="1:68" ht="14.25" hidden="1" customHeight="1" x14ac:dyDescent="0.25">
      <c r="A148" s="601" t="s">
        <v>86</v>
      </c>
      <c r="B148" s="601"/>
      <c r="C148" s="601"/>
      <c r="D148" s="601"/>
      <c r="E148" s="601"/>
      <c r="F148" s="601"/>
      <c r="G148" s="601"/>
      <c r="H148" s="601"/>
      <c r="I148" s="601"/>
      <c r="J148" s="601"/>
      <c r="K148" s="601"/>
      <c r="L148" s="601"/>
      <c r="M148" s="601"/>
      <c r="N148" s="601"/>
      <c r="O148" s="601"/>
      <c r="P148" s="601"/>
      <c r="Q148" s="601"/>
      <c r="R148" s="601"/>
      <c r="S148" s="601"/>
      <c r="T148" s="601"/>
      <c r="U148" s="601"/>
      <c r="V148" s="601"/>
      <c r="W148" s="601"/>
      <c r="X148" s="601"/>
      <c r="Y148" s="601"/>
      <c r="Z148" s="601"/>
      <c r="AA148" s="63"/>
      <c r="AB148" s="63"/>
      <c r="AC148" s="63"/>
    </row>
    <row r="149" spans="1:68" ht="27" hidden="1" customHeight="1" x14ac:dyDescent="0.25">
      <c r="A149" s="60" t="s">
        <v>264</v>
      </c>
      <c r="B149" s="60" t="s">
        <v>265</v>
      </c>
      <c r="C149" s="34">
        <v>4301052174</v>
      </c>
      <c r="D149" s="602">
        <v>4680115888203</v>
      </c>
      <c r="E149" s="602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0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4"/>
      <c r="R149" s="604"/>
      <c r="S149" s="604"/>
      <c r="T149" s="605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4301052172</v>
      </c>
      <c r="D150" s="602">
        <v>4680115888180</v>
      </c>
      <c r="E150" s="60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0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4"/>
      <c r="R150" s="604"/>
      <c r="S150" s="604"/>
      <c r="T150" s="605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4301052173</v>
      </c>
      <c r="D151" s="602">
        <v>4680115888197</v>
      </c>
      <c r="E151" s="602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4"/>
      <c r="R151" s="604"/>
      <c r="S151" s="604"/>
      <c r="T151" s="605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602">
        <v>4680115888210</v>
      </c>
      <c r="E152" s="602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0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4"/>
      <c r="R152" s="604"/>
      <c r="S152" s="604"/>
      <c r="T152" s="605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09"/>
      <c r="B153" s="609"/>
      <c r="C153" s="609"/>
      <c r="D153" s="609"/>
      <c r="E153" s="609"/>
      <c r="F153" s="609"/>
      <c r="G153" s="609"/>
      <c r="H153" s="609"/>
      <c r="I153" s="609"/>
      <c r="J153" s="609"/>
      <c r="K153" s="609"/>
      <c r="L153" s="609"/>
      <c r="M153" s="609"/>
      <c r="N153" s="609"/>
      <c r="O153" s="610"/>
      <c r="P153" s="606" t="s">
        <v>40</v>
      </c>
      <c r="Q153" s="607"/>
      <c r="R153" s="607"/>
      <c r="S153" s="607"/>
      <c r="T153" s="607"/>
      <c r="U153" s="607"/>
      <c r="V153" s="608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09"/>
      <c r="B154" s="609"/>
      <c r="C154" s="609"/>
      <c r="D154" s="609"/>
      <c r="E154" s="609"/>
      <c r="F154" s="609"/>
      <c r="G154" s="609"/>
      <c r="H154" s="609"/>
      <c r="I154" s="609"/>
      <c r="J154" s="609"/>
      <c r="K154" s="609"/>
      <c r="L154" s="609"/>
      <c r="M154" s="609"/>
      <c r="N154" s="609"/>
      <c r="O154" s="610"/>
      <c r="P154" s="606" t="s">
        <v>40</v>
      </c>
      <c r="Q154" s="607"/>
      <c r="R154" s="607"/>
      <c r="S154" s="607"/>
      <c r="T154" s="607"/>
      <c r="U154" s="607"/>
      <c r="V154" s="608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17" t="s">
        <v>126</v>
      </c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17"/>
      <c r="P155" s="617"/>
      <c r="Q155" s="617"/>
      <c r="R155" s="617"/>
      <c r="S155" s="617"/>
      <c r="T155" s="617"/>
      <c r="U155" s="617"/>
      <c r="V155" s="617"/>
      <c r="W155" s="617"/>
      <c r="X155" s="617"/>
      <c r="Y155" s="617"/>
      <c r="Z155" s="617"/>
      <c r="AA155" s="62"/>
      <c r="AB155" s="62"/>
      <c r="AC155" s="62"/>
    </row>
    <row r="156" spans="1:68" ht="14.25" hidden="1" customHeight="1" x14ac:dyDescent="0.25">
      <c r="A156" s="601" t="s">
        <v>128</v>
      </c>
      <c r="B156" s="601"/>
      <c r="C156" s="601"/>
      <c r="D156" s="601"/>
      <c r="E156" s="601"/>
      <c r="F156" s="601"/>
      <c r="G156" s="601"/>
      <c r="H156" s="601"/>
      <c r="I156" s="601"/>
      <c r="J156" s="601"/>
      <c r="K156" s="601"/>
      <c r="L156" s="601"/>
      <c r="M156" s="601"/>
      <c r="N156" s="601"/>
      <c r="O156" s="601"/>
      <c r="P156" s="601"/>
      <c r="Q156" s="601"/>
      <c r="R156" s="601"/>
      <c r="S156" s="601"/>
      <c r="T156" s="601"/>
      <c r="U156" s="601"/>
      <c r="V156" s="601"/>
      <c r="W156" s="601"/>
      <c r="X156" s="601"/>
      <c r="Y156" s="601"/>
      <c r="Z156" s="601"/>
      <c r="AA156" s="63"/>
      <c r="AB156" s="63"/>
      <c r="AC156" s="63"/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02">
        <v>4680115887374</v>
      </c>
      <c r="E157" s="602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8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4"/>
      <c r="R157" s="604"/>
      <c r="S157" s="604"/>
      <c r="T157" s="605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02">
        <v>4607091384604</v>
      </c>
      <c r="E158" s="602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80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4"/>
      <c r="R158" s="604"/>
      <c r="S158" s="604"/>
      <c r="T158" s="605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09"/>
      <c r="B159" s="609"/>
      <c r="C159" s="609"/>
      <c r="D159" s="609"/>
      <c r="E159" s="609"/>
      <c r="F159" s="609"/>
      <c r="G159" s="609"/>
      <c r="H159" s="609"/>
      <c r="I159" s="609"/>
      <c r="J159" s="609"/>
      <c r="K159" s="609"/>
      <c r="L159" s="609"/>
      <c r="M159" s="609"/>
      <c r="N159" s="609"/>
      <c r="O159" s="610"/>
      <c r="P159" s="606" t="s">
        <v>40</v>
      </c>
      <c r="Q159" s="607"/>
      <c r="R159" s="607"/>
      <c r="S159" s="607"/>
      <c r="T159" s="607"/>
      <c r="U159" s="607"/>
      <c r="V159" s="608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609"/>
      <c r="B160" s="609"/>
      <c r="C160" s="609"/>
      <c r="D160" s="609"/>
      <c r="E160" s="609"/>
      <c r="F160" s="609"/>
      <c r="G160" s="609"/>
      <c r="H160" s="609"/>
      <c r="I160" s="609"/>
      <c r="J160" s="609"/>
      <c r="K160" s="609"/>
      <c r="L160" s="609"/>
      <c r="M160" s="609"/>
      <c r="N160" s="609"/>
      <c r="O160" s="610"/>
      <c r="P160" s="606" t="s">
        <v>40</v>
      </c>
      <c r="Q160" s="607"/>
      <c r="R160" s="607"/>
      <c r="S160" s="607"/>
      <c r="T160" s="607"/>
      <c r="U160" s="607"/>
      <c r="V160" s="608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01" t="s">
        <v>163</v>
      </c>
      <c r="B161" s="601"/>
      <c r="C161" s="601"/>
      <c r="D161" s="601"/>
      <c r="E161" s="601"/>
      <c r="F161" s="601"/>
      <c r="G161" s="601"/>
      <c r="H161" s="601"/>
      <c r="I161" s="601"/>
      <c r="J161" s="601"/>
      <c r="K161" s="601"/>
      <c r="L161" s="601"/>
      <c r="M161" s="601"/>
      <c r="N161" s="601"/>
      <c r="O161" s="601"/>
      <c r="P161" s="601"/>
      <c r="Q161" s="601"/>
      <c r="R161" s="601"/>
      <c r="S161" s="601"/>
      <c r="T161" s="601"/>
      <c r="U161" s="601"/>
      <c r="V161" s="601"/>
      <c r="W161" s="601"/>
      <c r="X161" s="601"/>
      <c r="Y161" s="601"/>
      <c r="Z161" s="601"/>
      <c r="AA161" s="63"/>
      <c r="AB161" s="63"/>
      <c r="AC161" s="63"/>
    </row>
    <row r="162" spans="1:68" ht="16.5" hidden="1" customHeight="1" x14ac:dyDescent="0.25">
      <c r="A162" s="60" t="s">
        <v>282</v>
      </c>
      <c r="B162" s="60" t="s">
        <v>283</v>
      </c>
      <c r="C162" s="34">
        <v>4301020410</v>
      </c>
      <c r="D162" s="602">
        <v>4680115887695</v>
      </c>
      <c r="E162" s="602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80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4"/>
      <c r="R162" s="604"/>
      <c r="S162" s="604"/>
      <c r="T162" s="605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09"/>
      <c r="B163" s="609"/>
      <c r="C163" s="609"/>
      <c r="D163" s="609"/>
      <c r="E163" s="609"/>
      <c r="F163" s="609"/>
      <c r="G163" s="609"/>
      <c r="H163" s="609"/>
      <c r="I163" s="609"/>
      <c r="J163" s="609"/>
      <c r="K163" s="609"/>
      <c r="L163" s="609"/>
      <c r="M163" s="609"/>
      <c r="N163" s="609"/>
      <c r="O163" s="610"/>
      <c r="P163" s="606" t="s">
        <v>40</v>
      </c>
      <c r="Q163" s="607"/>
      <c r="R163" s="607"/>
      <c r="S163" s="607"/>
      <c r="T163" s="607"/>
      <c r="U163" s="607"/>
      <c r="V163" s="608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09"/>
      <c r="B164" s="609"/>
      <c r="C164" s="609"/>
      <c r="D164" s="609"/>
      <c r="E164" s="609"/>
      <c r="F164" s="609"/>
      <c r="G164" s="609"/>
      <c r="H164" s="609"/>
      <c r="I164" s="609"/>
      <c r="J164" s="609"/>
      <c r="K164" s="609"/>
      <c r="L164" s="609"/>
      <c r="M164" s="609"/>
      <c r="N164" s="609"/>
      <c r="O164" s="610"/>
      <c r="P164" s="606" t="s">
        <v>40</v>
      </c>
      <c r="Q164" s="607"/>
      <c r="R164" s="607"/>
      <c r="S164" s="607"/>
      <c r="T164" s="607"/>
      <c r="U164" s="607"/>
      <c r="V164" s="608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01" t="s">
        <v>77</v>
      </c>
      <c r="B165" s="601"/>
      <c r="C165" s="601"/>
      <c r="D165" s="601"/>
      <c r="E165" s="601"/>
      <c r="F165" s="601"/>
      <c r="G165" s="601"/>
      <c r="H165" s="601"/>
      <c r="I165" s="601"/>
      <c r="J165" s="601"/>
      <c r="K165" s="601"/>
      <c r="L165" s="601"/>
      <c r="M165" s="601"/>
      <c r="N165" s="601"/>
      <c r="O165" s="601"/>
      <c r="P165" s="601"/>
      <c r="Q165" s="601"/>
      <c r="R165" s="601"/>
      <c r="S165" s="601"/>
      <c r="T165" s="601"/>
      <c r="U165" s="601"/>
      <c r="V165" s="601"/>
      <c r="W165" s="601"/>
      <c r="X165" s="601"/>
      <c r="Y165" s="601"/>
      <c r="Z165" s="601"/>
      <c r="AA165" s="63"/>
      <c r="AB165" s="63"/>
      <c r="AC165" s="63"/>
    </row>
    <row r="166" spans="1:68" ht="27" customHeight="1" x14ac:dyDescent="0.25">
      <c r="A166" s="60" t="s">
        <v>285</v>
      </c>
      <c r="B166" s="60" t="s">
        <v>286</v>
      </c>
      <c r="C166" s="34">
        <v>4301031496</v>
      </c>
      <c r="D166" s="602">
        <v>4680115887428</v>
      </c>
      <c r="E166" s="602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4"/>
      <c r="R166" s="604"/>
      <c r="S166" s="604"/>
      <c r="T166" s="605"/>
      <c r="U166" s="37" t="s">
        <v>46</v>
      </c>
      <c r="V166" s="37" t="s">
        <v>46</v>
      </c>
      <c r="W166" s="38" t="s">
        <v>0</v>
      </c>
      <c r="X166" s="56">
        <v>20</v>
      </c>
      <c r="Y166" s="53">
        <f t="shared" ref="Y166:Y175" si="21">IFERROR(IF(X166="",0,CEILING((X166/$H166),1)*$H166),"")</f>
        <v>21</v>
      </c>
      <c r="Z166" s="39">
        <f>IFERROR(IF(Y166=0,"",ROUNDUP(Y166/H166,0)*0.00902),"")</f>
        <v>5.4120000000000001E-2</v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21.085714285714285</v>
      </c>
      <c r="BN166" s="75">
        <f t="shared" ref="BN166:BN175" si="23">IFERROR(Y166*I166/H166,"0")</f>
        <v>22.139999999999997</v>
      </c>
      <c r="BO166" s="75">
        <f t="shared" ref="BO166:BO175" si="24">IFERROR(1/J166*(X166/H166),"0")</f>
        <v>4.3290043290043295E-2</v>
      </c>
      <c r="BP166" s="75">
        <f t="shared" ref="BP166:BP175" si="25">IFERROR(1/J166*(Y166/H166),"0")</f>
        <v>4.5454545454545456E-2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02">
        <v>4607091382426</v>
      </c>
      <c r="E167" s="602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4"/>
      <c r="R167" s="604"/>
      <c r="S167" s="604"/>
      <c r="T167" s="605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hidden="1" customHeight="1" x14ac:dyDescent="0.25">
      <c r="A168" s="60" t="s">
        <v>291</v>
      </c>
      <c r="B168" s="60" t="s">
        <v>292</v>
      </c>
      <c r="C168" s="34">
        <v>4301031498</v>
      </c>
      <c r="D168" s="602">
        <v>4680115887398</v>
      </c>
      <c r="E168" s="602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4"/>
      <c r="R168" s="604"/>
      <c r="S168" s="604"/>
      <c r="T168" s="605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customHeight="1" x14ac:dyDescent="0.25">
      <c r="A169" s="60" t="s">
        <v>294</v>
      </c>
      <c r="B169" s="60" t="s">
        <v>295</v>
      </c>
      <c r="C169" s="34">
        <v>4301031497</v>
      </c>
      <c r="D169" s="602">
        <v>4680115887336</v>
      </c>
      <c r="E169" s="602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4"/>
      <c r="R169" s="604"/>
      <c r="S169" s="604"/>
      <c r="T169" s="605"/>
      <c r="U169" s="37" t="s">
        <v>46</v>
      </c>
      <c r="V169" s="37" t="s">
        <v>46</v>
      </c>
      <c r="W169" s="38" t="s">
        <v>0</v>
      </c>
      <c r="X169" s="56">
        <v>30</v>
      </c>
      <c r="Y169" s="53">
        <f t="shared" si="21"/>
        <v>31.5</v>
      </c>
      <c r="Z169" s="39">
        <f>IFERROR(IF(Y169=0,"",ROUNDUP(Y169/H169,0)*0.00902),"")</f>
        <v>8.1180000000000002E-2</v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31.62857142857143</v>
      </c>
      <c r="BN169" s="75">
        <f t="shared" si="23"/>
        <v>33.21</v>
      </c>
      <c r="BO169" s="75">
        <f t="shared" si="24"/>
        <v>6.4935064935064929E-2</v>
      </c>
      <c r="BP169" s="75">
        <f t="shared" si="25"/>
        <v>6.8181818181818177E-2</v>
      </c>
    </row>
    <row r="170" spans="1:68" ht="16.5" hidden="1" customHeight="1" x14ac:dyDescent="0.25">
      <c r="A170" s="60" t="s">
        <v>297</v>
      </c>
      <c r="B170" s="60" t="s">
        <v>298</v>
      </c>
      <c r="C170" s="34">
        <v>4301032049</v>
      </c>
      <c r="D170" s="602">
        <v>4680115887787</v>
      </c>
      <c r="E170" s="602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4"/>
      <c r="R170" s="604"/>
      <c r="S170" s="604"/>
      <c r="T170" s="605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hidden="1" customHeight="1" x14ac:dyDescent="0.25">
      <c r="A171" s="60" t="s">
        <v>300</v>
      </c>
      <c r="B171" s="60" t="s">
        <v>301</v>
      </c>
      <c r="C171" s="34">
        <v>4301031448</v>
      </c>
      <c r="D171" s="602">
        <v>4680115887503</v>
      </c>
      <c r="E171" s="602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4"/>
      <c r="R171" s="604"/>
      <c r="S171" s="604"/>
      <c r="T171" s="605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21"/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hidden="1" customHeight="1" x14ac:dyDescent="0.25">
      <c r="A172" s="60" t="s">
        <v>302</v>
      </c>
      <c r="B172" s="60" t="s">
        <v>303</v>
      </c>
      <c r="C172" s="34">
        <v>4301031389</v>
      </c>
      <c r="D172" s="602">
        <v>4680115887763</v>
      </c>
      <c r="E172" s="602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9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4"/>
      <c r="R172" s="604"/>
      <c r="S172" s="604"/>
      <c r="T172" s="605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hidden="1" customHeight="1" x14ac:dyDescent="0.25">
      <c r="A173" s="60" t="s">
        <v>305</v>
      </c>
      <c r="B173" s="60" t="s">
        <v>306</v>
      </c>
      <c r="C173" s="34">
        <v>4301031454</v>
      </c>
      <c r="D173" s="602">
        <v>4680115887480</v>
      </c>
      <c r="E173" s="602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9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4"/>
      <c r="R173" s="604"/>
      <c r="S173" s="604"/>
      <c r="T173" s="605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307</v>
      </c>
      <c r="B174" s="60" t="s">
        <v>308</v>
      </c>
      <c r="C174" s="34">
        <v>4301031434</v>
      </c>
      <c r="D174" s="602">
        <v>4680115888067</v>
      </c>
      <c r="E174" s="602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9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4"/>
      <c r="R174" s="604"/>
      <c r="S174" s="604"/>
      <c r="T174" s="605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310</v>
      </c>
      <c r="B175" s="60" t="s">
        <v>311</v>
      </c>
      <c r="C175" s="34">
        <v>4301031451</v>
      </c>
      <c r="D175" s="602">
        <v>4680115887435</v>
      </c>
      <c r="E175" s="602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9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4"/>
      <c r="R175" s="604"/>
      <c r="S175" s="604"/>
      <c r="T175" s="605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x14ac:dyDescent="0.2">
      <c r="A176" s="609"/>
      <c r="B176" s="609"/>
      <c r="C176" s="609"/>
      <c r="D176" s="609"/>
      <c r="E176" s="609"/>
      <c r="F176" s="609"/>
      <c r="G176" s="609"/>
      <c r="H176" s="609"/>
      <c r="I176" s="609"/>
      <c r="J176" s="609"/>
      <c r="K176" s="609"/>
      <c r="L176" s="609"/>
      <c r="M176" s="609"/>
      <c r="N176" s="609"/>
      <c r="O176" s="610"/>
      <c r="P176" s="606" t="s">
        <v>40</v>
      </c>
      <c r="Q176" s="607"/>
      <c r="R176" s="607"/>
      <c r="S176" s="607"/>
      <c r="T176" s="607"/>
      <c r="U176" s="607"/>
      <c r="V176" s="608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14.285714285714285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15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0.1353</v>
      </c>
      <c r="AA176" s="64"/>
      <c r="AB176" s="64"/>
      <c r="AC176" s="64"/>
    </row>
    <row r="177" spans="1:68" x14ac:dyDescent="0.2">
      <c r="A177" s="609"/>
      <c r="B177" s="609"/>
      <c r="C177" s="609"/>
      <c r="D177" s="609"/>
      <c r="E177" s="609"/>
      <c r="F177" s="609"/>
      <c r="G177" s="609"/>
      <c r="H177" s="609"/>
      <c r="I177" s="609"/>
      <c r="J177" s="609"/>
      <c r="K177" s="609"/>
      <c r="L177" s="609"/>
      <c r="M177" s="609"/>
      <c r="N177" s="609"/>
      <c r="O177" s="610"/>
      <c r="P177" s="606" t="s">
        <v>40</v>
      </c>
      <c r="Q177" s="607"/>
      <c r="R177" s="607"/>
      <c r="S177" s="607"/>
      <c r="T177" s="607"/>
      <c r="U177" s="607"/>
      <c r="V177" s="608"/>
      <c r="W177" s="40" t="s">
        <v>0</v>
      </c>
      <c r="X177" s="41">
        <f>IFERROR(SUM(X166:X175),"0")</f>
        <v>50</v>
      </c>
      <c r="Y177" s="41">
        <f>IFERROR(SUM(Y166:Y175),"0")</f>
        <v>52.5</v>
      </c>
      <c r="Z177" s="40"/>
      <c r="AA177" s="64"/>
      <c r="AB177" s="64"/>
      <c r="AC177" s="64"/>
    </row>
    <row r="178" spans="1:68" ht="14.25" hidden="1" customHeight="1" x14ac:dyDescent="0.25">
      <c r="A178" s="601" t="s">
        <v>86</v>
      </c>
      <c r="B178" s="601"/>
      <c r="C178" s="601"/>
      <c r="D178" s="601"/>
      <c r="E178" s="601"/>
      <c r="F178" s="601"/>
      <c r="G178" s="601"/>
      <c r="H178" s="601"/>
      <c r="I178" s="601"/>
      <c r="J178" s="601"/>
      <c r="K178" s="601"/>
      <c r="L178" s="601"/>
      <c r="M178" s="601"/>
      <c r="N178" s="601"/>
      <c r="O178" s="601"/>
      <c r="P178" s="601"/>
      <c r="Q178" s="601"/>
      <c r="R178" s="601"/>
      <c r="S178" s="601"/>
      <c r="T178" s="601"/>
      <c r="U178" s="601"/>
      <c r="V178" s="601"/>
      <c r="W178" s="601"/>
      <c r="X178" s="601"/>
      <c r="Y178" s="601"/>
      <c r="Z178" s="601"/>
      <c r="AA178" s="63"/>
      <c r="AB178" s="63"/>
      <c r="AC178" s="63"/>
    </row>
    <row r="179" spans="1:68" ht="16.5" hidden="1" customHeight="1" x14ac:dyDescent="0.25">
      <c r="A179" s="60" t="s">
        <v>312</v>
      </c>
      <c r="B179" s="60" t="s">
        <v>313</v>
      </c>
      <c r="C179" s="34">
        <v>4301052193</v>
      </c>
      <c r="D179" s="602">
        <v>4680115888395</v>
      </c>
      <c r="E179" s="602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9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4"/>
      <c r="R179" s="604"/>
      <c r="S179" s="604"/>
      <c r="T179" s="605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315</v>
      </c>
      <c r="B180" s="60" t="s">
        <v>316</v>
      </c>
      <c r="C180" s="34">
        <v>4301052191</v>
      </c>
      <c r="D180" s="602">
        <v>4680115888371</v>
      </c>
      <c r="E180" s="602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9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4"/>
      <c r="R180" s="604"/>
      <c r="S180" s="604"/>
      <c r="T180" s="605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318</v>
      </c>
      <c r="B181" s="60" t="s">
        <v>319</v>
      </c>
      <c r="C181" s="34">
        <v>4301052064</v>
      </c>
      <c r="D181" s="602">
        <v>4680115887459</v>
      </c>
      <c r="E181" s="602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9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4"/>
      <c r="R181" s="604"/>
      <c r="S181" s="604"/>
      <c r="T181" s="605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09"/>
      <c r="B182" s="609"/>
      <c r="C182" s="609"/>
      <c r="D182" s="609"/>
      <c r="E182" s="609"/>
      <c r="F182" s="609"/>
      <c r="G182" s="609"/>
      <c r="H182" s="609"/>
      <c r="I182" s="609"/>
      <c r="J182" s="609"/>
      <c r="K182" s="609"/>
      <c r="L182" s="609"/>
      <c r="M182" s="609"/>
      <c r="N182" s="609"/>
      <c r="O182" s="610"/>
      <c r="P182" s="606" t="s">
        <v>40</v>
      </c>
      <c r="Q182" s="607"/>
      <c r="R182" s="607"/>
      <c r="S182" s="607"/>
      <c r="T182" s="607"/>
      <c r="U182" s="607"/>
      <c r="V182" s="608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609"/>
      <c r="B183" s="609"/>
      <c r="C183" s="609"/>
      <c r="D183" s="609"/>
      <c r="E183" s="609"/>
      <c r="F183" s="609"/>
      <c r="G183" s="609"/>
      <c r="H183" s="609"/>
      <c r="I183" s="609"/>
      <c r="J183" s="609"/>
      <c r="K183" s="609"/>
      <c r="L183" s="609"/>
      <c r="M183" s="609"/>
      <c r="N183" s="609"/>
      <c r="O183" s="610"/>
      <c r="P183" s="606" t="s">
        <v>40</v>
      </c>
      <c r="Q183" s="607"/>
      <c r="R183" s="607"/>
      <c r="S183" s="607"/>
      <c r="T183" s="607"/>
      <c r="U183" s="607"/>
      <c r="V183" s="608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601" t="s">
        <v>107</v>
      </c>
      <c r="B184" s="601"/>
      <c r="C184" s="601"/>
      <c r="D184" s="601"/>
      <c r="E184" s="601"/>
      <c r="F184" s="601"/>
      <c r="G184" s="601"/>
      <c r="H184" s="601"/>
      <c r="I184" s="601"/>
      <c r="J184" s="601"/>
      <c r="K184" s="601"/>
      <c r="L184" s="601"/>
      <c r="M184" s="601"/>
      <c r="N184" s="601"/>
      <c r="O184" s="601"/>
      <c r="P184" s="601"/>
      <c r="Q184" s="601"/>
      <c r="R184" s="601"/>
      <c r="S184" s="601"/>
      <c r="T184" s="601"/>
      <c r="U184" s="601"/>
      <c r="V184" s="601"/>
      <c r="W184" s="601"/>
      <c r="X184" s="601"/>
      <c r="Y184" s="601"/>
      <c r="Z184" s="601"/>
      <c r="AA184" s="63"/>
      <c r="AB184" s="63"/>
      <c r="AC184" s="63"/>
    </row>
    <row r="185" spans="1:68" ht="16.5" hidden="1" customHeight="1" x14ac:dyDescent="0.25">
      <c r="A185" s="60" t="s">
        <v>321</v>
      </c>
      <c r="B185" s="60" t="s">
        <v>322</v>
      </c>
      <c r="C185" s="34">
        <v>4301032058</v>
      </c>
      <c r="D185" s="602">
        <v>4680115889026</v>
      </c>
      <c r="E185" s="602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4"/>
      <c r="R185" s="604"/>
      <c r="S185" s="604"/>
      <c r="T185" s="605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4301032057</v>
      </c>
      <c r="D186" s="602">
        <v>4680115889088</v>
      </c>
      <c r="E186" s="602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8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4"/>
      <c r="R186" s="604"/>
      <c r="S186" s="604"/>
      <c r="T186" s="605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09"/>
      <c r="B187" s="609"/>
      <c r="C187" s="609"/>
      <c r="D187" s="609"/>
      <c r="E187" s="609"/>
      <c r="F187" s="609"/>
      <c r="G187" s="609"/>
      <c r="H187" s="609"/>
      <c r="I187" s="609"/>
      <c r="J187" s="609"/>
      <c r="K187" s="609"/>
      <c r="L187" s="609"/>
      <c r="M187" s="609"/>
      <c r="N187" s="609"/>
      <c r="O187" s="610"/>
      <c r="P187" s="606" t="s">
        <v>40</v>
      </c>
      <c r="Q187" s="607"/>
      <c r="R187" s="607"/>
      <c r="S187" s="607"/>
      <c r="T187" s="607"/>
      <c r="U187" s="607"/>
      <c r="V187" s="608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09"/>
      <c r="B188" s="609"/>
      <c r="C188" s="609"/>
      <c r="D188" s="609"/>
      <c r="E188" s="609"/>
      <c r="F188" s="609"/>
      <c r="G188" s="609"/>
      <c r="H188" s="609"/>
      <c r="I188" s="609"/>
      <c r="J188" s="609"/>
      <c r="K188" s="609"/>
      <c r="L188" s="609"/>
      <c r="M188" s="609"/>
      <c r="N188" s="609"/>
      <c r="O188" s="610"/>
      <c r="P188" s="606" t="s">
        <v>40</v>
      </c>
      <c r="Q188" s="607"/>
      <c r="R188" s="607"/>
      <c r="S188" s="607"/>
      <c r="T188" s="607"/>
      <c r="U188" s="607"/>
      <c r="V188" s="608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01" t="s">
        <v>329</v>
      </c>
      <c r="B189" s="601"/>
      <c r="C189" s="601"/>
      <c r="D189" s="601"/>
      <c r="E189" s="601"/>
      <c r="F189" s="601"/>
      <c r="G189" s="601"/>
      <c r="H189" s="601"/>
      <c r="I189" s="601"/>
      <c r="J189" s="601"/>
      <c r="K189" s="601"/>
      <c r="L189" s="601"/>
      <c r="M189" s="601"/>
      <c r="N189" s="601"/>
      <c r="O189" s="601"/>
      <c r="P189" s="601"/>
      <c r="Q189" s="601"/>
      <c r="R189" s="601"/>
      <c r="S189" s="601"/>
      <c r="T189" s="601"/>
      <c r="U189" s="601"/>
      <c r="V189" s="601"/>
      <c r="W189" s="601"/>
      <c r="X189" s="601"/>
      <c r="Y189" s="601"/>
      <c r="Z189" s="601"/>
      <c r="AA189" s="63"/>
      <c r="AB189" s="63"/>
      <c r="AC189" s="63"/>
    </row>
    <row r="190" spans="1:68" ht="27" hidden="1" customHeight="1" x14ac:dyDescent="0.25">
      <c r="A190" s="60" t="s">
        <v>330</v>
      </c>
      <c r="B190" s="60" t="s">
        <v>331</v>
      </c>
      <c r="C190" s="34">
        <v>4301041009</v>
      </c>
      <c r="D190" s="602">
        <v>4680115889033</v>
      </c>
      <c r="E190" s="602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4"/>
      <c r="R190" s="604"/>
      <c r="S190" s="604"/>
      <c r="T190" s="605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09"/>
      <c r="B191" s="609"/>
      <c r="C191" s="609"/>
      <c r="D191" s="609"/>
      <c r="E191" s="609"/>
      <c r="F191" s="609"/>
      <c r="G191" s="609"/>
      <c r="H191" s="609"/>
      <c r="I191" s="609"/>
      <c r="J191" s="609"/>
      <c r="K191" s="609"/>
      <c r="L191" s="609"/>
      <c r="M191" s="609"/>
      <c r="N191" s="609"/>
      <c r="O191" s="610"/>
      <c r="P191" s="606" t="s">
        <v>40</v>
      </c>
      <c r="Q191" s="607"/>
      <c r="R191" s="607"/>
      <c r="S191" s="607"/>
      <c r="T191" s="607"/>
      <c r="U191" s="607"/>
      <c r="V191" s="608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09"/>
      <c r="B192" s="609"/>
      <c r="C192" s="609"/>
      <c r="D192" s="609"/>
      <c r="E192" s="609"/>
      <c r="F192" s="609"/>
      <c r="G192" s="609"/>
      <c r="H192" s="609"/>
      <c r="I192" s="609"/>
      <c r="J192" s="609"/>
      <c r="K192" s="609"/>
      <c r="L192" s="609"/>
      <c r="M192" s="609"/>
      <c r="N192" s="609"/>
      <c r="O192" s="610"/>
      <c r="P192" s="606" t="s">
        <v>40</v>
      </c>
      <c r="Q192" s="607"/>
      <c r="R192" s="607"/>
      <c r="S192" s="607"/>
      <c r="T192" s="607"/>
      <c r="U192" s="607"/>
      <c r="V192" s="608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622" t="s">
        <v>333</v>
      </c>
      <c r="B193" s="622"/>
      <c r="C193" s="622"/>
      <c r="D193" s="622"/>
      <c r="E193" s="622"/>
      <c r="F193" s="622"/>
      <c r="G193" s="622"/>
      <c r="H193" s="622"/>
      <c r="I193" s="622"/>
      <c r="J193" s="622"/>
      <c r="K193" s="622"/>
      <c r="L193" s="622"/>
      <c r="M193" s="622"/>
      <c r="N193" s="622"/>
      <c r="O193" s="622"/>
      <c r="P193" s="622"/>
      <c r="Q193" s="622"/>
      <c r="R193" s="622"/>
      <c r="S193" s="622"/>
      <c r="T193" s="622"/>
      <c r="U193" s="622"/>
      <c r="V193" s="622"/>
      <c r="W193" s="622"/>
      <c r="X193" s="622"/>
      <c r="Y193" s="622"/>
      <c r="Z193" s="622"/>
      <c r="AA193" s="52"/>
      <c r="AB193" s="52"/>
      <c r="AC193" s="52"/>
    </row>
    <row r="194" spans="1:68" ht="16.5" hidden="1" customHeight="1" x14ac:dyDescent="0.25">
      <c r="A194" s="617" t="s">
        <v>334</v>
      </c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17"/>
      <c r="P194" s="617"/>
      <c r="Q194" s="617"/>
      <c r="R194" s="617"/>
      <c r="S194" s="617"/>
      <c r="T194" s="617"/>
      <c r="U194" s="617"/>
      <c r="V194" s="617"/>
      <c r="W194" s="617"/>
      <c r="X194" s="617"/>
      <c r="Y194" s="617"/>
      <c r="Z194" s="617"/>
      <c r="AA194" s="62"/>
      <c r="AB194" s="62"/>
      <c r="AC194" s="62"/>
    </row>
    <row r="195" spans="1:68" ht="14.25" hidden="1" customHeight="1" x14ac:dyDescent="0.25">
      <c r="A195" s="601" t="s">
        <v>128</v>
      </c>
      <c r="B195" s="601"/>
      <c r="C195" s="601"/>
      <c r="D195" s="601"/>
      <c r="E195" s="601"/>
      <c r="F195" s="601"/>
      <c r="G195" s="601"/>
      <c r="H195" s="601"/>
      <c r="I195" s="601"/>
      <c r="J195" s="601"/>
      <c r="K195" s="601"/>
      <c r="L195" s="601"/>
      <c r="M195" s="601"/>
      <c r="N195" s="601"/>
      <c r="O195" s="601"/>
      <c r="P195" s="601"/>
      <c r="Q195" s="601"/>
      <c r="R195" s="601"/>
      <c r="S195" s="601"/>
      <c r="T195" s="601"/>
      <c r="U195" s="601"/>
      <c r="V195" s="601"/>
      <c r="W195" s="601"/>
      <c r="X195" s="601"/>
      <c r="Y195" s="601"/>
      <c r="Z195" s="601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4301011223</v>
      </c>
      <c r="D196" s="602">
        <v>4607091383423</v>
      </c>
      <c r="E196" s="602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8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4"/>
      <c r="R196" s="604"/>
      <c r="S196" s="604"/>
      <c r="T196" s="605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337</v>
      </c>
      <c r="B197" s="60" t="s">
        <v>338</v>
      </c>
      <c r="C197" s="34">
        <v>4301012199</v>
      </c>
      <c r="D197" s="602">
        <v>4680115886957</v>
      </c>
      <c r="E197" s="602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8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4"/>
      <c r="R197" s="604"/>
      <c r="S197" s="604"/>
      <c r="T197" s="605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340</v>
      </c>
      <c r="B198" s="60" t="s">
        <v>341</v>
      </c>
      <c r="C198" s="34">
        <v>4301012098</v>
      </c>
      <c r="D198" s="602">
        <v>4680115885660</v>
      </c>
      <c r="E198" s="602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8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4"/>
      <c r="R198" s="604"/>
      <c r="S198" s="604"/>
      <c r="T198" s="605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343</v>
      </c>
      <c r="B199" s="60" t="s">
        <v>344</v>
      </c>
      <c r="C199" s="34">
        <v>4301012176</v>
      </c>
      <c r="D199" s="602">
        <v>4680115886773</v>
      </c>
      <c r="E199" s="602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85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4"/>
      <c r="R199" s="604"/>
      <c r="S199" s="604"/>
      <c r="T199" s="605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09"/>
      <c r="B200" s="609"/>
      <c r="C200" s="609"/>
      <c r="D200" s="609"/>
      <c r="E200" s="609"/>
      <c r="F200" s="609"/>
      <c r="G200" s="609"/>
      <c r="H200" s="609"/>
      <c r="I200" s="609"/>
      <c r="J200" s="609"/>
      <c r="K200" s="609"/>
      <c r="L200" s="609"/>
      <c r="M200" s="609"/>
      <c r="N200" s="609"/>
      <c r="O200" s="610"/>
      <c r="P200" s="606" t="s">
        <v>40</v>
      </c>
      <c r="Q200" s="607"/>
      <c r="R200" s="607"/>
      <c r="S200" s="607"/>
      <c r="T200" s="607"/>
      <c r="U200" s="607"/>
      <c r="V200" s="608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09"/>
      <c r="B201" s="609"/>
      <c r="C201" s="609"/>
      <c r="D201" s="609"/>
      <c r="E201" s="609"/>
      <c r="F201" s="609"/>
      <c r="G201" s="609"/>
      <c r="H201" s="609"/>
      <c r="I201" s="609"/>
      <c r="J201" s="609"/>
      <c r="K201" s="609"/>
      <c r="L201" s="609"/>
      <c r="M201" s="609"/>
      <c r="N201" s="609"/>
      <c r="O201" s="610"/>
      <c r="P201" s="606" t="s">
        <v>40</v>
      </c>
      <c r="Q201" s="607"/>
      <c r="R201" s="607"/>
      <c r="S201" s="607"/>
      <c r="T201" s="607"/>
      <c r="U201" s="607"/>
      <c r="V201" s="608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17" t="s">
        <v>346</v>
      </c>
      <c r="B202" s="617"/>
      <c r="C202" s="617"/>
      <c r="D202" s="617"/>
      <c r="E202" s="617"/>
      <c r="F202" s="617"/>
      <c r="G202" s="617"/>
      <c r="H202" s="617"/>
      <c r="I202" s="617"/>
      <c r="J202" s="617"/>
      <c r="K202" s="617"/>
      <c r="L202" s="617"/>
      <c r="M202" s="617"/>
      <c r="N202" s="617"/>
      <c r="O202" s="617"/>
      <c r="P202" s="617"/>
      <c r="Q202" s="617"/>
      <c r="R202" s="617"/>
      <c r="S202" s="617"/>
      <c r="T202" s="617"/>
      <c r="U202" s="617"/>
      <c r="V202" s="617"/>
      <c r="W202" s="617"/>
      <c r="X202" s="617"/>
      <c r="Y202" s="617"/>
      <c r="Z202" s="617"/>
      <c r="AA202" s="62"/>
      <c r="AB202" s="62"/>
      <c r="AC202" s="62"/>
    </row>
    <row r="203" spans="1:68" ht="14.25" hidden="1" customHeight="1" x14ac:dyDescent="0.25">
      <c r="A203" s="601" t="s">
        <v>163</v>
      </c>
      <c r="B203" s="601"/>
      <c r="C203" s="601"/>
      <c r="D203" s="601"/>
      <c r="E203" s="601"/>
      <c r="F203" s="601"/>
      <c r="G203" s="601"/>
      <c r="H203" s="601"/>
      <c r="I203" s="601"/>
      <c r="J203" s="601"/>
      <c r="K203" s="601"/>
      <c r="L203" s="601"/>
      <c r="M203" s="601"/>
      <c r="N203" s="601"/>
      <c r="O203" s="601"/>
      <c r="P203" s="601"/>
      <c r="Q203" s="601"/>
      <c r="R203" s="601"/>
      <c r="S203" s="601"/>
      <c r="T203" s="601"/>
      <c r="U203" s="601"/>
      <c r="V203" s="601"/>
      <c r="W203" s="601"/>
      <c r="X203" s="601"/>
      <c r="Y203" s="601"/>
      <c r="Z203" s="601"/>
      <c r="AA203" s="63"/>
      <c r="AB203" s="63"/>
      <c r="AC203" s="63"/>
    </row>
    <row r="204" spans="1:68" ht="27" hidden="1" customHeight="1" x14ac:dyDescent="0.25">
      <c r="A204" s="60" t="s">
        <v>347</v>
      </c>
      <c r="B204" s="60" t="s">
        <v>348</v>
      </c>
      <c r="C204" s="34">
        <v>4301020323</v>
      </c>
      <c r="D204" s="602">
        <v>4680115886223</v>
      </c>
      <c r="E204" s="602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4"/>
      <c r="R204" s="604"/>
      <c r="S204" s="604"/>
      <c r="T204" s="605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09"/>
      <c r="B205" s="609"/>
      <c r="C205" s="609"/>
      <c r="D205" s="609"/>
      <c r="E205" s="609"/>
      <c r="F205" s="609"/>
      <c r="G205" s="609"/>
      <c r="H205" s="609"/>
      <c r="I205" s="609"/>
      <c r="J205" s="609"/>
      <c r="K205" s="609"/>
      <c r="L205" s="609"/>
      <c r="M205" s="609"/>
      <c r="N205" s="609"/>
      <c r="O205" s="610"/>
      <c r="P205" s="606" t="s">
        <v>40</v>
      </c>
      <c r="Q205" s="607"/>
      <c r="R205" s="607"/>
      <c r="S205" s="607"/>
      <c r="T205" s="607"/>
      <c r="U205" s="607"/>
      <c r="V205" s="608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09"/>
      <c r="B206" s="609"/>
      <c r="C206" s="609"/>
      <c r="D206" s="609"/>
      <c r="E206" s="609"/>
      <c r="F206" s="609"/>
      <c r="G206" s="609"/>
      <c r="H206" s="609"/>
      <c r="I206" s="609"/>
      <c r="J206" s="609"/>
      <c r="K206" s="609"/>
      <c r="L206" s="609"/>
      <c r="M206" s="609"/>
      <c r="N206" s="609"/>
      <c r="O206" s="610"/>
      <c r="P206" s="606" t="s">
        <v>40</v>
      </c>
      <c r="Q206" s="607"/>
      <c r="R206" s="607"/>
      <c r="S206" s="607"/>
      <c r="T206" s="607"/>
      <c r="U206" s="607"/>
      <c r="V206" s="608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01" t="s">
        <v>77</v>
      </c>
      <c r="B207" s="601"/>
      <c r="C207" s="601"/>
      <c r="D207" s="601"/>
      <c r="E207" s="601"/>
      <c r="F207" s="601"/>
      <c r="G207" s="601"/>
      <c r="H207" s="601"/>
      <c r="I207" s="601"/>
      <c r="J207" s="601"/>
      <c r="K207" s="601"/>
      <c r="L207" s="601"/>
      <c r="M207" s="601"/>
      <c r="N207" s="601"/>
      <c r="O207" s="601"/>
      <c r="P207" s="601"/>
      <c r="Q207" s="601"/>
      <c r="R207" s="601"/>
      <c r="S207" s="601"/>
      <c r="T207" s="601"/>
      <c r="U207" s="601"/>
      <c r="V207" s="601"/>
      <c r="W207" s="601"/>
      <c r="X207" s="601"/>
      <c r="Y207" s="601"/>
      <c r="Z207" s="601"/>
      <c r="AA207" s="63"/>
      <c r="AB207" s="63"/>
      <c r="AC207" s="63"/>
    </row>
    <row r="208" spans="1:68" ht="27" hidden="1" customHeight="1" x14ac:dyDescent="0.25">
      <c r="A208" s="60" t="s">
        <v>350</v>
      </c>
      <c r="B208" s="60" t="s">
        <v>351</v>
      </c>
      <c r="C208" s="34">
        <v>4301031191</v>
      </c>
      <c r="D208" s="602">
        <v>4680115880993</v>
      </c>
      <c r="E208" s="602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4"/>
      <c r="R208" s="604"/>
      <c r="S208" s="604"/>
      <c r="T208" s="605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hidden="1" customHeight="1" x14ac:dyDescent="0.25">
      <c r="A209" s="60" t="s">
        <v>353</v>
      </c>
      <c r="B209" s="60" t="s">
        <v>354</v>
      </c>
      <c r="C209" s="34">
        <v>4301031204</v>
      </c>
      <c r="D209" s="602">
        <v>4680115881761</v>
      </c>
      <c r="E209" s="602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4"/>
      <c r="R209" s="604"/>
      <c r="S209" s="604"/>
      <c r="T209" s="605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customHeight="1" x14ac:dyDescent="0.25">
      <c r="A210" s="60" t="s">
        <v>356</v>
      </c>
      <c r="B210" s="60" t="s">
        <v>357</v>
      </c>
      <c r="C210" s="34">
        <v>4301031201</v>
      </c>
      <c r="D210" s="602">
        <v>4680115881563</v>
      </c>
      <c r="E210" s="602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4"/>
      <c r="R210" s="604"/>
      <c r="S210" s="604"/>
      <c r="T210" s="605"/>
      <c r="U210" s="37" t="s">
        <v>46</v>
      </c>
      <c r="V210" s="37" t="s">
        <v>46</v>
      </c>
      <c r="W210" s="38" t="s">
        <v>0</v>
      </c>
      <c r="X210" s="56">
        <v>90</v>
      </c>
      <c r="Y210" s="53">
        <f t="shared" si="26"/>
        <v>92.4</v>
      </c>
      <c r="Z210" s="39">
        <f>IFERROR(IF(Y210=0,"",ROUNDUP(Y210/H210,0)*0.00902),"")</f>
        <v>0.19844000000000001</v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94.071428571428555</v>
      </c>
      <c r="BN210" s="75">
        <f t="shared" si="28"/>
        <v>96.579999999999984</v>
      </c>
      <c r="BO210" s="75">
        <f t="shared" si="29"/>
        <v>0.16233766233766234</v>
      </c>
      <c r="BP210" s="75">
        <f t="shared" si="30"/>
        <v>0.16666666666666669</v>
      </c>
    </row>
    <row r="211" spans="1:68" ht="37.5" hidden="1" customHeight="1" x14ac:dyDescent="0.25">
      <c r="A211" s="60" t="s">
        <v>359</v>
      </c>
      <c r="B211" s="60" t="s">
        <v>360</v>
      </c>
      <c r="C211" s="34">
        <v>4301031447</v>
      </c>
      <c r="D211" s="602">
        <v>4680115887565</v>
      </c>
      <c r="E211" s="602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4"/>
      <c r="R211" s="604"/>
      <c r="S211" s="604"/>
      <c r="T211" s="605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hidden="1" customHeight="1" x14ac:dyDescent="0.25">
      <c r="A212" s="60" t="s">
        <v>362</v>
      </c>
      <c r="B212" s="60" t="s">
        <v>363</v>
      </c>
      <c r="C212" s="34">
        <v>4301031199</v>
      </c>
      <c r="D212" s="602">
        <v>4680115880986</v>
      </c>
      <c r="E212" s="602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4"/>
      <c r="R212" s="604"/>
      <c r="S212" s="604"/>
      <c r="T212" s="605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hidden="1" customHeight="1" x14ac:dyDescent="0.25">
      <c r="A213" s="60" t="s">
        <v>364</v>
      </c>
      <c r="B213" s="60" t="s">
        <v>365</v>
      </c>
      <c r="C213" s="34">
        <v>4301031443</v>
      </c>
      <c r="D213" s="602">
        <v>4680115887213</v>
      </c>
      <c r="E213" s="602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8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4"/>
      <c r="R213" s="604"/>
      <c r="S213" s="604"/>
      <c r="T213" s="605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hidden="1" customHeight="1" x14ac:dyDescent="0.25">
      <c r="A214" s="60" t="s">
        <v>367</v>
      </c>
      <c r="B214" s="60" t="s">
        <v>368</v>
      </c>
      <c r="C214" s="34">
        <v>4301031205</v>
      </c>
      <c r="D214" s="602">
        <v>4680115881785</v>
      </c>
      <c r="E214" s="602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4"/>
      <c r="R214" s="604"/>
      <c r="S214" s="604"/>
      <c r="T214" s="605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 t="shared" si="31"/>
        <v/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4301031499</v>
      </c>
      <c r="D215" s="602">
        <v>4680115888432</v>
      </c>
      <c r="E215" s="602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4"/>
      <c r="R215" s="604"/>
      <c r="S215" s="604"/>
      <c r="T215" s="605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4301031427</v>
      </c>
      <c r="D216" s="602">
        <v>4680115888104</v>
      </c>
      <c r="E216" s="602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4"/>
      <c r="R216" s="604"/>
      <c r="S216" s="604"/>
      <c r="T216" s="605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4301031399</v>
      </c>
      <c r="D217" s="602">
        <v>4680115886537</v>
      </c>
      <c r="E217" s="602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4"/>
      <c r="R217" s="604"/>
      <c r="S217" s="604"/>
      <c r="T217" s="605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378</v>
      </c>
      <c r="B218" s="60" t="s">
        <v>379</v>
      </c>
      <c r="C218" s="34">
        <v>4301031279</v>
      </c>
      <c r="D218" s="602">
        <v>4680115887596</v>
      </c>
      <c r="E218" s="602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4"/>
      <c r="R218" s="604"/>
      <c r="S218" s="604"/>
      <c r="T218" s="605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hidden="1" customHeight="1" x14ac:dyDescent="0.25">
      <c r="A219" s="60" t="s">
        <v>381</v>
      </c>
      <c r="B219" s="60" t="s">
        <v>382</v>
      </c>
      <c r="C219" s="34">
        <v>4301031202</v>
      </c>
      <c r="D219" s="602">
        <v>4680115881679</v>
      </c>
      <c r="E219" s="602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4"/>
      <c r="R219" s="604"/>
      <c r="S219" s="604"/>
      <c r="T219" s="605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4301031158</v>
      </c>
      <c r="D220" s="602">
        <v>4680115880191</v>
      </c>
      <c r="E220" s="602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4"/>
      <c r="R220" s="604"/>
      <c r="S220" s="604"/>
      <c r="T220" s="605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4301031245</v>
      </c>
      <c r="D221" s="602">
        <v>4680115883963</v>
      </c>
      <c r="E221" s="602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4"/>
      <c r="R221" s="604"/>
      <c r="S221" s="604"/>
      <c r="T221" s="605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09"/>
      <c r="B222" s="609"/>
      <c r="C222" s="609"/>
      <c r="D222" s="609"/>
      <c r="E222" s="609"/>
      <c r="F222" s="609"/>
      <c r="G222" s="609"/>
      <c r="H222" s="609"/>
      <c r="I222" s="609"/>
      <c r="J222" s="609"/>
      <c r="K222" s="609"/>
      <c r="L222" s="609"/>
      <c r="M222" s="609"/>
      <c r="N222" s="609"/>
      <c r="O222" s="610"/>
      <c r="P222" s="606" t="s">
        <v>40</v>
      </c>
      <c r="Q222" s="607"/>
      <c r="R222" s="607"/>
      <c r="S222" s="607"/>
      <c r="T222" s="607"/>
      <c r="U222" s="607"/>
      <c r="V222" s="608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21.428571428571427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22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0.19844000000000001</v>
      </c>
      <c r="AA222" s="64"/>
      <c r="AB222" s="64"/>
      <c r="AC222" s="64"/>
    </row>
    <row r="223" spans="1:68" x14ac:dyDescent="0.2">
      <c r="A223" s="609"/>
      <c r="B223" s="609"/>
      <c r="C223" s="609"/>
      <c r="D223" s="609"/>
      <c r="E223" s="609"/>
      <c r="F223" s="609"/>
      <c r="G223" s="609"/>
      <c r="H223" s="609"/>
      <c r="I223" s="609"/>
      <c r="J223" s="609"/>
      <c r="K223" s="609"/>
      <c r="L223" s="609"/>
      <c r="M223" s="609"/>
      <c r="N223" s="609"/>
      <c r="O223" s="610"/>
      <c r="P223" s="606" t="s">
        <v>40</v>
      </c>
      <c r="Q223" s="607"/>
      <c r="R223" s="607"/>
      <c r="S223" s="607"/>
      <c r="T223" s="607"/>
      <c r="U223" s="607"/>
      <c r="V223" s="608"/>
      <c r="W223" s="40" t="s">
        <v>0</v>
      </c>
      <c r="X223" s="41">
        <f>IFERROR(SUM(X208:X221),"0")</f>
        <v>90</v>
      </c>
      <c r="Y223" s="41">
        <f>IFERROR(SUM(Y208:Y221),"0")</f>
        <v>92.4</v>
      </c>
      <c r="Z223" s="40"/>
      <c r="AA223" s="64"/>
      <c r="AB223" s="64"/>
      <c r="AC223" s="64"/>
    </row>
    <row r="224" spans="1:68" ht="14.25" hidden="1" customHeight="1" x14ac:dyDescent="0.25">
      <c r="A224" s="601" t="s">
        <v>86</v>
      </c>
      <c r="B224" s="601"/>
      <c r="C224" s="601"/>
      <c r="D224" s="601"/>
      <c r="E224" s="601"/>
      <c r="F224" s="601"/>
      <c r="G224" s="601"/>
      <c r="H224" s="601"/>
      <c r="I224" s="601"/>
      <c r="J224" s="601"/>
      <c r="K224" s="601"/>
      <c r="L224" s="601"/>
      <c r="M224" s="601"/>
      <c r="N224" s="601"/>
      <c r="O224" s="601"/>
      <c r="P224" s="601"/>
      <c r="Q224" s="601"/>
      <c r="R224" s="601"/>
      <c r="S224" s="601"/>
      <c r="T224" s="601"/>
      <c r="U224" s="601"/>
      <c r="V224" s="601"/>
      <c r="W224" s="601"/>
      <c r="X224" s="601"/>
      <c r="Y224" s="601"/>
      <c r="Z224" s="601"/>
      <c r="AA224" s="63"/>
      <c r="AB224" s="63"/>
      <c r="AC224" s="63"/>
    </row>
    <row r="225" spans="1:68" ht="27" hidden="1" customHeight="1" x14ac:dyDescent="0.25">
      <c r="A225" s="60" t="s">
        <v>388</v>
      </c>
      <c r="B225" s="60" t="s">
        <v>389</v>
      </c>
      <c r="C225" s="34">
        <v>4301052177</v>
      </c>
      <c r="D225" s="602">
        <v>4680115888951</v>
      </c>
      <c r="E225" s="602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6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4"/>
      <c r="R225" s="604"/>
      <c r="S225" s="604"/>
      <c r="T225" s="605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4301052176</v>
      </c>
      <c r="D226" s="602">
        <v>4680115888982</v>
      </c>
      <c r="E226" s="602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4"/>
      <c r="R226" s="604"/>
      <c r="S226" s="604"/>
      <c r="T226" s="605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09"/>
      <c r="B227" s="609"/>
      <c r="C227" s="609"/>
      <c r="D227" s="609"/>
      <c r="E227" s="609"/>
      <c r="F227" s="609"/>
      <c r="G227" s="609"/>
      <c r="H227" s="609"/>
      <c r="I227" s="609"/>
      <c r="J227" s="609"/>
      <c r="K227" s="609"/>
      <c r="L227" s="609"/>
      <c r="M227" s="609"/>
      <c r="N227" s="609"/>
      <c r="O227" s="610"/>
      <c r="P227" s="606" t="s">
        <v>40</v>
      </c>
      <c r="Q227" s="607"/>
      <c r="R227" s="607"/>
      <c r="S227" s="607"/>
      <c r="T227" s="607"/>
      <c r="U227" s="607"/>
      <c r="V227" s="608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09"/>
      <c r="B228" s="609"/>
      <c r="C228" s="609"/>
      <c r="D228" s="609"/>
      <c r="E228" s="609"/>
      <c r="F228" s="609"/>
      <c r="G228" s="609"/>
      <c r="H228" s="609"/>
      <c r="I228" s="609"/>
      <c r="J228" s="609"/>
      <c r="K228" s="609"/>
      <c r="L228" s="609"/>
      <c r="M228" s="609"/>
      <c r="N228" s="609"/>
      <c r="O228" s="610"/>
      <c r="P228" s="606" t="s">
        <v>40</v>
      </c>
      <c r="Q228" s="607"/>
      <c r="R228" s="607"/>
      <c r="S228" s="607"/>
      <c r="T228" s="607"/>
      <c r="U228" s="607"/>
      <c r="V228" s="608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01" t="s">
        <v>107</v>
      </c>
      <c r="B229" s="601"/>
      <c r="C229" s="601"/>
      <c r="D229" s="601"/>
      <c r="E229" s="601"/>
      <c r="F229" s="601"/>
      <c r="G229" s="601"/>
      <c r="H229" s="601"/>
      <c r="I229" s="601"/>
      <c r="J229" s="601"/>
      <c r="K229" s="601"/>
      <c r="L229" s="601"/>
      <c r="M229" s="601"/>
      <c r="N229" s="601"/>
      <c r="O229" s="601"/>
      <c r="P229" s="601"/>
      <c r="Q229" s="601"/>
      <c r="R229" s="601"/>
      <c r="S229" s="601"/>
      <c r="T229" s="601"/>
      <c r="U229" s="601"/>
      <c r="V229" s="601"/>
      <c r="W229" s="601"/>
      <c r="X229" s="601"/>
      <c r="Y229" s="601"/>
      <c r="Z229" s="601"/>
      <c r="AA229" s="63"/>
      <c r="AB229" s="63"/>
      <c r="AC229" s="63"/>
    </row>
    <row r="230" spans="1:68" ht="27" hidden="1" customHeight="1" x14ac:dyDescent="0.25">
      <c r="A230" s="60" t="s">
        <v>394</v>
      </c>
      <c r="B230" s="60" t="s">
        <v>395</v>
      </c>
      <c r="C230" s="34">
        <v>4301032053</v>
      </c>
      <c r="D230" s="602">
        <v>4680115886780</v>
      </c>
      <c r="E230" s="602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6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4"/>
      <c r="R230" s="604"/>
      <c r="S230" s="604"/>
      <c r="T230" s="605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397</v>
      </c>
      <c r="B231" s="60" t="s">
        <v>398</v>
      </c>
      <c r="C231" s="34">
        <v>4301032051</v>
      </c>
      <c r="D231" s="602">
        <v>4680115886742</v>
      </c>
      <c r="E231" s="602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4"/>
      <c r="R231" s="604"/>
      <c r="S231" s="604"/>
      <c r="T231" s="605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400</v>
      </c>
      <c r="B232" s="60" t="s">
        <v>401</v>
      </c>
      <c r="C232" s="34">
        <v>4301032052</v>
      </c>
      <c r="D232" s="602">
        <v>4680115886766</v>
      </c>
      <c r="E232" s="602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6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4"/>
      <c r="R232" s="604"/>
      <c r="S232" s="604"/>
      <c r="T232" s="605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09"/>
      <c r="B233" s="609"/>
      <c r="C233" s="609"/>
      <c r="D233" s="609"/>
      <c r="E233" s="609"/>
      <c r="F233" s="609"/>
      <c r="G233" s="609"/>
      <c r="H233" s="609"/>
      <c r="I233" s="609"/>
      <c r="J233" s="609"/>
      <c r="K233" s="609"/>
      <c r="L233" s="609"/>
      <c r="M233" s="609"/>
      <c r="N233" s="609"/>
      <c r="O233" s="610"/>
      <c r="P233" s="606" t="s">
        <v>40</v>
      </c>
      <c r="Q233" s="607"/>
      <c r="R233" s="607"/>
      <c r="S233" s="607"/>
      <c r="T233" s="607"/>
      <c r="U233" s="607"/>
      <c r="V233" s="608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09"/>
      <c r="B234" s="609"/>
      <c r="C234" s="609"/>
      <c r="D234" s="609"/>
      <c r="E234" s="609"/>
      <c r="F234" s="609"/>
      <c r="G234" s="609"/>
      <c r="H234" s="609"/>
      <c r="I234" s="609"/>
      <c r="J234" s="609"/>
      <c r="K234" s="609"/>
      <c r="L234" s="609"/>
      <c r="M234" s="609"/>
      <c r="N234" s="609"/>
      <c r="O234" s="610"/>
      <c r="P234" s="606" t="s">
        <v>40</v>
      </c>
      <c r="Q234" s="607"/>
      <c r="R234" s="607"/>
      <c r="S234" s="607"/>
      <c r="T234" s="607"/>
      <c r="U234" s="607"/>
      <c r="V234" s="608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01" t="s">
        <v>402</v>
      </c>
      <c r="B235" s="601"/>
      <c r="C235" s="601"/>
      <c r="D235" s="601"/>
      <c r="E235" s="601"/>
      <c r="F235" s="601"/>
      <c r="G235" s="601"/>
      <c r="H235" s="601"/>
      <c r="I235" s="601"/>
      <c r="J235" s="601"/>
      <c r="K235" s="601"/>
      <c r="L235" s="601"/>
      <c r="M235" s="601"/>
      <c r="N235" s="601"/>
      <c r="O235" s="601"/>
      <c r="P235" s="601"/>
      <c r="Q235" s="601"/>
      <c r="R235" s="601"/>
      <c r="S235" s="601"/>
      <c r="T235" s="601"/>
      <c r="U235" s="601"/>
      <c r="V235" s="601"/>
      <c r="W235" s="601"/>
      <c r="X235" s="601"/>
      <c r="Y235" s="601"/>
      <c r="Z235" s="601"/>
      <c r="AA235" s="63"/>
      <c r="AB235" s="63"/>
      <c r="AC235" s="63"/>
    </row>
    <row r="236" spans="1:68" ht="27" hidden="1" customHeight="1" x14ac:dyDescent="0.25">
      <c r="A236" s="60" t="s">
        <v>403</v>
      </c>
      <c r="B236" s="60" t="s">
        <v>404</v>
      </c>
      <c r="C236" s="34">
        <v>4301170013</v>
      </c>
      <c r="D236" s="602">
        <v>4680115886797</v>
      </c>
      <c r="E236" s="602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4"/>
      <c r="R236" s="604"/>
      <c r="S236" s="604"/>
      <c r="T236" s="605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09"/>
      <c r="B237" s="609"/>
      <c r="C237" s="609"/>
      <c r="D237" s="609"/>
      <c r="E237" s="609"/>
      <c r="F237" s="609"/>
      <c r="G237" s="609"/>
      <c r="H237" s="609"/>
      <c r="I237" s="609"/>
      <c r="J237" s="609"/>
      <c r="K237" s="609"/>
      <c r="L237" s="609"/>
      <c r="M237" s="609"/>
      <c r="N237" s="609"/>
      <c r="O237" s="610"/>
      <c r="P237" s="606" t="s">
        <v>40</v>
      </c>
      <c r="Q237" s="607"/>
      <c r="R237" s="607"/>
      <c r="S237" s="607"/>
      <c r="T237" s="607"/>
      <c r="U237" s="607"/>
      <c r="V237" s="608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09"/>
      <c r="B238" s="609"/>
      <c r="C238" s="609"/>
      <c r="D238" s="609"/>
      <c r="E238" s="609"/>
      <c r="F238" s="609"/>
      <c r="G238" s="609"/>
      <c r="H238" s="609"/>
      <c r="I238" s="609"/>
      <c r="J238" s="609"/>
      <c r="K238" s="609"/>
      <c r="L238" s="609"/>
      <c r="M238" s="609"/>
      <c r="N238" s="609"/>
      <c r="O238" s="610"/>
      <c r="P238" s="606" t="s">
        <v>40</v>
      </c>
      <c r="Q238" s="607"/>
      <c r="R238" s="607"/>
      <c r="S238" s="607"/>
      <c r="T238" s="607"/>
      <c r="U238" s="607"/>
      <c r="V238" s="608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17" t="s">
        <v>405</v>
      </c>
      <c r="B239" s="617"/>
      <c r="C239" s="617"/>
      <c r="D239" s="617"/>
      <c r="E239" s="617"/>
      <c r="F239" s="617"/>
      <c r="G239" s="617"/>
      <c r="H239" s="617"/>
      <c r="I239" s="617"/>
      <c r="J239" s="617"/>
      <c r="K239" s="617"/>
      <c r="L239" s="617"/>
      <c r="M239" s="617"/>
      <c r="N239" s="617"/>
      <c r="O239" s="617"/>
      <c r="P239" s="617"/>
      <c r="Q239" s="617"/>
      <c r="R239" s="617"/>
      <c r="S239" s="617"/>
      <c r="T239" s="617"/>
      <c r="U239" s="617"/>
      <c r="V239" s="617"/>
      <c r="W239" s="617"/>
      <c r="X239" s="617"/>
      <c r="Y239" s="617"/>
      <c r="Z239" s="617"/>
      <c r="AA239" s="62"/>
      <c r="AB239" s="62"/>
      <c r="AC239" s="62"/>
    </row>
    <row r="240" spans="1:68" ht="14.25" hidden="1" customHeight="1" x14ac:dyDescent="0.25">
      <c r="A240" s="601" t="s">
        <v>128</v>
      </c>
      <c r="B240" s="601"/>
      <c r="C240" s="601"/>
      <c r="D240" s="601"/>
      <c r="E240" s="601"/>
      <c r="F240" s="601"/>
      <c r="G240" s="601"/>
      <c r="H240" s="601"/>
      <c r="I240" s="601"/>
      <c r="J240" s="601"/>
      <c r="K240" s="601"/>
      <c r="L240" s="601"/>
      <c r="M240" s="601"/>
      <c r="N240" s="601"/>
      <c r="O240" s="601"/>
      <c r="P240" s="601"/>
      <c r="Q240" s="601"/>
      <c r="R240" s="601"/>
      <c r="S240" s="601"/>
      <c r="T240" s="601"/>
      <c r="U240" s="601"/>
      <c r="V240" s="601"/>
      <c r="W240" s="601"/>
      <c r="X240" s="601"/>
      <c r="Y240" s="601"/>
      <c r="Z240" s="601"/>
      <c r="AA240" s="63"/>
      <c r="AB240" s="63"/>
      <c r="AC240" s="63"/>
    </row>
    <row r="241" spans="1:68" ht="27" hidden="1" customHeight="1" x14ac:dyDescent="0.25">
      <c r="A241" s="60" t="s">
        <v>406</v>
      </c>
      <c r="B241" s="60" t="s">
        <v>407</v>
      </c>
      <c r="C241" s="34">
        <v>4301011450</v>
      </c>
      <c r="D241" s="602">
        <v>4680115881402</v>
      </c>
      <c r="E241" s="602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6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4"/>
      <c r="R241" s="604"/>
      <c r="S241" s="604"/>
      <c r="T241" s="605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409</v>
      </c>
      <c r="B242" s="60" t="s">
        <v>410</v>
      </c>
      <c r="C242" s="34">
        <v>4301011768</v>
      </c>
      <c r="D242" s="602">
        <v>4680115881396</v>
      </c>
      <c r="E242" s="602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4"/>
      <c r="R242" s="604"/>
      <c r="S242" s="604"/>
      <c r="T242" s="605"/>
      <c r="U242" s="37" t="s">
        <v>46</v>
      </c>
      <c r="V242" s="37" t="s">
        <v>46</v>
      </c>
      <c r="W242" s="38" t="s">
        <v>0</v>
      </c>
      <c r="X242" s="56">
        <v>36</v>
      </c>
      <c r="Y242" s="53">
        <f>IFERROR(IF(X242="",0,CEILING((X242/$H242),1)*$H242),"")</f>
        <v>37.800000000000004</v>
      </c>
      <c r="Z242" s="39">
        <f>IFERROR(IF(Y242=0,"",ROUNDUP(Y242/H242,0)*0.00651),"")</f>
        <v>9.1139999999999999E-2</v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38.399999999999991</v>
      </c>
      <c r="BN242" s="75">
        <f>IFERROR(Y242*I242/H242,"0")</f>
        <v>40.32</v>
      </c>
      <c r="BO242" s="75">
        <f>IFERROR(1/J242*(X242/H242),"0")</f>
        <v>7.3260073260073263E-2</v>
      </c>
      <c r="BP242" s="75">
        <f>IFERROR(1/J242*(Y242/H242),"0")</f>
        <v>7.6923076923076927E-2</v>
      </c>
    </row>
    <row r="243" spans="1:68" x14ac:dyDescent="0.2">
      <c r="A243" s="609"/>
      <c r="B243" s="609"/>
      <c r="C243" s="609"/>
      <c r="D243" s="609"/>
      <c r="E243" s="609"/>
      <c r="F243" s="609"/>
      <c r="G243" s="609"/>
      <c r="H243" s="609"/>
      <c r="I243" s="609"/>
      <c r="J243" s="609"/>
      <c r="K243" s="609"/>
      <c r="L243" s="609"/>
      <c r="M243" s="609"/>
      <c r="N243" s="609"/>
      <c r="O243" s="610"/>
      <c r="P243" s="606" t="s">
        <v>40</v>
      </c>
      <c r="Q243" s="607"/>
      <c r="R243" s="607"/>
      <c r="S243" s="607"/>
      <c r="T243" s="607"/>
      <c r="U243" s="607"/>
      <c r="V243" s="608"/>
      <c r="W243" s="40" t="s">
        <v>39</v>
      </c>
      <c r="X243" s="41">
        <f>IFERROR(X241/H241,"0")+IFERROR(X242/H242,"0")</f>
        <v>13.333333333333332</v>
      </c>
      <c r="Y243" s="41">
        <f>IFERROR(Y241/H241,"0")+IFERROR(Y242/H242,"0")</f>
        <v>14</v>
      </c>
      <c r="Z243" s="41">
        <f>IFERROR(IF(Z241="",0,Z241),"0")+IFERROR(IF(Z242="",0,Z242),"0")</f>
        <v>9.1139999999999999E-2</v>
      </c>
      <c r="AA243" s="64"/>
      <c r="AB243" s="64"/>
      <c r="AC243" s="64"/>
    </row>
    <row r="244" spans="1:68" x14ac:dyDescent="0.2">
      <c r="A244" s="609"/>
      <c r="B244" s="609"/>
      <c r="C244" s="609"/>
      <c r="D244" s="609"/>
      <c r="E244" s="609"/>
      <c r="F244" s="609"/>
      <c r="G244" s="609"/>
      <c r="H244" s="609"/>
      <c r="I244" s="609"/>
      <c r="J244" s="609"/>
      <c r="K244" s="609"/>
      <c r="L244" s="609"/>
      <c r="M244" s="609"/>
      <c r="N244" s="609"/>
      <c r="O244" s="610"/>
      <c r="P244" s="606" t="s">
        <v>40</v>
      </c>
      <c r="Q244" s="607"/>
      <c r="R244" s="607"/>
      <c r="S244" s="607"/>
      <c r="T244" s="607"/>
      <c r="U244" s="607"/>
      <c r="V244" s="608"/>
      <c r="W244" s="40" t="s">
        <v>0</v>
      </c>
      <c r="X244" s="41">
        <f>IFERROR(SUM(X241:X242),"0")</f>
        <v>36</v>
      </c>
      <c r="Y244" s="41">
        <f>IFERROR(SUM(Y241:Y242),"0")</f>
        <v>37.800000000000004</v>
      </c>
      <c r="Z244" s="40"/>
      <c r="AA244" s="64"/>
      <c r="AB244" s="64"/>
      <c r="AC244" s="64"/>
    </row>
    <row r="245" spans="1:68" ht="14.25" hidden="1" customHeight="1" x14ac:dyDescent="0.25">
      <c r="A245" s="601" t="s">
        <v>163</v>
      </c>
      <c r="B245" s="601"/>
      <c r="C245" s="601"/>
      <c r="D245" s="601"/>
      <c r="E245" s="601"/>
      <c r="F245" s="601"/>
      <c r="G245" s="601"/>
      <c r="H245" s="601"/>
      <c r="I245" s="601"/>
      <c r="J245" s="601"/>
      <c r="K245" s="601"/>
      <c r="L245" s="601"/>
      <c r="M245" s="601"/>
      <c r="N245" s="601"/>
      <c r="O245" s="601"/>
      <c r="P245" s="601"/>
      <c r="Q245" s="601"/>
      <c r="R245" s="601"/>
      <c r="S245" s="601"/>
      <c r="T245" s="601"/>
      <c r="U245" s="601"/>
      <c r="V245" s="601"/>
      <c r="W245" s="601"/>
      <c r="X245" s="601"/>
      <c r="Y245" s="601"/>
      <c r="Z245" s="601"/>
      <c r="AA245" s="63"/>
      <c r="AB245" s="63"/>
      <c r="AC245" s="63"/>
    </row>
    <row r="246" spans="1:68" ht="16.5" hidden="1" customHeight="1" x14ac:dyDescent="0.25">
      <c r="A246" s="60" t="s">
        <v>411</v>
      </c>
      <c r="B246" s="60" t="s">
        <v>412</v>
      </c>
      <c r="C246" s="34">
        <v>4301020261</v>
      </c>
      <c r="D246" s="602">
        <v>4680115882935</v>
      </c>
      <c r="E246" s="602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4"/>
      <c r="R246" s="604"/>
      <c r="S246" s="604"/>
      <c r="T246" s="605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414</v>
      </c>
      <c r="B247" s="60" t="s">
        <v>415</v>
      </c>
      <c r="C247" s="34">
        <v>4301020220</v>
      </c>
      <c r="D247" s="602">
        <v>4680115880764</v>
      </c>
      <c r="E247" s="602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4"/>
      <c r="R247" s="604"/>
      <c r="S247" s="604"/>
      <c r="T247" s="605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09"/>
      <c r="B248" s="609"/>
      <c r="C248" s="609"/>
      <c r="D248" s="609"/>
      <c r="E248" s="609"/>
      <c r="F248" s="609"/>
      <c r="G248" s="609"/>
      <c r="H248" s="609"/>
      <c r="I248" s="609"/>
      <c r="J248" s="609"/>
      <c r="K248" s="609"/>
      <c r="L248" s="609"/>
      <c r="M248" s="609"/>
      <c r="N248" s="609"/>
      <c r="O248" s="610"/>
      <c r="P248" s="606" t="s">
        <v>40</v>
      </c>
      <c r="Q248" s="607"/>
      <c r="R248" s="607"/>
      <c r="S248" s="607"/>
      <c r="T248" s="607"/>
      <c r="U248" s="607"/>
      <c r="V248" s="608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09"/>
      <c r="B249" s="609"/>
      <c r="C249" s="609"/>
      <c r="D249" s="609"/>
      <c r="E249" s="609"/>
      <c r="F249" s="609"/>
      <c r="G249" s="609"/>
      <c r="H249" s="609"/>
      <c r="I249" s="609"/>
      <c r="J249" s="609"/>
      <c r="K249" s="609"/>
      <c r="L249" s="609"/>
      <c r="M249" s="609"/>
      <c r="N249" s="609"/>
      <c r="O249" s="610"/>
      <c r="P249" s="606" t="s">
        <v>40</v>
      </c>
      <c r="Q249" s="607"/>
      <c r="R249" s="607"/>
      <c r="S249" s="607"/>
      <c r="T249" s="607"/>
      <c r="U249" s="607"/>
      <c r="V249" s="608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01" t="s">
        <v>77</v>
      </c>
      <c r="B250" s="601"/>
      <c r="C250" s="601"/>
      <c r="D250" s="601"/>
      <c r="E250" s="601"/>
      <c r="F250" s="601"/>
      <c r="G250" s="601"/>
      <c r="H250" s="601"/>
      <c r="I250" s="601"/>
      <c r="J250" s="601"/>
      <c r="K250" s="601"/>
      <c r="L250" s="601"/>
      <c r="M250" s="601"/>
      <c r="N250" s="601"/>
      <c r="O250" s="601"/>
      <c r="P250" s="601"/>
      <c r="Q250" s="601"/>
      <c r="R250" s="601"/>
      <c r="S250" s="601"/>
      <c r="T250" s="601"/>
      <c r="U250" s="601"/>
      <c r="V250" s="601"/>
      <c r="W250" s="601"/>
      <c r="X250" s="601"/>
      <c r="Y250" s="601"/>
      <c r="Z250" s="601"/>
      <c r="AA250" s="63"/>
      <c r="AB250" s="63"/>
      <c r="AC250" s="63"/>
    </row>
    <row r="251" spans="1:68" ht="27" customHeight="1" x14ac:dyDescent="0.25">
      <c r="A251" s="60" t="s">
        <v>416</v>
      </c>
      <c r="B251" s="60" t="s">
        <v>417</v>
      </c>
      <c r="C251" s="34">
        <v>4301031224</v>
      </c>
      <c r="D251" s="602">
        <v>4680115882683</v>
      </c>
      <c r="E251" s="602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4"/>
      <c r="R251" s="604"/>
      <c r="S251" s="604"/>
      <c r="T251" s="605"/>
      <c r="U251" s="37" t="s">
        <v>46</v>
      </c>
      <c r="V251" s="37" t="s">
        <v>46</v>
      </c>
      <c r="W251" s="38" t="s">
        <v>0</v>
      </c>
      <c r="X251" s="56">
        <v>330</v>
      </c>
      <c r="Y251" s="53">
        <f t="shared" ref="Y251:Y258" si="32">IFERROR(IF(X251="",0,CEILING((X251/$H251),1)*$H251),"")</f>
        <v>334.8</v>
      </c>
      <c r="Z251" s="39">
        <f>IFERROR(IF(Y251=0,"",ROUNDUP(Y251/H251,0)*0.00902),"")</f>
        <v>0.55923999999999996</v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341.61111111111109</v>
      </c>
      <c r="BN251" s="75">
        <f t="shared" ref="BN251:BN258" si="34">IFERROR(Y251*I251/H251,"0")</f>
        <v>346.58</v>
      </c>
      <c r="BO251" s="75">
        <f t="shared" ref="BO251:BO258" si="35">IFERROR(1/J251*(X251/H251),"0")</f>
        <v>0.46296296296296297</v>
      </c>
      <c r="BP251" s="75">
        <f t="shared" ref="BP251:BP258" si="36">IFERROR(1/J251*(Y251/H251),"0")</f>
        <v>0.46969696969696972</v>
      </c>
    </row>
    <row r="252" spans="1:68" ht="27" customHeight="1" x14ac:dyDescent="0.25">
      <c r="A252" s="60" t="s">
        <v>419</v>
      </c>
      <c r="B252" s="60" t="s">
        <v>420</v>
      </c>
      <c r="C252" s="34">
        <v>4301031230</v>
      </c>
      <c r="D252" s="602">
        <v>4680115882690</v>
      </c>
      <c r="E252" s="602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4"/>
      <c r="R252" s="604"/>
      <c r="S252" s="604"/>
      <c r="T252" s="605"/>
      <c r="U252" s="37" t="s">
        <v>46</v>
      </c>
      <c r="V252" s="37" t="s">
        <v>46</v>
      </c>
      <c r="W252" s="38" t="s">
        <v>0</v>
      </c>
      <c r="X252" s="56">
        <v>100</v>
      </c>
      <c r="Y252" s="53">
        <f t="shared" si="32"/>
        <v>102.60000000000001</v>
      </c>
      <c r="Z252" s="39">
        <f>IFERROR(IF(Y252=0,"",ROUNDUP(Y252/H252,0)*0.00902),"")</f>
        <v>0.17138</v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103.5185185185185</v>
      </c>
      <c r="BN252" s="75">
        <f t="shared" si="34"/>
        <v>106.21</v>
      </c>
      <c r="BO252" s="75">
        <f t="shared" si="35"/>
        <v>0.14029180695847362</v>
      </c>
      <c r="BP252" s="75">
        <f t="shared" si="36"/>
        <v>0.14393939393939395</v>
      </c>
    </row>
    <row r="253" spans="1:68" ht="27" customHeight="1" x14ac:dyDescent="0.25">
      <c r="A253" s="60" t="s">
        <v>422</v>
      </c>
      <c r="B253" s="60" t="s">
        <v>423</v>
      </c>
      <c r="C253" s="34">
        <v>4301031220</v>
      </c>
      <c r="D253" s="602">
        <v>4680115882669</v>
      </c>
      <c r="E253" s="602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4"/>
      <c r="R253" s="604"/>
      <c r="S253" s="604"/>
      <c r="T253" s="605"/>
      <c r="U253" s="37" t="s">
        <v>46</v>
      </c>
      <c r="V253" s="37" t="s">
        <v>46</v>
      </c>
      <c r="W253" s="38" t="s">
        <v>0</v>
      </c>
      <c r="X253" s="56">
        <v>280</v>
      </c>
      <c r="Y253" s="53">
        <f t="shared" si="32"/>
        <v>280.8</v>
      </c>
      <c r="Z253" s="39">
        <f>IFERROR(IF(Y253=0,"",ROUNDUP(Y253/H253,0)*0.00902),"")</f>
        <v>0.46904000000000001</v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289.85185185185185</v>
      </c>
      <c r="BN253" s="75">
        <f t="shared" si="34"/>
        <v>290.68</v>
      </c>
      <c r="BO253" s="75">
        <f t="shared" si="35"/>
        <v>0.39281705948372614</v>
      </c>
      <c r="BP253" s="75">
        <f t="shared" si="36"/>
        <v>0.39393939393939392</v>
      </c>
    </row>
    <row r="254" spans="1:68" ht="27" customHeight="1" x14ac:dyDescent="0.25">
      <c r="A254" s="60" t="s">
        <v>425</v>
      </c>
      <c r="B254" s="60" t="s">
        <v>426</v>
      </c>
      <c r="C254" s="34">
        <v>4301031221</v>
      </c>
      <c r="D254" s="602">
        <v>4680115882676</v>
      </c>
      <c r="E254" s="602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4"/>
      <c r="R254" s="604"/>
      <c r="S254" s="604"/>
      <c r="T254" s="605"/>
      <c r="U254" s="37" t="s">
        <v>46</v>
      </c>
      <c r="V254" s="37" t="s">
        <v>46</v>
      </c>
      <c r="W254" s="38" t="s">
        <v>0</v>
      </c>
      <c r="X254" s="56">
        <v>300</v>
      </c>
      <c r="Y254" s="53">
        <f t="shared" si="32"/>
        <v>302.40000000000003</v>
      </c>
      <c r="Z254" s="39">
        <f>IFERROR(IF(Y254=0,"",ROUNDUP(Y254/H254,0)*0.00902),"")</f>
        <v>0.50512000000000001</v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310.55555555555554</v>
      </c>
      <c r="BN254" s="75">
        <f t="shared" si="34"/>
        <v>313.04000000000002</v>
      </c>
      <c r="BO254" s="75">
        <f t="shared" si="35"/>
        <v>0.42087542087542085</v>
      </c>
      <c r="BP254" s="75">
        <f t="shared" si="36"/>
        <v>0.42424242424242425</v>
      </c>
    </row>
    <row r="255" spans="1:68" ht="27" hidden="1" customHeight="1" x14ac:dyDescent="0.25">
      <c r="A255" s="60" t="s">
        <v>428</v>
      </c>
      <c r="B255" s="60" t="s">
        <v>429</v>
      </c>
      <c r="C255" s="34">
        <v>4301031223</v>
      </c>
      <c r="D255" s="602">
        <v>4680115884014</v>
      </c>
      <c r="E255" s="602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4"/>
      <c r="R255" s="604"/>
      <c r="S255" s="604"/>
      <c r="T255" s="605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hidden="1" customHeight="1" x14ac:dyDescent="0.25">
      <c r="A256" s="60" t="s">
        <v>430</v>
      </c>
      <c r="B256" s="60" t="s">
        <v>431</v>
      </c>
      <c r="C256" s="34">
        <v>4301031222</v>
      </c>
      <c r="D256" s="602">
        <v>4680115884007</v>
      </c>
      <c r="E256" s="602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4"/>
      <c r="R256" s="604"/>
      <c r="S256" s="604"/>
      <c r="T256" s="605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hidden="1" customHeight="1" x14ac:dyDescent="0.25">
      <c r="A257" s="60" t="s">
        <v>432</v>
      </c>
      <c r="B257" s="60" t="s">
        <v>433</v>
      </c>
      <c r="C257" s="34">
        <v>4301031229</v>
      </c>
      <c r="D257" s="602">
        <v>4680115884038</v>
      </c>
      <c r="E257" s="602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5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4"/>
      <c r="R257" s="604"/>
      <c r="S257" s="604"/>
      <c r="T257" s="605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hidden="1" customHeight="1" x14ac:dyDescent="0.25">
      <c r="A258" s="60" t="s">
        <v>434</v>
      </c>
      <c r="B258" s="60" t="s">
        <v>435</v>
      </c>
      <c r="C258" s="34">
        <v>4301031225</v>
      </c>
      <c r="D258" s="602">
        <v>4680115884021</v>
      </c>
      <c r="E258" s="602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4"/>
      <c r="R258" s="604"/>
      <c r="S258" s="604"/>
      <c r="T258" s="605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x14ac:dyDescent="0.2">
      <c r="A259" s="609"/>
      <c r="B259" s="609"/>
      <c r="C259" s="609"/>
      <c r="D259" s="609"/>
      <c r="E259" s="609"/>
      <c r="F259" s="609"/>
      <c r="G259" s="609"/>
      <c r="H259" s="609"/>
      <c r="I259" s="609"/>
      <c r="J259" s="609"/>
      <c r="K259" s="609"/>
      <c r="L259" s="609"/>
      <c r="M259" s="609"/>
      <c r="N259" s="609"/>
      <c r="O259" s="610"/>
      <c r="P259" s="606" t="s">
        <v>40</v>
      </c>
      <c r="Q259" s="607"/>
      <c r="R259" s="607"/>
      <c r="S259" s="607"/>
      <c r="T259" s="607"/>
      <c r="U259" s="607"/>
      <c r="V259" s="608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187.03703703703701</v>
      </c>
      <c r="Y259" s="41">
        <f>IFERROR(Y251/H251,"0")+IFERROR(Y252/H252,"0")+IFERROR(Y253/H253,"0")+IFERROR(Y254/H254,"0")+IFERROR(Y255/H255,"0")+IFERROR(Y256/H256,"0")+IFERROR(Y257/H257,"0")+IFERROR(Y258/H258,"0")</f>
        <v>189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1.70478</v>
      </c>
      <c r="AA259" s="64"/>
      <c r="AB259" s="64"/>
      <c r="AC259" s="64"/>
    </row>
    <row r="260" spans="1:68" x14ac:dyDescent="0.2">
      <c r="A260" s="609"/>
      <c r="B260" s="609"/>
      <c r="C260" s="609"/>
      <c r="D260" s="609"/>
      <c r="E260" s="609"/>
      <c r="F260" s="609"/>
      <c r="G260" s="609"/>
      <c r="H260" s="609"/>
      <c r="I260" s="609"/>
      <c r="J260" s="609"/>
      <c r="K260" s="609"/>
      <c r="L260" s="609"/>
      <c r="M260" s="609"/>
      <c r="N260" s="609"/>
      <c r="O260" s="610"/>
      <c r="P260" s="606" t="s">
        <v>40</v>
      </c>
      <c r="Q260" s="607"/>
      <c r="R260" s="607"/>
      <c r="S260" s="607"/>
      <c r="T260" s="607"/>
      <c r="U260" s="607"/>
      <c r="V260" s="608"/>
      <c r="W260" s="40" t="s">
        <v>0</v>
      </c>
      <c r="X260" s="41">
        <f>IFERROR(SUM(X251:X258),"0")</f>
        <v>1010</v>
      </c>
      <c r="Y260" s="41">
        <f>IFERROR(SUM(Y251:Y258),"0")</f>
        <v>1020.6000000000001</v>
      </c>
      <c r="Z260" s="40"/>
      <c r="AA260" s="64"/>
      <c r="AB260" s="64"/>
      <c r="AC260" s="64"/>
    </row>
    <row r="261" spans="1:68" ht="14.25" hidden="1" customHeight="1" x14ac:dyDescent="0.25">
      <c r="A261" s="601" t="s">
        <v>86</v>
      </c>
      <c r="B261" s="601"/>
      <c r="C261" s="601"/>
      <c r="D261" s="601"/>
      <c r="E261" s="601"/>
      <c r="F261" s="601"/>
      <c r="G261" s="601"/>
      <c r="H261" s="601"/>
      <c r="I261" s="601"/>
      <c r="J261" s="601"/>
      <c r="K261" s="601"/>
      <c r="L261" s="601"/>
      <c r="M261" s="601"/>
      <c r="N261" s="601"/>
      <c r="O261" s="601"/>
      <c r="P261" s="601"/>
      <c r="Q261" s="601"/>
      <c r="R261" s="601"/>
      <c r="S261" s="601"/>
      <c r="T261" s="601"/>
      <c r="U261" s="601"/>
      <c r="V261" s="601"/>
      <c r="W261" s="601"/>
      <c r="X261" s="601"/>
      <c r="Y261" s="601"/>
      <c r="Z261" s="601"/>
      <c r="AA261" s="63"/>
      <c r="AB261" s="63"/>
      <c r="AC261" s="63"/>
    </row>
    <row r="262" spans="1:68" ht="37.5" hidden="1" customHeight="1" x14ac:dyDescent="0.25">
      <c r="A262" s="60" t="s">
        <v>436</v>
      </c>
      <c r="B262" s="60" t="s">
        <v>437</v>
      </c>
      <c r="C262" s="34">
        <v>4301051408</v>
      </c>
      <c r="D262" s="602">
        <v>4680115881594</v>
      </c>
      <c r="E262" s="602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7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4"/>
      <c r="R262" s="604"/>
      <c r="S262" s="604"/>
      <c r="T262" s="605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customHeight="1" x14ac:dyDescent="0.25">
      <c r="A263" s="60" t="s">
        <v>439</v>
      </c>
      <c r="B263" s="60" t="s">
        <v>440</v>
      </c>
      <c r="C263" s="34">
        <v>4301051411</v>
      </c>
      <c r="D263" s="602">
        <v>4680115881617</v>
      </c>
      <c r="E263" s="602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7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4"/>
      <c r="R263" s="604"/>
      <c r="S263" s="604"/>
      <c r="T263" s="605"/>
      <c r="U263" s="37" t="s">
        <v>46</v>
      </c>
      <c r="V263" s="37" t="s">
        <v>46</v>
      </c>
      <c r="W263" s="38" t="s">
        <v>0</v>
      </c>
      <c r="X263" s="56">
        <v>16</v>
      </c>
      <c r="Y263" s="53">
        <f t="shared" si="37"/>
        <v>16.2</v>
      </c>
      <c r="Z263" s="39">
        <f>IFERROR(IF(Y263=0,"",ROUNDUP(Y263/H263,0)*0.01898),"")</f>
        <v>3.7960000000000001E-2</v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16.94024691358025</v>
      </c>
      <c r="BN263" s="75">
        <f t="shared" si="39"/>
        <v>17.152000000000001</v>
      </c>
      <c r="BO263" s="75">
        <f t="shared" si="40"/>
        <v>3.0864197530864199E-2</v>
      </c>
      <c r="BP263" s="75">
        <f t="shared" si="41"/>
        <v>3.125E-2</v>
      </c>
    </row>
    <row r="264" spans="1:68" ht="27" customHeight="1" x14ac:dyDescent="0.25">
      <c r="A264" s="60" t="s">
        <v>442</v>
      </c>
      <c r="B264" s="60" t="s">
        <v>443</v>
      </c>
      <c r="C264" s="34">
        <v>4301051656</v>
      </c>
      <c r="D264" s="602">
        <v>4680115880573</v>
      </c>
      <c r="E264" s="602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4"/>
      <c r="R264" s="604"/>
      <c r="S264" s="604"/>
      <c r="T264" s="605"/>
      <c r="U264" s="37" t="s">
        <v>46</v>
      </c>
      <c r="V264" s="37" t="s">
        <v>46</v>
      </c>
      <c r="W264" s="38" t="s">
        <v>0</v>
      </c>
      <c r="X264" s="56">
        <v>100</v>
      </c>
      <c r="Y264" s="53">
        <f t="shared" si="37"/>
        <v>104.39999999999999</v>
      </c>
      <c r="Z264" s="39">
        <f>IFERROR(IF(Y264=0,"",ROUNDUP(Y264/H264,0)*0.01898),"")</f>
        <v>0.22776000000000002</v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105.67816091954025</v>
      </c>
      <c r="BN264" s="75">
        <f t="shared" si="39"/>
        <v>110.32800000000002</v>
      </c>
      <c r="BO264" s="75">
        <f t="shared" si="40"/>
        <v>0.1795977011494253</v>
      </c>
      <c r="BP264" s="75">
        <f t="shared" si="41"/>
        <v>0.1875</v>
      </c>
    </row>
    <row r="265" spans="1:68" ht="37.5" hidden="1" customHeight="1" x14ac:dyDescent="0.25">
      <c r="A265" s="60" t="s">
        <v>445</v>
      </c>
      <c r="B265" s="60" t="s">
        <v>446</v>
      </c>
      <c r="C265" s="34">
        <v>4301051407</v>
      </c>
      <c r="D265" s="602">
        <v>4680115882195</v>
      </c>
      <c r="E265" s="602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7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4"/>
      <c r="R265" s="604"/>
      <c r="S265" s="604"/>
      <c r="T265" s="605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hidden="1" customHeight="1" x14ac:dyDescent="0.25">
      <c r="A266" s="60" t="s">
        <v>447</v>
      </c>
      <c r="B266" s="60" t="s">
        <v>448</v>
      </c>
      <c r="C266" s="34">
        <v>4301051752</v>
      </c>
      <c r="D266" s="602">
        <v>4680115882607</v>
      </c>
      <c r="E266" s="602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74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4"/>
      <c r="R266" s="604"/>
      <c r="S266" s="604"/>
      <c r="T266" s="605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4301052143</v>
      </c>
      <c r="D267" s="602">
        <v>4680115882607</v>
      </c>
      <c r="E267" s="602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74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4"/>
      <c r="R267" s="604"/>
      <c r="S267" s="604"/>
      <c r="T267" s="605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452</v>
      </c>
      <c r="B268" s="60" t="s">
        <v>453</v>
      </c>
      <c r="C268" s="34">
        <v>4301051666</v>
      </c>
      <c r="D268" s="602">
        <v>4680115880092</v>
      </c>
      <c r="E268" s="602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4"/>
      <c r="R268" s="604"/>
      <c r="S268" s="604"/>
      <c r="T268" s="605"/>
      <c r="U268" s="37" t="s">
        <v>46</v>
      </c>
      <c r="V268" s="37" t="s">
        <v>46</v>
      </c>
      <c r="W268" s="38" t="s">
        <v>0</v>
      </c>
      <c r="X268" s="56">
        <v>120</v>
      </c>
      <c r="Y268" s="53">
        <f t="shared" si="37"/>
        <v>120</v>
      </c>
      <c r="Z268" s="39">
        <f>IFERROR(IF(Y268=0,"",ROUNDUP(Y268/H268,0)*0.00651),"")</f>
        <v>0.32550000000000001</v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132.60000000000002</v>
      </c>
      <c r="BN268" s="75">
        <f t="shared" si="39"/>
        <v>132.60000000000002</v>
      </c>
      <c r="BO268" s="75">
        <f t="shared" si="40"/>
        <v>0.27472527472527475</v>
      </c>
      <c r="BP268" s="75">
        <f t="shared" si="41"/>
        <v>0.27472527472527475</v>
      </c>
    </row>
    <row r="269" spans="1:68" ht="27" hidden="1" customHeight="1" x14ac:dyDescent="0.25">
      <c r="A269" s="60" t="s">
        <v>454</v>
      </c>
      <c r="B269" s="60" t="s">
        <v>455</v>
      </c>
      <c r="C269" s="34">
        <v>4301052214</v>
      </c>
      <c r="D269" s="602">
        <v>4680115889064</v>
      </c>
      <c r="E269" s="602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74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4"/>
      <c r="R269" s="604"/>
      <c r="S269" s="604"/>
      <c r="T269" s="605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hidden="1" customHeight="1" x14ac:dyDescent="0.25">
      <c r="A270" s="60" t="s">
        <v>456</v>
      </c>
      <c r="B270" s="60" t="s">
        <v>457</v>
      </c>
      <c r="C270" s="34">
        <v>4301051668</v>
      </c>
      <c r="D270" s="602">
        <v>4680115880221</v>
      </c>
      <c r="E270" s="602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4"/>
      <c r="R270" s="604"/>
      <c r="S270" s="604"/>
      <c r="T270" s="605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customHeight="1" x14ac:dyDescent="0.25">
      <c r="A271" s="60" t="s">
        <v>458</v>
      </c>
      <c r="B271" s="60" t="s">
        <v>459</v>
      </c>
      <c r="C271" s="34">
        <v>4301051945</v>
      </c>
      <c r="D271" s="602">
        <v>4680115880504</v>
      </c>
      <c r="E271" s="602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7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4"/>
      <c r="R271" s="604"/>
      <c r="S271" s="604"/>
      <c r="T271" s="605"/>
      <c r="U271" s="37" t="s">
        <v>46</v>
      </c>
      <c r="V271" s="37" t="s">
        <v>46</v>
      </c>
      <c r="W271" s="38" t="s">
        <v>0</v>
      </c>
      <c r="X271" s="56">
        <v>209</v>
      </c>
      <c r="Y271" s="53">
        <f t="shared" si="37"/>
        <v>211.2</v>
      </c>
      <c r="Z271" s="39">
        <f>IFERROR(IF(Y271=0,"",ROUNDUP(Y271/H271,0)*0.00651),"")</f>
        <v>0.57288000000000006</v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230.94500000000002</v>
      </c>
      <c r="BN271" s="75">
        <f t="shared" si="39"/>
        <v>233.376</v>
      </c>
      <c r="BO271" s="75">
        <f t="shared" si="40"/>
        <v>0.47847985347985356</v>
      </c>
      <c r="BP271" s="75">
        <f t="shared" si="41"/>
        <v>0.48351648351648358</v>
      </c>
    </row>
    <row r="272" spans="1:68" ht="27" customHeight="1" x14ac:dyDescent="0.25">
      <c r="A272" s="60" t="s">
        <v>461</v>
      </c>
      <c r="B272" s="60" t="s">
        <v>462</v>
      </c>
      <c r="C272" s="34">
        <v>4301051410</v>
      </c>
      <c r="D272" s="602">
        <v>4680115882164</v>
      </c>
      <c r="E272" s="602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74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4"/>
      <c r="R272" s="604"/>
      <c r="S272" s="604"/>
      <c r="T272" s="605"/>
      <c r="U272" s="37" t="s">
        <v>46</v>
      </c>
      <c r="V272" s="37" t="s">
        <v>46</v>
      </c>
      <c r="W272" s="38" t="s">
        <v>0</v>
      </c>
      <c r="X272" s="56">
        <v>129</v>
      </c>
      <c r="Y272" s="53">
        <f t="shared" si="37"/>
        <v>129.6</v>
      </c>
      <c r="Z272" s="39">
        <f>IFERROR(IF(Y272=0,"",ROUNDUP(Y272/H272,0)*0.00651),"")</f>
        <v>0.35154000000000002</v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142.86750000000001</v>
      </c>
      <c r="BN272" s="75">
        <f t="shared" si="39"/>
        <v>143.53199999999998</v>
      </c>
      <c r="BO272" s="75">
        <f t="shared" si="40"/>
        <v>0.29532967032967034</v>
      </c>
      <c r="BP272" s="75">
        <f t="shared" si="41"/>
        <v>0.2967032967032967</v>
      </c>
    </row>
    <row r="273" spans="1:68" ht="27" hidden="1" customHeight="1" x14ac:dyDescent="0.25">
      <c r="A273" s="60" t="s">
        <v>464</v>
      </c>
      <c r="B273" s="60" t="s">
        <v>465</v>
      </c>
      <c r="C273" s="34">
        <v>4301052180</v>
      </c>
      <c r="D273" s="602">
        <v>4680115888340</v>
      </c>
      <c r="E273" s="602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74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4"/>
      <c r="R273" s="604"/>
      <c r="S273" s="604"/>
      <c r="T273" s="605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09"/>
      <c r="B274" s="609"/>
      <c r="C274" s="609"/>
      <c r="D274" s="609"/>
      <c r="E274" s="609"/>
      <c r="F274" s="609"/>
      <c r="G274" s="609"/>
      <c r="H274" s="609"/>
      <c r="I274" s="609"/>
      <c r="J274" s="609"/>
      <c r="K274" s="609"/>
      <c r="L274" s="609"/>
      <c r="M274" s="609"/>
      <c r="N274" s="609"/>
      <c r="O274" s="610"/>
      <c r="P274" s="606" t="s">
        <v>40</v>
      </c>
      <c r="Q274" s="607"/>
      <c r="R274" s="607"/>
      <c r="S274" s="607"/>
      <c r="T274" s="607"/>
      <c r="U274" s="607"/>
      <c r="V274" s="608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204.30289484887186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206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1.5156400000000001</v>
      </c>
      <c r="AA274" s="64"/>
      <c r="AB274" s="64"/>
      <c r="AC274" s="64"/>
    </row>
    <row r="275" spans="1:68" x14ac:dyDescent="0.2">
      <c r="A275" s="609"/>
      <c r="B275" s="609"/>
      <c r="C275" s="609"/>
      <c r="D275" s="609"/>
      <c r="E275" s="609"/>
      <c r="F275" s="609"/>
      <c r="G275" s="609"/>
      <c r="H275" s="609"/>
      <c r="I275" s="609"/>
      <c r="J275" s="609"/>
      <c r="K275" s="609"/>
      <c r="L275" s="609"/>
      <c r="M275" s="609"/>
      <c r="N275" s="609"/>
      <c r="O275" s="610"/>
      <c r="P275" s="606" t="s">
        <v>40</v>
      </c>
      <c r="Q275" s="607"/>
      <c r="R275" s="607"/>
      <c r="S275" s="607"/>
      <c r="T275" s="607"/>
      <c r="U275" s="607"/>
      <c r="V275" s="608"/>
      <c r="W275" s="40" t="s">
        <v>0</v>
      </c>
      <c r="X275" s="41">
        <f>IFERROR(SUM(X262:X273),"0")</f>
        <v>574</v>
      </c>
      <c r="Y275" s="41">
        <f>IFERROR(SUM(Y262:Y273),"0")</f>
        <v>581.4</v>
      </c>
      <c r="Z275" s="40"/>
      <c r="AA275" s="64"/>
      <c r="AB275" s="64"/>
      <c r="AC275" s="64"/>
    </row>
    <row r="276" spans="1:68" ht="14.25" hidden="1" customHeight="1" x14ac:dyDescent="0.25">
      <c r="A276" s="601" t="s">
        <v>180</v>
      </c>
      <c r="B276" s="601"/>
      <c r="C276" s="601"/>
      <c r="D276" s="601"/>
      <c r="E276" s="601"/>
      <c r="F276" s="601"/>
      <c r="G276" s="601"/>
      <c r="H276" s="601"/>
      <c r="I276" s="601"/>
      <c r="J276" s="601"/>
      <c r="K276" s="601"/>
      <c r="L276" s="601"/>
      <c r="M276" s="601"/>
      <c r="N276" s="601"/>
      <c r="O276" s="601"/>
      <c r="P276" s="601"/>
      <c r="Q276" s="601"/>
      <c r="R276" s="601"/>
      <c r="S276" s="601"/>
      <c r="T276" s="601"/>
      <c r="U276" s="601"/>
      <c r="V276" s="601"/>
      <c r="W276" s="601"/>
      <c r="X276" s="601"/>
      <c r="Y276" s="601"/>
      <c r="Z276" s="601"/>
      <c r="AA276" s="63"/>
      <c r="AB276" s="63"/>
      <c r="AC276" s="63"/>
    </row>
    <row r="277" spans="1:68" ht="27" customHeight="1" x14ac:dyDescent="0.25">
      <c r="A277" s="60" t="s">
        <v>467</v>
      </c>
      <c r="B277" s="60" t="s">
        <v>468</v>
      </c>
      <c r="C277" s="34">
        <v>4301060463</v>
      </c>
      <c r="D277" s="602">
        <v>4680115880818</v>
      </c>
      <c r="E277" s="602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73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4"/>
      <c r="R277" s="604"/>
      <c r="S277" s="604"/>
      <c r="T277" s="605"/>
      <c r="U277" s="37" t="s">
        <v>46</v>
      </c>
      <c r="V277" s="37" t="s">
        <v>46</v>
      </c>
      <c r="W277" s="38" t="s">
        <v>0</v>
      </c>
      <c r="X277" s="56">
        <v>32</v>
      </c>
      <c r="Y277" s="53">
        <f>IFERROR(IF(X277="",0,CEILING((X277/$H277),1)*$H277),"")</f>
        <v>33.6</v>
      </c>
      <c r="Z277" s="39">
        <f>IFERROR(IF(Y277=0,"",ROUNDUP(Y277/H277,0)*0.00651),"")</f>
        <v>9.1139999999999999E-2</v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35.360000000000007</v>
      </c>
      <c r="BN277" s="75">
        <f>IFERROR(Y277*I277/H277,"0")</f>
        <v>37.128000000000007</v>
      </c>
      <c r="BO277" s="75">
        <f>IFERROR(1/J277*(X277/H277),"0")</f>
        <v>7.3260073260073263E-2</v>
      </c>
      <c r="BP277" s="75">
        <f>IFERROR(1/J277*(Y277/H277),"0")</f>
        <v>7.6923076923076941E-2</v>
      </c>
    </row>
    <row r="278" spans="1:68" ht="37.5" hidden="1" customHeight="1" x14ac:dyDescent="0.25">
      <c r="A278" s="60" t="s">
        <v>470</v>
      </c>
      <c r="B278" s="60" t="s">
        <v>471</v>
      </c>
      <c r="C278" s="34">
        <v>4301060389</v>
      </c>
      <c r="D278" s="602">
        <v>4680115880801</v>
      </c>
      <c r="E278" s="602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73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4"/>
      <c r="R278" s="604"/>
      <c r="S278" s="604"/>
      <c r="T278" s="605"/>
      <c r="U278" s="37" t="s">
        <v>46</v>
      </c>
      <c r="V278" s="37" t="s">
        <v>46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x14ac:dyDescent="0.2">
      <c r="A279" s="609"/>
      <c r="B279" s="609"/>
      <c r="C279" s="609"/>
      <c r="D279" s="609"/>
      <c r="E279" s="609"/>
      <c r="F279" s="609"/>
      <c r="G279" s="609"/>
      <c r="H279" s="609"/>
      <c r="I279" s="609"/>
      <c r="J279" s="609"/>
      <c r="K279" s="609"/>
      <c r="L279" s="609"/>
      <c r="M279" s="609"/>
      <c r="N279" s="609"/>
      <c r="O279" s="610"/>
      <c r="P279" s="606" t="s">
        <v>40</v>
      </c>
      <c r="Q279" s="607"/>
      <c r="R279" s="607"/>
      <c r="S279" s="607"/>
      <c r="T279" s="607"/>
      <c r="U279" s="607"/>
      <c r="V279" s="608"/>
      <c r="W279" s="40" t="s">
        <v>39</v>
      </c>
      <c r="X279" s="41">
        <f>IFERROR(X277/H277,"0")+IFERROR(X278/H278,"0")</f>
        <v>13.333333333333334</v>
      </c>
      <c r="Y279" s="41">
        <f>IFERROR(Y277/H277,"0")+IFERROR(Y278/H278,"0")</f>
        <v>14.000000000000002</v>
      </c>
      <c r="Z279" s="41">
        <f>IFERROR(IF(Z277="",0,Z277),"0")+IFERROR(IF(Z278="",0,Z278),"0")</f>
        <v>9.1139999999999999E-2</v>
      </c>
      <c r="AA279" s="64"/>
      <c r="AB279" s="64"/>
      <c r="AC279" s="64"/>
    </row>
    <row r="280" spans="1:68" x14ac:dyDescent="0.2">
      <c r="A280" s="609"/>
      <c r="B280" s="609"/>
      <c r="C280" s="609"/>
      <c r="D280" s="609"/>
      <c r="E280" s="609"/>
      <c r="F280" s="609"/>
      <c r="G280" s="609"/>
      <c r="H280" s="609"/>
      <c r="I280" s="609"/>
      <c r="J280" s="609"/>
      <c r="K280" s="609"/>
      <c r="L280" s="609"/>
      <c r="M280" s="609"/>
      <c r="N280" s="609"/>
      <c r="O280" s="610"/>
      <c r="P280" s="606" t="s">
        <v>40</v>
      </c>
      <c r="Q280" s="607"/>
      <c r="R280" s="607"/>
      <c r="S280" s="607"/>
      <c r="T280" s="607"/>
      <c r="U280" s="607"/>
      <c r="V280" s="608"/>
      <c r="W280" s="40" t="s">
        <v>0</v>
      </c>
      <c r="X280" s="41">
        <f>IFERROR(SUM(X277:X278),"0")</f>
        <v>32</v>
      </c>
      <c r="Y280" s="41">
        <f>IFERROR(SUM(Y277:Y278),"0")</f>
        <v>33.6</v>
      </c>
      <c r="Z280" s="40"/>
      <c r="AA280" s="64"/>
      <c r="AB280" s="64"/>
      <c r="AC280" s="64"/>
    </row>
    <row r="281" spans="1:68" ht="16.5" hidden="1" customHeight="1" x14ac:dyDescent="0.25">
      <c r="A281" s="617" t="s">
        <v>473</v>
      </c>
      <c r="B281" s="617"/>
      <c r="C281" s="617"/>
      <c r="D281" s="617"/>
      <c r="E281" s="617"/>
      <c r="F281" s="617"/>
      <c r="G281" s="617"/>
      <c r="H281" s="617"/>
      <c r="I281" s="617"/>
      <c r="J281" s="617"/>
      <c r="K281" s="617"/>
      <c r="L281" s="617"/>
      <c r="M281" s="617"/>
      <c r="N281" s="617"/>
      <c r="O281" s="617"/>
      <c r="P281" s="617"/>
      <c r="Q281" s="617"/>
      <c r="R281" s="617"/>
      <c r="S281" s="617"/>
      <c r="T281" s="617"/>
      <c r="U281" s="617"/>
      <c r="V281" s="617"/>
      <c r="W281" s="617"/>
      <c r="X281" s="617"/>
      <c r="Y281" s="617"/>
      <c r="Z281" s="617"/>
      <c r="AA281" s="62"/>
      <c r="AB281" s="62"/>
      <c r="AC281" s="62"/>
    </row>
    <row r="282" spans="1:68" ht="14.25" hidden="1" customHeight="1" x14ac:dyDescent="0.25">
      <c r="A282" s="601" t="s">
        <v>128</v>
      </c>
      <c r="B282" s="601"/>
      <c r="C282" s="601"/>
      <c r="D282" s="601"/>
      <c r="E282" s="601"/>
      <c r="F282" s="601"/>
      <c r="G282" s="601"/>
      <c r="H282" s="601"/>
      <c r="I282" s="601"/>
      <c r="J282" s="601"/>
      <c r="K282" s="601"/>
      <c r="L282" s="601"/>
      <c r="M282" s="601"/>
      <c r="N282" s="601"/>
      <c r="O282" s="601"/>
      <c r="P282" s="601"/>
      <c r="Q282" s="601"/>
      <c r="R282" s="601"/>
      <c r="S282" s="601"/>
      <c r="T282" s="601"/>
      <c r="U282" s="601"/>
      <c r="V282" s="601"/>
      <c r="W282" s="601"/>
      <c r="X282" s="601"/>
      <c r="Y282" s="601"/>
      <c r="Z282" s="601"/>
      <c r="AA282" s="63"/>
      <c r="AB282" s="63"/>
      <c r="AC282" s="63"/>
    </row>
    <row r="283" spans="1:68" ht="27" hidden="1" customHeight="1" x14ac:dyDescent="0.25">
      <c r="A283" s="60" t="s">
        <v>474</v>
      </c>
      <c r="B283" s="60" t="s">
        <v>475</v>
      </c>
      <c r="C283" s="34">
        <v>4301011826</v>
      </c>
      <c r="D283" s="602">
        <v>4680115884137</v>
      </c>
      <c r="E283" s="602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7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4"/>
      <c r="R283" s="604"/>
      <c r="S283" s="604"/>
      <c r="T283" s="605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4301011724</v>
      </c>
      <c r="D284" s="602">
        <v>4680115884236</v>
      </c>
      <c r="E284" s="602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7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4"/>
      <c r="R284" s="604"/>
      <c r="S284" s="604"/>
      <c r="T284" s="605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hidden="1" customHeight="1" x14ac:dyDescent="0.25">
      <c r="A285" s="60" t="s">
        <v>480</v>
      </c>
      <c r="B285" s="60" t="s">
        <v>481</v>
      </c>
      <c r="C285" s="34">
        <v>4301011721</v>
      </c>
      <c r="D285" s="602">
        <v>4680115884175</v>
      </c>
      <c r="E285" s="602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7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4"/>
      <c r="R285" s="604"/>
      <c r="S285" s="604"/>
      <c r="T285" s="605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hidden="1" customHeight="1" x14ac:dyDescent="0.25">
      <c r="A286" s="60" t="s">
        <v>482</v>
      </c>
      <c r="B286" s="60" t="s">
        <v>483</v>
      </c>
      <c r="C286" s="34">
        <v>4301011824</v>
      </c>
      <c r="D286" s="602">
        <v>4680115884144</v>
      </c>
      <c r="E286" s="602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73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4"/>
      <c r="R286" s="604"/>
      <c r="S286" s="604"/>
      <c r="T286" s="605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4301012149</v>
      </c>
      <c r="D287" s="602">
        <v>4680115886551</v>
      </c>
      <c r="E287" s="602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7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4"/>
      <c r="R287" s="604"/>
      <c r="S287" s="604"/>
      <c r="T287" s="605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4301012228</v>
      </c>
      <c r="D288" s="602">
        <v>4680115887282</v>
      </c>
      <c r="E288" s="602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4"/>
      <c r="R288" s="604"/>
      <c r="S288" s="604"/>
      <c r="T288" s="605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4301011722</v>
      </c>
      <c r="D289" s="602">
        <v>4680115884205</v>
      </c>
      <c r="E289" s="602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4"/>
      <c r="R289" s="604"/>
      <c r="S289" s="604"/>
      <c r="T289" s="605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hidden="1" x14ac:dyDescent="0.2">
      <c r="A290" s="609"/>
      <c r="B290" s="609"/>
      <c r="C290" s="609"/>
      <c r="D290" s="609"/>
      <c r="E290" s="609"/>
      <c r="F290" s="609"/>
      <c r="G290" s="609"/>
      <c r="H290" s="609"/>
      <c r="I290" s="609"/>
      <c r="J290" s="609"/>
      <c r="K290" s="609"/>
      <c r="L290" s="609"/>
      <c r="M290" s="609"/>
      <c r="N290" s="609"/>
      <c r="O290" s="610"/>
      <c r="P290" s="606" t="s">
        <v>40</v>
      </c>
      <c r="Q290" s="607"/>
      <c r="R290" s="607"/>
      <c r="S290" s="607"/>
      <c r="T290" s="607"/>
      <c r="U290" s="607"/>
      <c r="V290" s="608"/>
      <c r="W290" s="40" t="s">
        <v>39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609"/>
      <c r="B291" s="609"/>
      <c r="C291" s="609"/>
      <c r="D291" s="609"/>
      <c r="E291" s="609"/>
      <c r="F291" s="609"/>
      <c r="G291" s="609"/>
      <c r="H291" s="609"/>
      <c r="I291" s="609"/>
      <c r="J291" s="609"/>
      <c r="K291" s="609"/>
      <c r="L291" s="609"/>
      <c r="M291" s="609"/>
      <c r="N291" s="609"/>
      <c r="O291" s="610"/>
      <c r="P291" s="606" t="s">
        <v>40</v>
      </c>
      <c r="Q291" s="607"/>
      <c r="R291" s="607"/>
      <c r="S291" s="607"/>
      <c r="T291" s="607"/>
      <c r="U291" s="607"/>
      <c r="V291" s="608"/>
      <c r="W291" s="40" t="s">
        <v>0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01" t="s">
        <v>163</v>
      </c>
      <c r="B292" s="601"/>
      <c r="C292" s="601"/>
      <c r="D292" s="601"/>
      <c r="E292" s="601"/>
      <c r="F292" s="601"/>
      <c r="G292" s="601"/>
      <c r="H292" s="601"/>
      <c r="I292" s="601"/>
      <c r="J292" s="601"/>
      <c r="K292" s="601"/>
      <c r="L292" s="601"/>
      <c r="M292" s="601"/>
      <c r="N292" s="601"/>
      <c r="O292" s="601"/>
      <c r="P292" s="601"/>
      <c r="Q292" s="601"/>
      <c r="R292" s="601"/>
      <c r="S292" s="601"/>
      <c r="T292" s="601"/>
      <c r="U292" s="601"/>
      <c r="V292" s="601"/>
      <c r="W292" s="601"/>
      <c r="X292" s="601"/>
      <c r="Y292" s="601"/>
      <c r="Z292" s="601"/>
      <c r="AA292" s="63"/>
      <c r="AB292" s="63"/>
      <c r="AC292" s="63"/>
    </row>
    <row r="293" spans="1:68" ht="27" hidden="1" customHeight="1" x14ac:dyDescent="0.25">
      <c r="A293" s="60" t="s">
        <v>492</v>
      </c>
      <c r="B293" s="60" t="s">
        <v>493</v>
      </c>
      <c r="C293" s="34">
        <v>4301020377</v>
      </c>
      <c r="D293" s="602">
        <v>4680115885981</v>
      </c>
      <c r="E293" s="602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72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4"/>
      <c r="R293" s="604"/>
      <c r="S293" s="604"/>
      <c r="T293" s="605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09"/>
      <c r="B294" s="609"/>
      <c r="C294" s="609"/>
      <c r="D294" s="609"/>
      <c r="E294" s="609"/>
      <c r="F294" s="609"/>
      <c r="G294" s="609"/>
      <c r="H294" s="609"/>
      <c r="I294" s="609"/>
      <c r="J294" s="609"/>
      <c r="K294" s="609"/>
      <c r="L294" s="609"/>
      <c r="M294" s="609"/>
      <c r="N294" s="609"/>
      <c r="O294" s="610"/>
      <c r="P294" s="606" t="s">
        <v>40</v>
      </c>
      <c r="Q294" s="607"/>
      <c r="R294" s="607"/>
      <c r="S294" s="607"/>
      <c r="T294" s="607"/>
      <c r="U294" s="607"/>
      <c r="V294" s="608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609"/>
      <c r="B295" s="609"/>
      <c r="C295" s="609"/>
      <c r="D295" s="609"/>
      <c r="E295" s="609"/>
      <c r="F295" s="609"/>
      <c r="G295" s="609"/>
      <c r="H295" s="609"/>
      <c r="I295" s="609"/>
      <c r="J295" s="609"/>
      <c r="K295" s="609"/>
      <c r="L295" s="609"/>
      <c r="M295" s="609"/>
      <c r="N295" s="609"/>
      <c r="O295" s="610"/>
      <c r="P295" s="606" t="s">
        <v>40</v>
      </c>
      <c r="Q295" s="607"/>
      <c r="R295" s="607"/>
      <c r="S295" s="607"/>
      <c r="T295" s="607"/>
      <c r="U295" s="607"/>
      <c r="V295" s="608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01" t="s">
        <v>495</v>
      </c>
      <c r="B296" s="601"/>
      <c r="C296" s="601"/>
      <c r="D296" s="601"/>
      <c r="E296" s="601"/>
      <c r="F296" s="601"/>
      <c r="G296" s="601"/>
      <c r="H296" s="601"/>
      <c r="I296" s="601"/>
      <c r="J296" s="601"/>
      <c r="K296" s="601"/>
      <c r="L296" s="601"/>
      <c r="M296" s="601"/>
      <c r="N296" s="601"/>
      <c r="O296" s="601"/>
      <c r="P296" s="601"/>
      <c r="Q296" s="601"/>
      <c r="R296" s="601"/>
      <c r="S296" s="601"/>
      <c r="T296" s="601"/>
      <c r="U296" s="601"/>
      <c r="V296" s="601"/>
      <c r="W296" s="601"/>
      <c r="X296" s="601"/>
      <c r="Y296" s="601"/>
      <c r="Z296" s="601"/>
      <c r="AA296" s="63"/>
      <c r="AB296" s="63"/>
      <c r="AC296" s="63"/>
    </row>
    <row r="297" spans="1:68" ht="27" hidden="1" customHeight="1" x14ac:dyDescent="0.25">
      <c r="A297" s="60" t="s">
        <v>496</v>
      </c>
      <c r="B297" s="60" t="s">
        <v>497</v>
      </c>
      <c r="C297" s="34">
        <v>4301040362</v>
      </c>
      <c r="D297" s="602">
        <v>4680115886803</v>
      </c>
      <c r="E297" s="602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7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4"/>
      <c r="R297" s="604"/>
      <c r="S297" s="604"/>
      <c r="T297" s="605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09"/>
      <c r="B298" s="609"/>
      <c r="C298" s="609"/>
      <c r="D298" s="609"/>
      <c r="E298" s="609"/>
      <c r="F298" s="609"/>
      <c r="G298" s="609"/>
      <c r="H298" s="609"/>
      <c r="I298" s="609"/>
      <c r="J298" s="609"/>
      <c r="K298" s="609"/>
      <c r="L298" s="609"/>
      <c r="M298" s="609"/>
      <c r="N298" s="609"/>
      <c r="O298" s="610"/>
      <c r="P298" s="606" t="s">
        <v>40</v>
      </c>
      <c r="Q298" s="607"/>
      <c r="R298" s="607"/>
      <c r="S298" s="607"/>
      <c r="T298" s="607"/>
      <c r="U298" s="607"/>
      <c r="V298" s="608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hidden="1" x14ac:dyDescent="0.2">
      <c r="A299" s="609"/>
      <c r="B299" s="609"/>
      <c r="C299" s="609"/>
      <c r="D299" s="609"/>
      <c r="E299" s="609"/>
      <c r="F299" s="609"/>
      <c r="G299" s="609"/>
      <c r="H299" s="609"/>
      <c r="I299" s="609"/>
      <c r="J299" s="609"/>
      <c r="K299" s="609"/>
      <c r="L299" s="609"/>
      <c r="M299" s="609"/>
      <c r="N299" s="609"/>
      <c r="O299" s="610"/>
      <c r="P299" s="606" t="s">
        <v>40</v>
      </c>
      <c r="Q299" s="607"/>
      <c r="R299" s="607"/>
      <c r="S299" s="607"/>
      <c r="T299" s="607"/>
      <c r="U299" s="607"/>
      <c r="V299" s="608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01" t="s">
        <v>329</v>
      </c>
      <c r="B300" s="601"/>
      <c r="C300" s="601"/>
      <c r="D300" s="601"/>
      <c r="E300" s="601"/>
      <c r="F300" s="601"/>
      <c r="G300" s="601"/>
      <c r="H300" s="601"/>
      <c r="I300" s="601"/>
      <c r="J300" s="601"/>
      <c r="K300" s="601"/>
      <c r="L300" s="601"/>
      <c r="M300" s="601"/>
      <c r="N300" s="601"/>
      <c r="O300" s="601"/>
      <c r="P300" s="601"/>
      <c r="Q300" s="601"/>
      <c r="R300" s="601"/>
      <c r="S300" s="601"/>
      <c r="T300" s="601"/>
      <c r="U300" s="601"/>
      <c r="V300" s="601"/>
      <c r="W300" s="601"/>
      <c r="X300" s="601"/>
      <c r="Y300" s="601"/>
      <c r="Z300" s="601"/>
      <c r="AA300" s="63"/>
      <c r="AB300" s="63"/>
      <c r="AC300" s="63"/>
    </row>
    <row r="301" spans="1:68" ht="27" hidden="1" customHeight="1" x14ac:dyDescent="0.25">
      <c r="A301" s="60" t="s">
        <v>499</v>
      </c>
      <c r="B301" s="60" t="s">
        <v>500</v>
      </c>
      <c r="C301" s="34">
        <v>4301041004</v>
      </c>
      <c r="D301" s="602">
        <v>4680115886704</v>
      </c>
      <c r="E301" s="602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4"/>
      <c r="R301" s="604"/>
      <c r="S301" s="604"/>
      <c r="T301" s="605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502</v>
      </c>
      <c r="B302" s="60" t="s">
        <v>503</v>
      </c>
      <c r="C302" s="34">
        <v>4301041008</v>
      </c>
      <c r="D302" s="602">
        <v>4680115886681</v>
      </c>
      <c r="E302" s="602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72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4"/>
      <c r="R302" s="604"/>
      <c r="S302" s="604"/>
      <c r="T302" s="605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504</v>
      </c>
      <c r="B303" s="60" t="s">
        <v>505</v>
      </c>
      <c r="C303" s="34">
        <v>4301041007</v>
      </c>
      <c r="D303" s="602">
        <v>4680115886735</v>
      </c>
      <c r="E303" s="602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72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4"/>
      <c r="R303" s="604"/>
      <c r="S303" s="604"/>
      <c r="T303" s="605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hidden="1" customHeight="1" x14ac:dyDescent="0.25">
      <c r="A304" s="60" t="s">
        <v>507</v>
      </c>
      <c r="B304" s="60" t="s">
        <v>508</v>
      </c>
      <c r="C304" s="34">
        <v>4301041005</v>
      </c>
      <c r="D304" s="602">
        <v>4680115886711</v>
      </c>
      <c r="E304" s="602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72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4"/>
      <c r="R304" s="604"/>
      <c r="S304" s="604"/>
      <c r="T304" s="605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09"/>
      <c r="B305" s="609"/>
      <c r="C305" s="609"/>
      <c r="D305" s="609"/>
      <c r="E305" s="609"/>
      <c r="F305" s="609"/>
      <c r="G305" s="609"/>
      <c r="H305" s="609"/>
      <c r="I305" s="609"/>
      <c r="J305" s="609"/>
      <c r="K305" s="609"/>
      <c r="L305" s="609"/>
      <c r="M305" s="609"/>
      <c r="N305" s="609"/>
      <c r="O305" s="610"/>
      <c r="P305" s="606" t="s">
        <v>40</v>
      </c>
      <c r="Q305" s="607"/>
      <c r="R305" s="607"/>
      <c r="S305" s="607"/>
      <c r="T305" s="607"/>
      <c r="U305" s="607"/>
      <c r="V305" s="608"/>
      <c r="W305" s="40" t="s">
        <v>39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09"/>
      <c r="B306" s="609"/>
      <c r="C306" s="609"/>
      <c r="D306" s="609"/>
      <c r="E306" s="609"/>
      <c r="F306" s="609"/>
      <c r="G306" s="609"/>
      <c r="H306" s="609"/>
      <c r="I306" s="609"/>
      <c r="J306" s="609"/>
      <c r="K306" s="609"/>
      <c r="L306" s="609"/>
      <c r="M306" s="609"/>
      <c r="N306" s="609"/>
      <c r="O306" s="610"/>
      <c r="P306" s="606" t="s">
        <v>40</v>
      </c>
      <c r="Q306" s="607"/>
      <c r="R306" s="607"/>
      <c r="S306" s="607"/>
      <c r="T306" s="607"/>
      <c r="U306" s="607"/>
      <c r="V306" s="608"/>
      <c r="W306" s="40" t="s">
        <v>0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17" t="s">
        <v>509</v>
      </c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17"/>
      <c r="P307" s="617"/>
      <c r="Q307" s="617"/>
      <c r="R307" s="617"/>
      <c r="S307" s="617"/>
      <c r="T307" s="617"/>
      <c r="U307" s="617"/>
      <c r="V307" s="617"/>
      <c r="W307" s="617"/>
      <c r="X307" s="617"/>
      <c r="Y307" s="617"/>
      <c r="Z307" s="617"/>
      <c r="AA307" s="62"/>
      <c r="AB307" s="62"/>
      <c r="AC307" s="62"/>
    </row>
    <row r="308" spans="1:68" ht="14.25" hidden="1" customHeight="1" x14ac:dyDescent="0.25">
      <c r="A308" s="601" t="s">
        <v>128</v>
      </c>
      <c r="B308" s="601"/>
      <c r="C308" s="601"/>
      <c r="D308" s="601"/>
      <c r="E308" s="601"/>
      <c r="F308" s="601"/>
      <c r="G308" s="601"/>
      <c r="H308" s="601"/>
      <c r="I308" s="601"/>
      <c r="J308" s="601"/>
      <c r="K308" s="601"/>
      <c r="L308" s="601"/>
      <c r="M308" s="601"/>
      <c r="N308" s="601"/>
      <c r="O308" s="601"/>
      <c r="P308" s="601"/>
      <c r="Q308" s="601"/>
      <c r="R308" s="601"/>
      <c r="S308" s="601"/>
      <c r="T308" s="601"/>
      <c r="U308" s="601"/>
      <c r="V308" s="601"/>
      <c r="W308" s="601"/>
      <c r="X308" s="601"/>
      <c r="Y308" s="601"/>
      <c r="Z308" s="601"/>
      <c r="AA308" s="63"/>
      <c r="AB308" s="63"/>
      <c r="AC308" s="63"/>
    </row>
    <row r="309" spans="1:68" ht="27" hidden="1" customHeight="1" x14ac:dyDescent="0.25">
      <c r="A309" s="60" t="s">
        <v>510</v>
      </c>
      <c r="B309" s="60" t="s">
        <v>511</v>
      </c>
      <c r="C309" s="34">
        <v>4301011855</v>
      </c>
      <c r="D309" s="602">
        <v>4680115885837</v>
      </c>
      <c r="E309" s="602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7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4"/>
      <c r="R309" s="604"/>
      <c r="S309" s="604"/>
      <c r="T309" s="605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513</v>
      </c>
      <c r="B310" s="60" t="s">
        <v>514</v>
      </c>
      <c r="C310" s="34">
        <v>4301012234</v>
      </c>
      <c r="D310" s="602">
        <v>4680115887237</v>
      </c>
      <c r="E310" s="602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7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4"/>
      <c r="R310" s="604"/>
      <c r="S310" s="604"/>
      <c r="T310" s="605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516</v>
      </c>
      <c r="B311" s="60" t="s">
        <v>517</v>
      </c>
      <c r="C311" s="34">
        <v>4301011850</v>
      </c>
      <c r="D311" s="602">
        <v>4680115885806</v>
      </c>
      <c r="E311" s="602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7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4"/>
      <c r="R311" s="604"/>
      <c r="S311" s="604"/>
      <c r="T311" s="605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519</v>
      </c>
      <c r="B312" s="60" t="s">
        <v>520</v>
      </c>
      <c r="C312" s="34">
        <v>4301011852</v>
      </c>
      <c r="D312" s="602">
        <v>4680115885844</v>
      </c>
      <c r="E312" s="602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7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4"/>
      <c r="R312" s="604"/>
      <c r="S312" s="604"/>
      <c r="T312" s="605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522</v>
      </c>
      <c r="B313" s="60" t="s">
        <v>523</v>
      </c>
      <c r="C313" s="34">
        <v>4301011851</v>
      </c>
      <c r="D313" s="602">
        <v>4680115885820</v>
      </c>
      <c r="E313" s="602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7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4"/>
      <c r="R313" s="604"/>
      <c r="S313" s="604"/>
      <c r="T313" s="605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09"/>
      <c r="B314" s="609"/>
      <c r="C314" s="609"/>
      <c r="D314" s="609"/>
      <c r="E314" s="609"/>
      <c r="F314" s="609"/>
      <c r="G314" s="609"/>
      <c r="H314" s="609"/>
      <c r="I314" s="609"/>
      <c r="J314" s="609"/>
      <c r="K314" s="609"/>
      <c r="L314" s="609"/>
      <c r="M314" s="609"/>
      <c r="N314" s="609"/>
      <c r="O314" s="610"/>
      <c r="P314" s="606" t="s">
        <v>40</v>
      </c>
      <c r="Q314" s="607"/>
      <c r="R314" s="607"/>
      <c r="S314" s="607"/>
      <c r="T314" s="607"/>
      <c r="U314" s="607"/>
      <c r="V314" s="608"/>
      <c r="W314" s="40" t="s">
        <v>39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hidden="1" x14ac:dyDescent="0.2">
      <c r="A315" s="609"/>
      <c r="B315" s="609"/>
      <c r="C315" s="609"/>
      <c r="D315" s="609"/>
      <c r="E315" s="609"/>
      <c r="F315" s="609"/>
      <c r="G315" s="609"/>
      <c r="H315" s="609"/>
      <c r="I315" s="609"/>
      <c r="J315" s="609"/>
      <c r="K315" s="609"/>
      <c r="L315" s="609"/>
      <c r="M315" s="609"/>
      <c r="N315" s="609"/>
      <c r="O315" s="610"/>
      <c r="P315" s="606" t="s">
        <v>40</v>
      </c>
      <c r="Q315" s="607"/>
      <c r="R315" s="607"/>
      <c r="S315" s="607"/>
      <c r="T315" s="607"/>
      <c r="U315" s="607"/>
      <c r="V315" s="608"/>
      <c r="W315" s="40" t="s">
        <v>0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hidden="1" customHeight="1" x14ac:dyDescent="0.25">
      <c r="A316" s="617" t="s">
        <v>525</v>
      </c>
      <c r="B316" s="617"/>
      <c r="C316" s="617"/>
      <c r="D316" s="617"/>
      <c r="E316" s="617"/>
      <c r="F316" s="617"/>
      <c r="G316" s="617"/>
      <c r="H316" s="617"/>
      <c r="I316" s="617"/>
      <c r="J316" s="617"/>
      <c r="K316" s="617"/>
      <c r="L316" s="617"/>
      <c r="M316" s="617"/>
      <c r="N316" s="617"/>
      <c r="O316" s="617"/>
      <c r="P316" s="617"/>
      <c r="Q316" s="617"/>
      <c r="R316" s="617"/>
      <c r="S316" s="617"/>
      <c r="T316" s="617"/>
      <c r="U316" s="617"/>
      <c r="V316" s="617"/>
      <c r="W316" s="617"/>
      <c r="X316" s="617"/>
      <c r="Y316" s="617"/>
      <c r="Z316" s="617"/>
      <c r="AA316" s="62"/>
      <c r="AB316" s="62"/>
      <c r="AC316" s="62"/>
    </row>
    <row r="317" spans="1:68" ht="14.25" hidden="1" customHeight="1" x14ac:dyDescent="0.25">
      <c r="A317" s="601" t="s">
        <v>86</v>
      </c>
      <c r="B317" s="601"/>
      <c r="C317" s="601"/>
      <c r="D317" s="601"/>
      <c r="E317" s="601"/>
      <c r="F317" s="601"/>
      <c r="G317" s="601"/>
      <c r="H317" s="601"/>
      <c r="I317" s="601"/>
      <c r="J317" s="601"/>
      <c r="K317" s="601"/>
      <c r="L317" s="601"/>
      <c r="M317" s="601"/>
      <c r="N317" s="601"/>
      <c r="O317" s="601"/>
      <c r="P317" s="601"/>
      <c r="Q317" s="601"/>
      <c r="R317" s="601"/>
      <c r="S317" s="601"/>
      <c r="T317" s="601"/>
      <c r="U317" s="601"/>
      <c r="V317" s="601"/>
      <c r="W317" s="601"/>
      <c r="X317" s="601"/>
      <c r="Y317" s="601"/>
      <c r="Z317" s="601"/>
      <c r="AA317" s="63"/>
      <c r="AB317" s="63"/>
      <c r="AC317" s="63"/>
    </row>
    <row r="318" spans="1:68" ht="27" hidden="1" customHeight="1" x14ac:dyDescent="0.25">
      <c r="A318" s="60" t="s">
        <v>526</v>
      </c>
      <c r="B318" s="60" t="s">
        <v>527</v>
      </c>
      <c r="C318" s="34">
        <v>4301051893</v>
      </c>
      <c r="D318" s="602">
        <v>4680115886186</v>
      </c>
      <c r="E318" s="602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71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4"/>
      <c r="R318" s="604"/>
      <c r="S318" s="604"/>
      <c r="T318" s="605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529</v>
      </c>
      <c r="B319" s="60" t="s">
        <v>530</v>
      </c>
      <c r="C319" s="34">
        <v>4301051795</v>
      </c>
      <c r="D319" s="602">
        <v>4680115881228</v>
      </c>
      <c r="E319" s="602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7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4"/>
      <c r="R319" s="604"/>
      <c r="S319" s="604"/>
      <c r="T319" s="605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532</v>
      </c>
      <c r="B320" s="60" t="s">
        <v>533</v>
      </c>
      <c r="C320" s="34">
        <v>4301051388</v>
      </c>
      <c r="D320" s="602">
        <v>4680115881211</v>
      </c>
      <c r="E320" s="602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7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4"/>
      <c r="R320" s="604"/>
      <c r="S320" s="604"/>
      <c r="T320" s="605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09"/>
      <c r="B321" s="609"/>
      <c r="C321" s="609"/>
      <c r="D321" s="609"/>
      <c r="E321" s="609"/>
      <c r="F321" s="609"/>
      <c r="G321" s="609"/>
      <c r="H321" s="609"/>
      <c r="I321" s="609"/>
      <c r="J321" s="609"/>
      <c r="K321" s="609"/>
      <c r="L321" s="609"/>
      <c r="M321" s="609"/>
      <c r="N321" s="609"/>
      <c r="O321" s="610"/>
      <c r="P321" s="606" t="s">
        <v>40</v>
      </c>
      <c r="Q321" s="607"/>
      <c r="R321" s="607"/>
      <c r="S321" s="607"/>
      <c r="T321" s="607"/>
      <c r="U321" s="607"/>
      <c r="V321" s="608"/>
      <c r="W321" s="40" t="s">
        <v>39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09"/>
      <c r="B322" s="609"/>
      <c r="C322" s="609"/>
      <c r="D322" s="609"/>
      <c r="E322" s="609"/>
      <c r="F322" s="609"/>
      <c r="G322" s="609"/>
      <c r="H322" s="609"/>
      <c r="I322" s="609"/>
      <c r="J322" s="609"/>
      <c r="K322" s="609"/>
      <c r="L322" s="609"/>
      <c r="M322" s="609"/>
      <c r="N322" s="609"/>
      <c r="O322" s="610"/>
      <c r="P322" s="606" t="s">
        <v>40</v>
      </c>
      <c r="Q322" s="607"/>
      <c r="R322" s="607"/>
      <c r="S322" s="607"/>
      <c r="T322" s="607"/>
      <c r="U322" s="607"/>
      <c r="V322" s="608"/>
      <c r="W322" s="40" t="s">
        <v>0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17" t="s">
        <v>534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2"/>
      <c r="AB323" s="62"/>
      <c r="AC323" s="62"/>
    </row>
    <row r="324" spans="1:68" ht="14.25" hidden="1" customHeight="1" x14ac:dyDescent="0.25">
      <c r="A324" s="601" t="s">
        <v>77</v>
      </c>
      <c r="B324" s="601"/>
      <c r="C324" s="601"/>
      <c r="D324" s="601"/>
      <c r="E324" s="601"/>
      <c r="F324" s="601"/>
      <c r="G324" s="601"/>
      <c r="H324" s="601"/>
      <c r="I324" s="601"/>
      <c r="J324" s="601"/>
      <c r="K324" s="601"/>
      <c r="L324" s="601"/>
      <c r="M324" s="601"/>
      <c r="N324" s="601"/>
      <c r="O324" s="601"/>
      <c r="P324" s="601"/>
      <c r="Q324" s="601"/>
      <c r="R324" s="601"/>
      <c r="S324" s="601"/>
      <c r="T324" s="601"/>
      <c r="U324" s="601"/>
      <c r="V324" s="601"/>
      <c r="W324" s="601"/>
      <c r="X324" s="601"/>
      <c r="Y324" s="601"/>
      <c r="Z324" s="601"/>
      <c r="AA324" s="63"/>
      <c r="AB324" s="63"/>
      <c r="AC324" s="63"/>
    </row>
    <row r="325" spans="1:68" ht="27" hidden="1" customHeight="1" x14ac:dyDescent="0.25">
      <c r="A325" s="60" t="s">
        <v>535</v>
      </c>
      <c r="B325" s="60" t="s">
        <v>536</v>
      </c>
      <c r="C325" s="34">
        <v>4301031445</v>
      </c>
      <c r="D325" s="602">
        <v>4680115888319</v>
      </c>
      <c r="E325" s="602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71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4"/>
      <c r="R325" s="604"/>
      <c r="S325" s="604"/>
      <c r="T325" s="60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537</v>
      </c>
      <c r="B326" s="60" t="s">
        <v>538</v>
      </c>
      <c r="C326" s="34">
        <v>4301031502</v>
      </c>
      <c r="D326" s="602">
        <v>4680115884700</v>
      </c>
      <c r="E326" s="602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71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4"/>
      <c r="R326" s="604"/>
      <c r="S326" s="604"/>
      <c r="T326" s="60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540</v>
      </c>
      <c r="B327" s="60" t="s">
        <v>541</v>
      </c>
      <c r="C327" s="34">
        <v>4301031307</v>
      </c>
      <c r="D327" s="602">
        <v>4680115880344</v>
      </c>
      <c r="E327" s="602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71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4"/>
      <c r="R327" s="604"/>
      <c r="S327" s="604"/>
      <c r="T327" s="60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543</v>
      </c>
      <c r="B328" s="60" t="s">
        <v>544</v>
      </c>
      <c r="C328" s="34">
        <v>4301031501</v>
      </c>
      <c r="D328" s="602">
        <v>4680115886919</v>
      </c>
      <c r="E328" s="602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71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4"/>
      <c r="R328" s="604"/>
      <c r="S328" s="604"/>
      <c r="T328" s="605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546</v>
      </c>
      <c r="B329" s="60" t="s">
        <v>547</v>
      </c>
      <c r="C329" s="34">
        <v>4301031246</v>
      </c>
      <c r="D329" s="602">
        <v>4680115883970</v>
      </c>
      <c r="E329" s="602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70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4"/>
      <c r="R329" s="604"/>
      <c r="S329" s="604"/>
      <c r="T329" s="605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09"/>
      <c r="B330" s="609"/>
      <c r="C330" s="609"/>
      <c r="D330" s="609"/>
      <c r="E330" s="609"/>
      <c r="F330" s="609"/>
      <c r="G330" s="609"/>
      <c r="H330" s="609"/>
      <c r="I330" s="609"/>
      <c r="J330" s="609"/>
      <c r="K330" s="609"/>
      <c r="L330" s="609"/>
      <c r="M330" s="609"/>
      <c r="N330" s="609"/>
      <c r="O330" s="610"/>
      <c r="P330" s="606" t="s">
        <v>40</v>
      </c>
      <c r="Q330" s="607"/>
      <c r="R330" s="607"/>
      <c r="S330" s="607"/>
      <c r="T330" s="607"/>
      <c r="U330" s="607"/>
      <c r="V330" s="608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09"/>
      <c r="B331" s="609"/>
      <c r="C331" s="609"/>
      <c r="D331" s="609"/>
      <c r="E331" s="609"/>
      <c r="F331" s="609"/>
      <c r="G331" s="609"/>
      <c r="H331" s="609"/>
      <c r="I331" s="609"/>
      <c r="J331" s="609"/>
      <c r="K331" s="609"/>
      <c r="L331" s="609"/>
      <c r="M331" s="609"/>
      <c r="N331" s="609"/>
      <c r="O331" s="610"/>
      <c r="P331" s="606" t="s">
        <v>40</v>
      </c>
      <c r="Q331" s="607"/>
      <c r="R331" s="607"/>
      <c r="S331" s="607"/>
      <c r="T331" s="607"/>
      <c r="U331" s="607"/>
      <c r="V331" s="608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01" t="s">
        <v>86</v>
      </c>
      <c r="B332" s="601"/>
      <c r="C332" s="601"/>
      <c r="D332" s="601"/>
      <c r="E332" s="601"/>
      <c r="F332" s="601"/>
      <c r="G332" s="601"/>
      <c r="H332" s="601"/>
      <c r="I332" s="601"/>
      <c r="J332" s="601"/>
      <c r="K332" s="601"/>
      <c r="L332" s="601"/>
      <c r="M332" s="601"/>
      <c r="N332" s="601"/>
      <c r="O332" s="601"/>
      <c r="P332" s="601"/>
      <c r="Q332" s="601"/>
      <c r="R332" s="601"/>
      <c r="S332" s="601"/>
      <c r="T332" s="601"/>
      <c r="U332" s="601"/>
      <c r="V332" s="601"/>
      <c r="W332" s="601"/>
      <c r="X332" s="601"/>
      <c r="Y332" s="601"/>
      <c r="Z332" s="601"/>
      <c r="AA332" s="63"/>
      <c r="AB332" s="63"/>
      <c r="AC332" s="63"/>
    </row>
    <row r="333" spans="1:68" ht="37.5" hidden="1" customHeight="1" x14ac:dyDescent="0.25">
      <c r="A333" s="60" t="s">
        <v>549</v>
      </c>
      <c r="B333" s="60" t="s">
        <v>550</v>
      </c>
      <c r="C333" s="34">
        <v>4301051782</v>
      </c>
      <c r="D333" s="602">
        <v>4680115884618</v>
      </c>
      <c r="E333" s="602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70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4"/>
      <c r="R333" s="604"/>
      <c r="S333" s="604"/>
      <c r="T333" s="60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552</v>
      </c>
      <c r="B334" s="60" t="s">
        <v>553</v>
      </c>
      <c r="C334" s="34">
        <v>4301052057</v>
      </c>
      <c r="D334" s="602">
        <v>4680115887114</v>
      </c>
      <c r="E334" s="602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4"/>
      <c r="R334" s="604"/>
      <c r="S334" s="604"/>
      <c r="T334" s="60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609"/>
      <c r="B335" s="609"/>
      <c r="C335" s="609"/>
      <c r="D335" s="609"/>
      <c r="E335" s="609"/>
      <c r="F335" s="609"/>
      <c r="G335" s="609"/>
      <c r="H335" s="609"/>
      <c r="I335" s="609"/>
      <c r="J335" s="609"/>
      <c r="K335" s="609"/>
      <c r="L335" s="609"/>
      <c r="M335" s="609"/>
      <c r="N335" s="609"/>
      <c r="O335" s="610"/>
      <c r="P335" s="606" t="s">
        <v>40</v>
      </c>
      <c r="Q335" s="607"/>
      <c r="R335" s="607"/>
      <c r="S335" s="607"/>
      <c r="T335" s="607"/>
      <c r="U335" s="607"/>
      <c r="V335" s="608"/>
      <c r="W335" s="40" t="s">
        <v>39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609"/>
      <c r="B336" s="609"/>
      <c r="C336" s="609"/>
      <c r="D336" s="609"/>
      <c r="E336" s="609"/>
      <c r="F336" s="609"/>
      <c r="G336" s="609"/>
      <c r="H336" s="609"/>
      <c r="I336" s="609"/>
      <c r="J336" s="609"/>
      <c r="K336" s="609"/>
      <c r="L336" s="609"/>
      <c r="M336" s="609"/>
      <c r="N336" s="609"/>
      <c r="O336" s="610"/>
      <c r="P336" s="606" t="s">
        <v>40</v>
      </c>
      <c r="Q336" s="607"/>
      <c r="R336" s="607"/>
      <c r="S336" s="607"/>
      <c r="T336" s="607"/>
      <c r="U336" s="607"/>
      <c r="V336" s="608"/>
      <c r="W336" s="40" t="s">
        <v>0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17" t="s">
        <v>555</v>
      </c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17"/>
      <c r="P337" s="617"/>
      <c r="Q337" s="617"/>
      <c r="R337" s="617"/>
      <c r="S337" s="617"/>
      <c r="T337" s="617"/>
      <c r="U337" s="617"/>
      <c r="V337" s="617"/>
      <c r="W337" s="617"/>
      <c r="X337" s="617"/>
      <c r="Y337" s="617"/>
      <c r="Z337" s="617"/>
      <c r="AA337" s="62"/>
      <c r="AB337" s="62"/>
      <c r="AC337" s="62"/>
    </row>
    <row r="338" spans="1:68" ht="14.25" hidden="1" customHeight="1" x14ac:dyDescent="0.25">
      <c r="A338" s="601" t="s">
        <v>128</v>
      </c>
      <c r="B338" s="601"/>
      <c r="C338" s="601"/>
      <c r="D338" s="601"/>
      <c r="E338" s="601"/>
      <c r="F338" s="601"/>
      <c r="G338" s="601"/>
      <c r="H338" s="601"/>
      <c r="I338" s="601"/>
      <c r="J338" s="601"/>
      <c r="K338" s="601"/>
      <c r="L338" s="601"/>
      <c r="M338" s="601"/>
      <c r="N338" s="601"/>
      <c r="O338" s="601"/>
      <c r="P338" s="601"/>
      <c r="Q338" s="601"/>
      <c r="R338" s="601"/>
      <c r="S338" s="601"/>
      <c r="T338" s="601"/>
      <c r="U338" s="601"/>
      <c r="V338" s="601"/>
      <c r="W338" s="601"/>
      <c r="X338" s="601"/>
      <c r="Y338" s="601"/>
      <c r="Z338" s="601"/>
      <c r="AA338" s="63"/>
      <c r="AB338" s="63"/>
      <c r="AC338" s="63"/>
    </row>
    <row r="339" spans="1:68" ht="27" hidden="1" customHeight="1" x14ac:dyDescent="0.25">
      <c r="A339" s="60" t="s">
        <v>556</v>
      </c>
      <c r="B339" s="60" t="s">
        <v>557</v>
      </c>
      <c r="C339" s="34">
        <v>4301012324</v>
      </c>
      <c r="D339" s="602">
        <v>4680115887947</v>
      </c>
      <c r="E339" s="602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70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4"/>
      <c r="R339" s="604"/>
      <c r="S339" s="604"/>
      <c r="T339" s="605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559</v>
      </c>
      <c r="B340" s="60" t="s">
        <v>560</v>
      </c>
      <c r="C340" s="34">
        <v>4301012325</v>
      </c>
      <c r="D340" s="602">
        <v>4680115887978</v>
      </c>
      <c r="E340" s="602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70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4"/>
      <c r="R340" s="604"/>
      <c r="S340" s="604"/>
      <c r="T340" s="605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562</v>
      </c>
      <c r="B341" s="60" t="s">
        <v>563</v>
      </c>
      <c r="C341" s="34">
        <v>4301012327</v>
      </c>
      <c r="D341" s="602">
        <v>4680115887992</v>
      </c>
      <c r="E341" s="602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70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4"/>
      <c r="R341" s="604"/>
      <c r="S341" s="604"/>
      <c r="T341" s="605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09"/>
      <c r="B342" s="609"/>
      <c r="C342" s="609"/>
      <c r="D342" s="609"/>
      <c r="E342" s="609"/>
      <c r="F342" s="609"/>
      <c r="G342" s="609"/>
      <c r="H342" s="609"/>
      <c r="I342" s="609"/>
      <c r="J342" s="609"/>
      <c r="K342" s="609"/>
      <c r="L342" s="609"/>
      <c r="M342" s="609"/>
      <c r="N342" s="609"/>
      <c r="O342" s="610"/>
      <c r="P342" s="606" t="s">
        <v>40</v>
      </c>
      <c r="Q342" s="607"/>
      <c r="R342" s="607"/>
      <c r="S342" s="607"/>
      <c r="T342" s="607"/>
      <c r="U342" s="607"/>
      <c r="V342" s="608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09"/>
      <c r="B343" s="609"/>
      <c r="C343" s="609"/>
      <c r="D343" s="609"/>
      <c r="E343" s="609"/>
      <c r="F343" s="609"/>
      <c r="G343" s="609"/>
      <c r="H343" s="609"/>
      <c r="I343" s="609"/>
      <c r="J343" s="609"/>
      <c r="K343" s="609"/>
      <c r="L343" s="609"/>
      <c r="M343" s="609"/>
      <c r="N343" s="609"/>
      <c r="O343" s="610"/>
      <c r="P343" s="606" t="s">
        <v>40</v>
      </c>
      <c r="Q343" s="607"/>
      <c r="R343" s="607"/>
      <c r="S343" s="607"/>
      <c r="T343" s="607"/>
      <c r="U343" s="607"/>
      <c r="V343" s="608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17" t="s">
        <v>565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2"/>
      <c r="AB344" s="62"/>
      <c r="AC344" s="62"/>
    </row>
    <row r="345" spans="1:68" ht="14.25" hidden="1" customHeight="1" x14ac:dyDescent="0.25">
      <c r="A345" s="601" t="s">
        <v>128</v>
      </c>
      <c r="B345" s="601"/>
      <c r="C345" s="601"/>
      <c r="D345" s="601"/>
      <c r="E345" s="601"/>
      <c r="F345" s="601"/>
      <c r="G345" s="601"/>
      <c r="H345" s="601"/>
      <c r="I345" s="601"/>
      <c r="J345" s="601"/>
      <c r="K345" s="601"/>
      <c r="L345" s="601"/>
      <c r="M345" s="601"/>
      <c r="N345" s="601"/>
      <c r="O345" s="601"/>
      <c r="P345" s="601"/>
      <c r="Q345" s="601"/>
      <c r="R345" s="601"/>
      <c r="S345" s="601"/>
      <c r="T345" s="601"/>
      <c r="U345" s="601"/>
      <c r="V345" s="601"/>
      <c r="W345" s="601"/>
      <c r="X345" s="601"/>
      <c r="Y345" s="601"/>
      <c r="Z345" s="601"/>
      <c r="AA345" s="63"/>
      <c r="AB345" s="63"/>
      <c r="AC345" s="63"/>
    </row>
    <row r="346" spans="1:68" ht="27" hidden="1" customHeight="1" x14ac:dyDescent="0.25">
      <c r="A346" s="60" t="s">
        <v>566</v>
      </c>
      <c r="B346" s="60" t="s">
        <v>567</v>
      </c>
      <c r="C346" s="34">
        <v>4301012126</v>
      </c>
      <c r="D346" s="602">
        <v>4607091386004</v>
      </c>
      <c r="E346" s="602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70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04"/>
      <c r="R346" s="604"/>
      <c r="S346" s="604"/>
      <c r="T346" s="605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ref="Y346:Y351" si="47"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 t="shared" ref="BM346:BM351" si="48">IFERROR(X346*I346/H346,"0")</f>
        <v>0</v>
      </c>
      <c r="BN346" s="75">
        <f t="shared" ref="BN346:BN351" si="49">IFERROR(Y346*I346/H346,"0")</f>
        <v>0</v>
      </c>
      <c r="BO346" s="75">
        <f t="shared" ref="BO346:BO351" si="50">IFERROR(1/J346*(X346/H346),"0")</f>
        <v>0</v>
      </c>
      <c r="BP346" s="75">
        <f t="shared" ref="BP346:BP351" si="51">IFERROR(1/J346*(Y346/H346),"0")</f>
        <v>0</v>
      </c>
    </row>
    <row r="347" spans="1:68" ht="27" hidden="1" customHeight="1" x14ac:dyDescent="0.25">
      <c r="A347" s="60" t="s">
        <v>569</v>
      </c>
      <c r="B347" s="60" t="s">
        <v>570</v>
      </c>
      <c r="C347" s="34">
        <v>4301012235</v>
      </c>
      <c r="D347" s="602">
        <v>4680115887190</v>
      </c>
      <c r="E347" s="602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6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04"/>
      <c r="R347" s="604"/>
      <c r="S347" s="604"/>
      <c r="T347" s="605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7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 t="shared" si="48"/>
        <v>0</v>
      </c>
      <c r="BN347" s="75">
        <f t="shared" si="49"/>
        <v>0</v>
      </c>
      <c r="BO347" s="75">
        <f t="shared" si="50"/>
        <v>0</v>
      </c>
      <c r="BP347" s="75">
        <f t="shared" si="51"/>
        <v>0</v>
      </c>
    </row>
    <row r="348" spans="1:68" ht="37.5" hidden="1" customHeight="1" x14ac:dyDescent="0.25">
      <c r="A348" s="60" t="s">
        <v>572</v>
      </c>
      <c r="B348" s="60" t="s">
        <v>573</v>
      </c>
      <c r="C348" s="34">
        <v>4301012233</v>
      </c>
      <c r="D348" s="602">
        <v>4680115887138</v>
      </c>
      <c r="E348" s="602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132</v>
      </c>
      <c r="N348" s="36"/>
      <c r="O348" s="35">
        <v>55</v>
      </c>
      <c r="P348" s="70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04"/>
      <c r="R348" s="604"/>
      <c r="S348" s="604"/>
      <c r="T348" s="605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7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 t="shared" si="48"/>
        <v>0</v>
      </c>
      <c r="BN348" s="75">
        <f t="shared" si="49"/>
        <v>0</v>
      </c>
      <c r="BO348" s="75">
        <f t="shared" si="50"/>
        <v>0</v>
      </c>
      <c r="BP348" s="75">
        <f t="shared" si="51"/>
        <v>0</v>
      </c>
    </row>
    <row r="349" spans="1:68" ht="27" hidden="1" customHeight="1" x14ac:dyDescent="0.25">
      <c r="A349" s="60" t="s">
        <v>575</v>
      </c>
      <c r="B349" s="60" t="s">
        <v>576</v>
      </c>
      <c r="C349" s="34">
        <v>4301012016</v>
      </c>
      <c r="D349" s="602">
        <v>4680115885554</v>
      </c>
      <c r="E349" s="602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55</v>
      </c>
      <c r="P349" s="7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04"/>
      <c r="R349" s="604"/>
      <c r="S349" s="604"/>
      <c r="T349" s="605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7"/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577</v>
      </c>
      <c r="AG349" s="75"/>
      <c r="AJ349" s="79" t="s">
        <v>46</v>
      </c>
      <c r="AK349" s="79">
        <v>0</v>
      </c>
      <c r="BB349" s="426" t="s">
        <v>67</v>
      </c>
      <c r="BM349" s="75">
        <f t="shared" si="48"/>
        <v>0</v>
      </c>
      <c r="BN349" s="75">
        <f t="shared" si="49"/>
        <v>0</v>
      </c>
      <c r="BO349" s="75">
        <f t="shared" si="50"/>
        <v>0</v>
      </c>
      <c r="BP349" s="75">
        <f t="shared" si="51"/>
        <v>0</v>
      </c>
    </row>
    <row r="350" spans="1:68" ht="27" hidden="1" customHeight="1" x14ac:dyDescent="0.25">
      <c r="A350" s="60" t="s">
        <v>578</v>
      </c>
      <c r="B350" s="60" t="s">
        <v>579</v>
      </c>
      <c r="C350" s="34">
        <v>4301012236</v>
      </c>
      <c r="D350" s="602">
        <v>4680115887220</v>
      </c>
      <c r="E350" s="602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70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04"/>
      <c r="R350" s="604"/>
      <c r="S350" s="604"/>
      <c r="T350" s="605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571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hidden="1" customHeight="1" x14ac:dyDescent="0.25">
      <c r="A351" s="60" t="s">
        <v>580</v>
      </c>
      <c r="B351" s="60" t="s">
        <v>581</v>
      </c>
      <c r="C351" s="34">
        <v>4301011859</v>
      </c>
      <c r="D351" s="602">
        <v>4680115885608</v>
      </c>
      <c r="E351" s="602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140</v>
      </c>
      <c r="L351" s="35" t="s">
        <v>46</v>
      </c>
      <c r="M351" s="36" t="s">
        <v>132</v>
      </c>
      <c r="N351" s="36"/>
      <c r="O351" s="35">
        <v>55</v>
      </c>
      <c r="P351" s="70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04"/>
      <c r="R351" s="604"/>
      <c r="S351" s="604"/>
      <c r="T351" s="605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29" t="s">
        <v>582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hidden="1" x14ac:dyDescent="0.2">
      <c r="A352" s="609"/>
      <c r="B352" s="609"/>
      <c r="C352" s="609"/>
      <c r="D352" s="609"/>
      <c r="E352" s="609"/>
      <c r="F352" s="609"/>
      <c r="G352" s="609"/>
      <c r="H352" s="609"/>
      <c r="I352" s="609"/>
      <c r="J352" s="609"/>
      <c r="K352" s="609"/>
      <c r="L352" s="609"/>
      <c r="M352" s="609"/>
      <c r="N352" s="609"/>
      <c r="O352" s="610"/>
      <c r="P352" s="606" t="s">
        <v>40</v>
      </c>
      <c r="Q352" s="607"/>
      <c r="R352" s="607"/>
      <c r="S352" s="607"/>
      <c r="T352" s="607"/>
      <c r="U352" s="607"/>
      <c r="V352" s="608"/>
      <c r="W352" s="40" t="s">
        <v>39</v>
      </c>
      <c r="X352" s="41">
        <f>IFERROR(X346/H346,"0")+IFERROR(X347/H347,"0")+IFERROR(X348/H348,"0")+IFERROR(X349/H349,"0")+IFERROR(X350/H350,"0")+IFERROR(X351/H351,"0")</f>
        <v>0</v>
      </c>
      <c r="Y352" s="41">
        <f>IFERROR(Y346/H346,"0")+IFERROR(Y347/H347,"0")+IFERROR(Y348/H348,"0")+IFERROR(Y349/H349,"0")+IFERROR(Y350/H350,"0")+IFERROR(Y351/H351,"0")</f>
        <v>0</v>
      </c>
      <c r="Z352" s="41">
        <f>IFERROR(IF(Z346="",0,Z346),"0")+IFERROR(IF(Z347="",0,Z347),"0")+IFERROR(IF(Z348="",0,Z348),"0")+IFERROR(IF(Z349="",0,Z349),"0")+IFERROR(IF(Z350="",0,Z350),"0")+IFERROR(IF(Z351="",0,Z351),"0")</f>
        <v>0</v>
      </c>
      <c r="AA352" s="64"/>
      <c r="AB352" s="64"/>
      <c r="AC352" s="64"/>
    </row>
    <row r="353" spans="1:68" hidden="1" x14ac:dyDescent="0.2">
      <c r="A353" s="609"/>
      <c r="B353" s="609"/>
      <c r="C353" s="609"/>
      <c r="D353" s="609"/>
      <c r="E353" s="609"/>
      <c r="F353" s="609"/>
      <c r="G353" s="609"/>
      <c r="H353" s="609"/>
      <c r="I353" s="609"/>
      <c r="J353" s="609"/>
      <c r="K353" s="609"/>
      <c r="L353" s="609"/>
      <c r="M353" s="609"/>
      <c r="N353" s="609"/>
      <c r="O353" s="610"/>
      <c r="P353" s="606" t="s">
        <v>40</v>
      </c>
      <c r="Q353" s="607"/>
      <c r="R353" s="607"/>
      <c r="S353" s="607"/>
      <c r="T353" s="607"/>
      <c r="U353" s="607"/>
      <c r="V353" s="608"/>
      <c r="W353" s="40" t="s">
        <v>0</v>
      </c>
      <c r="X353" s="41">
        <f>IFERROR(SUM(X346:X351),"0")</f>
        <v>0</v>
      </c>
      <c r="Y353" s="41">
        <f>IFERROR(SUM(Y346:Y351),"0")</f>
        <v>0</v>
      </c>
      <c r="Z353" s="40"/>
      <c r="AA353" s="64"/>
      <c r="AB353" s="64"/>
      <c r="AC353" s="64"/>
    </row>
    <row r="354" spans="1:68" ht="14.25" hidden="1" customHeight="1" x14ac:dyDescent="0.25">
      <c r="A354" s="601" t="s">
        <v>77</v>
      </c>
      <c r="B354" s="601"/>
      <c r="C354" s="601"/>
      <c r="D354" s="601"/>
      <c r="E354" s="601"/>
      <c r="F354" s="601"/>
      <c r="G354" s="601"/>
      <c r="H354" s="601"/>
      <c r="I354" s="601"/>
      <c r="J354" s="601"/>
      <c r="K354" s="601"/>
      <c r="L354" s="601"/>
      <c r="M354" s="601"/>
      <c r="N354" s="601"/>
      <c r="O354" s="601"/>
      <c r="P354" s="601"/>
      <c r="Q354" s="601"/>
      <c r="R354" s="601"/>
      <c r="S354" s="601"/>
      <c r="T354" s="601"/>
      <c r="U354" s="601"/>
      <c r="V354" s="601"/>
      <c r="W354" s="601"/>
      <c r="X354" s="601"/>
      <c r="Y354" s="601"/>
      <c r="Z354" s="601"/>
      <c r="AA354" s="63"/>
      <c r="AB354" s="63"/>
      <c r="AC354" s="63"/>
    </row>
    <row r="355" spans="1:68" ht="27" hidden="1" customHeight="1" x14ac:dyDescent="0.25">
      <c r="A355" s="60" t="s">
        <v>583</v>
      </c>
      <c r="B355" s="60" t="s">
        <v>584</v>
      </c>
      <c r="C355" s="34">
        <v>4301030878</v>
      </c>
      <c r="D355" s="602">
        <v>4607091387193</v>
      </c>
      <c r="E355" s="602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35</v>
      </c>
      <c r="P355" s="69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04"/>
      <c r="R355" s="604"/>
      <c r="S355" s="604"/>
      <c r="T355" s="605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ref="Y355:Y361" si="52">IFERROR(IF(X355="",0,CEILING((X355/$H355),1)*$H355),"")</f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ref="BM355:BM361" si="53">IFERROR(X355*I355/H355,"0")</f>
        <v>0</v>
      </c>
      <c r="BN355" s="75">
        <f t="shared" ref="BN355:BN361" si="54">IFERROR(Y355*I355/H355,"0")</f>
        <v>0</v>
      </c>
      <c r="BO355" s="75">
        <f t="shared" ref="BO355:BO361" si="55">IFERROR(1/J355*(X355/H355),"0")</f>
        <v>0</v>
      </c>
      <c r="BP355" s="75">
        <f t="shared" ref="BP355:BP361" si="56">IFERROR(1/J355*(Y355/H355),"0")</f>
        <v>0</v>
      </c>
    </row>
    <row r="356" spans="1:68" ht="27" customHeight="1" x14ac:dyDescent="0.25">
      <c r="A356" s="60" t="s">
        <v>586</v>
      </c>
      <c r="B356" s="60" t="s">
        <v>587</v>
      </c>
      <c r="C356" s="34">
        <v>4301031153</v>
      </c>
      <c r="D356" s="602">
        <v>4607091387230</v>
      </c>
      <c r="E356" s="602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40</v>
      </c>
      <c r="P356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04"/>
      <c r="R356" s="604"/>
      <c r="S356" s="604"/>
      <c r="T356" s="605"/>
      <c r="U356" s="37" t="s">
        <v>46</v>
      </c>
      <c r="V356" s="37" t="s">
        <v>46</v>
      </c>
      <c r="W356" s="38" t="s">
        <v>0</v>
      </c>
      <c r="X356" s="56">
        <v>300</v>
      </c>
      <c r="Y356" s="53">
        <f t="shared" si="52"/>
        <v>302.40000000000003</v>
      </c>
      <c r="Z356" s="39">
        <f>IFERROR(IF(Y356=0,"",ROUNDUP(Y356/H356,0)*0.00902),"")</f>
        <v>0.64944000000000002</v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53"/>
        <v>317.85714285714283</v>
      </c>
      <c r="BN356" s="75">
        <f t="shared" si="54"/>
        <v>320.40000000000003</v>
      </c>
      <c r="BO356" s="75">
        <f t="shared" si="55"/>
        <v>0.54112554112554112</v>
      </c>
      <c r="BP356" s="75">
        <f t="shared" si="56"/>
        <v>0.54545454545454541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4301031154</v>
      </c>
      <c r="D357" s="602">
        <v>4607091387292</v>
      </c>
      <c r="E357" s="602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140</v>
      </c>
      <c r="L357" s="35" t="s">
        <v>46</v>
      </c>
      <c r="M357" s="36" t="s">
        <v>81</v>
      </c>
      <c r="N357" s="36"/>
      <c r="O357" s="35">
        <v>45</v>
      </c>
      <c r="P357" s="6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04"/>
      <c r="R357" s="604"/>
      <c r="S357" s="604"/>
      <c r="T357" s="605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35" t="s">
        <v>591</v>
      </c>
      <c r="AG357" s="75"/>
      <c r="AJ357" s="79" t="s">
        <v>46</v>
      </c>
      <c r="AK357" s="79">
        <v>0</v>
      </c>
      <c r="BB357" s="436" t="s">
        <v>67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4301031152</v>
      </c>
      <c r="D358" s="602">
        <v>4607091387285</v>
      </c>
      <c r="E358" s="602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69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04"/>
      <c r="R358" s="604"/>
      <c r="S358" s="604"/>
      <c r="T358" s="605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2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588</v>
      </c>
      <c r="AG358" s="75"/>
      <c r="AJ358" s="79" t="s">
        <v>46</v>
      </c>
      <c r="AK358" s="79">
        <v>0</v>
      </c>
      <c r="BB358" s="438" t="s">
        <v>67</v>
      </c>
      <c r="BM358" s="75">
        <f t="shared" si="53"/>
        <v>0</v>
      </c>
      <c r="BN358" s="75">
        <f t="shared" si="54"/>
        <v>0</v>
      </c>
      <c r="BO358" s="75">
        <f t="shared" si="55"/>
        <v>0</v>
      </c>
      <c r="BP358" s="75">
        <f t="shared" si="56"/>
        <v>0</v>
      </c>
    </row>
    <row r="359" spans="1:68" ht="27" hidden="1" customHeight="1" x14ac:dyDescent="0.25">
      <c r="A359" s="60" t="s">
        <v>594</v>
      </c>
      <c r="B359" s="60" t="s">
        <v>595</v>
      </c>
      <c r="C359" s="34">
        <v>4301031305</v>
      </c>
      <c r="D359" s="602">
        <v>4607091389845</v>
      </c>
      <c r="E359" s="602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82</v>
      </c>
      <c r="L359" s="35" t="s">
        <v>46</v>
      </c>
      <c r="M359" s="36" t="s">
        <v>81</v>
      </c>
      <c r="N359" s="36"/>
      <c r="O359" s="35">
        <v>40</v>
      </c>
      <c r="P359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04"/>
      <c r="R359" s="604"/>
      <c r="S359" s="604"/>
      <c r="T359" s="605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2"/>
        <v>0</v>
      </c>
      <c r="Z359" s="39" t="str">
        <f>IFERROR(IF(Y359=0,"",ROUNDUP(Y359/H359,0)*0.00502),"")</f>
        <v/>
      </c>
      <c r="AA359" s="65" t="s">
        <v>46</v>
      </c>
      <c r="AB359" s="66" t="s">
        <v>46</v>
      </c>
      <c r="AC359" s="439" t="s">
        <v>596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0</v>
      </c>
      <c r="BN359" s="75">
        <f t="shared" si="54"/>
        <v>0</v>
      </c>
      <c r="BO359" s="75">
        <f t="shared" si="55"/>
        <v>0</v>
      </c>
      <c r="BP359" s="75">
        <f t="shared" si="56"/>
        <v>0</v>
      </c>
    </row>
    <row r="360" spans="1:68" ht="27" hidden="1" customHeight="1" x14ac:dyDescent="0.25">
      <c r="A360" s="60" t="s">
        <v>597</v>
      </c>
      <c r="B360" s="60" t="s">
        <v>598</v>
      </c>
      <c r="C360" s="34">
        <v>4301031460</v>
      </c>
      <c r="D360" s="602">
        <v>4680115887442</v>
      </c>
      <c r="E360" s="602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69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04"/>
      <c r="R360" s="604"/>
      <c r="S360" s="604"/>
      <c r="T360" s="605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591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hidden="1" customHeight="1" x14ac:dyDescent="0.25">
      <c r="A361" s="60" t="s">
        <v>599</v>
      </c>
      <c r="B361" s="60" t="s">
        <v>600</v>
      </c>
      <c r="C361" s="34">
        <v>4301031066</v>
      </c>
      <c r="D361" s="602">
        <v>4607091383836</v>
      </c>
      <c r="E361" s="602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91</v>
      </c>
      <c r="L361" s="35" t="s">
        <v>46</v>
      </c>
      <c r="M361" s="36" t="s">
        <v>81</v>
      </c>
      <c r="N361" s="36"/>
      <c r="O361" s="35">
        <v>40</v>
      </c>
      <c r="P361" s="69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04"/>
      <c r="R361" s="604"/>
      <c r="S361" s="604"/>
      <c r="T361" s="605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2"/>
        <v>0</v>
      </c>
      <c r="Z361" s="39" t="str">
        <f>IFERROR(IF(Y361=0,"",ROUNDUP(Y361/H361,0)*0.00651),"")</f>
        <v/>
      </c>
      <c r="AA361" s="65" t="s">
        <v>46</v>
      </c>
      <c r="AB361" s="66" t="s">
        <v>46</v>
      </c>
      <c r="AC361" s="443" t="s">
        <v>601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0</v>
      </c>
      <c r="BN361" s="75">
        <f t="shared" si="54"/>
        <v>0</v>
      </c>
      <c r="BO361" s="75">
        <f t="shared" si="55"/>
        <v>0</v>
      </c>
      <c r="BP361" s="75">
        <f t="shared" si="56"/>
        <v>0</v>
      </c>
    </row>
    <row r="362" spans="1:68" x14ac:dyDescent="0.2">
      <c r="A362" s="609"/>
      <c r="B362" s="609"/>
      <c r="C362" s="609"/>
      <c r="D362" s="609"/>
      <c r="E362" s="609"/>
      <c r="F362" s="609"/>
      <c r="G362" s="609"/>
      <c r="H362" s="609"/>
      <c r="I362" s="609"/>
      <c r="J362" s="609"/>
      <c r="K362" s="609"/>
      <c r="L362" s="609"/>
      <c r="M362" s="609"/>
      <c r="N362" s="609"/>
      <c r="O362" s="610"/>
      <c r="P362" s="606" t="s">
        <v>40</v>
      </c>
      <c r="Q362" s="607"/>
      <c r="R362" s="607"/>
      <c r="S362" s="607"/>
      <c r="T362" s="607"/>
      <c r="U362" s="607"/>
      <c r="V362" s="608"/>
      <c r="W362" s="40" t="s">
        <v>39</v>
      </c>
      <c r="X362" s="41">
        <f>IFERROR(X355/H355,"0")+IFERROR(X356/H356,"0")+IFERROR(X357/H357,"0")+IFERROR(X358/H358,"0")+IFERROR(X359/H359,"0")+IFERROR(X360/H360,"0")+IFERROR(X361/H361,"0")</f>
        <v>71.428571428571431</v>
      </c>
      <c r="Y362" s="41">
        <f>IFERROR(Y355/H355,"0")+IFERROR(Y356/H356,"0")+IFERROR(Y357/H357,"0")+IFERROR(Y358/H358,"0")+IFERROR(Y359/H359,"0")+IFERROR(Y360/H360,"0")+IFERROR(Y361/H361,"0")</f>
        <v>72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0.64944000000000002</v>
      </c>
      <c r="AA362" s="64"/>
      <c r="AB362" s="64"/>
      <c r="AC362" s="64"/>
    </row>
    <row r="363" spans="1:68" x14ac:dyDescent="0.2">
      <c r="A363" s="609"/>
      <c r="B363" s="609"/>
      <c r="C363" s="609"/>
      <c r="D363" s="609"/>
      <c r="E363" s="609"/>
      <c r="F363" s="609"/>
      <c r="G363" s="609"/>
      <c r="H363" s="609"/>
      <c r="I363" s="609"/>
      <c r="J363" s="609"/>
      <c r="K363" s="609"/>
      <c r="L363" s="609"/>
      <c r="M363" s="609"/>
      <c r="N363" s="609"/>
      <c r="O363" s="610"/>
      <c r="P363" s="606" t="s">
        <v>40</v>
      </c>
      <c r="Q363" s="607"/>
      <c r="R363" s="607"/>
      <c r="S363" s="607"/>
      <c r="T363" s="607"/>
      <c r="U363" s="607"/>
      <c r="V363" s="608"/>
      <c r="W363" s="40" t="s">
        <v>0</v>
      </c>
      <c r="X363" s="41">
        <f>IFERROR(SUM(X355:X361),"0")</f>
        <v>300</v>
      </c>
      <c r="Y363" s="41">
        <f>IFERROR(SUM(Y355:Y361),"0")</f>
        <v>302.40000000000003</v>
      </c>
      <c r="Z363" s="40"/>
      <c r="AA363" s="64"/>
      <c r="AB363" s="64"/>
      <c r="AC363" s="64"/>
    </row>
    <row r="364" spans="1:68" ht="14.25" hidden="1" customHeight="1" x14ac:dyDescent="0.25">
      <c r="A364" s="601" t="s">
        <v>86</v>
      </c>
      <c r="B364" s="601"/>
      <c r="C364" s="601"/>
      <c r="D364" s="601"/>
      <c r="E364" s="601"/>
      <c r="F364" s="601"/>
      <c r="G364" s="601"/>
      <c r="H364" s="601"/>
      <c r="I364" s="601"/>
      <c r="J364" s="601"/>
      <c r="K364" s="601"/>
      <c r="L364" s="601"/>
      <c r="M364" s="601"/>
      <c r="N364" s="601"/>
      <c r="O364" s="601"/>
      <c r="P364" s="601"/>
      <c r="Q364" s="601"/>
      <c r="R364" s="601"/>
      <c r="S364" s="601"/>
      <c r="T364" s="601"/>
      <c r="U364" s="601"/>
      <c r="V364" s="601"/>
      <c r="W364" s="601"/>
      <c r="X364" s="601"/>
      <c r="Y364" s="601"/>
      <c r="Z364" s="601"/>
      <c r="AA364" s="63"/>
      <c r="AB364" s="63"/>
      <c r="AC364" s="63"/>
    </row>
    <row r="365" spans="1:68" ht="27" customHeight="1" x14ac:dyDescent="0.25">
      <c r="A365" s="60" t="s">
        <v>602</v>
      </c>
      <c r="B365" s="60" t="s">
        <v>603</v>
      </c>
      <c r="C365" s="34">
        <v>4301051100</v>
      </c>
      <c r="D365" s="602">
        <v>4607091387766</v>
      </c>
      <c r="E365" s="602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68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04"/>
      <c r="R365" s="604"/>
      <c r="S365" s="604"/>
      <c r="T365" s="605"/>
      <c r="U365" s="37" t="s">
        <v>46</v>
      </c>
      <c r="V365" s="37" t="s">
        <v>46</v>
      </c>
      <c r="W365" s="38" t="s">
        <v>0</v>
      </c>
      <c r="X365" s="56">
        <v>3500</v>
      </c>
      <c r="Y365" s="53">
        <f>IFERROR(IF(X365="",0,CEILING((X365/$H365),1)*$H365),"")</f>
        <v>3502.2</v>
      </c>
      <c r="Z365" s="39">
        <f>IFERROR(IF(Y365=0,"",ROUNDUP(Y365/H365,0)*0.01898),"")</f>
        <v>8.5220199999999995</v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3718.9743589743589</v>
      </c>
      <c r="BN365" s="75">
        <f>IFERROR(Y365*I365/H365,"0")</f>
        <v>3721.3119999999999</v>
      </c>
      <c r="BO365" s="75">
        <f>IFERROR(1/J365*(X365/H365),"0")</f>
        <v>7.0112179487179489</v>
      </c>
      <c r="BP365" s="75">
        <f>IFERROR(1/J365*(Y365/H365),"0")</f>
        <v>7.015625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4301051818</v>
      </c>
      <c r="D366" s="602">
        <v>4607091387957</v>
      </c>
      <c r="E366" s="602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04"/>
      <c r="R366" s="604"/>
      <c r="S366" s="604"/>
      <c r="T366" s="605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4301051819</v>
      </c>
      <c r="D367" s="602">
        <v>4607091387964</v>
      </c>
      <c r="E367" s="602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133</v>
      </c>
      <c r="L367" s="35" t="s">
        <v>46</v>
      </c>
      <c r="M367" s="36" t="s">
        <v>90</v>
      </c>
      <c r="N367" s="36"/>
      <c r="O367" s="35">
        <v>40</v>
      </c>
      <c r="P367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04"/>
      <c r="R367" s="604"/>
      <c r="S367" s="604"/>
      <c r="T367" s="605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49" t="s">
        <v>610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4301051734</v>
      </c>
      <c r="D368" s="602">
        <v>4680115884588</v>
      </c>
      <c r="E368" s="602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91</v>
      </c>
      <c r="L368" s="35" t="s">
        <v>46</v>
      </c>
      <c r="M368" s="36" t="s">
        <v>90</v>
      </c>
      <c r="N368" s="36"/>
      <c r="O368" s="35">
        <v>40</v>
      </c>
      <c r="P368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04"/>
      <c r="R368" s="604"/>
      <c r="S368" s="604"/>
      <c r="T368" s="605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1" t="s">
        <v>604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x14ac:dyDescent="0.2">
      <c r="A369" s="609"/>
      <c r="B369" s="609"/>
      <c r="C369" s="609"/>
      <c r="D369" s="609"/>
      <c r="E369" s="609"/>
      <c r="F369" s="609"/>
      <c r="G369" s="609"/>
      <c r="H369" s="609"/>
      <c r="I369" s="609"/>
      <c r="J369" s="609"/>
      <c r="K369" s="609"/>
      <c r="L369" s="609"/>
      <c r="M369" s="609"/>
      <c r="N369" s="609"/>
      <c r="O369" s="610"/>
      <c r="P369" s="606" t="s">
        <v>40</v>
      </c>
      <c r="Q369" s="607"/>
      <c r="R369" s="607"/>
      <c r="S369" s="607"/>
      <c r="T369" s="607"/>
      <c r="U369" s="607"/>
      <c r="V369" s="608"/>
      <c r="W369" s="40" t="s">
        <v>39</v>
      </c>
      <c r="X369" s="41">
        <f>IFERROR(X365/H365,"0")+IFERROR(X366/H366,"0")+IFERROR(X367/H367,"0")+IFERROR(X368/H368,"0")</f>
        <v>448.71794871794873</v>
      </c>
      <c r="Y369" s="41">
        <f>IFERROR(Y365/H365,"0")+IFERROR(Y366/H366,"0")+IFERROR(Y367/H367,"0")+IFERROR(Y368/H368,"0")</f>
        <v>449</v>
      </c>
      <c r="Z369" s="41">
        <f>IFERROR(IF(Z365="",0,Z365),"0")+IFERROR(IF(Z366="",0,Z366),"0")+IFERROR(IF(Z367="",0,Z367),"0")+IFERROR(IF(Z368="",0,Z368),"0")</f>
        <v>8.5220199999999995</v>
      </c>
      <c r="AA369" s="64"/>
      <c r="AB369" s="64"/>
      <c r="AC369" s="64"/>
    </row>
    <row r="370" spans="1:68" x14ac:dyDescent="0.2">
      <c r="A370" s="609"/>
      <c r="B370" s="609"/>
      <c r="C370" s="609"/>
      <c r="D370" s="609"/>
      <c r="E370" s="609"/>
      <c r="F370" s="609"/>
      <c r="G370" s="609"/>
      <c r="H370" s="609"/>
      <c r="I370" s="609"/>
      <c r="J370" s="609"/>
      <c r="K370" s="609"/>
      <c r="L370" s="609"/>
      <c r="M370" s="609"/>
      <c r="N370" s="609"/>
      <c r="O370" s="610"/>
      <c r="P370" s="606" t="s">
        <v>40</v>
      </c>
      <c r="Q370" s="607"/>
      <c r="R370" s="607"/>
      <c r="S370" s="607"/>
      <c r="T370" s="607"/>
      <c r="U370" s="607"/>
      <c r="V370" s="608"/>
      <c r="W370" s="40" t="s">
        <v>0</v>
      </c>
      <c r="X370" s="41">
        <f>IFERROR(SUM(X365:X368),"0")</f>
        <v>3500</v>
      </c>
      <c r="Y370" s="41">
        <f>IFERROR(SUM(Y365:Y368),"0")</f>
        <v>3502.2</v>
      </c>
      <c r="Z370" s="40"/>
      <c r="AA370" s="64"/>
      <c r="AB370" s="64"/>
      <c r="AC370" s="64"/>
    </row>
    <row r="371" spans="1:68" ht="14.25" hidden="1" customHeight="1" x14ac:dyDescent="0.25">
      <c r="A371" s="601" t="s">
        <v>180</v>
      </c>
      <c r="B371" s="601"/>
      <c r="C371" s="601"/>
      <c r="D371" s="601"/>
      <c r="E371" s="601"/>
      <c r="F371" s="601"/>
      <c r="G371" s="601"/>
      <c r="H371" s="601"/>
      <c r="I371" s="601"/>
      <c r="J371" s="601"/>
      <c r="K371" s="601"/>
      <c r="L371" s="601"/>
      <c r="M371" s="601"/>
      <c r="N371" s="601"/>
      <c r="O371" s="601"/>
      <c r="P371" s="601"/>
      <c r="Q371" s="601"/>
      <c r="R371" s="601"/>
      <c r="S371" s="601"/>
      <c r="T371" s="601"/>
      <c r="U371" s="601"/>
      <c r="V371" s="601"/>
      <c r="W371" s="601"/>
      <c r="X371" s="601"/>
      <c r="Y371" s="601"/>
      <c r="Z371" s="601"/>
      <c r="AA371" s="63"/>
      <c r="AB371" s="63"/>
      <c r="AC371" s="63"/>
    </row>
    <row r="372" spans="1:68" ht="27" customHeight="1" x14ac:dyDescent="0.25">
      <c r="A372" s="60" t="s">
        <v>613</v>
      </c>
      <c r="B372" s="60" t="s">
        <v>614</v>
      </c>
      <c r="C372" s="34">
        <v>4301060387</v>
      </c>
      <c r="D372" s="602">
        <v>4607091380880</v>
      </c>
      <c r="E372" s="602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68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04"/>
      <c r="R372" s="604"/>
      <c r="S372" s="604"/>
      <c r="T372" s="605"/>
      <c r="U372" s="37" t="s">
        <v>46</v>
      </c>
      <c r="V372" s="37" t="s">
        <v>46</v>
      </c>
      <c r="W372" s="38" t="s">
        <v>0</v>
      </c>
      <c r="X372" s="56">
        <v>20</v>
      </c>
      <c r="Y372" s="53">
        <f>IFERROR(IF(X372="",0,CEILING((X372/$H372),1)*$H372),"")</f>
        <v>25.200000000000003</v>
      </c>
      <c r="Z372" s="39">
        <f>IFERROR(IF(Y372=0,"",ROUNDUP(Y372/H372,0)*0.01898),"")</f>
        <v>5.6940000000000004E-2</v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21.176190476190474</v>
      </c>
      <c r="BN372" s="75">
        <f>IFERROR(Y372*I372/H372,"0")</f>
        <v>26.682000000000002</v>
      </c>
      <c r="BO372" s="75">
        <f>IFERROR(1/J372*(X372/H372),"0")</f>
        <v>3.7202380952380952E-2</v>
      </c>
      <c r="BP372" s="75">
        <f>IFERROR(1/J372*(Y372/H372),"0")</f>
        <v>4.6875E-2</v>
      </c>
    </row>
    <row r="373" spans="1:68" ht="27" customHeight="1" x14ac:dyDescent="0.25">
      <c r="A373" s="60" t="s">
        <v>616</v>
      </c>
      <c r="B373" s="60" t="s">
        <v>617</v>
      </c>
      <c r="C373" s="34">
        <v>4301060406</v>
      </c>
      <c r="D373" s="602">
        <v>4607091384482</v>
      </c>
      <c r="E373" s="602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30</v>
      </c>
      <c r="P373" s="68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04"/>
      <c r="R373" s="604"/>
      <c r="S373" s="604"/>
      <c r="T373" s="605"/>
      <c r="U373" s="37" t="s">
        <v>46</v>
      </c>
      <c r="V373" s="37" t="s">
        <v>46</v>
      </c>
      <c r="W373" s="38" t="s">
        <v>0</v>
      </c>
      <c r="X373" s="56">
        <v>230</v>
      </c>
      <c r="Y373" s="53">
        <f>IFERROR(IF(X373="",0,CEILING((X373/$H373),1)*$H373),"")</f>
        <v>234</v>
      </c>
      <c r="Z373" s="39">
        <f>IFERROR(IF(Y373=0,"",ROUNDUP(Y373/H373,0)*0.01898),"")</f>
        <v>0.56940000000000002</v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244.56666666666669</v>
      </c>
      <c r="BN373" s="75">
        <f>IFERROR(Y373*I373/H373,"0")</f>
        <v>248.82000000000002</v>
      </c>
      <c r="BO373" s="75">
        <f>IFERROR(1/J373*(X373/H373),"0")</f>
        <v>0.46073717948717952</v>
      </c>
      <c r="BP373" s="75">
        <f>IFERROR(1/J373*(Y373/H373),"0")</f>
        <v>0.46875</v>
      </c>
    </row>
    <row r="374" spans="1:68" ht="16.5" customHeight="1" x14ac:dyDescent="0.25">
      <c r="A374" s="60" t="s">
        <v>619</v>
      </c>
      <c r="B374" s="60" t="s">
        <v>620</v>
      </c>
      <c r="C374" s="34">
        <v>4301060484</v>
      </c>
      <c r="D374" s="602">
        <v>4607091380897</v>
      </c>
      <c r="E374" s="602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133</v>
      </c>
      <c r="L374" s="35" t="s">
        <v>46</v>
      </c>
      <c r="M374" s="36" t="s">
        <v>97</v>
      </c>
      <c r="N374" s="36"/>
      <c r="O374" s="35">
        <v>30</v>
      </c>
      <c r="P374" s="68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04"/>
      <c r="R374" s="604"/>
      <c r="S374" s="604"/>
      <c r="T374" s="605"/>
      <c r="U374" s="37" t="s">
        <v>46</v>
      </c>
      <c r="V374" s="37" t="s">
        <v>46</v>
      </c>
      <c r="W374" s="38" t="s">
        <v>0</v>
      </c>
      <c r="X374" s="56">
        <v>120</v>
      </c>
      <c r="Y374" s="53">
        <f>IFERROR(IF(X374="",0,CEILING((X374/$H374),1)*$H374),"")</f>
        <v>126</v>
      </c>
      <c r="Z374" s="39">
        <f>IFERROR(IF(Y374=0,"",ROUNDUP(Y374/H374,0)*0.01898),"")</f>
        <v>0.28470000000000001</v>
      </c>
      <c r="AA374" s="65" t="s">
        <v>46</v>
      </c>
      <c r="AB374" s="66" t="s">
        <v>46</v>
      </c>
      <c r="AC374" s="457" t="s">
        <v>621</v>
      </c>
      <c r="AG374" s="75"/>
      <c r="AJ374" s="79" t="s">
        <v>46</v>
      </c>
      <c r="AK374" s="79">
        <v>0</v>
      </c>
      <c r="BB374" s="458" t="s">
        <v>67</v>
      </c>
      <c r="BM374" s="75">
        <f>IFERROR(X374*I374/H374,"0")</f>
        <v>127.05714285714285</v>
      </c>
      <c r="BN374" s="75">
        <f>IFERROR(Y374*I374/H374,"0")</f>
        <v>133.41</v>
      </c>
      <c r="BO374" s="75">
        <f>IFERROR(1/J374*(X374/H374),"0")</f>
        <v>0.2232142857142857</v>
      </c>
      <c r="BP374" s="75">
        <f>IFERROR(1/J374*(Y374/H374),"0")</f>
        <v>0.234375</v>
      </c>
    </row>
    <row r="375" spans="1:68" x14ac:dyDescent="0.2">
      <c r="A375" s="609"/>
      <c r="B375" s="609"/>
      <c r="C375" s="609"/>
      <c r="D375" s="609"/>
      <c r="E375" s="609"/>
      <c r="F375" s="609"/>
      <c r="G375" s="609"/>
      <c r="H375" s="609"/>
      <c r="I375" s="609"/>
      <c r="J375" s="609"/>
      <c r="K375" s="609"/>
      <c r="L375" s="609"/>
      <c r="M375" s="609"/>
      <c r="N375" s="609"/>
      <c r="O375" s="610"/>
      <c r="P375" s="606" t="s">
        <v>40</v>
      </c>
      <c r="Q375" s="607"/>
      <c r="R375" s="607"/>
      <c r="S375" s="607"/>
      <c r="T375" s="607"/>
      <c r="U375" s="607"/>
      <c r="V375" s="608"/>
      <c r="W375" s="40" t="s">
        <v>39</v>
      </c>
      <c r="X375" s="41">
        <f>IFERROR(X372/H372,"0")+IFERROR(X373/H373,"0")+IFERROR(X374/H374,"0")</f>
        <v>46.153846153846153</v>
      </c>
      <c r="Y375" s="41">
        <f>IFERROR(Y372/H372,"0")+IFERROR(Y373/H373,"0")+IFERROR(Y374/H374,"0")</f>
        <v>48</v>
      </c>
      <c r="Z375" s="41">
        <f>IFERROR(IF(Z372="",0,Z372),"0")+IFERROR(IF(Z373="",0,Z373),"0")+IFERROR(IF(Z374="",0,Z374),"0")</f>
        <v>0.91104000000000007</v>
      </c>
      <c r="AA375" s="64"/>
      <c r="AB375" s="64"/>
      <c r="AC375" s="64"/>
    </row>
    <row r="376" spans="1:68" x14ac:dyDescent="0.2">
      <c r="A376" s="609"/>
      <c r="B376" s="609"/>
      <c r="C376" s="609"/>
      <c r="D376" s="609"/>
      <c r="E376" s="609"/>
      <c r="F376" s="609"/>
      <c r="G376" s="609"/>
      <c r="H376" s="609"/>
      <c r="I376" s="609"/>
      <c r="J376" s="609"/>
      <c r="K376" s="609"/>
      <c r="L376" s="609"/>
      <c r="M376" s="609"/>
      <c r="N376" s="609"/>
      <c r="O376" s="610"/>
      <c r="P376" s="606" t="s">
        <v>40</v>
      </c>
      <c r="Q376" s="607"/>
      <c r="R376" s="607"/>
      <c r="S376" s="607"/>
      <c r="T376" s="607"/>
      <c r="U376" s="607"/>
      <c r="V376" s="608"/>
      <c r="W376" s="40" t="s">
        <v>0</v>
      </c>
      <c r="X376" s="41">
        <f>IFERROR(SUM(X372:X374),"0")</f>
        <v>370</v>
      </c>
      <c r="Y376" s="41">
        <f>IFERROR(SUM(Y372:Y374),"0")</f>
        <v>385.2</v>
      </c>
      <c r="Z376" s="40"/>
      <c r="AA376" s="64"/>
      <c r="AB376" s="64"/>
      <c r="AC376" s="64"/>
    </row>
    <row r="377" spans="1:68" ht="14.25" hidden="1" customHeight="1" x14ac:dyDescent="0.25">
      <c r="A377" s="601" t="s">
        <v>107</v>
      </c>
      <c r="B377" s="601"/>
      <c r="C377" s="601"/>
      <c r="D377" s="601"/>
      <c r="E377" s="601"/>
      <c r="F377" s="601"/>
      <c r="G377" s="601"/>
      <c r="H377" s="601"/>
      <c r="I377" s="601"/>
      <c r="J377" s="601"/>
      <c r="K377" s="601"/>
      <c r="L377" s="601"/>
      <c r="M377" s="601"/>
      <c r="N377" s="601"/>
      <c r="O377" s="601"/>
      <c r="P377" s="601"/>
      <c r="Q377" s="601"/>
      <c r="R377" s="601"/>
      <c r="S377" s="601"/>
      <c r="T377" s="601"/>
      <c r="U377" s="601"/>
      <c r="V377" s="601"/>
      <c r="W377" s="601"/>
      <c r="X377" s="601"/>
      <c r="Y377" s="601"/>
      <c r="Z377" s="601"/>
      <c r="AA377" s="63"/>
      <c r="AB377" s="63"/>
      <c r="AC377" s="63"/>
    </row>
    <row r="378" spans="1:68" ht="27" hidden="1" customHeight="1" x14ac:dyDescent="0.25">
      <c r="A378" s="60" t="s">
        <v>622</v>
      </c>
      <c r="B378" s="60" t="s">
        <v>623</v>
      </c>
      <c r="C378" s="34">
        <v>4301030235</v>
      </c>
      <c r="D378" s="602">
        <v>4607091388381</v>
      </c>
      <c r="E378" s="602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68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04"/>
      <c r="R378" s="604"/>
      <c r="S378" s="604"/>
      <c r="T378" s="605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624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625</v>
      </c>
      <c r="B379" s="60" t="s">
        <v>626</v>
      </c>
      <c r="C379" s="34">
        <v>4301030232</v>
      </c>
      <c r="D379" s="602">
        <v>4607091388374</v>
      </c>
      <c r="E379" s="602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140</v>
      </c>
      <c r="L379" s="35" t="s">
        <v>46</v>
      </c>
      <c r="M379" s="36" t="s">
        <v>112</v>
      </c>
      <c r="N379" s="36"/>
      <c r="O379" s="35">
        <v>180</v>
      </c>
      <c r="P379" s="6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04"/>
      <c r="R379" s="604"/>
      <c r="S379" s="604"/>
      <c r="T379" s="605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61" t="s">
        <v>624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627</v>
      </c>
      <c r="B380" s="60" t="s">
        <v>628</v>
      </c>
      <c r="C380" s="34">
        <v>4301032015</v>
      </c>
      <c r="D380" s="602">
        <v>4607091383102</v>
      </c>
      <c r="E380" s="602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6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04"/>
      <c r="R380" s="604"/>
      <c r="S380" s="604"/>
      <c r="T380" s="605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624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629</v>
      </c>
      <c r="B381" s="60" t="s">
        <v>630</v>
      </c>
      <c r="C381" s="34">
        <v>4301030233</v>
      </c>
      <c r="D381" s="602">
        <v>4607091388404</v>
      </c>
      <c r="E381" s="602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91</v>
      </c>
      <c r="L381" s="35" t="s">
        <v>46</v>
      </c>
      <c r="M381" s="36" t="s">
        <v>112</v>
      </c>
      <c r="N381" s="36"/>
      <c r="O381" s="35">
        <v>180</v>
      </c>
      <c r="P381" s="67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04"/>
      <c r="R381" s="604"/>
      <c r="S381" s="604"/>
      <c r="T381" s="60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65" t="s">
        <v>624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idden="1" x14ac:dyDescent="0.2">
      <c r="A382" s="609"/>
      <c r="B382" s="609"/>
      <c r="C382" s="609"/>
      <c r="D382" s="609"/>
      <c r="E382" s="609"/>
      <c r="F382" s="609"/>
      <c r="G382" s="609"/>
      <c r="H382" s="609"/>
      <c r="I382" s="609"/>
      <c r="J382" s="609"/>
      <c r="K382" s="609"/>
      <c r="L382" s="609"/>
      <c r="M382" s="609"/>
      <c r="N382" s="609"/>
      <c r="O382" s="610"/>
      <c r="P382" s="606" t="s">
        <v>40</v>
      </c>
      <c r="Q382" s="607"/>
      <c r="R382" s="607"/>
      <c r="S382" s="607"/>
      <c r="T382" s="607"/>
      <c r="U382" s="607"/>
      <c r="V382" s="608"/>
      <c r="W382" s="40" t="s">
        <v>39</v>
      </c>
      <c r="X382" s="41">
        <f>IFERROR(X378/H378,"0")+IFERROR(X379/H379,"0")+IFERROR(X380/H380,"0")+IFERROR(X381/H381,"0")</f>
        <v>0</v>
      </c>
      <c r="Y382" s="41">
        <f>IFERROR(Y378/H378,"0")+IFERROR(Y379/H379,"0")+IFERROR(Y380/H380,"0")+IFERROR(Y381/H381,"0")</f>
        <v>0</v>
      </c>
      <c r="Z382" s="41">
        <f>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09"/>
      <c r="B383" s="609"/>
      <c r="C383" s="609"/>
      <c r="D383" s="609"/>
      <c r="E383" s="609"/>
      <c r="F383" s="609"/>
      <c r="G383" s="609"/>
      <c r="H383" s="609"/>
      <c r="I383" s="609"/>
      <c r="J383" s="609"/>
      <c r="K383" s="609"/>
      <c r="L383" s="609"/>
      <c r="M383" s="609"/>
      <c r="N383" s="609"/>
      <c r="O383" s="610"/>
      <c r="P383" s="606" t="s">
        <v>40</v>
      </c>
      <c r="Q383" s="607"/>
      <c r="R383" s="607"/>
      <c r="S383" s="607"/>
      <c r="T383" s="607"/>
      <c r="U383" s="607"/>
      <c r="V383" s="608"/>
      <c r="W383" s="40" t="s">
        <v>0</v>
      </c>
      <c r="X383" s="41">
        <f>IFERROR(SUM(X378:X381),"0")</f>
        <v>0</v>
      </c>
      <c r="Y383" s="41">
        <f>IFERROR(SUM(Y378:Y381),"0")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01" t="s">
        <v>631</v>
      </c>
      <c r="B384" s="601"/>
      <c r="C384" s="601"/>
      <c r="D384" s="601"/>
      <c r="E384" s="601"/>
      <c r="F384" s="601"/>
      <c r="G384" s="601"/>
      <c r="H384" s="601"/>
      <c r="I384" s="601"/>
      <c r="J384" s="601"/>
      <c r="K384" s="601"/>
      <c r="L384" s="601"/>
      <c r="M384" s="601"/>
      <c r="N384" s="601"/>
      <c r="O384" s="601"/>
      <c r="P384" s="601"/>
      <c r="Q384" s="601"/>
      <c r="R384" s="601"/>
      <c r="S384" s="601"/>
      <c r="T384" s="601"/>
      <c r="U384" s="601"/>
      <c r="V384" s="601"/>
      <c r="W384" s="601"/>
      <c r="X384" s="601"/>
      <c r="Y384" s="601"/>
      <c r="Z384" s="601"/>
      <c r="AA384" s="63"/>
      <c r="AB384" s="63"/>
      <c r="AC384" s="63"/>
    </row>
    <row r="385" spans="1:68" ht="16.5" hidden="1" customHeight="1" x14ac:dyDescent="0.25">
      <c r="A385" s="60" t="s">
        <v>632</v>
      </c>
      <c r="B385" s="60" t="s">
        <v>633</v>
      </c>
      <c r="C385" s="34">
        <v>4301180007</v>
      </c>
      <c r="D385" s="602">
        <v>4680115881808</v>
      </c>
      <c r="E385" s="602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635</v>
      </c>
      <c r="N385" s="36"/>
      <c r="O385" s="35">
        <v>731</v>
      </c>
      <c r="P385" s="68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04"/>
      <c r="R385" s="604"/>
      <c r="S385" s="604"/>
      <c r="T385" s="605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634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636</v>
      </c>
      <c r="B386" s="60" t="s">
        <v>637</v>
      </c>
      <c r="C386" s="34">
        <v>4301180006</v>
      </c>
      <c r="D386" s="602">
        <v>4680115881822</v>
      </c>
      <c r="E386" s="602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635</v>
      </c>
      <c r="N386" s="36"/>
      <c r="O386" s="35">
        <v>731</v>
      </c>
      <c r="P386" s="68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04"/>
      <c r="R386" s="604"/>
      <c r="S386" s="604"/>
      <c r="T386" s="605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634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638</v>
      </c>
      <c r="B387" s="60" t="s">
        <v>639</v>
      </c>
      <c r="C387" s="34">
        <v>4301180001</v>
      </c>
      <c r="D387" s="602">
        <v>4680115880016</v>
      </c>
      <c r="E387" s="602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91</v>
      </c>
      <c r="L387" s="35" t="s">
        <v>46</v>
      </c>
      <c r="M387" s="36" t="s">
        <v>635</v>
      </c>
      <c r="N387" s="36"/>
      <c r="O387" s="35">
        <v>731</v>
      </c>
      <c r="P387" s="67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04"/>
      <c r="R387" s="604"/>
      <c r="S387" s="604"/>
      <c r="T387" s="605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IFERROR(IF(Y387=0,"",ROUNDUP(Y387/H387,0)*0.00474),"")</f>
        <v/>
      </c>
      <c r="AA387" s="65" t="s">
        <v>46</v>
      </c>
      <c r="AB387" s="66" t="s">
        <v>46</v>
      </c>
      <c r="AC387" s="471" t="s">
        <v>634</v>
      </c>
      <c r="AG387" s="75"/>
      <c r="AJ387" s="79" t="s">
        <v>46</v>
      </c>
      <c r="AK387" s="79">
        <v>0</v>
      </c>
      <c r="BB387" s="472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09"/>
      <c r="B388" s="609"/>
      <c r="C388" s="609"/>
      <c r="D388" s="609"/>
      <c r="E388" s="609"/>
      <c r="F388" s="609"/>
      <c r="G388" s="609"/>
      <c r="H388" s="609"/>
      <c r="I388" s="609"/>
      <c r="J388" s="609"/>
      <c r="K388" s="609"/>
      <c r="L388" s="609"/>
      <c r="M388" s="609"/>
      <c r="N388" s="609"/>
      <c r="O388" s="610"/>
      <c r="P388" s="606" t="s">
        <v>40</v>
      </c>
      <c r="Q388" s="607"/>
      <c r="R388" s="607"/>
      <c r="S388" s="607"/>
      <c r="T388" s="607"/>
      <c r="U388" s="607"/>
      <c r="V388" s="608"/>
      <c r="W388" s="40" t="s">
        <v>39</v>
      </c>
      <c r="X388" s="41">
        <f>IFERROR(X385/H385,"0")+IFERROR(X386/H386,"0")+IFERROR(X387/H387,"0")</f>
        <v>0</v>
      </c>
      <c r="Y388" s="41">
        <f>IFERROR(Y385/H385,"0")+IFERROR(Y386/H386,"0")+IFERROR(Y387/H387,"0")</f>
        <v>0</v>
      </c>
      <c r="Z388" s="41">
        <f>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09"/>
      <c r="B389" s="609"/>
      <c r="C389" s="609"/>
      <c r="D389" s="609"/>
      <c r="E389" s="609"/>
      <c r="F389" s="609"/>
      <c r="G389" s="609"/>
      <c r="H389" s="609"/>
      <c r="I389" s="609"/>
      <c r="J389" s="609"/>
      <c r="K389" s="609"/>
      <c r="L389" s="609"/>
      <c r="M389" s="609"/>
      <c r="N389" s="609"/>
      <c r="O389" s="610"/>
      <c r="P389" s="606" t="s">
        <v>40</v>
      </c>
      <c r="Q389" s="607"/>
      <c r="R389" s="607"/>
      <c r="S389" s="607"/>
      <c r="T389" s="607"/>
      <c r="U389" s="607"/>
      <c r="V389" s="608"/>
      <c r="W389" s="40" t="s">
        <v>0</v>
      </c>
      <c r="X389" s="41">
        <f>IFERROR(SUM(X385:X387),"0")</f>
        <v>0</v>
      </c>
      <c r="Y389" s="41">
        <f>IFERROR(SUM(Y385:Y387),"0")</f>
        <v>0</v>
      </c>
      <c r="Z389" s="40"/>
      <c r="AA389" s="64"/>
      <c r="AB389" s="64"/>
      <c r="AC389" s="64"/>
    </row>
    <row r="390" spans="1:68" ht="16.5" hidden="1" customHeight="1" x14ac:dyDescent="0.25">
      <c r="A390" s="617" t="s">
        <v>640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62"/>
      <c r="AB390" s="62"/>
      <c r="AC390" s="62"/>
    </row>
    <row r="391" spans="1:68" ht="14.25" hidden="1" customHeight="1" x14ac:dyDescent="0.25">
      <c r="A391" s="601" t="s">
        <v>86</v>
      </c>
      <c r="B391" s="601"/>
      <c r="C391" s="601"/>
      <c r="D391" s="601"/>
      <c r="E391" s="601"/>
      <c r="F391" s="601"/>
      <c r="G391" s="601"/>
      <c r="H391" s="601"/>
      <c r="I391" s="601"/>
      <c r="J391" s="601"/>
      <c r="K391" s="601"/>
      <c r="L391" s="601"/>
      <c r="M391" s="601"/>
      <c r="N391" s="601"/>
      <c r="O391" s="601"/>
      <c r="P391" s="601"/>
      <c r="Q391" s="601"/>
      <c r="R391" s="601"/>
      <c r="S391" s="601"/>
      <c r="T391" s="601"/>
      <c r="U391" s="601"/>
      <c r="V391" s="601"/>
      <c r="W391" s="601"/>
      <c r="X391" s="601"/>
      <c r="Y391" s="601"/>
      <c r="Z391" s="601"/>
      <c r="AA391" s="63"/>
      <c r="AB391" s="63"/>
      <c r="AC391" s="63"/>
    </row>
    <row r="392" spans="1:68" ht="37.5" customHeight="1" x14ac:dyDescent="0.25">
      <c r="A392" s="60" t="s">
        <v>641</v>
      </c>
      <c r="B392" s="60" t="s">
        <v>642</v>
      </c>
      <c r="C392" s="34">
        <v>4301051489</v>
      </c>
      <c r="D392" s="602">
        <v>4607091387919</v>
      </c>
      <c r="E392" s="602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133</v>
      </c>
      <c r="L392" s="35" t="s">
        <v>46</v>
      </c>
      <c r="M392" s="36" t="s">
        <v>97</v>
      </c>
      <c r="N392" s="36"/>
      <c r="O392" s="35">
        <v>45</v>
      </c>
      <c r="P392" s="6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04"/>
      <c r="R392" s="604"/>
      <c r="S392" s="604"/>
      <c r="T392" s="605"/>
      <c r="U392" s="37" t="s">
        <v>46</v>
      </c>
      <c r="V392" s="37" t="s">
        <v>46</v>
      </c>
      <c r="W392" s="38" t="s">
        <v>0</v>
      </c>
      <c r="X392" s="56">
        <v>30</v>
      </c>
      <c r="Y392" s="53">
        <f>IFERROR(IF(X392="",0,CEILING((X392/$H392),1)*$H392),"")</f>
        <v>32.4</v>
      </c>
      <c r="Z392" s="39">
        <f>IFERROR(IF(Y392=0,"",ROUNDUP(Y392/H392,0)*0.01898),"")</f>
        <v>7.5920000000000001E-2</v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31.829629629629629</v>
      </c>
      <c r="BN392" s="75">
        <f>IFERROR(Y392*I392/H392,"0")</f>
        <v>34.375999999999998</v>
      </c>
      <c r="BO392" s="75">
        <f>IFERROR(1/J392*(X392/H392),"0")</f>
        <v>5.7870370370370371E-2</v>
      </c>
      <c r="BP392" s="75">
        <f>IFERROR(1/J392*(Y392/H392),"0")</f>
        <v>6.25E-2</v>
      </c>
    </row>
    <row r="393" spans="1:68" ht="37.5" customHeight="1" x14ac:dyDescent="0.25">
      <c r="A393" s="60" t="s">
        <v>644</v>
      </c>
      <c r="B393" s="60" t="s">
        <v>645</v>
      </c>
      <c r="C393" s="34">
        <v>4301051461</v>
      </c>
      <c r="D393" s="602">
        <v>4680115883604</v>
      </c>
      <c r="E393" s="602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91</v>
      </c>
      <c r="L393" s="35" t="s">
        <v>46</v>
      </c>
      <c r="M393" s="36" t="s">
        <v>90</v>
      </c>
      <c r="N393" s="36"/>
      <c r="O393" s="35">
        <v>45</v>
      </c>
      <c r="P393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04"/>
      <c r="R393" s="604"/>
      <c r="S393" s="604"/>
      <c r="T393" s="605"/>
      <c r="U393" s="37" t="s">
        <v>46</v>
      </c>
      <c r="V393" s="37" t="s">
        <v>46</v>
      </c>
      <c r="W393" s="38" t="s">
        <v>0</v>
      </c>
      <c r="X393" s="56">
        <v>8</v>
      </c>
      <c r="Y393" s="53">
        <f>IFERROR(IF(X393="",0,CEILING((X393/$H393),1)*$H393),"")</f>
        <v>8.4</v>
      </c>
      <c r="Z393" s="39">
        <f>IFERROR(IF(Y393=0,"",ROUNDUP(Y393/H393,0)*0.00651),"")</f>
        <v>2.6040000000000001E-2</v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8.9599999999999991</v>
      </c>
      <c r="BN393" s="75">
        <f>IFERROR(Y393*I393/H393,"0")</f>
        <v>9.4079999999999995</v>
      </c>
      <c r="BO393" s="75">
        <f>IFERROR(1/J393*(X393/H393),"0")</f>
        <v>2.0931449502878074E-2</v>
      </c>
      <c r="BP393" s="75">
        <f>IFERROR(1/J393*(Y393/H393),"0")</f>
        <v>2.197802197802198E-2</v>
      </c>
    </row>
    <row r="394" spans="1:68" ht="27" customHeight="1" x14ac:dyDescent="0.25">
      <c r="A394" s="60" t="s">
        <v>647</v>
      </c>
      <c r="B394" s="60" t="s">
        <v>648</v>
      </c>
      <c r="C394" s="34">
        <v>4301051864</v>
      </c>
      <c r="D394" s="602">
        <v>4680115883567</v>
      </c>
      <c r="E394" s="602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91</v>
      </c>
      <c r="L394" s="35" t="s">
        <v>46</v>
      </c>
      <c r="M394" s="36" t="s">
        <v>97</v>
      </c>
      <c r="N394" s="36"/>
      <c r="O394" s="35">
        <v>40</v>
      </c>
      <c r="P394" s="67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04"/>
      <c r="R394" s="604"/>
      <c r="S394" s="604"/>
      <c r="T394" s="605"/>
      <c r="U394" s="37" t="s">
        <v>46</v>
      </c>
      <c r="V394" s="37" t="s">
        <v>46</v>
      </c>
      <c r="W394" s="38" t="s">
        <v>0</v>
      </c>
      <c r="X394" s="56">
        <v>21</v>
      </c>
      <c r="Y394" s="53">
        <f>IFERROR(IF(X394="",0,CEILING((X394/$H394),1)*$H394),"")</f>
        <v>21</v>
      </c>
      <c r="Z394" s="39">
        <f>IFERROR(IF(Y394=0,"",ROUNDUP(Y394/H394,0)*0.00651),"")</f>
        <v>6.5100000000000005E-2</v>
      </c>
      <c r="AA394" s="65" t="s">
        <v>46</v>
      </c>
      <c r="AB394" s="66" t="s">
        <v>46</v>
      </c>
      <c r="AC394" s="477" t="s">
        <v>649</v>
      </c>
      <c r="AG394" s="75"/>
      <c r="AJ394" s="79" t="s">
        <v>46</v>
      </c>
      <c r="AK394" s="79">
        <v>0</v>
      </c>
      <c r="BB394" s="478" t="s">
        <v>67</v>
      </c>
      <c r="BM394" s="75">
        <f>IFERROR(X394*I394/H394,"0")</f>
        <v>23.4</v>
      </c>
      <c r="BN394" s="75">
        <f>IFERROR(Y394*I394/H394,"0")</f>
        <v>23.4</v>
      </c>
      <c r="BO394" s="75">
        <f>IFERROR(1/J394*(X394/H394),"0")</f>
        <v>5.4945054945054951E-2</v>
      </c>
      <c r="BP394" s="75">
        <f>IFERROR(1/J394*(Y394/H394),"0")</f>
        <v>5.4945054945054951E-2</v>
      </c>
    </row>
    <row r="395" spans="1:68" x14ac:dyDescent="0.2">
      <c r="A395" s="609"/>
      <c r="B395" s="609"/>
      <c r="C395" s="609"/>
      <c r="D395" s="609"/>
      <c r="E395" s="609"/>
      <c r="F395" s="609"/>
      <c r="G395" s="609"/>
      <c r="H395" s="609"/>
      <c r="I395" s="609"/>
      <c r="J395" s="609"/>
      <c r="K395" s="609"/>
      <c r="L395" s="609"/>
      <c r="M395" s="609"/>
      <c r="N395" s="609"/>
      <c r="O395" s="610"/>
      <c r="P395" s="606" t="s">
        <v>40</v>
      </c>
      <c r="Q395" s="607"/>
      <c r="R395" s="607"/>
      <c r="S395" s="607"/>
      <c r="T395" s="607"/>
      <c r="U395" s="607"/>
      <c r="V395" s="608"/>
      <c r="W395" s="40" t="s">
        <v>39</v>
      </c>
      <c r="X395" s="41">
        <f>IFERROR(X392/H392,"0")+IFERROR(X393/H393,"0")+IFERROR(X394/H394,"0")</f>
        <v>17.513227513227513</v>
      </c>
      <c r="Y395" s="41">
        <f>IFERROR(Y392/H392,"0")+IFERROR(Y393/H393,"0")+IFERROR(Y394/H394,"0")</f>
        <v>18</v>
      </c>
      <c r="Z395" s="41">
        <f>IFERROR(IF(Z392="",0,Z392),"0")+IFERROR(IF(Z393="",0,Z393),"0")+IFERROR(IF(Z394="",0,Z394),"0")</f>
        <v>0.16705999999999999</v>
      </c>
      <c r="AA395" s="64"/>
      <c r="AB395" s="64"/>
      <c r="AC395" s="64"/>
    </row>
    <row r="396" spans="1:68" x14ac:dyDescent="0.2">
      <c r="A396" s="609"/>
      <c r="B396" s="609"/>
      <c r="C396" s="609"/>
      <c r="D396" s="609"/>
      <c r="E396" s="609"/>
      <c r="F396" s="609"/>
      <c r="G396" s="609"/>
      <c r="H396" s="609"/>
      <c r="I396" s="609"/>
      <c r="J396" s="609"/>
      <c r="K396" s="609"/>
      <c r="L396" s="609"/>
      <c r="M396" s="609"/>
      <c r="N396" s="609"/>
      <c r="O396" s="610"/>
      <c r="P396" s="606" t="s">
        <v>40</v>
      </c>
      <c r="Q396" s="607"/>
      <c r="R396" s="607"/>
      <c r="S396" s="607"/>
      <c r="T396" s="607"/>
      <c r="U396" s="607"/>
      <c r="V396" s="608"/>
      <c r="W396" s="40" t="s">
        <v>0</v>
      </c>
      <c r="X396" s="41">
        <f>IFERROR(SUM(X392:X394),"0")</f>
        <v>59</v>
      </c>
      <c r="Y396" s="41">
        <f>IFERROR(SUM(Y392:Y394),"0")</f>
        <v>61.8</v>
      </c>
      <c r="Z396" s="40"/>
      <c r="AA396" s="64"/>
      <c r="AB396" s="64"/>
      <c r="AC396" s="64"/>
    </row>
    <row r="397" spans="1:68" ht="27.75" hidden="1" customHeight="1" x14ac:dyDescent="0.2">
      <c r="A397" s="622" t="s">
        <v>650</v>
      </c>
      <c r="B397" s="622"/>
      <c r="C397" s="622"/>
      <c r="D397" s="622"/>
      <c r="E397" s="622"/>
      <c r="F397" s="622"/>
      <c r="G397" s="622"/>
      <c r="H397" s="622"/>
      <c r="I397" s="622"/>
      <c r="J397" s="622"/>
      <c r="K397" s="622"/>
      <c r="L397" s="622"/>
      <c r="M397" s="622"/>
      <c r="N397" s="622"/>
      <c r="O397" s="622"/>
      <c r="P397" s="622"/>
      <c r="Q397" s="622"/>
      <c r="R397" s="622"/>
      <c r="S397" s="622"/>
      <c r="T397" s="622"/>
      <c r="U397" s="622"/>
      <c r="V397" s="622"/>
      <c r="W397" s="622"/>
      <c r="X397" s="622"/>
      <c r="Y397" s="622"/>
      <c r="Z397" s="622"/>
      <c r="AA397" s="52"/>
      <c r="AB397" s="52"/>
      <c r="AC397" s="52"/>
    </row>
    <row r="398" spans="1:68" ht="16.5" hidden="1" customHeight="1" x14ac:dyDescent="0.25">
      <c r="A398" s="617" t="s">
        <v>651</v>
      </c>
      <c r="B398" s="617"/>
      <c r="C398" s="617"/>
      <c r="D398" s="617"/>
      <c r="E398" s="617"/>
      <c r="F398" s="617"/>
      <c r="G398" s="617"/>
      <c r="H398" s="617"/>
      <c r="I398" s="617"/>
      <c r="J398" s="617"/>
      <c r="K398" s="617"/>
      <c r="L398" s="617"/>
      <c r="M398" s="617"/>
      <c r="N398" s="617"/>
      <c r="O398" s="617"/>
      <c r="P398" s="617"/>
      <c r="Q398" s="617"/>
      <c r="R398" s="617"/>
      <c r="S398" s="617"/>
      <c r="T398" s="617"/>
      <c r="U398" s="617"/>
      <c r="V398" s="617"/>
      <c r="W398" s="617"/>
      <c r="X398" s="617"/>
      <c r="Y398" s="617"/>
      <c r="Z398" s="617"/>
      <c r="AA398" s="62"/>
      <c r="AB398" s="62"/>
      <c r="AC398" s="62"/>
    </row>
    <row r="399" spans="1:68" ht="14.25" hidden="1" customHeight="1" x14ac:dyDescent="0.25">
      <c r="A399" s="601" t="s">
        <v>128</v>
      </c>
      <c r="B399" s="601"/>
      <c r="C399" s="601"/>
      <c r="D399" s="601"/>
      <c r="E399" s="601"/>
      <c r="F399" s="601"/>
      <c r="G399" s="601"/>
      <c r="H399" s="601"/>
      <c r="I399" s="601"/>
      <c r="J399" s="601"/>
      <c r="K399" s="601"/>
      <c r="L399" s="601"/>
      <c r="M399" s="601"/>
      <c r="N399" s="601"/>
      <c r="O399" s="601"/>
      <c r="P399" s="601"/>
      <c r="Q399" s="601"/>
      <c r="R399" s="601"/>
      <c r="S399" s="601"/>
      <c r="T399" s="601"/>
      <c r="U399" s="601"/>
      <c r="V399" s="601"/>
      <c r="W399" s="601"/>
      <c r="X399" s="601"/>
      <c r="Y399" s="601"/>
      <c r="Z399" s="601"/>
      <c r="AA399" s="63"/>
      <c r="AB399" s="63"/>
      <c r="AC399" s="63"/>
    </row>
    <row r="400" spans="1:68" ht="27" hidden="1" customHeight="1" x14ac:dyDescent="0.25">
      <c r="A400" s="60" t="s">
        <v>652</v>
      </c>
      <c r="B400" s="60" t="s">
        <v>653</v>
      </c>
      <c r="C400" s="34">
        <v>4301012332</v>
      </c>
      <c r="D400" s="602">
        <v>4680115888401</v>
      </c>
      <c r="E400" s="602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97</v>
      </c>
      <c r="N400" s="36"/>
      <c r="O400" s="35">
        <v>60</v>
      </c>
      <c r="P400" s="67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04"/>
      <c r="R400" s="604"/>
      <c r="S400" s="604"/>
      <c r="T400" s="605"/>
      <c r="U400" s="37" t="s">
        <v>46</v>
      </c>
      <c r="V400" s="37" t="s">
        <v>46</v>
      </c>
      <c r="W400" s="38" t="s">
        <v>0</v>
      </c>
      <c r="X400" s="56">
        <v>0</v>
      </c>
      <c r="Y400" s="53">
        <f t="shared" ref="Y400:Y407" si="57">IFERROR(IF(X400="",0,CEILING((X400/$H400),1)*$H400),"")</f>
        <v>0</v>
      </c>
      <c r="Z400" s="39" t="str">
        <f>IFERROR(IF(Y400=0,"",ROUNDUP(Y400/H400,0)*0.02175),"")</f>
        <v/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ref="BM400:BM407" si="58">IFERROR(X400*I400/H400,"0")</f>
        <v>0</v>
      </c>
      <c r="BN400" s="75">
        <f t="shared" ref="BN400:BN407" si="59">IFERROR(Y400*I400/H400,"0")</f>
        <v>0</v>
      </c>
      <c r="BO400" s="75">
        <f t="shared" ref="BO400:BO407" si="60">IFERROR(1/J400*(X400/H400),"0")</f>
        <v>0</v>
      </c>
      <c r="BP400" s="75">
        <f t="shared" ref="BP400:BP407" si="61">IFERROR(1/J400*(Y400/H400),"0")</f>
        <v>0</v>
      </c>
    </row>
    <row r="401" spans="1:68" ht="37.5" customHeight="1" x14ac:dyDescent="0.25">
      <c r="A401" s="60" t="s">
        <v>655</v>
      </c>
      <c r="B401" s="60" t="s">
        <v>656</v>
      </c>
      <c r="C401" s="34">
        <v>4301011869</v>
      </c>
      <c r="D401" s="602">
        <v>4680115884847</v>
      </c>
      <c r="E401" s="602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81</v>
      </c>
      <c r="N401" s="36"/>
      <c r="O401" s="35">
        <v>60</v>
      </c>
      <c r="P401" s="67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04"/>
      <c r="R401" s="604"/>
      <c r="S401" s="604"/>
      <c r="T401" s="605"/>
      <c r="U401" s="37" t="s">
        <v>46</v>
      </c>
      <c r="V401" s="37" t="s">
        <v>46</v>
      </c>
      <c r="W401" s="38" t="s">
        <v>0</v>
      </c>
      <c r="X401" s="56">
        <v>750</v>
      </c>
      <c r="Y401" s="53">
        <f t="shared" si="57"/>
        <v>750</v>
      </c>
      <c r="Z401" s="39">
        <f>IFERROR(IF(Y401=0,"",ROUNDUP(Y401/H401,0)*0.02175),"")</f>
        <v>1.0874999999999999</v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8"/>
        <v>773.5</v>
      </c>
      <c r="BN401" s="75">
        <f t="shared" si="59"/>
        <v>773.5</v>
      </c>
      <c r="BO401" s="75">
        <f t="shared" si="60"/>
        <v>1.0416666666666665</v>
      </c>
      <c r="BP401" s="75">
        <f t="shared" si="61"/>
        <v>1.0416666666666665</v>
      </c>
    </row>
    <row r="402" spans="1:68" ht="27" customHeight="1" x14ac:dyDescent="0.25">
      <c r="A402" s="60" t="s">
        <v>658</v>
      </c>
      <c r="B402" s="60" t="s">
        <v>659</v>
      </c>
      <c r="C402" s="34">
        <v>4301012083</v>
      </c>
      <c r="D402" s="602">
        <v>4680115884854</v>
      </c>
      <c r="E402" s="602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132</v>
      </c>
      <c r="N402" s="36"/>
      <c r="O402" s="35">
        <v>60</v>
      </c>
      <c r="P402" s="67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04"/>
      <c r="R402" s="604"/>
      <c r="S402" s="604"/>
      <c r="T402" s="605"/>
      <c r="U402" s="37" t="s">
        <v>46</v>
      </c>
      <c r="V402" s="37" t="s">
        <v>46</v>
      </c>
      <c r="W402" s="38" t="s">
        <v>0</v>
      </c>
      <c r="X402" s="56">
        <v>1000</v>
      </c>
      <c r="Y402" s="53">
        <f t="shared" si="57"/>
        <v>1005</v>
      </c>
      <c r="Z402" s="39">
        <f>IFERROR(IF(Y402=0,"",ROUNDUP(Y402/H402,0)*0.02175),"")</f>
        <v>1.4572499999999999</v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8"/>
        <v>1031.3333333333333</v>
      </c>
      <c r="BN402" s="75">
        <f t="shared" si="59"/>
        <v>1036.49</v>
      </c>
      <c r="BO402" s="75">
        <f t="shared" si="60"/>
        <v>1.3888888888888888</v>
      </c>
      <c r="BP402" s="75">
        <f t="shared" si="61"/>
        <v>1.3958333333333333</v>
      </c>
    </row>
    <row r="403" spans="1:68" ht="27" hidden="1" customHeight="1" x14ac:dyDescent="0.25">
      <c r="A403" s="60" t="s">
        <v>661</v>
      </c>
      <c r="B403" s="60" t="s">
        <v>662</v>
      </c>
      <c r="C403" s="34">
        <v>4301011867</v>
      </c>
      <c r="D403" s="602">
        <v>4680115884830</v>
      </c>
      <c r="E403" s="602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81</v>
      </c>
      <c r="N403" s="36"/>
      <c r="O403" s="35">
        <v>60</v>
      </c>
      <c r="P403" s="6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04"/>
      <c r="R403" s="604"/>
      <c r="S403" s="604"/>
      <c r="T403" s="605"/>
      <c r="U403" s="37" t="s">
        <v>46</v>
      </c>
      <c r="V403" s="37" t="s">
        <v>46</v>
      </c>
      <c r="W403" s="38" t="s">
        <v>0</v>
      </c>
      <c r="X403" s="56">
        <v>0</v>
      </c>
      <c r="Y403" s="53">
        <f t="shared" si="57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8"/>
        <v>0</v>
      </c>
      <c r="BN403" s="75">
        <f t="shared" si="59"/>
        <v>0</v>
      </c>
      <c r="BO403" s="75">
        <f t="shared" si="60"/>
        <v>0</v>
      </c>
      <c r="BP403" s="75">
        <f t="shared" si="61"/>
        <v>0</v>
      </c>
    </row>
    <row r="404" spans="1:68" ht="27" customHeight="1" x14ac:dyDescent="0.25">
      <c r="A404" s="60" t="s">
        <v>664</v>
      </c>
      <c r="B404" s="60" t="s">
        <v>665</v>
      </c>
      <c r="C404" s="34">
        <v>4301012356</v>
      </c>
      <c r="D404" s="602">
        <v>4680115889231</v>
      </c>
      <c r="E404" s="602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97</v>
      </c>
      <c r="N404" s="36"/>
      <c r="O404" s="35">
        <v>60</v>
      </c>
      <c r="P404" s="66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04"/>
      <c r="R404" s="604"/>
      <c r="S404" s="604"/>
      <c r="T404" s="605"/>
      <c r="U404" s="37" t="s">
        <v>46</v>
      </c>
      <c r="V404" s="37" t="s">
        <v>46</v>
      </c>
      <c r="W404" s="38" t="s">
        <v>0</v>
      </c>
      <c r="X404" s="56">
        <v>3300</v>
      </c>
      <c r="Y404" s="53">
        <f t="shared" si="57"/>
        <v>3300</v>
      </c>
      <c r="Z404" s="39">
        <f>IFERROR(IF(Y404=0,"",ROUNDUP(Y404/H404,0)*0.02175),"")</f>
        <v>4.7849999999999993</v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3403.4</v>
      </c>
      <c r="BN404" s="75">
        <f t="shared" si="59"/>
        <v>3403.4</v>
      </c>
      <c r="BO404" s="75">
        <f t="shared" si="60"/>
        <v>4.583333333333333</v>
      </c>
      <c r="BP404" s="75">
        <f t="shared" si="61"/>
        <v>4.583333333333333</v>
      </c>
    </row>
    <row r="405" spans="1:68" ht="27" hidden="1" customHeight="1" x14ac:dyDescent="0.25">
      <c r="A405" s="60" t="s">
        <v>667</v>
      </c>
      <c r="B405" s="60" t="s">
        <v>668</v>
      </c>
      <c r="C405" s="34">
        <v>4301011433</v>
      </c>
      <c r="D405" s="602">
        <v>4680115882638</v>
      </c>
      <c r="E405" s="602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140</v>
      </c>
      <c r="L405" s="35" t="s">
        <v>46</v>
      </c>
      <c r="M405" s="36" t="s">
        <v>132</v>
      </c>
      <c r="N405" s="36"/>
      <c r="O405" s="35">
        <v>90</v>
      </c>
      <c r="P405" s="66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04"/>
      <c r="R405" s="604"/>
      <c r="S405" s="604"/>
      <c r="T405" s="605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customHeight="1" x14ac:dyDescent="0.25">
      <c r="A406" s="60" t="s">
        <v>670</v>
      </c>
      <c r="B406" s="60" t="s">
        <v>671</v>
      </c>
      <c r="C406" s="34">
        <v>4301011952</v>
      </c>
      <c r="D406" s="602">
        <v>4680115884922</v>
      </c>
      <c r="E406" s="602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66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04"/>
      <c r="R406" s="604"/>
      <c r="S406" s="604"/>
      <c r="T406" s="605"/>
      <c r="U406" s="37" t="s">
        <v>46</v>
      </c>
      <c r="V406" s="37" t="s">
        <v>46</v>
      </c>
      <c r="W406" s="38" t="s">
        <v>0</v>
      </c>
      <c r="X406" s="56">
        <v>30</v>
      </c>
      <c r="Y406" s="53">
        <f t="shared" si="57"/>
        <v>30</v>
      </c>
      <c r="Z406" s="39">
        <f>IFERROR(IF(Y406=0,"",ROUNDUP(Y406/H406,0)*0.00902),"")</f>
        <v>5.4120000000000001E-2</v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31.140000000000004</v>
      </c>
      <c r="BN406" s="75">
        <f t="shared" si="59"/>
        <v>31.140000000000004</v>
      </c>
      <c r="BO406" s="75">
        <f t="shared" si="60"/>
        <v>4.5454545454545456E-2</v>
      </c>
      <c r="BP406" s="75">
        <f t="shared" si="61"/>
        <v>4.5454545454545456E-2</v>
      </c>
    </row>
    <row r="407" spans="1:68" ht="37.5" hidden="1" customHeight="1" x14ac:dyDescent="0.25">
      <c r="A407" s="60" t="s">
        <v>673</v>
      </c>
      <c r="B407" s="60" t="s">
        <v>674</v>
      </c>
      <c r="C407" s="34">
        <v>4301011868</v>
      </c>
      <c r="D407" s="602">
        <v>4680115884861</v>
      </c>
      <c r="E407" s="602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140</v>
      </c>
      <c r="L407" s="35" t="s">
        <v>46</v>
      </c>
      <c r="M407" s="36" t="s">
        <v>81</v>
      </c>
      <c r="N407" s="36"/>
      <c r="O407" s="35">
        <v>60</v>
      </c>
      <c r="P407" s="67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04"/>
      <c r="R407" s="604"/>
      <c r="S407" s="604"/>
      <c r="T407" s="605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IFERROR(IF(Y407=0,"",ROUNDUP(Y407/H407,0)*0.00902),"")</f>
        <v/>
      </c>
      <c r="AA407" s="65" t="s">
        <v>46</v>
      </c>
      <c r="AB407" s="66" t="s">
        <v>46</v>
      </c>
      <c r="AC407" s="493" t="s">
        <v>675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x14ac:dyDescent="0.2">
      <c r="A408" s="609"/>
      <c r="B408" s="609"/>
      <c r="C408" s="609"/>
      <c r="D408" s="609"/>
      <c r="E408" s="609"/>
      <c r="F408" s="609"/>
      <c r="G408" s="609"/>
      <c r="H408" s="609"/>
      <c r="I408" s="609"/>
      <c r="J408" s="609"/>
      <c r="K408" s="609"/>
      <c r="L408" s="609"/>
      <c r="M408" s="609"/>
      <c r="N408" s="609"/>
      <c r="O408" s="610"/>
      <c r="P408" s="606" t="s">
        <v>40</v>
      </c>
      <c r="Q408" s="607"/>
      <c r="R408" s="607"/>
      <c r="S408" s="607"/>
      <c r="T408" s="607"/>
      <c r="U408" s="607"/>
      <c r="V408" s="608"/>
      <c r="W408" s="40" t="s">
        <v>39</v>
      </c>
      <c r="X408" s="41">
        <f>IFERROR(X400/H400,"0")+IFERROR(X401/H401,"0")+IFERROR(X402/H402,"0")+IFERROR(X403/H403,"0")+IFERROR(X404/H404,"0")+IFERROR(X405/H405,"0")+IFERROR(X406/H406,"0")+IFERROR(X407/H407,"0")</f>
        <v>342.66666666666669</v>
      </c>
      <c r="Y408" s="41">
        <f>IFERROR(Y400/H400,"0")+IFERROR(Y401/H401,"0")+IFERROR(Y402/H402,"0")+IFERROR(Y403/H403,"0")+IFERROR(Y404/H404,"0")+IFERROR(Y405/H405,"0")+IFERROR(Y406/H406,"0")+IFERROR(Y407/H407,"0")</f>
        <v>343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7.383869999999999</v>
      </c>
      <c r="AA408" s="64"/>
      <c r="AB408" s="64"/>
      <c r="AC408" s="64"/>
    </row>
    <row r="409" spans="1:68" x14ac:dyDescent="0.2">
      <c r="A409" s="609"/>
      <c r="B409" s="609"/>
      <c r="C409" s="609"/>
      <c r="D409" s="609"/>
      <c r="E409" s="609"/>
      <c r="F409" s="609"/>
      <c r="G409" s="609"/>
      <c r="H409" s="609"/>
      <c r="I409" s="609"/>
      <c r="J409" s="609"/>
      <c r="K409" s="609"/>
      <c r="L409" s="609"/>
      <c r="M409" s="609"/>
      <c r="N409" s="609"/>
      <c r="O409" s="610"/>
      <c r="P409" s="606" t="s">
        <v>40</v>
      </c>
      <c r="Q409" s="607"/>
      <c r="R409" s="607"/>
      <c r="S409" s="607"/>
      <c r="T409" s="607"/>
      <c r="U409" s="607"/>
      <c r="V409" s="608"/>
      <c r="W409" s="40" t="s">
        <v>0</v>
      </c>
      <c r="X409" s="41">
        <f>IFERROR(SUM(X400:X407),"0")</f>
        <v>5080</v>
      </c>
      <c r="Y409" s="41">
        <f>IFERROR(SUM(Y400:Y407),"0")</f>
        <v>5085</v>
      </c>
      <c r="Z409" s="40"/>
      <c r="AA409" s="64"/>
      <c r="AB409" s="64"/>
      <c r="AC409" s="64"/>
    </row>
    <row r="410" spans="1:68" ht="14.25" hidden="1" customHeight="1" x14ac:dyDescent="0.25">
      <c r="A410" s="601" t="s">
        <v>163</v>
      </c>
      <c r="B410" s="601"/>
      <c r="C410" s="601"/>
      <c r="D410" s="601"/>
      <c r="E410" s="601"/>
      <c r="F410" s="601"/>
      <c r="G410" s="601"/>
      <c r="H410" s="601"/>
      <c r="I410" s="601"/>
      <c r="J410" s="601"/>
      <c r="K410" s="601"/>
      <c r="L410" s="601"/>
      <c r="M410" s="601"/>
      <c r="N410" s="601"/>
      <c r="O410" s="601"/>
      <c r="P410" s="601"/>
      <c r="Q410" s="601"/>
      <c r="R410" s="601"/>
      <c r="S410" s="601"/>
      <c r="T410" s="601"/>
      <c r="U410" s="601"/>
      <c r="V410" s="601"/>
      <c r="W410" s="601"/>
      <c r="X410" s="601"/>
      <c r="Y410" s="601"/>
      <c r="Z410" s="601"/>
      <c r="AA410" s="63"/>
      <c r="AB410" s="63"/>
      <c r="AC410" s="63"/>
    </row>
    <row r="411" spans="1:68" ht="27" customHeight="1" x14ac:dyDescent="0.25">
      <c r="A411" s="60" t="s">
        <v>676</v>
      </c>
      <c r="B411" s="60" t="s">
        <v>677</v>
      </c>
      <c r="C411" s="34">
        <v>4301020178</v>
      </c>
      <c r="D411" s="602">
        <v>4607091383980</v>
      </c>
      <c r="E411" s="602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66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04"/>
      <c r="R411" s="604"/>
      <c r="S411" s="604"/>
      <c r="T411" s="605"/>
      <c r="U411" s="37" t="s">
        <v>46</v>
      </c>
      <c r="V411" s="37" t="s">
        <v>46</v>
      </c>
      <c r="W411" s="38" t="s">
        <v>0</v>
      </c>
      <c r="X411" s="56">
        <v>1000</v>
      </c>
      <c r="Y411" s="53">
        <f>IFERROR(IF(X411="",0,CEILING((X411/$H411),1)*$H411),"")</f>
        <v>1005</v>
      </c>
      <c r="Z411" s="39">
        <f>IFERROR(IF(Y411=0,"",ROUNDUP(Y411/H411,0)*0.02175),"")</f>
        <v>1.4572499999999999</v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1031.3333333333333</v>
      </c>
      <c r="BN411" s="75">
        <f>IFERROR(Y411*I411/H411,"0")</f>
        <v>1036.49</v>
      </c>
      <c r="BO411" s="75">
        <f>IFERROR(1/J411*(X411/H411),"0")</f>
        <v>1.3888888888888888</v>
      </c>
      <c r="BP411" s="75">
        <f>IFERROR(1/J411*(Y411/H411),"0")</f>
        <v>1.3958333333333333</v>
      </c>
    </row>
    <row r="412" spans="1:68" ht="27" hidden="1" customHeight="1" x14ac:dyDescent="0.25">
      <c r="A412" s="60" t="s">
        <v>679</v>
      </c>
      <c r="B412" s="60" t="s">
        <v>680</v>
      </c>
      <c r="C412" s="34">
        <v>4301020355</v>
      </c>
      <c r="D412" s="602">
        <v>4680115888425</v>
      </c>
      <c r="E412" s="602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133</v>
      </c>
      <c r="L412" s="35" t="s">
        <v>46</v>
      </c>
      <c r="M412" s="36" t="s">
        <v>132</v>
      </c>
      <c r="N412" s="36"/>
      <c r="O412" s="35">
        <v>50</v>
      </c>
      <c r="P412" s="6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04"/>
      <c r="R412" s="604"/>
      <c r="S412" s="604"/>
      <c r="T412" s="605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IFERROR(IF(Y412=0,"",ROUNDUP(Y412/H412,0)*0.02175),"")</f>
        <v/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682</v>
      </c>
      <c r="B413" s="60" t="s">
        <v>683</v>
      </c>
      <c r="C413" s="34">
        <v>4301020179</v>
      </c>
      <c r="D413" s="602">
        <v>4607091384178</v>
      </c>
      <c r="E413" s="602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140</v>
      </c>
      <c r="L413" s="35" t="s">
        <v>46</v>
      </c>
      <c r="M413" s="36" t="s">
        <v>132</v>
      </c>
      <c r="N413" s="36"/>
      <c r="O413" s="35">
        <v>50</v>
      </c>
      <c r="P413" s="66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04"/>
      <c r="R413" s="604"/>
      <c r="S413" s="604"/>
      <c r="T413" s="605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IFERROR(IF(Y413=0,"",ROUNDUP(Y413/H413,0)*0.00902),"")</f>
        <v/>
      </c>
      <c r="AA413" s="65" t="s">
        <v>46</v>
      </c>
      <c r="AB413" s="66" t="s">
        <v>46</v>
      </c>
      <c r="AC413" s="499" t="s">
        <v>684</v>
      </c>
      <c r="AG413" s="75"/>
      <c r="AJ413" s="79" t="s">
        <v>46</v>
      </c>
      <c r="AK413" s="79">
        <v>0</v>
      </c>
      <c r="BB413" s="50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09"/>
      <c r="B414" s="609"/>
      <c r="C414" s="609"/>
      <c r="D414" s="609"/>
      <c r="E414" s="609"/>
      <c r="F414" s="609"/>
      <c r="G414" s="609"/>
      <c r="H414" s="609"/>
      <c r="I414" s="609"/>
      <c r="J414" s="609"/>
      <c r="K414" s="609"/>
      <c r="L414" s="609"/>
      <c r="M414" s="609"/>
      <c r="N414" s="609"/>
      <c r="O414" s="610"/>
      <c r="P414" s="606" t="s">
        <v>40</v>
      </c>
      <c r="Q414" s="607"/>
      <c r="R414" s="607"/>
      <c r="S414" s="607"/>
      <c r="T414" s="607"/>
      <c r="U414" s="607"/>
      <c r="V414" s="608"/>
      <c r="W414" s="40" t="s">
        <v>39</v>
      </c>
      <c r="X414" s="41">
        <f>IFERROR(X411/H411,"0")+IFERROR(X412/H412,"0")+IFERROR(X413/H413,"0")</f>
        <v>66.666666666666671</v>
      </c>
      <c r="Y414" s="41">
        <f>IFERROR(Y411/H411,"0")+IFERROR(Y412/H412,"0")+IFERROR(Y413/H413,"0")</f>
        <v>67</v>
      </c>
      <c r="Z414" s="41">
        <f>IFERROR(IF(Z411="",0,Z411),"0")+IFERROR(IF(Z412="",0,Z412),"0")+IFERROR(IF(Z413="",0,Z413),"0")</f>
        <v>1.4572499999999999</v>
      </c>
      <c r="AA414" s="64"/>
      <c r="AB414" s="64"/>
      <c r="AC414" s="64"/>
    </row>
    <row r="415" spans="1:68" x14ac:dyDescent="0.2">
      <c r="A415" s="609"/>
      <c r="B415" s="609"/>
      <c r="C415" s="609"/>
      <c r="D415" s="609"/>
      <c r="E415" s="609"/>
      <c r="F415" s="609"/>
      <c r="G415" s="609"/>
      <c r="H415" s="609"/>
      <c r="I415" s="609"/>
      <c r="J415" s="609"/>
      <c r="K415" s="609"/>
      <c r="L415" s="609"/>
      <c r="M415" s="609"/>
      <c r="N415" s="609"/>
      <c r="O415" s="610"/>
      <c r="P415" s="606" t="s">
        <v>40</v>
      </c>
      <c r="Q415" s="607"/>
      <c r="R415" s="607"/>
      <c r="S415" s="607"/>
      <c r="T415" s="607"/>
      <c r="U415" s="607"/>
      <c r="V415" s="608"/>
      <c r="W415" s="40" t="s">
        <v>0</v>
      </c>
      <c r="X415" s="41">
        <f>IFERROR(SUM(X411:X413),"0")</f>
        <v>1000</v>
      </c>
      <c r="Y415" s="41">
        <f>IFERROR(SUM(Y411:Y413),"0")</f>
        <v>1005</v>
      </c>
      <c r="Z415" s="40"/>
      <c r="AA415" s="64"/>
      <c r="AB415" s="64"/>
      <c r="AC415" s="64"/>
    </row>
    <row r="416" spans="1:68" ht="14.25" hidden="1" customHeight="1" x14ac:dyDescent="0.25">
      <c r="A416" s="601" t="s">
        <v>86</v>
      </c>
      <c r="B416" s="601"/>
      <c r="C416" s="601"/>
      <c r="D416" s="601"/>
      <c r="E416" s="601"/>
      <c r="F416" s="601"/>
      <c r="G416" s="601"/>
      <c r="H416" s="601"/>
      <c r="I416" s="601"/>
      <c r="J416" s="601"/>
      <c r="K416" s="601"/>
      <c r="L416" s="601"/>
      <c r="M416" s="601"/>
      <c r="N416" s="601"/>
      <c r="O416" s="601"/>
      <c r="P416" s="601"/>
      <c r="Q416" s="601"/>
      <c r="R416" s="601"/>
      <c r="S416" s="601"/>
      <c r="T416" s="601"/>
      <c r="U416" s="601"/>
      <c r="V416" s="601"/>
      <c r="W416" s="601"/>
      <c r="X416" s="601"/>
      <c r="Y416" s="601"/>
      <c r="Z416" s="601"/>
      <c r="AA416" s="63"/>
      <c r="AB416" s="63"/>
      <c r="AC416" s="63"/>
    </row>
    <row r="417" spans="1:68" ht="27" customHeight="1" x14ac:dyDescent="0.25">
      <c r="A417" s="60" t="s">
        <v>685</v>
      </c>
      <c r="B417" s="60" t="s">
        <v>686</v>
      </c>
      <c r="C417" s="34">
        <v>4301051903</v>
      </c>
      <c r="D417" s="602">
        <v>4607091383928</v>
      </c>
      <c r="E417" s="602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6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04"/>
      <c r="R417" s="604"/>
      <c r="S417" s="604"/>
      <c r="T417" s="605"/>
      <c r="U417" s="37" t="s">
        <v>46</v>
      </c>
      <c r="V417" s="37" t="s">
        <v>46</v>
      </c>
      <c r="W417" s="38" t="s">
        <v>0</v>
      </c>
      <c r="X417" s="56">
        <v>950</v>
      </c>
      <c r="Y417" s="53">
        <f>IFERROR(IF(X417="",0,CEILING((X417/$H417),1)*$H417),"")</f>
        <v>954</v>
      </c>
      <c r="Z417" s="39">
        <f>IFERROR(IF(Y417=0,"",ROUNDUP(Y417/H417,0)*0.01898),"")</f>
        <v>2.0118800000000001</v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1002.7777777777778</v>
      </c>
      <c r="BN417" s="75">
        <f>IFERROR(Y417*I417/H417,"0")</f>
        <v>1007</v>
      </c>
      <c r="BO417" s="75">
        <f>IFERROR(1/J417*(X417/H417),"0")</f>
        <v>1.6493055555555556</v>
      </c>
      <c r="BP417" s="75">
        <f>IFERROR(1/J417*(Y417/H417),"0")</f>
        <v>1.65625</v>
      </c>
    </row>
    <row r="418" spans="1:68" ht="27" customHeight="1" x14ac:dyDescent="0.25">
      <c r="A418" s="60" t="s">
        <v>688</v>
      </c>
      <c r="B418" s="60" t="s">
        <v>689</v>
      </c>
      <c r="C418" s="34">
        <v>4301051897</v>
      </c>
      <c r="D418" s="602">
        <v>4607091384260</v>
      </c>
      <c r="E418" s="602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133</v>
      </c>
      <c r="L418" s="35" t="s">
        <v>46</v>
      </c>
      <c r="M418" s="36" t="s">
        <v>90</v>
      </c>
      <c r="N418" s="36"/>
      <c r="O418" s="35">
        <v>40</v>
      </c>
      <c r="P418" s="66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04"/>
      <c r="R418" s="604"/>
      <c r="S418" s="604"/>
      <c r="T418" s="605"/>
      <c r="U418" s="37" t="s">
        <v>46</v>
      </c>
      <c r="V418" s="37" t="s">
        <v>46</v>
      </c>
      <c r="W418" s="38" t="s">
        <v>0</v>
      </c>
      <c r="X418" s="56">
        <v>150</v>
      </c>
      <c r="Y418" s="53">
        <f>IFERROR(IF(X418="",0,CEILING((X418/$H418),1)*$H418),"")</f>
        <v>153</v>
      </c>
      <c r="Z418" s="39">
        <f>IFERROR(IF(Y418=0,"",ROUNDUP(Y418/H418,0)*0.01898),"")</f>
        <v>0.32266</v>
      </c>
      <c r="AA418" s="65" t="s">
        <v>46</v>
      </c>
      <c r="AB418" s="66" t="s">
        <v>46</v>
      </c>
      <c r="AC418" s="503" t="s">
        <v>690</v>
      </c>
      <c r="AG418" s="75"/>
      <c r="AJ418" s="79" t="s">
        <v>46</v>
      </c>
      <c r="AK418" s="79">
        <v>0</v>
      </c>
      <c r="BB418" s="504" t="s">
        <v>67</v>
      </c>
      <c r="BM418" s="75">
        <f>IFERROR(X418*I418/H418,"0")</f>
        <v>158.23333333333332</v>
      </c>
      <c r="BN418" s="75">
        <f>IFERROR(Y418*I418/H418,"0")</f>
        <v>161.398</v>
      </c>
      <c r="BO418" s="75">
        <f>IFERROR(1/J418*(X418/H418),"0")</f>
        <v>0.26041666666666669</v>
      </c>
      <c r="BP418" s="75">
        <f>IFERROR(1/J418*(Y418/H418),"0")</f>
        <v>0.265625</v>
      </c>
    </row>
    <row r="419" spans="1:68" x14ac:dyDescent="0.2">
      <c r="A419" s="609"/>
      <c r="B419" s="609"/>
      <c r="C419" s="609"/>
      <c r="D419" s="609"/>
      <c r="E419" s="609"/>
      <c r="F419" s="609"/>
      <c r="G419" s="609"/>
      <c r="H419" s="609"/>
      <c r="I419" s="609"/>
      <c r="J419" s="609"/>
      <c r="K419" s="609"/>
      <c r="L419" s="609"/>
      <c r="M419" s="609"/>
      <c r="N419" s="609"/>
      <c r="O419" s="610"/>
      <c r="P419" s="606" t="s">
        <v>40</v>
      </c>
      <c r="Q419" s="607"/>
      <c r="R419" s="607"/>
      <c r="S419" s="607"/>
      <c r="T419" s="607"/>
      <c r="U419" s="607"/>
      <c r="V419" s="608"/>
      <c r="W419" s="40" t="s">
        <v>39</v>
      </c>
      <c r="X419" s="41">
        <f>IFERROR(X417/H417,"0")+IFERROR(X418/H418,"0")</f>
        <v>122.22222222222223</v>
      </c>
      <c r="Y419" s="41">
        <f>IFERROR(Y417/H417,"0")+IFERROR(Y418/H418,"0")</f>
        <v>123</v>
      </c>
      <c r="Z419" s="41">
        <f>IFERROR(IF(Z417="",0,Z417),"0")+IFERROR(IF(Z418="",0,Z418),"0")</f>
        <v>2.3345400000000001</v>
      </c>
      <c r="AA419" s="64"/>
      <c r="AB419" s="64"/>
      <c r="AC419" s="64"/>
    </row>
    <row r="420" spans="1:68" x14ac:dyDescent="0.2">
      <c r="A420" s="609"/>
      <c r="B420" s="609"/>
      <c r="C420" s="609"/>
      <c r="D420" s="609"/>
      <c r="E420" s="609"/>
      <c r="F420" s="609"/>
      <c r="G420" s="609"/>
      <c r="H420" s="609"/>
      <c r="I420" s="609"/>
      <c r="J420" s="609"/>
      <c r="K420" s="609"/>
      <c r="L420" s="609"/>
      <c r="M420" s="609"/>
      <c r="N420" s="609"/>
      <c r="O420" s="610"/>
      <c r="P420" s="606" t="s">
        <v>40</v>
      </c>
      <c r="Q420" s="607"/>
      <c r="R420" s="607"/>
      <c r="S420" s="607"/>
      <c r="T420" s="607"/>
      <c r="U420" s="607"/>
      <c r="V420" s="608"/>
      <c r="W420" s="40" t="s">
        <v>0</v>
      </c>
      <c r="X420" s="41">
        <f>IFERROR(SUM(X417:X418),"0")</f>
        <v>1100</v>
      </c>
      <c r="Y420" s="41">
        <f>IFERROR(SUM(Y417:Y418),"0")</f>
        <v>1107</v>
      </c>
      <c r="Z420" s="40"/>
      <c r="AA420" s="64"/>
      <c r="AB420" s="64"/>
      <c r="AC420" s="64"/>
    </row>
    <row r="421" spans="1:68" ht="14.25" hidden="1" customHeight="1" x14ac:dyDescent="0.25">
      <c r="A421" s="601" t="s">
        <v>180</v>
      </c>
      <c r="B421" s="601"/>
      <c r="C421" s="601"/>
      <c r="D421" s="601"/>
      <c r="E421" s="601"/>
      <c r="F421" s="601"/>
      <c r="G421" s="601"/>
      <c r="H421" s="601"/>
      <c r="I421" s="601"/>
      <c r="J421" s="601"/>
      <c r="K421" s="601"/>
      <c r="L421" s="601"/>
      <c r="M421" s="601"/>
      <c r="N421" s="601"/>
      <c r="O421" s="601"/>
      <c r="P421" s="601"/>
      <c r="Q421" s="601"/>
      <c r="R421" s="601"/>
      <c r="S421" s="601"/>
      <c r="T421" s="601"/>
      <c r="U421" s="601"/>
      <c r="V421" s="601"/>
      <c r="W421" s="601"/>
      <c r="X421" s="601"/>
      <c r="Y421" s="601"/>
      <c r="Z421" s="601"/>
      <c r="AA421" s="63"/>
      <c r="AB421" s="63"/>
      <c r="AC421" s="63"/>
    </row>
    <row r="422" spans="1:68" ht="16.5" customHeight="1" x14ac:dyDescent="0.25">
      <c r="A422" s="60" t="s">
        <v>691</v>
      </c>
      <c r="B422" s="60" t="s">
        <v>692</v>
      </c>
      <c r="C422" s="34">
        <v>4301060524</v>
      </c>
      <c r="D422" s="602">
        <v>4607091384673</v>
      </c>
      <c r="E422" s="602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133</v>
      </c>
      <c r="L422" s="35" t="s">
        <v>46</v>
      </c>
      <c r="M422" s="36" t="s">
        <v>90</v>
      </c>
      <c r="N422" s="36"/>
      <c r="O422" s="35">
        <v>40</v>
      </c>
      <c r="P422" s="6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04"/>
      <c r="R422" s="604"/>
      <c r="S422" s="604"/>
      <c r="T422" s="605"/>
      <c r="U422" s="37" t="s">
        <v>46</v>
      </c>
      <c r="V422" s="37" t="s">
        <v>46</v>
      </c>
      <c r="W422" s="38" t="s">
        <v>0</v>
      </c>
      <c r="X422" s="56">
        <v>150</v>
      </c>
      <c r="Y422" s="53">
        <f>IFERROR(IF(X422="",0,CEILING((X422/$H422),1)*$H422),"")</f>
        <v>153</v>
      </c>
      <c r="Z422" s="39">
        <f>IFERROR(IF(Y422=0,"",ROUNDUP(Y422/H422,0)*0.01898),"")</f>
        <v>0.32266</v>
      </c>
      <c r="AA422" s="65" t="s">
        <v>46</v>
      </c>
      <c r="AB422" s="66" t="s">
        <v>46</v>
      </c>
      <c r="AC422" s="505" t="s">
        <v>693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158.23333333333332</v>
      </c>
      <c r="BN422" s="75">
        <f>IFERROR(Y422*I422/H422,"0")</f>
        <v>161.398</v>
      </c>
      <c r="BO422" s="75">
        <f>IFERROR(1/J422*(X422/H422),"0")</f>
        <v>0.26041666666666669</v>
      </c>
      <c r="BP422" s="75">
        <f>IFERROR(1/J422*(Y422/H422),"0")</f>
        <v>0.265625</v>
      </c>
    </row>
    <row r="423" spans="1:68" x14ac:dyDescent="0.2">
      <c r="A423" s="609"/>
      <c r="B423" s="609"/>
      <c r="C423" s="609"/>
      <c r="D423" s="609"/>
      <c r="E423" s="609"/>
      <c r="F423" s="609"/>
      <c r="G423" s="609"/>
      <c r="H423" s="609"/>
      <c r="I423" s="609"/>
      <c r="J423" s="609"/>
      <c r="K423" s="609"/>
      <c r="L423" s="609"/>
      <c r="M423" s="609"/>
      <c r="N423" s="609"/>
      <c r="O423" s="610"/>
      <c r="P423" s="606" t="s">
        <v>40</v>
      </c>
      <c r="Q423" s="607"/>
      <c r="R423" s="607"/>
      <c r="S423" s="607"/>
      <c r="T423" s="607"/>
      <c r="U423" s="607"/>
      <c r="V423" s="608"/>
      <c r="W423" s="40" t="s">
        <v>39</v>
      </c>
      <c r="X423" s="41">
        <f>IFERROR(X422/H422,"0")</f>
        <v>16.666666666666668</v>
      </c>
      <c r="Y423" s="41">
        <f>IFERROR(Y422/H422,"0")</f>
        <v>17</v>
      </c>
      <c r="Z423" s="41">
        <f>IFERROR(IF(Z422="",0,Z422),"0")</f>
        <v>0.32266</v>
      </c>
      <c r="AA423" s="64"/>
      <c r="AB423" s="64"/>
      <c r="AC423" s="64"/>
    </row>
    <row r="424" spans="1:68" x14ac:dyDescent="0.2">
      <c r="A424" s="609"/>
      <c r="B424" s="609"/>
      <c r="C424" s="609"/>
      <c r="D424" s="609"/>
      <c r="E424" s="609"/>
      <c r="F424" s="609"/>
      <c r="G424" s="609"/>
      <c r="H424" s="609"/>
      <c r="I424" s="609"/>
      <c r="J424" s="609"/>
      <c r="K424" s="609"/>
      <c r="L424" s="609"/>
      <c r="M424" s="609"/>
      <c r="N424" s="609"/>
      <c r="O424" s="610"/>
      <c r="P424" s="606" t="s">
        <v>40</v>
      </c>
      <c r="Q424" s="607"/>
      <c r="R424" s="607"/>
      <c r="S424" s="607"/>
      <c r="T424" s="607"/>
      <c r="U424" s="607"/>
      <c r="V424" s="608"/>
      <c r="W424" s="40" t="s">
        <v>0</v>
      </c>
      <c r="X424" s="41">
        <f>IFERROR(SUM(X422:X422),"0")</f>
        <v>150</v>
      </c>
      <c r="Y424" s="41">
        <f>IFERROR(SUM(Y422:Y422),"0")</f>
        <v>153</v>
      </c>
      <c r="Z424" s="40"/>
      <c r="AA424" s="64"/>
      <c r="AB424" s="64"/>
      <c r="AC424" s="64"/>
    </row>
    <row r="425" spans="1:68" ht="16.5" hidden="1" customHeight="1" x14ac:dyDescent="0.25">
      <c r="A425" s="617" t="s">
        <v>694</v>
      </c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17"/>
      <c r="P425" s="617"/>
      <c r="Q425" s="617"/>
      <c r="R425" s="617"/>
      <c r="S425" s="617"/>
      <c r="T425" s="617"/>
      <c r="U425" s="617"/>
      <c r="V425" s="617"/>
      <c r="W425" s="617"/>
      <c r="X425" s="617"/>
      <c r="Y425" s="617"/>
      <c r="Z425" s="617"/>
      <c r="AA425" s="62"/>
      <c r="AB425" s="62"/>
      <c r="AC425" s="62"/>
    </row>
    <row r="426" spans="1:68" ht="14.25" hidden="1" customHeight="1" x14ac:dyDescent="0.25">
      <c r="A426" s="601" t="s">
        <v>128</v>
      </c>
      <c r="B426" s="601"/>
      <c r="C426" s="601"/>
      <c r="D426" s="601"/>
      <c r="E426" s="601"/>
      <c r="F426" s="601"/>
      <c r="G426" s="601"/>
      <c r="H426" s="601"/>
      <c r="I426" s="601"/>
      <c r="J426" s="601"/>
      <c r="K426" s="601"/>
      <c r="L426" s="601"/>
      <c r="M426" s="601"/>
      <c r="N426" s="601"/>
      <c r="O426" s="601"/>
      <c r="P426" s="601"/>
      <c r="Q426" s="601"/>
      <c r="R426" s="601"/>
      <c r="S426" s="601"/>
      <c r="T426" s="601"/>
      <c r="U426" s="601"/>
      <c r="V426" s="601"/>
      <c r="W426" s="601"/>
      <c r="X426" s="601"/>
      <c r="Y426" s="601"/>
      <c r="Z426" s="601"/>
      <c r="AA426" s="63"/>
      <c r="AB426" s="63"/>
      <c r="AC426" s="63"/>
    </row>
    <row r="427" spans="1:68" ht="27" hidden="1" customHeight="1" x14ac:dyDescent="0.25">
      <c r="A427" s="60" t="s">
        <v>695</v>
      </c>
      <c r="B427" s="60" t="s">
        <v>696</v>
      </c>
      <c r="C427" s="34">
        <v>4301011875</v>
      </c>
      <c r="D427" s="602">
        <v>4680115884885</v>
      </c>
      <c r="E427" s="602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133</v>
      </c>
      <c r="L427" s="35" t="s">
        <v>46</v>
      </c>
      <c r="M427" s="36" t="s">
        <v>81</v>
      </c>
      <c r="N427" s="36"/>
      <c r="O427" s="35">
        <v>60</v>
      </c>
      <c r="P427" s="6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04"/>
      <c r="R427" s="604"/>
      <c r="S427" s="604"/>
      <c r="T427" s="605"/>
      <c r="U427" s="37" t="s">
        <v>46</v>
      </c>
      <c r="V427" s="37" t="s">
        <v>46</v>
      </c>
      <c r="W427" s="38" t="s">
        <v>0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IFERROR(IF(Y427=0,"",ROUNDUP(Y427/H427,0)*0.01898),"")</f>
        <v/>
      </c>
      <c r="AA427" s="65" t="s">
        <v>46</v>
      </c>
      <c r="AB427" s="66" t="s">
        <v>46</v>
      </c>
      <c r="AC427" s="507" t="s">
        <v>697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t="37.5" hidden="1" customHeight="1" x14ac:dyDescent="0.25">
      <c r="A428" s="60" t="s">
        <v>698</v>
      </c>
      <c r="B428" s="60" t="s">
        <v>699</v>
      </c>
      <c r="C428" s="34">
        <v>4301011871</v>
      </c>
      <c r="D428" s="602">
        <v>4680115884908</v>
      </c>
      <c r="E428" s="602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65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04"/>
      <c r="R428" s="604"/>
      <c r="S428" s="604"/>
      <c r="T428" s="605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9" t="s">
        <v>697</v>
      </c>
      <c r="AG428" s="75"/>
      <c r="AJ428" s="79" t="s">
        <v>46</v>
      </c>
      <c r="AK428" s="79">
        <v>0</v>
      </c>
      <c r="BB428" s="510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hidden="1" x14ac:dyDescent="0.2">
      <c r="A429" s="609"/>
      <c r="B429" s="609"/>
      <c r="C429" s="609"/>
      <c r="D429" s="609"/>
      <c r="E429" s="609"/>
      <c r="F429" s="609"/>
      <c r="G429" s="609"/>
      <c r="H429" s="609"/>
      <c r="I429" s="609"/>
      <c r="J429" s="609"/>
      <c r="K429" s="609"/>
      <c r="L429" s="609"/>
      <c r="M429" s="609"/>
      <c r="N429" s="609"/>
      <c r="O429" s="610"/>
      <c r="P429" s="606" t="s">
        <v>40</v>
      </c>
      <c r="Q429" s="607"/>
      <c r="R429" s="607"/>
      <c r="S429" s="607"/>
      <c r="T429" s="607"/>
      <c r="U429" s="607"/>
      <c r="V429" s="608"/>
      <c r="W429" s="40" t="s">
        <v>39</v>
      </c>
      <c r="X429" s="41">
        <f>IFERROR(X427/H427,"0")+IFERROR(X428/H428,"0")</f>
        <v>0</v>
      </c>
      <c r="Y429" s="41">
        <f>IFERROR(Y427/H427,"0")+IFERROR(Y428/H428,"0")</f>
        <v>0</v>
      </c>
      <c r="Z429" s="41">
        <f>IFERROR(IF(Z427="",0,Z427),"0")+IFERROR(IF(Z428="",0,Z428),"0")</f>
        <v>0</v>
      </c>
      <c r="AA429" s="64"/>
      <c r="AB429" s="64"/>
      <c r="AC429" s="64"/>
    </row>
    <row r="430" spans="1:68" hidden="1" x14ac:dyDescent="0.2">
      <c r="A430" s="609"/>
      <c r="B430" s="609"/>
      <c r="C430" s="609"/>
      <c r="D430" s="609"/>
      <c r="E430" s="609"/>
      <c r="F430" s="609"/>
      <c r="G430" s="609"/>
      <c r="H430" s="609"/>
      <c r="I430" s="609"/>
      <c r="J430" s="609"/>
      <c r="K430" s="609"/>
      <c r="L430" s="609"/>
      <c r="M430" s="609"/>
      <c r="N430" s="609"/>
      <c r="O430" s="610"/>
      <c r="P430" s="606" t="s">
        <v>40</v>
      </c>
      <c r="Q430" s="607"/>
      <c r="R430" s="607"/>
      <c r="S430" s="607"/>
      <c r="T430" s="607"/>
      <c r="U430" s="607"/>
      <c r="V430" s="608"/>
      <c r="W430" s="40" t="s">
        <v>0</v>
      </c>
      <c r="X430" s="41">
        <f>IFERROR(SUM(X427:X428),"0")</f>
        <v>0</v>
      </c>
      <c r="Y430" s="41">
        <f>IFERROR(SUM(Y427:Y428),"0")</f>
        <v>0</v>
      </c>
      <c r="Z430" s="40"/>
      <c r="AA430" s="64"/>
      <c r="AB430" s="64"/>
      <c r="AC430" s="64"/>
    </row>
    <row r="431" spans="1:68" ht="14.25" hidden="1" customHeight="1" x14ac:dyDescent="0.25">
      <c r="A431" s="601" t="s">
        <v>77</v>
      </c>
      <c r="B431" s="601"/>
      <c r="C431" s="601"/>
      <c r="D431" s="601"/>
      <c r="E431" s="601"/>
      <c r="F431" s="601"/>
      <c r="G431" s="601"/>
      <c r="H431" s="601"/>
      <c r="I431" s="601"/>
      <c r="J431" s="601"/>
      <c r="K431" s="601"/>
      <c r="L431" s="601"/>
      <c r="M431" s="601"/>
      <c r="N431" s="601"/>
      <c r="O431" s="601"/>
      <c r="P431" s="601"/>
      <c r="Q431" s="601"/>
      <c r="R431" s="601"/>
      <c r="S431" s="601"/>
      <c r="T431" s="601"/>
      <c r="U431" s="601"/>
      <c r="V431" s="601"/>
      <c r="W431" s="601"/>
      <c r="X431" s="601"/>
      <c r="Y431" s="601"/>
      <c r="Z431" s="601"/>
      <c r="AA431" s="63"/>
      <c r="AB431" s="63"/>
      <c r="AC431" s="63"/>
    </row>
    <row r="432" spans="1:68" ht="27" customHeight="1" x14ac:dyDescent="0.25">
      <c r="A432" s="60" t="s">
        <v>700</v>
      </c>
      <c r="B432" s="60" t="s">
        <v>701</v>
      </c>
      <c r="C432" s="34">
        <v>4301031457</v>
      </c>
      <c r="D432" s="602">
        <v>4607091384802</v>
      </c>
      <c r="E432" s="602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65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04"/>
      <c r="R432" s="604"/>
      <c r="S432" s="604"/>
      <c r="T432" s="605"/>
      <c r="U432" s="37" t="s">
        <v>46</v>
      </c>
      <c r="V432" s="37" t="s">
        <v>46</v>
      </c>
      <c r="W432" s="38" t="s">
        <v>0</v>
      </c>
      <c r="X432" s="56">
        <v>12</v>
      </c>
      <c r="Y432" s="53">
        <f>IFERROR(IF(X432="",0,CEILING((X432/$H432),1)*$H432),"")</f>
        <v>12.600000000000001</v>
      </c>
      <c r="Z432" s="39">
        <f>IFERROR(IF(Y432=0,"",ROUNDUP(Y432/H432,0)*0.00902),"")</f>
        <v>2.7060000000000001E-2</v>
      </c>
      <c r="AA432" s="65" t="s">
        <v>46</v>
      </c>
      <c r="AB432" s="66" t="s">
        <v>46</v>
      </c>
      <c r="AC432" s="511" t="s">
        <v>702</v>
      </c>
      <c r="AG432" s="75"/>
      <c r="AJ432" s="79" t="s">
        <v>46</v>
      </c>
      <c r="AK432" s="79">
        <v>0</v>
      </c>
      <c r="BB432" s="512" t="s">
        <v>67</v>
      </c>
      <c r="BM432" s="75">
        <f>IFERROR(X432*I432/H432,"0")</f>
        <v>12.714285714285715</v>
      </c>
      <c r="BN432" s="75">
        <f>IFERROR(Y432*I432/H432,"0")</f>
        <v>13.350000000000001</v>
      </c>
      <c r="BO432" s="75">
        <f>IFERROR(1/J432*(X432/H432),"0")</f>
        <v>2.1645021645021648E-2</v>
      </c>
      <c r="BP432" s="75">
        <f>IFERROR(1/J432*(Y432/H432),"0")</f>
        <v>2.2727272727272728E-2</v>
      </c>
    </row>
    <row r="433" spans="1:68" x14ac:dyDescent="0.2">
      <c r="A433" s="609"/>
      <c r="B433" s="609"/>
      <c r="C433" s="609"/>
      <c r="D433" s="609"/>
      <c r="E433" s="609"/>
      <c r="F433" s="609"/>
      <c r="G433" s="609"/>
      <c r="H433" s="609"/>
      <c r="I433" s="609"/>
      <c r="J433" s="609"/>
      <c r="K433" s="609"/>
      <c r="L433" s="609"/>
      <c r="M433" s="609"/>
      <c r="N433" s="609"/>
      <c r="O433" s="610"/>
      <c r="P433" s="606" t="s">
        <v>40</v>
      </c>
      <c r="Q433" s="607"/>
      <c r="R433" s="607"/>
      <c r="S433" s="607"/>
      <c r="T433" s="607"/>
      <c r="U433" s="607"/>
      <c r="V433" s="608"/>
      <c r="W433" s="40" t="s">
        <v>39</v>
      </c>
      <c r="X433" s="41">
        <f>IFERROR(X432/H432,"0")</f>
        <v>2.8571428571428572</v>
      </c>
      <c r="Y433" s="41">
        <f>IFERROR(Y432/H432,"0")</f>
        <v>3</v>
      </c>
      <c r="Z433" s="41">
        <f>IFERROR(IF(Z432="",0,Z432),"0")</f>
        <v>2.7060000000000001E-2</v>
      </c>
      <c r="AA433" s="64"/>
      <c r="AB433" s="64"/>
      <c r="AC433" s="64"/>
    </row>
    <row r="434" spans="1:68" x14ac:dyDescent="0.2">
      <c r="A434" s="609"/>
      <c r="B434" s="609"/>
      <c r="C434" s="609"/>
      <c r="D434" s="609"/>
      <c r="E434" s="609"/>
      <c r="F434" s="609"/>
      <c r="G434" s="609"/>
      <c r="H434" s="609"/>
      <c r="I434" s="609"/>
      <c r="J434" s="609"/>
      <c r="K434" s="609"/>
      <c r="L434" s="609"/>
      <c r="M434" s="609"/>
      <c r="N434" s="609"/>
      <c r="O434" s="610"/>
      <c r="P434" s="606" t="s">
        <v>40</v>
      </c>
      <c r="Q434" s="607"/>
      <c r="R434" s="607"/>
      <c r="S434" s="607"/>
      <c r="T434" s="607"/>
      <c r="U434" s="607"/>
      <c r="V434" s="608"/>
      <c r="W434" s="40" t="s">
        <v>0</v>
      </c>
      <c r="X434" s="41">
        <f>IFERROR(SUM(X432:X432),"0")</f>
        <v>12</v>
      </c>
      <c r="Y434" s="41">
        <f>IFERROR(SUM(Y432:Y432),"0")</f>
        <v>12.600000000000001</v>
      </c>
      <c r="Z434" s="40"/>
      <c r="AA434" s="64"/>
      <c r="AB434" s="64"/>
      <c r="AC434" s="64"/>
    </row>
    <row r="435" spans="1:68" ht="14.25" hidden="1" customHeight="1" x14ac:dyDescent="0.25">
      <c r="A435" s="601" t="s">
        <v>86</v>
      </c>
      <c r="B435" s="601"/>
      <c r="C435" s="601"/>
      <c r="D435" s="601"/>
      <c r="E435" s="601"/>
      <c r="F435" s="601"/>
      <c r="G435" s="601"/>
      <c r="H435" s="601"/>
      <c r="I435" s="601"/>
      <c r="J435" s="601"/>
      <c r="K435" s="601"/>
      <c r="L435" s="601"/>
      <c r="M435" s="601"/>
      <c r="N435" s="601"/>
      <c r="O435" s="601"/>
      <c r="P435" s="601"/>
      <c r="Q435" s="601"/>
      <c r="R435" s="601"/>
      <c r="S435" s="601"/>
      <c r="T435" s="601"/>
      <c r="U435" s="601"/>
      <c r="V435" s="601"/>
      <c r="W435" s="601"/>
      <c r="X435" s="601"/>
      <c r="Y435" s="601"/>
      <c r="Z435" s="601"/>
      <c r="AA435" s="63"/>
      <c r="AB435" s="63"/>
      <c r="AC435" s="63"/>
    </row>
    <row r="436" spans="1:68" ht="27" customHeight="1" x14ac:dyDescent="0.25">
      <c r="A436" s="60" t="s">
        <v>703</v>
      </c>
      <c r="B436" s="60" t="s">
        <v>704</v>
      </c>
      <c r="C436" s="34">
        <v>4301051899</v>
      </c>
      <c r="D436" s="602">
        <v>4607091384246</v>
      </c>
      <c r="E436" s="602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133</v>
      </c>
      <c r="L436" s="35" t="s">
        <v>46</v>
      </c>
      <c r="M436" s="36" t="s">
        <v>90</v>
      </c>
      <c r="N436" s="36"/>
      <c r="O436" s="35">
        <v>40</v>
      </c>
      <c r="P436" s="6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04"/>
      <c r="R436" s="604"/>
      <c r="S436" s="604"/>
      <c r="T436" s="605"/>
      <c r="U436" s="37" t="s">
        <v>46</v>
      </c>
      <c r="V436" s="37" t="s">
        <v>46</v>
      </c>
      <c r="W436" s="38" t="s">
        <v>0</v>
      </c>
      <c r="X436" s="56">
        <v>370</v>
      </c>
      <c r="Y436" s="53">
        <f>IFERROR(IF(X436="",0,CEILING((X436/$H436),1)*$H436),"")</f>
        <v>378</v>
      </c>
      <c r="Z436" s="39">
        <f>IFERROR(IF(Y436=0,"",ROUNDUP(Y436/H436,0)*0.01898),"")</f>
        <v>0.79715999999999998</v>
      </c>
      <c r="AA436" s="65" t="s">
        <v>46</v>
      </c>
      <c r="AB436" s="66" t="s">
        <v>46</v>
      </c>
      <c r="AC436" s="513" t="s">
        <v>705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390.30888888888887</v>
      </c>
      <c r="BN436" s="75">
        <f>IFERROR(Y436*I436/H436,"0")</f>
        <v>398.74799999999999</v>
      </c>
      <c r="BO436" s="75">
        <f>IFERROR(1/J436*(X436/H436),"0")</f>
        <v>0.64236111111111116</v>
      </c>
      <c r="BP436" s="75">
        <f>IFERROR(1/J436*(Y436/H436),"0")</f>
        <v>0.65625</v>
      </c>
    </row>
    <row r="437" spans="1:68" ht="27" hidden="1" customHeight="1" x14ac:dyDescent="0.25">
      <c r="A437" s="60" t="s">
        <v>706</v>
      </c>
      <c r="B437" s="60" t="s">
        <v>707</v>
      </c>
      <c r="C437" s="34">
        <v>4301051660</v>
      </c>
      <c r="D437" s="602">
        <v>4607091384253</v>
      </c>
      <c r="E437" s="602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04"/>
      <c r="R437" s="604"/>
      <c r="S437" s="604"/>
      <c r="T437" s="605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705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706</v>
      </c>
      <c r="B438" s="60" t="s">
        <v>708</v>
      </c>
      <c r="C438" s="34">
        <v>4301052069</v>
      </c>
      <c r="D438" s="602">
        <v>4607091384253</v>
      </c>
      <c r="E438" s="602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40</v>
      </c>
      <c r="P438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04"/>
      <c r="R438" s="604"/>
      <c r="S438" s="604"/>
      <c r="T438" s="605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17" t="s">
        <v>709</v>
      </c>
      <c r="AG438" s="75"/>
      <c r="AJ438" s="79" t="s">
        <v>46</v>
      </c>
      <c r="AK438" s="79">
        <v>0</v>
      </c>
      <c r="BB438" s="518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x14ac:dyDescent="0.2">
      <c r="A439" s="609"/>
      <c r="B439" s="609"/>
      <c r="C439" s="609"/>
      <c r="D439" s="609"/>
      <c r="E439" s="609"/>
      <c r="F439" s="609"/>
      <c r="G439" s="609"/>
      <c r="H439" s="609"/>
      <c r="I439" s="609"/>
      <c r="J439" s="609"/>
      <c r="K439" s="609"/>
      <c r="L439" s="609"/>
      <c r="M439" s="609"/>
      <c r="N439" s="609"/>
      <c r="O439" s="610"/>
      <c r="P439" s="606" t="s">
        <v>40</v>
      </c>
      <c r="Q439" s="607"/>
      <c r="R439" s="607"/>
      <c r="S439" s="607"/>
      <c r="T439" s="607"/>
      <c r="U439" s="607"/>
      <c r="V439" s="608"/>
      <c r="W439" s="40" t="s">
        <v>39</v>
      </c>
      <c r="X439" s="41">
        <f>IFERROR(X436/H436,"0")+IFERROR(X437/H437,"0")+IFERROR(X438/H438,"0")</f>
        <v>41.111111111111114</v>
      </c>
      <c r="Y439" s="41">
        <f>IFERROR(Y436/H436,"0")+IFERROR(Y437/H437,"0")+IFERROR(Y438/H438,"0")</f>
        <v>42</v>
      </c>
      <c r="Z439" s="41">
        <f>IFERROR(IF(Z436="",0,Z436),"0")+IFERROR(IF(Z437="",0,Z437),"0")+IFERROR(IF(Z438="",0,Z438),"0")</f>
        <v>0.79715999999999998</v>
      </c>
      <c r="AA439" s="64"/>
      <c r="AB439" s="64"/>
      <c r="AC439" s="64"/>
    </row>
    <row r="440" spans="1:68" x14ac:dyDescent="0.2">
      <c r="A440" s="609"/>
      <c r="B440" s="609"/>
      <c r="C440" s="609"/>
      <c r="D440" s="609"/>
      <c r="E440" s="609"/>
      <c r="F440" s="609"/>
      <c r="G440" s="609"/>
      <c r="H440" s="609"/>
      <c r="I440" s="609"/>
      <c r="J440" s="609"/>
      <c r="K440" s="609"/>
      <c r="L440" s="609"/>
      <c r="M440" s="609"/>
      <c r="N440" s="609"/>
      <c r="O440" s="610"/>
      <c r="P440" s="606" t="s">
        <v>40</v>
      </c>
      <c r="Q440" s="607"/>
      <c r="R440" s="607"/>
      <c r="S440" s="607"/>
      <c r="T440" s="607"/>
      <c r="U440" s="607"/>
      <c r="V440" s="608"/>
      <c r="W440" s="40" t="s">
        <v>0</v>
      </c>
      <c r="X440" s="41">
        <f>IFERROR(SUM(X436:X438),"0")</f>
        <v>370</v>
      </c>
      <c r="Y440" s="41">
        <f>IFERROR(SUM(Y436:Y438),"0")</f>
        <v>378</v>
      </c>
      <c r="Z440" s="40"/>
      <c r="AA440" s="64"/>
      <c r="AB440" s="64"/>
      <c r="AC440" s="64"/>
    </row>
    <row r="441" spans="1:68" ht="27.75" hidden="1" customHeight="1" x14ac:dyDescent="0.2">
      <c r="A441" s="622" t="s">
        <v>710</v>
      </c>
      <c r="B441" s="622"/>
      <c r="C441" s="622"/>
      <c r="D441" s="622"/>
      <c r="E441" s="622"/>
      <c r="F441" s="622"/>
      <c r="G441" s="622"/>
      <c r="H441" s="622"/>
      <c r="I441" s="622"/>
      <c r="J441" s="622"/>
      <c r="K441" s="622"/>
      <c r="L441" s="622"/>
      <c r="M441" s="622"/>
      <c r="N441" s="622"/>
      <c r="O441" s="622"/>
      <c r="P441" s="622"/>
      <c r="Q441" s="622"/>
      <c r="R441" s="622"/>
      <c r="S441" s="622"/>
      <c r="T441" s="622"/>
      <c r="U441" s="622"/>
      <c r="V441" s="622"/>
      <c r="W441" s="622"/>
      <c r="X441" s="622"/>
      <c r="Y441" s="622"/>
      <c r="Z441" s="622"/>
      <c r="AA441" s="52"/>
      <c r="AB441" s="52"/>
      <c r="AC441" s="52"/>
    </row>
    <row r="442" spans="1:68" ht="16.5" hidden="1" customHeight="1" x14ac:dyDescent="0.25">
      <c r="A442" s="617" t="s">
        <v>711</v>
      </c>
      <c r="B442" s="617"/>
      <c r="C442" s="617"/>
      <c r="D442" s="617"/>
      <c r="E442" s="617"/>
      <c r="F442" s="617"/>
      <c r="G442" s="617"/>
      <c r="H442" s="617"/>
      <c r="I442" s="617"/>
      <c r="J442" s="617"/>
      <c r="K442" s="617"/>
      <c r="L442" s="617"/>
      <c r="M442" s="617"/>
      <c r="N442" s="617"/>
      <c r="O442" s="617"/>
      <c r="P442" s="617"/>
      <c r="Q442" s="617"/>
      <c r="R442" s="617"/>
      <c r="S442" s="617"/>
      <c r="T442" s="617"/>
      <c r="U442" s="617"/>
      <c r="V442" s="617"/>
      <c r="W442" s="617"/>
      <c r="X442" s="617"/>
      <c r="Y442" s="617"/>
      <c r="Z442" s="617"/>
      <c r="AA442" s="62"/>
      <c r="AB442" s="62"/>
      <c r="AC442" s="62"/>
    </row>
    <row r="443" spans="1:68" ht="14.25" hidden="1" customHeight="1" x14ac:dyDescent="0.25">
      <c r="A443" s="601" t="s">
        <v>77</v>
      </c>
      <c r="B443" s="601"/>
      <c r="C443" s="601"/>
      <c r="D443" s="601"/>
      <c r="E443" s="601"/>
      <c r="F443" s="601"/>
      <c r="G443" s="601"/>
      <c r="H443" s="601"/>
      <c r="I443" s="601"/>
      <c r="J443" s="601"/>
      <c r="K443" s="601"/>
      <c r="L443" s="601"/>
      <c r="M443" s="601"/>
      <c r="N443" s="601"/>
      <c r="O443" s="601"/>
      <c r="P443" s="601"/>
      <c r="Q443" s="601"/>
      <c r="R443" s="601"/>
      <c r="S443" s="601"/>
      <c r="T443" s="601"/>
      <c r="U443" s="601"/>
      <c r="V443" s="601"/>
      <c r="W443" s="601"/>
      <c r="X443" s="601"/>
      <c r="Y443" s="601"/>
      <c r="Z443" s="601"/>
      <c r="AA443" s="63"/>
      <c r="AB443" s="63"/>
      <c r="AC443" s="63"/>
    </row>
    <row r="444" spans="1:68" ht="27" hidden="1" customHeight="1" x14ac:dyDescent="0.25">
      <c r="A444" s="60" t="s">
        <v>712</v>
      </c>
      <c r="B444" s="60" t="s">
        <v>713</v>
      </c>
      <c r="C444" s="34">
        <v>4301031405</v>
      </c>
      <c r="D444" s="602">
        <v>4680115886100</v>
      </c>
      <c r="E444" s="602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6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04"/>
      <c r="R444" s="604"/>
      <c r="S444" s="604"/>
      <c r="T444" s="605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ref="Y444:Y449" si="62"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ref="BM444:BM449" si="63">IFERROR(X444*I444/H444,"0")</f>
        <v>0</v>
      </c>
      <c r="BN444" s="75">
        <f t="shared" ref="BN444:BN449" si="64">IFERROR(Y444*I444/H444,"0")</f>
        <v>0</v>
      </c>
      <c r="BO444" s="75">
        <f t="shared" ref="BO444:BO449" si="65">IFERROR(1/J444*(X444/H444),"0")</f>
        <v>0</v>
      </c>
      <c r="BP444" s="75">
        <f t="shared" ref="BP444:BP449" si="66">IFERROR(1/J444*(Y444/H444),"0")</f>
        <v>0</v>
      </c>
    </row>
    <row r="445" spans="1:68" ht="27" customHeight="1" x14ac:dyDescent="0.25">
      <c r="A445" s="60" t="s">
        <v>715</v>
      </c>
      <c r="B445" s="60" t="s">
        <v>716</v>
      </c>
      <c r="C445" s="34">
        <v>4301031402</v>
      </c>
      <c r="D445" s="602">
        <v>4680115886124</v>
      </c>
      <c r="E445" s="602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140</v>
      </c>
      <c r="L445" s="35" t="s">
        <v>46</v>
      </c>
      <c r="M445" s="36" t="s">
        <v>81</v>
      </c>
      <c r="N445" s="36"/>
      <c r="O445" s="35">
        <v>50</v>
      </c>
      <c r="P445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04"/>
      <c r="R445" s="604"/>
      <c r="S445" s="604"/>
      <c r="T445" s="605"/>
      <c r="U445" s="37" t="s">
        <v>46</v>
      </c>
      <c r="V445" s="37" t="s">
        <v>46</v>
      </c>
      <c r="W445" s="38" t="s">
        <v>0</v>
      </c>
      <c r="X445" s="56">
        <v>20</v>
      </c>
      <c r="Y445" s="53">
        <f t="shared" si="62"/>
        <v>21.6</v>
      </c>
      <c r="Z445" s="39">
        <f>IFERROR(IF(Y445=0,"",ROUNDUP(Y445/H445,0)*0.00902),"")</f>
        <v>3.6080000000000001E-2</v>
      </c>
      <c r="AA445" s="65" t="s">
        <v>46</v>
      </c>
      <c r="AB445" s="66" t="s">
        <v>46</v>
      </c>
      <c r="AC445" s="521" t="s">
        <v>717</v>
      </c>
      <c r="AG445" s="75"/>
      <c r="AJ445" s="79" t="s">
        <v>46</v>
      </c>
      <c r="AK445" s="79">
        <v>0</v>
      </c>
      <c r="BB445" s="522" t="s">
        <v>67</v>
      </c>
      <c r="BM445" s="75">
        <f t="shared" si="63"/>
        <v>20.703703703703702</v>
      </c>
      <c r="BN445" s="75">
        <f t="shared" si="64"/>
        <v>22.36</v>
      </c>
      <c r="BO445" s="75">
        <f t="shared" si="65"/>
        <v>2.8058361391694722E-2</v>
      </c>
      <c r="BP445" s="75">
        <f t="shared" si="66"/>
        <v>3.0303030303030304E-2</v>
      </c>
    </row>
    <row r="446" spans="1:68" ht="27" hidden="1" customHeight="1" x14ac:dyDescent="0.25">
      <c r="A446" s="60" t="s">
        <v>718</v>
      </c>
      <c r="B446" s="60" t="s">
        <v>719</v>
      </c>
      <c r="C446" s="34">
        <v>4301031362</v>
      </c>
      <c r="D446" s="602">
        <v>4607091384338</v>
      </c>
      <c r="E446" s="602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6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04"/>
      <c r="R446" s="604"/>
      <c r="S446" s="604"/>
      <c r="T446" s="605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si="62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714</v>
      </c>
      <c r="AG446" s="75"/>
      <c r="AJ446" s="79" t="s">
        <v>46</v>
      </c>
      <c r="AK446" s="79">
        <v>0</v>
      </c>
      <c r="BB446" s="524" t="s">
        <v>67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27" hidden="1" customHeight="1" x14ac:dyDescent="0.25">
      <c r="A447" s="60" t="s">
        <v>720</v>
      </c>
      <c r="B447" s="60" t="s">
        <v>721</v>
      </c>
      <c r="C447" s="34">
        <v>4301031364</v>
      </c>
      <c r="D447" s="602">
        <v>4680115883161</v>
      </c>
      <c r="E447" s="602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64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04"/>
      <c r="R447" s="604"/>
      <c r="S447" s="604"/>
      <c r="T447" s="605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hidden="1" customHeight="1" x14ac:dyDescent="0.25">
      <c r="A448" s="60" t="s">
        <v>723</v>
      </c>
      <c r="B448" s="60" t="s">
        <v>724</v>
      </c>
      <c r="C448" s="34">
        <v>4301031358</v>
      </c>
      <c r="D448" s="602">
        <v>4607091389531</v>
      </c>
      <c r="E448" s="602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6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04"/>
      <c r="R448" s="604"/>
      <c r="S448" s="604"/>
      <c r="T448" s="605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62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725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37.5" hidden="1" customHeight="1" x14ac:dyDescent="0.25">
      <c r="A449" s="60" t="s">
        <v>726</v>
      </c>
      <c r="B449" s="60" t="s">
        <v>727</v>
      </c>
      <c r="C449" s="34">
        <v>4301031360</v>
      </c>
      <c r="D449" s="602">
        <v>4607091384345</v>
      </c>
      <c r="E449" s="602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6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04"/>
      <c r="R449" s="604"/>
      <c r="S449" s="604"/>
      <c r="T449" s="605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722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x14ac:dyDescent="0.2">
      <c r="A450" s="609"/>
      <c r="B450" s="609"/>
      <c r="C450" s="609"/>
      <c r="D450" s="609"/>
      <c r="E450" s="609"/>
      <c r="F450" s="609"/>
      <c r="G450" s="609"/>
      <c r="H450" s="609"/>
      <c r="I450" s="609"/>
      <c r="J450" s="609"/>
      <c r="K450" s="609"/>
      <c r="L450" s="609"/>
      <c r="M450" s="609"/>
      <c r="N450" s="609"/>
      <c r="O450" s="610"/>
      <c r="P450" s="606" t="s">
        <v>40</v>
      </c>
      <c r="Q450" s="607"/>
      <c r="R450" s="607"/>
      <c r="S450" s="607"/>
      <c r="T450" s="607"/>
      <c r="U450" s="607"/>
      <c r="V450" s="608"/>
      <c r="W450" s="40" t="s">
        <v>39</v>
      </c>
      <c r="X450" s="41">
        <f>IFERROR(X444/H444,"0")+IFERROR(X445/H445,"0")+IFERROR(X446/H446,"0")+IFERROR(X447/H447,"0")+IFERROR(X448/H448,"0")+IFERROR(X449/H449,"0")</f>
        <v>3.7037037037037033</v>
      </c>
      <c r="Y450" s="41">
        <f>IFERROR(Y444/H444,"0")+IFERROR(Y445/H445,"0")+IFERROR(Y446/H446,"0")+IFERROR(Y447/H447,"0")+IFERROR(Y448/H448,"0")+IFERROR(Y449/H449,"0")</f>
        <v>4</v>
      </c>
      <c r="Z450" s="41">
        <f>IFERROR(IF(Z444="",0,Z444),"0")+IFERROR(IF(Z445="",0,Z445),"0")+IFERROR(IF(Z446="",0,Z446),"0")+IFERROR(IF(Z447="",0,Z447),"0")+IFERROR(IF(Z448="",0,Z448),"0")+IFERROR(IF(Z449="",0,Z449),"0")</f>
        <v>3.6080000000000001E-2</v>
      </c>
      <c r="AA450" s="64"/>
      <c r="AB450" s="64"/>
      <c r="AC450" s="64"/>
    </row>
    <row r="451" spans="1:68" x14ac:dyDescent="0.2">
      <c r="A451" s="609"/>
      <c r="B451" s="609"/>
      <c r="C451" s="609"/>
      <c r="D451" s="609"/>
      <c r="E451" s="609"/>
      <c r="F451" s="609"/>
      <c r="G451" s="609"/>
      <c r="H451" s="609"/>
      <c r="I451" s="609"/>
      <c r="J451" s="609"/>
      <c r="K451" s="609"/>
      <c r="L451" s="609"/>
      <c r="M451" s="609"/>
      <c r="N451" s="609"/>
      <c r="O451" s="610"/>
      <c r="P451" s="606" t="s">
        <v>40</v>
      </c>
      <c r="Q451" s="607"/>
      <c r="R451" s="607"/>
      <c r="S451" s="607"/>
      <c r="T451" s="607"/>
      <c r="U451" s="607"/>
      <c r="V451" s="608"/>
      <c r="W451" s="40" t="s">
        <v>0</v>
      </c>
      <c r="X451" s="41">
        <f>IFERROR(SUM(X444:X449),"0")</f>
        <v>20</v>
      </c>
      <c r="Y451" s="41">
        <f>IFERROR(SUM(Y444:Y449),"0")</f>
        <v>21.6</v>
      </c>
      <c r="Z451" s="40"/>
      <c r="AA451" s="64"/>
      <c r="AB451" s="64"/>
      <c r="AC451" s="64"/>
    </row>
    <row r="452" spans="1:68" ht="14.25" hidden="1" customHeight="1" x14ac:dyDescent="0.25">
      <c r="A452" s="601" t="s">
        <v>86</v>
      </c>
      <c r="B452" s="601"/>
      <c r="C452" s="601"/>
      <c r="D452" s="601"/>
      <c r="E452" s="601"/>
      <c r="F452" s="601"/>
      <c r="G452" s="601"/>
      <c r="H452" s="601"/>
      <c r="I452" s="601"/>
      <c r="J452" s="601"/>
      <c r="K452" s="601"/>
      <c r="L452" s="601"/>
      <c r="M452" s="601"/>
      <c r="N452" s="601"/>
      <c r="O452" s="601"/>
      <c r="P452" s="601"/>
      <c r="Q452" s="601"/>
      <c r="R452" s="601"/>
      <c r="S452" s="601"/>
      <c r="T452" s="601"/>
      <c r="U452" s="601"/>
      <c r="V452" s="601"/>
      <c r="W452" s="601"/>
      <c r="X452" s="601"/>
      <c r="Y452" s="601"/>
      <c r="Z452" s="601"/>
      <c r="AA452" s="63"/>
      <c r="AB452" s="63"/>
      <c r="AC452" s="63"/>
    </row>
    <row r="453" spans="1:68" ht="27" hidden="1" customHeight="1" x14ac:dyDescent="0.25">
      <c r="A453" s="60" t="s">
        <v>728</v>
      </c>
      <c r="B453" s="60" t="s">
        <v>729</v>
      </c>
      <c r="C453" s="34">
        <v>4301051284</v>
      </c>
      <c r="D453" s="602">
        <v>4607091384352</v>
      </c>
      <c r="E453" s="602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140</v>
      </c>
      <c r="L453" s="35" t="s">
        <v>46</v>
      </c>
      <c r="M453" s="36" t="s">
        <v>90</v>
      </c>
      <c r="N453" s="36"/>
      <c r="O453" s="35">
        <v>45</v>
      </c>
      <c r="P453" s="64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04"/>
      <c r="R453" s="604"/>
      <c r="S453" s="604"/>
      <c r="T453" s="605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731</v>
      </c>
      <c r="B454" s="60" t="s">
        <v>732</v>
      </c>
      <c r="C454" s="34">
        <v>4301051431</v>
      </c>
      <c r="D454" s="602">
        <v>4607091389654</v>
      </c>
      <c r="E454" s="602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91</v>
      </c>
      <c r="L454" s="35" t="s">
        <v>46</v>
      </c>
      <c r="M454" s="36" t="s">
        <v>90</v>
      </c>
      <c r="N454" s="36"/>
      <c r="O454" s="35">
        <v>45</v>
      </c>
      <c r="P454" s="64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04"/>
      <c r="R454" s="604"/>
      <c r="S454" s="604"/>
      <c r="T454" s="605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 t="s">
        <v>46</v>
      </c>
      <c r="AB454" s="66" t="s">
        <v>46</v>
      </c>
      <c r="AC454" s="533" t="s">
        <v>733</v>
      </c>
      <c r="AG454" s="75"/>
      <c r="AJ454" s="79" t="s">
        <v>46</v>
      </c>
      <c r="AK454" s="79">
        <v>0</v>
      </c>
      <c r="BB454" s="534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09"/>
      <c r="B455" s="609"/>
      <c r="C455" s="609"/>
      <c r="D455" s="609"/>
      <c r="E455" s="609"/>
      <c r="F455" s="609"/>
      <c r="G455" s="609"/>
      <c r="H455" s="609"/>
      <c r="I455" s="609"/>
      <c r="J455" s="609"/>
      <c r="K455" s="609"/>
      <c r="L455" s="609"/>
      <c r="M455" s="609"/>
      <c r="N455" s="609"/>
      <c r="O455" s="610"/>
      <c r="P455" s="606" t="s">
        <v>40</v>
      </c>
      <c r="Q455" s="607"/>
      <c r="R455" s="607"/>
      <c r="S455" s="607"/>
      <c r="T455" s="607"/>
      <c r="U455" s="607"/>
      <c r="V455" s="608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hidden="1" x14ac:dyDescent="0.2">
      <c r="A456" s="609"/>
      <c r="B456" s="609"/>
      <c r="C456" s="609"/>
      <c r="D456" s="609"/>
      <c r="E456" s="609"/>
      <c r="F456" s="609"/>
      <c r="G456" s="609"/>
      <c r="H456" s="609"/>
      <c r="I456" s="609"/>
      <c r="J456" s="609"/>
      <c r="K456" s="609"/>
      <c r="L456" s="609"/>
      <c r="M456" s="609"/>
      <c r="N456" s="609"/>
      <c r="O456" s="610"/>
      <c r="P456" s="606" t="s">
        <v>40</v>
      </c>
      <c r="Q456" s="607"/>
      <c r="R456" s="607"/>
      <c r="S456" s="607"/>
      <c r="T456" s="607"/>
      <c r="U456" s="607"/>
      <c r="V456" s="608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6.5" hidden="1" customHeight="1" x14ac:dyDescent="0.25">
      <c r="A457" s="617" t="s">
        <v>734</v>
      </c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  <c r="Y457" s="617"/>
      <c r="Z457" s="617"/>
      <c r="AA457" s="62"/>
      <c r="AB457" s="62"/>
      <c r="AC457" s="62"/>
    </row>
    <row r="458" spans="1:68" ht="14.25" hidden="1" customHeight="1" x14ac:dyDescent="0.25">
      <c r="A458" s="601" t="s">
        <v>163</v>
      </c>
      <c r="B458" s="601"/>
      <c r="C458" s="601"/>
      <c r="D458" s="601"/>
      <c r="E458" s="601"/>
      <c r="F458" s="601"/>
      <c r="G458" s="601"/>
      <c r="H458" s="601"/>
      <c r="I458" s="601"/>
      <c r="J458" s="601"/>
      <c r="K458" s="601"/>
      <c r="L458" s="601"/>
      <c r="M458" s="601"/>
      <c r="N458" s="601"/>
      <c r="O458" s="601"/>
      <c r="P458" s="601"/>
      <c r="Q458" s="601"/>
      <c r="R458" s="601"/>
      <c r="S458" s="601"/>
      <c r="T458" s="601"/>
      <c r="U458" s="601"/>
      <c r="V458" s="601"/>
      <c r="W458" s="601"/>
      <c r="X458" s="601"/>
      <c r="Y458" s="601"/>
      <c r="Z458" s="601"/>
      <c r="AA458" s="63"/>
      <c r="AB458" s="63"/>
      <c r="AC458" s="63"/>
    </row>
    <row r="459" spans="1:68" ht="27" hidden="1" customHeight="1" x14ac:dyDescent="0.25">
      <c r="A459" s="60" t="s">
        <v>735</v>
      </c>
      <c r="B459" s="60" t="s">
        <v>736</v>
      </c>
      <c r="C459" s="34">
        <v>4301020416</v>
      </c>
      <c r="D459" s="602">
        <v>4680115885240</v>
      </c>
      <c r="E459" s="602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91</v>
      </c>
      <c r="L459" s="35" t="s">
        <v>46</v>
      </c>
      <c r="M459" s="36" t="s">
        <v>81</v>
      </c>
      <c r="N459" s="36"/>
      <c r="O459" s="35">
        <v>40</v>
      </c>
      <c r="P459" s="6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04"/>
      <c r="R459" s="604"/>
      <c r="S459" s="604"/>
      <c r="T459" s="605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35" t="s">
        <v>737</v>
      </c>
      <c r="AG459" s="75"/>
      <c r="AJ459" s="79" t="s">
        <v>46</v>
      </c>
      <c r="AK459" s="79">
        <v>0</v>
      </c>
      <c r="BB459" s="53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09"/>
      <c r="B460" s="609"/>
      <c r="C460" s="609"/>
      <c r="D460" s="609"/>
      <c r="E460" s="609"/>
      <c r="F460" s="609"/>
      <c r="G460" s="609"/>
      <c r="H460" s="609"/>
      <c r="I460" s="609"/>
      <c r="J460" s="609"/>
      <c r="K460" s="609"/>
      <c r="L460" s="609"/>
      <c r="M460" s="609"/>
      <c r="N460" s="609"/>
      <c r="O460" s="610"/>
      <c r="P460" s="606" t="s">
        <v>40</v>
      </c>
      <c r="Q460" s="607"/>
      <c r="R460" s="607"/>
      <c r="S460" s="607"/>
      <c r="T460" s="607"/>
      <c r="U460" s="607"/>
      <c r="V460" s="608"/>
      <c r="W460" s="40" t="s">
        <v>39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hidden="1" x14ac:dyDescent="0.2">
      <c r="A461" s="609"/>
      <c r="B461" s="609"/>
      <c r="C461" s="609"/>
      <c r="D461" s="609"/>
      <c r="E461" s="609"/>
      <c r="F461" s="609"/>
      <c r="G461" s="609"/>
      <c r="H461" s="609"/>
      <c r="I461" s="609"/>
      <c r="J461" s="609"/>
      <c r="K461" s="609"/>
      <c r="L461" s="609"/>
      <c r="M461" s="609"/>
      <c r="N461" s="609"/>
      <c r="O461" s="610"/>
      <c r="P461" s="606" t="s">
        <v>40</v>
      </c>
      <c r="Q461" s="607"/>
      <c r="R461" s="607"/>
      <c r="S461" s="607"/>
      <c r="T461" s="607"/>
      <c r="U461" s="607"/>
      <c r="V461" s="608"/>
      <c r="W461" s="40" t="s">
        <v>0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01" t="s">
        <v>77</v>
      </c>
      <c r="B462" s="601"/>
      <c r="C462" s="601"/>
      <c r="D462" s="601"/>
      <c r="E462" s="601"/>
      <c r="F462" s="601"/>
      <c r="G462" s="601"/>
      <c r="H462" s="601"/>
      <c r="I462" s="601"/>
      <c r="J462" s="601"/>
      <c r="K462" s="601"/>
      <c r="L462" s="601"/>
      <c r="M462" s="601"/>
      <c r="N462" s="601"/>
      <c r="O462" s="601"/>
      <c r="P462" s="601"/>
      <c r="Q462" s="601"/>
      <c r="R462" s="601"/>
      <c r="S462" s="601"/>
      <c r="T462" s="601"/>
      <c r="U462" s="601"/>
      <c r="V462" s="601"/>
      <c r="W462" s="601"/>
      <c r="X462" s="601"/>
      <c r="Y462" s="601"/>
      <c r="Z462" s="601"/>
      <c r="AA462" s="63"/>
      <c r="AB462" s="63"/>
      <c r="AC462" s="63"/>
    </row>
    <row r="463" spans="1:68" ht="27" customHeight="1" x14ac:dyDescent="0.25">
      <c r="A463" s="60" t="s">
        <v>738</v>
      </c>
      <c r="B463" s="60" t="s">
        <v>739</v>
      </c>
      <c r="C463" s="34">
        <v>4301031407</v>
      </c>
      <c r="D463" s="602">
        <v>4680115886094</v>
      </c>
      <c r="E463" s="602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140</v>
      </c>
      <c r="L463" s="35" t="s">
        <v>46</v>
      </c>
      <c r="M463" s="36" t="s">
        <v>81</v>
      </c>
      <c r="N463" s="36"/>
      <c r="O463" s="35">
        <v>50</v>
      </c>
      <c r="P463" s="64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04"/>
      <c r="R463" s="604"/>
      <c r="S463" s="604"/>
      <c r="T463" s="605"/>
      <c r="U463" s="37" t="s">
        <v>46</v>
      </c>
      <c r="V463" s="37" t="s">
        <v>46</v>
      </c>
      <c r="W463" s="38" t="s">
        <v>0</v>
      </c>
      <c r="X463" s="56">
        <v>230</v>
      </c>
      <c r="Y463" s="53">
        <f>IFERROR(IF(X463="",0,CEILING((X463/$H463),1)*$H463),"")</f>
        <v>232.20000000000002</v>
      </c>
      <c r="Z463" s="39">
        <f>IFERROR(IF(Y463=0,"",ROUNDUP(Y463/H463,0)*0.00902),"")</f>
        <v>0.38785999999999998</v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238.09259259259258</v>
      </c>
      <c r="BN463" s="75">
        <f>IFERROR(Y463*I463/H463,"0")</f>
        <v>240.37</v>
      </c>
      <c r="BO463" s="75">
        <f>IFERROR(1/J463*(X463/H463),"0")</f>
        <v>0.32267115600448931</v>
      </c>
      <c r="BP463" s="75">
        <f>IFERROR(1/J463*(Y463/H463),"0")</f>
        <v>0.32575757575757575</v>
      </c>
    </row>
    <row r="464" spans="1:68" ht="27" hidden="1" customHeight="1" x14ac:dyDescent="0.25">
      <c r="A464" s="60" t="s">
        <v>741</v>
      </c>
      <c r="B464" s="60" t="s">
        <v>742</v>
      </c>
      <c r="C464" s="34">
        <v>4301031373</v>
      </c>
      <c r="D464" s="602">
        <v>4680115880771</v>
      </c>
      <c r="E464" s="602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64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04"/>
      <c r="R464" s="604"/>
      <c r="S464" s="604"/>
      <c r="T464" s="605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743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744</v>
      </c>
      <c r="B465" s="60" t="s">
        <v>745</v>
      </c>
      <c r="C465" s="34">
        <v>4301031359</v>
      </c>
      <c r="D465" s="602">
        <v>4607091389500</v>
      </c>
      <c r="E465" s="602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82</v>
      </c>
      <c r="L465" s="35" t="s">
        <v>46</v>
      </c>
      <c r="M465" s="36" t="s">
        <v>81</v>
      </c>
      <c r="N465" s="36"/>
      <c r="O465" s="35">
        <v>50</v>
      </c>
      <c r="P465" s="64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04"/>
      <c r="R465" s="604"/>
      <c r="S465" s="604"/>
      <c r="T465" s="605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46</v>
      </c>
      <c r="AB465" s="66" t="s">
        <v>46</v>
      </c>
      <c r="AC465" s="541" t="s">
        <v>743</v>
      </c>
      <c r="AG465" s="75"/>
      <c r="AJ465" s="79" t="s">
        <v>46</v>
      </c>
      <c r="AK465" s="79">
        <v>0</v>
      </c>
      <c r="BB465" s="542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609"/>
      <c r="B466" s="609"/>
      <c r="C466" s="609"/>
      <c r="D466" s="609"/>
      <c r="E466" s="609"/>
      <c r="F466" s="609"/>
      <c r="G466" s="609"/>
      <c r="H466" s="609"/>
      <c r="I466" s="609"/>
      <c r="J466" s="609"/>
      <c r="K466" s="609"/>
      <c r="L466" s="609"/>
      <c r="M466" s="609"/>
      <c r="N466" s="609"/>
      <c r="O466" s="610"/>
      <c r="P466" s="606" t="s">
        <v>40</v>
      </c>
      <c r="Q466" s="607"/>
      <c r="R466" s="607"/>
      <c r="S466" s="607"/>
      <c r="T466" s="607"/>
      <c r="U466" s="607"/>
      <c r="V466" s="608"/>
      <c r="W466" s="40" t="s">
        <v>39</v>
      </c>
      <c r="X466" s="41">
        <f>IFERROR(X463/H463,"0")+IFERROR(X464/H464,"0")+IFERROR(X465/H465,"0")</f>
        <v>42.592592592592588</v>
      </c>
      <c r="Y466" s="41">
        <f>IFERROR(Y463/H463,"0")+IFERROR(Y464/H464,"0")+IFERROR(Y465/H465,"0")</f>
        <v>43</v>
      </c>
      <c r="Z466" s="41">
        <f>IFERROR(IF(Z463="",0,Z463),"0")+IFERROR(IF(Z464="",0,Z464),"0")+IFERROR(IF(Z465="",0,Z465),"0")</f>
        <v>0.38785999999999998</v>
      </c>
      <c r="AA466" s="64"/>
      <c r="AB466" s="64"/>
      <c r="AC466" s="64"/>
    </row>
    <row r="467" spans="1:68" x14ac:dyDescent="0.2">
      <c r="A467" s="609"/>
      <c r="B467" s="609"/>
      <c r="C467" s="609"/>
      <c r="D467" s="609"/>
      <c r="E467" s="609"/>
      <c r="F467" s="609"/>
      <c r="G467" s="609"/>
      <c r="H467" s="609"/>
      <c r="I467" s="609"/>
      <c r="J467" s="609"/>
      <c r="K467" s="609"/>
      <c r="L467" s="609"/>
      <c r="M467" s="609"/>
      <c r="N467" s="609"/>
      <c r="O467" s="610"/>
      <c r="P467" s="606" t="s">
        <v>40</v>
      </c>
      <c r="Q467" s="607"/>
      <c r="R467" s="607"/>
      <c r="S467" s="607"/>
      <c r="T467" s="607"/>
      <c r="U467" s="607"/>
      <c r="V467" s="608"/>
      <c r="W467" s="40" t="s">
        <v>0</v>
      </c>
      <c r="X467" s="41">
        <f>IFERROR(SUM(X463:X465),"0")</f>
        <v>230</v>
      </c>
      <c r="Y467" s="41">
        <f>IFERROR(SUM(Y463:Y465),"0")</f>
        <v>232.20000000000002</v>
      </c>
      <c r="Z467" s="40"/>
      <c r="AA467" s="64"/>
      <c r="AB467" s="64"/>
      <c r="AC467" s="64"/>
    </row>
    <row r="468" spans="1:68" ht="27.75" hidden="1" customHeight="1" x14ac:dyDescent="0.2">
      <c r="A468" s="622" t="s">
        <v>746</v>
      </c>
      <c r="B468" s="622"/>
      <c r="C468" s="622"/>
      <c r="D468" s="622"/>
      <c r="E468" s="622"/>
      <c r="F468" s="622"/>
      <c r="G468" s="622"/>
      <c r="H468" s="622"/>
      <c r="I468" s="622"/>
      <c r="J468" s="622"/>
      <c r="K468" s="622"/>
      <c r="L468" s="622"/>
      <c r="M468" s="622"/>
      <c r="N468" s="622"/>
      <c r="O468" s="622"/>
      <c r="P468" s="622"/>
      <c r="Q468" s="622"/>
      <c r="R468" s="622"/>
      <c r="S468" s="622"/>
      <c r="T468" s="622"/>
      <c r="U468" s="622"/>
      <c r="V468" s="622"/>
      <c r="W468" s="622"/>
      <c r="X468" s="622"/>
      <c r="Y468" s="622"/>
      <c r="Z468" s="622"/>
      <c r="AA468" s="52"/>
      <c r="AB468" s="52"/>
      <c r="AC468" s="52"/>
    </row>
    <row r="469" spans="1:68" ht="16.5" hidden="1" customHeight="1" x14ac:dyDescent="0.25">
      <c r="A469" s="617" t="s">
        <v>746</v>
      </c>
      <c r="B469" s="617"/>
      <c r="C469" s="617"/>
      <c r="D469" s="617"/>
      <c r="E469" s="617"/>
      <c r="F469" s="617"/>
      <c r="G469" s="617"/>
      <c r="H469" s="617"/>
      <c r="I469" s="617"/>
      <c r="J469" s="617"/>
      <c r="K469" s="617"/>
      <c r="L469" s="617"/>
      <c r="M469" s="617"/>
      <c r="N469" s="617"/>
      <c r="O469" s="617"/>
      <c r="P469" s="617"/>
      <c r="Q469" s="617"/>
      <c r="R469" s="617"/>
      <c r="S469" s="617"/>
      <c r="T469" s="617"/>
      <c r="U469" s="617"/>
      <c r="V469" s="617"/>
      <c r="W469" s="617"/>
      <c r="X469" s="617"/>
      <c r="Y469" s="617"/>
      <c r="Z469" s="617"/>
      <c r="AA469" s="62"/>
      <c r="AB469" s="62"/>
      <c r="AC469" s="62"/>
    </row>
    <row r="470" spans="1:68" ht="14.25" hidden="1" customHeight="1" x14ac:dyDescent="0.25">
      <c r="A470" s="601" t="s">
        <v>128</v>
      </c>
      <c r="B470" s="601"/>
      <c r="C470" s="601"/>
      <c r="D470" s="601"/>
      <c r="E470" s="601"/>
      <c r="F470" s="601"/>
      <c r="G470" s="601"/>
      <c r="H470" s="601"/>
      <c r="I470" s="601"/>
      <c r="J470" s="601"/>
      <c r="K470" s="601"/>
      <c r="L470" s="601"/>
      <c r="M470" s="601"/>
      <c r="N470" s="601"/>
      <c r="O470" s="601"/>
      <c r="P470" s="601"/>
      <c r="Q470" s="601"/>
      <c r="R470" s="601"/>
      <c r="S470" s="601"/>
      <c r="T470" s="601"/>
      <c r="U470" s="601"/>
      <c r="V470" s="601"/>
      <c r="W470" s="601"/>
      <c r="X470" s="601"/>
      <c r="Y470" s="601"/>
      <c r="Z470" s="601"/>
      <c r="AA470" s="63"/>
      <c r="AB470" s="63"/>
      <c r="AC470" s="63"/>
    </row>
    <row r="471" spans="1:68" ht="27" hidden="1" customHeight="1" x14ac:dyDescent="0.25">
      <c r="A471" s="60" t="s">
        <v>747</v>
      </c>
      <c r="B471" s="60" t="s">
        <v>748</v>
      </c>
      <c r="C471" s="34">
        <v>4301011769</v>
      </c>
      <c r="D471" s="602">
        <v>4607091389067</v>
      </c>
      <c r="E471" s="602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90</v>
      </c>
      <c r="N471" s="36"/>
      <c r="O471" s="35">
        <v>60</v>
      </c>
      <c r="P471" s="63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04"/>
      <c r="R471" s="604"/>
      <c r="S471" s="604"/>
      <c r="T471" s="605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ref="Y471:Y479" si="67">IFERROR(IF(X471="",0,CEILING((X471/$H471),1)*$H471),"")</f>
        <v>0</v>
      </c>
      <c r="Z471" s="39" t="str">
        <f t="shared" ref="Z471:Z476" si="68">IFERROR(IF(Y471=0,"",ROUNDUP(Y471/H471,0)*0.01196),"")</f>
        <v/>
      </c>
      <c r="AA471" s="65" t="s">
        <v>46</v>
      </c>
      <c r="AB471" s="66" t="s">
        <v>46</v>
      </c>
      <c r="AC471" s="543" t="s">
        <v>131</v>
      </c>
      <c r="AG471" s="75"/>
      <c r="AJ471" s="79" t="s">
        <v>46</v>
      </c>
      <c r="AK471" s="79">
        <v>0</v>
      </c>
      <c r="BB471" s="544" t="s">
        <v>67</v>
      </c>
      <c r="BM471" s="75">
        <f t="shared" ref="BM471:BM479" si="69">IFERROR(X471*I471/H471,"0")</f>
        <v>0</v>
      </c>
      <c r="BN471" s="75">
        <f t="shared" ref="BN471:BN479" si="70">IFERROR(Y471*I471/H471,"0")</f>
        <v>0</v>
      </c>
      <c r="BO471" s="75">
        <f t="shared" ref="BO471:BO479" si="71">IFERROR(1/J471*(X471/H471),"0")</f>
        <v>0</v>
      </c>
      <c r="BP471" s="75">
        <f t="shared" ref="BP471:BP479" si="72">IFERROR(1/J471*(Y471/H471),"0")</f>
        <v>0</v>
      </c>
    </row>
    <row r="472" spans="1:68" ht="27" customHeight="1" x14ac:dyDescent="0.25">
      <c r="A472" s="60" t="s">
        <v>749</v>
      </c>
      <c r="B472" s="60" t="s">
        <v>750</v>
      </c>
      <c r="C472" s="34">
        <v>4301012210</v>
      </c>
      <c r="D472" s="602">
        <v>4607091383522</v>
      </c>
      <c r="E472" s="602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64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04"/>
      <c r="R472" s="604"/>
      <c r="S472" s="604"/>
      <c r="T472" s="605"/>
      <c r="U472" s="37" t="s">
        <v>46</v>
      </c>
      <c r="V472" s="37" t="s">
        <v>46</v>
      </c>
      <c r="W472" s="38" t="s">
        <v>0</v>
      </c>
      <c r="X472" s="56">
        <v>180</v>
      </c>
      <c r="Y472" s="53">
        <f t="shared" si="67"/>
        <v>184.8</v>
      </c>
      <c r="Z472" s="39">
        <f t="shared" si="68"/>
        <v>0.41860000000000003</v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9"/>
        <v>191.93181818181816</v>
      </c>
      <c r="BN472" s="75">
        <f t="shared" si="70"/>
        <v>197.04999999999998</v>
      </c>
      <c r="BO472" s="75">
        <f t="shared" si="71"/>
        <v>0.32779720279720276</v>
      </c>
      <c r="BP472" s="75">
        <f t="shared" si="72"/>
        <v>0.33653846153846156</v>
      </c>
    </row>
    <row r="473" spans="1:68" ht="27" hidden="1" customHeight="1" x14ac:dyDescent="0.25">
      <c r="A473" s="60" t="s">
        <v>752</v>
      </c>
      <c r="B473" s="60" t="s">
        <v>753</v>
      </c>
      <c r="C473" s="34">
        <v>4301011961</v>
      </c>
      <c r="D473" s="602">
        <v>4680115885271</v>
      </c>
      <c r="E473" s="602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6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04"/>
      <c r="R473" s="604"/>
      <c r="S473" s="604"/>
      <c r="T473" s="605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7"/>
        <v>0</v>
      </c>
      <c r="Z473" s="39" t="str">
        <f t="shared" si="68"/>
        <v/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9"/>
        <v>0</v>
      </c>
      <c r="BN473" s="75">
        <f t="shared" si="70"/>
        <v>0</v>
      </c>
      <c r="BO473" s="75">
        <f t="shared" si="71"/>
        <v>0</v>
      </c>
      <c r="BP473" s="75">
        <f t="shared" si="72"/>
        <v>0</v>
      </c>
    </row>
    <row r="474" spans="1:68" ht="27" hidden="1" customHeight="1" x14ac:dyDescent="0.25">
      <c r="A474" s="60" t="s">
        <v>755</v>
      </c>
      <c r="B474" s="60" t="s">
        <v>756</v>
      </c>
      <c r="C474" s="34">
        <v>4301011369</v>
      </c>
      <c r="D474" s="602">
        <v>4680115885226</v>
      </c>
      <c r="E474" s="602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132</v>
      </c>
      <c r="N474" s="36"/>
      <c r="O474" s="35">
        <v>60</v>
      </c>
      <c r="P474" s="6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04"/>
      <c r="R474" s="604"/>
      <c r="S474" s="604"/>
      <c r="T474" s="605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7"/>
        <v>0</v>
      </c>
      <c r="Z474" s="39" t="str">
        <f t="shared" si="68"/>
        <v/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9"/>
        <v>0</v>
      </c>
      <c r="BN474" s="75">
        <f t="shared" si="70"/>
        <v>0</v>
      </c>
      <c r="BO474" s="75">
        <f t="shared" si="71"/>
        <v>0</v>
      </c>
      <c r="BP474" s="75">
        <f t="shared" si="72"/>
        <v>0</v>
      </c>
    </row>
    <row r="475" spans="1:68" ht="16.5" hidden="1" customHeight="1" x14ac:dyDescent="0.25">
      <c r="A475" s="60" t="s">
        <v>758</v>
      </c>
      <c r="B475" s="60" t="s">
        <v>759</v>
      </c>
      <c r="C475" s="34">
        <v>4301011797</v>
      </c>
      <c r="D475" s="602">
        <v>4680115884502</v>
      </c>
      <c r="E475" s="602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90</v>
      </c>
      <c r="N475" s="36"/>
      <c r="O475" s="35">
        <v>60</v>
      </c>
      <c r="P475" s="63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04"/>
      <c r="R475" s="604"/>
      <c r="S475" s="604"/>
      <c r="T475" s="605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customHeight="1" x14ac:dyDescent="0.25">
      <c r="A476" s="60" t="s">
        <v>761</v>
      </c>
      <c r="B476" s="60" t="s">
        <v>762</v>
      </c>
      <c r="C476" s="34">
        <v>4301011771</v>
      </c>
      <c r="D476" s="602">
        <v>4607091389104</v>
      </c>
      <c r="E476" s="602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04"/>
      <c r="R476" s="604"/>
      <c r="S476" s="604"/>
      <c r="T476" s="605"/>
      <c r="U476" s="37" t="s">
        <v>46</v>
      </c>
      <c r="V476" s="37" t="s">
        <v>46</v>
      </c>
      <c r="W476" s="38" t="s">
        <v>0</v>
      </c>
      <c r="X476" s="56">
        <v>230</v>
      </c>
      <c r="Y476" s="53">
        <f t="shared" si="67"/>
        <v>232.32000000000002</v>
      </c>
      <c r="Z476" s="39">
        <f t="shared" si="68"/>
        <v>0.52624000000000004</v>
      </c>
      <c r="AA476" s="65" t="s">
        <v>46</v>
      </c>
      <c r="AB476" s="66" t="s">
        <v>46</v>
      </c>
      <c r="AC476" s="553" t="s">
        <v>763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245.2462121212121</v>
      </c>
      <c r="BN476" s="75">
        <f t="shared" si="70"/>
        <v>247.72</v>
      </c>
      <c r="BO476" s="75">
        <f t="shared" si="71"/>
        <v>0.41885198135198132</v>
      </c>
      <c r="BP476" s="75">
        <f t="shared" si="72"/>
        <v>0.42307692307692313</v>
      </c>
    </row>
    <row r="477" spans="1:68" ht="27" hidden="1" customHeight="1" x14ac:dyDescent="0.25">
      <c r="A477" s="60" t="s">
        <v>764</v>
      </c>
      <c r="B477" s="60" t="s">
        <v>765</v>
      </c>
      <c r="C477" s="34">
        <v>4301012125</v>
      </c>
      <c r="D477" s="602">
        <v>4680115886391</v>
      </c>
      <c r="E477" s="602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91</v>
      </c>
      <c r="L477" s="35" t="s">
        <v>46</v>
      </c>
      <c r="M477" s="36" t="s">
        <v>90</v>
      </c>
      <c r="N477" s="36"/>
      <c r="O477" s="35">
        <v>60</v>
      </c>
      <c r="P477" s="63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04"/>
      <c r="R477" s="604"/>
      <c r="S477" s="604"/>
      <c r="T477" s="605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hidden="1" customHeight="1" x14ac:dyDescent="0.25">
      <c r="A478" s="60" t="s">
        <v>766</v>
      </c>
      <c r="B478" s="60" t="s">
        <v>767</v>
      </c>
      <c r="C478" s="34">
        <v>4301012048</v>
      </c>
      <c r="D478" s="602">
        <v>4680115880603</v>
      </c>
      <c r="E478" s="602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60</v>
      </c>
      <c r="P478" s="6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04"/>
      <c r="R478" s="604"/>
      <c r="S478" s="604"/>
      <c r="T478" s="605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7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131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768</v>
      </c>
      <c r="B479" s="60" t="s">
        <v>769</v>
      </c>
      <c r="C479" s="34">
        <v>4301012034</v>
      </c>
      <c r="D479" s="602">
        <v>4607091389982</v>
      </c>
      <c r="E479" s="602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60</v>
      </c>
      <c r="P479" s="6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04"/>
      <c r="R479" s="604"/>
      <c r="S479" s="604"/>
      <c r="T479" s="605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7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59" t="s">
        <v>763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x14ac:dyDescent="0.2">
      <c r="A480" s="609"/>
      <c r="B480" s="609"/>
      <c r="C480" s="609"/>
      <c r="D480" s="609"/>
      <c r="E480" s="609"/>
      <c r="F480" s="609"/>
      <c r="G480" s="609"/>
      <c r="H480" s="609"/>
      <c r="I480" s="609"/>
      <c r="J480" s="609"/>
      <c r="K480" s="609"/>
      <c r="L480" s="609"/>
      <c r="M480" s="609"/>
      <c r="N480" s="609"/>
      <c r="O480" s="610"/>
      <c r="P480" s="606" t="s">
        <v>40</v>
      </c>
      <c r="Q480" s="607"/>
      <c r="R480" s="607"/>
      <c r="S480" s="607"/>
      <c r="T480" s="607"/>
      <c r="U480" s="607"/>
      <c r="V480" s="608"/>
      <c r="W480" s="40" t="s">
        <v>39</v>
      </c>
      <c r="X480" s="41">
        <f>IFERROR(X471/H471,"0")+IFERROR(X472/H472,"0")+IFERROR(X473/H473,"0")+IFERROR(X474/H474,"0")+IFERROR(X475/H475,"0")+IFERROR(X476/H476,"0")+IFERROR(X477/H477,"0")+IFERROR(X478/H478,"0")+IFERROR(X479/H479,"0")</f>
        <v>77.651515151515142</v>
      </c>
      <c r="Y480" s="41">
        <f>IFERROR(Y471/H471,"0")+IFERROR(Y472/H472,"0")+IFERROR(Y473/H473,"0")+IFERROR(Y474/H474,"0")+IFERROR(Y475/H475,"0")+IFERROR(Y476/H476,"0")+IFERROR(Y477/H477,"0")+IFERROR(Y478/H478,"0")+IFERROR(Y479/H479,"0")</f>
        <v>79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0.94484000000000012</v>
      </c>
      <c r="AA480" s="64"/>
      <c r="AB480" s="64"/>
      <c r="AC480" s="64"/>
    </row>
    <row r="481" spans="1:68" x14ac:dyDescent="0.2">
      <c r="A481" s="609"/>
      <c r="B481" s="609"/>
      <c r="C481" s="609"/>
      <c r="D481" s="609"/>
      <c r="E481" s="609"/>
      <c r="F481" s="609"/>
      <c r="G481" s="609"/>
      <c r="H481" s="609"/>
      <c r="I481" s="609"/>
      <c r="J481" s="609"/>
      <c r="K481" s="609"/>
      <c r="L481" s="609"/>
      <c r="M481" s="609"/>
      <c r="N481" s="609"/>
      <c r="O481" s="610"/>
      <c r="P481" s="606" t="s">
        <v>40</v>
      </c>
      <c r="Q481" s="607"/>
      <c r="R481" s="607"/>
      <c r="S481" s="607"/>
      <c r="T481" s="607"/>
      <c r="U481" s="607"/>
      <c r="V481" s="608"/>
      <c r="W481" s="40" t="s">
        <v>0</v>
      </c>
      <c r="X481" s="41">
        <f>IFERROR(SUM(X471:X479),"0")</f>
        <v>410</v>
      </c>
      <c r="Y481" s="41">
        <f>IFERROR(SUM(Y471:Y479),"0")</f>
        <v>417.12</v>
      </c>
      <c r="Z481" s="40"/>
      <c r="AA481" s="64"/>
      <c r="AB481" s="64"/>
      <c r="AC481" s="64"/>
    </row>
    <row r="482" spans="1:68" ht="14.25" hidden="1" customHeight="1" x14ac:dyDescent="0.25">
      <c r="A482" s="601" t="s">
        <v>163</v>
      </c>
      <c r="B482" s="601"/>
      <c r="C482" s="601"/>
      <c r="D482" s="601"/>
      <c r="E482" s="601"/>
      <c r="F482" s="601"/>
      <c r="G482" s="601"/>
      <c r="H482" s="601"/>
      <c r="I482" s="601"/>
      <c r="J482" s="601"/>
      <c r="K482" s="601"/>
      <c r="L482" s="601"/>
      <c r="M482" s="601"/>
      <c r="N482" s="601"/>
      <c r="O482" s="601"/>
      <c r="P482" s="601"/>
      <c r="Q482" s="601"/>
      <c r="R482" s="601"/>
      <c r="S482" s="601"/>
      <c r="T482" s="601"/>
      <c r="U482" s="601"/>
      <c r="V482" s="601"/>
      <c r="W482" s="601"/>
      <c r="X482" s="601"/>
      <c r="Y482" s="601"/>
      <c r="Z482" s="601"/>
      <c r="AA482" s="63"/>
      <c r="AB482" s="63"/>
      <c r="AC482" s="63"/>
    </row>
    <row r="483" spans="1:68" ht="16.5" customHeight="1" x14ac:dyDescent="0.25">
      <c r="A483" s="60" t="s">
        <v>770</v>
      </c>
      <c r="B483" s="60" t="s">
        <v>771</v>
      </c>
      <c r="C483" s="34">
        <v>4301020334</v>
      </c>
      <c r="D483" s="602">
        <v>4607091388930</v>
      </c>
      <c r="E483" s="602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133</v>
      </c>
      <c r="L483" s="35" t="s">
        <v>46</v>
      </c>
      <c r="M483" s="36" t="s">
        <v>90</v>
      </c>
      <c r="N483" s="36"/>
      <c r="O483" s="35">
        <v>70</v>
      </c>
      <c r="P483" s="6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04"/>
      <c r="R483" s="604"/>
      <c r="S483" s="604"/>
      <c r="T483" s="605"/>
      <c r="U483" s="37" t="s">
        <v>46</v>
      </c>
      <c r="V483" s="37" t="s">
        <v>46</v>
      </c>
      <c r="W483" s="38" t="s">
        <v>0</v>
      </c>
      <c r="X483" s="56">
        <v>160</v>
      </c>
      <c r="Y483" s="53">
        <f>IFERROR(IF(X483="",0,CEILING((X483/$H483),1)*$H483),"")</f>
        <v>163.68</v>
      </c>
      <c r="Z483" s="39">
        <f>IFERROR(IF(Y483=0,"",ROUNDUP(Y483/H483,0)*0.01196),"")</f>
        <v>0.37075999999999998</v>
      </c>
      <c r="AA483" s="65" t="s">
        <v>46</v>
      </c>
      <c r="AB483" s="66" t="s">
        <v>46</v>
      </c>
      <c r="AC483" s="561" t="s">
        <v>772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170.60606060606059</v>
      </c>
      <c r="BN483" s="75">
        <f>IFERROR(Y483*I483/H483,"0")</f>
        <v>174.53</v>
      </c>
      <c r="BO483" s="75">
        <f>IFERROR(1/J483*(X483/H483),"0")</f>
        <v>0.29137529137529139</v>
      </c>
      <c r="BP483" s="75">
        <f>IFERROR(1/J483*(Y483/H483),"0")</f>
        <v>0.29807692307692307</v>
      </c>
    </row>
    <row r="484" spans="1:68" ht="16.5" hidden="1" customHeight="1" x14ac:dyDescent="0.25">
      <c r="A484" s="60" t="s">
        <v>773</v>
      </c>
      <c r="B484" s="60" t="s">
        <v>774</v>
      </c>
      <c r="C484" s="34">
        <v>4301020374</v>
      </c>
      <c r="D484" s="602">
        <v>4680115886407</v>
      </c>
      <c r="E484" s="602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132</v>
      </c>
      <c r="N484" s="36"/>
      <c r="O484" s="35">
        <v>70</v>
      </c>
      <c r="P484" s="63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04"/>
      <c r="R484" s="604"/>
      <c r="S484" s="604"/>
      <c r="T484" s="605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3" t="s">
        <v>772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hidden="1" customHeight="1" x14ac:dyDescent="0.25">
      <c r="A485" s="60" t="s">
        <v>775</v>
      </c>
      <c r="B485" s="60" t="s">
        <v>776</v>
      </c>
      <c r="C485" s="34">
        <v>4301020385</v>
      </c>
      <c r="D485" s="602">
        <v>4680115880054</v>
      </c>
      <c r="E485" s="602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140</v>
      </c>
      <c r="L485" s="35" t="s">
        <v>46</v>
      </c>
      <c r="M485" s="36" t="s">
        <v>132</v>
      </c>
      <c r="N485" s="36"/>
      <c r="O485" s="35">
        <v>70</v>
      </c>
      <c r="P485" s="6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04"/>
      <c r="R485" s="604"/>
      <c r="S485" s="604"/>
      <c r="T485" s="605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65" t="s">
        <v>772</v>
      </c>
      <c r="AG485" s="75"/>
      <c r="AJ485" s="79" t="s">
        <v>46</v>
      </c>
      <c r="AK485" s="79">
        <v>0</v>
      </c>
      <c r="BB485" s="566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609"/>
      <c r="B486" s="609"/>
      <c r="C486" s="609"/>
      <c r="D486" s="609"/>
      <c r="E486" s="609"/>
      <c r="F486" s="609"/>
      <c r="G486" s="609"/>
      <c r="H486" s="609"/>
      <c r="I486" s="609"/>
      <c r="J486" s="609"/>
      <c r="K486" s="609"/>
      <c r="L486" s="609"/>
      <c r="M486" s="609"/>
      <c r="N486" s="609"/>
      <c r="O486" s="610"/>
      <c r="P486" s="606" t="s">
        <v>40</v>
      </c>
      <c r="Q486" s="607"/>
      <c r="R486" s="607"/>
      <c r="S486" s="607"/>
      <c r="T486" s="607"/>
      <c r="U486" s="607"/>
      <c r="V486" s="608"/>
      <c r="W486" s="40" t="s">
        <v>39</v>
      </c>
      <c r="X486" s="41">
        <f>IFERROR(X483/H483,"0")+IFERROR(X484/H484,"0")+IFERROR(X485/H485,"0")</f>
        <v>30.303030303030301</v>
      </c>
      <c r="Y486" s="41">
        <f>IFERROR(Y483/H483,"0")+IFERROR(Y484/H484,"0")+IFERROR(Y485/H485,"0")</f>
        <v>31</v>
      </c>
      <c r="Z486" s="41">
        <f>IFERROR(IF(Z483="",0,Z483),"0")+IFERROR(IF(Z484="",0,Z484),"0")+IFERROR(IF(Z485="",0,Z485),"0")</f>
        <v>0.37075999999999998</v>
      </c>
      <c r="AA486" s="64"/>
      <c r="AB486" s="64"/>
      <c r="AC486" s="64"/>
    </row>
    <row r="487" spans="1:68" x14ac:dyDescent="0.2">
      <c r="A487" s="609"/>
      <c r="B487" s="609"/>
      <c r="C487" s="609"/>
      <c r="D487" s="609"/>
      <c r="E487" s="609"/>
      <c r="F487" s="609"/>
      <c r="G487" s="609"/>
      <c r="H487" s="609"/>
      <c r="I487" s="609"/>
      <c r="J487" s="609"/>
      <c r="K487" s="609"/>
      <c r="L487" s="609"/>
      <c r="M487" s="609"/>
      <c r="N487" s="609"/>
      <c r="O487" s="610"/>
      <c r="P487" s="606" t="s">
        <v>40</v>
      </c>
      <c r="Q487" s="607"/>
      <c r="R487" s="607"/>
      <c r="S487" s="607"/>
      <c r="T487" s="607"/>
      <c r="U487" s="607"/>
      <c r="V487" s="608"/>
      <c r="W487" s="40" t="s">
        <v>0</v>
      </c>
      <c r="X487" s="41">
        <f>IFERROR(SUM(X483:X485),"0")</f>
        <v>160</v>
      </c>
      <c r="Y487" s="41">
        <f>IFERROR(SUM(Y483:Y485),"0")</f>
        <v>163.68</v>
      </c>
      <c r="Z487" s="40"/>
      <c r="AA487" s="64"/>
      <c r="AB487" s="64"/>
      <c r="AC487" s="64"/>
    </row>
    <row r="488" spans="1:68" ht="14.25" hidden="1" customHeight="1" x14ac:dyDescent="0.25">
      <c r="A488" s="601" t="s">
        <v>77</v>
      </c>
      <c r="B488" s="601"/>
      <c r="C488" s="601"/>
      <c r="D488" s="601"/>
      <c r="E488" s="601"/>
      <c r="F488" s="601"/>
      <c r="G488" s="601"/>
      <c r="H488" s="601"/>
      <c r="I488" s="601"/>
      <c r="J488" s="601"/>
      <c r="K488" s="601"/>
      <c r="L488" s="601"/>
      <c r="M488" s="601"/>
      <c r="N488" s="601"/>
      <c r="O488" s="601"/>
      <c r="P488" s="601"/>
      <c r="Q488" s="601"/>
      <c r="R488" s="601"/>
      <c r="S488" s="601"/>
      <c r="T488" s="601"/>
      <c r="U488" s="601"/>
      <c r="V488" s="601"/>
      <c r="W488" s="601"/>
      <c r="X488" s="601"/>
      <c r="Y488" s="601"/>
      <c r="Z488" s="601"/>
      <c r="AA488" s="63"/>
      <c r="AB488" s="63"/>
      <c r="AC488" s="63"/>
    </row>
    <row r="489" spans="1:68" ht="27" customHeight="1" x14ac:dyDescent="0.25">
      <c r="A489" s="60" t="s">
        <v>777</v>
      </c>
      <c r="B489" s="60" t="s">
        <v>778</v>
      </c>
      <c r="C489" s="34">
        <v>4301031349</v>
      </c>
      <c r="D489" s="602">
        <v>4680115883116</v>
      </c>
      <c r="E489" s="602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70</v>
      </c>
      <c r="P489" s="6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04"/>
      <c r="R489" s="604"/>
      <c r="S489" s="604"/>
      <c r="T489" s="605"/>
      <c r="U489" s="37" t="s">
        <v>46</v>
      </c>
      <c r="V489" s="37" t="s">
        <v>46</v>
      </c>
      <c r="W489" s="38" t="s">
        <v>0</v>
      </c>
      <c r="X489" s="56">
        <v>130</v>
      </c>
      <c r="Y489" s="53">
        <f t="shared" ref="Y489:Y495" si="73">IFERROR(IF(X489="",0,CEILING((X489/$H489),1)*$H489),"")</f>
        <v>132</v>
      </c>
      <c r="Z489" s="39">
        <f>IFERROR(IF(Y489=0,"",ROUNDUP(Y489/H489,0)*0.01196),"")</f>
        <v>0.29899999999999999</v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ref="BM489:BM495" si="74">IFERROR(X489*I489/H489,"0")</f>
        <v>138.61742424242422</v>
      </c>
      <c r="BN489" s="75">
        <f t="shared" ref="BN489:BN495" si="75">IFERROR(Y489*I489/H489,"0")</f>
        <v>140.75</v>
      </c>
      <c r="BO489" s="75">
        <f t="shared" ref="BO489:BO495" si="76">IFERROR(1/J489*(X489/H489),"0")</f>
        <v>0.23674242424242425</v>
      </c>
      <c r="BP489" s="75">
        <f t="shared" ref="BP489:BP495" si="77">IFERROR(1/J489*(Y489/H489),"0")</f>
        <v>0.24038461538461539</v>
      </c>
    </row>
    <row r="490" spans="1:68" ht="27" customHeight="1" x14ac:dyDescent="0.25">
      <c r="A490" s="60" t="s">
        <v>780</v>
      </c>
      <c r="B490" s="60" t="s">
        <v>781</v>
      </c>
      <c r="C490" s="34">
        <v>4301031350</v>
      </c>
      <c r="D490" s="602">
        <v>4680115883093</v>
      </c>
      <c r="E490" s="602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6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04"/>
      <c r="R490" s="604"/>
      <c r="S490" s="604"/>
      <c r="T490" s="605"/>
      <c r="U490" s="37" t="s">
        <v>46</v>
      </c>
      <c r="V490" s="37" t="s">
        <v>46</v>
      </c>
      <c r="W490" s="38" t="s">
        <v>0</v>
      </c>
      <c r="X490" s="56">
        <v>80</v>
      </c>
      <c r="Y490" s="53">
        <f t="shared" si="73"/>
        <v>84.48</v>
      </c>
      <c r="Z490" s="39">
        <f>IFERROR(IF(Y490=0,"",ROUNDUP(Y490/H490,0)*0.01196),"")</f>
        <v>0.19136</v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74"/>
        <v>85.303030303030297</v>
      </c>
      <c r="BN490" s="75">
        <f t="shared" si="75"/>
        <v>90.08</v>
      </c>
      <c r="BO490" s="75">
        <f t="shared" si="76"/>
        <v>0.14568764568764569</v>
      </c>
      <c r="BP490" s="75">
        <f t="shared" si="77"/>
        <v>0.15384615384615385</v>
      </c>
    </row>
    <row r="491" spans="1:68" ht="27" customHeight="1" x14ac:dyDescent="0.25">
      <c r="A491" s="60" t="s">
        <v>783</v>
      </c>
      <c r="B491" s="60" t="s">
        <v>784</v>
      </c>
      <c r="C491" s="34">
        <v>4301031353</v>
      </c>
      <c r="D491" s="602">
        <v>4680115883109</v>
      </c>
      <c r="E491" s="602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81</v>
      </c>
      <c r="N491" s="36"/>
      <c r="O491" s="35">
        <v>70</v>
      </c>
      <c r="P491" s="63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04"/>
      <c r="R491" s="604"/>
      <c r="S491" s="604"/>
      <c r="T491" s="605"/>
      <c r="U491" s="37" t="s">
        <v>46</v>
      </c>
      <c r="V491" s="37" t="s">
        <v>46</v>
      </c>
      <c r="W491" s="38" t="s">
        <v>0</v>
      </c>
      <c r="X491" s="56">
        <v>70</v>
      </c>
      <c r="Y491" s="53">
        <f t="shared" si="73"/>
        <v>73.92</v>
      </c>
      <c r="Z491" s="39">
        <f>IFERROR(IF(Y491=0,"",ROUNDUP(Y491/H491,0)*0.01196),"")</f>
        <v>0.16744000000000001</v>
      </c>
      <c r="AA491" s="65" t="s">
        <v>46</v>
      </c>
      <c r="AB491" s="66" t="s">
        <v>46</v>
      </c>
      <c r="AC491" s="571" t="s">
        <v>785</v>
      </c>
      <c r="AG491" s="75"/>
      <c r="AJ491" s="79" t="s">
        <v>46</v>
      </c>
      <c r="AK491" s="79">
        <v>0</v>
      </c>
      <c r="BB491" s="572" t="s">
        <v>67</v>
      </c>
      <c r="BM491" s="75">
        <f t="shared" si="74"/>
        <v>74.640151515151501</v>
      </c>
      <c r="BN491" s="75">
        <f t="shared" si="75"/>
        <v>78.819999999999993</v>
      </c>
      <c r="BO491" s="75">
        <f t="shared" si="76"/>
        <v>0.12747668997668998</v>
      </c>
      <c r="BP491" s="75">
        <f t="shared" si="77"/>
        <v>0.13461538461538464</v>
      </c>
    </row>
    <row r="492" spans="1:68" ht="27" hidden="1" customHeight="1" x14ac:dyDescent="0.25">
      <c r="A492" s="60" t="s">
        <v>786</v>
      </c>
      <c r="B492" s="60" t="s">
        <v>787</v>
      </c>
      <c r="C492" s="34">
        <v>4301031419</v>
      </c>
      <c r="D492" s="602">
        <v>4680115882072</v>
      </c>
      <c r="E492" s="602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140</v>
      </c>
      <c r="L492" s="35" t="s">
        <v>46</v>
      </c>
      <c r="M492" s="36" t="s">
        <v>132</v>
      </c>
      <c r="N492" s="36"/>
      <c r="O492" s="35">
        <v>70</v>
      </c>
      <c r="P492" s="62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04"/>
      <c r="R492" s="604"/>
      <c r="S492" s="604"/>
      <c r="T492" s="605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73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74"/>
        <v>0</v>
      </c>
      <c r="BN492" s="75">
        <f t="shared" si="75"/>
        <v>0</v>
      </c>
      <c r="BO492" s="75">
        <f t="shared" si="76"/>
        <v>0</v>
      </c>
      <c r="BP492" s="75">
        <f t="shared" si="77"/>
        <v>0</v>
      </c>
    </row>
    <row r="493" spans="1:68" ht="27" hidden="1" customHeight="1" x14ac:dyDescent="0.25">
      <c r="A493" s="60" t="s">
        <v>788</v>
      </c>
      <c r="B493" s="60" t="s">
        <v>789</v>
      </c>
      <c r="C493" s="34">
        <v>4301031352</v>
      </c>
      <c r="D493" s="602">
        <v>4680115882102</v>
      </c>
      <c r="E493" s="602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62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04"/>
      <c r="R493" s="604"/>
      <c r="S493" s="604"/>
      <c r="T493" s="605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782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hidden="1" customHeight="1" x14ac:dyDescent="0.25">
      <c r="A494" s="60" t="s">
        <v>788</v>
      </c>
      <c r="B494" s="60" t="s">
        <v>790</v>
      </c>
      <c r="C494" s="34">
        <v>4301031418</v>
      </c>
      <c r="D494" s="602">
        <v>4680115882102</v>
      </c>
      <c r="E494" s="602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62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04"/>
      <c r="R494" s="604"/>
      <c r="S494" s="604"/>
      <c r="T494" s="605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3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0</v>
      </c>
      <c r="BN494" s="75">
        <f t="shared" si="75"/>
        <v>0</v>
      </c>
      <c r="BO494" s="75">
        <f t="shared" si="76"/>
        <v>0</v>
      </c>
      <c r="BP494" s="75">
        <f t="shared" si="77"/>
        <v>0</v>
      </c>
    </row>
    <row r="495" spans="1:68" ht="27" hidden="1" customHeight="1" x14ac:dyDescent="0.25">
      <c r="A495" s="60" t="s">
        <v>791</v>
      </c>
      <c r="B495" s="60" t="s">
        <v>792</v>
      </c>
      <c r="C495" s="34">
        <v>4301031417</v>
      </c>
      <c r="D495" s="602">
        <v>4680115882096</v>
      </c>
      <c r="E495" s="602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140</v>
      </c>
      <c r="L495" s="35" t="s">
        <v>46</v>
      </c>
      <c r="M495" s="36" t="s">
        <v>81</v>
      </c>
      <c r="N495" s="36"/>
      <c r="O495" s="35">
        <v>70</v>
      </c>
      <c r="P495" s="62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04"/>
      <c r="R495" s="604"/>
      <c r="S495" s="604"/>
      <c r="T495" s="605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si="73"/>
        <v>0</v>
      </c>
      <c r="Z495" s="39" t="str">
        <f>IFERROR(IF(Y495=0,"",ROUNDUP(Y495/H495,0)*0.00902),"")</f>
        <v/>
      </c>
      <c r="AA495" s="65" t="s">
        <v>46</v>
      </c>
      <c r="AB495" s="66" t="s">
        <v>46</v>
      </c>
      <c r="AC495" s="579" t="s">
        <v>785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0</v>
      </c>
      <c r="BN495" s="75">
        <f t="shared" si="75"/>
        <v>0</v>
      </c>
      <c r="BO495" s="75">
        <f t="shared" si="76"/>
        <v>0</v>
      </c>
      <c r="BP495" s="75">
        <f t="shared" si="77"/>
        <v>0</v>
      </c>
    </row>
    <row r="496" spans="1:68" x14ac:dyDescent="0.2">
      <c r="A496" s="609"/>
      <c r="B496" s="609"/>
      <c r="C496" s="609"/>
      <c r="D496" s="609"/>
      <c r="E496" s="609"/>
      <c r="F496" s="609"/>
      <c r="G496" s="609"/>
      <c r="H496" s="609"/>
      <c r="I496" s="609"/>
      <c r="J496" s="609"/>
      <c r="K496" s="609"/>
      <c r="L496" s="609"/>
      <c r="M496" s="609"/>
      <c r="N496" s="609"/>
      <c r="O496" s="610"/>
      <c r="P496" s="606" t="s">
        <v>40</v>
      </c>
      <c r="Q496" s="607"/>
      <c r="R496" s="607"/>
      <c r="S496" s="607"/>
      <c r="T496" s="607"/>
      <c r="U496" s="607"/>
      <c r="V496" s="608"/>
      <c r="W496" s="40" t="s">
        <v>39</v>
      </c>
      <c r="X496" s="41">
        <f>IFERROR(X489/H489,"0")+IFERROR(X490/H490,"0")+IFERROR(X491/H491,"0")+IFERROR(X492/H492,"0")+IFERROR(X493/H493,"0")+IFERROR(X494/H494,"0")+IFERROR(X495/H495,"0")</f>
        <v>53.030303030303031</v>
      </c>
      <c r="Y496" s="41">
        <f>IFERROR(Y489/H489,"0")+IFERROR(Y490/H490,"0")+IFERROR(Y491/H491,"0")+IFERROR(Y492/H492,"0")+IFERROR(Y493/H493,"0")+IFERROR(Y494/H494,"0")+IFERROR(Y495/H495,"0")</f>
        <v>55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0.65780000000000005</v>
      </c>
      <c r="AA496" s="64"/>
      <c r="AB496" s="64"/>
      <c r="AC496" s="64"/>
    </row>
    <row r="497" spans="1:68" x14ac:dyDescent="0.2">
      <c r="A497" s="609"/>
      <c r="B497" s="609"/>
      <c r="C497" s="609"/>
      <c r="D497" s="609"/>
      <c r="E497" s="609"/>
      <c r="F497" s="609"/>
      <c r="G497" s="609"/>
      <c r="H497" s="609"/>
      <c r="I497" s="609"/>
      <c r="J497" s="609"/>
      <c r="K497" s="609"/>
      <c r="L497" s="609"/>
      <c r="M497" s="609"/>
      <c r="N497" s="609"/>
      <c r="O497" s="610"/>
      <c r="P497" s="606" t="s">
        <v>40</v>
      </c>
      <c r="Q497" s="607"/>
      <c r="R497" s="607"/>
      <c r="S497" s="607"/>
      <c r="T497" s="607"/>
      <c r="U497" s="607"/>
      <c r="V497" s="608"/>
      <c r="W497" s="40" t="s">
        <v>0</v>
      </c>
      <c r="X497" s="41">
        <f>IFERROR(SUM(X489:X495),"0")</f>
        <v>280</v>
      </c>
      <c r="Y497" s="41">
        <f>IFERROR(SUM(Y489:Y495),"0")</f>
        <v>290.40000000000003</v>
      </c>
      <c r="Z497" s="40"/>
      <c r="AA497" s="64"/>
      <c r="AB497" s="64"/>
      <c r="AC497" s="64"/>
    </row>
    <row r="498" spans="1:68" ht="27.75" hidden="1" customHeight="1" x14ac:dyDescent="0.2">
      <c r="A498" s="622" t="s">
        <v>793</v>
      </c>
      <c r="B498" s="622"/>
      <c r="C498" s="622"/>
      <c r="D498" s="622"/>
      <c r="E498" s="622"/>
      <c r="F498" s="622"/>
      <c r="G498" s="622"/>
      <c r="H498" s="622"/>
      <c r="I498" s="622"/>
      <c r="J498" s="622"/>
      <c r="K498" s="622"/>
      <c r="L498" s="622"/>
      <c r="M498" s="622"/>
      <c r="N498" s="622"/>
      <c r="O498" s="622"/>
      <c r="P498" s="622"/>
      <c r="Q498" s="622"/>
      <c r="R498" s="622"/>
      <c r="S498" s="622"/>
      <c r="T498" s="622"/>
      <c r="U498" s="622"/>
      <c r="V498" s="622"/>
      <c r="W498" s="622"/>
      <c r="X498" s="622"/>
      <c r="Y498" s="622"/>
      <c r="Z498" s="622"/>
      <c r="AA498" s="52"/>
      <c r="AB498" s="52"/>
      <c r="AC498" s="52"/>
    </row>
    <row r="499" spans="1:68" ht="16.5" hidden="1" customHeight="1" x14ac:dyDescent="0.25">
      <c r="A499" s="617" t="s">
        <v>793</v>
      </c>
      <c r="B499" s="617"/>
      <c r="C499" s="617"/>
      <c r="D499" s="617"/>
      <c r="E499" s="617"/>
      <c r="F499" s="617"/>
      <c r="G499" s="617"/>
      <c r="H499" s="617"/>
      <c r="I499" s="617"/>
      <c r="J499" s="617"/>
      <c r="K499" s="617"/>
      <c r="L499" s="617"/>
      <c r="M499" s="617"/>
      <c r="N499" s="617"/>
      <c r="O499" s="617"/>
      <c r="P499" s="617"/>
      <c r="Q499" s="617"/>
      <c r="R499" s="617"/>
      <c r="S499" s="617"/>
      <c r="T499" s="617"/>
      <c r="U499" s="617"/>
      <c r="V499" s="617"/>
      <c r="W499" s="617"/>
      <c r="X499" s="617"/>
      <c r="Y499" s="617"/>
      <c r="Z499" s="617"/>
      <c r="AA499" s="62"/>
      <c r="AB499" s="62"/>
      <c r="AC499" s="62"/>
    </row>
    <row r="500" spans="1:68" ht="14.25" hidden="1" customHeight="1" x14ac:dyDescent="0.25">
      <c r="A500" s="601" t="s">
        <v>128</v>
      </c>
      <c r="B500" s="601"/>
      <c r="C500" s="601"/>
      <c r="D500" s="601"/>
      <c r="E500" s="601"/>
      <c r="F500" s="601"/>
      <c r="G500" s="601"/>
      <c r="H500" s="601"/>
      <c r="I500" s="601"/>
      <c r="J500" s="601"/>
      <c r="K500" s="601"/>
      <c r="L500" s="601"/>
      <c r="M500" s="601"/>
      <c r="N500" s="601"/>
      <c r="O500" s="601"/>
      <c r="P500" s="601"/>
      <c r="Q500" s="601"/>
      <c r="R500" s="601"/>
      <c r="S500" s="601"/>
      <c r="T500" s="601"/>
      <c r="U500" s="601"/>
      <c r="V500" s="601"/>
      <c r="W500" s="601"/>
      <c r="X500" s="601"/>
      <c r="Y500" s="601"/>
      <c r="Z500" s="601"/>
      <c r="AA500" s="63"/>
      <c r="AB500" s="63"/>
      <c r="AC500" s="63"/>
    </row>
    <row r="501" spans="1:68" ht="27" customHeight="1" x14ac:dyDescent="0.25">
      <c r="A501" s="60" t="s">
        <v>794</v>
      </c>
      <c r="B501" s="60" t="s">
        <v>795</v>
      </c>
      <c r="C501" s="34">
        <v>4301011584</v>
      </c>
      <c r="D501" s="602">
        <v>4640242180564</v>
      </c>
      <c r="E501" s="602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133</v>
      </c>
      <c r="L501" s="35" t="s">
        <v>46</v>
      </c>
      <c r="M501" s="36" t="s">
        <v>132</v>
      </c>
      <c r="N501" s="36"/>
      <c r="O501" s="35">
        <v>50</v>
      </c>
      <c r="P501" s="6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04"/>
      <c r="R501" s="604"/>
      <c r="S501" s="604"/>
      <c r="T501" s="605"/>
      <c r="U501" s="37" t="s">
        <v>46</v>
      </c>
      <c r="V501" s="37" t="s">
        <v>46</v>
      </c>
      <c r="W501" s="38" t="s">
        <v>0</v>
      </c>
      <c r="X501" s="56">
        <v>30</v>
      </c>
      <c r="Y501" s="53">
        <f>IFERROR(IF(X501="",0,CEILING((X501/$H501),1)*$H501),"")</f>
        <v>36</v>
      </c>
      <c r="Z501" s="39">
        <f>IFERROR(IF(Y501=0,"",ROUNDUP(Y501/H501,0)*0.01898),"")</f>
        <v>5.6940000000000004E-2</v>
      </c>
      <c r="AA501" s="65" t="s">
        <v>46</v>
      </c>
      <c r="AB501" s="66" t="s">
        <v>46</v>
      </c>
      <c r="AC501" s="581" t="s">
        <v>796</v>
      </c>
      <c r="AG501" s="75"/>
      <c r="AJ501" s="79" t="s">
        <v>46</v>
      </c>
      <c r="AK501" s="79">
        <v>0</v>
      </c>
      <c r="BB501" s="582" t="s">
        <v>67</v>
      </c>
      <c r="BM501" s="75">
        <f>IFERROR(X501*I501/H501,"0")</f>
        <v>31.025000000000002</v>
      </c>
      <c r="BN501" s="75">
        <f>IFERROR(Y501*I501/H501,"0")</f>
        <v>37.229999999999997</v>
      </c>
      <c r="BO501" s="75">
        <f>IFERROR(1/J501*(X501/H501),"0")</f>
        <v>3.90625E-2</v>
      </c>
      <c r="BP501" s="75">
        <f>IFERROR(1/J501*(Y501/H501),"0")</f>
        <v>4.6875E-2</v>
      </c>
    </row>
    <row r="502" spans="1:68" x14ac:dyDescent="0.2">
      <c r="A502" s="609"/>
      <c r="B502" s="609"/>
      <c r="C502" s="609"/>
      <c r="D502" s="609"/>
      <c r="E502" s="609"/>
      <c r="F502" s="609"/>
      <c r="G502" s="609"/>
      <c r="H502" s="609"/>
      <c r="I502" s="609"/>
      <c r="J502" s="609"/>
      <c r="K502" s="609"/>
      <c r="L502" s="609"/>
      <c r="M502" s="609"/>
      <c r="N502" s="609"/>
      <c r="O502" s="610"/>
      <c r="P502" s="606" t="s">
        <v>40</v>
      </c>
      <c r="Q502" s="607"/>
      <c r="R502" s="607"/>
      <c r="S502" s="607"/>
      <c r="T502" s="607"/>
      <c r="U502" s="607"/>
      <c r="V502" s="608"/>
      <c r="W502" s="40" t="s">
        <v>39</v>
      </c>
      <c r="X502" s="41">
        <f>IFERROR(X501/H501,"0")</f>
        <v>2.5</v>
      </c>
      <c r="Y502" s="41">
        <f>IFERROR(Y501/H501,"0")</f>
        <v>3</v>
      </c>
      <c r="Z502" s="41">
        <f>IFERROR(IF(Z501="",0,Z501),"0")</f>
        <v>5.6940000000000004E-2</v>
      </c>
      <c r="AA502" s="64"/>
      <c r="AB502" s="64"/>
      <c r="AC502" s="64"/>
    </row>
    <row r="503" spans="1:68" x14ac:dyDescent="0.2">
      <c r="A503" s="609"/>
      <c r="B503" s="609"/>
      <c r="C503" s="609"/>
      <c r="D503" s="609"/>
      <c r="E503" s="609"/>
      <c r="F503" s="609"/>
      <c r="G503" s="609"/>
      <c r="H503" s="609"/>
      <c r="I503" s="609"/>
      <c r="J503" s="609"/>
      <c r="K503" s="609"/>
      <c r="L503" s="609"/>
      <c r="M503" s="609"/>
      <c r="N503" s="609"/>
      <c r="O503" s="610"/>
      <c r="P503" s="606" t="s">
        <v>40</v>
      </c>
      <c r="Q503" s="607"/>
      <c r="R503" s="607"/>
      <c r="S503" s="607"/>
      <c r="T503" s="607"/>
      <c r="U503" s="607"/>
      <c r="V503" s="608"/>
      <c r="W503" s="40" t="s">
        <v>0</v>
      </c>
      <c r="X503" s="41">
        <f>IFERROR(SUM(X501:X501),"0")</f>
        <v>30</v>
      </c>
      <c r="Y503" s="41">
        <f>IFERROR(SUM(Y501:Y501),"0")</f>
        <v>36</v>
      </c>
      <c r="Z503" s="40"/>
      <c r="AA503" s="64"/>
      <c r="AB503" s="64"/>
      <c r="AC503" s="64"/>
    </row>
    <row r="504" spans="1:68" ht="14.25" hidden="1" customHeight="1" x14ac:dyDescent="0.25">
      <c r="A504" s="601" t="s">
        <v>163</v>
      </c>
      <c r="B504" s="601"/>
      <c r="C504" s="601"/>
      <c r="D504" s="601"/>
      <c r="E504" s="601"/>
      <c r="F504" s="601"/>
      <c r="G504" s="601"/>
      <c r="H504" s="601"/>
      <c r="I504" s="601"/>
      <c r="J504" s="601"/>
      <c r="K504" s="601"/>
      <c r="L504" s="601"/>
      <c r="M504" s="601"/>
      <c r="N504" s="601"/>
      <c r="O504" s="601"/>
      <c r="P504" s="601"/>
      <c r="Q504" s="601"/>
      <c r="R504" s="601"/>
      <c r="S504" s="601"/>
      <c r="T504" s="601"/>
      <c r="U504" s="601"/>
      <c r="V504" s="601"/>
      <c r="W504" s="601"/>
      <c r="X504" s="601"/>
      <c r="Y504" s="601"/>
      <c r="Z504" s="601"/>
      <c r="AA504" s="63"/>
      <c r="AB504" s="63"/>
      <c r="AC504" s="63"/>
    </row>
    <row r="505" spans="1:68" ht="27" hidden="1" customHeight="1" x14ac:dyDescent="0.25">
      <c r="A505" s="60" t="s">
        <v>797</v>
      </c>
      <c r="B505" s="60" t="s">
        <v>798</v>
      </c>
      <c r="C505" s="34">
        <v>4301020400</v>
      </c>
      <c r="D505" s="602">
        <v>4640242180519</v>
      </c>
      <c r="E505" s="602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133</v>
      </c>
      <c r="L505" s="35" t="s">
        <v>46</v>
      </c>
      <c r="M505" s="36" t="s">
        <v>132</v>
      </c>
      <c r="N505" s="36"/>
      <c r="O505" s="35">
        <v>50</v>
      </c>
      <c r="P505" s="61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04"/>
      <c r="R505" s="604"/>
      <c r="S505" s="604"/>
      <c r="T505" s="605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3" t="s">
        <v>799</v>
      </c>
      <c r="AG505" s="75"/>
      <c r="AJ505" s="79" t="s">
        <v>46</v>
      </c>
      <c r="AK505" s="79">
        <v>0</v>
      </c>
      <c r="BB505" s="584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09"/>
      <c r="B506" s="609"/>
      <c r="C506" s="609"/>
      <c r="D506" s="609"/>
      <c r="E506" s="609"/>
      <c r="F506" s="609"/>
      <c r="G506" s="609"/>
      <c r="H506" s="609"/>
      <c r="I506" s="609"/>
      <c r="J506" s="609"/>
      <c r="K506" s="609"/>
      <c r="L506" s="609"/>
      <c r="M506" s="609"/>
      <c r="N506" s="609"/>
      <c r="O506" s="610"/>
      <c r="P506" s="606" t="s">
        <v>40</v>
      </c>
      <c r="Q506" s="607"/>
      <c r="R506" s="607"/>
      <c r="S506" s="607"/>
      <c r="T506" s="607"/>
      <c r="U506" s="607"/>
      <c r="V506" s="608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hidden="1" x14ac:dyDescent="0.2">
      <c r="A507" s="609"/>
      <c r="B507" s="609"/>
      <c r="C507" s="609"/>
      <c r="D507" s="609"/>
      <c r="E507" s="609"/>
      <c r="F507" s="609"/>
      <c r="G507" s="609"/>
      <c r="H507" s="609"/>
      <c r="I507" s="609"/>
      <c r="J507" s="609"/>
      <c r="K507" s="609"/>
      <c r="L507" s="609"/>
      <c r="M507" s="609"/>
      <c r="N507" s="609"/>
      <c r="O507" s="610"/>
      <c r="P507" s="606" t="s">
        <v>40</v>
      </c>
      <c r="Q507" s="607"/>
      <c r="R507" s="607"/>
      <c r="S507" s="607"/>
      <c r="T507" s="607"/>
      <c r="U507" s="607"/>
      <c r="V507" s="608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01" t="s">
        <v>77</v>
      </c>
      <c r="B508" s="601"/>
      <c r="C508" s="601"/>
      <c r="D508" s="601"/>
      <c r="E508" s="601"/>
      <c r="F508" s="601"/>
      <c r="G508" s="601"/>
      <c r="H508" s="601"/>
      <c r="I508" s="601"/>
      <c r="J508" s="601"/>
      <c r="K508" s="601"/>
      <c r="L508" s="601"/>
      <c r="M508" s="601"/>
      <c r="N508" s="601"/>
      <c r="O508" s="601"/>
      <c r="P508" s="601"/>
      <c r="Q508" s="601"/>
      <c r="R508" s="601"/>
      <c r="S508" s="601"/>
      <c r="T508" s="601"/>
      <c r="U508" s="601"/>
      <c r="V508" s="601"/>
      <c r="W508" s="601"/>
      <c r="X508" s="601"/>
      <c r="Y508" s="601"/>
      <c r="Z508" s="601"/>
      <c r="AA508" s="63"/>
      <c r="AB508" s="63"/>
      <c r="AC508" s="63"/>
    </row>
    <row r="509" spans="1:68" ht="27" customHeight="1" x14ac:dyDescent="0.25">
      <c r="A509" s="60" t="s">
        <v>800</v>
      </c>
      <c r="B509" s="60" t="s">
        <v>801</v>
      </c>
      <c r="C509" s="34">
        <v>4301031467</v>
      </c>
      <c r="D509" s="602">
        <v>4640242180595</v>
      </c>
      <c r="E509" s="602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62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4"/>
      <c r="R509" s="604"/>
      <c r="S509" s="604"/>
      <c r="T509" s="605"/>
      <c r="U509" s="37" t="s">
        <v>46</v>
      </c>
      <c r="V509" s="37" t="s">
        <v>46</v>
      </c>
      <c r="W509" s="38" t="s">
        <v>0</v>
      </c>
      <c r="X509" s="56">
        <v>100</v>
      </c>
      <c r="Y509" s="53">
        <f>IFERROR(IF(X509="",0,CEILING((X509/$H509),1)*$H509),"")</f>
        <v>100.8</v>
      </c>
      <c r="Z509" s="39">
        <f>IFERROR(IF(Y509=0,"",ROUNDUP(Y509/H509,0)*0.00902),"")</f>
        <v>0.18942000000000001</v>
      </c>
      <c r="AA509" s="65" t="s">
        <v>46</v>
      </c>
      <c r="AB509" s="66" t="s">
        <v>46</v>
      </c>
      <c r="AC509" s="585" t="s">
        <v>802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105.20833333333334</v>
      </c>
      <c r="BN509" s="75">
        <f>IFERROR(Y509*I509/H509,"0")</f>
        <v>106.05</v>
      </c>
      <c r="BO509" s="75">
        <f>IFERROR(1/J509*(X509/H509),"0")</f>
        <v>0.15782828282828285</v>
      </c>
      <c r="BP509" s="75">
        <f>IFERROR(1/J509*(Y509/H509),"0")</f>
        <v>0.15909090909090909</v>
      </c>
    </row>
    <row r="510" spans="1:68" ht="27" hidden="1" customHeight="1" x14ac:dyDescent="0.25">
      <c r="A510" s="60" t="s">
        <v>800</v>
      </c>
      <c r="B510" s="60" t="s">
        <v>803</v>
      </c>
      <c r="C510" s="34">
        <v>4301031500</v>
      </c>
      <c r="D510" s="602">
        <v>4640242180595</v>
      </c>
      <c r="E510" s="602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40</v>
      </c>
      <c r="P510" s="62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04"/>
      <c r="R510" s="604"/>
      <c r="S510" s="604"/>
      <c r="T510" s="605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587" t="s">
        <v>804</v>
      </c>
      <c r="AG510" s="75"/>
      <c r="AJ510" s="79" t="s">
        <v>46</v>
      </c>
      <c r="AK510" s="79">
        <v>0</v>
      </c>
      <c r="BB510" s="588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x14ac:dyDescent="0.2">
      <c r="A511" s="609"/>
      <c r="B511" s="609"/>
      <c r="C511" s="609"/>
      <c r="D511" s="609"/>
      <c r="E511" s="609"/>
      <c r="F511" s="609"/>
      <c r="G511" s="609"/>
      <c r="H511" s="609"/>
      <c r="I511" s="609"/>
      <c r="J511" s="609"/>
      <c r="K511" s="609"/>
      <c r="L511" s="609"/>
      <c r="M511" s="609"/>
      <c r="N511" s="609"/>
      <c r="O511" s="610"/>
      <c r="P511" s="606" t="s">
        <v>40</v>
      </c>
      <c r="Q511" s="607"/>
      <c r="R511" s="607"/>
      <c r="S511" s="607"/>
      <c r="T511" s="607"/>
      <c r="U511" s="607"/>
      <c r="V511" s="608"/>
      <c r="W511" s="40" t="s">
        <v>39</v>
      </c>
      <c r="X511" s="41">
        <f>IFERROR(X509/H509,"0")+IFERROR(X510/H510,"0")</f>
        <v>20.833333333333336</v>
      </c>
      <c r="Y511" s="41">
        <f>IFERROR(Y509/H509,"0")+IFERROR(Y510/H510,"0")</f>
        <v>21</v>
      </c>
      <c r="Z511" s="41">
        <f>IFERROR(IF(Z509="",0,Z509),"0")+IFERROR(IF(Z510="",0,Z510),"0")</f>
        <v>0.18942000000000001</v>
      </c>
      <c r="AA511" s="64"/>
      <c r="AB511" s="64"/>
      <c r="AC511" s="64"/>
    </row>
    <row r="512" spans="1:68" x14ac:dyDescent="0.2">
      <c r="A512" s="609"/>
      <c r="B512" s="609"/>
      <c r="C512" s="609"/>
      <c r="D512" s="609"/>
      <c r="E512" s="609"/>
      <c r="F512" s="609"/>
      <c r="G512" s="609"/>
      <c r="H512" s="609"/>
      <c r="I512" s="609"/>
      <c r="J512" s="609"/>
      <c r="K512" s="609"/>
      <c r="L512" s="609"/>
      <c r="M512" s="609"/>
      <c r="N512" s="609"/>
      <c r="O512" s="610"/>
      <c r="P512" s="606" t="s">
        <v>40</v>
      </c>
      <c r="Q512" s="607"/>
      <c r="R512" s="607"/>
      <c r="S512" s="607"/>
      <c r="T512" s="607"/>
      <c r="U512" s="607"/>
      <c r="V512" s="608"/>
      <c r="W512" s="40" t="s">
        <v>0</v>
      </c>
      <c r="X512" s="41">
        <f>IFERROR(SUM(X509:X510),"0")</f>
        <v>100</v>
      </c>
      <c r="Y512" s="41">
        <f>IFERROR(SUM(Y509:Y510),"0")</f>
        <v>100.8</v>
      </c>
      <c r="Z512" s="40"/>
      <c r="AA512" s="64"/>
      <c r="AB512" s="64"/>
      <c r="AC512" s="64"/>
    </row>
    <row r="513" spans="1:68" ht="14.25" hidden="1" customHeight="1" x14ac:dyDescent="0.25">
      <c r="A513" s="601" t="s">
        <v>86</v>
      </c>
      <c r="B513" s="601"/>
      <c r="C513" s="601"/>
      <c r="D513" s="601"/>
      <c r="E513" s="601"/>
      <c r="F513" s="601"/>
      <c r="G513" s="601"/>
      <c r="H513" s="601"/>
      <c r="I513" s="601"/>
      <c r="J513" s="601"/>
      <c r="K513" s="601"/>
      <c r="L513" s="601"/>
      <c r="M513" s="601"/>
      <c r="N513" s="601"/>
      <c r="O513" s="601"/>
      <c r="P513" s="601"/>
      <c r="Q513" s="601"/>
      <c r="R513" s="601"/>
      <c r="S513" s="601"/>
      <c r="T513" s="601"/>
      <c r="U513" s="601"/>
      <c r="V513" s="601"/>
      <c r="W513" s="601"/>
      <c r="X513" s="601"/>
      <c r="Y513" s="601"/>
      <c r="Z513" s="601"/>
      <c r="AA513" s="63"/>
      <c r="AB513" s="63"/>
      <c r="AC513" s="63"/>
    </row>
    <row r="514" spans="1:68" ht="27" hidden="1" customHeight="1" x14ac:dyDescent="0.25">
      <c r="A514" s="60" t="s">
        <v>805</v>
      </c>
      <c r="B514" s="60" t="s">
        <v>806</v>
      </c>
      <c r="C514" s="34">
        <v>4301052046</v>
      </c>
      <c r="D514" s="602">
        <v>4640242180533</v>
      </c>
      <c r="E514" s="602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133</v>
      </c>
      <c r="L514" s="35" t="s">
        <v>46</v>
      </c>
      <c r="M514" s="36" t="s">
        <v>97</v>
      </c>
      <c r="N514" s="36"/>
      <c r="O514" s="35">
        <v>45</v>
      </c>
      <c r="P514" s="6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04"/>
      <c r="R514" s="604"/>
      <c r="S514" s="604"/>
      <c r="T514" s="605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IFERROR(IF(Y514=0,"",ROUNDUP(Y514/H514,0)*0.01898),"")</f>
        <v/>
      </c>
      <c r="AA514" s="65" t="s">
        <v>46</v>
      </c>
      <c r="AB514" s="66" t="s">
        <v>46</v>
      </c>
      <c r="AC514" s="589" t="s">
        <v>807</v>
      </c>
      <c r="AG514" s="75"/>
      <c r="AJ514" s="79" t="s">
        <v>46</v>
      </c>
      <c r="AK514" s="79">
        <v>0</v>
      </c>
      <c r="BB514" s="590" t="s">
        <v>67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idden="1" x14ac:dyDescent="0.2">
      <c r="A515" s="609"/>
      <c r="B515" s="609"/>
      <c r="C515" s="609"/>
      <c r="D515" s="609"/>
      <c r="E515" s="609"/>
      <c r="F515" s="609"/>
      <c r="G515" s="609"/>
      <c r="H515" s="609"/>
      <c r="I515" s="609"/>
      <c r="J515" s="609"/>
      <c r="K515" s="609"/>
      <c r="L515" s="609"/>
      <c r="M515" s="609"/>
      <c r="N515" s="609"/>
      <c r="O515" s="610"/>
      <c r="P515" s="606" t="s">
        <v>40</v>
      </c>
      <c r="Q515" s="607"/>
      <c r="R515" s="607"/>
      <c r="S515" s="607"/>
      <c r="T515" s="607"/>
      <c r="U515" s="607"/>
      <c r="V515" s="608"/>
      <c r="W515" s="40" t="s">
        <v>39</v>
      </c>
      <c r="X515" s="41">
        <f>IFERROR(X514/H514,"0")</f>
        <v>0</v>
      </c>
      <c r="Y515" s="41">
        <f>IFERROR(Y514/H514,"0")</f>
        <v>0</v>
      </c>
      <c r="Z515" s="41">
        <f>IFERROR(IF(Z514="",0,Z514),"0")</f>
        <v>0</v>
      </c>
      <c r="AA515" s="64"/>
      <c r="AB515" s="64"/>
      <c r="AC515" s="64"/>
    </row>
    <row r="516" spans="1:68" hidden="1" x14ac:dyDescent="0.2">
      <c r="A516" s="609"/>
      <c r="B516" s="609"/>
      <c r="C516" s="609"/>
      <c r="D516" s="609"/>
      <c r="E516" s="609"/>
      <c r="F516" s="609"/>
      <c r="G516" s="609"/>
      <c r="H516" s="609"/>
      <c r="I516" s="609"/>
      <c r="J516" s="609"/>
      <c r="K516" s="609"/>
      <c r="L516" s="609"/>
      <c r="M516" s="609"/>
      <c r="N516" s="609"/>
      <c r="O516" s="610"/>
      <c r="P516" s="606" t="s">
        <v>40</v>
      </c>
      <c r="Q516" s="607"/>
      <c r="R516" s="607"/>
      <c r="S516" s="607"/>
      <c r="T516" s="607"/>
      <c r="U516" s="607"/>
      <c r="V516" s="608"/>
      <c r="W516" s="40" t="s">
        <v>0</v>
      </c>
      <c r="X516" s="41">
        <f>IFERROR(SUM(X514:X514),"0")</f>
        <v>0</v>
      </c>
      <c r="Y516" s="41">
        <f>IFERROR(SUM(Y514:Y514),"0")</f>
        <v>0</v>
      </c>
      <c r="Z516" s="40"/>
      <c r="AA516" s="64"/>
      <c r="AB516" s="64"/>
      <c r="AC516" s="64"/>
    </row>
    <row r="517" spans="1:68" ht="14.25" hidden="1" customHeight="1" x14ac:dyDescent="0.25">
      <c r="A517" s="601" t="s">
        <v>180</v>
      </c>
      <c r="B517" s="601"/>
      <c r="C517" s="601"/>
      <c r="D517" s="601"/>
      <c r="E517" s="601"/>
      <c r="F517" s="601"/>
      <c r="G517" s="601"/>
      <c r="H517" s="601"/>
      <c r="I517" s="601"/>
      <c r="J517" s="601"/>
      <c r="K517" s="601"/>
      <c r="L517" s="601"/>
      <c r="M517" s="601"/>
      <c r="N517" s="601"/>
      <c r="O517" s="601"/>
      <c r="P517" s="601"/>
      <c r="Q517" s="601"/>
      <c r="R517" s="601"/>
      <c r="S517" s="601"/>
      <c r="T517" s="601"/>
      <c r="U517" s="601"/>
      <c r="V517" s="601"/>
      <c r="W517" s="601"/>
      <c r="X517" s="601"/>
      <c r="Y517" s="601"/>
      <c r="Z517" s="601"/>
      <c r="AA517" s="63"/>
      <c r="AB517" s="63"/>
      <c r="AC517" s="63"/>
    </row>
    <row r="518" spans="1:68" ht="27" hidden="1" customHeight="1" x14ac:dyDescent="0.25">
      <c r="A518" s="60" t="s">
        <v>808</v>
      </c>
      <c r="B518" s="60" t="s">
        <v>809</v>
      </c>
      <c r="C518" s="34">
        <v>4301060535</v>
      </c>
      <c r="D518" s="602">
        <v>4640242180120</v>
      </c>
      <c r="E518" s="602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61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04"/>
      <c r="R518" s="604"/>
      <c r="S518" s="604"/>
      <c r="T518" s="605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hidden="1" customHeight="1" x14ac:dyDescent="0.25">
      <c r="A519" s="60" t="s">
        <v>811</v>
      </c>
      <c r="B519" s="60" t="s">
        <v>812</v>
      </c>
      <c r="C519" s="34">
        <v>4301060536</v>
      </c>
      <c r="D519" s="602">
        <v>4640242180137</v>
      </c>
      <c r="E519" s="602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133</v>
      </c>
      <c r="L519" s="35" t="s">
        <v>46</v>
      </c>
      <c r="M519" s="36" t="s">
        <v>90</v>
      </c>
      <c r="N519" s="36"/>
      <c r="O519" s="35">
        <v>40</v>
      </c>
      <c r="P519" s="61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04"/>
      <c r="R519" s="604"/>
      <c r="S519" s="604"/>
      <c r="T519" s="605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 t="s">
        <v>46</v>
      </c>
      <c r="AB519" s="66" t="s">
        <v>46</v>
      </c>
      <c r="AC519" s="593" t="s">
        <v>813</v>
      </c>
      <c r="AG519" s="75"/>
      <c r="AJ519" s="79" t="s">
        <v>46</v>
      </c>
      <c r="AK519" s="79">
        <v>0</v>
      </c>
      <c r="BB519" s="594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09"/>
      <c r="B520" s="609"/>
      <c r="C520" s="609"/>
      <c r="D520" s="609"/>
      <c r="E520" s="609"/>
      <c r="F520" s="609"/>
      <c r="G520" s="609"/>
      <c r="H520" s="609"/>
      <c r="I520" s="609"/>
      <c r="J520" s="609"/>
      <c r="K520" s="609"/>
      <c r="L520" s="609"/>
      <c r="M520" s="609"/>
      <c r="N520" s="609"/>
      <c r="O520" s="610"/>
      <c r="P520" s="606" t="s">
        <v>40</v>
      </c>
      <c r="Q520" s="607"/>
      <c r="R520" s="607"/>
      <c r="S520" s="607"/>
      <c r="T520" s="607"/>
      <c r="U520" s="607"/>
      <c r="V520" s="608"/>
      <c r="W520" s="40" t="s">
        <v>39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hidden="1" x14ac:dyDescent="0.2">
      <c r="A521" s="609"/>
      <c r="B521" s="609"/>
      <c r="C521" s="609"/>
      <c r="D521" s="609"/>
      <c r="E521" s="609"/>
      <c r="F521" s="609"/>
      <c r="G521" s="609"/>
      <c r="H521" s="609"/>
      <c r="I521" s="609"/>
      <c r="J521" s="609"/>
      <c r="K521" s="609"/>
      <c r="L521" s="609"/>
      <c r="M521" s="609"/>
      <c r="N521" s="609"/>
      <c r="O521" s="610"/>
      <c r="P521" s="606" t="s">
        <v>40</v>
      </c>
      <c r="Q521" s="607"/>
      <c r="R521" s="607"/>
      <c r="S521" s="607"/>
      <c r="T521" s="607"/>
      <c r="U521" s="607"/>
      <c r="V521" s="608"/>
      <c r="W521" s="40" t="s">
        <v>0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hidden="1" customHeight="1" x14ac:dyDescent="0.25">
      <c r="A522" s="617" t="s">
        <v>814</v>
      </c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17"/>
      <c r="P522" s="617"/>
      <c r="Q522" s="617"/>
      <c r="R522" s="617"/>
      <c r="S522" s="617"/>
      <c r="T522" s="617"/>
      <c r="U522" s="617"/>
      <c r="V522" s="617"/>
      <c r="W522" s="617"/>
      <c r="X522" s="617"/>
      <c r="Y522" s="617"/>
      <c r="Z522" s="617"/>
      <c r="AA522" s="62"/>
      <c r="AB522" s="62"/>
      <c r="AC522" s="62"/>
    </row>
    <row r="523" spans="1:68" ht="14.25" hidden="1" customHeight="1" x14ac:dyDescent="0.25">
      <c r="A523" s="601" t="s">
        <v>163</v>
      </c>
      <c r="B523" s="601"/>
      <c r="C523" s="601"/>
      <c r="D523" s="601"/>
      <c r="E523" s="601"/>
      <c r="F523" s="601"/>
      <c r="G523" s="601"/>
      <c r="H523" s="601"/>
      <c r="I523" s="601"/>
      <c r="J523" s="601"/>
      <c r="K523" s="601"/>
      <c r="L523" s="601"/>
      <c r="M523" s="601"/>
      <c r="N523" s="601"/>
      <c r="O523" s="601"/>
      <c r="P523" s="601"/>
      <c r="Q523" s="601"/>
      <c r="R523" s="601"/>
      <c r="S523" s="601"/>
      <c r="T523" s="601"/>
      <c r="U523" s="601"/>
      <c r="V523" s="601"/>
      <c r="W523" s="601"/>
      <c r="X523" s="601"/>
      <c r="Y523" s="601"/>
      <c r="Z523" s="601"/>
      <c r="AA523" s="63"/>
      <c r="AB523" s="63"/>
      <c r="AC523" s="63"/>
    </row>
    <row r="524" spans="1:68" ht="27" hidden="1" customHeight="1" x14ac:dyDescent="0.25">
      <c r="A524" s="60" t="s">
        <v>815</v>
      </c>
      <c r="B524" s="60" t="s">
        <v>816</v>
      </c>
      <c r="C524" s="34">
        <v>4301020428</v>
      </c>
      <c r="D524" s="602">
        <v>4640242180090</v>
      </c>
      <c r="E524" s="602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133</v>
      </c>
      <c r="L524" s="35" t="s">
        <v>46</v>
      </c>
      <c r="M524" s="36" t="s">
        <v>132</v>
      </c>
      <c r="N524" s="36"/>
      <c r="O524" s="35">
        <v>50</v>
      </c>
      <c r="P524" s="60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04"/>
      <c r="R524" s="604"/>
      <c r="S524" s="604"/>
      <c r="T524" s="605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 t="s">
        <v>46</v>
      </c>
      <c r="AB524" s="66" t="s">
        <v>46</v>
      </c>
      <c r="AC524" s="595" t="s">
        <v>817</v>
      </c>
      <c r="AG524" s="75"/>
      <c r="AJ524" s="79" t="s">
        <v>46</v>
      </c>
      <c r="AK524" s="79">
        <v>0</v>
      </c>
      <c r="BB524" s="596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idden="1" x14ac:dyDescent="0.2">
      <c r="A525" s="609"/>
      <c r="B525" s="609"/>
      <c r="C525" s="609"/>
      <c r="D525" s="609"/>
      <c r="E525" s="609"/>
      <c r="F525" s="609"/>
      <c r="G525" s="609"/>
      <c r="H525" s="609"/>
      <c r="I525" s="609"/>
      <c r="J525" s="609"/>
      <c r="K525" s="609"/>
      <c r="L525" s="609"/>
      <c r="M525" s="609"/>
      <c r="N525" s="609"/>
      <c r="O525" s="610"/>
      <c r="P525" s="606" t="s">
        <v>40</v>
      </c>
      <c r="Q525" s="607"/>
      <c r="R525" s="607"/>
      <c r="S525" s="607"/>
      <c r="T525" s="607"/>
      <c r="U525" s="607"/>
      <c r="V525" s="608"/>
      <c r="W525" s="40" t="s">
        <v>39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hidden="1" x14ac:dyDescent="0.2">
      <c r="A526" s="609"/>
      <c r="B526" s="609"/>
      <c r="C526" s="609"/>
      <c r="D526" s="609"/>
      <c r="E526" s="609"/>
      <c r="F526" s="609"/>
      <c r="G526" s="609"/>
      <c r="H526" s="609"/>
      <c r="I526" s="609"/>
      <c r="J526" s="609"/>
      <c r="K526" s="609"/>
      <c r="L526" s="609"/>
      <c r="M526" s="609"/>
      <c r="N526" s="609"/>
      <c r="O526" s="610"/>
      <c r="P526" s="606" t="s">
        <v>40</v>
      </c>
      <c r="Q526" s="607"/>
      <c r="R526" s="607"/>
      <c r="S526" s="607"/>
      <c r="T526" s="607"/>
      <c r="U526" s="607"/>
      <c r="V526" s="608"/>
      <c r="W526" s="40" t="s">
        <v>0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609"/>
      <c r="B527" s="609"/>
      <c r="C527" s="609"/>
      <c r="D527" s="609"/>
      <c r="E527" s="609"/>
      <c r="F527" s="609"/>
      <c r="G527" s="609"/>
      <c r="H527" s="609"/>
      <c r="I527" s="609"/>
      <c r="J527" s="609"/>
      <c r="K527" s="609"/>
      <c r="L527" s="609"/>
      <c r="M527" s="609"/>
      <c r="N527" s="609"/>
      <c r="O527" s="614"/>
      <c r="P527" s="611" t="s">
        <v>33</v>
      </c>
      <c r="Q527" s="612"/>
      <c r="R527" s="612"/>
      <c r="S527" s="612"/>
      <c r="T527" s="612"/>
      <c r="U527" s="612"/>
      <c r="V527" s="613"/>
      <c r="W527" s="40" t="s">
        <v>0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18021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18168.719999999998</v>
      </c>
      <c r="Z527" s="40"/>
      <c r="AA527" s="64"/>
      <c r="AB527" s="64"/>
      <c r="AC527" s="64"/>
    </row>
    <row r="528" spans="1:68" x14ac:dyDescent="0.2">
      <c r="A528" s="609"/>
      <c r="B528" s="609"/>
      <c r="C528" s="609"/>
      <c r="D528" s="609"/>
      <c r="E528" s="609"/>
      <c r="F528" s="609"/>
      <c r="G528" s="609"/>
      <c r="H528" s="609"/>
      <c r="I528" s="609"/>
      <c r="J528" s="609"/>
      <c r="K528" s="609"/>
      <c r="L528" s="609"/>
      <c r="M528" s="609"/>
      <c r="N528" s="609"/>
      <c r="O528" s="614"/>
      <c r="P528" s="611" t="s">
        <v>34</v>
      </c>
      <c r="Q528" s="612"/>
      <c r="R528" s="612"/>
      <c r="S528" s="612"/>
      <c r="T528" s="612"/>
      <c r="U528" s="612"/>
      <c r="V528" s="613"/>
      <c r="W528" s="40" t="s">
        <v>0</v>
      </c>
      <c r="X528" s="41">
        <f>IFERROR(SUM(BM22:BM524),"0")</f>
        <v>18868.865800301766</v>
      </c>
      <c r="Y528" s="41">
        <f>IFERROR(SUM(BN22:BN524),"0")</f>
        <v>19024.457999999999</v>
      </c>
      <c r="Z528" s="40"/>
      <c r="AA528" s="64"/>
      <c r="AB528" s="64"/>
      <c r="AC528" s="64"/>
    </row>
    <row r="529" spans="1:32" x14ac:dyDescent="0.2">
      <c r="A529" s="609"/>
      <c r="B529" s="609"/>
      <c r="C529" s="609"/>
      <c r="D529" s="609"/>
      <c r="E529" s="609"/>
      <c r="F529" s="609"/>
      <c r="G529" s="609"/>
      <c r="H529" s="609"/>
      <c r="I529" s="609"/>
      <c r="J529" s="609"/>
      <c r="K529" s="609"/>
      <c r="L529" s="609"/>
      <c r="M529" s="609"/>
      <c r="N529" s="609"/>
      <c r="O529" s="614"/>
      <c r="P529" s="611" t="s">
        <v>35</v>
      </c>
      <c r="Q529" s="612"/>
      <c r="R529" s="612"/>
      <c r="S529" s="612"/>
      <c r="T529" s="612"/>
      <c r="U529" s="612"/>
      <c r="V529" s="613"/>
      <c r="W529" s="40" t="s">
        <v>20</v>
      </c>
      <c r="X529" s="42">
        <f>ROUNDUP(SUM(BO22:BO524),0)</f>
        <v>30</v>
      </c>
      <c r="Y529" s="42">
        <f>ROUNDUP(SUM(BP22:BP524),0)</f>
        <v>30</v>
      </c>
      <c r="Z529" s="40"/>
      <c r="AA529" s="64"/>
      <c r="AB529" s="64"/>
      <c r="AC529" s="64"/>
    </row>
    <row r="530" spans="1:32" x14ac:dyDescent="0.2">
      <c r="A530" s="609"/>
      <c r="B530" s="609"/>
      <c r="C530" s="609"/>
      <c r="D530" s="609"/>
      <c r="E530" s="609"/>
      <c r="F530" s="609"/>
      <c r="G530" s="609"/>
      <c r="H530" s="609"/>
      <c r="I530" s="609"/>
      <c r="J530" s="609"/>
      <c r="K530" s="609"/>
      <c r="L530" s="609"/>
      <c r="M530" s="609"/>
      <c r="N530" s="609"/>
      <c r="O530" s="614"/>
      <c r="P530" s="611" t="s">
        <v>36</v>
      </c>
      <c r="Q530" s="612"/>
      <c r="R530" s="612"/>
      <c r="S530" s="612"/>
      <c r="T530" s="612"/>
      <c r="U530" s="612"/>
      <c r="V530" s="613"/>
      <c r="W530" s="40" t="s">
        <v>0</v>
      </c>
      <c r="X530" s="41">
        <f>GrossWeightTotal+PalletQtyTotal*25</f>
        <v>19618.865800301766</v>
      </c>
      <c r="Y530" s="41">
        <f>GrossWeightTotalR+PalletQtyTotalR*25</f>
        <v>19774.457999999999</v>
      </c>
      <c r="Z530" s="40"/>
      <c r="AA530" s="64"/>
      <c r="AB530" s="64"/>
      <c r="AC530" s="64"/>
    </row>
    <row r="531" spans="1:32" x14ac:dyDescent="0.2">
      <c r="A531" s="609"/>
      <c r="B531" s="609"/>
      <c r="C531" s="609"/>
      <c r="D531" s="609"/>
      <c r="E531" s="609"/>
      <c r="F531" s="609"/>
      <c r="G531" s="609"/>
      <c r="H531" s="609"/>
      <c r="I531" s="609"/>
      <c r="J531" s="609"/>
      <c r="K531" s="609"/>
      <c r="L531" s="609"/>
      <c r="M531" s="609"/>
      <c r="N531" s="609"/>
      <c r="O531" s="614"/>
      <c r="P531" s="611" t="s">
        <v>37</v>
      </c>
      <c r="Q531" s="612"/>
      <c r="R531" s="612"/>
      <c r="S531" s="612"/>
      <c r="T531" s="612"/>
      <c r="U531" s="612"/>
      <c r="V531" s="613"/>
      <c r="W531" s="40" t="s">
        <v>20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2189.0619945454719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2212</v>
      </c>
      <c r="Z531" s="40"/>
      <c r="AA531" s="64"/>
      <c r="AB531" s="64"/>
      <c r="AC531" s="64"/>
    </row>
    <row r="532" spans="1:32" ht="14.25" hidden="1" x14ac:dyDescent="0.2">
      <c r="A532" s="609"/>
      <c r="B532" s="609"/>
      <c r="C532" s="609"/>
      <c r="D532" s="609"/>
      <c r="E532" s="609"/>
      <c r="F532" s="609"/>
      <c r="G532" s="609"/>
      <c r="H532" s="609"/>
      <c r="I532" s="609"/>
      <c r="J532" s="609"/>
      <c r="K532" s="609"/>
      <c r="L532" s="609"/>
      <c r="M532" s="609"/>
      <c r="N532" s="609"/>
      <c r="O532" s="614"/>
      <c r="P532" s="611" t="s">
        <v>38</v>
      </c>
      <c r="Q532" s="612"/>
      <c r="R532" s="612"/>
      <c r="S532" s="612"/>
      <c r="T532" s="612"/>
      <c r="U532" s="612"/>
      <c r="V532" s="613"/>
      <c r="W532" s="43" t="s">
        <v>52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34.655749999999991</v>
      </c>
      <c r="AA532" s="64"/>
      <c r="AB532" s="64"/>
      <c r="AC532" s="64"/>
    </row>
    <row r="533" spans="1:32" ht="13.5" thickBot="1" x14ac:dyDescent="0.25"/>
    <row r="534" spans="1:32" ht="27" thickTop="1" thickBot="1" x14ac:dyDescent="0.25">
      <c r="A534" s="44" t="s">
        <v>9</v>
      </c>
      <c r="B534" s="80" t="s">
        <v>76</v>
      </c>
      <c r="C534" s="80" t="s">
        <v>45</v>
      </c>
      <c r="D534" s="597" t="s">
        <v>126</v>
      </c>
      <c r="E534" s="597" t="s">
        <v>126</v>
      </c>
      <c r="F534" s="597" t="s">
        <v>126</v>
      </c>
      <c r="G534" s="597" t="s">
        <v>126</v>
      </c>
      <c r="H534" s="597" t="s">
        <v>126</v>
      </c>
      <c r="I534" s="597" t="s">
        <v>126</v>
      </c>
      <c r="J534" s="597" t="s">
        <v>126</v>
      </c>
      <c r="K534" s="597" t="s">
        <v>333</v>
      </c>
      <c r="L534" s="597" t="s">
        <v>333</v>
      </c>
      <c r="M534" s="597" t="s">
        <v>333</v>
      </c>
      <c r="N534" s="598"/>
      <c r="O534" s="597" t="s">
        <v>333</v>
      </c>
      <c r="P534" s="597" t="s">
        <v>333</v>
      </c>
      <c r="Q534" s="597" t="s">
        <v>333</v>
      </c>
      <c r="R534" s="597" t="s">
        <v>333</v>
      </c>
      <c r="S534" s="597" t="s">
        <v>333</v>
      </c>
      <c r="T534" s="597" t="s">
        <v>333</v>
      </c>
      <c r="U534" s="597" t="s">
        <v>333</v>
      </c>
      <c r="V534" s="597" t="s">
        <v>650</v>
      </c>
      <c r="W534" s="597" t="s">
        <v>650</v>
      </c>
      <c r="X534" s="597" t="s">
        <v>710</v>
      </c>
      <c r="Y534" s="597" t="s">
        <v>710</v>
      </c>
      <c r="Z534" s="80" t="s">
        <v>746</v>
      </c>
      <c r="AA534" s="597" t="s">
        <v>793</v>
      </c>
      <c r="AB534" s="597" t="s">
        <v>793</v>
      </c>
      <c r="AC534" s="9"/>
      <c r="AF534" s="1"/>
    </row>
    <row r="535" spans="1:32" ht="14.25" customHeight="1" thickTop="1" x14ac:dyDescent="0.2">
      <c r="A535" s="599" t="s">
        <v>10</v>
      </c>
      <c r="B535" s="597" t="s">
        <v>76</v>
      </c>
      <c r="C535" s="597" t="s">
        <v>113</v>
      </c>
      <c r="D535" s="597" t="s">
        <v>127</v>
      </c>
      <c r="E535" s="597" t="s">
        <v>143</v>
      </c>
      <c r="F535" s="597" t="s">
        <v>187</v>
      </c>
      <c r="G535" s="597" t="s">
        <v>208</v>
      </c>
      <c r="H535" s="597" t="s">
        <v>251</v>
      </c>
      <c r="I535" s="597" t="s">
        <v>263</v>
      </c>
      <c r="J535" s="597" t="s">
        <v>126</v>
      </c>
      <c r="K535" s="597" t="s">
        <v>334</v>
      </c>
      <c r="L535" s="597" t="s">
        <v>346</v>
      </c>
      <c r="M535" s="597" t="s">
        <v>405</v>
      </c>
      <c r="N535" s="1"/>
      <c r="O535" s="597" t="s">
        <v>473</v>
      </c>
      <c r="P535" s="597" t="s">
        <v>509</v>
      </c>
      <c r="Q535" s="597" t="s">
        <v>525</v>
      </c>
      <c r="R535" s="597" t="s">
        <v>534</v>
      </c>
      <c r="S535" s="597" t="s">
        <v>555</v>
      </c>
      <c r="T535" s="597" t="s">
        <v>565</v>
      </c>
      <c r="U535" s="597" t="s">
        <v>640</v>
      </c>
      <c r="V535" s="597" t="s">
        <v>651</v>
      </c>
      <c r="W535" s="597" t="s">
        <v>694</v>
      </c>
      <c r="X535" s="597" t="s">
        <v>711</v>
      </c>
      <c r="Y535" s="597" t="s">
        <v>734</v>
      </c>
      <c r="Z535" s="597" t="s">
        <v>746</v>
      </c>
      <c r="AA535" s="597" t="s">
        <v>793</v>
      </c>
      <c r="AB535" s="597" t="s">
        <v>814</v>
      </c>
      <c r="AC535" s="9"/>
      <c r="AF535" s="1"/>
    </row>
    <row r="536" spans="1:32" ht="13.5" thickBot="1" x14ac:dyDescent="0.25">
      <c r="A536" s="600"/>
      <c r="B536" s="597"/>
      <c r="C536" s="597"/>
      <c r="D536" s="597"/>
      <c r="E536" s="597"/>
      <c r="F536" s="597"/>
      <c r="G536" s="597"/>
      <c r="H536" s="597"/>
      <c r="I536" s="597"/>
      <c r="J536" s="597"/>
      <c r="K536" s="597"/>
      <c r="L536" s="597"/>
      <c r="M536" s="597"/>
      <c r="N536" s="1"/>
      <c r="O536" s="597"/>
      <c r="P536" s="597"/>
      <c r="Q536" s="597"/>
      <c r="R536" s="597"/>
      <c r="S536" s="597"/>
      <c r="T536" s="597"/>
      <c r="U536" s="597"/>
      <c r="V536" s="597"/>
      <c r="W536" s="597"/>
      <c r="X536" s="597"/>
      <c r="Y536" s="597"/>
      <c r="Z536" s="597"/>
      <c r="AA536" s="597"/>
      <c r="AB536" s="597"/>
      <c r="AC536" s="9"/>
      <c r="AF536" s="1"/>
    </row>
    <row r="537" spans="1:32" ht="18" thickTop="1" thickBot="1" x14ac:dyDescent="0.25">
      <c r="A537" s="44" t="s">
        <v>13</v>
      </c>
      <c r="B537" s="50">
        <f>IFERROR(Y22*1,"0")+IFERROR(Y23*1,"0")+IFERROR(Y27*1,"0")+IFERROR(Y28*1,"0")+IFERROR(Y29*1,"0")+IFERROR(Y30*1,"0")+IFERROR(Y31*1,"0")+IFERROR(Y32*1,"0")+IFERROR(Y36*1,"0")</f>
        <v>0</v>
      </c>
      <c r="C537" s="50">
        <f>IFERROR(Y42*1,"0")+IFERROR(Y43*1,"0")+IFERROR(Y44*1,"0")+IFERROR(Y45*1,"0")</f>
        <v>0</v>
      </c>
      <c r="D537" s="50">
        <f>IFERROR(Y51*1,"0")+IFERROR(Y52*1,"0")+IFERROR(Y53*1,"0")+IFERROR(Y54*1,"0")</f>
        <v>0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2590.2000000000007</v>
      </c>
      <c r="F537" s="50">
        <f>IFERROR(Y87*1,"0")+IFERROR(Y88*1,"0")+IFERROR(Y89*1,"0")+IFERROR(Y90*1,"0")+IFERROR(Y94*1,"0")+IFERROR(Y95*1,"0")+IFERROR(Y96*1,"0")+IFERROR(Y97*1,"0")</f>
        <v>110.69999999999999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280.8</v>
      </c>
      <c r="H537" s="50">
        <f>IFERROR(Y133*1,"0")+IFERROR(Y134*1,"0")+IFERROR(Y138*1,"0")+IFERROR(Y139*1,"0")+IFERROR(Y143*1,"0")+IFERROR(Y144*1,"0")</f>
        <v>114.72000000000001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52.5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92.4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1673.4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7" s="50">
        <f>IFERROR(Y309*1,"0")+IFERROR(Y310*1,"0")+IFERROR(Y311*1,"0")+IFERROR(Y312*1,"0")+IFERROR(Y313*1,"0")</f>
        <v>0</v>
      </c>
      <c r="Q537" s="50">
        <f>IFERROR(Y318*1,"0")+IFERROR(Y319*1,"0")+IFERROR(Y320*1,"0")</f>
        <v>0</v>
      </c>
      <c r="R537" s="50">
        <f>IFERROR(Y325*1,"0")+IFERROR(Y326*1,"0")+IFERROR(Y327*1,"0")+IFERROR(Y328*1,"0")+IFERROR(Y329*1,"0")+IFERROR(Y333*1,"0")+IFERROR(Y334*1,"0")</f>
        <v>0</v>
      </c>
      <c r="S537" s="50">
        <f>IFERROR(Y339*1,"0")+IFERROR(Y340*1,"0")+IFERROR(Y341*1,"0")</f>
        <v>0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4189.7999999999993</v>
      </c>
      <c r="U537" s="50">
        <f>IFERROR(Y392*1,"0")+IFERROR(Y393*1,"0")+IFERROR(Y394*1,"0")</f>
        <v>61.8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7350</v>
      </c>
      <c r="W537" s="50">
        <f>IFERROR(Y427*1,"0")+IFERROR(Y428*1,"0")+IFERROR(Y432*1,"0")+IFERROR(Y436*1,"0")+IFERROR(Y437*1,"0")+IFERROR(Y438*1,"0")</f>
        <v>390.6</v>
      </c>
      <c r="X537" s="50">
        <f>IFERROR(Y444*1,"0")+IFERROR(Y445*1,"0")+IFERROR(Y446*1,"0")+IFERROR(Y447*1,"0")+IFERROR(Y448*1,"0")+IFERROR(Y449*1,"0")+IFERROR(Y453*1,"0")+IFERROR(Y454*1,"0")</f>
        <v>21.6</v>
      </c>
      <c r="Y537" s="50">
        <f>IFERROR(Y459*1,"0")+IFERROR(Y463*1,"0")+IFERROR(Y464*1,"0")+IFERROR(Y465*1,"0")</f>
        <v>232.20000000000002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871.19999999999993</v>
      </c>
      <c r="AA537" s="50">
        <f>IFERROR(Y501*1,"0")+IFERROR(Y505*1,"0")+IFERROR(Y509*1,"0")+IFERROR(Y510*1,"0")+IFERROR(Y514*1,"0")+IFERROR(Y518*1,"0")+IFERROR(Y519*1,"0")</f>
        <v>136.80000000000001</v>
      </c>
      <c r="AB537" s="50">
        <f>IFERROR(Y524*1,"0")</f>
        <v>0</v>
      </c>
      <c r="AC537" s="9"/>
      <c r="AF537" s="1"/>
    </row>
  </sheetData>
  <sheetProtection algorithmName="SHA-512" hashValue="nSCAnlF5WSqXgUTixSfF06ufBIEd7lrevC7hYToQQP1wjuHiG7Ztq9Bt0HZvzote+8bf7xokjQ9hY3gsI++4JQ==" saltValue="SFctwdYjkgDzZTc5giy0Z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10,00"/>
        <filter val="1 100,00"/>
        <filter val="1 200,00"/>
        <filter val="1 245,00"/>
        <filter val="1 300,00"/>
        <filter val="1 304,00"/>
        <filter val="1,85"/>
        <filter val="100,00"/>
        <filter val="12,00"/>
        <filter val="12,50"/>
        <filter val="120,00"/>
        <filter val="121,11"/>
        <filter val="121,85"/>
        <filter val="122,22"/>
        <filter val="129,00"/>
        <filter val="13,33"/>
        <filter val="130,00"/>
        <filter val="14,29"/>
        <filter val="150,00"/>
        <filter val="16,00"/>
        <filter val="16,67"/>
        <filter val="160,00"/>
        <filter val="17,51"/>
        <filter val="18 021,00"/>
        <filter val="18 868,87"/>
        <filter val="180,00"/>
        <filter val="187,04"/>
        <filter val="19 618,87"/>
        <filter val="2 189,06"/>
        <filter val="2,50"/>
        <filter val="2,56"/>
        <filter val="2,65"/>
        <filter val="2,86"/>
        <filter val="20,00"/>
        <filter val="20,83"/>
        <filter val="204,30"/>
        <filter val="209,00"/>
        <filter val="21,00"/>
        <filter val="21,43"/>
        <filter val="21,56"/>
        <filter val="230,00"/>
        <filter val="250,00"/>
        <filter val="258,00"/>
        <filter val="280,00"/>
        <filter val="3 300,00"/>
        <filter val="3 500,00"/>
        <filter val="3,70"/>
        <filter val="30"/>
        <filter val="30,00"/>
        <filter val="30,30"/>
        <filter val="300,00"/>
        <filter val="32,00"/>
        <filter val="33,83"/>
        <filter val="330,00"/>
        <filter val="342,67"/>
        <filter val="35,00"/>
        <filter val="36,00"/>
        <filter val="370,00"/>
        <filter val="4,00"/>
        <filter val="4,63"/>
        <filter val="41,11"/>
        <filter val="410,00"/>
        <filter val="42,59"/>
        <filter val="448,72"/>
        <filter val="45,00"/>
        <filter val="46,15"/>
        <filter val="5 080,00"/>
        <filter val="50,00"/>
        <filter val="53,03"/>
        <filter val="574,00"/>
        <filter val="59,00"/>
        <filter val="6,17"/>
        <filter val="66,67"/>
        <filter val="69,00"/>
        <filter val="7,00"/>
        <filter val="70,00"/>
        <filter val="71,43"/>
        <filter val="750,00"/>
        <filter val="77,65"/>
        <filter val="8,00"/>
        <filter val="80,00"/>
        <filter val="90,00"/>
        <filter val="950,00"/>
      </filters>
    </filterColumn>
    <filterColumn colId="29" showButton="0"/>
    <filterColumn colId="30" showButton="0"/>
  </autoFilter>
  <dataConsolidate/>
  <mergeCells count="94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pmpqRyQYLq8OpaN5adiOxt0MYw38PSnb+YxvHUeg5D11N5WAzRn6t68Yw7c+rR1ijc4l8DzmumGeR5dKUMOg0A==" saltValue="EvOZM9ktax1cypf5AQuDo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1077</vt:i4>
      </vt:variant>
    </vt:vector>
  </HeadingPairs>
  <TitlesOfParts>
    <vt:vector size="10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2026-06-30T10:53:52Z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