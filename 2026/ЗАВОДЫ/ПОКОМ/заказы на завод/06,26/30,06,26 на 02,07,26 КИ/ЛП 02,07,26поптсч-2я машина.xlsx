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755E24-7076-4792-93D2-C7C960FB015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Y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N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BN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P444" i="2"/>
  <c r="BO444" i="2"/>
  <c r="BM444" i="2"/>
  <c r="Y444" i="2"/>
  <c r="Z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Z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N361" i="2"/>
  <c r="BM361" i="2"/>
  <c r="Y361" i="2"/>
  <c r="BP361" i="2" s="1"/>
  <c r="P361" i="2"/>
  <c r="BO360" i="2"/>
  <c r="BM360" i="2"/>
  <c r="Y360" i="2"/>
  <c r="Z360" i="2" s="1"/>
  <c r="P360" i="2"/>
  <c r="BP359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P350" i="2"/>
  <c r="BO350" i="2"/>
  <c r="BN350" i="2"/>
  <c r="BM350" i="2"/>
  <c r="Y350" i="2"/>
  <c r="Z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N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Z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P288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P231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N186" i="2"/>
  <c r="BM186" i="2"/>
  <c r="Y186" i="2"/>
  <c r="Z186" i="2" s="1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Z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Z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Z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N107" i="2" l="1"/>
  <c r="BN360" i="2"/>
  <c r="BP374" i="2"/>
  <c r="BN407" i="2"/>
  <c r="BP479" i="2"/>
  <c r="BP304" i="2"/>
  <c r="BP360" i="2"/>
  <c r="BP77" i="2"/>
  <c r="Z247" i="2"/>
  <c r="BP186" i="2"/>
  <c r="Y298" i="2"/>
  <c r="BN63" i="2"/>
  <c r="BN386" i="2"/>
  <c r="Z231" i="2"/>
  <c r="Y434" i="2"/>
  <c r="BN351" i="2"/>
  <c r="BN304" i="2"/>
  <c r="BN453" i="2"/>
  <c r="Z53" i="2"/>
  <c r="BP349" i="2"/>
  <c r="Y389" i="2"/>
  <c r="BP217" i="2"/>
  <c r="Z368" i="2"/>
  <c r="BN218" i="2"/>
  <c r="BP218" i="2"/>
  <c r="BP270" i="2"/>
  <c r="Y295" i="2"/>
  <c r="BP303" i="2"/>
  <c r="BN219" i="2"/>
  <c r="BP339" i="2"/>
  <c r="BP23" i="2"/>
  <c r="BP271" i="2"/>
  <c r="Z115" i="2"/>
  <c r="Z268" i="2"/>
  <c r="BN96" i="2"/>
  <c r="Z208" i="2"/>
  <c r="BN334" i="2"/>
  <c r="BN463" i="2"/>
  <c r="Y466" i="2"/>
  <c r="BP30" i="2"/>
  <c r="Z82" i="2"/>
  <c r="BN134" i="2"/>
  <c r="Z169" i="2"/>
  <c r="BN174" i="2"/>
  <c r="BN255" i="2"/>
  <c r="Z273" i="2"/>
  <c r="BN326" i="2"/>
  <c r="BP381" i="2"/>
  <c r="BN438" i="2"/>
  <c r="Y455" i="2"/>
  <c r="Z501" i="2"/>
  <c r="Z502" i="2" s="1"/>
  <c r="Z23" i="2"/>
  <c r="BP115" i="2"/>
  <c r="BN128" i="2"/>
  <c r="BN211" i="2"/>
  <c r="Z214" i="2"/>
  <c r="Z271" i="2"/>
  <c r="Z303" i="2"/>
  <c r="BN340" i="2"/>
  <c r="Z349" i="2"/>
  <c r="Z359" i="2"/>
  <c r="BN379" i="2"/>
  <c r="BN393" i="2"/>
  <c r="Z453" i="2"/>
  <c r="Z479" i="2"/>
  <c r="BN494" i="2"/>
  <c r="BN28" i="2"/>
  <c r="Z36" i="2"/>
  <c r="Z37" i="2" s="1"/>
  <c r="Z64" i="2"/>
  <c r="Z72" i="2"/>
  <c r="Z108" i="2"/>
  <c r="BN162" i="2"/>
  <c r="Z217" i="2"/>
  <c r="Z412" i="2"/>
  <c r="BN436" i="2"/>
  <c r="BN484" i="2"/>
  <c r="Z509" i="2"/>
  <c r="Z106" i="2"/>
  <c r="Z254" i="2"/>
  <c r="Z312" i="2"/>
  <c r="Z143" i="2"/>
  <c r="Z145" i="2" s="1"/>
  <c r="Z173" i="2"/>
  <c r="Z380" i="2"/>
  <c r="BN446" i="2"/>
  <c r="Z449" i="2"/>
  <c r="Z495" i="2"/>
  <c r="BN70" i="2"/>
  <c r="Z283" i="2"/>
  <c r="Z325" i="2"/>
  <c r="Z437" i="2"/>
  <c r="Z255" i="2"/>
  <c r="BN166" i="2"/>
  <c r="Z62" i="2"/>
  <c r="Z116" i="2"/>
  <c r="Z175" i="2"/>
  <c r="Z241" i="2"/>
  <c r="Z301" i="2"/>
  <c r="Z95" i="2"/>
  <c r="Y140" i="2"/>
  <c r="Z149" i="2"/>
  <c r="Y163" i="2"/>
  <c r="Z267" i="2"/>
  <c r="Z339" i="2"/>
  <c r="BN432" i="2"/>
  <c r="BN474" i="2"/>
  <c r="Z44" i="2"/>
  <c r="BN116" i="2"/>
  <c r="BN124" i="2"/>
  <c r="BN241" i="2"/>
  <c r="Z485" i="2"/>
  <c r="BN138" i="2"/>
  <c r="BN143" i="2"/>
  <c r="BN158" i="2"/>
  <c r="Y164" i="2"/>
  <c r="BN198" i="2"/>
  <c r="BP254" i="2"/>
  <c r="Z262" i="2"/>
  <c r="Z270" i="2"/>
  <c r="Z277" i="2"/>
  <c r="BN444" i="2"/>
  <c r="BN449" i="2"/>
  <c r="Y456" i="2"/>
  <c r="BN44" i="2"/>
  <c r="BN60" i="2"/>
  <c r="BN104" i="2"/>
  <c r="Z122" i="2"/>
  <c r="BP173" i="2"/>
  <c r="Z220" i="2"/>
  <c r="Z257" i="2"/>
  <c r="Z265" i="2"/>
  <c r="BN272" i="2"/>
  <c r="BN319" i="2"/>
  <c r="Z348" i="2"/>
  <c r="Y433" i="2"/>
  <c r="BN404" i="2"/>
  <c r="Y376" i="2"/>
  <c r="Z374" i="2"/>
  <c r="Z252" i="2"/>
  <c r="Z365" i="2"/>
  <c r="BN394" i="2"/>
  <c r="Y396" i="2"/>
  <c r="BP392" i="2"/>
  <c r="Y395" i="2"/>
  <c r="Z392" i="2"/>
  <c r="Z358" i="2"/>
  <c r="BN355" i="2"/>
  <c r="BN491" i="2"/>
  <c r="Z402" i="2"/>
  <c r="Z406" i="2"/>
  <c r="BP406" i="2"/>
  <c r="BN65" i="2"/>
  <c r="D537" i="2"/>
  <c r="Z51" i="2"/>
  <c r="X528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Z83" i="2" s="1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14" i="2" s="1"/>
  <c r="Z427" i="2"/>
  <c r="BP427" i="2"/>
  <c r="BN437" i="2"/>
  <c r="Z438" i="2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Z248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Z455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43" i="2" s="1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24" i="2" s="1"/>
  <c r="Z59" i="2"/>
  <c r="Z103" i="2"/>
  <c r="Z109" i="2" s="1"/>
  <c r="Z113" i="2"/>
  <c r="Z123" i="2"/>
  <c r="Z170" i="2"/>
  <c r="Z215" i="2"/>
  <c r="Z225" i="2"/>
  <c r="Z258" i="2"/>
  <c r="Z519" i="2"/>
  <c r="Y525" i="2"/>
  <c r="E537" i="2"/>
  <c r="Z32" i="2"/>
  <c r="Z69" i="2"/>
  <c r="Z180" i="2"/>
  <c r="Z182" i="2" s="1"/>
  <c r="BN87" i="2"/>
  <c r="Z152" i="2"/>
  <c r="Z185" i="2"/>
  <c r="Z187" i="2" s="1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375" i="2" l="1"/>
  <c r="Z511" i="2"/>
  <c r="Z227" i="2"/>
  <c r="Z388" i="2"/>
  <c r="Z279" i="2"/>
  <c r="Z466" i="2"/>
  <c r="Z439" i="2"/>
  <c r="Z330" i="2"/>
  <c r="Z91" i="2"/>
  <c r="Z305" i="2"/>
  <c r="Z429" i="2"/>
  <c r="Z290" i="2"/>
  <c r="Z274" i="2"/>
  <c r="Z520" i="2"/>
  <c r="Z135" i="2"/>
  <c r="Z140" i="2"/>
  <c r="Z159" i="2"/>
  <c r="Z222" i="2"/>
  <c r="Z200" i="2"/>
  <c r="Z382" i="2"/>
  <c r="Z450" i="2"/>
  <c r="Z153" i="2"/>
  <c r="Z395" i="2"/>
  <c r="Z369" i="2"/>
  <c r="Z98" i="2"/>
  <c r="Z419" i="2"/>
  <c r="Z362" i="2"/>
  <c r="Z496" i="2"/>
  <c r="Z66" i="2"/>
  <c r="Z408" i="2"/>
  <c r="Z55" i="2"/>
  <c r="X530" i="2"/>
  <c r="Z176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<sst xmlns="http://schemas.openxmlformats.org/spreadsheetml/2006/main" count="3957" uniqueCount="845">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</sst>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 t="s">
        <v>844</v>
      </c>
      <c r="I5" s="935"/>
      <c r="J5" s="935"/>
      <c r="K5" s="935"/>
      <c r="L5" s="935"/>
      <c r="M5" s="935"/>
      <c r="N5" s="69"/>
      <c r="P5" s="26" t="s">
        <v>4</v>
      </c>
      <c r="Q5" s="937">
        <v>46205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827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Четверг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3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0.45833333333333331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hidden="1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hidden="1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hidden="1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hidden="1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hidden="1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hidden="1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hidden="1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670</v>
      </c>
      <c r="Y51" s="53">
        <f>IFERROR(IF(X51="",0,CEILING((X51/$H51),1)*$H51),"")</f>
        <v>680.40000000000009</v>
      </c>
      <c r="Z51" s="39">
        <f>IFERROR(IF(Y51=0,"",ROUNDUP(Y51/H51,0)*0.01898),"")</f>
        <v>1.19574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695.43518518518522</v>
      </c>
      <c r="BN51" s="75">
        <f>IFERROR(Y51*I51/H51,"0")</f>
        <v>706.23000000000013</v>
      </c>
      <c r="BO51" s="75">
        <f>IFERROR(1/J51*(X51/H51),"0")</f>
        <v>0.96932870370370361</v>
      </c>
      <c r="BP51" s="75">
        <f>IFERROR(1/J51*(Y51/H51),"0")</f>
        <v>0.98437500000000011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528</v>
      </c>
      <c r="Y53" s="53">
        <f>IFERROR(IF(X53="",0,CEILING((X53/$H53),1)*$H53),"")</f>
        <v>528</v>
      </c>
      <c r="Z53" s="39">
        <f>IFERROR(IF(Y53=0,"",ROUNDUP(Y53/H53,0)*0.00902),"")</f>
        <v>1.1906400000000001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553.08000000000004</v>
      </c>
      <c r="BN53" s="75">
        <f>IFERROR(Y53*I53/H53,"0")</f>
        <v>553.08000000000004</v>
      </c>
      <c r="BO53" s="75">
        <f>IFERROR(1/J53*(X53/H53),"0")</f>
        <v>1</v>
      </c>
      <c r="BP53" s="75">
        <f>IFERROR(1/J53*(Y53/H53),"0")</f>
        <v>1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194.03703703703704</v>
      </c>
      <c r="Y55" s="41">
        <f>IFERROR(Y51/H51,"0")+IFERROR(Y52/H52,"0")+IFERROR(Y53/H53,"0")+IFERROR(Y54/H54,"0")</f>
        <v>195</v>
      </c>
      <c r="Z55" s="41">
        <f>IFERROR(IF(Z51="",0,Z51),"0")+IFERROR(IF(Z52="",0,Z52),"0")+IFERROR(IF(Z53="",0,Z53),"0")+IFERROR(IF(Z54="",0,Z54),"0")</f>
        <v>2.3863799999999999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1198</v>
      </c>
      <c r="Y56" s="41">
        <f>IFERROR(SUM(Y51:Y54),"0")</f>
        <v>1208.4000000000001</v>
      </c>
      <c r="Z56" s="40"/>
      <c r="AA56" s="64"/>
      <c r="AB56" s="64"/>
      <c r="AC56" s="64"/>
    </row>
    <row r="57" spans="1:68" ht="16.5" hidden="1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hidden="1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1620</v>
      </c>
      <c r="Y65" s="53">
        <f t="shared" si="6"/>
        <v>1620</v>
      </c>
      <c r="Z65" s="39">
        <f>IFERROR(IF(Y65=0,"",ROUNDUP(Y65/H65,0)*0.00902),"")</f>
        <v>3.2472000000000003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1688.4</v>
      </c>
      <c r="BN65" s="75">
        <f t="shared" si="8"/>
        <v>1688.4</v>
      </c>
      <c r="BO65" s="75">
        <f t="shared" si="9"/>
        <v>2.7272727272727275</v>
      </c>
      <c r="BP65" s="75">
        <f t="shared" si="10"/>
        <v>2.7272727272727275</v>
      </c>
    </row>
    <row r="66" spans="1:68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360</v>
      </c>
      <c r="Y66" s="41">
        <f>IFERROR(Y59/H59,"0")+IFERROR(Y60/H60,"0")+IFERROR(Y61/H61,"0")+IFERROR(Y62/H62,"0")+IFERROR(Y63/H63,"0")+IFERROR(Y64/H64,"0")+IFERROR(Y65/H65,"0")</f>
        <v>360</v>
      </c>
      <c r="Z66" s="41">
        <f>IFERROR(IF(Z59="",0,Z59),"0")+IFERROR(IF(Z60="",0,Z60),"0")+IFERROR(IF(Z61="",0,Z61),"0")+IFERROR(IF(Z62="",0,Z62),"0")+IFERROR(IF(Z63="",0,Z63),"0")+IFERROR(IF(Z64="",0,Z64),"0")+IFERROR(IF(Z65="",0,Z65),"0")</f>
        <v>3.2472000000000003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1620</v>
      </c>
      <c r="Y67" s="41">
        <f>IFERROR(SUM(Y59:Y65),"0")</f>
        <v>1620</v>
      </c>
      <c r="Z67" s="40"/>
      <c r="AA67" s="64"/>
      <c r="AB67" s="64"/>
      <c r="AC67" s="64"/>
    </row>
    <row r="68" spans="1:68" ht="14.25" hidden="1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hidden="1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670</v>
      </c>
      <c r="Y87" s="53">
        <f>IFERROR(IF(X87="",0,CEILING((X87/$H87),1)*$H87),"")</f>
        <v>680.40000000000009</v>
      </c>
      <c r="Z87" s="39">
        <f>IFERROR(IF(Y87=0,"",ROUNDUP(Y87/H87,0)*0.01898),"")</f>
        <v>1.19574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695.43518518518522</v>
      </c>
      <c r="BN87" s="75">
        <f>IFERROR(Y87*I87/H87,"0")</f>
        <v>706.23000000000013</v>
      </c>
      <c r="BO87" s="75">
        <f>IFERROR(1/J87*(X87/H87),"0")</f>
        <v>0.96932870370370361</v>
      </c>
      <c r="BP87" s="75">
        <f>IFERROR(1/J87*(Y87/H87),"0")</f>
        <v>0.98437500000000011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135</v>
      </c>
      <c r="Y90" s="53">
        <f>IFERROR(IF(X90="",0,CEILING((X90/$H90),1)*$H90),"")</f>
        <v>135</v>
      </c>
      <c r="Z90" s="39">
        <f>IFERROR(IF(Y90=0,"",ROUNDUP(Y90/H90,0)*0.00902),"")</f>
        <v>0.27060000000000001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140.70000000000002</v>
      </c>
      <c r="BN90" s="75">
        <f>IFERROR(Y90*I90/H90,"0")</f>
        <v>140.70000000000002</v>
      </c>
      <c r="BO90" s="75">
        <f>IFERROR(1/J90*(X90/H90),"0")</f>
        <v>0.22727272727272729</v>
      </c>
      <c r="BP90" s="75">
        <f>IFERROR(1/J90*(Y90/H90),"0")</f>
        <v>0.22727272727272729</v>
      </c>
    </row>
    <row r="91" spans="1:68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92.037037037037038</v>
      </c>
      <c r="Y91" s="41">
        <f>IFERROR(Y87/H87,"0")+IFERROR(Y88/H88,"0")+IFERROR(Y89/H89,"0")+IFERROR(Y90/H90,"0")</f>
        <v>93</v>
      </c>
      <c r="Z91" s="41">
        <f>IFERROR(IF(Z87="",0,Z87),"0")+IFERROR(IF(Z88="",0,Z88),"0")+IFERROR(IF(Z89="",0,Z89),"0")+IFERROR(IF(Z90="",0,Z90),"0")</f>
        <v>1.46634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805</v>
      </c>
      <c r="Y92" s="41">
        <f>IFERROR(SUM(Y87:Y90),"0")</f>
        <v>815.40000000000009</v>
      </c>
      <c r="Z92" s="40"/>
      <c r="AA92" s="64"/>
      <c r="AB92" s="64"/>
      <c r="AC92" s="64"/>
    </row>
    <row r="93" spans="1:68" ht="14.25" hidden="1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300</v>
      </c>
      <c r="Y94" s="53">
        <f>IFERROR(IF(X94="",0,CEILING((X94/$H94),1)*$H94),"")</f>
        <v>307.8</v>
      </c>
      <c r="Z94" s="39">
        <f>IFERROR(IF(Y94=0,"",ROUNDUP(Y94/H94,0)*0.01898),"")</f>
        <v>0.72123999999999999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318.2962962962963</v>
      </c>
      <c r="BN94" s="75">
        <f>IFERROR(Y94*I94/H94,"0")</f>
        <v>326.572</v>
      </c>
      <c r="BO94" s="75">
        <f>IFERROR(1/J94*(X94/H94),"0")</f>
        <v>0.57870370370370372</v>
      </c>
      <c r="BP94" s="75">
        <f>IFERROR(1/J94*(Y94/H94),"0")</f>
        <v>0.59375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37.037037037037038</v>
      </c>
      <c r="Y98" s="41">
        <f>IFERROR(Y94/H94,"0")+IFERROR(Y95/H95,"0")+IFERROR(Y96/H96,"0")+IFERROR(Y97/H97,"0")</f>
        <v>38</v>
      </c>
      <c r="Z98" s="41">
        <f>IFERROR(IF(Z94="",0,Z94),"0")+IFERROR(IF(Z95="",0,Z95),"0")+IFERROR(IF(Z96="",0,Z96),"0")+IFERROR(IF(Z97="",0,Z97),"0")</f>
        <v>0.72123999999999999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300</v>
      </c>
      <c r="Y99" s="41">
        <f>IFERROR(SUM(Y94:Y97),"0")</f>
        <v>307.8</v>
      </c>
      <c r="Z99" s="40"/>
      <c r="AA99" s="64"/>
      <c r="AB99" s="64"/>
      <c r="AC99" s="64"/>
    </row>
    <row r="100" spans="1:68" ht="16.5" hidden="1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hidden="1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hidden="1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hidden="1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hidden="1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50</v>
      </c>
      <c r="Y166" s="53">
        <f t="shared" ref="Y166:Y175" si="21">IFERROR(IF(X166="",0,CEILING((X166/$H166),1)*$H166),"")</f>
        <v>52.5</v>
      </c>
      <c r="Z166" s="39">
        <f>IFERROR(IF(Y166=0,"",ROUNDUP(Y166/H166,0)*0.00902),"")</f>
        <v>0.1353</v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52.714285714285715</v>
      </c>
      <c r="BN166" s="75">
        <f t="shared" ref="BN166:BN175" si="23">IFERROR(Y166*I166/H166,"0")</f>
        <v>55.35</v>
      </c>
      <c r="BO166" s="75">
        <f t="shared" ref="BO166:BO175" si="24">IFERROR(1/J166*(X166/H166),"0")</f>
        <v>0.10822510822510824</v>
      </c>
      <c r="BP166" s="75">
        <f t="shared" ref="BP166:BP175" si="25">IFERROR(1/J166*(Y166/H166),"0")</f>
        <v>0.11363636363636365</v>
      </c>
    </row>
    <row r="167" spans="1:68" ht="27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250</v>
      </c>
      <c r="Y167" s="53">
        <f t="shared" si="21"/>
        <v>252</v>
      </c>
      <c r="Z167" s="39">
        <f>IFERROR(IF(Y167=0,"",ROUNDUP(Y167/H167,0)*0.01898),"")</f>
        <v>0.53144000000000002</v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265.55555555555554</v>
      </c>
      <c r="BN167" s="75">
        <f t="shared" si="23"/>
        <v>267.68000000000006</v>
      </c>
      <c r="BO167" s="75">
        <f t="shared" si="24"/>
        <v>0.43402777777777779</v>
      </c>
      <c r="BP167" s="75">
        <f t="shared" si="25"/>
        <v>0.4375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50</v>
      </c>
      <c r="Y168" s="53">
        <f t="shared" si="21"/>
        <v>52.5</v>
      </c>
      <c r="Z168" s="39">
        <f>IFERROR(IF(Y168=0,"",ROUNDUP(Y168/H168,0)*0.00902),"")</f>
        <v>0.1353</v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52.714285714285715</v>
      </c>
      <c r="BN168" s="75">
        <f t="shared" si="23"/>
        <v>55.35</v>
      </c>
      <c r="BO168" s="75">
        <f t="shared" si="24"/>
        <v>0.10822510822510824</v>
      </c>
      <c r="BP168" s="75">
        <f t="shared" si="25"/>
        <v>0.11363636363636365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50</v>
      </c>
      <c r="Y169" s="53">
        <f t="shared" si="21"/>
        <v>52.5</v>
      </c>
      <c r="Z169" s="39">
        <f>IFERROR(IF(Y169=0,"",ROUNDUP(Y169/H169,0)*0.00902),"")</f>
        <v>0.1353</v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52.714285714285715</v>
      </c>
      <c r="BN169" s="75">
        <f t="shared" si="23"/>
        <v>55.35</v>
      </c>
      <c r="BO169" s="75">
        <f t="shared" si="24"/>
        <v>0.10822510822510824</v>
      </c>
      <c r="BP169" s="75">
        <f t="shared" si="25"/>
        <v>0.11363636363636365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70.634920634920633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73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0.93733999999999995</v>
      </c>
      <c r="AA176" s="64"/>
      <c r="AB176" s="64"/>
      <c r="AC176" s="64"/>
    </row>
    <row r="177" spans="1:68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400</v>
      </c>
      <c r="Y177" s="41">
        <f>IFERROR(SUM(Y166:Y175),"0")</f>
        <v>409.5</v>
      </c>
      <c r="Z177" s="40"/>
      <c r="AA177" s="64"/>
      <c r="AB177" s="64"/>
      <c r="AC177" s="64"/>
    </row>
    <row r="178" spans="1:68" ht="14.25" hidden="1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hidden="1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hidden="1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hidden="1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hidden="1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300</v>
      </c>
      <c r="Y251" s="53">
        <f t="shared" ref="Y251:Y258" si="32">IFERROR(IF(X251="",0,CEILING((X251/$H251),1)*$H251),"")</f>
        <v>302.40000000000003</v>
      </c>
      <c r="Z251" s="39">
        <f>IFERROR(IF(Y251=0,"",ROUNDUP(Y251/H251,0)*0.00902),"")</f>
        <v>0.50512000000000001</v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310.55555555555554</v>
      </c>
      <c r="BN251" s="75">
        <f t="shared" ref="BN251:BN258" si="34">IFERROR(Y251*I251/H251,"0")</f>
        <v>313.04000000000002</v>
      </c>
      <c r="BO251" s="75">
        <f t="shared" ref="BO251:BO258" si="35">IFERROR(1/J251*(X251/H251),"0")</f>
        <v>0.42087542087542085</v>
      </c>
      <c r="BP251" s="75">
        <f t="shared" ref="BP251:BP258" si="36">IFERROR(1/J251*(Y251/H251),"0")</f>
        <v>0.42424242424242425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200</v>
      </c>
      <c r="Y252" s="53">
        <f t="shared" si="32"/>
        <v>205.20000000000002</v>
      </c>
      <c r="Z252" s="39">
        <f>IFERROR(IF(Y252=0,"",ROUNDUP(Y252/H252,0)*0.00902),"")</f>
        <v>0.34276000000000001</v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207.03703703703701</v>
      </c>
      <c r="BN252" s="75">
        <f t="shared" si="34"/>
        <v>212.42</v>
      </c>
      <c r="BO252" s="75">
        <f t="shared" si="35"/>
        <v>0.28058361391694725</v>
      </c>
      <c r="BP252" s="75">
        <f t="shared" si="36"/>
        <v>0.2878787878787879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300</v>
      </c>
      <c r="Y253" s="53">
        <f t="shared" si="32"/>
        <v>302.40000000000003</v>
      </c>
      <c r="Z253" s="39">
        <f>IFERROR(IF(Y253=0,"",ROUNDUP(Y253/H253,0)*0.00902),"")</f>
        <v>0.50512000000000001</v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310.55555555555554</v>
      </c>
      <c r="BN253" s="75">
        <f t="shared" si="34"/>
        <v>313.04000000000002</v>
      </c>
      <c r="BO253" s="75">
        <f t="shared" si="35"/>
        <v>0.42087542087542085</v>
      </c>
      <c r="BP253" s="75">
        <f t="shared" si="36"/>
        <v>0.42424242424242425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200</v>
      </c>
      <c r="Y254" s="53">
        <f t="shared" si="32"/>
        <v>205.20000000000002</v>
      </c>
      <c r="Z254" s="39">
        <f>IFERROR(IF(Y254=0,"",ROUNDUP(Y254/H254,0)*0.00902),"")</f>
        <v>0.34276000000000001</v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207.03703703703701</v>
      </c>
      <c r="BN254" s="75">
        <f t="shared" si="34"/>
        <v>212.42</v>
      </c>
      <c r="BO254" s="75">
        <f t="shared" si="35"/>
        <v>0.28058361391694725</v>
      </c>
      <c r="BP254" s="75">
        <f t="shared" si="36"/>
        <v>0.2878787878787879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185.18518518518516</v>
      </c>
      <c r="Y259" s="41">
        <f>IFERROR(Y251/H251,"0")+IFERROR(Y252/H252,"0")+IFERROR(Y253/H253,"0")+IFERROR(Y254/H254,"0")+IFERROR(Y255/H255,"0")+IFERROR(Y256/H256,"0")+IFERROR(Y257/H257,"0")+IFERROR(Y258/H258,"0")</f>
        <v>188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1.6957599999999999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1000</v>
      </c>
      <c r="Y260" s="41">
        <f>IFERROR(SUM(Y251:Y258),"0")</f>
        <v>1015.2</v>
      </c>
      <c r="Z260" s="40"/>
      <c r="AA260" s="64"/>
      <c r="AB260" s="64"/>
      <c r="AC260" s="64"/>
    </row>
    <row r="261" spans="1:68" ht="14.25" hidden="1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hidden="1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hidden="1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40</v>
      </c>
      <c r="Y312" s="53">
        <f>IFERROR(IF(X312="",0,CEILING((X312/$H312),1)*$H312),"")</f>
        <v>40</v>
      </c>
      <c r="Z312" s="39">
        <f>IFERROR(IF(Y312=0,"",ROUNDUP(Y312/H312,0)*0.00902),"")</f>
        <v>9.0200000000000002E-2</v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41.900000000000006</v>
      </c>
      <c r="BN312" s="75">
        <f>IFERROR(Y312*I312/H312,"0")</f>
        <v>41.900000000000006</v>
      </c>
      <c r="BO312" s="75">
        <f>IFERROR(1/J312*(X312/H312),"0")</f>
        <v>7.575757575757576E-2</v>
      </c>
      <c r="BP312" s="75">
        <f>IFERROR(1/J312*(Y312/H312),"0")</f>
        <v>7.575757575757576E-2</v>
      </c>
    </row>
    <row r="313" spans="1:68" ht="37.5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80</v>
      </c>
      <c r="Y313" s="53">
        <f>IFERROR(IF(X313="",0,CEILING((X313/$H313),1)*$H313),"")</f>
        <v>80</v>
      </c>
      <c r="Z313" s="39">
        <f>IFERROR(IF(Y313=0,"",ROUNDUP(Y313/H313,0)*0.00902),"")</f>
        <v>0.1804</v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83.800000000000011</v>
      </c>
      <c r="BN313" s="75">
        <f>IFERROR(Y313*I313/H313,"0")</f>
        <v>83.800000000000011</v>
      </c>
      <c r="BO313" s="75">
        <f>IFERROR(1/J313*(X313/H313),"0")</f>
        <v>0.15151515151515152</v>
      </c>
      <c r="BP313" s="75">
        <f>IFERROR(1/J313*(Y313/H313),"0")</f>
        <v>0.15151515151515152</v>
      </c>
    </row>
    <row r="314" spans="1:68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30</v>
      </c>
      <c r="Y314" s="41">
        <f>IFERROR(Y309/H309,"0")+IFERROR(Y310/H310,"0")+IFERROR(Y311/H311,"0")+IFERROR(Y312/H312,"0")+IFERROR(Y313/H313,"0")</f>
        <v>30</v>
      </c>
      <c r="Z314" s="41">
        <f>IFERROR(IF(Z309="",0,Z309),"0")+IFERROR(IF(Z310="",0,Z310),"0")+IFERROR(IF(Z311="",0,Z311),"0")+IFERROR(IF(Z312="",0,Z312),"0")+IFERROR(IF(Z313="",0,Z313),"0")</f>
        <v>0.27060000000000001</v>
      </c>
      <c r="AA314" s="64"/>
      <c r="AB314" s="64"/>
      <c r="AC314" s="64"/>
    </row>
    <row r="315" spans="1:68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120</v>
      </c>
      <c r="Y315" s="41">
        <f>IFERROR(SUM(Y309:Y313),"0")</f>
        <v>120</v>
      </c>
      <c r="Z315" s="40"/>
      <c r="AA315" s="64"/>
      <c r="AB315" s="64"/>
      <c r="AC315" s="64"/>
    </row>
    <row r="316" spans="1:68" ht="16.5" hidden="1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hidden="1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hidden="1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hidden="1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hidden="1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600</v>
      </c>
      <c r="Y355" s="53">
        <f t="shared" ref="Y355:Y361" si="52">IFERROR(IF(X355="",0,CEILING((X355/$H355),1)*$H355),"")</f>
        <v>600.6</v>
      </c>
      <c r="Z355" s="39">
        <f>IFERROR(IF(Y355=0,"",ROUNDUP(Y355/H355,0)*0.00902),"")</f>
        <v>1.28986</v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635.71428571428567</v>
      </c>
      <c r="BN355" s="75">
        <f t="shared" ref="BN355:BN361" si="54">IFERROR(Y355*I355/H355,"0")</f>
        <v>636.35</v>
      </c>
      <c r="BO355" s="75">
        <f t="shared" ref="BO355:BO361" si="55">IFERROR(1/J355*(X355/H355),"0")</f>
        <v>1.0822510822510822</v>
      </c>
      <c r="BP355" s="75">
        <f t="shared" ref="BP355:BP361" si="56">IFERROR(1/J355*(Y355/H355),"0")</f>
        <v>1.0833333333333333</v>
      </c>
    </row>
    <row r="356" spans="1:68" ht="27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800</v>
      </c>
      <c r="Y356" s="53">
        <f t="shared" si="52"/>
        <v>802.2</v>
      </c>
      <c r="Z356" s="39">
        <f>IFERROR(IF(Y356=0,"",ROUNDUP(Y356/H356,0)*0.00902),"")</f>
        <v>1.72282</v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847.61904761904759</v>
      </c>
      <c r="BN356" s="75">
        <f t="shared" si="54"/>
        <v>849.95</v>
      </c>
      <c r="BO356" s="75">
        <f t="shared" si="55"/>
        <v>1.4430014430014431</v>
      </c>
      <c r="BP356" s="75">
        <f t="shared" si="56"/>
        <v>1.446969696969697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52</v>
      </c>
      <c r="Y358" s="53">
        <f t="shared" si="52"/>
        <v>52.5</v>
      </c>
      <c r="Z358" s="39">
        <f>IFERROR(IF(Y358=0,"",ROUNDUP(Y358/H358,0)*0.00502),"")</f>
        <v>0.1255</v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55.219047619047615</v>
      </c>
      <c r="BN358" s="75">
        <f t="shared" si="54"/>
        <v>55.75</v>
      </c>
      <c r="BO358" s="75">
        <f t="shared" si="55"/>
        <v>0.10582010582010581</v>
      </c>
      <c r="BP358" s="75">
        <f t="shared" si="56"/>
        <v>0.10683760683760685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358.09523809523813</v>
      </c>
      <c r="Y362" s="41">
        <f>IFERROR(Y355/H355,"0")+IFERROR(Y356/H356,"0")+IFERROR(Y357/H357,"0")+IFERROR(Y358/H358,"0")+IFERROR(Y359/H359,"0")+IFERROR(Y360/H360,"0")+IFERROR(Y361/H361,"0")</f>
        <v>359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3.1381800000000002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1452</v>
      </c>
      <c r="Y363" s="41">
        <f>IFERROR(SUM(Y355:Y361),"0")</f>
        <v>1455.3000000000002</v>
      </c>
      <c r="Z363" s="40"/>
      <c r="AA363" s="64"/>
      <c r="AB363" s="64"/>
      <c r="AC363" s="64"/>
    </row>
    <row r="364" spans="1:68" ht="14.25" hidden="1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3300</v>
      </c>
      <c r="Y365" s="53">
        <f>IFERROR(IF(X365="",0,CEILING((X365/$H365),1)*$H365),"")</f>
        <v>3307.2</v>
      </c>
      <c r="Z365" s="39">
        <f>IFERROR(IF(Y365=0,"",ROUNDUP(Y365/H365,0)*0.01898),"")</f>
        <v>8.0475200000000005</v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3506.4615384615386</v>
      </c>
      <c r="BN365" s="75">
        <f>IFERROR(Y365*I365/H365,"0")</f>
        <v>3514.1120000000001</v>
      </c>
      <c r="BO365" s="75">
        <f>IFERROR(1/J365*(X365/H365),"0")</f>
        <v>6.6105769230769234</v>
      </c>
      <c r="BP365" s="75">
        <f>IFERROR(1/J365*(Y365/H365),"0")</f>
        <v>6.625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423.07692307692309</v>
      </c>
      <c r="Y369" s="41">
        <f>IFERROR(Y365/H365,"0")+IFERROR(Y366/H366,"0")+IFERROR(Y367/H367,"0")+IFERROR(Y368/H368,"0")</f>
        <v>424</v>
      </c>
      <c r="Z369" s="41">
        <f>IFERROR(IF(Z365="",0,Z365),"0")+IFERROR(IF(Z366="",0,Z366),"0")+IFERROR(IF(Z367="",0,Z367),"0")+IFERROR(IF(Z368="",0,Z368),"0")</f>
        <v>8.0475200000000005</v>
      </c>
      <c r="AA369" s="64"/>
      <c r="AB369" s="64"/>
      <c r="AC369" s="64"/>
    </row>
    <row r="370" spans="1:68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3300</v>
      </c>
      <c r="Y370" s="41">
        <f>IFERROR(SUM(Y365:Y368),"0")</f>
        <v>3307.2</v>
      </c>
      <c r="Z370" s="40"/>
      <c r="AA370" s="64"/>
      <c r="AB370" s="64"/>
      <c r="AC370" s="64"/>
    </row>
    <row r="371" spans="1:68" ht="14.25" hidden="1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900</v>
      </c>
      <c r="Y373" s="53">
        <f>IFERROR(IF(X373="",0,CEILING((X373/$H373),1)*$H373),"")</f>
        <v>904.8</v>
      </c>
      <c r="Z373" s="39">
        <f>IFERROR(IF(Y373=0,"",ROUNDUP(Y373/H373,0)*0.01898),"")</f>
        <v>2.2016800000000001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957.00000000000011</v>
      </c>
      <c r="BN373" s="75">
        <f>IFERROR(Y373*I373/H373,"0")</f>
        <v>962.10400000000004</v>
      </c>
      <c r="BO373" s="75">
        <f>IFERROR(1/J373*(X373/H373),"0")</f>
        <v>1.8028846153846154</v>
      </c>
      <c r="BP373" s="75">
        <f>IFERROR(1/J373*(Y373/H373),"0")</f>
        <v>1.8125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250</v>
      </c>
      <c r="Y374" s="53">
        <f>IFERROR(IF(X374="",0,CEILING((X374/$H374),1)*$H374),"")</f>
        <v>252</v>
      </c>
      <c r="Z374" s="39">
        <f>IFERROR(IF(Y374=0,"",ROUNDUP(Y374/H374,0)*0.01898),"")</f>
        <v>0.56940000000000002</v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264.70238095238096</v>
      </c>
      <c r="BN374" s="75">
        <f>IFERROR(Y374*I374/H374,"0")</f>
        <v>266.82</v>
      </c>
      <c r="BO374" s="75">
        <f>IFERROR(1/J374*(X374/H374),"0")</f>
        <v>0.46502976190476186</v>
      </c>
      <c r="BP374" s="75">
        <f>IFERROR(1/J374*(Y374/H374),"0")</f>
        <v>0.46875</v>
      </c>
    </row>
    <row r="375" spans="1:68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145.14652014652015</v>
      </c>
      <c r="Y375" s="41">
        <f>IFERROR(Y372/H372,"0")+IFERROR(Y373/H373,"0")+IFERROR(Y374/H374,"0")</f>
        <v>146</v>
      </c>
      <c r="Z375" s="41">
        <f>IFERROR(IF(Z372="",0,Z372),"0")+IFERROR(IF(Z373="",0,Z373),"0")+IFERROR(IF(Z374="",0,Z374),"0")</f>
        <v>2.77108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1150</v>
      </c>
      <c r="Y376" s="41">
        <f>IFERROR(SUM(Y372:Y374),"0")</f>
        <v>1156.8</v>
      </c>
      <c r="Z376" s="40"/>
      <c r="AA376" s="64"/>
      <c r="AB376" s="64"/>
      <c r="AC376" s="64"/>
    </row>
    <row r="377" spans="1:68" ht="14.25" hidden="1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hidden="1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250</v>
      </c>
      <c r="Y392" s="53">
        <f>IFERROR(IF(X392="",0,CEILING((X392/$H392),1)*$H392),"")</f>
        <v>251.1</v>
      </c>
      <c r="Z392" s="39">
        <f>IFERROR(IF(Y392=0,"",ROUNDUP(Y392/H392,0)*0.01898),"")</f>
        <v>0.58838000000000001</v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265.24691358024694</v>
      </c>
      <c r="BN392" s="75">
        <f>IFERROR(Y392*I392/H392,"0")</f>
        <v>266.41399999999999</v>
      </c>
      <c r="BO392" s="75">
        <f>IFERROR(1/J392*(X392/H392),"0")</f>
        <v>0.48225308641975312</v>
      </c>
      <c r="BP392" s="75">
        <f>IFERROR(1/J392*(Y392/H392),"0")</f>
        <v>0.484375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140</v>
      </c>
      <c r="Y393" s="53">
        <f>IFERROR(IF(X393="",0,CEILING((X393/$H393),1)*$H393),"")</f>
        <v>140.70000000000002</v>
      </c>
      <c r="Z393" s="39">
        <f>IFERROR(IF(Y393=0,"",ROUNDUP(Y393/H393,0)*0.00651),"")</f>
        <v>0.43617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156.79999999999998</v>
      </c>
      <c r="BN393" s="75">
        <f>IFERROR(Y393*I393/H393,"0")</f>
        <v>157.584</v>
      </c>
      <c r="BO393" s="75">
        <f>IFERROR(1/J393*(X393/H393),"0")</f>
        <v>0.36630036630036628</v>
      </c>
      <c r="BP393" s="75">
        <f>IFERROR(1/J393*(Y393/H393),"0")</f>
        <v>0.36813186813186816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52</v>
      </c>
      <c r="Y394" s="53">
        <f>IFERROR(IF(X394="",0,CEILING((X394/$H394),1)*$H394),"")</f>
        <v>52.5</v>
      </c>
      <c r="Z394" s="39">
        <f>IFERROR(IF(Y394=0,"",ROUNDUP(Y394/H394,0)*0.00651),"")</f>
        <v>0.16275000000000001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57.942857142857136</v>
      </c>
      <c r="BN394" s="75">
        <f>IFERROR(Y394*I394/H394,"0")</f>
        <v>58.499999999999993</v>
      </c>
      <c r="BO394" s="75">
        <f>IFERROR(1/J394*(X394/H394),"0")</f>
        <v>0.13605442176870747</v>
      </c>
      <c r="BP394" s="75">
        <f>IFERROR(1/J394*(Y394/H394),"0")</f>
        <v>0.13736263736263737</v>
      </c>
    </row>
    <row r="395" spans="1:68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122.29276895943562</v>
      </c>
      <c r="Y395" s="41">
        <f>IFERROR(Y392/H392,"0")+IFERROR(Y393/H393,"0")+IFERROR(Y394/H394,"0")</f>
        <v>123</v>
      </c>
      <c r="Z395" s="41">
        <f>IFERROR(IF(Z392="",0,Z392),"0")+IFERROR(IF(Z393="",0,Z393),"0")+IFERROR(IF(Z394="",0,Z394),"0")</f>
        <v>1.1873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442</v>
      </c>
      <c r="Y396" s="41">
        <f>IFERROR(SUM(Y392:Y394),"0")</f>
        <v>444.3</v>
      </c>
      <c r="Z396" s="40"/>
      <c r="AA396" s="64"/>
      <c r="AB396" s="64"/>
      <c r="AC396" s="64"/>
    </row>
    <row r="397" spans="1:68" ht="27.75" hidden="1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hidden="1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hidden="1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2250</v>
      </c>
      <c r="Y401" s="53">
        <f t="shared" si="57"/>
        <v>2250</v>
      </c>
      <c r="Z401" s="39">
        <f>IFERROR(IF(Y401=0,"",ROUNDUP(Y401/H401,0)*0.02175),"")</f>
        <v>3.2624999999999997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2320.5</v>
      </c>
      <c r="BN401" s="75">
        <f t="shared" si="59"/>
        <v>2320.5</v>
      </c>
      <c r="BO401" s="75">
        <f t="shared" si="60"/>
        <v>3.125</v>
      </c>
      <c r="BP401" s="75">
        <f t="shared" si="61"/>
        <v>3.125</v>
      </c>
    </row>
    <row r="402" spans="1:68" ht="27" hidden="1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50</v>
      </c>
      <c r="Y406" s="53">
        <f t="shared" si="57"/>
        <v>50</v>
      </c>
      <c r="Z406" s="39">
        <f>IFERROR(IF(Y406=0,"",ROUNDUP(Y406/H406,0)*0.00902),"")</f>
        <v>9.0200000000000002E-2</v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51.9</v>
      </c>
      <c r="BN406" s="75">
        <f t="shared" si="59"/>
        <v>51.9</v>
      </c>
      <c r="BO406" s="75">
        <f t="shared" si="60"/>
        <v>7.575757575757576E-2</v>
      </c>
      <c r="BP406" s="75">
        <f t="shared" si="61"/>
        <v>7.575757575757576E-2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160</v>
      </c>
      <c r="Y408" s="41">
        <f>IFERROR(Y400/H400,"0")+IFERROR(Y401/H401,"0")+IFERROR(Y402/H402,"0")+IFERROR(Y403/H403,"0")+IFERROR(Y404/H404,"0")+IFERROR(Y405/H405,"0")+IFERROR(Y406/H406,"0")+IFERROR(Y407/H407,"0")</f>
        <v>160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3.3526999999999996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2300</v>
      </c>
      <c r="Y409" s="41">
        <f>IFERROR(SUM(Y400:Y407),"0")</f>
        <v>2300</v>
      </c>
      <c r="Z409" s="40"/>
      <c r="AA409" s="64"/>
      <c r="AB409" s="64"/>
      <c r="AC409" s="64"/>
    </row>
    <row r="410" spans="1:68" ht="14.25" hidden="1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2000</v>
      </c>
      <c r="Y411" s="53">
        <f>IFERROR(IF(X411="",0,CEILING((X411/$H411),1)*$H411),"")</f>
        <v>2010</v>
      </c>
      <c r="Z411" s="39">
        <f>IFERROR(IF(Y411=0,"",ROUNDUP(Y411/H411,0)*0.02175),"")</f>
        <v>2.9144999999999999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2062.6666666666665</v>
      </c>
      <c r="BN411" s="75">
        <f>IFERROR(Y411*I411/H411,"0")</f>
        <v>2072.98</v>
      </c>
      <c r="BO411" s="75">
        <f>IFERROR(1/J411*(X411/H411),"0")</f>
        <v>2.7777777777777777</v>
      </c>
      <c r="BP411" s="75">
        <f>IFERROR(1/J411*(Y411/H411),"0")</f>
        <v>2.7916666666666665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40</v>
      </c>
      <c r="Y413" s="53">
        <f>IFERROR(IF(X413="",0,CEILING((X413/$H413),1)*$H413),"")</f>
        <v>40</v>
      </c>
      <c r="Z413" s="39">
        <f>IFERROR(IF(Y413=0,"",ROUNDUP(Y413/H413,0)*0.00902),"")</f>
        <v>9.0200000000000002E-2</v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41.900000000000006</v>
      </c>
      <c r="BN413" s="75">
        <f>IFERROR(Y413*I413/H413,"0")</f>
        <v>41.900000000000006</v>
      </c>
      <c r="BO413" s="75">
        <f>IFERROR(1/J413*(X413/H413),"0")</f>
        <v>7.575757575757576E-2</v>
      </c>
      <c r="BP413" s="75">
        <f>IFERROR(1/J413*(Y413/H413),"0")</f>
        <v>7.575757575757576E-2</v>
      </c>
    </row>
    <row r="414" spans="1:68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143.33333333333334</v>
      </c>
      <c r="Y414" s="41">
        <f>IFERROR(Y411/H411,"0")+IFERROR(Y412/H412,"0")+IFERROR(Y413/H413,"0")</f>
        <v>144</v>
      </c>
      <c r="Z414" s="41">
        <f>IFERROR(IF(Z411="",0,Z411),"0")+IFERROR(IF(Z412="",0,Z412),"0")+IFERROR(IF(Z413="",0,Z413),"0")</f>
        <v>3.0046999999999997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2040</v>
      </c>
      <c r="Y415" s="41">
        <f>IFERROR(SUM(Y411:Y413),"0")</f>
        <v>2050</v>
      </c>
      <c r="Z415" s="40"/>
      <c r="AA415" s="64"/>
      <c r="AB415" s="64"/>
      <c r="AC415" s="64"/>
    </row>
    <row r="416" spans="1:68" ht="14.25" hidden="1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700</v>
      </c>
      <c r="Y417" s="53">
        <f>IFERROR(IF(X417="",0,CEILING((X417/$H417),1)*$H417),"")</f>
        <v>702</v>
      </c>
      <c r="Z417" s="39">
        <f>IFERROR(IF(Y417=0,"",ROUNDUP(Y417/H417,0)*0.01898),"")</f>
        <v>1.48044</v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738.88888888888891</v>
      </c>
      <c r="BN417" s="75">
        <f>IFERROR(Y417*I417/H417,"0")</f>
        <v>741</v>
      </c>
      <c r="BO417" s="75">
        <f>IFERROR(1/J417*(X417/H417),"0")</f>
        <v>1.2152777777777777</v>
      </c>
      <c r="BP417" s="75">
        <f>IFERROR(1/J417*(Y417/H417),"0")</f>
        <v>1.21875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77.777777777777771</v>
      </c>
      <c r="Y419" s="41">
        <f>IFERROR(Y417/H417,"0")+IFERROR(Y418/H418,"0")</f>
        <v>78</v>
      </c>
      <c r="Z419" s="41">
        <f>IFERROR(IF(Z417="",0,Z417),"0")+IFERROR(IF(Z418="",0,Z418),"0")</f>
        <v>1.48044</v>
      </c>
      <c r="AA419" s="64"/>
      <c r="AB419" s="64"/>
      <c r="AC419" s="64"/>
    </row>
    <row r="420" spans="1:68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700</v>
      </c>
      <c r="Y420" s="41">
        <f>IFERROR(SUM(Y417:Y418),"0")</f>
        <v>702</v>
      </c>
      <c r="Z420" s="40"/>
      <c r="AA420" s="64"/>
      <c r="AB420" s="64"/>
      <c r="AC420" s="64"/>
    </row>
    <row r="421" spans="1:68" ht="14.25" hidden="1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hidden="1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hidden="1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hidden="1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50</v>
      </c>
      <c r="Y444" s="53">
        <f t="shared" ref="Y444:Y449" si="62">IFERROR(IF(X444="",0,CEILING((X444/$H444),1)*$H444),"")</f>
        <v>54</v>
      </c>
      <c r="Z444" s="39">
        <f>IFERROR(IF(Y444=0,"",ROUNDUP(Y444/H444,0)*0.00902),"")</f>
        <v>9.0200000000000002E-2</v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51.759259259259252</v>
      </c>
      <c r="BN444" s="75">
        <f t="shared" ref="BN444:BN449" si="64">IFERROR(Y444*I444/H444,"0")</f>
        <v>55.9</v>
      </c>
      <c r="BO444" s="75">
        <f t="shared" ref="BO444:BO449" si="65">IFERROR(1/J444*(X444/H444),"0")</f>
        <v>7.0145903479236812E-2</v>
      </c>
      <c r="BP444" s="75">
        <f t="shared" ref="BP444:BP449" si="66">IFERROR(1/J444*(Y444/H444),"0")</f>
        <v>7.575757575757576E-2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9.2592592592592595</v>
      </c>
      <c r="Y450" s="41">
        <f>IFERROR(Y444/H444,"0")+IFERROR(Y445/H445,"0")+IFERROR(Y446/H446,"0")+IFERROR(Y447/H447,"0")+IFERROR(Y448/H448,"0")+IFERROR(Y449/H449,"0")</f>
        <v>10</v>
      </c>
      <c r="Z450" s="41">
        <f>IFERROR(IF(Z444="",0,Z444),"0")+IFERROR(IF(Z445="",0,Z445),"0")+IFERROR(IF(Z446="",0,Z446),"0")+IFERROR(IF(Z447="",0,Z447),"0")+IFERROR(IF(Z448="",0,Z448),"0")+IFERROR(IF(Z449="",0,Z449),"0")</f>
        <v>9.0200000000000002E-2</v>
      </c>
      <c r="AA450" s="64"/>
      <c r="AB450" s="64"/>
      <c r="AC450" s="64"/>
    </row>
    <row r="451" spans="1:68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50</v>
      </c>
      <c r="Y451" s="41">
        <f>IFERROR(SUM(Y444:Y449),"0")</f>
        <v>54</v>
      </c>
      <c r="Z451" s="40"/>
      <c r="AA451" s="64"/>
      <c r="AB451" s="64"/>
      <c r="AC451" s="64"/>
    </row>
    <row r="452" spans="1:68" ht="14.25" hidden="1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hidden="1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hidden="1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hidden="1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550</v>
      </c>
      <c r="Y476" s="53">
        <f t="shared" si="67"/>
        <v>554.4</v>
      </c>
      <c r="Z476" s="39">
        <f t="shared" si="68"/>
        <v>1.2558</v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586.45833333333326</v>
      </c>
      <c r="BN476" s="75">
        <f t="shared" si="70"/>
        <v>591.15</v>
      </c>
      <c r="BO476" s="75">
        <f t="shared" si="71"/>
        <v>1.0016025641025641</v>
      </c>
      <c r="BP476" s="75">
        <f t="shared" si="72"/>
        <v>1.0096153846153846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104.16666666666666</v>
      </c>
      <c r="Y480" s="41">
        <f>IFERROR(Y471/H471,"0")+IFERROR(Y472/H472,"0")+IFERROR(Y473/H473,"0")+IFERROR(Y474/H474,"0")+IFERROR(Y475/H475,"0")+IFERROR(Y476/H476,"0")+IFERROR(Y477/H477,"0")+IFERROR(Y478/H478,"0")+IFERROR(Y479/H479,"0")</f>
        <v>104.99999999999999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1.2558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550</v>
      </c>
      <c r="Y481" s="41">
        <f>IFERROR(SUM(Y471:Y479),"0")</f>
        <v>554.4</v>
      </c>
      <c r="Z481" s="40"/>
      <c r="AA481" s="64"/>
      <c r="AB481" s="64"/>
      <c r="AC481" s="64"/>
    </row>
    <row r="482" spans="1:68" ht="14.25" hidden="1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hidden="1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hidden="1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200</v>
      </c>
      <c r="Y489" s="53">
        <f t="shared" ref="Y489:Y495" si="73">IFERROR(IF(X489="",0,CEILING((X489/$H489),1)*$H489),"")</f>
        <v>200.64000000000001</v>
      </c>
      <c r="Z489" s="39">
        <f>IFERROR(IF(Y489=0,"",ROUNDUP(Y489/H489,0)*0.01196),"")</f>
        <v>0.45448</v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213.25757575757575</v>
      </c>
      <c r="BN489" s="75">
        <f t="shared" ref="BN489:BN495" si="75">IFERROR(Y489*I489/H489,"0")</f>
        <v>213.94</v>
      </c>
      <c r="BO489" s="75">
        <f t="shared" ref="BO489:BO495" si="76">IFERROR(1/J489*(X489/H489),"0")</f>
        <v>0.36421911421911418</v>
      </c>
      <c r="BP489" s="75">
        <f t="shared" ref="BP489:BP495" si="77">IFERROR(1/J489*(Y489/H489),"0")</f>
        <v>0.36538461538461542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200</v>
      </c>
      <c r="Y490" s="53">
        <f t="shared" si="73"/>
        <v>200.64000000000001</v>
      </c>
      <c r="Z490" s="39">
        <f>IFERROR(IF(Y490=0,"",ROUNDUP(Y490/H490,0)*0.01196),"")</f>
        <v>0.45448</v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213.25757575757575</v>
      </c>
      <c r="BN490" s="75">
        <f t="shared" si="75"/>
        <v>213.94</v>
      </c>
      <c r="BO490" s="75">
        <f t="shared" si="76"/>
        <v>0.36421911421911418</v>
      </c>
      <c r="BP490" s="75">
        <f t="shared" si="77"/>
        <v>0.36538461538461542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200</v>
      </c>
      <c r="Y491" s="53">
        <f t="shared" si="73"/>
        <v>200.64000000000001</v>
      </c>
      <c r="Z491" s="39">
        <f>IFERROR(IF(Y491=0,"",ROUNDUP(Y491/H491,0)*0.01196),"")</f>
        <v>0.45448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213.25757575757575</v>
      </c>
      <c r="BN491" s="75">
        <f t="shared" si="75"/>
        <v>213.94</v>
      </c>
      <c r="BO491" s="75">
        <f t="shared" si="76"/>
        <v>0.36421911421911418</v>
      </c>
      <c r="BP491" s="75">
        <f t="shared" si="77"/>
        <v>0.36538461538461542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113.63636363636363</v>
      </c>
      <c r="Y496" s="41">
        <f>IFERROR(Y489/H489,"0")+IFERROR(Y490/H490,"0")+IFERROR(Y491/H491,"0")+IFERROR(Y492/H492,"0")+IFERROR(Y493/H493,"0")+IFERROR(Y494/H494,"0")+IFERROR(Y495/H495,"0")</f>
        <v>114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1.36344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600</v>
      </c>
      <c r="Y497" s="41">
        <f>IFERROR(SUM(Y489:Y495),"0")</f>
        <v>601.92000000000007</v>
      </c>
      <c r="Z497" s="40"/>
      <c r="AA497" s="64"/>
      <c r="AB497" s="64"/>
      <c r="AC497" s="64"/>
    </row>
    <row r="498" spans="1:68" ht="27.75" hidden="1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hidden="1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hidden="1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hidden="1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18027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18122.22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18916.482211060549</v>
      </c>
      <c r="Y528" s="41">
        <f>IFERROR(SUM(BN22:BN524),"0")</f>
        <v>19016.296000000002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31</v>
      </c>
      <c r="Y529" s="42">
        <f>ROUNDUP(SUM(BP22:BP524),0)</f>
        <v>31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19691.482211060549</v>
      </c>
      <c r="Y530" s="41">
        <f>GrossWeightTotalR+PalletQtyTotalR*25</f>
        <v>19791.296000000002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2625.716067882734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2640</v>
      </c>
      <c r="Z531" s="40"/>
      <c r="AA531" s="64"/>
      <c r="AB531" s="64"/>
      <c r="AC531" s="64"/>
    </row>
    <row r="532" spans="1:32" ht="14.25" hidden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36.416220000000003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1208.4000000000001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1620</v>
      </c>
      <c r="F537" s="50">
        <f>IFERROR(Y87*1,"0")+IFERROR(Y88*1,"0")+IFERROR(Y89*1,"0")+IFERROR(Y90*1,"0")+IFERROR(Y94*1,"0")+IFERROR(Y95*1,"0")+IFERROR(Y96*1,"0")+IFERROR(Y97*1,"0")</f>
        <v>1123.2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409.5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1015.2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120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5919.3</v>
      </c>
      <c r="U537" s="50">
        <f>IFERROR(Y392*1,"0")+IFERROR(Y393*1,"0")+IFERROR(Y394*1,"0")</f>
        <v>444.3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5052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54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1156.32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50,00"/>
        <filter val="1 198,00"/>
        <filter val="1 452,00"/>
        <filter val="1 620,00"/>
        <filter val="104,17"/>
        <filter val="113,64"/>
        <filter val="120,00"/>
        <filter val="122,29"/>
        <filter val="135,00"/>
        <filter val="140,00"/>
        <filter val="143,33"/>
        <filter val="145,15"/>
        <filter val="160,00"/>
        <filter val="18 027,00"/>
        <filter val="18 916,48"/>
        <filter val="185,19"/>
        <filter val="19 691,48"/>
        <filter val="194,04"/>
        <filter val="2 000,00"/>
        <filter val="2 040,00"/>
        <filter val="2 250,00"/>
        <filter val="2 300,00"/>
        <filter val="2 625,72"/>
        <filter val="200,00"/>
        <filter val="250,00"/>
        <filter val="3 300,00"/>
        <filter val="30,00"/>
        <filter val="300,00"/>
        <filter val="31"/>
        <filter val="358,10"/>
        <filter val="360,00"/>
        <filter val="37,04"/>
        <filter val="40,00"/>
        <filter val="400,00"/>
        <filter val="423,08"/>
        <filter val="442,00"/>
        <filter val="50,00"/>
        <filter val="52,00"/>
        <filter val="528,00"/>
        <filter val="550,00"/>
        <filter val="600,00"/>
        <filter val="670,00"/>
        <filter val="70,63"/>
        <filter val="700,00"/>
        <filter val="77,78"/>
        <filter val="80,00"/>
        <filter val="800,00"/>
        <filter val="805,00"/>
        <filter val="9,26"/>
        <filter val="900,00"/>
        <filter val="92,04"/>
      </filters>
    </filterColumn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2026-06-30T10:57:20Z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