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B4A73B6-5863-4D29-ABA8-D97881C8E2A6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заказа'!$X$526:$X$526</definedName>
    <definedName name="GrossWeightTotalR">'Бланк заказа'!$Y$526:$Y$526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заказа'!$X$527:$X$527</definedName>
    <definedName name="PalletQtyTotalR">'Бланк заказа'!$Y$527:$Y$527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заказа'!$B$226:$B$226</definedName>
    <definedName name="ProductId109">'Бланк заказа'!$B$230:$B$230</definedName>
    <definedName name="ProductId11">'Бланк заказа'!$B$35:$B$35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заказа'!$B$37:$B$37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заказа'!$B$281:$B$281</definedName>
    <definedName name="ProductId138">'Бланк заказа'!$B$282:$B$282</definedName>
    <definedName name="ProductId139">'Бланк заказа'!$B$283:$B$283</definedName>
    <definedName name="ProductId14">'Бланк заказа'!$B$41:$B$41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заказа'!$B$291:$B$291</definedName>
    <definedName name="ProductId145">'Бланк заказа'!$B$295:$B$295</definedName>
    <definedName name="ProductId146">'Бланк заказа'!$B$299:$B$299</definedName>
    <definedName name="ProductId147">'Бланк заказа'!$B$300:$B$300</definedName>
    <definedName name="ProductId148">'Бланк заказа'!$B$301:$B$301</definedName>
    <definedName name="ProductId149">'Бланк заказа'!$B$302:$B$302</definedName>
    <definedName name="ProductId15">'Бланк заказа'!$B$47:$B$47</definedName>
    <definedName name="ProductId150">'Бланк заказа'!$B$303:$B$303</definedName>
    <definedName name="ProductId151">'Бланк заказа'!$B$308:$B$308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заказа'!$B$317:$B$317</definedName>
    <definedName name="ProductId157">'Бланк заказа'!$B$318:$B$318</definedName>
    <definedName name="ProductId158">'Бланк заказа'!$B$319:$B$319</definedName>
    <definedName name="ProductId159">'Бланк заказа'!$B$324:$B$324</definedName>
    <definedName name="ProductId16">'Бланк заказа'!$B$48:$B$48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заказа'!$B$332:$B$332</definedName>
    <definedName name="ProductId165">'Бланк заказа'!$B$333:$B$333</definedName>
    <definedName name="ProductId166">'Бланк заказа'!$B$338:$B$338</definedName>
    <definedName name="ProductId167">'Бланк заказа'!$B$339:$B$339</definedName>
    <definedName name="ProductId168">'Бланк заказа'!$B$340:$B$340</definedName>
    <definedName name="ProductId169">'Бланк заказа'!$B$345:$B$345</definedName>
    <definedName name="ProductId17">'Бланк заказа'!$B$49:$B$49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заказа'!$B$50:$B$50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заказа'!$B$56:$B$56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заказа'!$B$57:$B$57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заказа'!$B$58:$B$58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заказа'!$B$59:$B$59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заказа'!$B$512:$B$512</definedName>
    <definedName name="ProductId254">'Бланк заказа'!$B$516:$B$516</definedName>
    <definedName name="ProductId255">'Бланк заказа'!$B$517:$B$517</definedName>
    <definedName name="ProductId256">'Бланк заказа'!$B$522:$B$522</definedName>
    <definedName name="ProductId26">'Бланк заказа'!$B$67:$B$67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заказа'!$B$186:$B$186</definedName>
    <definedName name="ProductId87">'Бланк заказа'!$B$187:$B$187</definedName>
    <definedName name="ProductId88">'Бланк заказа'!$B$191:$B$191</definedName>
    <definedName name="ProductId89">'Бланк заказа'!$B$197:$B$197</definedName>
    <definedName name="ProductId9">'Бланк заказа'!$B$33:$B$33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заказа'!$B$205:$B$205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заказа'!$X$226:$X$226</definedName>
    <definedName name="SalesQty109">'Бланк заказа'!$X$230:$X$230</definedName>
    <definedName name="SalesQty11">'Бланк заказа'!$X$35:$X$35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заказа'!$X$37:$X$37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заказа'!$X$281:$X$281</definedName>
    <definedName name="SalesQty138">'Бланк заказа'!$X$282:$X$282</definedName>
    <definedName name="SalesQty139">'Бланк заказа'!$X$283:$X$283</definedName>
    <definedName name="SalesQty14">'Бланк заказа'!$X$41:$X$41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заказа'!$X$291:$X$291</definedName>
    <definedName name="SalesQty145">'Бланк заказа'!$X$295:$X$295</definedName>
    <definedName name="SalesQty146">'Бланк заказа'!$X$299:$X$299</definedName>
    <definedName name="SalesQty147">'Бланк заказа'!$X$300:$X$300</definedName>
    <definedName name="SalesQty148">'Бланк заказа'!$X$301:$X$301</definedName>
    <definedName name="SalesQty149">'Бланк заказа'!$X$302:$X$302</definedName>
    <definedName name="SalesQty15">'Бланк заказа'!$X$47:$X$47</definedName>
    <definedName name="SalesQty150">'Бланк заказа'!$X$303:$X$303</definedName>
    <definedName name="SalesQty151">'Бланк заказа'!$X$308:$X$308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заказа'!$X$317:$X$317</definedName>
    <definedName name="SalesQty157">'Бланк заказа'!$X$318:$X$318</definedName>
    <definedName name="SalesQty158">'Бланк заказа'!$X$319:$X$319</definedName>
    <definedName name="SalesQty159">'Бланк заказа'!$X$324:$X$324</definedName>
    <definedName name="SalesQty16">'Бланк заказа'!$X$48:$X$48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заказа'!$X$332:$X$332</definedName>
    <definedName name="SalesQty165">'Бланк заказа'!$X$333:$X$333</definedName>
    <definedName name="SalesQty166">'Бланк заказа'!$X$338:$X$338</definedName>
    <definedName name="SalesQty167">'Бланк заказа'!$X$339:$X$339</definedName>
    <definedName name="SalesQty168">'Бланк заказа'!$X$340:$X$340</definedName>
    <definedName name="SalesQty169">'Бланк заказа'!$X$345:$X$345</definedName>
    <definedName name="SalesQty17">'Бланк заказа'!$X$49:$X$49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заказа'!$X$50:$X$50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заказа'!$X$56:$X$56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заказа'!$X$57:$X$57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заказа'!$X$58:$X$58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заказа'!$X$59:$X$59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заказа'!$X$512:$X$512</definedName>
    <definedName name="SalesQty254">'Бланк заказа'!$X$516:$X$516</definedName>
    <definedName name="SalesQty255">'Бланк заказа'!$X$517:$X$517</definedName>
    <definedName name="SalesQty256">'Бланк заказа'!$X$522:$X$522</definedName>
    <definedName name="SalesQty26">'Бланк заказа'!$X$67:$X$67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заказа'!$X$186:$X$186</definedName>
    <definedName name="SalesQty87">'Бланк заказа'!$X$187:$X$187</definedName>
    <definedName name="SalesQty88">'Бланк заказа'!$X$191:$X$191</definedName>
    <definedName name="SalesQty89">'Бланк заказа'!$X$197:$X$197</definedName>
    <definedName name="SalesQty9">'Бланк заказа'!$X$33:$X$33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заказа'!$X$205:$X$205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заказа'!$Y$226:$Y$226</definedName>
    <definedName name="SalesRoundBox109">'Бланк заказа'!$Y$230:$Y$230</definedName>
    <definedName name="SalesRoundBox11">'Бланк заказа'!$Y$35:$Y$35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заказа'!$Y$37:$Y$37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заказа'!$Y$281:$Y$281</definedName>
    <definedName name="SalesRoundBox138">'Бланк заказа'!$Y$282:$Y$282</definedName>
    <definedName name="SalesRoundBox139">'Бланк заказа'!$Y$283:$Y$283</definedName>
    <definedName name="SalesRoundBox14">'Бланк заказа'!$Y$41:$Y$41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заказа'!$Y$291:$Y$291</definedName>
    <definedName name="SalesRoundBox145">'Бланк заказа'!$Y$295:$Y$295</definedName>
    <definedName name="SalesRoundBox146">'Бланк заказа'!$Y$299:$Y$299</definedName>
    <definedName name="SalesRoundBox147">'Бланк заказа'!$Y$300:$Y$300</definedName>
    <definedName name="SalesRoundBox148">'Бланк заказа'!$Y$301:$Y$301</definedName>
    <definedName name="SalesRoundBox149">'Бланк заказа'!$Y$302:$Y$302</definedName>
    <definedName name="SalesRoundBox15">'Бланк заказа'!$Y$47:$Y$47</definedName>
    <definedName name="SalesRoundBox150">'Бланк заказа'!$Y$303:$Y$303</definedName>
    <definedName name="SalesRoundBox151">'Бланк заказа'!$Y$308:$Y$308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заказа'!$Y$317:$Y$317</definedName>
    <definedName name="SalesRoundBox157">'Бланк заказа'!$Y$318:$Y$318</definedName>
    <definedName name="SalesRoundBox158">'Бланк заказа'!$Y$319:$Y$319</definedName>
    <definedName name="SalesRoundBox159">'Бланк заказа'!$Y$324:$Y$324</definedName>
    <definedName name="SalesRoundBox16">'Бланк заказа'!$Y$48:$Y$48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заказа'!$Y$332:$Y$332</definedName>
    <definedName name="SalesRoundBox165">'Бланк заказа'!$Y$333:$Y$333</definedName>
    <definedName name="SalesRoundBox166">'Бланк заказа'!$Y$338:$Y$338</definedName>
    <definedName name="SalesRoundBox167">'Бланк заказа'!$Y$339:$Y$339</definedName>
    <definedName name="SalesRoundBox168">'Бланк заказа'!$Y$340:$Y$340</definedName>
    <definedName name="SalesRoundBox169">'Бланк заказа'!$Y$345:$Y$345</definedName>
    <definedName name="SalesRoundBox17">'Бланк заказа'!$Y$49:$Y$49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заказа'!$Y$50:$Y$50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заказа'!$Y$56:$Y$56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заказа'!$Y$57:$Y$57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заказа'!$Y$58:$Y$58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заказа'!$Y$59:$Y$59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заказа'!$Y$512:$Y$512</definedName>
    <definedName name="SalesRoundBox254">'Бланк заказа'!$Y$516:$Y$516</definedName>
    <definedName name="SalesRoundBox255">'Бланк заказа'!$Y$517:$Y$517</definedName>
    <definedName name="SalesRoundBox256">'Бланк заказа'!$Y$522:$Y$522</definedName>
    <definedName name="SalesRoundBox26">'Бланк заказа'!$Y$67:$Y$67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заказа'!$Y$186:$Y$186</definedName>
    <definedName name="SalesRoundBox87">'Бланк заказа'!$Y$187:$Y$187</definedName>
    <definedName name="SalesRoundBox88">'Бланк заказа'!$Y$191:$Y$191</definedName>
    <definedName name="SalesRoundBox89">'Бланк заказа'!$Y$197:$Y$197</definedName>
    <definedName name="SalesRoundBox9">'Бланк заказа'!$Y$33:$Y$33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заказа'!$Y$205:$Y$205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заказа'!$W$226:$W$226</definedName>
    <definedName name="UnitOfMeasure109">'Бланк заказа'!$W$230:$W$230</definedName>
    <definedName name="UnitOfMeasure11">'Бланк заказа'!$W$35:$W$35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заказа'!$W$37:$W$37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заказа'!$W$281:$W$281</definedName>
    <definedName name="UnitOfMeasure138">'Бланк заказа'!$W$282:$W$282</definedName>
    <definedName name="UnitOfMeasure139">'Бланк заказа'!$W$283:$W$283</definedName>
    <definedName name="UnitOfMeasure14">'Бланк заказа'!$W$41:$W$41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заказа'!$W$291:$W$291</definedName>
    <definedName name="UnitOfMeasure145">'Бланк заказа'!$W$295:$W$295</definedName>
    <definedName name="UnitOfMeasure146">'Бланк заказа'!$W$299:$W$299</definedName>
    <definedName name="UnitOfMeasure147">'Бланк заказа'!$W$300:$W$300</definedName>
    <definedName name="UnitOfMeasure148">'Бланк заказа'!$W$301:$W$301</definedName>
    <definedName name="UnitOfMeasure149">'Бланк заказа'!$W$302:$W$302</definedName>
    <definedName name="UnitOfMeasure15">'Бланк заказа'!$W$47:$W$47</definedName>
    <definedName name="UnitOfMeasure150">'Бланк заказа'!$W$303:$W$303</definedName>
    <definedName name="UnitOfMeasure151">'Бланк заказа'!$W$308:$W$308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заказа'!$W$317:$W$317</definedName>
    <definedName name="UnitOfMeasure157">'Бланк заказа'!$W$318:$W$318</definedName>
    <definedName name="UnitOfMeasure158">'Бланк заказа'!$W$319:$W$319</definedName>
    <definedName name="UnitOfMeasure159">'Бланк заказа'!$W$324:$W$324</definedName>
    <definedName name="UnitOfMeasure16">'Бланк заказа'!$W$48:$W$48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заказа'!$W$332:$W$332</definedName>
    <definedName name="UnitOfMeasure165">'Бланк заказа'!$W$333:$W$333</definedName>
    <definedName name="UnitOfMeasure166">'Бланк заказа'!$W$338:$W$338</definedName>
    <definedName name="UnitOfMeasure167">'Бланк заказа'!$W$339:$W$339</definedName>
    <definedName name="UnitOfMeasure168">'Бланк заказа'!$W$340:$W$340</definedName>
    <definedName name="UnitOfMeasure169">'Бланк заказа'!$W$345:$W$345</definedName>
    <definedName name="UnitOfMeasure17">'Бланк заказа'!$W$49:$W$49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заказа'!$W$50:$W$50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заказа'!$W$56:$W$56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заказа'!$W$57:$W$57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заказа'!$W$58:$W$58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заказа'!$W$59:$W$59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заказа'!$W$512:$W$512</definedName>
    <definedName name="UnitOfMeasure254">'Бланк заказа'!$W$516:$W$516</definedName>
    <definedName name="UnitOfMeasure255">'Бланк заказа'!$W$517:$W$517</definedName>
    <definedName name="UnitOfMeasure256">'Бланк заказа'!$W$522:$W$522</definedName>
    <definedName name="UnitOfMeasure26">'Бланк заказа'!$W$67:$W$67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заказа'!$W$186:$W$186</definedName>
    <definedName name="UnitOfMeasure87">'Бланк заказа'!$W$187:$W$187</definedName>
    <definedName name="UnitOfMeasure88">'Бланк заказа'!$W$191:$W$191</definedName>
    <definedName name="UnitOfMeasure89">'Бланк заказа'!$W$197:$W$197</definedName>
    <definedName name="UnitOfMeasure9">'Бланк заказа'!$W$33:$W$33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заказа'!$W$205:$W$205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</workbook>
</file>

<file path=xl/calcChain.xml><?xml version="1.0" encoding="utf-8"?>
<calcChain xmlns="http://schemas.openxmlformats.org/spreadsheetml/2006/main">
  <c r="X524" i="2" l="1"/>
  <c r="X523" i="2"/>
  <c r="BO522" i="2"/>
  <c r="BM522" i="2"/>
  <c r="Y522" i="2"/>
  <c r="AB535" i="2" s="1"/>
  <c r="P522" i="2"/>
  <c r="X519" i="2"/>
  <c r="X518" i="2"/>
  <c r="BO517" i="2"/>
  <c r="BM517" i="2"/>
  <c r="Y517" i="2"/>
  <c r="Z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BP512" i="2" s="1"/>
  <c r="P512" i="2"/>
  <c r="X510" i="2"/>
  <c r="X509" i="2"/>
  <c r="BO508" i="2"/>
  <c r="BM508" i="2"/>
  <c r="Y508" i="2"/>
  <c r="BN508" i="2" s="1"/>
  <c r="P508" i="2"/>
  <c r="X506" i="2"/>
  <c r="X505" i="2"/>
  <c r="BO504" i="2"/>
  <c r="BM504" i="2"/>
  <c r="Y504" i="2"/>
  <c r="Y506" i="2" s="1"/>
  <c r="P504" i="2"/>
  <c r="X502" i="2"/>
  <c r="X501" i="2"/>
  <c r="BO500" i="2"/>
  <c r="BM500" i="2"/>
  <c r="Y500" i="2"/>
  <c r="P500" i="2"/>
  <c r="X496" i="2"/>
  <c r="X495" i="2"/>
  <c r="BO494" i="2"/>
  <c r="BM494" i="2"/>
  <c r="Y494" i="2"/>
  <c r="BN494" i="2" s="1"/>
  <c r="P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P489" i="2"/>
  <c r="BO488" i="2"/>
  <c r="BM488" i="2"/>
  <c r="Y488" i="2"/>
  <c r="BP488" i="2" s="1"/>
  <c r="P488" i="2"/>
  <c r="X486" i="2"/>
  <c r="X485" i="2"/>
  <c r="BO484" i="2"/>
  <c r="BM484" i="2"/>
  <c r="Y484" i="2"/>
  <c r="P484" i="2"/>
  <c r="BO483" i="2"/>
  <c r="BM483" i="2"/>
  <c r="Y483" i="2"/>
  <c r="Z483" i="2" s="1"/>
  <c r="P483" i="2"/>
  <c r="BO482" i="2"/>
  <c r="BM482" i="2"/>
  <c r="Y482" i="2"/>
  <c r="BP482" i="2" s="1"/>
  <c r="P482" i="2"/>
  <c r="X480" i="2"/>
  <c r="X479" i="2"/>
  <c r="BO478" i="2"/>
  <c r="BM478" i="2"/>
  <c r="Y478" i="2"/>
  <c r="P478" i="2"/>
  <c r="BO477" i="2"/>
  <c r="BM477" i="2"/>
  <c r="Y477" i="2"/>
  <c r="BP477" i="2" s="1"/>
  <c r="P477" i="2"/>
  <c r="BO476" i="2"/>
  <c r="BM476" i="2"/>
  <c r="Y476" i="2"/>
  <c r="Z476" i="2" s="1"/>
  <c r="P476" i="2"/>
  <c r="BO475" i="2"/>
  <c r="BM475" i="2"/>
  <c r="Y475" i="2"/>
  <c r="P475" i="2"/>
  <c r="BO474" i="2"/>
  <c r="BM474" i="2"/>
  <c r="Y474" i="2"/>
  <c r="BN474" i="2" s="1"/>
  <c r="P474" i="2"/>
  <c r="BO473" i="2"/>
  <c r="BM473" i="2"/>
  <c r="Y473" i="2"/>
  <c r="Z473" i="2" s="1"/>
  <c r="P473" i="2"/>
  <c r="BO472" i="2"/>
  <c r="BM472" i="2"/>
  <c r="Y472" i="2"/>
  <c r="P472" i="2"/>
  <c r="BO471" i="2"/>
  <c r="BM471" i="2"/>
  <c r="Y471" i="2"/>
  <c r="BN471" i="2" s="1"/>
  <c r="P471" i="2"/>
  <c r="BO470" i="2"/>
  <c r="BM470" i="2"/>
  <c r="Y470" i="2"/>
  <c r="BN470" i="2" s="1"/>
  <c r="P470" i="2"/>
  <c r="X466" i="2"/>
  <c r="X465" i="2"/>
  <c r="BO464" i="2"/>
  <c r="BM464" i="2"/>
  <c r="Y464" i="2"/>
  <c r="Z464" i="2" s="1"/>
  <c r="P464" i="2"/>
  <c r="BO463" i="2"/>
  <c r="BM463" i="2"/>
  <c r="Y463" i="2"/>
  <c r="P463" i="2"/>
  <c r="BO462" i="2"/>
  <c r="BM462" i="2"/>
  <c r="Y462" i="2"/>
  <c r="BP462" i="2" s="1"/>
  <c r="P462" i="2"/>
  <c r="X460" i="2"/>
  <c r="X459" i="2"/>
  <c r="BO458" i="2"/>
  <c r="BM458" i="2"/>
  <c r="Y458" i="2"/>
  <c r="Z458" i="2" s="1"/>
  <c r="Z459" i="2" s="1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P448" i="2"/>
  <c r="BO448" i="2"/>
  <c r="BM448" i="2"/>
  <c r="Y448" i="2"/>
  <c r="BN448" i="2" s="1"/>
  <c r="P448" i="2"/>
  <c r="BO447" i="2"/>
  <c r="BM447" i="2"/>
  <c r="Y447" i="2"/>
  <c r="P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P443" i="2"/>
  <c r="X439" i="2"/>
  <c r="X438" i="2"/>
  <c r="BO437" i="2"/>
  <c r="BM437" i="2"/>
  <c r="Y437" i="2"/>
  <c r="P437" i="2"/>
  <c r="BO436" i="2"/>
  <c r="BM436" i="2"/>
  <c r="Y436" i="2"/>
  <c r="BN436" i="2" s="1"/>
  <c r="P436" i="2"/>
  <c r="BO435" i="2"/>
  <c r="BM435" i="2"/>
  <c r="Y435" i="2"/>
  <c r="BP435" i="2" s="1"/>
  <c r="P435" i="2"/>
  <c r="X433" i="2"/>
  <c r="X432" i="2"/>
  <c r="BO431" i="2"/>
  <c r="BM431" i="2"/>
  <c r="Y431" i="2"/>
  <c r="P431" i="2"/>
  <c r="X429" i="2"/>
  <c r="X428" i="2"/>
  <c r="BO427" i="2"/>
  <c r="BM427" i="2"/>
  <c r="Y427" i="2"/>
  <c r="P427" i="2"/>
  <c r="BO426" i="2"/>
  <c r="BM426" i="2"/>
  <c r="Y426" i="2"/>
  <c r="Z426" i="2" s="1"/>
  <c r="P426" i="2"/>
  <c r="X423" i="2"/>
  <c r="X422" i="2"/>
  <c r="BO421" i="2"/>
  <c r="BM421" i="2"/>
  <c r="Y421" i="2"/>
  <c r="BN421" i="2" s="1"/>
  <c r="P421" i="2"/>
  <c r="X419" i="2"/>
  <c r="X418" i="2"/>
  <c r="BO417" i="2"/>
  <c r="BM417" i="2"/>
  <c r="Y417" i="2"/>
  <c r="BN417" i="2" s="1"/>
  <c r="P417" i="2"/>
  <c r="BO416" i="2"/>
  <c r="BM416" i="2"/>
  <c r="Y416" i="2"/>
  <c r="Z416" i="2" s="1"/>
  <c r="P416" i="2"/>
  <c r="X414" i="2"/>
  <c r="X413" i="2"/>
  <c r="BO412" i="2"/>
  <c r="BM412" i="2"/>
  <c r="Y412" i="2"/>
  <c r="Z412" i="2" s="1"/>
  <c r="P412" i="2"/>
  <c r="BO411" i="2"/>
  <c r="BM411" i="2"/>
  <c r="Y411" i="2"/>
  <c r="Z411" i="2" s="1"/>
  <c r="P411" i="2"/>
  <c r="BO410" i="2"/>
  <c r="BM410" i="2"/>
  <c r="Y410" i="2"/>
  <c r="P410" i="2"/>
  <c r="X408" i="2"/>
  <c r="X407" i="2"/>
  <c r="BO406" i="2"/>
  <c r="BM406" i="2"/>
  <c r="Y406" i="2"/>
  <c r="BP406" i="2" s="1"/>
  <c r="P406" i="2"/>
  <c r="BO405" i="2"/>
  <c r="BM405" i="2"/>
  <c r="Y405" i="2"/>
  <c r="BN405" i="2" s="1"/>
  <c r="P405" i="2"/>
  <c r="BO404" i="2"/>
  <c r="BM404" i="2"/>
  <c r="Y404" i="2"/>
  <c r="P404" i="2"/>
  <c r="BO403" i="2"/>
  <c r="BM403" i="2"/>
  <c r="Y403" i="2"/>
  <c r="P403" i="2"/>
  <c r="BO402" i="2"/>
  <c r="BM402" i="2"/>
  <c r="Y402" i="2"/>
  <c r="Z402" i="2" s="1"/>
  <c r="P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Z399" i="2" s="1"/>
  <c r="P399" i="2"/>
  <c r="X395" i="2"/>
  <c r="X394" i="2"/>
  <c r="BO393" i="2"/>
  <c r="BM393" i="2"/>
  <c r="Y393" i="2"/>
  <c r="BN393" i="2" s="1"/>
  <c r="P393" i="2"/>
  <c r="BO392" i="2"/>
  <c r="BM392" i="2"/>
  <c r="Y392" i="2"/>
  <c r="P392" i="2"/>
  <c r="BO391" i="2"/>
  <c r="BM391" i="2"/>
  <c r="Y391" i="2"/>
  <c r="Z391" i="2" s="1"/>
  <c r="P391" i="2"/>
  <c r="X388" i="2"/>
  <c r="X387" i="2"/>
  <c r="BO386" i="2"/>
  <c r="BM386" i="2"/>
  <c r="Y386" i="2"/>
  <c r="P386" i="2"/>
  <c r="BO385" i="2"/>
  <c r="BM385" i="2"/>
  <c r="Z385" i="2"/>
  <c r="Y385" i="2"/>
  <c r="BP385" i="2" s="1"/>
  <c r="P385" i="2"/>
  <c r="BO384" i="2"/>
  <c r="BM384" i="2"/>
  <c r="Y384" i="2"/>
  <c r="P384" i="2"/>
  <c r="X382" i="2"/>
  <c r="X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Z378" i="2" s="1"/>
  <c r="P378" i="2"/>
  <c r="BO377" i="2"/>
  <c r="BM377" i="2"/>
  <c r="Y377" i="2"/>
  <c r="BN377" i="2" s="1"/>
  <c r="P377" i="2"/>
  <c r="X375" i="2"/>
  <c r="X374" i="2"/>
  <c r="BO373" i="2"/>
  <c r="BM373" i="2"/>
  <c r="Y373" i="2"/>
  <c r="P373" i="2"/>
  <c r="BO372" i="2"/>
  <c r="BM372" i="2"/>
  <c r="Y372" i="2"/>
  <c r="P372" i="2"/>
  <c r="BO371" i="2"/>
  <c r="BM371" i="2"/>
  <c r="Y371" i="2"/>
  <c r="Z371" i="2" s="1"/>
  <c r="P371" i="2"/>
  <c r="X369" i="2"/>
  <c r="X368" i="2"/>
  <c r="BO367" i="2"/>
  <c r="BM367" i="2"/>
  <c r="Y367" i="2"/>
  <c r="Z367" i="2" s="1"/>
  <c r="P367" i="2"/>
  <c r="BO366" i="2"/>
  <c r="BM366" i="2"/>
  <c r="Y366" i="2"/>
  <c r="P366" i="2"/>
  <c r="BO365" i="2"/>
  <c r="BM365" i="2"/>
  <c r="Y365" i="2"/>
  <c r="BN365" i="2" s="1"/>
  <c r="P365" i="2"/>
  <c r="BO364" i="2"/>
  <c r="BM364" i="2"/>
  <c r="Y364" i="2"/>
  <c r="Z364" i="2" s="1"/>
  <c r="P364" i="2"/>
  <c r="X362" i="2"/>
  <c r="X361" i="2"/>
  <c r="BO360" i="2"/>
  <c r="BM360" i="2"/>
  <c r="Y360" i="2"/>
  <c r="BN360" i="2" s="1"/>
  <c r="P360" i="2"/>
  <c r="BO359" i="2"/>
  <c r="BM359" i="2"/>
  <c r="Y359" i="2"/>
  <c r="P359" i="2"/>
  <c r="BO358" i="2"/>
  <c r="BM358" i="2"/>
  <c r="Y358" i="2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P355" i="2"/>
  <c r="BO354" i="2"/>
  <c r="BM354" i="2"/>
  <c r="Y354" i="2"/>
  <c r="BP354" i="2" s="1"/>
  <c r="P354" i="2"/>
  <c r="X352" i="2"/>
  <c r="X351" i="2"/>
  <c r="BP350" i="2"/>
  <c r="BO350" i="2"/>
  <c r="BM350" i="2"/>
  <c r="Y350" i="2"/>
  <c r="BN350" i="2" s="1"/>
  <c r="P350" i="2"/>
  <c r="BO349" i="2"/>
  <c r="BM349" i="2"/>
  <c r="Y349" i="2"/>
  <c r="P349" i="2"/>
  <c r="BO348" i="2"/>
  <c r="BM348" i="2"/>
  <c r="Y348" i="2"/>
  <c r="Z348" i="2" s="1"/>
  <c r="P348" i="2"/>
  <c r="BO347" i="2"/>
  <c r="BM347" i="2"/>
  <c r="Y347" i="2"/>
  <c r="Z347" i="2" s="1"/>
  <c r="P347" i="2"/>
  <c r="BO346" i="2"/>
  <c r="BM346" i="2"/>
  <c r="Y346" i="2"/>
  <c r="Z346" i="2" s="1"/>
  <c r="P346" i="2"/>
  <c r="BO345" i="2"/>
  <c r="BM345" i="2"/>
  <c r="Y345" i="2"/>
  <c r="BN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BN339" i="2" s="1"/>
  <c r="P339" i="2"/>
  <c r="BO338" i="2"/>
  <c r="BM338" i="2"/>
  <c r="Y338" i="2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X330" i="2"/>
  <c r="X329" i="2"/>
  <c r="BO328" i="2"/>
  <c r="BM328" i="2"/>
  <c r="Y328" i="2"/>
  <c r="P328" i="2"/>
  <c r="BO327" i="2"/>
  <c r="BN327" i="2"/>
  <c r="BM327" i="2"/>
  <c r="Y327" i="2"/>
  <c r="Z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P324" i="2"/>
  <c r="X321" i="2"/>
  <c r="X320" i="2"/>
  <c r="BO319" i="2"/>
  <c r="BM319" i="2"/>
  <c r="Y319" i="2"/>
  <c r="Z319" i="2" s="1"/>
  <c r="P319" i="2"/>
  <c r="BO318" i="2"/>
  <c r="BM318" i="2"/>
  <c r="Y318" i="2"/>
  <c r="P318" i="2"/>
  <c r="BO317" i="2"/>
  <c r="BM317" i="2"/>
  <c r="Y317" i="2"/>
  <c r="P317" i="2"/>
  <c r="X314" i="2"/>
  <c r="X313" i="2"/>
  <c r="BO312" i="2"/>
  <c r="BM312" i="2"/>
  <c r="Y312" i="2"/>
  <c r="Z312" i="2" s="1"/>
  <c r="P312" i="2"/>
  <c r="BO311" i="2"/>
  <c r="BM311" i="2"/>
  <c r="Y311" i="2"/>
  <c r="Z311" i="2" s="1"/>
  <c r="P311" i="2"/>
  <c r="BO310" i="2"/>
  <c r="BM310" i="2"/>
  <c r="Y310" i="2"/>
  <c r="Z310" i="2" s="1"/>
  <c r="P310" i="2"/>
  <c r="BO309" i="2"/>
  <c r="BM309" i="2"/>
  <c r="Y309" i="2"/>
  <c r="P309" i="2"/>
  <c r="BO308" i="2"/>
  <c r="BN308" i="2"/>
  <c r="BM308" i="2"/>
  <c r="Y308" i="2"/>
  <c r="Z308" i="2" s="1"/>
  <c r="P308" i="2"/>
  <c r="X305" i="2"/>
  <c r="X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N299" i="2" s="1"/>
  <c r="P299" i="2"/>
  <c r="X297" i="2"/>
  <c r="X296" i="2"/>
  <c r="BO295" i="2"/>
  <c r="BM295" i="2"/>
  <c r="Y295" i="2"/>
  <c r="Y296" i="2" s="1"/>
  <c r="P295" i="2"/>
  <c r="X293" i="2"/>
  <c r="X292" i="2"/>
  <c r="BO291" i="2"/>
  <c r="BM291" i="2"/>
  <c r="Y291" i="2"/>
  <c r="BN291" i="2" s="1"/>
  <c r="P291" i="2"/>
  <c r="X289" i="2"/>
  <c r="X288" i="2"/>
  <c r="BO287" i="2"/>
  <c r="BN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Z284" i="2" s="1"/>
  <c r="P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P281" i="2"/>
  <c r="X278" i="2"/>
  <c r="X277" i="2"/>
  <c r="BO276" i="2"/>
  <c r="BM276" i="2"/>
  <c r="Y276" i="2"/>
  <c r="Z276" i="2" s="1"/>
  <c r="P276" i="2"/>
  <c r="BO275" i="2"/>
  <c r="BM275" i="2"/>
  <c r="Y275" i="2"/>
  <c r="P275" i="2"/>
  <c r="X273" i="2"/>
  <c r="X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P268" i="2"/>
  <c r="BO267" i="2"/>
  <c r="BM267" i="2"/>
  <c r="Y267" i="2"/>
  <c r="Z267" i="2" s="1"/>
  <c r="P267" i="2"/>
  <c r="BO266" i="2"/>
  <c r="BM266" i="2"/>
  <c r="Y266" i="2"/>
  <c r="Z266" i="2" s="1"/>
  <c r="P266" i="2"/>
  <c r="BO265" i="2"/>
  <c r="BM265" i="2"/>
  <c r="Y265" i="2"/>
  <c r="P265" i="2"/>
  <c r="BO264" i="2"/>
  <c r="BM264" i="2"/>
  <c r="Y264" i="2"/>
  <c r="Z264" i="2" s="1"/>
  <c r="P264" i="2"/>
  <c r="BO263" i="2"/>
  <c r="BM263" i="2"/>
  <c r="Y263" i="2"/>
  <c r="Z263" i="2" s="1"/>
  <c r="P263" i="2"/>
  <c r="BO262" i="2"/>
  <c r="BM262" i="2"/>
  <c r="Y262" i="2"/>
  <c r="Z262" i="2" s="1"/>
  <c r="P262" i="2"/>
  <c r="X260" i="2"/>
  <c r="X259" i="2"/>
  <c r="BO258" i="2"/>
  <c r="BM258" i="2"/>
  <c r="Y258" i="2"/>
  <c r="Z258" i="2" s="1"/>
  <c r="P258" i="2"/>
  <c r="BO257" i="2"/>
  <c r="BM257" i="2"/>
  <c r="Y257" i="2"/>
  <c r="Z257" i="2" s="1"/>
  <c r="P257" i="2"/>
  <c r="BO256" i="2"/>
  <c r="BM256" i="2"/>
  <c r="Y256" i="2"/>
  <c r="Z256" i="2" s="1"/>
  <c r="P256" i="2"/>
  <c r="BO255" i="2"/>
  <c r="BM255" i="2"/>
  <c r="Y255" i="2"/>
  <c r="Z255" i="2" s="1"/>
  <c r="P255" i="2"/>
  <c r="BO254" i="2"/>
  <c r="BM254" i="2"/>
  <c r="Y254" i="2"/>
  <c r="Z254" i="2" s="1"/>
  <c r="P254" i="2"/>
  <c r="BO253" i="2"/>
  <c r="BM253" i="2"/>
  <c r="Y253" i="2"/>
  <c r="Z253" i="2" s="1"/>
  <c r="P253" i="2"/>
  <c r="BO252" i="2"/>
  <c r="BM252" i="2"/>
  <c r="Y252" i="2"/>
  <c r="Z252" i="2" s="1"/>
  <c r="P252" i="2"/>
  <c r="BO251" i="2"/>
  <c r="BM251" i="2"/>
  <c r="Y251" i="2"/>
  <c r="Z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Z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X238" i="2"/>
  <c r="X237" i="2"/>
  <c r="BO236" i="2"/>
  <c r="BM236" i="2"/>
  <c r="Y236" i="2"/>
  <c r="BN236" i="2" s="1"/>
  <c r="P236" i="2"/>
  <c r="X234" i="2"/>
  <c r="X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Y227" i="2" s="1"/>
  <c r="P226" i="2"/>
  <c r="X224" i="2"/>
  <c r="X223" i="2"/>
  <c r="BO222" i="2"/>
  <c r="BM222" i="2"/>
  <c r="Z222" i="2"/>
  <c r="Y222" i="2"/>
  <c r="BN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Z215" i="2" s="1"/>
  <c r="P215" i="2"/>
  <c r="BO214" i="2"/>
  <c r="BM214" i="2"/>
  <c r="Y214" i="2"/>
  <c r="Z214" i="2" s="1"/>
  <c r="P214" i="2"/>
  <c r="BO213" i="2"/>
  <c r="BM213" i="2"/>
  <c r="Y213" i="2"/>
  <c r="Z213" i="2" s="1"/>
  <c r="P213" i="2"/>
  <c r="BO212" i="2"/>
  <c r="BM212" i="2"/>
  <c r="Y212" i="2"/>
  <c r="BN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N209" i="2" s="1"/>
  <c r="P209" i="2"/>
  <c r="X207" i="2"/>
  <c r="X206" i="2"/>
  <c r="BO205" i="2"/>
  <c r="BM205" i="2"/>
  <c r="Y205" i="2"/>
  <c r="Z205" i="2" s="1"/>
  <c r="Z206" i="2" s="1"/>
  <c r="P205" i="2"/>
  <c r="X202" i="2"/>
  <c r="X201" i="2"/>
  <c r="BO200" i="2"/>
  <c r="BM200" i="2"/>
  <c r="Y200" i="2"/>
  <c r="BP200" i="2" s="1"/>
  <c r="P200" i="2"/>
  <c r="BO199" i="2"/>
  <c r="BM199" i="2"/>
  <c r="Y199" i="2"/>
  <c r="BP199" i="2" s="1"/>
  <c r="P199" i="2"/>
  <c r="BO198" i="2"/>
  <c r="BM198" i="2"/>
  <c r="Y198" i="2"/>
  <c r="P198" i="2"/>
  <c r="BO197" i="2"/>
  <c r="BM197" i="2"/>
  <c r="Y197" i="2"/>
  <c r="P197" i="2"/>
  <c r="X193" i="2"/>
  <c r="X192" i="2"/>
  <c r="BO191" i="2"/>
  <c r="BM191" i="2"/>
  <c r="Y191" i="2"/>
  <c r="BN191" i="2" s="1"/>
  <c r="P191" i="2"/>
  <c r="X189" i="2"/>
  <c r="X188" i="2"/>
  <c r="BO187" i="2"/>
  <c r="BM187" i="2"/>
  <c r="Y187" i="2"/>
  <c r="BP187" i="2" s="1"/>
  <c r="P187" i="2"/>
  <c r="BO186" i="2"/>
  <c r="BM186" i="2"/>
  <c r="Y186" i="2"/>
  <c r="BN186" i="2" s="1"/>
  <c r="P186" i="2"/>
  <c r="X184" i="2"/>
  <c r="X183" i="2"/>
  <c r="BO182" i="2"/>
  <c r="BM182" i="2"/>
  <c r="Y182" i="2"/>
  <c r="BP182" i="2" s="1"/>
  <c r="P182" i="2"/>
  <c r="X180" i="2"/>
  <c r="X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P175" i="2"/>
  <c r="BP174" i="2"/>
  <c r="BO174" i="2"/>
  <c r="BM174" i="2"/>
  <c r="Y174" i="2"/>
  <c r="Z174" i="2" s="1"/>
  <c r="P174" i="2"/>
  <c r="BO173" i="2"/>
  <c r="BM173" i="2"/>
  <c r="Y173" i="2"/>
  <c r="BP173" i="2" s="1"/>
  <c r="P173" i="2"/>
  <c r="BO172" i="2"/>
  <c r="BM172" i="2"/>
  <c r="Y172" i="2"/>
  <c r="BN172" i="2" s="1"/>
  <c r="P172" i="2"/>
  <c r="BO171" i="2"/>
  <c r="BM171" i="2"/>
  <c r="Y171" i="2"/>
  <c r="P171" i="2"/>
  <c r="BO170" i="2"/>
  <c r="BM170" i="2"/>
  <c r="Y170" i="2"/>
  <c r="Z170" i="2" s="1"/>
  <c r="P170" i="2"/>
  <c r="BO169" i="2"/>
  <c r="BM169" i="2"/>
  <c r="Y169" i="2"/>
  <c r="BN169" i="2" s="1"/>
  <c r="P169" i="2"/>
  <c r="X167" i="2"/>
  <c r="X166" i="2"/>
  <c r="BO165" i="2"/>
  <c r="BM165" i="2"/>
  <c r="Y165" i="2"/>
  <c r="Y166" i="2" s="1"/>
  <c r="P165" i="2"/>
  <c r="X163" i="2"/>
  <c r="X162" i="2"/>
  <c r="BO161" i="2"/>
  <c r="BM161" i="2"/>
  <c r="Y161" i="2"/>
  <c r="Z161" i="2" s="1"/>
  <c r="P161" i="2"/>
  <c r="BO160" i="2"/>
  <c r="BM160" i="2"/>
  <c r="Y160" i="2"/>
  <c r="BN160" i="2" s="1"/>
  <c r="P160" i="2"/>
  <c r="X157" i="2"/>
  <c r="X156" i="2"/>
  <c r="BO155" i="2"/>
  <c r="BM155" i="2"/>
  <c r="Y155" i="2"/>
  <c r="Z155" i="2" s="1"/>
  <c r="P155" i="2"/>
  <c r="BO154" i="2"/>
  <c r="BM154" i="2"/>
  <c r="Z154" i="2"/>
  <c r="Y154" i="2"/>
  <c r="P154" i="2"/>
  <c r="BO153" i="2"/>
  <c r="BM153" i="2"/>
  <c r="Y153" i="2"/>
  <c r="P153" i="2"/>
  <c r="BO152" i="2"/>
  <c r="BM152" i="2"/>
  <c r="Y152" i="2"/>
  <c r="Z152" i="2" s="1"/>
  <c r="P152" i="2"/>
  <c r="X149" i="2"/>
  <c r="X148" i="2"/>
  <c r="BO147" i="2"/>
  <c r="BM147" i="2"/>
  <c r="Y147" i="2"/>
  <c r="P147" i="2"/>
  <c r="BO146" i="2"/>
  <c r="BM146" i="2"/>
  <c r="Y146" i="2"/>
  <c r="P146" i="2"/>
  <c r="X144" i="2"/>
  <c r="X143" i="2"/>
  <c r="BP142" i="2"/>
  <c r="BO142" i="2"/>
  <c r="BN142" i="2"/>
  <c r="BM142" i="2"/>
  <c r="Y142" i="2"/>
  <c r="Z142" i="2" s="1"/>
  <c r="P142" i="2"/>
  <c r="BO141" i="2"/>
  <c r="BN141" i="2"/>
  <c r="BM141" i="2"/>
  <c r="Y141" i="2"/>
  <c r="BP141" i="2" s="1"/>
  <c r="P141" i="2"/>
  <c r="X139" i="2"/>
  <c r="X138" i="2"/>
  <c r="BO137" i="2"/>
  <c r="BM137" i="2"/>
  <c r="Y137" i="2"/>
  <c r="Z137" i="2" s="1"/>
  <c r="P137" i="2"/>
  <c r="BO136" i="2"/>
  <c r="BM136" i="2"/>
  <c r="Y136" i="2"/>
  <c r="P136" i="2"/>
  <c r="X133" i="2"/>
  <c r="X132" i="2"/>
  <c r="BO131" i="2"/>
  <c r="BM131" i="2"/>
  <c r="Y131" i="2"/>
  <c r="P131" i="2"/>
  <c r="X129" i="2"/>
  <c r="X128" i="2"/>
  <c r="BO127" i="2"/>
  <c r="BM127" i="2"/>
  <c r="Y127" i="2"/>
  <c r="P127" i="2"/>
  <c r="BO126" i="2"/>
  <c r="BM126" i="2"/>
  <c r="Y126" i="2"/>
  <c r="P126" i="2"/>
  <c r="BO125" i="2"/>
  <c r="BM125" i="2"/>
  <c r="Y125" i="2"/>
  <c r="P125" i="2"/>
  <c r="BO124" i="2"/>
  <c r="BM124" i="2"/>
  <c r="Y124" i="2"/>
  <c r="P124" i="2"/>
  <c r="X122" i="2"/>
  <c r="X121" i="2"/>
  <c r="BO120" i="2"/>
  <c r="BM120" i="2"/>
  <c r="Y120" i="2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P116" i="2"/>
  <c r="X114" i="2"/>
  <c r="X113" i="2"/>
  <c r="BO112" i="2"/>
  <c r="BM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P101" i="2"/>
  <c r="BO101" i="2"/>
  <c r="BM101" i="2"/>
  <c r="Y101" i="2"/>
  <c r="BN101" i="2" s="1"/>
  <c r="P101" i="2"/>
  <c r="BO100" i="2"/>
  <c r="BM100" i="2"/>
  <c r="Y100" i="2"/>
  <c r="P100" i="2"/>
  <c r="BO99" i="2"/>
  <c r="BM99" i="2"/>
  <c r="Y99" i="2"/>
  <c r="P99" i="2"/>
  <c r="BO98" i="2"/>
  <c r="BM98" i="2"/>
  <c r="Y98" i="2"/>
  <c r="BP98" i="2" s="1"/>
  <c r="P98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Z92" i="2" s="1"/>
  <c r="P92" i="2"/>
  <c r="BO91" i="2"/>
  <c r="BM91" i="2"/>
  <c r="Y91" i="2"/>
  <c r="BP91" i="2" s="1"/>
  <c r="P91" i="2"/>
  <c r="X88" i="2"/>
  <c r="X87" i="2"/>
  <c r="BO86" i="2"/>
  <c r="BM86" i="2"/>
  <c r="Y86" i="2"/>
  <c r="P86" i="2"/>
  <c r="BO85" i="2"/>
  <c r="BM85" i="2"/>
  <c r="Y85" i="2"/>
  <c r="BP85" i="2" s="1"/>
  <c r="P85" i="2"/>
  <c r="X83" i="2"/>
  <c r="X82" i="2"/>
  <c r="BO81" i="2"/>
  <c r="BM81" i="2"/>
  <c r="Y81" i="2"/>
  <c r="BN81" i="2" s="1"/>
  <c r="P81" i="2"/>
  <c r="BO80" i="2"/>
  <c r="BM80" i="2"/>
  <c r="Y80" i="2"/>
  <c r="P80" i="2"/>
  <c r="X78" i="2"/>
  <c r="X77" i="2"/>
  <c r="BO76" i="2"/>
  <c r="BM76" i="2"/>
  <c r="Y76" i="2"/>
  <c r="BN76" i="2" s="1"/>
  <c r="P76" i="2"/>
  <c r="BO75" i="2"/>
  <c r="BM75" i="2"/>
  <c r="Y75" i="2"/>
  <c r="P75" i="2"/>
  <c r="BO74" i="2"/>
  <c r="BM74" i="2"/>
  <c r="Y74" i="2"/>
  <c r="P74" i="2"/>
  <c r="BO73" i="2"/>
  <c r="BM73" i="2"/>
  <c r="Y73" i="2"/>
  <c r="P73" i="2"/>
  <c r="X71" i="2"/>
  <c r="X70" i="2"/>
  <c r="BO69" i="2"/>
  <c r="BM69" i="2"/>
  <c r="Y69" i="2"/>
  <c r="Z69" i="2" s="1"/>
  <c r="P69" i="2"/>
  <c r="BO68" i="2"/>
  <c r="BM68" i="2"/>
  <c r="Y68" i="2"/>
  <c r="BN68" i="2" s="1"/>
  <c r="P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Z64" i="2" s="1"/>
  <c r="P64" i="2"/>
  <c r="X61" i="2"/>
  <c r="X60" i="2"/>
  <c r="BO59" i="2"/>
  <c r="BM59" i="2"/>
  <c r="Y59" i="2"/>
  <c r="Z59" i="2" s="1"/>
  <c r="P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P56" i="2"/>
  <c r="X52" i="2"/>
  <c r="X51" i="2"/>
  <c r="BP50" i="2"/>
  <c r="BO50" i="2"/>
  <c r="BM50" i="2"/>
  <c r="Y50" i="2"/>
  <c r="BN50" i="2" s="1"/>
  <c r="P50" i="2"/>
  <c r="BO49" i="2"/>
  <c r="BM49" i="2"/>
  <c r="Y49" i="2"/>
  <c r="P49" i="2"/>
  <c r="BO48" i="2"/>
  <c r="BM48" i="2"/>
  <c r="Y48" i="2"/>
  <c r="BN48" i="2" s="1"/>
  <c r="P48" i="2"/>
  <c r="BO47" i="2"/>
  <c r="BM47" i="2"/>
  <c r="Y47" i="2"/>
  <c r="Z47" i="2" s="1"/>
  <c r="X43" i="2"/>
  <c r="X42" i="2"/>
  <c r="BO41" i="2"/>
  <c r="BM41" i="2"/>
  <c r="Y41" i="2"/>
  <c r="BN41" i="2" s="1"/>
  <c r="P41" i="2"/>
  <c r="X39" i="2"/>
  <c r="X38" i="2"/>
  <c r="BO37" i="2"/>
  <c r="BM37" i="2"/>
  <c r="Y37" i="2"/>
  <c r="BP37" i="2" s="1"/>
  <c r="P37" i="2"/>
  <c r="BO36" i="2"/>
  <c r="BM36" i="2"/>
  <c r="Y36" i="2"/>
  <c r="Z36" i="2" s="1"/>
  <c r="P36" i="2"/>
  <c r="BO35" i="2"/>
  <c r="BM35" i="2"/>
  <c r="Y35" i="2"/>
  <c r="BN35" i="2" s="1"/>
  <c r="P35" i="2"/>
  <c r="BO34" i="2"/>
  <c r="BM34" i="2"/>
  <c r="Y34" i="2"/>
  <c r="BN34" i="2" s="1"/>
  <c r="P34" i="2"/>
  <c r="BO33" i="2"/>
  <c r="BM33" i="2"/>
  <c r="Y33" i="2"/>
  <c r="BN33" i="2" s="1"/>
  <c r="P33" i="2"/>
  <c r="BO32" i="2"/>
  <c r="BM32" i="2"/>
  <c r="Y32" i="2"/>
  <c r="P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X26" i="2"/>
  <c r="X25" i="2"/>
  <c r="BO24" i="2"/>
  <c r="BM24" i="2"/>
  <c r="Y24" i="2"/>
  <c r="Z24" i="2" s="1"/>
  <c r="P24" i="2"/>
  <c r="BO23" i="2"/>
  <c r="BM23" i="2"/>
  <c r="Y23" i="2"/>
  <c r="BP23" i="2" s="1"/>
  <c r="P23" i="2"/>
  <c r="BO22" i="2"/>
  <c r="BM22" i="2"/>
  <c r="Y22" i="2"/>
  <c r="H10" i="2"/>
  <c r="A9" i="2"/>
  <c r="F10" i="2" s="1"/>
  <c r="D7" i="2"/>
  <c r="Q6" i="2"/>
  <c r="P2" i="2"/>
  <c r="Z471" i="2" l="1"/>
  <c r="BN137" i="2"/>
  <c r="BN165" i="2"/>
  <c r="BN199" i="2"/>
  <c r="BN300" i="2"/>
  <c r="BN356" i="2"/>
  <c r="BP471" i="2"/>
  <c r="Z31" i="2"/>
  <c r="Z48" i="2"/>
  <c r="BN36" i="2"/>
  <c r="Z200" i="2"/>
  <c r="BN399" i="2"/>
  <c r="BN200" i="2"/>
  <c r="Y201" i="2"/>
  <c r="Z50" i="2"/>
  <c r="BN295" i="2"/>
  <c r="Y519" i="2"/>
  <c r="BN286" i="2"/>
  <c r="Y139" i="2"/>
  <c r="BN311" i="2"/>
  <c r="BN347" i="2"/>
  <c r="Z76" i="2"/>
  <c r="BN282" i="2"/>
  <c r="BN23" i="2"/>
  <c r="BP41" i="2"/>
  <c r="BN155" i="2"/>
  <c r="BP186" i="2"/>
  <c r="BP231" i="2"/>
  <c r="Y334" i="2"/>
  <c r="Y42" i="2"/>
  <c r="BP155" i="2"/>
  <c r="Y167" i="2"/>
  <c r="Y455" i="2"/>
  <c r="Z41" i="2"/>
  <c r="Z42" i="2" s="1"/>
  <c r="Y43" i="2"/>
  <c r="Y51" i="2"/>
  <c r="Z199" i="2"/>
  <c r="Y342" i="2"/>
  <c r="Y143" i="2"/>
  <c r="Z182" i="2"/>
  <c r="Z183" i="2" s="1"/>
  <c r="Z236" i="2"/>
  <c r="Z237" i="2" s="1"/>
  <c r="Z33" i="2"/>
  <c r="Y144" i="2"/>
  <c r="BP191" i="2"/>
  <c r="Y329" i="2"/>
  <c r="Y78" i="2"/>
  <c r="Z107" i="2"/>
  <c r="Y148" i="2"/>
  <c r="Y192" i="2"/>
  <c r="BP339" i="2"/>
  <c r="Y193" i="2"/>
  <c r="BP494" i="2"/>
  <c r="Z186" i="2"/>
  <c r="Z231" i="2"/>
  <c r="Z141" i="2"/>
  <c r="Z143" i="2" s="1"/>
  <c r="Z165" i="2"/>
  <c r="Z166" i="2" s="1"/>
  <c r="BP34" i="2"/>
  <c r="BP325" i="2"/>
  <c r="BN385" i="2"/>
  <c r="BN445" i="2"/>
  <c r="BN446" i="2"/>
  <c r="BN174" i="2"/>
  <c r="BP66" i="2"/>
  <c r="Z445" i="2"/>
  <c r="Y510" i="2"/>
  <c r="BP31" i="2"/>
  <c r="BN30" i="2"/>
  <c r="Z66" i="2"/>
  <c r="Z119" i="2"/>
  <c r="Z118" i="2"/>
  <c r="BN119" i="2"/>
  <c r="BN118" i="2"/>
  <c r="Z220" i="2"/>
  <c r="BN220" i="2"/>
  <c r="Z212" i="2"/>
  <c r="BN367" i="2"/>
  <c r="BN411" i="2"/>
  <c r="BN477" i="2"/>
  <c r="BP474" i="2"/>
  <c r="BN476" i="2"/>
  <c r="BN319" i="2"/>
  <c r="Z242" i="2"/>
  <c r="BN242" i="2"/>
  <c r="BN213" i="2"/>
  <c r="P535" i="2"/>
  <c r="BN491" i="2"/>
  <c r="BN262" i="2"/>
  <c r="BN252" i="2"/>
  <c r="Y88" i="2"/>
  <c r="BP490" i="2"/>
  <c r="BN371" i="2"/>
  <c r="BP257" i="2"/>
  <c r="BN256" i="2"/>
  <c r="BP262" i="2"/>
  <c r="BN464" i="2"/>
  <c r="Z470" i="2"/>
  <c r="BP470" i="2"/>
  <c r="BN482" i="2"/>
  <c r="BP252" i="2"/>
  <c r="BN364" i="2"/>
  <c r="BP111" i="2"/>
  <c r="Y102" i="2"/>
  <c r="Z98" i="2"/>
  <c r="BN264" i="2"/>
  <c r="Z417" i="2"/>
  <c r="Z418" i="2" s="1"/>
  <c r="BN98" i="2"/>
  <c r="BP417" i="2"/>
  <c r="BP421" i="2"/>
  <c r="BP508" i="2"/>
  <c r="BP209" i="2"/>
  <c r="Z209" i="2"/>
  <c r="Z444" i="2"/>
  <c r="BP444" i="2"/>
  <c r="BP473" i="2"/>
  <c r="Z490" i="2"/>
  <c r="BN402" i="2"/>
  <c r="BN254" i="2"/>
  <c r="Y422" i="2"/>
  <c r="Z421" i="2"/>
  <c r="Z422" i="2" s="1"/>
  <c r="Y423" i="2"/>
  <c r="Z85" i="2"/>
  <c r="BN85" i="2"/>
  <c r="Y419" i="2"/>
  <c r="Y129" i="2"/>
  <c r="H9" i="2"/>
  <c r="BP99" i="2"/>
  <c r="BN125" i="2"/>
  <c r="Z125" i="2"/>
  <c r="Z357" i="2"/>
  <c r="BN357" i="2"/>
  <c r="BN386" i="2"/>
  <c r="BP386" i="2"/>
  <c r="Z386" i="2"/>
  <c r="J9" i="2"/>
  <c r="Y26" i="2"/>
  <c r="BP35" i="2"/>
  <c r="BP47" i="2"/>
  <c r="BP65" i="2"/>
  <c r="BN65" i="2"/>
  <c r="BP93" i="2"/>
  <c r="Y103" i="2"/>
  <c r="BP117" i="2"/>
  <c r="Z117" i="2"/>
  <c r="BN117" i="2"/>
  <c r="BP127" i="2"/>
  <c r="Z127" i="2"/>
  <c r="BN127" i="2"/>
  <c r="BP175" i="2"/>
  <c r="Z175" i="2"/>
  <c r="BN175" i="2"/>
  <c r="BN176" i="2"/>
  <c r="BP176" i="2"/>
  <c r="Z176" i="2"/>
  <c r="Y321" i="2"/>
  <c r="BN317" i="2"/>
  <c r="Y320" i="2"/>
  <c r="BP317" i="2"/>
  <c r="Z317" i="2"/>
  <c r="BN372" i="2"/>
  <c r="BP372" i="2"/>
  <c r="Z372" i="2"/>
  <c r="BP59" i="2"/>
  <c r="Y132" i="2"/>
  <c r="BN131" i="2"/>
  <c r="Y133" i="2"/>
  <c r="BP131" i="2"/>
  <c r="Z131" i="2"/>
  <c r="Z132" i="2" s="1"/>
  <c r="BP197" i="2"/>
  <c r="K535" i="2"/>
  <c r="Z366" i="2"/>
  <c r="BN366" i="2"/>
  <c r="A10" i="2"/>
  <c r="Z23" i="2"/>
  <c r="X527" i="2"/>
  <c r="BP33" i="2"/>
  <c r="Z35" i="2"/>
  <c r="BN37" i="2"/>
  <c r="Y52" i="2"/>
  <c r="BN59" i="2"/>
  <c r="BN64" i="2"/>
  <c r="Z65" i="2"/>
  <c r="BN99" i="2"/>
  <c r="BN100" i="2"/>
  <c r="Z100" i="2"/>
  <c r="BP108" i="2"/>
  <c r="Z108" i="2"/>
  <c r="BN108" i="2"/>
  <c r="BN109" i="2"/>
  <c r="BP109" i="2"/>
  <c r="Z109" i="2"/>
  <c r="Y121" i="2"/>
  <c r="BP137" i="2"/>
  <c r="BP211" i="2"/>
  <c r="Z211" i="2"/>
  <c r="BN211" i="2"/>
  <c r="Y277" i="2"/>
  <c r="BN275" i="2"/>
  <c r="BN283" i="2"/>
  <c r="BP283" i="2"/>
  <c r="Z283" i="2"/>
  <c r="BN328" i="2"/>
  <c r="BP328" i="2"/>
  <c r="Z328" i="2"/>
  <c r="Z354" i="2"/>
  <c r="BN354" i="2"/>
  <c r="Y387" i="2"/>
  <c r="Z401" i="2"/>
  <c r="BN401" i="2"/>
  <c r="BN437" i="2"/>
  <c r="BP437" i="2"/>
  <c r="BP447" i="2"/>
  <c r="BN447" i="2"/>
  <c r="BN484" i="2"/>
  <c r="BP484" i="2"/>
  <c r="Y485" i="2"/>
  <c r="AA535" i="2"/>
  <c r="Y502" i="2"/>
  <c r="BN198" i="2"/>
  <c r="BP198" i="2"/>
  <c r="Z198" i="2"/>
  <c r="BP219" i="2"/>
  <c r="Z219" i="2"/>
  <c r="BN219" i="2"/>
  <c r="BN489" i="2"/>
  <c r="BP489" i="2"/>
  <c r="Z489" i="2"/>
  <c r="F9" i="2"/>
  <c r="BN47" i="2"/>
  <c r="BP48" i="2"/>
  <c r="BP74" i="2"/>
  <c r="Z74" i="2"/>
  <c r="BN74" i="2"/>
  <c r="BN75" i="2"/>
  <c r="BP75" i="2"/>
  <c r="Z75" i="2"/>
  <c r="BN93" i="2"/>
  <c r="BP94" i="2"/>
  <c r="Z94" i="2"/>
  <c r="BN94" i="2"/>
  <c r="BP125" i="2"/>
  <c r="BP153" i="2"/>
  <c r="Z153" i="2"/>
  <c r="Z156" i="2" s="1"/>
  <c r="BN153" i="2"/>
  <c r="Y202" i="2"/>
  <c r="BN221" i="2"/>
  <c r="BP221" i="2"/>
  <c r="Z221" i="2"/>
  <c r="BN232" i="2"/>
  <c r="BP232" i="2"/>
  <c r="BP265" i="2"/>
  <c r="Z265" i="2"/>
  <c r="BN270" i="2"/>
  <c r="Z270" i="2"/>
  <c r="Y278" i="2"/>
  <c r="Z285" i="2"/>
  <c r="BN285" i="2"/>
  <c r="BP357" i="2"/>
  <c r="BP366" i="2"/>
  <c r="BP30" i="2"/>
  <c r="BN92" i="2"/>
  <c r="BN136" i="2"/>
  <c r="Y156" i="2"/>
  <c r="BP154" i="2"/>
  <c r="BP161" i="2"/>
  <c r="Y188" i="2"/>
  <c r="Y189" i="2"/>
  <c r="BP212" i="2"/>
  <c r="BP236" i="2"/>
  <c r="Y238" i="2"/>
  <c r="BP246" i="2"/>
  <c r="BP251" i="2"/>
  <c r="BP255" i="2"/>
  <c r="BP266" i="2"/>
  <c r="BP276" i="2"/>
  <c r="BP299" i="2"/>
  <c r="BP310" i="2"/>
  <c r="BP333" i="2"/>
  <c r="BP346" i="2"/>
  <c r="BP360" i="2"/>
  <c r="BP364" i="2"/>
  <c r="BP378" i="2"/>
  <c r="BN384" i="2"/>
  <c r="Y388" i="2"/>
  <c r="Y408" i="2"/>
  <c r="BP412" i="2"/>
  <c r="BP416" i="2"/>
  <c r="BP517" i="2"/>
  <c r="BP264" i="2"/>
  <c r="BP267" i="2"/>
  <c r="BP282" i="2"/>
  <c r="BP327" i="2"/>
  <c r="Y335" i="2"/>
  <c r="BP356" i="2"/>
  <c r="BP367" i="2"/>
  <c r="BP371" i="2"/>
  <c r="BP379" i="2"/>
  <c r="BP399" i="2"/>
  <c r="BP402" i="2"/>
  <c r="Y418" i="2"/>
  <c r="BP436" i="2"/>
  <c r="Z446" i="2"/>
  <c r="Z477" i="2"/>
  <c r="BP483" i="2"/>
  <c r="Y509" i="2"/>
  <c r="BP76" i="2"/>
  <c r="BN161" i="2"/>
  <c r="BP213" i="2"/>
  <c r="BN214" i="2"/>
  <c r="BP222" i="2"/>
  <c r="Y237" i="2"/>
  <c r="Y244" i="2"/>
  <c r="BN246" i="2"/>
  <c r="BN251" i="2"/>
  <c r="BP254" i="2"/>
  <c r="BN255" i="2"/>
  <c r="BP256" i="2"/>
  <c r="Y259" i="2"/>
  <c r="BN266" i="2"/>
  <c r="BN276" i="2"/>
  <c r="BP287" i="2"/>
  <c r="Z295" i="2"/>
  <c r="Z296" i="2" s="1"/>
  <c r="BP295" i="2"/>
  <c r="Y297" i="2"/>
  <c r="BP308" i="2"/>
  <c r="BN310" i="2"/>
  <c r="BP311" i="2"/>
  <c r="BP319" i="2"/>
  <c r="Z332" i="2"/>
  <c r="BP332" i="2"/>
  <c r="BN333" i="2"/>
  <c r="BN346" i="2"/>
  <c r="BP347" i="2"/>
  <c r="Z384" i="2"/>
  <c r="BP384" i="2"/>
  <c r="BP411" i="2"/>
  <c r="BN412" i="2"/>
  <c r="BN416" i="2"/>
  <c r="Y449" i="2"/>
  <c r="Y466" i="2"/>
  <c r="BP464" i="2"/>
  <c r="BP476" i="2"/>
  <c r="Z491" i="2"/>
  <c r="Y514" i="2"/>
  <c r="BN517" i="2"/>
  <c r="BP32" i="2"/>
  <c r="BN32" i="2"/>
  <c r="Z57" i="2"/>
  <c r="Z160" i="2"/>
  <c r="Z162" i="2" s="1"/>
  <c r="Y162" i="2"/>
  <c r="J535" i="2"/>
  <c r="Z177" i="2"/>
  <c r="BP230" i="2"/>
  <c r="Y233" i="2"/>
  <c r="BN230" i="2"/>
  <c r="Y293" i="2"/>
  <c r="Y292" i="2"/>
  <c r="BP291" i="2"/>
  <c r="Z291" i="2"/>
  <c r="Z292" i="2" s="1"/>
  <c r="Y305" i="2"/>
  <c r="Z309" i="2"/>
  <c r="Z313" i="2" s="1"/>
  <c r="BP312" i="2"/>
  <c r="BN312" i="2"/>
  <c r="Y432" i="2"/>
  <c r="BP431" i="2"/>
  <c r="BN431" i="2"/>
  <c r="Z431" i="2"/>
  <c r="Z432" i="2" s="1"/>
  <c r="Y433" i="2"/>
  <c r="BN69" i="2"/>
  <c r="Z171" i="2"/>
  <c r="BP171" i="2"/>
  <c r="BN171" i="2"/>
  <c r="BP210" i="2"/>
  <c r="Y224" i="2"/>
  <c r="BN210" i="2"/>
  <c r="Z216" i="2"/>
  <c r="BP216" i="2"/>
  <c r="BN216" i="2"/>
  <c r="BN247" i="2"/>
  <c r="BP380" i="2"/>
  <c r="Z380" i="2"/>
  <c r="BN463" i="2"/>
  <c r="Z80" i="2"/>
  <c r="Y83" i="2"/>
  <c r="BP80" i="2"/>
  <c r="BP106" i="2"/>
  <c r="G535" i="2"/>
  <c r="BN106" i="2"/>
  <c r="Z106" i="2"/>
  <c r="Z120" i="2"/>
  <c r="BN177" i="2"/>
  <c r="Z210" i="2"/>
  <c r="Y234" i="2"/>
  <c r="BN309" i="2"/>
  <c r="Z360" i="2"/>
  <c r="Y382" i="2"/>
  <c r="Y381" i="2"/>
  <c r="Y70" i="2"/>
  <c r="BN154" i="2"/>
  <c r="BN267" i="2"/>
  <c r="Z286" i="2"/>
  <c r="Z377" i="2"/>
  <c r="BN380" i="2"/>
  <c r="Z392" i="2"/>
  <c r="BP392" i="2"/>
  <c r="BN392" i="2"/>
  <c r="V535" i="2"/>
  <c r="BP400" i="2"/>
  <c r="BN403" i="2"/>
  <c r="BP403" i="2"/>
  <c r="Y438" i="2"/>
  <c r="Y249" i="2"/>
  <c r="M535" i="2"/>
  <c r="Z247" i="2"/>
  <c r="Z248" i="2" s="1"/>
  <c r="Y39" i="2"/>
  <c r="BN80" i="2"/>
  <c r="Y95" i="2"/>
  <c r="Z112" i="2"/>
  <c r="BN120" i="2"/>
  <c r="BP126" i="2"/>
  <c r="BN126" i="2"/>
  <c r="Z126" i="2"/>
  <c r="BP160" i="2"/>
  <c r="BN205" i="2"/>
  <c r="BP205" i="2"/>
  <c r="L535" i="2"/>
  <c r="Y207" i="2"/>
  <c r="BP253" i="2"/>
  <c r="BN253" i="2"/>
  <c r="Y260" i="2"/>
  <c r="Z303" i="2"/>
  <c r="BP309" i="2"/>
  <c r="Z400" i="2"/>
  <c r="Z403" i="2"/>
  <c r="BN426" i="2"/>
  <c r="BP426" i="2"/>
  <c r="W535" i="2"/>
  <c r="Y429" i="2"/>
  <c r="Y535" i="2"/>
  <c r="Y459" i="2"/>
  <c r="BP458" i="2"/>
  <c r="BN458" i="2"/>
  <c r="Y313" i="2"/>
  <c r="BP326" i="2"/>
  <c r="Z326" i="2"/>
  <c r="Y439" i="2"/>
  <c r="BP492" i="2"/>
  <c r="Y495" i="2"/>
  <c r="BN492" i="2"/>
  <c r="BP69" i="2"/>
  <c r="BN24" i="2"/>
  <c r="BP24" i="2"/>
  <c r="Z67" i="2"/>
  <c r="Z86" i="2"/>
  <c r="BP120" i="2"/>
  <c r="I535" i="2"/>
  <c r="BP152" i="2"/>
  <c r="BN152" i="2"/>
  <c r="Z172" i="2"/>
  <c r="BN178" i="2"/>
  <c r="Z178" i="2"/>
  <c r="Z217" i="2"/>
  <c r="Y304" i="2"/>
  <c r="Z338" i="2"/>
  <c r="S535" i="2"/>
  <c r="BP338" i="2"/>
  <c r="Y341" i="2"/>
  <c r="BN338" i="2"/>
  <c r="Z345" i="2"/>
  <c r="BN400" i="2"/>
  <c r="Z435" i="2"/>
  <c r="Z492" i="2"/>
  <c r="Y248" i="2"/>
  <c r="BP92" i="2"/>
  <c r="BP112" i="2"/>
  <c r="Y223" i="2"/>
  <c r="BP268" i="2"/>
  <c r="BN268" i="2"/>
  <c r="BP303" i="2"/>
  <c r="BN326" i="2"/>
  <c r="BP377" i="2"/>
  <c r="Y414" i="2"/>
  <c r="BP410" i="2"/>
  <c r="Y413" i="2"/>
  <c r="Y61" i="2"/>
  <c r="Z22" i="2"/>
  <c r="Z25" i="2" s="1"/>
  <c r="Z73" i="2"/>
  <c r="Z77" i="2" s="1"/>
  <c r="Z81" i="2"/>
  <c r="BN86" i="2"/>
  <c r="BP100" i="2"/>
  <c r="Y179" i="2"/>
  <c r="Y180" i="2"/>
  <c r="Z169" i="2"/>
  <c r="Z268" i="2"/>
  <c r="Z393" i="2"/>
  <c r="Z404" i="2"/>
  <c r="BP404" i="2"/>
  <c r="BN404" i="2"/>
  <c r="Z410" i="2"/>
  <c r="Z413" i="2" s="1"/>
  <c r="BN435" i="2"/>
  <c r="BP475" i="2"/>
  <c r="Z475" i="2"/>
  <c r="BP478" i="2"/>
  <c r="BN478" i="2"/>
  <c r="Z478" i="2"/>
  <c r="Y38" i="2"/>
  <c r="BN58" i="2"/>
  <c r="X525" i="2"/>
  <c r="X526" i="2"/>
  <c r="BP58" i="2"/>
  <c r="BP67" i="2"/>
  <c r="BN107" i="2"/>
  <c r="Z110" i="2"/>
  <c r="Y113" i="2"/>
  <c r="BP172" i="2"/>
  <c r="BP178" i="2"/>
  <c r="Y206" i="2"/>
  <c r="BP217" i="2"/>
  <c r="Z259" i="2"/>
  <c r="BN265" i="2"/>
  <c r="Y273" i="2"/>
  <c r="BP281" i="2"/>
  <c r="Z281" i="2"/>
  <c r="O535" i="2"/>
  <c r="Y288" i="2"/>
  <c r="BP284" i="2"/>
  <c r="BN284" i="2"/>
  <c r="Z427" i="2"/>
  <c r="Z428" i="2" s="1"/>
  <c r="BP427" i="2"/>
  <c r="BN427" i="2"/>
  <c r="BN452" i="2"/>
  <c r="Y454" i="2"/>
  <c r="Z32" i="2"/>
  <c r="Y352" i="2"/>
  <c r="Y351" i="2"/>
  <c r="BP345" i="2"/>
  <c r="T535" i="2"/>
  <c r="X529" i="2"/>
  <c r="Z226" i="2"/>
  <c r="Z227" i="2" s="1"/>
  <c r="Y228" i="2"/>
  <c r="BP226" i="2"/>
  <c r="BN226" i="2"/>
  <c r="Z349" i="2"/>
  <c r="BP349" i="2"/>
  <c r="BN349" i="2"/>
  <c r="Y361" i="2"/>
  <c r="BP355" i="2"/>
  <c r="BN358" i="2"/>
  <c r="BP358" i="2"/>
  <c r="BN410" i="2"/>
  <c r="Z452" i="2"/>
  <c r="Y460" i="2"/>
  <c r="Y479" i="2"/>
  <c r="Z535" i="2"/>
  <c r="BP472" i="2"/>
  <c r="Y480" i="2"/>
  <c r="BN475" i="2"/>
  <c r="BN73" i="2"/>
  <c r="BP86" i="2"/>
  <c r="BP146" i="2"/>
  <c r="Y149" i="2"/>
  <c r="BN56" i="2"/>
  <c r="D535" i="2"/>
  <c r="Y60" i="2"/>
  <c r="BP81" i="2"/>
  <c r="Z101" i="2"/>
  <c r="BN110" i="2"/>
  <c r="Y114" i="2"/>
  <c r="Z146" i="2"/>
  <c r="Z187" i="2"/>
  <c r="Z188" i="2" s="1"/>
  <c r="BN281" i="2"/>
  <c r="Z339" i="2"/>
  <c r="Z355" i="2"/>
  <c r="Z358" i="2"/>
  <c r="BP393" i="2"/>
  <c r="Z472" i="2"/>
  <c r="Z28" i="2"/>
  <c r="BP169" i="2"/>
  <c r="BP214" i="2"/>
  <c r="BN257" i="2"/>
  <c r="Z269" i="2"/>
  <c r="BP269" i="2"/>
  <c r="BN269" i="2"/>
  <c r="Z275" i="2"/>
  <c r="Z277" i="2" s="1"/>
  <c r="BP301" i="2"/>
  <c r="BN301" i="2"/>
  <c r="Y465" i="2"/>
  <c r="Z302" i="2"/>
  <c r="BP302" i="2"/>
  <c r="BN302" i="2"/>
  <c r="BN348" i="2"/>
  <c r="BP348" i="2"/>
  <c r="BP22" i="2"/>
  <c r="Y25" i="2"/>
  <c r="BN22" i="2"/>
  <c r="B535" i="2"/>
  <c r="BP36" i="2"/>
  <c r="BP49" i="2"/>
  <c r="BN49" i="2"/>
  <c r="C535" i="2"/>
  <c r="Z56" i="2"/>
  <c r="Z60" i="2" s="1"/>
  <c r="Z68" i="2"/>
  <c r="BP73" i="2"/>
  <c r="Z124" i="2"/>
  <c r="Y128" i="2"/>
  <c r="BP124" i="2"/>
  <c r="BN124" i="2"/>
  <c r="H535" i="2"/>
  <c r="Z136" i="2"/>
  <c r="Z138" i="2" s="1"/>
  <c r="Y138" i="2"/>
  <c r="Z34" i="2"/>
  <c r="Z49" i="2"/>
  <c r="Z51" i="2" s="1"/>
  <c r="Y82" i="2"/>
  <c r="BP116" i="2"/>
  <c r="BN116" i="2"/>
  <c r="Y122" i="2"/>
  <c r="Z116" i="2"/>
  <c r="BN146" i="2"/>
  <c r="Y184" i="2"/>
  <c r="Y183" i="2"/>
  <c r="BN182" i="2"/>
  <c r="BN187" i="2"/>
  <c r="Z232" i="2"/>
  <c r="Z233" i="2" s="1"/>
  <c r="BP263" i="2"/>
  <c r="BN263" i="2"/>
  <c r="Y272" i="2"/>
  <c r="Z301" i="2"/>
  <c r="Z324" i="2"/>
  <c r="BN324" i="2"/>
  <c r="Y330" i="2"/>
  <c r="R535" i="2"/>
  <c r="BN355" i="2"/>
  <c r="Z405" i="2"/>
  <c r="Y428" i="2"/>
  <c r="BP452" i="2"/>
  <c r="BN472" i="2"/>
  <c r="BN29" i="2"/>
  <c r="Y374" i="2"/>
  <c r="BP373" i="2"/>
  <c r="BN373" i="2"/>
  <c r="Z373" i="2"/>
  <c r="Y375" i="2"/>
  <c r="Y486" i="2"/>
  <c r="BP463" i="2"/>
  <c r="Z463" i="2"/>
  <c r="BP29" i="2"/>
  <c r="BP57" i="2"/>
  <c r="Y163" i="2"/>
  <c r="BP28" i="2"/>
  <c r="BP56" i="2"/>
  <c r="BP68" i="2"/>
  <c r="F535" i="2"/>
  <c r="Y96" i="2"/>
  <c r="BN91" i="2"/>
  <c r="BP318" i="2"/>
  <c r="BN318" i="2"/>
  <c r="Q535" i="2"/>
  <c r="Z350" i="2"/>
  <c r="Z359" i="2"/>
  <c r="BP359" i="2"/>
  <c r="BN359" i="2"/>
  <c r="Y369" i="2"/>
  <c r="BP365" i="2"/>
  <c r="Y368" i="2"/>
  <c r="Z447" i="2"/>
  <c r="Z482" i="2"/>
  <c r="BP170" i="2"/>
  <c r="BN170" i="2"/>
  <c r="BP215" i="2"/>
  <c r="BN215" i="2"/>
  <c r="Z37" i="2"/>
  <c r="Y71" i="2"/>
  <c r="Y77" i="2"/>
  <c r="Y87" i="2"/>
  <c r="Z91" i="2"/>
  <c r="Z99" i="2"/>
  <c r="Z111" i="2"/>
  <c r="BP136" i="2"/>
  <c r="Z147" i="2"/>
  <c r="BP147" i="2"/>
  <c r="BN147" i="2"/>
  <c r="Y157" i="2"/>
  <c r="BP258" i="2"/>
  <c r="BN258" i="2"/>
  <c r="BP275" i="2"/>
  <c r="Y289" i="2"/>
  <c r="Z318" i="2"/>
  <c r="Z320" i="2" s="1"/>
  <c r="BP324" i="2"/>
  <c r="Z333" i="2"/>
  <c r="Z334" i="2" s="1"/>
  <c r="Z365" i="2"/>
  <c r="Z368" i="2" s="1"/>
  <c r="Y395" i="2"/>
  <c r="Y394" i="2"/>
  <c r="BN391" i="2"/>
  <c r="BP391" i="2"/>
  <c r="U535" i="2"/>
  <c r="BP405" i="2"/>
  <c r="Z191" i="2"/>
  <c r="Z192" i="2" s="1"/>
  <c r="Y314" i="2"/>
  <c r="Z325" i="2"/>
  <c r="Z379" i="2"/>
  <c r="Y407" i="2"/>
  <c r="Z437" i="2"/>
  <c r="Z462" i="2"/>
  <c r="Z474" i="2"/>
  <c r="Z484" i="2"/>
  <c r="Z494" i="2"/>
  <c r="Y501" i="2"/>
  <c r="Z508" i="2"/>
  <c r="Z509" i="2" s="1"/>
  <c r="Y513" i="2"/>
  <c r="Y518" i="2"/>
  <c r="Z300" i="2"/>
  <c r="Y450" i="2"/>
  <c r="BN462" i="2"/>
  <c r="Z504" i="2"/>
  <c r="Z505" i="2" s="1"/>
  <c r="Z516" i="2"/>
  <c r="Z518" i="2" s="1"/>
  <c r="Y243" i="2"/>
  <c r="Z522" i="2"/>
  <c r="Z523" i="2" s="1"/>
  <c r="BN504" i="2"/>
  <c r="BN516" i="2"/>
  <c r="Y496" i="2"/>
  <c r="BN522" i="2"/>
  <c r="BP504" i="2"/>
  <c r="Z436" i="2"/>
  <c r="Z448" i="2"/>
  <c r="Z493" i="2"/>
  <c r="BP64" i="2"/>
  <c r="BP165" i="2"/>
  <c r="Z173" i="2"/>
  <c r="Z197" i="2"/>
  <c r="Z218" i="2"/>
  <c r="Z241" i="2"/>
  <c r="Z271" i="2"/>
  <c r="Z340" i="2"/>
  <c r="Z406" i="2"/>
  <c r="Z443" i="2"/>
  <c r="Z453" i="2"/>
  <c r="Z488" i="2"/>
  <c r="Z500" i="2"/>
  <c r="Z501" i="2" s="1"/>
  <c r="Y505" i="2"/>
  <c r="Z512" i="2"/>
  <c r="Z513" i="2" s="1"/>
  <c r="Z299" i="2"/>
  <c r="BN378" i="2"/>
  <c r="BN473" i="2"/>
  <c r="BN483" i="2"/>
  <c r="BN493" i="2"/>
  <c r="Y523" i="2"/>
  <c r="E535" i="2"/>
  <c r="X535" i="2"/>
  <c r="BP522" i="2"/>
  <c r="BN173" i="2"/>
  <c r="BN197" i="2"/>
  <c r="BN218" i="2"/>
  <c r="BN241" i="2"/>
  <c r="BN271" i="2"/>
  <c r="BN340" i="2"/>
  <c r="Y362" i="2"/>
  <c r="BN406" i="2"/>
  <c r="BN443" i="2"/>
  <c r="BN453" i="2"/>
  <c r="BN488" i="2"/>
  <c r="BN500" i="2"/>
  <c r="BN512" i="2"/>
  <c r="BP443" i="2"/>
  <c r="BP500" i="2"/>
  <c r="Y524" i="2"/>
  <c r="Z201" i="2" l="1"/>
  <c r="Z243" i="2"/>
  <c r="Z87" i="2"/>
  <c r="Z485" i="2"/>
  <c r="Z288" i="2"/>
  <c r="Z223" i="2"/>
  <c r="Z374" i="2"/>
  <c r="Z102" i="2"/>
  <c r="Z95" i="2"/>
  <c r="Z407" i="2"/>
  <c r="X528" i="2"/>
  <c r="Z479" i="2"/>
  <c r="Z38" i="2"/>
  <c r="Z70" i="2"/>
  <c r="Z387" i="2"/>
  <c r="Z361" i="2"/>
  <c r="Z495" i="2"/>
  <c r="Z272" i="2"/>
  <c r="Z394" i="2"/>
  <c r="Z179" i="2"/>
  <c r="Y525" i="2"/>
  <c r="Z113" i="2"/>
  <c r="Y526" i="2"/>
  <c r="Z329" i="2"/>
  <c r="Y527" i="2"/>
  <c r="Z438" i="2"/>
  <c r="Z381" i="2"/>
  <c r="Z82" i="2"/>
  <c r="Y529" i="2"/>
  <c r="Z351" i="2"/>
  <c r="Z449" i="2"/>
  <c r="Z148" i="2"/>
  <c r="Z454" i="2"/>
  <c r="Z341" i="2"/>
  <c r="Z121" i="2"/>
  <c r="Z128" i="2"/>
  <c r="Z304" i="2"/>
  <c r="Z465" i="2"/>
  <c r="Y528" i="2" l="1"/>
  <c r="Z530" i="2"/>
</calcChain>
</file>

<file path=xl/sharedStrings.xml><?xml version="1.0" encoding="utf-8"?>
<sst xmlns="http://schemas.openxmlformats.org/spreadsheetml/2006/main" count="3933" uniqueCount="845">
  <si>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</si>
  <si>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</si>
  <si>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</si>
  <si>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</si>
  <si>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</si>
  <si>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</si>
  <si>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</si>
  <si>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</si>
  <si>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</si>
  <si>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</si>
  <si>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</si>
  <si>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</si>
  <si>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</si>
  <si>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</si>
  <si>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</si>
  <si>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</si>
  <si>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</si>
  <si>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</si>
  <si>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</si>
  <si>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</si>
  <si>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</si>
  <si>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</si>
  <si>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</si>
  <si>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</si>
  <si>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</si>
  <si>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</si>
  <si>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</si>
  <si>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</si>
  <si>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</si>
  <si>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</si>
  <si>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</si>
  <si>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</si>
  <si>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</si>
  <si>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</si>
  <si>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</si>
  <si>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</si>
  <si>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</si>
  <si>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</si>
  <si>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</si>
  <si>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</si>
  <si>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</si>
  <si>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</si>
  <si>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</si>
  <si>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</si>
  <si>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</si>
  <si>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</si>
  <si>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</si>
  <si>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</si>
  <si>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</si>
  <si>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</si>
  <si>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</si>
  <si>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</si>
  <si>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</si>
  <si>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</si>
  <si>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</si>
  <si>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</si>
  <si>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</si>
  <si>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</si>
  <si>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</si>
  <si>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</si>
  <si>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</si>
  <si>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</si>
  <si>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</si>
  <si>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</si>
  <si>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</si>
  <si>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</si>
  <si>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</si>
  <si>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</si>
  <si>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01.06.2026</t>
  </si>
  <si>
    <t>28.05.2026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</si>
  <si>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</si>
  <si>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</si>
  <si>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</si>
  <si>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</si>
  <si>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</si>
  <si>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</si>
  <si>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</si>
  <si>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</si>
  <si>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</si>
  <si>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</si>
  <si>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Копченые колбасы «Сервелат со вкусом Копченый мед» Фикс.вес 0,3 фиброуз срез ТМ «Ядрена копоть»</t>
  </si>
  <si>
    <t>ЕАЭС N RU Д-RU.РА03.В.24532/26</t>
  </si>
  <si>
    <t>Новинка</t>
  </si>
  <si>
    <t>СК2</t>
  </si>
  <si>
    <t>18</t>
  </si>
  <si>
    <t>SU004004</t>
  </si>
  <si>
    <t>P005154</t>
  </si>
  <si>
    <t>ЕАЭС N RU Д-RU.РА09.В.81943/25</t>
  </si>
  <si>
    <t>14</t>
  </si>
  <si>
    <t>SU003188</t>
  </si>
  <si>
    <t>P003827</t>
  </si>
  <si>
    <t>ЕАЭС N RU Д-RU.РА03.В.12177/26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</si>
  <si>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</si>
  <si>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</si>
  <si>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</si>
  <si>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</si>
  <si>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</si>
  <si>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</si>
  <si>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</si>
  <si>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</si>
  <si>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</si>
  <si>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</si>
  <si>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</si>
  <si>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</si>
  <si>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</si>
  <si>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</si>
  <si>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</si>
  <si>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</si>
  <si>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</si>
  <si>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</si>
  <si>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</si>
  <si>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</si>
  <si>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</si>
  <si>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</si>
  <si>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</si>
  <si>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</si>
  <si>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</si>
  <si>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SU004127</t>
  </si>
  <si>
    <t>P005392</t>
  </si>
  <si>
    <t>ЕАЭС N RU Д-RU.РА09.В.79657/25, ЕАЭС N RU Д-RU.РА09.В.79724/25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</si>
  <si>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</si>
  <si>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</si>
  <si>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</si>
  <si>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</si>
  <si>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</si>
  <si>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</si>
  <si>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</si>
  <si>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</si>
  <si>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</si>
  <si>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</si>
  <si>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03.06.2026</t>
  </si>
  <si>
    <t>SU004134</t>
  </si>
  <si>
    <t>P005395</t>
  </si>
  <si>
    <t>Сосиски «со вкусом Кебаб по-грузински» Фикс.вес 0,32 целлофан ТМ «Горячая штучка»</t>
  </si>
  <si>
    <t>ЕАЭС N RU Д-RU.РА02.В.13825/26</t>
  </si>
  <si>
    <t>SU004132</t>
  </si>
  <si>
    <t>P005393</t>
  </si>
  <si>
    <t>ЕАЭС N RU Д-RU.РА02.В.11087/26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</si>
  <si>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</si>
  <si>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</si>
  <si>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</si>
  <si>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</si>
  <si>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</si>
  <si>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</si>
  <si>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</si>
  <si>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</si>
  <si>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</si>
  <si>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</si>
  <si>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</si>
  <si>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</si>
  <si>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</si>
  <si>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</si>
  <si>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</si>
  <si>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</si>
  <si>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</si>
  <si>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</si>
  <si>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</si>
  <si>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</si>
  <si>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</si>
  <si>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</si>
  <si>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</si>
  <si>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</si>
  <si>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</si>
  <si>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</si>
  <si>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</si>
  <si>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</si>
  <si>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</si>
  <si>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</si>
  <si>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</si>
  <si>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</si>
  <si>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</si>
  <si>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</si>
  <si>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</si>
  <si>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</si>
  <si>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</si>
  <si>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</si>
  <si>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</si>
  <si>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</si>
  <si>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</si>
  <si>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</si>
  <si>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</si>
  <si>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</si>
  <si>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</si>
  <si>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</si>
  <si>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</si>
  <si>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</si>
  <si>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</si>
  <si>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</si>
  <si>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</si>
  <si>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</si>
  <si>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</si>
  <si>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</si>
  <si>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</si>
  <si>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</si>
  <si>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</si>
  <si>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</si>
  <si>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</si>
  <si>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</si>
  <si>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</si>
  <si>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</si>
  <si>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</si>
  <si>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</si>
  <si>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</si>
  <si>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</si>
  <si>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</si>
  <si>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</si>
  <si>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</si>
  <si>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</si>
  <si>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</si>
  <si>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</si>
  <si>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</si>
  <si>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</si>
  <si>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</si>
  <si>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</si>
  <si>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</si>
  <si>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</si>
  <si>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</si>
  <si>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</si>
  <si>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</si>
  <si>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</si>
  <si>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</si>
  <si>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</si>
  <si>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</si>
  <si>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</si>
  <si>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</si>
  <si>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</si>
  <si>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</si>
  <si>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</si>
  <si>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</si>
  <si>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</si>
  <si>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</si>
  <si>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</si>
  <si>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</si>
  <si>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</si>
  <si>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</si>
  <si>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</si>
  <si>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</si>
  <si>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</si>
  <si>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</si>
  <si>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</si>
  <si>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</si>
  <si>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</si>
  <si>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</si>
  <si>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</si>
  <si>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</si>
  <si>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</si>
  <si>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</si>
  <si>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</si>
  <si>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</si>
  <si>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</si>
  <si>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P004609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</si>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</sst>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2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3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5"/>
  <sheetViews>
    <sheetView showGridLines="0" tabSelected="1" zoomScaleNormal="100" zoomScaleSheetLayoutView="100" workbookViewId="0">
      <selection activeCell="AA56" sqref="AA5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93" t="s">
        <v>26</v>
      </c>
      <c r="E1" s="593"/>
      <c r="F1" s="593"/>
      <c r="G1" s="14" t="s">
        <v>67</v>
      </c>
      <c r="H1" s="593" t="s">
        <v>47</v>
      </c>
      <c r="I1" s="593"/>
      <c r="J1" s="593"/>
      <c r="K1" s="593"/>
      <c r="L1" s="593"/>
      <c r="M1" s="593"/>
      <c r="N1" s="593"/>
      <c r="O1" s="593"/>
      <c r="P1" s="593"/>
      <c r="Q1" s="593"/>
      <c r="R1" s="594" t="s">
        <v>68</v>
      </c>
      <c r="S1" s="595"/>
      <c r="T1" s="59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96"/>
      <c r="R2" s="596"/>
      <c r="S2" s="596"/>
      <c r="T2" s="596"/>
      <c r="U2" s="596"/>
      <c r="V2" s="596"/>
      <c r="W2" s="59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96"/>
      <c r="Q3" s="596"/>
      <c r="R3" s="596"/>
      <c r="S3" s="596"/>
      <c r="T3" s="596"/>
      <c r="U3" s="596"/>
      <c r="V3" s="596"/>
      <c r="W3" s="59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97" t="s">
        <v>8</v>
      </c>
      <c r="B5" s="597"/>
      <c r="C5" s="597"/>
      <c r="D5" s="598"/>
      <c r="E5" s="598"/>
      <c r="F5" s="599" t="s">
        <v>14</v>
      </c>
      <c r="G5" s="599"/>
      <c r="H5" s="598" t="s">
        <v>844</v>
      </c>
      <c r="I5" s="598"/>
      <c r="J5" s="598"/>
      <c r="K5" s="598"/>
      <c r="L5" s="598"/>
      <c r="M5" s="598"/>
      <c r="N5" s="69"/>
      <c r="P5" s="26" t="s">
        <v>4</v>
      </c>
      <c r="Q5" s="600">
        <v>46205</v>
      </c>
      <c r="R5" s="600"/>
      <c r="T5" s="601" t="s">
        <v>3</v>
      </c>
      <c r="U5" s="602"/>
      <c r="V5" s="603" t="s">
        <v>820</v>
      </c>
      <c r="W5" s="604"/>
      <c r="AB5" s="57"/>
      <c r="AC5" s="57"/>
      <c r="AD5" s="57"/>
      <c r="AE5" s="57"/>
    </row>
    <row r="6" spans="1:32" s="17" customFormat="1" ht="24" customHeight="1" x14ac:dyDescent="0.2">
      <c r="A6" s="597" t="s">
        <v>1</v>
      </c>
      <c r="B6" s="597"/>
      <c r="C6" s="597"/>
      <c r="D6" s="605" t="s">
        <v>827</v>
      </c>
      <c r="E6" s="605"/>
      <c r="F6" s="605"/>
      <c r="G6" s="605"/>
      <c r="H6" s="605"/>
      <c r="I6" s="605"/>
      <c r="J6" s="605"/>
      <c r="K6" s="605"/>
      <c r="L6" s="605"/>
      <c r="M6" s="605"/>
      <c r="N6" s="70"/>
      <c r="P6" s="26" t="s">
        <v>27</v>
      </c>
      <c r="Q6" s="606" t="str">
        <f>IF(Q5=0," ",CHOOSE(WEEKDAY(Q5,2),"Понедельник","Вторник","Среда","Четверг","Пятница","Суббота","Воскресенье"))</f>
        <v>Четверг</v>
      </c>
      <c r="R6" s="606"/>
      <c r="T6" s="607" t="s">
        <v>5</v>
      </c>
      <c r="U6" s="608"/>
      <c r="V6" s="609" t="s">
        <v>70</v>
      </c>
      <c r="W6" s="61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15" t="str">
        <f>IFERROR(VLOOKUP(DeliveryAddress,Table,3,0),1)</f>
        <v>3</v>
      </c>
      <c r="E7" s="616"/>
      <c r="F7" s="616"/>
      <c r="G7" s="616"/>
      <c r="H7" s="616"/>
      <c r="I7" s="616"/>
      <c r="J7" s="616"/>
      <c r="K7" s="616"/>
      <c r="L7" s="616"/>
      <c r="M7" s="617"/>
      <c r="N7" s="71"/>
      <c r="P7" s="26"/>
      <c r="Q7" s="46"/>
      <c r="R7" s="46"/>
      <c r="T7" s="607"/>
      <c r="U7" s="608"/>
      <c r="V7" s="611"/>
      <c r="W7" s="612"/>
      <c r="AB7" s="57"/>
      <c r="AC7" s="57"/>
      <c r="AD7" s="57"/>
      <c r="AE7" s="57"/>
    </row>
    <row r="8" spans="1:32" s="17" customFormat="1" ht="25.5" customHeight="1" x14ac:dyDescent="0.2">
      <c r="A8" s="618" t="s">
        <v>58</v>
      </c>
      <c r="B8" s="618"/>
      <c r="C8" s="618"/>
      <c r="D8" s="619"/>
      <c r="E8" s="619"/>
      <c r="F8" s="619"/>
      <c r="G8" s="619"/>
      <c r="H8" s="619"/>
      <c r="I8" s="619"/>
      <c r="J8" s="619"/>
      <c r="K8" s="619"/>
      <c r="L8" s="619"/>
      <c r="M8" s="619"/>
      <c r="N8" s="72"/>
      <c r="P8" s="26" t="s">
        <v>11</v>
      </c>
      <c r="Q8" s="620">
        <v>0.58333333333333337</v>
      </c>
      <c r="R8" s="620"/>
      <c r="T8" s="607"/>
      <c r="U8" s="608"/>
      <c r="V8" s="611"/>
      <c r="W8" s="612"/>
      <c r="AB8" s="57"/>
      <c r="AC8" s="57"/>
      <c r="AD8" s="57"/>
      <c r="AE8" s="57"/>
    </row>
    <row r="9" spans="1:32" s="17" customFormat="1" ht="39.950000000000003" customHeight="1" x14ac:dyDescent="0.2">
      <c r="A9" s="62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1"/>
      <c r="C9" s="621"/>
      <c r="D9" s="622" t="s">
        <v>46</v>
      </c>
      <c r="E9" s="623"/>
      <c r="F9" s="62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1"/>
      <c r="H9" s="624" t="str">
        <f>IF(AND($A$9="Тип доверенности/получателя при получении в адресе перегруза:",$D$9="Разовая доверенность"),"Введите ФИО","")</f>
        <v/>
      </c>
      <c r="I9" s="624"/>
      <c r="J9" s="62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4"/>
      <c r="L9" s="624"/>
      <c r="M9" s="624"/>
      <c r="N9" s="67"/>
      <c r="P9" s="29" t="s">
        <v>15</v>
      </c>
      <c r="Q9" s="625"/>
      <c r="R9" s="625"/>
      <c r="T9" s="607"/>
      <c r="U9" s="608"/>
      <c r="V9" s="613"/>
      <c r="W9" s="61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2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1"/>
      <c r="C10" s="621"/>
      <c r="D10" s="622"/>
      <c r="E10" s="623"/>
      <c r="F10" s="62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1"/>
      <c r="H10" s="626" t="str">
        <f>IFERROR(VLOOKUP($D$10,Proxy,2,FALSE),"")</f>
        <v/>
      </c>
      <c r="I10" s="626"/>
      <c r="J10" s="626"/>
      <c r="K10" s="626"/>
      <c r="L10" s="626"/>
      <c r="M10" s="626"/>
      <c r="N10" s="68"/>
      <c r="P10" s="29" t="s">
        <v>32</v>
      </c>
      <c r="Q10" s="627"/>
      <c r="R10" s="627"/>
      <c r="U10" s="26" t="s">
        <v>12</v>
      </c>
      <c r="V10" s="628" t="s">
        <v>71</v>
      </c>
      <c r="W10" s="62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30"/>
      <c r="R11" s="630"/>
      <c r="U11" s="26" t="s">
        <v>28</v>
      </c>
      <c r="V11" s="631" t="s">
        <v>55</v>
      </c>
      <c r="W11" s="63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32" t="s">
        <v>72</v>
      </c>
      <c r="B12" s="632"/>
      <c r="C12" s="632"/>
      <c r="D12" s="632"/>
      <c r="E12" s="632"/>
      <c r="F12" s="632"/>
      <c r="G12" s="632"/>
      <c r="H12" s="632"/>
      <c r="I12" s="632"/>
      <c r="J12" s="632"/>
      <c r="K12" s="632"/>
      <c r="L12" s="632"/>
      <c r="M12" s="632"/>
      <c r="N12" s="73"/>
      <c r="P12" s="26" t="s">
        <v>30</v>
      </c>
      <c r="Q12" s="620"/>
      <c r="R12" s="620"/>
      <c r="S12" s="27"/>
      <c r="T12"/>
      <c r="U12" s="26" t="s">
        <v>46</v>
      </c>
      <c r="V12" s="633"/>
      <c r="W12" s="633"/>
      <c r="X12"/>
      <c r="AB12" s="57"/>
      <c r="AC12" s="57"/>
      <c r="AD12" s="57"/>
      <c r="AE12" s="57"/>
    </row>
    <row r="13" spans="1:32" s="17" customFormat="1" ht="23.25" customHeight="1" x14ac:dyDescent="0.2">
      <c r="A13" s="632" t="s">
        <v>73</v>
      </c>
      <c r="B13" s="632"/>
      <c r="C13" s="632"/>
      <c r="D13" s="632"/>
      <c r="E13" s="632"/>
      <c r="F13" s="632"/>
      <c r="G13" s="632"/>
      <c r="H13" s="632"/>
      <c r="I13" s="632"/>
      <c r="J13" s="632"/>
      <c r="K13" s="632"/>
      <c r="L13" s="632"/>
      <c r="M13" s="632"/>
      <c r="N13" s="73"/>
      <c r="O13" s="29"/>
      <c r="P13" s="29" t="s">
        <v>31</v>
      </c>
      <c r="Q13" s="631"/>
      <c r="R13" s="63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32" t="s">
        <v>74</v>
      </c>
      <c r="B14" s="632"/>
      <c r="C14" s="632"/>
      <c r="D14" s="632"/>
      <c r="E14" s="632"/>
      <c r="F14" s="632"/>
      <c r="G14" s="632"/>
      <c r="H14" s="632"/>
      <c r="I14" s="632"/>
      <c r="J14" s="632"/>
      <c r="K14" s="632"/>
      <c r="L14" s="632"/>
      <c r="M14" s="63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34" t="s">
        <v>75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4"/>
      <c r="N15" s="74"/>
      <c r="O15"/>
      <c r="P15" s="635" t="s">
        <v>61</v>
      </c>
      <c r="Q15" s="635"/>
      <c r="R15" s="635"/>
      <c r="S15" s="635"/>
      <c r="T15" s="63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36"/>
      <c r="Q16" s="636"/>
      <c r="R16" s="636"/>
      <c r="S16" s="636"/>
      <c r="T16" s="63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39" t="s">
        <v>59</v>
      </c>
      <c r="B17" s="639" t="s">
        <v>49</v>
      </c>
      <c r="C17" s="641" t="s">
        <v>48</v>
      </c>
      <c r="D17" s="643" t="s">
        <v>50</v>
      </c>
      <c r="E17" s="644"/>
      <c r="F17" s="639" t="s">
        <v>21</v>
      </c>
      <c r="G17" s="639" t="s">
        <v>24</v>
      </c>
      <c r="H17" s="639" t="s">
        <v>22</v>
      </c>
      <c r="I17" s="639" t="s">
        <v>23</v>
      </c>
      <c r="J17" s="639" t="s">
        <v>16</v>
      </c>
      <c r="K17" s="639" t="s">
        <v>66</v>
      </c>
      <c r="L17" s="639" t="s">
        <v>64</v>
      </c>
      <c r="M17" s="639" t="s">
        <v>2</v>
      </c>
      <c r="N17" s="639" t="s">
        <v>63</v>
      </c>
      <c r="O17" s="639" t="s">
        <v>25</v>
      </c>
      <c r="P17" s="643" t="s">
        <v>17</v>
      </c>
      <c r="Q17" s="647"/>
      <c r="R17" s="647"/>
      <c r="S17" s="647"/>
      <c r="T17" s="644"/>
      <c r="U17" s="637" t="s">
        <v>56</v>
      </c>
      <c r="V17" s="638"/>
      <c r="W17" s="639" t="s">
        <v>6</v>
      </c>
      <c r="X17" s="639" t="s">
        <v>41</v>
      </c>
      <c r="Y17" s="649" t="s">
        <v>54</v>
      </c>
      <c r="Z17" s="651" t="s">
        <v>18</v>
      </c>
      <c r="AA17" s="653" t="s">
        <v>60</v>
      </c>
      <c r="AB17" s="653" t="s">
        <v>19</v>
      </c>
      <c r="AC17" s="653" t="s">
        <v>65</v>
      </c>
      <c r="AD17" s="655" t="s">
        <v>57</v>
      </c>
      <c r="AE17" s="656"/>
      <c r="AF17" s="657"/>
      <c r="AG17" s="77"/>
      <c r="BD17" s="76" t="s">
        <v>62</v>
      </c>
    </row>
    <row r="18" spans="1:68" ht="14.25" customHeight="1" x14ac:dyDescent="0.2">
      <c r="A18" s="640"/>
      <c r="B18" s="640"/>
      <c r="C18" s="642"/>
      <c r="D18" s="645"/>
      <c r="E18" s="646"/>
      <c r="F18" s="640"/>
      <c r="G18" s="640"/>
      <c r="H18" s="640"/>
      <c r="I18" s="640"/>
      <c r="J18" s="640"/>
      <c r="K18" s="640"/>
      <c r="L18" s="640"/>
      <c r="M18" s="640"/>
      <c r="N18" s="640"/>
      <c r="O18" s="640"/>
      <c r="P18" s="645"/>
      <c r="Q18" s="648"/>
      <c r="R18" s="648"/>
      <c r="S18" s="648"/>
      <c r="T18" s="646"/>
      <c r="U18" s="78" t="s">
        <v>44</v>
      </c>
      <c r="V18" s="78" t="s">
        <v>43</v>
      </c>
      <c r="W18" s="640"/>
      <c r="X18" s="640"/>
      <c r="Y18" s="650"/>
      <c r="Z18" s="652"/>
      <c r="AA18" s="654"/>
      <c r="AB18" s="654"/>
      <c r="AC18" s="654"/>
      <c r="AD18" s="658"/>
      <c r="AE18" s="659"/>
      <c r="AF18" s="660"/>
      <c r="AG18" s="77"/>
      <c r="BD18" s="76"/>
    </row>
    <row r="19" spans="1:68" ht="27.75" hidden="1" customHeight="1" x14ac:dyDescent="0.2">
      <c r="A19" s="661" t="s">
        <v>76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52"/>
      <c r="AB19" s="52"/>
      <c r="AC19" s="52"/>
    </row>
    <row r="20" spans="1:68" ht="16.5" hidden="1" customHeight="1" x14ac:dyDescent="0.25">
      <c r="A20" s="662" t="s">
        <v>76</v>
      </c>
      <c r="B20" s="662"/>
      <c r="C20" s="662"/>
      <c r="D20" s="662"/>
      <c r="E20" s="662"/>
      <c r="F20" s="662"/>
      <c r="G20" s="662"/>
      <c r="H20" s="662"/>
      <c r="I20" s="662"/>
      <c r="J20" s="662"/>
      <c r="K20" s="662"/>
      <c r="L20" s="662"/>
      <c r="M20" s="662"/>
      <c r="N20" s="662"/>
      <c r="O20" s="662"/>
      <c r="P20" s="662"/>
      <c r="Q20" s="662"/>
      <c r="R20" s="662"/>
      <c r="S20" s="662"/>
      <c r="T20" s="662"/>
      <c r="U20" s="662"/>
      <c r="V20" s="662"/>
      <c r="W20" s="662"/>
      <c r="X20" s="662"/>
      <c r="Y20" s="662"/>
      <c r="Z20" s="662"/>
      <c r="AA20" s="62"/>
      <c r="AB20" s="62"/>
      <c r="AC20" s="62"/>
    </row>
    <row r="21" spans="1:68" ht="14.25" hidden="1" customHeight="1" x14ac:dyDescent="0.25">
      <c r="A21" s="663" t="s">
        <v>77</v>
      </c>
      <c r="B21" s="663"/>
      <c r="C21" s="663"/>
      <c r="D21" s="663"/>
      <c r="E21" s="663"/>
      <c r="F21" s="663"/>
      <c r="G21" s="663"/>
      <c r="H21" s="663"/>
      <c r="I21" s="663"/>
      <c r="J21" s="663"/>
      <c r="K21" s="663"/>
      <c r="L21" s="663"/>
      <c r="M21" s="663"/>
      <c r="N21" s="663"/>
      <c r="O21" s="663"/>
      <c r="P21" s="663"/>
      <c r="Q21" s="663"/>
      <c r="R21" s="663"/>
      <c r="S21" s="663"/>
      <c r="T21" s="663"/>
      <c r="U21" s="663"/>
      <c r="V21" s="663"/>
      <c r="W21" s="663"/>
      <c r="X21" s="663"/>
      <c r="Y21" s="663"/>
      <c r="Z21" s="663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4301031508</v>
      </c>
      <c r="D22" s="664">
        <v>4680115889071</v>
      </c>
      <c r="E22" s="664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84</v>
      </c>
      <c r="L22" s="35" t="s">
        <v>46</v>
      </c>
      <c r="M22" s="36" t="s">
        <v>83</v>
      </c>
      <c r="N22" s="36"/>
      <c r="O22" s="35">
        <v>40</v>
      </c>
      <c r="P22" s="665" t="s">
        <v>80</v>
      </c>
      <c r="Q22" s="666"/>
      <c r="R22" s="666"/>
      <c r="S22" s="666"/>
      <c r="T22" s="66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82</v>
      </c>
      <c r="AC22" s="81" t="s">
        <v>81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85</v>
      </c>
      <c r="B23" s="60" t="s">
        <v>86</v>
      </c>
      <c r="C23" s="34">
        <v>4301031446</v>
      </c>
      <c r="D23" s="664">
        <v>4680115887510</v>
      </c>
      <c r="E23" s="664"/>
      <c r="F23" s="59">
        <v>0.2</v>
      </c>
      <c r="G23" s="35">
        <v>6</v>
      </c>
      <c r="H23" s="59">
        <v>1.2</v>
      </c>
      <c r="I23" s="59">
        <v>1.38</v>
      </c>
      <c r="J23" s="35">
        <v>182</v>
      </c>
      <c r="K23" s="35" t="s">
        <v>88</v>
      </c>
      <c r="L23" s="35" t="s">
        <v>46</v>
      </c>
      <c r="M23" s="36" t="s">
        <v>83</v>
      </c>
      <c r="N23" s="36"/>
      <c r="O23" s="35">
        <v>40</v>
      </c>
      <c r="P23" s="66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3" s="666"/>
      <c r="R23" s="666"/>
      <c r="S23" s="666"/>
      <c r="T23" s="66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IFERROR(IF(Y23=0,"",ROUNDUP(Y23/H23,0)*0.00651),"")</f>
        <v/>
      </c>
      <c r="AA23" s="65" t="s">
        <v>46</v>
      </c>
      <c r="AB23" s="66" t="s">
        <v>46</v>
      </c>
      <c r="AC23" s="83" t="s">
        <v>87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t="27" hidden="1" customHeight="1" x14ac:dyDescent="0.25">
      <c r="A24" s="60" t="s">
        <v>89</v>
      </c>
      <c r="B24" s="60" t="s">
        <v>90</v>
      </c>
      <c r="C24" s="34">
        <v>4301031278</v>
      </c>
      <c r="D24" s="664">
        <v>4680115886643</v>
      </c>
      <c r="E24" s="664"/>
      <c r="F24" s="59">
        <v>0.19</v>
      </c>
      <c r="G24" s="35">
        <v>10</v>
      </c>
      <c r="H24" s="59">
        <v>1.9</v>
      </c>
      <c r="I24" s="59">
        <v>2</v>
      </c>
      <c r="J24" s="35">
        <v>234</v>
      </c>
      <c r="K24" s="35" t="s">
        <v>84</v>
      </c>
      <c r="L24" s="35" t="s">
        <v>46</v>
      </c>
      <c r="M24" s="36" t="s">
        <v>83</v>
      </c>
      <c r="N24" s="36"/>
      <c r="O24" s="35">
        <v>40</v>
      </c>
      <c r="P24" s="6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4" s="666"/>
      <c r="R24" s="666"/>
      <c r="S24" s="666"/>
      <c r="T24" s="667"/>
      <c r="U24" s="37" t="s">
        <v>46</v>
      </c>
      <c r="V24" s="37" t="s">
        <v>46</v>
      </c>
      <c r="W24" s="38" t="s">
        <v>0</v>
      </c>
      <c r="X24" s="56">
        <v>0</v>
      </c>
      <c r="Y24" s="53">
        <f>IFERROR(IF(X24="",0,CEILING((X24/$H24),1)*$H24),"")</f>
        <v>0</v>
      </c>
      <c r="Z24" s="39" t="str">
        <f>IFERROR(IF(Y24=0,"",ROUNDUP(Y24/H24,0)*0.00502),"")</f>
        <v/>
      </c>
      <c r="AA24" s="65" t="s">
        <v>46</v>
      </c>
      <c r="AB24" s="66" t="s">
        <v>46</v>
      </c>
      <c r="AC24" s="85" t="s">
        <v>91</v>
      </c>
      <c r="AG24" s="75"/>
      <c r="AJ24" s="79" t="s">
        <v>46</v>
      </c>
      <c r="AK24" s="79">
        <v>0</v>
      </c>
      <c r="BB24" s="86" t="s">
        <v>67</v>
      </c>
      <c r="BM24" s="75">
        <f>IFERROR(X24*I24/H24,"0")</f>
        <v>0</v>
      </c>
      <c r="BN24" s="75">
        <f>IFERROR(Y24*I24/H24,"0")</f>
        <v>0</v>
      </c>
      <c r="BO24" s="75">
        <f>IFERROR(1/J24*(X24/H24),"0")</f>
        <v>0</v>
      </c>
      <c r="BP24" s="75">
        <f>IFERROR(1/J24*(Y24/H24),"0")</f>
        <v>0</v>
      </c>
    </row>
    <row r="25" spans="1:68" hidden="1" x14ac:dyDescent="0.2">
      <c r="A25" s="673"/>
      <c r="B25" s="673"/>
      <c r="C25" s="673"/>
      <c r="D25" s="673"/>
      <c r="E25" s="673"/>
      <c r="F25" s="673"/>
      <c r="G25" s="673"/>
      <c r="H25" s="673"/>
      <c r="I25" s="673"/>
      <c r="J25" s="673"/>
      <c r="K25" s="673"/>
      <c r="L25" s="673"/>
      <c r="M25" s="673"/>
      <c r="N25" s="673"/>
      <c r="O25" s="674"/>
      <c r="P25" s="670" t="s">
        <v>40</v>
      </c>
      <c r="Q25" s="671"/>
      <c r="R25" s="671"/>
      <c r="S25" s="671"/>
      <c r="T25" s="671"/>
      <c r="U25" s="671"/>
      <c r="V25" s="672"/>
      <c r="W25" s="40" t="s">
        <v>39</v>
      </c>
      <c r="X25" s="41">
        <f>IFERROR(X22/H22,"0")+IFERROR(X23/H23,"0")+IFERROR(X24/H24,"0")</f>
        <v>0</v>
      </c>
      <c r="Y25" s="41">
        <f>IFERROR(Y22/H22,"0")+IFERROR(Y23/H23,"0")+IFERROR(Y24/H24,"0")</f>
        <v>0</v>
      </c>
      <c r="Z25" s="41">
        <f>IFERROR(IF(Z22="",0,Z22),"0")+IFERROR(IF(Z23="",0,Z23),"0")+IFERROR(IF(Z24="",0,Z24),"0")</f>
        <v>0</v>
      </c>
      <c r="AA25" s="64"/>
      <c r="AB25" s="64"/>
      <c r="AC25" s="64"/>
    </row>
    <row r="26" spans="1:68" hidden="1" x14ac:dyDescent="0.2">
      <c r="A26" s="673"/>
      <c r="B26" s="673"/>
      <c r="C26" s="673"/>
      <c r="D26" s="673"/>
      <c r="E26" s="673"/>
      <c r="F26" s="673"/>
      <c r="G26" s="673"/>
      <c r="H26" s="673"/>
      <c r="I26" s="673"/>
      <c r="J26" s="673"/>
      <c r="K26" s="673"/>
      <c r="L26" s="673"/>
      <c r="M26" s="673"/>
      <c r="N26" s="673"/>
      <c r="O26" s="674"/>
      <c r="P26" s="670" t="s">
        <v>40</v>
      </c>
      <c r="Q26" s="671"/>
      <c r="R26" s="671"/>
      <c r="S26" s="671"/>
      <c r="T26" s="671"/>
      <c r="U26" s="671"/>
      <c r="V26" s="672"/>
      <c r="W26" s="40" t="s">
        <v>0</v>
      </c>
      <c r="X26" s="41">
        <f>IFERROR(SUM(X22:X24),"0")</f>
        <v>0</v>
      </c>
      <c r="Y26" s="41">
        <f>IFERROR(SUM(Y22:Y24),"0")</f>
        <v>0</v>
      </c>
      <c r="Z26" s="40"/>
      <c r="AA26" s="64"/>
      <c r="AB26" s="64"/>
      <c r="AC26" s="64"/>
    </row>
    <row r="27" spans="1:68" ht="14.25" hidden="1" customHeight="1" x14ac:dyDescent="0.25">
      <c r="A27" s="663" t="s">
        <v>92</v>
      </c>
      <c r="B27" s="663"/>
      <c r="C27" s="663"/>
      <c r="D27" s="663"/>
      <c r="E27" s="663"/>
      <c r="F27" s="663"/>
      <c r="G27" s="663"/>
      <c r="H27" s="663"/>
      <c r="I27" s="663"/>
      <c r="J27" s="663"/>
      <c r="K27" s="663"/>
      <c r="L27" s="663"/>
      <c r="M27" s="663"/>
      <c r="N27" s="663"/>
      <c r="O27" s="663"/>
      <c r="P27" s="663"/>
      <c r="Q27" s="663"/>
      <c r="R27" s="663"/>
      <c r="S27" s="663"/>
      <c r="T27" s="663"/>
      <c r="U27" s="663"/>
      <c r="V27" s="663"/>
      <c r="W27" s="663"/>
      <c r="X27" s="663"/>
      <c r="Y27" s="663"/>
      <c r="Z27" s="663"/>
      <c r="AA27" s="63"/>
      <c r="AB27" s="63"/>
      <c r="AC27" s="63"/>
    </row>
    <row r="28" spans="1:68" ht="27" hidden="1" customHeight="1" x14ac:dyDescent="0.25">
      <c r="A28" s="60" t="s">
        <v>93</v>
      </c>
      <c r="B28" s="60" t="s">
        <v>94</v>
      </c>
      <c r="C28" s="34">
        <v>4301051866</v>
      </c>
      <c r="D28" s="664">
        <v>4680115885912</v>
      </c>
      <c r="E28" s="664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96</v>
      </c>
      <c r="N28" s="36"/>
      <c r="O28" s="35">
        <v>40</v>
      </c>
      <c r="P28" s="6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66"/>
      <c r="R28" s="666"/>
      <c r="S28" s="666"/>
      <c r="T28" s="667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ref="Y28:Y37" si="0">IFERROR(IF(X28="",0,CEILING((X28/$H28),1)*$H28),"")</f>
        <v>0</v>
      </c>
      <c r="Z28" s="39" t="str">
        <f t="shared" ref="Z28:Z37" si="1">IFERROR(IF(Y28=0,"",ROUNDUP(Y28/H28,0)*0.00651),"")</f>
        <v/>
      </c>
      <c r="AA28" s="65" t="s">
        <v>46</v>
      </c>
      <c r="AB28" s="66" t="s">
        <v>46</v>
      </c>
      <c r="AC28" s="87" t="s">
        <v>95</v>
      </c>
      <c r="AG28" s="75"/>
      <c r="AJ28" s="79" t="s">
        <v>46</v>
      </c>
      <c r="AK28" s="79">
        <v>0</v>
      </c>
      <c r="BB28" s="88" t="s">
        <v>67</v>
      </c>
      <c r="BM28" s="75">
        <f t="shared" ref="BM28:BM37" si="2">IFERROR(X28*I28/H28,"0")</f>
        <v>0</v>
      </c>
      <c r="BN28" s="75">
        <f t="shared" ref="BN28:BN37" si="3">IFERROR(Y28*I28/H28,"0")</f>
        <v>0</v>
      </c>
      <c r="BO28" s="75">
        <f t="shared" ref="BO28:BO37" si="4">IFERROR(1/J28*(X28/H28),"0")</f>
        <v>0</v>
      </c>
      <c r="BP28" s="75">
        <f t="shared" ref="BP28:BP37" si="5">IFERROR(1/J28*(Y28/H28),"0")</f>
        <v>0</v>
      </c>
    </row>
    <row r="29" spans="1:68" ht="27" hidden="1" customHeight="1" x14ac:dyDescent="0.25">
      <c r="A29" s="60" t="s">
        <v>97</v>
      </c>
      <c r="B29" s="60" t="s">
        <v>98</v>
      </c>
      <c r="C29" s="34">
        <v>4301051776</v>
      </c>
      <c r="D29" s="664">
        <v>4607091388237</v>
      </c>
      <c r="E29" s="664"/>
      <c r="F29" s="59">
        <v>0.42</v>
      </c>
      <c r="G29" s="35">
        <v>6</v>
      </c>
      <c r="H29" s="59">
        <v>2.52</v>
      </c>
      <c r="I29" s="59">
        <v>2.766</v>
      </c>
      <c r="J29" s="35">
        <v>182</v>
      </c>
      <c r="K29" s="35" t="s">
        <v>88</v>
      </c>
      <c r="L29" s="35" t="s">
        <v>46</v>
      </c>
      <c r="M29" s="36" t="s">
        <v>96</v>
      </c>
      <c r="N29" s="36"/>
      <c r="O29" s="35">
        <v>40</v>
      </c>
      <c r="P29" s="67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66"/>
      <c r="R29" s="666"/>
      <c r="S29" s="666"/>
      <c r="T29" s="667"/>
      <c r="U29" s="37" t="s">
        <v>46</v>
      </c>
      <c r="V29" s="37" t="s">
        <v>46</v>
      </c>
      <c r="W29" s="38" t="s">
        <v>0</v>
      </c>
      <c r="X29" s="56"/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99</v>
      </c>
      <c r="B30" s="60" t="s">
        <v>100</v>
      </c>
      <c r="C30" s="34">
        <v>4301052063</v>
      </c>
      <c r="D30" s="664">
        <v>4680115887350</v>
      </c>
      <c r="E30" s="66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88</v>
      </c>
      <c r="L30" s="35" t="s">
        <v>46</v>
      </c>
      <c r="M30" s="36" t="s">
        <v>102</v>
      </c>
      <c r="N30" s="36"/>
      <c r="O30" s="35">
        <v>40</v>
      </c>
      <c r="P30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66"/>
      <c r="R30" s="666"/>
      <c r="S30" s="666"/>
      <c r="T30" s="667"/>
      <c r="U30" s="37" t="s">
        <v>46</v>
      </c>
      <c r="V30" s="37" t="s">
        <v>46</v>
      </c>
      <c r="W30" s="38" t="s">
        <v>0</v>
      </c>
      <c r="X30" s="56"/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101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103</v>
      </c>
      <c r="B31" s="60" t="s">
        <v>104</v>
      </c>
      <c r="C31" s="34">
        <v>4301051912</v>
      </c>
      <c r="D31" s="664">
        <v>4680115886230</v>
      </c>
      <c r="E31" s="664"/>
      <c r="F31" s="59">
        <v>0.3</v>
      </c>
      <c r="G31" s="35">
        <v>6</v>
      </c>
      <c r="H31" s="59">
        <v>1.8</v>
      </c>
      <c r="I31" s="59">
        <v>2.0459999999999998</v>
      </c>
      <c r="J31" s="35">
        <v>182</v>
      </c>
      <c r="K31" s="35" t="s">
        <v>88</v>
      </c>
      <c r="L31" s="35" t="s">
        <v>46</v>
      </c>
      <c r="M31" s="36" t="s">
        <v>102</v>
      </c>
      <c r="N31" s="36"/>
      <c r="O31" s="35">
        <v>40</v>
      </c>
      <c r="P31" s="678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66"/>
      <c r="R31" s="666"/>
      <c r="S31" s="666"/>
      <c r="T31" s="667"/>
      <c r="U31" s="37" t="s">
        <v>46</v>
      </c>
      <c r="V31" s="37" t="s">
        <v>46</v>
      </c>
      <c r="W31" s="38" t="s">
        <v>0</v>
      </c>
      <c r="X31" s="56"/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105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106</v>
      </c>
      <c r="B32" s="60" t="s">
        <v>107</v>
      </c>
      <c r="C32" s="34">
        <v>4301051919</v>
      </c>
      <c r="D32" s="664">
        <v>4680115886278</v>
      </c>
      <c r="E32" s="664"/>
      <c r="F32" s="59">
        <v>0.3</v>
      </c>
      <c r="G32" s="35">
        <v>6</v>
      </c>
      <c r="H32" s="59">
        <v>1.8</v>
      </c>
      <c r="I32" s="59">
        <v>2.0459999999999998</v>
      </c>
      <c r="J32" s="35">
        <v>182</v>
      </c>
      <c r="K32" s="35" t="s">
        <v>88</v>
      </c>
      <c r="L32" s="35" t="s">
        <v>46</v>
      </c>
      <c r="M32" s="36" t="s">
        <v>102</v>
      </c>
      <c r="N32" s="36"/>
      <c r="O32" s="35">
        <v>40</v>
      </c>
      <c r="P32" s="679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66"/>
      <c r="R32" s="666"/>
      <c r="S32" s="666"/>
      <c r="T32" s="667"/>
      <c r="U32" s="37" t="s">
        <v>46</v>
      </c>
      <c r="V32" s="37" t="s">
        <v>46</v>
      </c>
      <c r="W32" s="38" t="s">
        <v>0</v>
      </c>
      <c r="X32" s="56"/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105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t="27" hidden="1" customHeight="1" x14ac:dyDescent="0.25">
      <c r="A33" s="60" t="s">
        <v>108</v>
      </c>
      <c r="B33" s="60" t="s">
        <v>109</v>
      </c>
      <c r="C33" s="34">
        <v>4301051913</v>
      </c>
      <c r="D33" s="664">
        <v>4680115886247</v>
      </c>
      <c r="E33" s="664"/>
      <c r="F33" s="59">
        <v>0.3</v>
      </c>
      <c r="G33" s="35">
        <v>6</v>
      </c>
      <c r="H33" s="59">
        <v>1.8</v>
      </c>
      <c r="I33" s="59">
        <v>2.0459999999999998</v>
      </c>
      <c r="J33" s="35">
        <v>182</v>
      </c>
      <c r="K33" s="35" t="s">
        <v>88</v>
      </c>
      <c r="L33" s="35" t="s">
        <v>46</v>
      </c>
      <c r="M33" s="36" t="s">
        <v>102</v>
      </c>
      <c r="N33" s="36"/>
      <c r="O33" s="35">
        <v>40</v>
      </c>
      <c r="P33" s="680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66"/>
      <c r="R33" s="666"/>
      <c r="S33" s="666"/>
      <c r="T33" s="667"/>
      <c r="U33" s="37" t="s">
        <v>46</v>
      </c>
      <c r="V33" s="37" t="s">
        <v>46</v>
      </c>
      <c r="W33" s="38" t="s">
        <v>0</v>
      </c>
      <c r="X33" s="56"/>
      <c r="Y33" s="53">
        <f t="shared" si="0"/>
        <v>0</v>
      </c>
      <c r="Z33" s="39" t="str">
        <f t="shared" si="1"/>
        <v/>
      </c>
      <c r="AA33" s="65" t="s">
        <v>46</v>
      </c>
      <c r="AB33" s="66" t="s">
        <v>46</v>
      </c>
      <c r="AC33" s="97" t="s">
        <v>110</v>
      </c>
      <c r="AG33" s="75"/>
      <c r="AJ33" s="79" t="s">
        <v>46</v>
      </c>
      <c r="AK33" s="79">
        <v>0</v>
      </c>
      <c r="BB33" s="98" t="s">
        <v>67</v>
      </c>
      <c r="BM33" s="75">
        <f t="shared" si="2"/>
        <v>0</v>
      </c>
      <c r="BN33" s="75">
        <f t="shared" si="3"/>
        <v>0</v>
      </c>
      <c r="BO33" s="75">
        <f t="shared" si="4"/>
        <v>0</v>
      </c>
      <c r="BP33" s="75">
        <f t="shared" si="5"/>
        <v>0</v>
      </c>
    </row>
    <row r="34" spans="1:68" ht="27" hidden="1" customHeight="1" x14ac:dyDescent="0.25">
      <c r="A34" s="60" t="s">
        <v>111</v>
      </c>
      <c r="B34" s="60" t="s">
        <v>112</v>
      </c>
      <c r="C34" s="34">
        <v>4301051863</v>
      </c>
      <c r="D34" s="664">
        <v>4680115885905</v>
      </c>
      <c r="E34" s="664"/>
      <c r="F34" s="59">
        <v>0.3</v>
      </c>
      <c r="G34" s="35">
        <v>6</v>
      </c>
      <c r="H34" s="59">
        <v>1.8</v>
      </c>
      <c r="I34" s="59">
        <v>3.18</v>
      </c>
      <c r="J34" s="35">
        <v>182</v>
      </c>
      <c r="K34" s="35" t="s">
        <v>88</v>
      </c>
      <c r="L34" s="35" t="s">
        <v>46</v>
      </c>
      <c r="M34" s="36" t="s">
        <v>102</v>
      </c>
      <c r="N34" s="36"/>
      <c r="O34" s="35">
        <v>40</v>
      </c>
      <c r="P34" s="68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66"/>
      <c r="R34" s="666"/>
      <c r="S34" s="666"/>
      <c r="T34" s="667"/>
      <c r="U34" s="37" t="s">
        <v>46</v>
      </c>
      <c r="V34" s="37" t="s">
        <v>46</v>
      </c>
      <c r="W34" s="38" t="s">
        <v>0</v>
      </c>
      <c r="X34" s="56">
        <v>0</v>
      </c>
      <c r="Y34" s="53">
        <f t="shared" si="0"/>
        <v>0</v>
      </c>
      <c r="Z34" s="39" t="str">
        <f t="shared" si="1"/>
        <v/>
      </c>
      <c r="AA34" s="65" t="s">
        <v>46</v>
      </c>
      <c r="AB34" s="66" t="s">
        <v>46</v>
      </c>
      <c r="AC34" s="99" t="s">
        <v>113</v>
      </c>
      <c r="AG34" s="75"/>
      <c r="AJ34" s="79" t="s">
        <v>46</v>
      </c>
      <c r="AK34" s="79">
        <v>0</v>
      </c>
      <c r="BB34" s="100" t="s">
        <v>67</v>
      </c>
      <c r="BM34" s="75">
        <f t="shared" si="2"/>
        <v>0</v>
      </c>
      <c r="BN34" s="75">
        <f t="shared" si="3"/>
        <v>0</v>
      </c>
      <c r="BO34" s="75">
        <f t="shared" si="4"/>
        <v>0</v>
      </c>
      <c r="BP34" s="75">
        <f t="shared" si="5"/>
        <v>0</v>
      </c>
    </row>
    <row r="35" spans="1:68" ht="27" hidden="1" customHeight="1" x14ac:dyDescent="0.25">
      <c r="A35" s="60" t="s">
        <v>114</v>
      </c>
      <c r="B35" s="60" t="s">
        <v>115</v>
      </c>
      <c r="C35" s="34">
        <v>4301052078</v>
      </c>
      <c r="D35" s="664">
        <v>4680115887657</v>
      </c>
      <c r="E35" s="664"/>
      <c r="F35" s="59">
        <v>0.33</v>
      </c>
      <c r="G35" s="35">
        <v>6</v>
      </c>
      <c r="H35" s="59">
        <v>1.98</v>
      </c>
      <c r="I35" s="59">
        <v>2.16</v>
      </c>
      <c r="J35" s="35">
        <v>182</v>
      </c>
      <c r="K35" s="35" t="s">
        <v>88</v>
      </c>
      <c r="L35" s="35" t="s">
        <v>46</v>
      </c>
      <c r="M35" s="36" t="s">
        <v>102</v>
      </c>
      <c r="N35" s="36"/>
      <c r="O35" s="35">
        <v>40</v>
      </c>
      <c r="P35" s="682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66"/>
      <c r="R35" s="666"/>
      <c r="S35" s="666"/>
      <c r="T35" s="667"/>
      <c r="U35" s="37" t="s">
        <v>46</v>
      </c>
      <c r="V35" s="37" t="s">
        <v>46</v>
      </c>
      <c r="W35" s="38" t="s">
        <v>0</v>
      </c>
      <c r="X35" s="56">
        <v>0</v>
      </c>
      <c r="Y35" s="53">
        <f t="shared" si="0"/>
        <v>0</v>
      </c>
      <c r="Z35" s="39" t="str">
        <f t="shared" si="1"/>
        <v/>
      </c>
      <c r="AA35" s="65" t="s">
        <v>46</v>
      </c>
      <c r="AB35" s="66" t="s">
        <v>46</v>
      </c>
      <c r="AC35" s="101" t="s">
        <v>116</v>
      </c>
      <c r="AG35" s="75"/>
      <c r="AJ35" s="79" t="s">
        <v>46</v>
      </c>
      <c r="AK35" s="79">
        <v>0</v>
      </c>
      <c r="BB35" s="102" t="s">
        <v>67</v>
      </c>
      <c r="BM35" s="75">
        <f t="shared" si="2"/>
        <v>0</v>
      </c>
      <c r="BN35" s="75">
        <f t="shared" si="3"/>
        <v>0</v>
      </c>
      <c r="BO35" s="75">
        <f t="shared" si="4"/>
        <v>0</v>
      </c>
      <c r="BP35" s="75">
        <f t="shared" si="5"/>
        <v>0</v>
      </c>
    </row>
    <row r="36" spans="1:68" ht="27" hidden="1" customHeight="1" x14ac:dyDescent="0.25">
      <c r="A36" s="60" t="s">
        <v>117</v>
      </c>
      <c r="B36" s="60" t="s">
        <v>118</v>
      </c>
      <c r="C36" s="34">
        <v>4301052197</v>
      </c>
      <c r="D36" s="664">
        <v>4680115888326</v>
      </c>
      <c r="E36" s="664"/>
      <c r="F36" s="59">
        <v>0.33</v>
      </c>
      <c r="G36" s="35">
        <v>6</v>
      </c>
      <c r="H36" s="59">
        <v>1.98</v>
      </c>
      <c r="I36" s="59">
        <v>2.16</v>
      </c>
      <c r="J36" s="35">
        <v>182</v>
      </c>
      <c r="K36" s="35" t="s">
        <v>88</v>
      </c>
      <c r="L36" s="35" t="s">
        <v>46</v>
      </c>
      <c r="M36" s="36" t="s">
        <v>102</v>
      </c>
      <c r="N36" s="36"/>
      <c r="O36" s="35">
        <v>40</v>
      </c>
      <c r="P36" s="683" t="str">
        <f>HYPERLINK("https://abi.ru/products/Охлажденные/Ядрена копоть/Ядрена копоть/Сосиски/P005392/","Сосиски «со вкусом Мясо на углях» Фикс.вес 0,33 целлофан ТМ «Ядрена копоть»")</f>
        <v>Сосиски «со вкусом Мясо на углях» Фикс.вес 0,33 целлофан ТМ «Ядрена копоть»</v>
      </c>
      <c r="Q36" s="666"/>
      <c r="R36" s="666"/>
      <c r="S36" s="666"/>
      <c r="T36" s="667"/>
      <c r="U36" s="37" t="s">
        <v>46</v>
      </c>
      <c r="V36" s="37" t="s">
        <v>46</v>
      </c>
      <c r="W36" s="38" t="s">
        <v>0</v>
      </c>
      <c r="X36" s="56">
        <v>0</v>
      </c>
      <c r="Y36" s="53">
        <f t="shared" si="0"/>
        <v>0</v>
      </c>
      <c r="Z36" s="39" t="str">
        <f t="shared" si="1"/>
        <v/>
      </c>
      <c r="AA36" s="65" t="s">
        <v>46</v>
      </c>
      <c r="AB36" s="66" t="s">
        <v>46</v>
      </c>
      <c r="AC36" s="103" t="s">
        <v>119</v>
      </c>
      <c r="AG36" s="75"/>
      <c r="AJ36" s="79" t="s">
        <v>46</v>
      </c>
      <c r="AK36" s="79">
        <v>0</v>
      </c>
      <c r="BB36" s="104" t="s">
        <v>67</v>
      </c>
      <c r="BM36" s="75">
        <f t="shared" si="2"/>
        <v>0</v>
      </c>
      <c r="BN36" s="75">
        <f t="shared" si="3"/>
        <v>0</v>
      </c>
      <c r="BO36" s="75">
        <f t="shared" si="4"/>
        <v>0</v>
      </c>
      <c r="BP36" s="75">
        <f t="shared" si="5"/>
        <v>0</v>
      </c>
    </row>
    <row r="37" spans="1:68" ht="27" hidden="1" customHeight="1" x14ac:dyDescent="0.25">
      <c r="A37" s="60" t="s">
        <v>120</v>
      </c>
      <c r="B37" s="60" t="s">
        <v>121</v>
      </c>
      <c r="C37" s="34">
        <v>4301052071</v>
      </c>
      <c r="D37" s="664">
        <v>4680115887619</v>
      </c>
      <c r="E37" s="664"/>
      <c r="F37" s="59">
        <v>0.33</v>
      </c>
      <c r="G37" s="35">
        <v>6</v>
      </c>
      <c r="H37" s="59">
        <v>1.98</v>
      </c>
      <c r="I37" s="59">
        <v>2.16</v>
      </c>
      <c r="J37" s="35">
        <v>182</v>
      </c>
      <c r="K37" s="35" t="s">
        <v>88</v>
      </c>
      <c r="L37" s="35" t="s">
        <v>46</v>
      </c>
      <c r="M37" s="36" t="s">
        <v>96</v>
      </c>
      <c r="N37" s="36"/>
      <c r="O37" s="35">
        <v>40</v>
      </c>
      <c r="P37" s="68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7" s="666"/>
      <c r="R37" s="666"/>
      <c r="S37" s="666"/>
      <c r="T37" s="667"/>
      <c r="U37" s="37" t="s">
        <v>46</v>
      </c>
      <c r="V37" s="37" t="s">
        <v>46</v>
      </c>
      <c r="W37" s="38" t="s">
        <v>0</v>
      </c>
      <c r="X37" s="56">
        <v>0</v>
      </c>
      <c r="Y37" s="53">
        <f t="shared" si="0"/>
        <v>0</v>
      </c>
      <c r="Z37" s="39" t="str">
        <f t="shared" si="1"/>
        <v/>
      </c>
      <c r="AA37" s="65" t="s">
        <v>46</v>
      </c>
      <c r="AB37" s="66" t="s">
        <v>46</v>
      </c>
      <c r="AC37" s="105" t="s">
        <v>122</v>
      </c>
      <c r="AG37" s="75"/>
      <c r="AJ37" s="79" t="s">
        <v>46</v>
      </c>
      <c r="AK37" s="79">
        <v>0</v>
      </c>
      <c r="BB37" s="106" t="s">
        <v>67</v>
      </c>
      <c r="BM37" s="75">
        <f t="shared" si="2"/>
        <v>0</v>
      </c>
      <c r="BN37" s="75">
        <f t="shared" si="3"/>
        <v>0</v>
      </c>
      <c r="BO37" s="75">
        <f t="shared" si="4"/>
        <v>0</v>
      </c>
      <c r="BP37" s="75">
        <f t="shared" si="5"/>
        <v>0</v>
      </c>
    </row>
    <row r="38" spans="1:68" hidden="1" x14ac:dyDescent="0.2">
      <c r="A38" s="673"/>
      <c r="B38" s="673"/>
      <c r="C38" s="673"/>
      <c r="D38" s="673"/>
      <c r="E38" s="673"/>
      <c r="F38" s="673"/>
      <c r="G38" s="673"/>
      <c r="H38" s="673"/>
      <c r="I38" s="673"/>
      <c r="J38" s="673"/>
      <c r="K38" s="673"/>
      <c r="L38" s="673"/>
      <c r="M38" s="673"/>
      <c r="N38" s="673"/>
      <c r="O38" s="674"/>
      <c r="P38" s="670" t="s">
        <v>40</v>
      </c>
      <c r="Q38" s="671"/>
      <c r="R38" s="671"/>
      <c r="S38" s="671"/>
      <c r="T38" s="671"/>
      <c r="U38" s="671"/>
      <c r="V38" s="672"/>
      <c r="W38" s="40" t="s">
        <v>39</v>
      </c>
      <c r="X38" s="41">
        <f>IFERROR(X28/H28,"0")+IFERROR(X29/H29,"0")+IFERROR(X30/H30,"0")+IFERROR(X31/H31,"0")+IFERROR(X32/H32,"0")+IFERROR(X33/H33,"0")+IFERROR(X34/H34,"0")+IFERROR(X35/H35,"0")+IFERROR(X36/H36,"0")+IFERROR(X37/H37,"0")</f>
        <v>0</v>
      </c>
      <c r="Y38" s="41">
        <f>IFERROR(Y28/H28,"0")+IFERROR(Y29/H29,"0")+IFERROR(Y30/H30,"0")+IFERROR(Y31/H31,"0")+IFERROR(Y32/H32,"0")+IFERROR(Y33/H33,"0")+IFERROR(Y34/H34,"0")+IFERROR(Y35/H35,"0")+IFERROR(Y36/H36,"0")+IFERROR(Y37/H37,"0")</f>
        <v>0</v>
      </c>
      <c r="Z38" s="41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+IFERROR(IF(Z37="",0,Z37),"0")</f>
        <v>0</v>
      </c>
      <c r="AA38" s="64"/>
      <c r="AB38" s="64"/>
      <c r="AC38" s="64"/>
    </row>
    <row r="39" spans="1:68" hidden="1" x14ac:dyDescent="0.2">
      <c r="A39" s="673"/>
      <c r="B39" s="673"/>
      <c r="C39" s="673"/>
      <c r="D39" s="673"/>
      <c r="E39" s="673"/>
      <c r="F39" s="673"/>
      <c r="G39" s="673"/>
      <c r="H39" s="673"/>
      <c r="I39" s="673"/>
      <c r="J39" s="673"/>
      <c r="K39" s="673"/>
      <c r="L39" s="673"/>
      <c r="M39" s="673"/>
      <c r="N39" s="673"/>
      <c r="O39" s="674"/>
      <c r="P39" s="670" t="s">
        <v>40</v>
      </c>
      <c r="Q39" s="671"/>
      <c r="R39" s="671"/>
      <c r="S39" s="671"/>
      <c r="T39" s="671"/>
      <c r="U39" s="671"/>
      <c r="V39" s="672"/>
      <c r="W39" s="40" t="s">
        <v>0</v>
      </c>
      <c r="X39" s="41">
        <f>IFERROR(SUM(X28:X37),"0")</f>
        <v>0</v>
      </c>
      <c r="Y39" s="41">
        <f>IFERROR(SUM(Y28:Y37),"0")</f>
        <v>0</v>
      </c>
      <c r="Z39" s="40"/>
      <c r="AA39" s="64"/>
      <c r="AB39" s="64"/>
      <c r="AC39" s="64"/>
    </row>
    <row r="40" spans="1:68" ht="14.25" hidden="1" customHeight="1" x14ac:dyDescent="0.25">
      <c r="A40" s="663" t="s">
        <v>123</v>
      </c>
      <c r="B40" s="663"/>
      <c r="C40" s="663"/>
      <c r="D40" s="663"/>
      <c r="E40" s="663"/>
      <c r="F40" s="663"/>
      <c r="G40" s="663"/>
      <c r="H40" s="663"/>
      <c r="I40" s="663"/>
      <c r="J40" s="663"/>
      <c r="K40" s="663"/>
      <c r="L40" s="663"/>
      <c r="M40" s="663"/>
      <c r="N40" s="663"/>
      <c r="O40" s="663"/>
      <c r="P40" s="663"/>
      <c r="Q40" s="663"/>
      <c r="R40" s="663"/>
      <c r="S40" s="663"/>
      <c r="T40" s="663"/>
      <c r="U40" s="663"/>
      <c r="V40" s="663"/>
      <c r="W40" s="663"/>
      <c r="X40" s="663"/>
      <c r="Y40" s="663"/>
      <c r="Z40" s="663"/>
      <c r="AA40" s="63"/>
      <c r="AB40" s="63"/>
      <c r="AC40" s="63"/>
    </row>
    <row r="41" spans="1:68" ht="27" hidden="1" customHeight="1" x14ac:dyDescent="0.25">
      <c r="A41" s="60" t="s">
        <v>124</v>
      </c>
      <c r="B41" s="60" t="s">
        <v>125</v>
      </c>
      <c r="C41" s="34">
        <v>4301032013</v>
      </c>
      <c r="D41" s="664">
        <v>4607091388503</v>
      </c>
      <c r="E41" s="664"/>
      <c r="F41" s="59">
        <v>0.05</v>
      </c>
      <c r="G41" s="35">
        <v>12</v>
      </c>
      <c r="H41" s="59">
        <v>0.6</v>
      </c>
      <c r="I41" s="59">
        <v>0.82199999999999995</v>
      </c>
      <c r="J41" s="35">
        <v>182</v>
      </c>
      <c r="K41" s="35" t="s">
        <v>88</v>
      </c>
      <c r="L41" s="35" t="s">
        <v>46</v>
      </c>
      <c r="M41" s="36" t="s">
        <v>128</v>
      </c>
      <c r="N41" s="36"/>
      <c r="O41" s="35">
        <v>120</v>
      </c>
      <c r="P41" s="68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1" s="666"/>
      <c r="R41" s="666"/>
      <c r="S41" s="666"/>
      <c r="T41" s="66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7" t="s">
        <v>126</v>
      </c>
      <c r="AG41" s="75"/>
      <c r="AJ41" s="79" t="s">
        <v>46</v>
      </c>
      <c r="AK41" s="79">
        <v>0</v>
      </c>
      <c r="BB41" s="108" t="s">
        <v>127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70" t="s">
        <v>40</v>
      </c>
      <c r="Q42" s="671"/>
      <c r="R42" s="671"/>
      <c r="S42" s="671"/>
      <c r="T42" s="671"/>
      <c r="U42" s="671"/>
      <c r="V42" s="672"/>
      <c r="W42" s="40" t="s">
        <v>39</v>
      </c>
      <c r="X42" s="41">
        <f>IFERROR(X41/H41,"0")</f>
        <v>0</v>
      </c>
      <c r="Y42" s="41">
        <f>IFERROR(Y41/H41,"0")</f>
        <v>0</v>
      </c>
      <c r="Z42" s="41">
        <f>IFERROR(IF(Z41="",0,Z41),"0")</f>
        <v>0</v>
      </c>
      <c r="AA42" s="64"/>
      <c r="AB42" s="64"/>
      <c r="AC42" s="64"/>
    </row>
    <row r="43" spans="1:68" hidden="1" x14ac:dyDescent="0.2">
      <c r="A43" s="673"/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4"/>
      <c r="P43" s="670" t="s">
        <v>40</v>
      </c>
      <c r="Q43" s="671"/>
      <c r="R43" s="671"/>
      <c r="S43" s="671"/>
      <c r="T43" s="671"/>
      <c r="U43" s="671"/>
      <c r="V43" s="672"/>
      <c r="W43" s="40" t="s">
        <v>0</v>
      </c>
      <c r="X43" s="41">
        <f>IFERROR(SUM(X41:X41),"0")</f>
        <v>0</v>
      </c>
      <c r="Y43" s="41">
        <f>IFERROR(SUM(Y41:Y41),"0")</f>
        <v>0</v>
      </c>
      <c r="Z43" s="40"/>
      <c r="AA43" s="64"/>
      <c r="AB43" s="64"/>
      <c r="AC43" s="64"/>
    </row>
    <row r="44" spans="1:68" ht="27.75" hidden="1" customHeight="1" x14ac:dyDescent="0.2">
      <c r="A44" s="661" t="s">
        <v>45</v>
      </c>
      <c r="B44" s="661"/>
      <c r="C44" s="661"/>
      <c r="D44" s="661"/>
      <c r="E44" s="661"/>
      <c r="F44" s="661"/>
      <c r="G44" s="661"/>
      <c r="H44" s="661"/>
      <c r="I44" s="661"/>
      <c r="J44" s="661"/>
      <c r="K44" s="661"/>
      <c r="L44" s="661"/>
      <c r="M44" s="661"/>
      <c r="N44" s="661"/>
      <c r="O44" s="661"/>
      <c r="P44" s="661"/>
      <c r="Q44" s="661"/>
      <c r="R44" s="661"/>
      <c r="S44" s="661"/>
      <c r="T44" s="661"/>
      <c r="U44" s="661"/>
      <c r="V44" s="661"/>
      <c r="W44" s="661"/>
      <c r="X44" s="661"/>
      <c r="Y44" s="661"/>
      <c r="Z44" s="661"/>
      <c r="AA44" s="52"/>
      <c r="AB44" s="52"/>
      <c r="AC44" s="52"/>
    </row>
    <row r="45" spans="1:68" ht="16.5" hidden="1" customHeight="1" x14ac:dyDescent="0.25">
      <c r="A45" s="662" t="s">
        <v>129</v>
      </c>
      <c r="B45" s="662"/>
      <c r="C45" s="662"/>
      <c r="D45" s="662"/>
      <c r="E45" s="662"/>
      <c r="F45" s="662"/>
      <c r="G45" s="662"/>
      <c r="H45" s="662"/>
      <c r="I45" s="662"/>
      <c r="J45" s="662"/>
      <c r="K45" s="662"/>
      <c r="L45" s="662"/>
      <c r="M45" s="662"/>
      <c r="N45" s="662"/>
      <c r="O45" s="662"/>
      <c r="P45" s="662"/>
      <c r="Q45" s="662"/>
      <c r="R45" s="662"/>
      <c r="S45" s="662"/>
      <c r="T45" s="662"/>
      <c r="U45" s="662"/>
      <c r="V45" s="662"/>
      <c r="W45" s="662"/>
      <c r="X45" s="662"/>
      <c r="Y45" s="662"/>
      <c r="Z45" s="662"/>
      <c r="AA45" s="62"/>
      <c r="AB45" s="62"/>
      <c r="AC45" s="62"/>
    </row>
    <row r="46" spans="1:68" ht="14.25" hidden="1" customHeight="1" x14ac:dyDescent="0.25">
      <c r="A46" s="663" t="s">
        <v>92</v>
      </c>
      <c r="B46" s="663"/>
      <c r="C46" s="663"/>
      <c r="D46" s="663"/>
      <c r="E46" s="663"/>
      <c r="F46" s="663"/>
      <c r="G46" s="663"/>
      <c r="H46" s="663"/>
      <c r="I46" s="663"/>
      <c r="J46" s="663"/>
      <c r="K46" s="663"/>
      <c r="L46" s="663"/>
      <c r="M46" s="663"/>
      <c r="N46" s="663"/>
      <c r="O46" s="663"/>
      <c r="P46" s="663"/>
      <c r="Q46" s="663"/>
      <c r="R46" s="663"/>
      <c r="S46" s="663"/>
      <c r="T46" s="663"/>
      <c r="U46" s="663"/>
      <c r="V46" s="663"/>
      <c r="W46" s="663"/>
      <c r="X46" s="663"/>
      <c r="Y46" s="663"/>
      <c r="Z46" s="663"/>
      <c r="AA46" s="63"/>
      <c r="AB46" s="63"/>
      <c r="AC46" s="63"/>
    </row>
    <row r="47" spans="1:68" ht="27" hidden="1" customHeight="1" x14ac:dyDescent="0.25">
      <c r="A47" s="60" t="s">
        <v>131</v>
      </c>
      <c r="B47" s="60" t="s">
        <v>132</v>
      </c>
      <c r="C47" s="34">
        <v>4301052202</v>
      </c>
      <c r="D47" s="664">
        <v>4680115888494</v>
      </c>
      <c r="E47" s="664"/>
      <c r="F47" s="59">
        <v>0.32</v>
      </c>
      <c r="G47" s="35">
        <v>6</v>
      </c>
      <c r="H47" s="59">
        <v>1.92</v>
      </c>
      <c r="I47" s="59">
        <v>2.1</v>
      </c>
      <c r="J47" s="35">
        <v>182</v>
      </c>
      <c r="K47" s="35" t="s">
        <v>88</v>
      </c>
      <c r="L47" s="35" t="s">
        <v>46</v>
      </c>
      <c r="M47" s="36" t="s">
        <v>96</v>
      </c>
      <c r="N47" s="36"/>
      <c r="O47" s="35">
        <v>40</v>
      </c>
      <c r="P47" s="686" t="s">
        <v>133</v>
      </c>
      <c r="Q47" s="666"/>
      <c r="R47" s="666"/>
      <c r="S47" s="666"/>
      <c r="T47" s="667"/>
      <c r="U47" s="37" t="s">
        <v>130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IFERROR(IF(Y47=0,"",ROUNDUP(Y47/H47,0)*0.00651),"")</f>
        <v/>
      </c>
      <c r="AA47" s="65" t="s">
        <v>46</v>
      </c>
      <c r="AB47" s="66" t="s">
        <v>82</v>
      </c>
      <c r="AC47" s="109" t="s">
        <v>134</v>
      </c>
      <c r="AG47" s="75"/>
      <c r="AJ47" s="79" t="s">
        <v>46</v>
      </c>
      <c r="AK47" s="79">
        <v>0</v>
      </c>
      <c r="BB47" s="110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135</v>
      </c>
      <c r="B48" s="60" t="s">
        <v>136</v>
      </c>
      <c r="C48" s="34">
        <v>4301052198</v>
      </c>
      <c r="D48" s="664">
        <v>4680115888463</v>
      </c>
      <c r="E48" s="664"/>
      <c r="F48" s="59">
        <v>0.32</v>
      </c>
      <c r="G48" s="35">
        <v>6</v>
      </c>
      <c r="H48" s="59">
        <v>1.92</v>
      </c>
      <c r="I48" s="59">
        <v>2.1</v>
      </c>
      <c r="J48" s="35">
        <v>182</v>
      </c>
      <c r="K48" s="35" t="s">
        <v>88</v>
      </c>
      <c r="L48" s="35" t="s">
        <v>46</v>
      </c>
      <c r="M48" s="36" t="s">
        <v>96</v>
      </c>
      <c r="N48" s="36"/>
      <c r="O48" s="35">
        <v>40</v>
      </c>
      <c r="P48" s="68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8" s="666"/>
      <c r="R48" s="666"/>
      <c r="S48" s="666"/>
      <c r="T48" s="66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46</v>
      </c>
      <c r="AB48" s="66" t="s">
        <v>46</v>
      </c>
      <c r="AC48" s="111" t="s">
        <v>137</v>
      </c>
      <c r="AG48" s="75"/>
      <c r="AJ48" s="79" t="s">
        <v>46</v>
      </c>
      <c r="AK48" s="79">
        <v>0</v>
      </c>
      <c r="BB48" s="112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138</v>
      </c>
      <c r="B49" s="60" t="s">
        <v>139</v>
      </c>
      <c r="C49" s="34">
        <v>4301052184</v>
      </c>
      <c r="D49" s="664">
        <v>4680115888272</v>
      </c>
      <c r="E49" s="664"/>
      <c r="F49" s="59">
        <v>0.32</v>
      </c>
      <c r="G49" s="35">
        <v>6</v>
      </c>
      <c r="H49" s="59">
        <v>1.92</v>
      </c>
      <c r="I49" s="59">
        <v>2.1</v>
      </c>
      <c r="J49" s="35">
        <v>182</v>
      </c>
      <c r="K49" s="35" t="s">
        <v>88</v>
      </c>
      <c r="L49" s="35" t="s">
        <v>46</v>
      </c>
      <c r="M49" s="36" t="s">
        <v>96</v>
      </c>
      <c r="N49" s="36"/>
      <c r="O49" s="35">
        <v>40</v>
      </c>
      <c r="P49" s="68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9" s="666"/>
      <c r="R49" s="666"/>
      <c r="S49" s="666"/>
      <c r="T49" s="66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IFERROR(IF(Y49=0,"",ROUNDUP(Y49/H49,0)*0.00651),"")</f>
        <v/>
      </c>
      <c r="AA49" s="65" t="s">
        <v>46</v>
      </c>
      <c r="AB49" s="66" t="s">
        <v>46</v>
      </c>
      <c r="AC49" s="113" t="s">
        <v>140</v>
      </c>
      <c r="AG49" s="75"/>
      <c r="AJ49" s="79" t="s">
        <v>46</v>
      </c>
      <c r="AK49" s="79">
        <v>0</v>
      </c>
      <c r="BB49" s="114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141</v>
      </c>
      <c r="B50" s="60" t="s">
        <v>142</v>
      </c>
      <c r="C50" s="34">
        <v>4301052188</v>
      </c>
      <c r="D50" s="664">
        <v>4680115888364</v>
      </c>
      <c r="E50" s="664"/>
      <c r="F50" s="59">
        <v>0.32</v>
      </c>
      <c r="G50" s="35">
        <v>6</v>
      </c>
      <c r="H50" s="59">
        <v>1.92</v>
      </c>
      <c r="I50" s="59">
        <v>2.1</v>
      </c>
      <c r="J50" s="35">
        <v>182</v>
      </c>
      <c r="K50" s="35" t="s">
        <v>88</v>
      </c>
      <c r="L50" s="35" t="s">
        <v>46</v>
      </c>
      <c r="M50" s="36" t="s">
        <v>96</v>
      </c>
      <c r="N50" s="36"/>
      <c r="O50" s="35">
        <v>40</v>
      </c>
      <c r="P50" s="68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50" s="666"/>
      <c r="R50" s="666"/>
      <c r="S50" s="666"/>
      <c r="T50" s="66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IFERROR(IF(Y50=0,"",ROUNDUP(Y50/H50,0)*0.00651),"")</f>
        <v/>
      </c>
      <c r="AA50" s="65" t="s">
        <v>46</v>
      </c>
      <c r="AB50" s="66" t="s">
        <v>46</v>
      </c>
      <c r="AC50" s="115" t="s">
        <v>143</v>
      </c>
      <c r="AG50" s="75"/>
      <c r="AJ50" s="79" t="s">
        <v>46</v>
      </c>
      <c r="AK50" s="79">
        <v>0</v>
      </c>
      <c r="BB50" s="116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73"/>
      <c r="B51" s="673"/>
      <c r="C51" s="673"/>
      <c r="D51" s="673"/>
      <c r="E51" s="673"/>
      <c r="F51" s="673"/>
      <c r="G51" s="673"/>
      <c r="H51" s="673"/>
      <c r="I51" s="673"/>
      <c r="J51" s="673"/>
      <c r="K51" s="673"/>
      <c r="L51" s="673"/>
      <c r="M51" s="673"/>
      <c r="N51" s="673"/>
      <c r="O51" s="674"/>
      <c r="P51" s="670" t="s">
        <v>40</v>
      </c>
      <c r="Q51" s="671"/>
      <c r="R51" s="671"/>
      <c r="S51" s="671"/>
      <c r="T51" s="671"/>
      <c r="U51" s="671"/>
      <c r="V51" s="672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73"/>
      <c r="B52" s="673"/>
      <c r="C52" s="673"/>
      <c r="D52" s="673"/>
      <c r="E52" s="673"/>
      <c r="F52" s="673"/>
      <c r="G52" s="673"/>
      <c r="H52" s="673"/>
      <c r="I52" s="673"/>
      <c r="J52" s="673"/>
      <c r="K52" s="673"/>
      <c r="L52" s="673"/>
      <c r="M52" s="673"/>
      <c r="N52" s="673"/>
      <c r="O52" s="674"/>
      <c r="P52" s="670" t="s">
        <v>40</v>
      </c>
      <c r="Q52" s="671"/>
      <c r="R52" s="671"/>
      <c r="S52" s="671"/>
      <c r="T52" s="671"/>
      <c r="U52" s="671"/>
      <c r="V52" s="672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27.75" hidden="1" customHeight="1" x14ac:dyDescent="0.2">
      <c r="A53" s="661" t="s">
        <v>144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52"/>
      <c r="AB53" s="52"/>
      <c r="AC53" s="52"/>
    </row>
    <row r="54" spans="1:68" ht="16.5" hidden="1" customHeight="1" x14ac:dyDescent="0.25">
      <c r="A54" s="662" t="s">
        <v>145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2"/>
      <c r="AB54" s="62"/>
      <c r="AC54" s="62"/>
    </row>
    <row r="55" spans="1:68" ht="14.25" hidden="1" customHeight="1" x14ac:dyDescent="0.25">
      <c r="A55" s="663" t="s">
        <v>146</v>
      </c>
      <c r="B55" s="663"/>
      <c r="C55" s="663"/>
      <c r="D55" s="663"/>
      <c r="E55" s="663"/>
      <c r="F55" s="663"/>
      <c r="G55" s="663"/>
      <c r="H55" s="663"/>
      <c r="I55" s="663"/>
      <c r="J55" s="663"/>
      <c r="K55" s="663"/>
      <c r="L55" s="663"/>
      <c r="M55" s="663"/>
      <c r="N55" s="663"/>
      <c r="O55" s="663"/>
      <c r="P55" s="663"/>
      <c r="Q55" s="663"/>
      <c r="R55" s="663"/>
      <c r="S55" s="663"/>
      <c r="T55" s="663"/>
      <c r="U55" s="663"/>
      <c r="V55" s="663"/>
      <c r="W55" s="663"/>
      <c r="X55" s="663"/>
      <c r="Y55" s="663"/>
      <c r="Z55" s="663"/>
      <c r="AA55" s="63"/>
      <c r="AB55" s="63"/>
      <c r="AC55" s="63"/>
    </row>
    <row r="56" spans="1:68" ht="16.5" customHeight="1" x14ac:dyDescent="0.25">
      <c r="A56" s="60" t="s">
        <v>147</v>
      </c>
      <c r="B56" s="60" t="s">
        <v>148</v>
      </c>
      <c r="C56" s="34">
        <v>4301011380</v>
      </c>
      <c r="D56" s="664">
        <v>4607091385670</v>
      </c>
      <c r="E56" s="66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151</v>
      </c>
      <c r="L56" s="35" t="s">
        <v>46</v>
      </c>
      <c r="M56" s="36" t="s">
        <v>150</v>
      </c>
      <c r="N56" s="36"/>
      <c r="O56" s="35">
        <v>50</v>
      </c>
      <c r="P56" s="69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6" s="666"/>
      <c r="R56" s="666"/>
      <c r="S56" s="666"/>
      <c r="T56" s="667"/>
      <c r="U56" s="37" t="s">
        <v>46</v>
      </c>
      <c r="V56" s="37" t="s">
        <v>46</v>
      </c>
      <c r="W56" s="38" t="s">
        <v>0</v>
      </c>
      <c r="X56" s="56">
        <v>450</v>
      </c>
      <c r="Y56" s="53">
        <f>IFERROR(IF(X56="",0,CEILING((X56/$H56),1)*$H56),"")</f>
        <v>453.6</v>
      </c>
      <c r="Z56" s="39">
        <f>IFERROR(IF(Y56=0,"",ROUNDUP(Y56/H56,0)*0.01898),"")</f>
        <v>0.79715999999999998</v>
      </c>
      <c r="AA56" s="65" t="s">
        <v>46</v>
      </c>
      <c r="AB56" s="66" t="s">
        <v>46</v>
      </c>
      <c r="AC56" s="117" t="s">
        <v>149</v>
      </c>
      <c r="AG56" s="75"/>
      <c r="AJ56" s="79" t="s">
        <v>46</v>
      </c>
      <c r="AK56" s="79">
        <v>0</v>
      </c>
      <c r="BB56" s="118" t="s">
        <v>67</v>
      </c>
      <c r="BM56" s="75">
        <f>IFERROR(X56*I56/H56,"0")</f>
        <v>467.08333333333331</v>
      </c>
      <c r="BN56" s="75">
        <f>IFERROR(Y56*I56/H56,"0")</f>
        <v>470.82000000000005</v>
      </c>
      <c r="BO56" s="75">
        <f>IFERROR(1/J56*(X56/H56),"0")</f>
        <v>0.65104166666666663</v>
      </c>
      <c r="BP56" s="75">
        <f>IFERROR(1/J56*(Y56/H56),"0")</f>
        <v>0.65625</v>
      </c>
    </row>
    <row r="57" spans="1:68" ht="27" hidden="1" customHeight="1" x14ac:dyDescent="0.25">
      <c r="A57" s="60" t="s">
        <v>152</v>
      </c>
      <c r="B57" s="60" t="s">
        <v>153</v>
      </c>
      <c r="C57" s="34">
        <v>4301012053</v>
      </c>
      <c r="D57" s="664">
        <v>4680115887725</v>
      </c>
      <c r="E57" s="664"/>
      <c r="F57" s="59">
        <v>0.11</v>
      </c>
      <c r="G57" s="35">
        <v>10</v>
      </c>
      <c r="H57" s="59">
        <v>1.1000000000000001</v>
      </c>
      <c r="I57" s="59">
        <v>1.31</v>
      </c>
      <c r="J57" s="35">
        <v>192</v>
      </c>
      <c r="K57" s="35" t="s">
        <v>155</v>
      </c>
      <c r="L57" s="35" t="s">
        <v>46</v>
      </c>
      <c r="M57" s="36" t="s">
        <v>83</v>
      </c>
      <c r="N57" s="36"/>
      <c r="O57" s="35">
        <v>30</v>
      </c>
      <c r="P57" s="69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7" s="666"/>
      <c r="R57" s="666"/>
      <c r="S57" s="666"/>
      <c r="T57" s="667"/>
      <c r="U57" s="37" t="s">
        <v>46</v>
      </c>
      <c r="V57" s="37" t="s">
        <v>46</v>
      </c>
      <c r="W57" s="38" t="s">
        <v>0</v>
      </c>
      <c r="X57" s="56"/>
      <c r="Y57" s="53">
        <f>IFERROR(IF(X57="",0,CEILING((X57/$H57),1)*$H57),"")</f>
        <v>0</v>
      </c>
      <c r="Z57" s="39" t="str">
        <f>IFERROR(IF(Y57=0,"",ROUNDUP(Y57/H57,0)*0.00726),"")</f>
        <v/>
      </c>
      <c r="AA57" s="65" t="s">
        <v>46</v>
      </c>
      <c r="AB57" s="66" t="s">
        <v>46</v>
      </c>
      <c r="AC57" s="119" t="s">
        <v>154</v>
      </c>
      <c r="AG57" s="75"/>
      <c r="AJ57" s="79" t="s">
        <v>46</v>
      </c>
      <c r="AK57" s="79">
        <v>0</v>
      </c>
      <c r="BB57" s="120" t="s">
        <v>67</v>
      </c>
      <c r="BM57" s="75">
        <f>IFERROR(X57*I57/H57,"0")</f>
        <v>0</v>
      </c>
      <c r="BN57" s="75">
        <f>IFERROR(Y57*I57/H57,"0")</f>
        <v>0</v>
      </c>
      <c r="BO57" s="75">
        <f>IFERROR(1/J57*(X57/H57),"0")</f>
        <v>0</v>
      </c>
      <c r="BP57" s="75">
        <f>IFERROR(1/J57*(Y57/H57),"0")</f>
        <v>0</v>
      </c>
    </row>
    <row r="58" spans="1:68" ht="27" customHeight="1" x14ac:dyDescent="0.25">
      <c r="A58" s="60" t="s">
        <v>156</v>
      </c>
      <c r="B58" s="60" t="s">
        <v>157</v>
      </c>
      <c r="C58" s="34">
        <v>4301011382</v>
      </c>
      <c r="D58" s="664">
        <v>4607091385687</v>
      </c>
      <c r="E58" s="66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158</v>
      </c>
      <c r="L58" s="35" t="s">
        <v>46</v>
      </c>
      <c r="M58" s="36" t="s">
        <v>96</v>
      </c>
      <c r="N58" s="36"/>
      <c r="O58" s="35">
        <v>50</v>
      </c>
      <c r="P58" s="6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8" s="666"/>
      <c r="R58" s="666"/>
      <c r="S58" s="666"/>
      <c r="T58" s="667"/>
      <c r="U58" s="37" t="s">
        <v>46</v>
      </c>
      <c r="V58" s="37" t="s">
        <v>46</v>
      </c>
      <c r="W58" s="38" t="s">
        <v>0</v>
      </c>
      <c r="X58" s="56">
        <v>20</v>
      </c>
      <c r="Y58" s="53">
        <f>IFERROR(IF(X58="",0,CEILING((X58/$H58),1)*$H58),"")</f>
        <v>20</v>
      </c>
      <c r="Z58" s="39">
        <f>IFERROR(IF(Y58=0,"",ROUNDUP(Y58/H58,0)*0.00902),"")</f>
        <v>4.5100000000000001E-2</v>
      </c>
      <c r="AA58" s="65" t="s">
        <v>46</v>
      </c>
      <c r="AB58" s="66" t="s">
        <v>46</v>
      </c>
      <c r="AC58" s="121" t="s">
        <v>149</v>
      </c>
      <c r="AG58" s="75"/>
      <c r="AJ58" s="79" t="s">
        <v>46</v>
      </c>
      <c r="AK58" s="79">
        <v>0</v>
      </c>
      <c r="BB58" s="122" t="s">
        <v>67</v>
      </c>
      <c r="BM58" s="75">
        <f>IFERROR(X58*I58/H58,"0")</f>
        <v>20.950000000000003</v>
      </c>
      <c r="BN58" s="75">
        <f>IFERROR(Y58*I58/H58,"0")</f>
        <v>20.950000000000003</v>
      </c>
      <c r="BO58" s="75">
        <f>IFERROR(1/J58*(X58/H58),"0")</f>
        <v>3.787878787878788E-2</v>
      </c>
      <c r="BP58" s="75">
        <f>IFERROR(1/J58*(Y58/H58),"0")</f>
        <v>3.787878787878788E-2</v>
      </c>
    </row>
    <row r="59" spans="1:68" ht="27" hidden="1" customHeight="1" x14ac:dyDescent="0.25">
      <c r="A59" s="60" t="s">
        <v>159</v>
      </c>
      <c r="B59" s="60" t="s">
        <v>160</v>
      </c>
      <c r="C59" s="34">
        <v>4301011565</v>
      </c>
      <c r="D59" s="664">
        <v>4680115882539</v>
      </c>
      <c r="E59" s="664"/>
      <c r="F59" s="59">
        <v>0.37</v>
      </c>
      <c r="G59" s="35">
        <v>10</v>
      </c>
      <c r="H59" s="59">
        <v>3.7</v>
      </c>
      <c r="I59" s="59">
        <v>3.89</v>
      </c>
      <c r="J59" s="35">
        <v>132</v>
      </c>
      <c r="K59" s="35" t="s">
        <v>158</v>
      </c>
      <c r="L59" s="35" t="s">
        <v>46</v>
      </c>
      <c r="M59" s="36" t="s">
        <v>96</v>
      </c>
      <c r="N59" s="36"/>
      <c r="O59" s="35">
        <v>50</v>
      </c>
      <c r="P59" s="69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9" s="666"/>
      <c r="R59" s="666"/>
      <c r="S59" s="666"/>
      <c r="T59" s="667"/>
      <c r="U59" s="37" t="s">
        <v>46</v>
      </c>
      <c r="V59" s="37" t="s">
        <v>46</v>
      </c>
      <c r="W59" s="38" t="s">
        <v>0</v>
      </c>
      <c r="X59" s="56"/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3" t="s">
        <v>149</v>
      </c>
      <c r="AG59" s="75"/>
      <c r="AJ59" s="79" t="s">
        <v>46</v>
      </c>
      <c r="AK59" s="79">
        <v>0</v>
      </c>
      <c r="BB59" s="124" t="s">
        <v>67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x14ac:dyDescent="0.2">
      <c r="A60" s="673"/>
      <c r="B60" s="673"/>
      <c r="C60" s="673"/>
      <c r="D60" s="673"/>
      <c r="E60" s="673"/>
      <c r="F60" s="673"/>
      <c r="G60" s="673"/>
      <c r="H60" s="673"/>
      <c r="I60" s="673"/>
      <c r="J60" s="673"/>
      <c r="K60" s="673"/>
      <c r="L60" s="673"/>
      <c r="M60" s="673"/>
      <c r="N60" s="673"/>
      <c r="O60" s="674"/>
      <c r="P60" s="670" t="s">
        <v>40</v>
      </c>
      <c r="Q60" s="671"/>
      <c r="R60" s="671"/>
      <c r="S60" s="671"/>
      <c r="T60" s="671"/>
      <c r="U60" s="671"/>
      <c r="V60" s="672"/>
      <c r="W60" s="40" t="s">
        <v>39</v>
      </c>
      <c r="X60" s="41">
        <f>IFERROR(X56/H56,"0")+IFERROR(X57/H57,"0")+IFERROR(X58/H58,"0")+IFERROR(X59/H59,"0")</f>
        <v>46.666666666666664</v>
      </c>
      <c r="Y60" s="41">
        <f>IFERROR(Y56/H56,"0")+IFERROR(Y57/H57,"0")+IFERROR(Y58/H58,"0")+IFERROR(Y59/H59,"0")</f>
        <v>47</v>
      </c>
      <c r="Z60" s="41">
        <f>IFERROR(IF(Z56="",0,Z56),"0")+IFERROR(IF(Z57="",0,Z57),"0")+IFERROR(IF(Z58="",0,Z58),"0")+IFERROR(IF(Z59="",0,Z59),"0")</f>
        <v>0.84226000000000001</v>
      </c>
      <c r="AA60" s="64"/>
      <c r="AB60" s="64"/>
      <c r="AC60" s="64"/>
    </row>
    <row r="61" spans="1:68" x14ac:dyDescent="0.2">
      <c r="A61" s="673"/>
      <c r="B61" s="673"/>
      <c r="C61" s="673"/>
      <c r="D61" s="673"/>
      <c r="E61" s="673"/>
      <c r="F61" s="673"/>
      <c r="G61" s="673"/>
      <c r="H61" s="673"/>
      <c r="I61" s="673"/>
      <c r="J61" s="673"/>
      <c r="K61" s="673"/>
      <c r="L61" s="673"/>
      <c r="M61" s="673"/>
      <c r="N61" s="673"/>
      <c r="O61" s="674"/>
      <c r="P61" s="670" t="s">
        <v>40</v>
      </c>
      <c r="Q61" s="671"/>
      <c r="R61" s="671"/>
      <c r="S61" s="671"/>
      <c r="T61" s="671"/>
      <c r="U61" s="671"/>
      <c r="V61" s="672"/>
      <c r="W61" s="40" t="s">
        <v>0</v>
      </c>
      <c r="X61" s="41">
        <f>IFERROR(SUM(X56:X59),"0")</f>
        <v>470</v>
      </c>
      <c r="Y61" s="41">
        <f>IFERROR(SUM(Y56:Y59),"0")</f>
        <v>473.6</v>
      </c>
      <c r="Z61" s="40"/>
      <c r="AA61" s="64"/>
      <c r="AB61" s="64"/>
      <c r="AC61" s="64"/>
    </row>
    <row r="62" spans="1:68" ht="16.5" hidden="1" customHeight="1" x14ac:dyDescent="0.25">
      <c r="A62" s="662" t="s">
        <v>161</v>
      </c>
      <c r="B62" s="662"/>
      <c r="C62" s="662"/>
      <c r="D62" s="662"/>
      <c r="E62" s="662"/>
      <c r="F62" s="662"/>
      <c r="G62" s="662"/>
      <c r="H62" s="662"/>
      <c r="I62" s="662"/>
      <c r="J62" s="662"/>
      <c r="K62" s="662"/>
      <c r="L62" s="662"/>
      <c r="M62" s="662"/>
      <c r="N62" s="662"/>
      <c r="O62" s="662"/>
      <c r="P62" s="662"/>
      <c r="Q62" s="662"/>
      <c r="R62" s="662"/>
      <c r="S62" s="662"/>
      <c r="T62" s="662"/>
      <c r="U62" s="662"/>
      <c r="V62" s="662"/>
      <c r="W62" s="662"/>
      <c r="X62" s="662"/>
      <c r="Y62" s="662"/>
      <c r="Z62" s="662"/>
      <c r="AA62" s="62"/>
      <c r="AB62" s="62"/>
      <c r="AC62" s="62"/>
    </row>
    <row r="63" spans="1:68" ht="14.25" hidden="1" customHeight="1" x14ac:dyDescent="0.25">
      <c r="A63" s="663" t="s">
        <v>146</v>
      </c>
      <c r="B63" s="663"/>
      <c r="C63" s="663"/>
      <c r="D63" s="663"/>
      <c r="E63" s="663"/>
      <c r="F63" s="663"/>
      <c r="G63" s="663"/>
      <c r="H63" s="663"/>
      <c r="I63" s="663"/>
      <c r="J63" s="663"/>
      <c r="K63" s="663"/>
      <c r="L63" s="663"/>
      <c r="M63" s="663"/>
      <c r="N63" s="663"/>
      <c r="O63" s="663"/>
      <c r="P63" s="663"/>
      <c r="Q63" s="663"/>
      <c r="R63" s="663"/>
      <c r="S63" s="663"/>
      <c r="T63" s="663"/>
      <c r="U63" s="663"/>
      <c r="V63" s="663"/>
      <c r="W63" s="663"/>
      <c r="X63" s="663"/>
      <c r="Y63" s="663"/>
      <c r="Z63" s="663"/>
      <c r="AA63" s="63"/>
      <c r="AB63" s="63"/>
      <c r="AC63" s="63"/>
    </row>
    <row r="64" spans="1:68" ht="27" hidden="1" customHeight="1" x14ac:dyDescent="0.25">
      <c r="A64" s="60" t="s">
        <v>162</v>
      </c>
      <c r="B64" s="60" t="s">
        <v>163</v>
      </c>
      <c r="C64" s="34">
        <v>4301012030</v>
      </c>
      <c r="D64" s="664">
        <v>4680115885882</v>
      </c>
      <c r="E64" s="664"/>
      <c r="F64" s="59">
        <v>1.4</v>
      </c>
      <c r="G64" s="35">
        <v>8</v>
      </c>
      <c r="H64" s="59">
        <v>11.2</v>
      </c>
      <c r="I64" s="59">
        <v>11.61</v>
      </c>
      <c r="J64" s="35">
        <v>64</v>
      </c>
      <c r="K64" s="35" t="s">
        <v>151</v>
      </c>
      <c r="L64" s="35" t="s">
        <v>46</v>
      </c>
      <c r="M64" s="36" t="s">
        <v>96</v>
      </c>
      <c r="N64" s="36"/>
      <c r="O64" s="35">
        <v>50</v>
      </c>
      <c r="P64" s="69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4" s="666"/>
      <c r="R64" s="666"/>
      <c r="S64" s="666"/>
      <c r="T64" s="667"/>
      <c r="U64" s="37" t="s">
        <v>46</v>
      </c>
      <c r="V64" s="37" t="s">
        <v>46</v>
      </c>
      <c r="W64" s="38" t="s">
        <v>0</v>
      </c>
      <c r="X64" s="56"/>
      <c r="Y64" s="53">
        <f t="shared" ref="Y64:Y69" si="6"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164</v>
      </c>
      <c r="AG64" s="75"/>
      <c r="AJ64" s="79" t="s">
        <v>46</v>
      </c>
      <c r="AK64" s="79">
        <v>0</v>
      </c>
      <c r="BB64" s="126" t="s">
        <v>67</v>
      </c>
      <c r="BM64" s="75">
        <f t="shared" ref="BM64:BM69" si="7">IFERROR(X64*I64/H64,"0")</f>
        <v>0</v>
      </c>
      <c r="BN64" s="75">
        <f t="shared" ref="BN64:BN69" si="8">IFERROR(Y64*I64/H64,"0")</f>
        <v>0</v>
      </c>
      <c r="BO64" s="75">
        <f t="shared" ref="BO64:BO69" si="9">IFERROR(1/J64*(X64/H64),"0")</f>
        <v>0</v>
      </c>
      <c r="BP64" s="75">
        <f t="shared" ref="BP64:BP69" si="10">IFERROR(1/J64*(Y64/H64),"0")</f>
        <v>0</v>
      </c>
    </row>
    <row r="65" spans="1:68" ht="27" hidden="1" customHeight="1" x14ac:dyDescent="0.25">
      <c r="A65" s="60" t="s">
        <v>165</v>
      </c>
      <c r="B65" s="60" t="s">
        <v>166</v>
      </c>
      <c r="C65" s="34">
        <v>4301011816</v>
      </c>
      <c r="D65" s="664">
        <v>4680115881426</v>
      </c>
      <c r="E65" s="66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151</v>
      </c>
      <c r="L65" s="35" t="s">
        <v>46</v>
      </c>
      <c r="M65" s="36" t="s">
        <v>150</v>
      </c>
      <c r="N65" s="36"/>
      <c r="O65" s="35">
        <v>50</v>
      </c>
      <c r="P65" s="6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66"/>
      <c r="R65" s="666"/>
      <c r="S65" s="666"/>
      <c r="T65" s="667"/>
      <c r="U65" s="37" t="s">
        <v>46</v>
      </c>
      <c r="V65" s="37" t="s">
        <v>46</v>
      </c>
      <c r="W65" s="38" t="s">
        <v>0</v>
      </c>
      <c r="X65" s="56"/>
      <c r="Y65" s="53">
        <f t="shared" si="6"/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167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0</v>
      </c>
      <c r="BN65" s="75">
        <f t="shared" si="8"/>
        <v>0</v>
      </c>
      <c r="BO65" s="75">
        <f t="shared" si="9"/>
        <v>0</v>
      </c>
      <c r="BP65" s="75">
        <f t="shared" si="10"/>
        <v>0</v>
      </c>
    </row>
    <row r="66" spans="1:68" ht="27" hidden="1" customHeight="1" x14ac:dyDescent="0.25">
      <c r="A66" s="60" t="s">
        <v>168</v>
      </c>
      <c r="B66" s="60" t="s">
        <v>169</v>
      </c>
      <c r="C66" s="34">
        <v>4301011386</v>
      </c>
      <c r="D66" s="664">
        <v>4680115880283</v>
      </c>
      <c r="E66" s="664"/>
      <c r="F66" s="59">
        <v>0.6</v>
      </c>
      <c r="G66" s="35">
        <v>8</v>
      </c>
      <c r="H66" s="59">
        <v>4.8</v>
      </c>
      <c r="I66" s="59">
        <v>4.99</v>
      </c>
      <c r="J66" s="35">
        <v>132</v>
      </c>
      <c r="K66" s="35" t="s">
        <v>158</v>
      </c>
      <c r="L66" s="35" t="s">
        <v>46</v>
      </c>
      <c r="M66" s="36" t="s">
        <v>150</v>
      </c>
      <c r="N66" s="36"/>
      <c r="O66" s="35">
        <v>45</v>
      </c>
      <c r="P66" s="69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66"/>
      <c r="R66" s="666"/>
      <c r="S66" s="666"/>
      <c r="T66" s="667"/>
      <c r="U66" s="37" t="s">
        <v>46</v>
      </c>
      <c r="V66" s="37" t="s">
        <v>46</v>
      </c>
      <c r="W66" s="38" t="s">
        <v>0</v>
      </c>
      <c r="X66" s="56"/>
      <c r="Y66" s="53">
        <f t="shared" si="6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170</v>
      </c>
      <c r="AG66" s="75"/>
      <c r="AJ66" s="79" t="s">
        <v>46</v>
      </c>
      <c r="AK66" s="79">
        <v>0</v>
      </c>
      <c r="BB66" s="130" t="s">
        <v>67</v>
      </c>
      <c r="BM66" s="75">
        <f t="shared" si="7"/>
        <v>0</v>
      </c>
      <c r="BN66" s="75">
        <f t="shared" si="8"/>
        <v>0</v>
      </c>
      <c r="BO66" s="75">
        <f t="shared" si="9"/>
        <v>0</v>
      </c>
      <c r="BP66" s="75">
        <f t="shared" si="10"/>
        <v>0</v>
      </c>
    </row>
    <row r="67" spans="1:68" ht="27" hidden="1" customHeight="1" x14ac:dyDescent="0.25">
      <c r="A67" s="60" t="s">
        <v>171</v>
      </c>
      <c r="B67" s="60" t="s">
        <v>172</v>
      </c>
      <c r="C67" s="34">
        <v>4301011806</v>
      </c>
      <c r="D67" s="664">
        <v>4680115881525</v>
      </c>
      <c r="E67" s="664"/>
      <c r="F67" s="59">
        <v>0.4</v>
      </c>
      <c r="G67" s="35">
        <v>10</v>
      </c>
      <c r="H67" s="59">
        <v>4</v>
      </c>
      <c r="I67" s="59">
        <v>4.1900000000000004</v>
      </c>
      <c r="J67" s="35">
        <v>132</v>
      </c>
      <c r="K67" s="35" t="s">
        <v>158</v>
      </c>
      <c r="L67" s="35" t="s">
        <v>46</v>
      </c>
      <c r="M67" s="36" t="s">
        <v>150</v>
      </c>
      <c r="N67" s="36"/>
      <c r="O67" s="35">
        <v>50</v>
      </c>
      <c r="P67" s="6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66"/>
      <c r="R67" s="666"/>
      <c r="S67" s="666"/>
      <c r="T67" s="667"/>
      <c r="U67" s="37" t="s">
        <v>46</v>
      </c>
      <c r="V67" s="37" t="s">
        <v>46</v>
      </c>
      <c r="W67" s="38" t="s">
        <v>0</v>
      </c>
      <c r="X67" s="56"/>
      <c r="Y67" s="53">
        <f t="shared" si="6"/>
        <v>0</v>
      </c>
      <c r="Z67" s="39" t="str">
        <f>IFERROR(IF(Y67=0,"",ROUNDUP(Y67/H67,0)*0.00902),"")</f>
        <v/>
      </c>
      <c r="AA67" s="65" t="s">
        <v>46</v>
      </c>
      <c r="AB67" s="66" t="s">
        <v>46</v>
      </c>
      <c r="AC67" s="131" t="s">
        <v>173</v>
      </c>
      <c r="AG67" s="75"/>
      <c r="AJ67" s="79" t="s">
        <v>46</v>
      </c>
      <c r="AK67" s="79">
        <v>0</v>
      </c>
      <c r="BB67" s="132" t="s">
        <v>67</v>
      </c>
      <c r="BM67" s="75">
        <f t="shared" si="7"/>
        <v>0</v>
      </c>
      <c r="BN67" s="75">
        <f t="shared" si="8"/>
        <v>0</v>
      </c>
      <c r="BO67" s="75">
        <f t="shared" si="9"/>
        <v>0</v>
      </c>
      <c r="BP67" s="75">
        <f t="shared" si="10"/>
        <v>0</v>
      </c>
    </row>
    <row r="68" spans="1:68" ht="27" hidden="1" customHeight="1" x14ac:dyDescent="0.25">
      <c r="A68" s="60" t="s">
        <v>174</v>
      </c>
      <c r="B68" s="60" t="s">
        <v>175</v>
      </c>
      <c r="C68" s="34">
        <v>4301011589</v>
      </c>
      <c r="D68" s="664">
        <v>4680115885899</v>
      </c>
      <c r="E68" s="664"/>
      <c r="F68" s="59">
        <v>0.35</v>
      </c>
      <c r="G68" s="35">
        <v>6</v>
      </c>
      <c r="H68" s="59">
        <v>2.1</v>
      </c>
      <c r="I68" s="59">
        <v>2.2799999999999998</v>
      </c>
      <c r="J68" s="35">
        <v>182</v>
      </c>
      <c r="K68" s="35" t="s">
        <v>88</v>
      </c>
      <c r="L68" s="35" t="s">
        <v>46</v>
      </c>
      <c r="M68" s="36" t="s">
        <v>102</v>
      </c>
      <c r="N68" s="36"/>
      <c r="O68" s="35">
        <v>50</v>
      </c>
      <c r="P68" s="6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8" s="666"/>
      <c r="R68" s="666"/>
      <c r="S68" s="666"/>
      <c r="T68" s="667"/>
      <c r="U68" s="37" t="s">
        <v>46</v>
      </c>
      <c r="V68" s="37" t="s">
        <v>46</v>
      </c>
      <c r="W68" s="38" t="s">
        <v>0</v>
      </c>
      <c r="X68" s="56"/>
      <c r="Y68" s="53">
        <f t="shared" si="6"/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176</v>
      </c>
      <c r="AG68" s="75"/>
      <c r="AJ68" s="79" t="s">
        <v>46</v>
      </c>
      <c r="AK68" s="79">
        <v>0</v>
      </c>
      <c r="BB68" s="134" t="s">
        <v>67</v>
      </c>
      <c r="BM68" s="75">
        <f t="shared" si="7"/>
        <v>0</v>
      </c>
      <c r="BN68" s="75">
        <f t="shared" si="8"/>
        <v>0</v>
      </c>
      <c r="BO68" s="75">
        <f t="shared" si="9"/>
        <v>0</v>
      </c>
      <c r="BP68" s="75">
        <f t="shared" si="10"/>
        <v>0</v>
      </c>
    </row>
    <row r="69" spans="1:68" ht="37.5" hidden="1" customHeight="1" x14ac:dyDescent="0.25">
      <c r="A69" s="60" t="s">
        <v>177</v>
      </c>
      <c r="B69" s="60" t="s">
        <v>178</v>
      </c>
      <c r="C69" s="34">
        <v>4301011801</v>
      </c>
      <c r="D69" s="664">
        <v>4680115881419</v>
      </c>
      <c r="E69" s="664"/>
      <c r="F69" s="59">
        <v>0.45</v>
      </c>
      <c r="G69" s="35">
        <v>10</v>
      </c>
      <c r="H69" s="59">
        <v>4.5</v>
      </c>
      <c r="I69" s="59">
        <v>4.6900000000000004</v>
      </c>
      <c r="J69" s="35">
        <v>132</v>
      </c>
      <c r="K69" s="35" t="s">
        <v>158</v>
      </c>
      <c r="L69" s="35" t="s">
        <v>46</v>
      </c>
      <c r="M69" s="36" t="s">
        <v>150</v>
      </c>
      <c r="N69" s="36"/>
      <c r="O69" s="35">
        <v>50</v>
      </c>
      <c r="P69" s="6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66"/>
      <c r="R69" s="666"/>
      <c r="S69" s="666"/>
      <c r="T69" s="667"/>
      <c r="U69" s="37" t="s">
        <v>46</v>
      </c>
      <c r="V69" s="37" t="s">
        <v>46</v>
      </c>
      <c r="W69" s="38" t="s">
        <v>0</v>
      </c>
      <c r="X69" s="56"/>
      <c r="Y69" s="53">
        <f t="shared" si="6"/>
        <v>0</v>
      </c>
      <c r="Z69" s="39" t="str">
        <f>IFERROR(IF(Y69=0,"",ROUNDUP(Y69/H69,0)*0.00902),"")</f>
        <v/>
      </c>
      <c r="AA69" s="65" t="s">
        <v>46</v>
      </c>
      <c r="AB69" s="66" t="s">
        <v>46</v>
      </c>
      <c r="AC69" s="135" t="s">
        <v>179</v>
      </c>
      <c r="AG69" s="75"/>
      <c r="AJ69" s="79" t="s">
        <v>46</v>
      </c>
      <c r="AK69" s="79">
        <v>0</v>
      </c>
      <c r="BB69" s="136" t="s">
        <v>67</v>
      </c>
      <c r="BM69" s="75">
        <f t="shared" si="7"/>
        <v>0</v>
      </c>
      <c r="BN69" s="75">
        <f t="shared" si="8"/>
        <v>0</v>
      </c>
      <c r="BO69" s="75">
        <f t="shared" si="9"/>
        <v>0</v>
      </c>
      <c r="BP69" s="75">
        <f t="shared" si="10"/>
        <v>0</v>
      </c>
    </row>
    <row r="70" spans="1:68" hidden="1" x14ac:dyDescent="0.2">
      <c r="A70" s="673"/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4"/>
      <c r="P70" s="670" t="s">
        <v>40</v>
      </c>
      <c r="Q70" s="671"/>
      <c r="R70" s="671"/>
      <c r="S70" s="671"/>
      <c r="T70" s="671"/>
      <c r="U70" s="671"/>
      <c r="V70" s="672"/>
      <c r="W70" s="40" t="s">
        <v>39</v>
      </c>
      <c r="X70" s="41">
        <f>IFERROR(X64/H64,"0")+IFERROR(X65/H65,"0")+IFERROR(X66/H66,"0")+IFERROR(X67/H67,"0")+IFERROR(X68/H68,"0")+IFERROR(X69/H69,"0")</f>
        <v>0</v>
      </c>
      <c r="Y70" s="41">
        <f>IFERROR(Y64/H64,"0")+IFERROR(Y65/H65,"0")+IFERROR(Y66/H66,"0")+IFERROR(Y67/H67,"0")+IFERROR(Y68/H68,"0")+IFERROR(Y69/H69,"0")</f>
        <v>0</v>
      </c>
      <c r="Z70" s="41">
        <f>IFERROR(IF(Z64="",0,Z64),"0")+IFERROR(IF(Z65="",0,Z65),"0")+IFERROR(IF(Z66="",0,Z66),"0")+IFERROR(IF(Z67="",0,Z67),"0")+IFERROR(IF(Z68="",0,Z68),"0")+IFERROR(IF(Z69="",0,Z69),"0")</f>
        <v>0</v>
      </c>
      <c r="AA70" s="64"/>
      <c r="AB70" s="64"/>
      <c r="AC70" s="64"/>
    </row>
    <row r="71" spans="1:68" hidden="1" x14ac:dyDescent="0.2">
      <c r="A71" s="673"/>
      <c r="B71" s="673"/>
      <c r="C71" s="673"/>
      <c r="D71" s="673"/>
      <c r="E71" s="673"/>
      <c r="F71" s="673"/>
      <c r="G71" s="673"/>
      <c r="H71" s="673"/>
      <c r="I71" s="673"/>
      <c r="J71" s="673"/>
      <c r="K71" s="673"/>
      <c r="L71" s="673"/>
      <c r="M71" s="673"/>
      <c r="N71" s="673"/>
      <c r="O71" s="674"/>
      <c r="P71" s="670" t="s">
        <v>40</v>
      </c>
      <c r="Q71" s="671"/>
      <c r="R71" s="671"/>
      <c r="S71" s="671"/>
      <c r="T71" s="671"/>
      <c r="U71" s="671"/>
      <c r="V71" s="672"/>
      <c r="W71" s="40" t="s">
        <v>0</v>
      </c>
      <c r="X71" s="41">
        <f>IFERROR(SUM(X64:X69),"0")</f>
        <v>0</v>
      </c>
      <c r="Y71" s="41">
        <f>IFERROR(SUM(Y64:Y69),"0")</f>
        <v>0</v>
      </c>
      <c r="Z71" s="40"/>
      <c r="AA71" s="64"/>
      <c r="AB71" s="64"/>
      <c r="AC71" s="64"/>
    </row>
    <row r="72" spans="1:68" ht="14.25" hidden="1" customHeight="1" x14ac:dyDescent="0.25">
      <c r="A72" s="663" t="s">
        <v>180</v>
      </c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63"/>
      <c r="P72" s="663"/>
      <c r="Q72" s="663"/>
      <c r="R72" s="663"/>
      <c r="S72" s="663"/>
      <c r="T72" s="663"/>
      <c r="U72" s="663"/>
      <c r="V72" s="663"/>
      <c r="W72" s="663"/>
      <c r="X72" s="663"/>
      <c r="Y72" s="663"/>
      <c r="Z72" s="663"/>
      <c r="AA72" s="63"/>
      <c r="AB72" s="63"/>
      <c r="AC72" s="63"/>
    </row>
    <row r="73" spans="1:68" ht="16.5" customHeight="1" x14ac:dyDescent="0.25">
      <c r="A73" s="60" t="s">
        <v>181</v>
      </c>
      <c r="B73" s="60" t="s">
        <v>182</v>
      </c>
      <c r="C73" s="34">
        <v>4301020298</v>
      </c>
      <c r="D73" s="664">
        <v>4680115881440</v>
      </c>
      <c r="E73" s="664"/>
      <c r="F73" s="59">
        <v>1.35</v>
      </c>
      <c r="G73" s="35">
        <v>8</v>
      </c>
      <c r="H73" s="59">
        <v>10.8</v>
      </c>
      <c r="I73" s="59">
        <v>11.21</v>
      </c>
      <c r="J73" s="35">
        <v>64</v>
      </c>
      <c r="K73" s="35" t="s">
        <v>151</v>
      </c>
      <c r="L73" s="35" t="s">
        <v>46</v>
      </c>
      <c r="M73" s="36" t="s">
        <v>150</v>
      </c>
      <c r="N73" s="36"/>
      <c r="O73" s="35">
        <v>50</v>
      </c>
      <c r="P73" s="7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66"/>
      <c r="R73" s="666"/>
      <c r="S73" s="666"/>
      <c r="T73" s="667"/>
      <c r="U73" s="37" t="s">
        <v>46</v>
      </c>
      <c r="V73" s="37" t="s">
        <v>46</v>
      </c>
      <c r="W73" s="38" t="s">
        <v>0</v>
      </c>
      <c r="X73" s="56">
        <v>80</v>
      </c>
      <c r="Y73" s="53">
        <f>IFERROR(IF(X73="",0,CEILING((X73/$H73),1)*$H73),"")</f>
        <v>86.4</v>
      </c>
      <c r="Z73" s="39">
        <f>IFERROR(IF(Y73=0,"",ROUNDUP(Y73/H73,0)*0.01898),"")</f>
        <v>0.15184</v>
      </c>
      <c r="AA73" s="65" t="s">
        <v>46</v>
      </c>
      <c r="AB73" s="66" t="s">
        <v>46</v>
      </c>
      <c r="AC73" s="137" t="s">
        <v>183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83.037037037037038</v>
      </c>
      <c r="BN73" s="75">
        <f>IFERROR(Y73*I73/H73,"0")</f>
        <v>89.68</v>
      </c>
      <c r="BO73" s="75">
        <f>IFERROR(1/J73*(X73/H73),"0")</f>
        <v>0.11574074074074073</v>
      </c>
      <c r="BP73" s="75">
        <f>IFERROR(1/J73*(Y73/H73),"0")</f>
        <v>0.125</v>
      </c>
    </row>
    <row r="74" spans="1:68" ht="16.5" hidden="1" customHeight="1" x14ac:dyDescent="0.25">
      <c r="A74" s="60" t="s">
        <v>184</v>
      </c>
      <c r="B74" s="60" t="s">
        <v>185</v>
      </c>
      <c r="C74" s="34">
        <v>4301020358</v>
      </c>
      <c r="D74" s="664">
        <v>4680115885950</v>
      </c>
      <c r="E74" s="664"/>
      <c r="F74" s="59">
        <v>0.37</v>
      </c>
      <c r="G74" s="35">
        <v>6</v>
      </c>
      <c r="H74" s="59">
        <v>2.2200000000000002</v>
      </c>
      <c r="I74" s="59">
        <v>2.4</v>
      </c>
      <c r="J74" s="35">
        <v>182</v>
      </c>
      <c r="K74" s="35" t="s">
        <v>88</v>
      </c>
      <c r="L74" s="35" t="s">
        <v>46</v>
      </c>
      <c r="M74" s="36" t="s">
        <v>96</v>
      </c>
      <c r="N74" s="36"/>
      <c r="O74" s="35">
        <v>50</v>
      </c>
      <c r="P74" s="70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66"/>
      <c r="R74" s="666"/>
      <c r="S74" s="666"/>
      <c r="T74" s="667"/>
      <c r="U74" s="37" t="s">
        <v>46</v>
      </c>
      <c r="V74" s="37" t="s">
        <v>46</v>
      </c>
      <c r="W74" s="38" t="s">
        <v>0</v>
      </c>
      <c r="X74" s="56"/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183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16.5" hidden="1" customHeight="1" x14ac:dyDescent="0.25">
      <c r="A75" s="60" t="s">
        <v>186</v>
      </c>
      <c r="B75" s="60" t="s">
        <v>187</v>
      </c>
      <c r="C75" s="34">
        <v>4301020371</v>
      </c>
      <c r="D75" s="664">
        <v>4680115887688</v>
      </c>
      <c r="E75" s="664"/>
      <c r="F75" s="59">
        <v>0.1</v>
      </c>
      <c r="G75" s="35">
        <v>10</v>
      </c>
      <c r="H75" s="59">
        <v>1</v>
      </c>
      <c r="I75" s="59">
        <v>1.21</v>
      </c>
      <c r="J75" s="35">
        <v>192</v>
      </c>
      <c r="K75" s="35" t="s">
        <v>155</v>
      </c>
      <c r="L75" s="35" t="s">
        <v>46</v>
      </c>
      <c r="M75" s="36" t="s">
        <v>83</v>
      </c>
      <c r="N75" s="36"/>
      <c r="O75" s="35">
        <v>30</v>
      </c>
      <c r="P75" s="70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66"/>
      <c r="R75" s="666"/>
      <c r="S75" s="666"/>
      <c r="T75" s="667"/>
      <c r="U75" s="37" t="s">
        <v>46</v>
      </c>
      <c r="V75" s="37" t="s">
        <v>46</v>
      </c>
      <c r="W75" s="38" t="s">
        <v>0</v>
      </c>
      <c r="X75" s="56"/>
      <c r="Y75" s="53">
        <f>IFERROR(IF(X75="",0,CEILING((X75/$H75),1)*$H75),"")</f>
        <v>0</v>
      </c>
      <c r="Z75" s="39" t="str">
        <f>IFERROR(IF(Y75=0,"",ROUNDUP(Y75/H75,0)*0.00726),"")</f>
        <v/>
      </c>
      <c r="AA75" s="65" t="s">
        <v>46</v>
      </c>
      <c r="AB75" s="66" t="s">
        <v>46</v>
      </c>
      <c r="AC75" s="141" t="s">
        <v>188</v>
      </c>
      <c r="AG75" s="75"/>
      <c r="AJ75" s="79" t="s">
        <v>46</v>
      </c>
      <c r="AK75" s="79">
        <v>0</v>
      </c>
      <c r="BB75" s="142" t="s">
        <v>67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189</v>
      </c>
      <c r="B76" s="60" t="s">
        <v>190</v>
      </c>
      <c r="C76" s="34">
        <v>4301020296</v>
      </c>
      <c r="D76" s="664">
        <v>4680115881433</v>
      </c>
      <c r="E76" s="664"/>
      <c r="F76" s="59">
        <v>0.45</v>
      </c>
      <c r="G76" s="35">
        <v>6</v>
      </c>
      <c r="H76" s="59">
        <v>2.7</v>
      </c>
      <c r="I76" s="59">
        <v>2.88</v>
      </c>
      <c r="J76" s="35">
        <v>182</v>
      </c>
      <c r="K76" s="35" t="s">
        <v>88</v>
      </c>
      <c r="L76" s="35" t="s">
        <v>46</v>
      </c>
      <c r="M76" s="36" t="s">
        <v>150</v>
      </c>
      <c r="N76" s="36"/>
      <c r="O76" s="35">
        <v>50</v>
      </c>
      <c r="P76" s="70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66"/>
      <c r="R76" s="666"/>
      <c r="S76" s="666"/>
      <c r="T76" s="667"/>
      <c r="U76" s="37" t="s">
        <v>46</v>
      </c>
      <c r="V76" s="37" t="s">
        <v>46</v>
      </c>
      <c r="W76" s="38" t="s">
        <v>0</v>
      </c>
      <c r="X76" s="56"/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43" t="s">
        <v>183</v>
      </c>
      <c r="AG76" s="75"/>
      <c r="AJ76" s="79" t="s">
        <v>46</v>
      </c>
      <c r="AK76" s="79">
        <v>0</v>
      </c>
      <c r="BB76" s="144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673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70" t="s">
        <v>40</v>
      </c>
      <c r="Q77" s="671"/>
      <c r="R77" s="671"/>
      <c r="S77" s="671"/>
      <c r="T77" s="671"/>
      <c r="U77" s="671"/>
      <c r="V77" s="672"/>
      <c r="W77" s="40" t="s">
        <v>39</v>
      </c>
      <c r="X77" s="41">
        <f>IFERROR(X73/H73,"0")+IFERROR(X74/H74,"0")+IFERROR(X75/H75,"0")+IFERROR(X76/H76,"0")</f>
        <v>7.4074074074074066</v>
      </c>
      <c r="Y77" s="41">
        <f>IFERROR(Y73/H73,"0")+IFERROR(Y74/H74,"0")+IFERROR(Y75/H75,"0")+IFERROR(Y76/H76,"0")</f>
        <v>8</v>
      </c>
      <c r="Z77" s="41">
        <f>IFERROR(IF(Z73="",0,Z73),"0")+IFERROR(IF(Z74="",0,Z74),"0")+IFERROR(IF(Z75="",0,Z75),"0")+IFERROR(IF(Z76="",0,Z76),"0")</f>
        <v>0.15184</v>
      </c>
      <c r="AA77" s="64"/>
      <c r="AB77" s="64"/>
      <c r="AC77" s="64"/>
    </row>
    <row r="78" spans="1:68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70" t="s">
        <v>40</v>
      </c>
      <c r="Q78" s="671"/>
      <c r="R78" s="671"/>
      <c r="S78" s="671"/>
      <c r="T78" s="671"/>
      <c r="U78" s="671"/>
      <c r="V78" s="672"/>
      <c r="W78" s="40" t="s">
        <v>0</v>
      </c>
      <c r="X78" s="41">
        <f>IFERROR(SUM(X73:X76),"0")</f>
        <v>80</v>
      </c>
      <c r="Y78" s="41">
        <f>IFERROR(SUM(Y73:Y76),"0")</f>
        <v>86.4</v>
      </c>
      <c r="Z78" s="40"/>
      <c r="AA78" s="64"/>
      <c r="AB78" s="64"/>
      <c r="AC78" s="64"/>
    </row>
    <row r="79" spans="1:68" ht="14.25" hidden="1" customHeight="1" x14ac:dyDescent="0.25">
      <c r="A79" s="663" t="s">
        <v>92</v>
      </c>
      <c r="B79" s="663"/>
      <c r="C79" s="663"/>
      <c r="D79" s="663"/>
      <c r="E79" s="663"/>
      <c r="F79" s="663"/>
      <c r="G79" s="663"/>
      <c r="H79" s="663"/>
      <c r="I79" s="663"/>
      <c r="J79" s="663"/>
      <c r="K79" s="663"/>
      <c r="L79" s="663"/>
      <c r="M79" s="663"/>
      <c r="N79" s="663"/>
      <c r="O79" s="663"/>
      <c r="P79" s="663"/>
      <c r="Q79" s="663"/>
      <c r="R79" s="663"/>
      <c r="S79" s="663"/>
      <c r="T79" s="663"/>
      <c r="U79" s="663"/>
      <c r="V79" s="663"/>
      <c r="W79" s="663"/>
      <c r="X79" s="663"/>
      <c r="Y79" s="663"/>
      <c r="Z79" s="663"/>
      <c r="AA79" s="63"/>
      <c r="AB79" s="63"/>
      <c r="AC79" s="63"/>
    </row>
    <row r="80" spans="1:68" ht="16.5" hidden="1" customHeight="1" x14ac:dyDescent="0.25">
      <c r="A80" s="60" t="s">
        <v>191</v>
      </c>
      <c r="B80" s="60" t="s">
        <v>192</v>
      </c>
      <c r="C80" s="34">
        <v>4301051837</v>
      </c>
      <c r="D80" s="664">
        <v>4680115884311</v>
      </c>
      <c r="E80" s="664"/>
      <c r="F80" s="59">
        <v>0.3</v>
      </c>
      <c r="G80" s="35">
        <v>6</v>
      </c>
      <c r="H80" s="59">
        <v>1.8</v>
      </c>
      <c r="I80" s="59">
        <v>2.0459999999999998</v>
      </c>
      <c r="J80" s="35">
        <v>182</v>
      </c>
      <c r="K80" s="35" t="s">
        <v>88</v>
      </c>
      <c r="L80" s="35" t="s">
        <v>46</v>
      </c>
      <c r="M80" s="36" t="s">
        <v>96</v>
      </c>
      <c r="N80" s="36"/>
      <c r="O80" s="35">
        <v>40</v>
      </c>
      <c r="P80" s="70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66"/>
      <c r="R80" s="666"/>
      <c r="S80" s="666"/>
      <c r="T80" s="667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IFERROR(IF(Y80=0,"",ROUNDUP(Y80/H80,0)*0.00651),"")</f>
        <v/>
      </c>
      <c r="AA80" s="65" t="s">
        <v>46</v>
      </c>
      <c r="AB80" s="66" t="s">
        <v>46</v>
      </c>
      <c r="AC80" s="145" t="s">
        <v>193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hidden="1" customHeight="1" x14ac:dyDescent="0.25">
      <c r="A81" s="60" t="s">
        <v>194</v>
      </c>
      <c r="B81" s="60" t="s">
        <v>195</v>
      </c>
      <c r="C81" s="34">
        <v>4301051929</v>
      </c>
      <c r="D81" s="664">
        <v>4680115884403</v>
      </c>
      <c r="E81" s="664"/>
      <c r="F81" s="59">
        <v>0.3</v>
      </c>
      <c r="G81" s="35">
        <v>6</v>
      </c>
      <c r="H81" s="59">
        <v>1.8</v>
      </c>
      <c r="I81" s="59">
        <v>1.98</v>
      </c>
      <c r="J81" s="35">
        <v>182</v>
      </c>
      <c r="K81" s="35" t="s">
        <v>88</v>
      </c>
      <c r="L81" s="35" t="s">
        <v>46</v>
      </c>
      <c r="M81" s="36" t="s">
        <v>96</v>
      </c>
      <c r="N81" s="36"/>
      <c r="O81" s="35">
        <v>40</v>
      </c>
      <c r="P81" s="7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66"/>
      <c r="R81" s="666"/>
      <c r="S81" s="666"/>
      <c r="T81" s="667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IFERROR(IF(Y81=0,"",ROUNDUP(Y81/H81,0)*0.00651),"")</f>
        <v/>
      </c>
      <c r="AA81" s="65" t="s">
        <v>46</v>
      </c>
      <c r="AB81" s="66" t="s">
        <v>46</v>
      </c>
      <c r="AC81" s="147" t="s">
        <v>196</v>
      </c>
      <c r="AG81" s="75"/>
      <c r="AJ81" s="79" t="s">
        <v>46</v>
      </c>
      <c r="AK81" s="79">
        <v>0</v>
      </c>
      <c r="BB81" s="148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idden="1" x14ac:dyDescent="0.2">
      <c r="A82" s="673"/>
      <c r="B82" s="673"/>
      <c r="C82" s="673"/>
      <c r="D82" s="673"/>
      <c r="E82" s="673"/>
      <c r="F82" s="673"/>
      <c r="G82" s="673"/>
      <c r="H82" s="673"/>
      <c r="I82" s="673"/>
      <c r="J82" s="673"/>
      <c r="K82" s="673"/>
      <c r="L82" s="673"/>
      <c r="M82" s="673"/>
      <c r="N82" s="673"/>
      <c r="O82" s="674"/>
      <c r="P82" s="670" t="s">
        <v>40</v>
      </c>
      <c r="Q82" s="671"/>
      <c r="R82" s="671"/>
      <c r="S82" s="671"/>
      <c r="T82" s="671"/>
      <c r="U82" s="671"/>
      <c r="V82" s="672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hidden="1" x14ac:dyDescent="0.2">
      <c r="A83" s="673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70" t="s">
        <v>40</v>
      </c>
      <c r="Q83" s="671"/>
      <c r="R83" s="671"/>
      <c r="S83" s="671"/>
      <c r="T83" s="671"/>
      <c r="U83" s="671"/>
      <c r="V83" s="672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4.25" hidden="1" customHeight="1" x14ac:dyDescent="0.25">
      <c r="A84" s="663" t="s">
        <v>197</v>
      </c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3"/>
      <c r="P84" s="663"/>
      <c r="Q84" s="663"/>
      <c r="R84" s="663"/>
      <c r="S84" s="663"/>
      <c r="T84" s="663"/>
      <c r="U84" s="663"/>
      <c r="V84" s="663"/>
      <c r="W84" s="663"/>
      <c r="X84" s="663"/>
      <c r="Y84" s="663"/>
      <c r="Z84" s="663"/>
      <c r="AA84" s="63"/>
      <c r="AB84" s="63"/>
      <c r="AC84" s="63"/>
    </row>
    <row r="85" spans="1:68" ht="27" hidden="1" customHeight="1" x14ac:dyDescent="0.25">
      <c r="A85" s="60" t="s">
        <v>198</v>
      </c>
      <c r="B85" s="60" t="s">
        <v>199</v>
      </c>
      <c r="C85" s="34">
        <v>4301060455</v>
      </c>
      <c r="D85" s="664">
        <v>4680115881532</v>
      </c>
      <c r="E85" s="664"/>
      <c r="F85" s="59">
        <v>1.3</v>
      </c>
      <c r="G85" s="35">
        <v>6</v>
      </c>
      <c r="H85" s="59">
        <v>7.8</v>
      </c>
      <c r="I85" s="59">
        <v>8.2100000000000009</v>
      </c>
      <c r="J85" s="35">
        <v>64</v>
      </c>
      <c r="K85" s="35" t="s">
        <v>151</v>
      </c>
      <c r="L85" s="35" t="s">
        <v>46</v>
      </c>
      <c r="M85" s="36" t="s">
        <v>102</v>
      </c>
      <c r="N85" s="36"/>
      <c r="O85" s="35">
        <v>30</v>
      </c>
      <c r="P85" s="7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66"/>
      <c r="R85" s="666"/>
      <c r="S85" s="666"/>
      <c r="T85" s="667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9" t="s">
        <v>200</v>
      </c>
      <c r="AG85" s="75"/>
      <c r="AJ85" s="79" t="s">
        <v>46</v>
      </c>
      <c r="AK85" s="79">
        <v>0</v>
      </c>
      <c r="BB85" s="150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201</v>
      </c>
      <c r="B86" s="60" t="s">
        <v>202</v>
      </c>
      <c r="C86" s="34">
        <v>4301060351</v>
      </c>
      <c r="D86" s="664">
        <v>4680115881464</v>
      </c>
      <c r="E86" s="664"/>
      <c r="F86" s="59">
        <v>0.4</v>
      </c>
      <c r="G86" s="35">
        <v>6</v>
      </c>
      <c r="H86" s="59">
        <v>2.4</v>
      </c>
      <c r="I86" s="59">
        <v>2.59</v>
      </c>
      <c r="J86" s="35">
        <v>132</v>
      </c>
      <c r="K86" s="35" t="s">
        <v>158</v>
      </c>
      <c r="L86" s="35" t="s">
        <v>46</v>
      </c>
      <c r="M86" s="36" t="s">
        <v>96</v>
      </c>
      <c r="N86" s="36"/>
      <c r="O86" s="35">
        <v>30</v>
      </c>
      <c r="P86" s="7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66"/>
      <c r="R86" s="666"/>
      <c r="S86" s="666"/>
      <c r="T86" s="66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 t="s">
        <v>46</v>
      </c>
      <c r="AB86" s="66" t="s">
        <v>46</v>
      </c>
      <c r="AC86" s="151" t="s">
        <v>203</v>
      </c>
      <c r="AG86" s="75"/>
      <c r="AJ86" s="79" t="s">
        <v>46</v>
      </c>
      <c r="AK86" s="79">
        <v>0</v>
      </c>
      <c r="BB86" s="152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idden="1" x14ac:dyDescent="0.2">
      <c r="A87" s="673"/>
      <c r="B87" s="673"/>
      <c r="C87" s="673"/>
      <c r="D87" s="673"/>
      <c r="E87" s="673"/>
      <c r="F87" s="673"/>
      <c r="G87" s="673"/>
      <c r="H87" s="673"/>
      <c r="I87" s="673"/>
      <c r="J87" s="673"/>
      <c r="K87" s="673"/>
      <c r="L87" s="673"/>
      <c r="M87" s="673"/>
      <c r="N87" s="673"/>
      <c r="O87" s="674"/>
      <c r="P87" s="670" t="s">
        <v>40</v>
      </c>
      <c r="Q87" s="671"/>
      <c r="R87" s="671"/>
      <c r="S87" s="671"/>
      <c r="T87" s="671"/>
      <c r="U87" s="671"/>
      <c r="V87" s="672"/>
      <c r="W87" s="40" t="s">
        <v>39</v>
      </c>
      <c r="X87" s="41">
        <f>IFERROR(X85/H85,"0")+IFERROR(X86/H86,"0")</f>
        <v>0</v>
      </c>
      <c r="Y87" s="41">
        <f>IFERROR(Y85/H85,"0")+IFERROR(Y86/H86,"0")</f>
        <v>0</v>
      </c>
      <c r="Z87" s="41">
        <f>IFERROR(IF(Z85="",0,Z85),"0")+IFERROR(IF(Z86="",0,Z86),"0")</f>
        <v>0</v>
      </c>
      <c r="AA87" s="64"/>
      <c r="AB87" s="64"/>
      <c r="AC87" s="64"/>
    </row>
    <row r="88" spans="1:68" hidden="1" x14ac:dyDescent="0.2">
      <c r="A88" s="673"/>
      <c r="B88" s="673"/>
      <c r="C88" s="673"/>
      <c r="D88" s="673"/>
      <c r="E88" s="673"/>
      <c r="F88" s="673"/>
      <c r="G88" s="673"/>
      <c r="H88" s="673"/>
      <c r="I88" s="673"/>
      <c r="J88" s="673"/>
      <c r="K88" s="673"/>
      <c r="L88" s="673"/>
      <c r="M88" s="673"/>
      <c r="N88" s="673"/>
      <c r="O88" s="674"/>
      <c r="P88" s="670" t="s">
        <v>40</v>
      </c>
      <c r="Q88" s="671"/>
      <c r="R88" s="671"/>
      <c r="S88" s="671"/>
      <c r="T88" s="671"/>
      <c r="U88" s="671"/>
      <c r="V88" s="672"/>
      <c r="W88" s="40" t="s">
        <v>0</v>
      </c>
      <c r="X88" s="41">
        <f>IFERROR(SUM(X85:X86),"0")</f>
        <v>0</v>
      </c>
      <c r="Y88" s="41">
        <f>IFERROR(SUM(Y85:Y86),"0")</f>
        <v>0</v>
      </c>
      <c r="Z88" s="40"/>
      <c r="AA88" s="64"/>
      <c r="AB88" s="64"/>
      <c r="AC88" s="64"/>
    </row>
    <row r="89" spans="1:68" ht="16.5" hidden="1" customHeight="1" x14ac:dyDescent="0.25">
      <c r="A89" s="662" t="s">
        <v>204</v>
      </c>
      <c r="B89" s="662"/>
      <c r="C89" s="662"/>
      <c r="D89" s="662"/>
      <c r="E89" s="662"/>
      <c r="F89" s="662"/>
      <c r="G89" s="662"/>
      <c r="H89" s="662"/>
      <c r="I89" s="662"/>
      <c r="J89" s="662"/>
      <c r="K89" s="662"/>
      <c r="L89" s="662"/>
      <c r="M89" s="662"/>
      <c r="N89" s="662"/>
      <c r="O89" s="662"/>
      <c r="P89" s="662"/>
      <c r="Q89" s="662"/>
      <c r="R89" s="662"/>
      <c r="S89" s="662"/>
      <c r="T89" s="662"/>
      <c r="U89" s="662"/>
      <c r="V89" s="662"/>
      <c r="W89" s="662"/>
      <c r="X89" s="662"/>
      <c r="Y89" s="662"/>
      <c r="Z89" s="662"/>
      <c r="AA89" s="62"/>
      <c r="AB89" s="62"/>
      <c r="AC89" s="62"/>
    </row>
    <row r="90" spans="1:68" ht="14.25" hidden="1" customHeight="1" x14ac:dyDescent="0.25">
      <c r="A90" s="663" t="s">
        <v>146</v>
      </c>
      <c r="B90" s="663"/>
      <c r="C90" s="663"/>
      <c r="D90" s="663"/>
      <c r="E90" s="663"/>
      <c r="F90" s="663"/>
      <c r="G90" s="663"/>
      <c r="H90" s="663"/>
      <c r="I90" s="663"/>
      <c r="J90" s="663"/>
      <c r="K90" s="663"/>
      <c r="L90" s="663"/>
      <c r="M90" s="663"/>
      <c r="N90" s="663"/>
      <c r="O90" s="663"/>
      <c r="P90" s="663"/>
      <c r="Q90" s="663"/>
      <c r="R90" s="663"/>
      <c r="S90" s="663"/>
      <c r="T90" s="663"/>
      <c r="U90" s="663"/>
      <c r="V90" s="663"/>
      <c r="W90" s="663"/>
      <c r="X90" s="663"/>
      <c r="Y90" s="663"/>
      <c r="Z90" s="663"/>
      <c r="AA90" s="63"/>
      <c r="AB90" s="63"/>
      <c r="AC90" s="63"/>
    </row>
    <row r="91" spans="1:68" ht="27" customHeight="1" x14ac:dyDescent="0.25">
      <c r="A91" s="60" t="s">
        <v>205</v>
      </c>
      <c r="B91" s="60" t="s">
        <v>206</v>
      </c>
      <c r="C91" s="34">
        <v>4301011468</v>
      </c>
      <c r="D91" s="664">
        <v>4680115881327</v>
      </c>
      <c r="E91" s="664"/>
      <c r="F91" s="59">
        <v>1.35</v>
      </c>
      <c r="G91" s="35">
        <v>8</v>
      </c>
      <c r="H91" s="59">
        <v>10.8</v>
      </c>
      <c r="I91" s="59">
        <v>11.21</v>
      </c>
      <c r="J91" s="35">
        <v>64</v>
      </c>
      <c r="K91" s="35" t="s">
        <v>151</v>
      </c>
      <c r="L91" s="35" t="s">
        <v>46</v>
      </c>
      <c r="M91" s="36" t="s">
        <v>102</v>
      </c>
      <c r="N91" s="36"/>
      <c r="O91" s="35">
        <v>50</v>
      </c>
      <c r="P91" s="70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66"/>
      <c r="R91" s="666"/>
      <c r="S91" s="666"/>
      <c r="T91" s="667"/>
      <c r="U91" s="37" t="s">
        <v>46</v>
      </c>
      <c r="V91" s="37" t="s">
        <v>46</v>
      </c>
      <c r="W91" s="38" t="s">
        <v>0</v>
      </c>
      <c r="X91" s="56">
        <v>120</v>
      </c>
      <c r="Y91" s="53">
        <f>IFERROR(IF(X91="",0,CEILING((X91/$H91),1)*$H91),"")</f>
        <v>129.60000000000002</v>
      </c>
      <c r="Z91" s="39">
        <f>IFERROR(IF(Y91=0,"",ROUNDUP(Y91/H91,0)*0.01898),"")</f>
        <v>0.22776000000000002</v>
      </c>
      <c r="AA91" s="65" t="s">
        <v>46</v>
      </c>
      <c r="AB91" s="66" t="s">
        <v>46</v>
      </c>
      <c r="AC91" s="153" t="s">
        <v>207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124.55555555555556</v>
      </c>
      <c r="BN91" s="75">
        <f>IFERROR(Y91*I91/H91,"0")</f>
        <v>134.52000000000001</v>
      </c>
      <c r="BO91" s="75">
        <f>IFERROR(1/J91*(X91/H91),"0")</f>
        <v>0.1736111111111111</v>
      </c>
      <c r="BP91" s="75">
        <f>IFERROR(1/J91*(Y91/H91),"0")</f>
        <v>0.18750000000000003</v>
      </c>
    </row>
    <row r="92" spans="1:68" ht="27" hidden="1" customHeight="1" x14ac:dyDescent="0.25">
      <c r="A92" s="60" t="s">
        <v>208</v>
      </c>
      <c r="B92" s="60" t="s">
        <v>209</v>
      </c>
      <c r="C92" s="34">
        <v>4301011261</v>
      </c>
      <c r="D92" s="664">
        <v>4680115887732</v>
      </c>
      <c r="E92" s="664"/>
      <c r="F92" s="59">
        <v>0.17</v>
      </c>
      <c r="G92" s="35">
        <v>10</v>
      </c>
      <c r="H92" s="59">
        <v>1.7</v>
      </c>
      <c r="I92" s="59">
        <v>1.8</v>
      </c>
      <c r="J92" s="35">
        <v>192</v>
      </c>
      <c r="K92" s="35" t="s">
        <v>155</v>
      </c>
      <c r="L92" s="35" t="s">
        <v>46</v>
      </c>
      <c r="M92" s="36" t="s">
        <v>83</v>
      </c>
      <c r="N92" s="36"/>
      <c r="O92" s="35">
        <v>30</v>
      </c>
      <c r="P92" s="70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66"/>
      <c r="R92" s="666"/>
      <c r="S92" s="666"/>
      <c r="T92" s="667"/>
      <c r="U92" s="37" t="s">
        <v>46</v>
      </c>
      <c r="V92" s="37" t="s">
        <v>46</v>
      </c>
      <c r="W92" s="38" t="s">
        <v>0</v>
      </c>
      <c r="X92" s="56"/>
      <c r="Y92" s="53">
        <f>IFERROR(IF(X92="",0,CEILING((X92/$H92),1)*$H92),"")</f>
        <v>0</v>
      </c>
      <c r="Z92" s="39" t="str">
        <f>IFERROR(IF(Y92=0,"",ROUNDUP(Y92/H92,0)*0.00726),"")</f>
        <v/>
      </c>
      <c r="AA92" s="65" t="s">
        <v>46</v>
      </c>
      <c r="AB92" s="66" t="s">
        <v>46</v>
      </c>
      <c r="AC92" s="155" t="s">
        <v>210</v>
      </c>
      <c r="AG92" s="75"/>
      <c r="AJ92" s="79" t="s">
        <v>46</v>
      </c>
      <c r="AK92" s="79">
        <v>0</v>
      </c>
      <c r="BB92" s="156" t="s">
        <v>67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hidden="1" customHeight="1" x14ac:dyDescent="0.25">
      <c r="A93" s="60" t="s">
        <v>211</v>
      </c>
      <c r="B93" s="60" t="s">
        <v>212</v>
      </c>
      <c r="C93" s="34">
        <v>4301011476</v>
      </c>
      <c r="D93" s="664">
        <v>4680115881518</v>
      </c>
      <c r="E93" s="664"/>
      <c r="F93" s="59">
        <v>0.4</v>
      </c>
      <c r="G93" s="35">
        <v>10</v>
      </c>
      <c r="H93" s="59">
        <v>4</v>
      </c>
      <c r="I93" s="59">
        <v>4.1900000000000004</v>
      </c>
      <c r="J93" s="35">
        <v>132</v>
      </c>
      <c r="K93" s="35" t="s">
        <v>158</v>
      </c>
      <c r="L93" s="35" t="s">
        <v>46</v>
      </c>
      <c r="M93" s="36" t="s">
        <v>96</v>
      </c>
      <c r="N93" s="36"/>
      <c r="O93" s="35">
        <v>50</v>
      </c>
      <c r="P93" s="7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66"/>
      <c r="R93" s="666"/>
      <c r="S93" s="666"/>
      <c r="T93" s="667"/>
      <c r="U93" s="37" t="s">
        <v>46</v>
      </c>
      <c r="V93" s="37" t="s">
        <v>46</v>
      </c>
      <c r="W93" s="38" t="s">
        <v>0</v>
      </c>
      <c r="X93" s="56"/>
      <c r="Y93" s="53">
        <f>IFERROR(IF(X93="",0,CEILING((X93/$H93),1)*$H93),"")</f>
        <v>0</v>
      </c>
      <c r="Z93" s="39" t="str">
        <f>IFERROR(IF(Y93=0,"",ROUNDUP(Y93/H93,0)*0.00902),"")</f>
        <v/>
      </c>
      <c r="AA93" s="65" t="s">
        <v>46</v>
      </c>
      <c r="AB93" s="66" t="s">
        <v>46</v>
      </c>
      <c r="AC93" s="157" t="s">
        <v>207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customHeight="1" x14ac:dyDescent="0.25">
      <c r="A94" s="60" t="s">
        <v>213</v>
      </c>
      <c r="B94" s="60" t="s">
        <v>214</v>
      </c>
      <c r="C94" s="34">
        <v>4301011443</v>
      </c>
      <c r="D94" s="664">
        <v>4680115881303</v>
      </c>
      <c r="E94" s="664"/>
      <c r="F94" s="59">
        <v>0.45</v>
      </c>
      <c r="G94" s="35">
        <v>10</v>
      </c>
      <c r="H94" s="59">
        <v>4.5</v>
      </c>
      <c r="I94" s="59">
        <v>4.6900000000000004</v>
      </c>
      <c r="J94" s="35">
        <v>132</v>
      </c>
      <c r="K94" s="35" t="s">
        <v>158</v>
      </c>
      <c r="L94" s="35" t="s">
        <v>46</v>
      </c>
      <c r="M94" s="36" t="s">
        <v>102</v>
      </c>
      <c r="N94" s="36"/>
      <c r="O94" s="35">
        <v>50</v>
      </c>
      <c r="P94" s="71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66"/>
      <c r="R94" s="666"/>
      <c r="S94" s="666"/>
      <c r="T94" s="667"/>
      <c r="U94" s="37" t="s">
        <v>46</v>
      </c>
      <c r="V94" s="37" t="s">
        <v>46</v>
      </c>
      <c r="W94" s="38" t="s">
        <v>0</v>
      </c>
      <c r="X94" s="56">
        <v>22.5</v>
      </c>
      <c r="Y94" s="53">
        <f>IFERROR(IF(X94="",0,CEILING((X94/$H94),1)*$H94),"")</f>
        <v>22.5</v>
      </c>
      <c r="Z94" s="39">
        <f>IFERROR(IF(Y94=0,"",ROUNDUP(Y94/H94,0)*0.00902),"")</f>
        <v>4.5100000000000001E-2</v>
      </c>
      <c r="AA94" s="65" t="s">
        <v>46</v>
      </c>
      <c r="AB94" s="66" t="s">
        <v>46</v>
      </c>
      <c r="AC94" s="159" t="s">
        <v>207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23.450000000000003</v>
      </c>
      <c r="BN94" s="75">
        <f>IFERROR(Y94*I94/H94,"0")</f>
        <v>23.450000000000003</v>
      </c>
      <c r="BO94" s="75">
        <f>IFERROR(1/J94*(X94/H94),"0")</f>
        <v>3.787878787878788E-2</v>
      </c>
      <c r="BP94" s="75">
        <f>IFERROR(1/J94*(Y94/H94),"0")</f>
        <v>3.787878787878788E-2</v>
      </c>
    </row>
    <row r="95" spans="1:68" x14ac:dyDescent="0.2">
      <c r="A95" s="673"/>
      <c r="B95" s="673"/>
      <c r="C95" s="673"/>
      <c r="D95" s="673"/>
      <c r="E95" s="673"/>
      <c r="F95" s="673"/>
      <c r="G95" s="673"/>
      <c r="H95" s="673"/>
      <c r="I95" s="673"/>
      <c r="J95" s="673"/>
      <c r="K95" s="673"/>
      <c r="L95" s="673"/>
      <c r="M95" s="673"/>
      <c r="N95" s="673"/>
      <c r="O95" s="674"/>
      <c r="P95" s="670" t="s">
        <v>40</v>
      </c>
      <c r="Q95" s="671"/>
      <c r="R95" s="671"/>
      <c r="S95" s="671"/>
      <c r="T95" s="671"/>
      <c r="U95" s="671"/>
      <c r="V95" s="672"/>
      <c r="W95" s="40" t="s">
        <v>39</v>
      </c>
      <c r="X95" s="41">
        <f>IFERROR(X91/H91,"0")+IFERROR(X92/H92,"0")+IFERROR(X93/H93,"0")+IFERROR(X94/H94,"0")</f>
        <v>16.111111111111111</v>
      </c>
      <c r="Y95" s="41">
        <f>IFERROR(Y91/H91,"0")+IFERROR(Y92/H92,"0")+IFERROR(Y93/H93,"0")+IFERROR(Y94/H94,"0")</f>
        <v>17</v>
      </c>
      <c r="Z95" s="41">
        <f>IFERROR(IF(Z91="",0,Z91),"0")+IFERROR(IF(Z92="",0,Z92),"0")+IFERROR(IF(Z93="",0,Z93),"0")+IFERROR(IF(Z94="",0,Z94),"0")</f>
        <v>0.27285999999999999</v>
      </c>
      <c r="AA95" s="64"/>
      <c r="AB95" s="64"/>
      <c r="AC95" s="64"/>
    </row>
    <row r="96" spans="1:68" x14ac:dyDescent="0.2">
      <c r="A96" s="673"/>
      <c r="B96" s="673"/>
      <c r="C96" s="673"/>
      <c r="D96" s="673"/>
      <c r="E96" s="673"/>
      <c r="F96" s="673"/>
      <c r="G96" s="673"/>
      <c r="H96" s="673"/>
      <c r="I96" s="673"/>
      <c r="J96" s="673"/>
      <c r="K96" s="673"/>
      <c r="L96" s="673"/>
      <c r="M96" s="673"/>
      <c r="N96" s="673"/>
      <c r="O96" s="674"/>
      <c r="P96" s="670" t="s">
        <v>40</v>
      </c>
      <c r="Q96" s="671"/>
      <c r="R96" s="671"/>
      <c r="S96" s="671"/>
      <c r="T96" s="671"/>
      <c r="U96" s="671"/>
      <c r="V96" s="672"/>
      <c r="W96" s="40" t="s">
        <v>0</v>
      </c>
      <c r="X96" s="41">
        <f>IFERROR(SUM(X91:X94),"0")</f>
        <v>142.5</v>
      </c>
      <c r="Y96" s="41">
        <f>IFERROR(SUM(Y91:Y94),"0")</f>
        <v>152.10000000000002</v>
      </c>
      <c r="Z96" s="40"/>
      <c r="AA96" s="64"/>
      <c r="AB96" s="64"/>
      <c r="AC96" s="64"/>
    </row>
    <row r="97" spans="1:68" ht="14.25" hidden="1" customHeight="1" x14ac:dyDescent="0.25">
      <c r="A97" s="663" t="s">
        <v>92</v>
      </c>
      <c r="B97" s="663"/>
      <c r="C97" s="663"/>
      <c r="D97" s="663"/>
      <c r="E97" s="663"/>
      <c r="F97" s="663"/>
      <c r="G97" s="663"/>
      <c r="H97" s="663"/>
      <c r="I97" s="663"/>
      <c r="J97" s="663"/>
      <c r="K97" s="663"/>
      <c r="L97" s="663"/>
      <c r="M97" s="663"/>
      <c r="N97" s="663"/>
      <c r="O97" s="663"/>
      <c r="P97" s="663"/>
      <c r="Q97" s="663"/>
      <c r="R97" s="663"/>
      <c r="S97" s="663"/>
      <c r="T97" s="663"/>
      <c r="U97" s="663"/>
      <c r="V97" s="663"/>
      <c r="W97" s="663"/>
      <c r="X97" s="663"/>
      <c r="Y97" s="663"/>
      <c r="Z97" s="663"/>
      <c r="AA97" s="63"/>
      <c r="AB97" s="63"/>
      <c r="AC97" s="63"/>
    </row>
    <row r="98" spans="1:68" ht="27" customHeight="1" x14ac:dyDescent="0.25">
      <c r="A98" s="60" t="s">
        <v>215</v>
      </c>
      <c r="B98" s="60" t="s">
        <v>216</v>
      </c>
      <c r="C98" s="34">
        <v>4301051712</v>
      </c>
      <c r="D98" s="664">
        <v>4607091386967</v>
      </c>
      <c r="E98" s="664"/>
      <c r="F98" s="59">
        <v>1.35</v>
      </c>
      <c r="G98" s="35">
        <v>6</v>
      </c>
      <c r="H98" s="59">
        <v>8.1</v>
      </c>
      <c r="I98" s="59">
        <v>8.5939999999999994</v>
      </c>
      <c r="J98" s="35">
        <v>64</v>
      </c>
      <c r="K98" s="35" t="s">
        <v>151</v>
      </c>
      <c r="L98" s="35" t="s">
        <v>46</v>
      </c>
      <c r="M98" s="36" t="s">
        <v>102</v>
      </c>
      <c r="N98" s="36"/>
      <c r="O98" s="35">
        <v>45</v>
      </c>
      <c r="P98" s="7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66"/>
      <c r="R98" s="666"/>
      <c r="S98" s="666"/>
      <c r="T98" s="667"/>
      <c r="U98" s="37" t="s">
        <v>46</v>
      </c>
      <c r="V98" s="37" t="s">
        <v>46</v>
      </c>
      <c r="W98" s="38" t="s">
        <v>0</v>
      </c>
      <c r="X98" s="56">
        <v>500</v>
      </c>
      <c r="Y98" s="53">
        <f>IFERROR(IF(X98="",0,CEILING((X98/$H98),1)*$H98),"")</f>
        <v>502.2</v>
      </c>
      <c r="Z98" s="39">
        <f>IFERROR(IF(Y98=0,"",ROUNDUP(Y98/H98,0)*0.01898),"")</f>
        <v>1.17676</v>
      </c>
      <c r="AA98" s="65" t="s">
        <v>46</v>
      </c>
      <c r="AB98" s="66" t="s">
        <v>46</v>
      </c>
      <c r="AC98" s="161" t="s">
        <v>217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530.49382716049388</v>
      </c>
      <c r="BN98" s="75">
        <f>IFERROR(Y98*I98/H98,"0")</f>
        <v>532.82799999999997</v>
      </c>
      <c r="BO98" s="75">
        <f>IFERROR(1/J98*(X98/H98),"0")</f>
        <v>0.96450617283950624</v>
      </c>
      <c r="BP98" s="75">
        <f>IFERROR(1/J98*(Y98/H98),"0")</f>
        <v>0.96875</v>
      </c>
    </row>
    <row r="99" spans="1:68" ht="27" hidden="1" customHeight="1" x14ac:dyDescent="0.25">
      <c r="A99" s="60" t="s">
        <v>218</v>
      </c>
      <c r="B99" s="60" t="s">
        <v>219</v>
      </c>
      <c r="C99" s="34">
        <v>4301051788</v>
      </c>
      <c r="D99" s="664">
        <v>4680115884953</v>
      </c>
      <c r="E99" s="664"/>
      <c r="F99" s="59">
        <v>0.37</v>
      </c>
      <c r="G99" s="35">
        <v>6</v>
      </c>
      <c r="H99" s="59">
        <v>2.2200000000000002</v>
      </c>
      <c r="I99" s="59">
        <v>2.472</v>
      </c>
      <c r="J99" s="35">
        <v>182</v>
      </c>
      <c r="K99" s="35" t="s">
        <v>88</v>
      </c>
      <c r="L99" s="35" t="s">
        <v>46</v>
      </c>
      <c r="M99" s="36" t="s">
        <v>96</v>
      </c>
      <c r="N99" s="36"/>
      <c r="O99" s="35">
        <v>45</v>
      </c>
      <c r="P99" s="7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66"/>
      <c r="R99" s="666"/>
      <c r="S99" s="666"/>
      <c r="T99" s="667"/>
      <c r="U99" s="37" t="s">
        <v>46</v>
      </c>
      <c r="V99" s="37" t="s">
        <v>46</v>
      </c>
      <c r="W99" s="38" t="s">
        <v>0</v>
      </c>
      <c r="X99" s="56"/>
      <c r="Y99" s="53">
        <f>IFERROR(IF(X99="",0,CEILING((X99/$H99),1)*$H99),"")</f>
        <v>0</v>
      </c>
      <c r="Z99" s="39" t="str">
        <f>IFERROR(IF(Y99=0,"",ROUNDUP(Y99/H99,0)*0.00651),"")</f>
        <v/>
      </c>
      <c r="AA99" s="65" t="s">
        <v>46</v>
      </c>
      <c r="AB99" s="66" t="s">
        <v>46</v>
      </c>
      <c r="AC99" s="163" t="s">
        <v>217</v>
      </c>
      <c r="AG99" s="75"/>
      <c r="AJ99" s="79" t="s">
        <v>46</v>
      </c>
      <c r="AK99" s="79">
        <v>0</v>
      </c>
      <c r="BB99" s="164" t="s">
        <v>67</v>
      </c>
      <c r="BM99" s="75">
        <f>IFERROR(X99*I99/H99,"0")</f>
        <v>0</v>
      </c>
      <c r="BN99" s="75">
        <f>IFERROR(Y99*I99/H99,"0")</f>
        <v>0</v>
      </c>
      <c r="BO99" s="75">
        <f>IFERROR(1/J99*(X99/H99),"0")</f>
        <v>0</v>
      </c>
      <c r="BP99" s="75">
        <f>IFERROR(1/J99*(Y99/H99),"0")</f>
        <v>0</v>
      </c>
    </row>
    <row r="100" spans="1:68" ht="27" hidden="1" customHeight="1" x14ac:dyDescent="0.25">
      <c r="A100" s="60" t="s">
        <v>220</v>
      </c>
      <c r="B100" s="60" t="s">
        <v>221</v>
      </c>
      <c r="C100" s="34">
        <v>4301051718</v>
      </c>
      <c r="D100" s="664">
        <v>4607091385731</v>
      </c>
      <c r="E100" s="664"/>
      <c r="F100" s="59">
        <v>0.45</v>
      </c>
      <c r="G100" s="35">
        <v>6</v>
      </c>
      <c r="H100" s="59">
        <v>2.7</v>
      </c>
      <c r="I100" s="59">
        <v>2.952</v>
      </c>
      <c r="J100" s="35">
        <v>182</v>
      </c>
      <c r="K100" s="35" t="s">
        <v>88</v>
      </c>
      <c r="L100" s="35" t="s">
        <v>46</v>
      </c>
      <c r="M100" s="36" t="s">
        <v>102</v>
      </c>
      <c r="N100" s="36"/>
      <c r="O100" s="35">
        <v>45</v>
      </c>
      <c r="P100" s="7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66"/>
      <c r="R100" s="666"/>
      <c r="S100" s="666"/>
      <c r="T100" s="667"/>
      <c r="U100" s="37" t="s">
        <v>46</v>
      </c>
      <c r="V100" s="37" t="s">
        <v>46</v>
      </c>
      <c r="W100" s="38" t="s">
        <v>0</v>
      </c>
      <c r="X100" s="56"/>
      <c r="Y100" s="53">
        <f>IFERROR(IF(X100="",0,CEILING((X100/$H100),1)*$H100),"")</f>
        <v>0</v>
      </c>
      <c r="Z100" s="39" t="str">
        <f>IFERROR(IF(Y100=0,"",ROUNDUP(Y100/H100,0)*0.00651),"")</f>
        <v/>
      </c>
      <c r="AA100" s="65" t="s">
        <v>46</v>
      </c>
      <c r="AB100" s="66" t="s">
        <v>46</v>
      </c>
      <c r="AC100" s="165" t="s">
        <v>217</v>
      </c>
      <c r="AG100" s="75"/>
      <c r="AJ100" s="79" t="s">
        <v>46</v>
      </c>
      <c r="AK100" s="79">
        <v>0</v>
      </c>
      <c r="BB100" s="166" t="s">
        <v>67</v>
      </c>
      <c r="BM100" s="75">
        <f>IFERROR(X100*I100/H100,"0")</f>
        <v>0</v>
      </c>
      <c r="BN100" s="75">
        <f>IFERROR(Y100*I100/H100,"0")</f>
        <v>0</v>
      </c>
      <c r="BO100" s="75">
        <f>IFERROR(1/J100*(X100/H100),"0")</f>
        <v>0</v>
      </c>
      <c r="BP100" s="75">
        <f>IFERROR(1/J100*(Y100/H100),"0")</f>
        <v>0</v>
      </c>
    </row>
    <row r="101" spans="1:68" ht="16.5" hidden="1" customHeight="1" x14ac:dyDescent="0.25">
      <c r="A101" s="60" t="s">
        <v>222</v>
      </c>
      <c r="B101" s="60" t="s">
        <v>223</v>
      </c>
      <c r="C101" s="34">
        <v>4301052092</v>
      </c>
      <c r="D101" s="664">
        <v>4680115880894</v>
      </c>
      <c r="E101" s="664"/>
      <c r="F101" s="59">
        <v>0.33</v>
      </c>
      <c r="G101" s="35">
        <v>6</v>
      </c>
      <c r="H101" s="59">
        <v>1.98</v>
      </c>
      <c r="I101" s="59">
        <v>2.238</v>
      </c>
      <c r="J101" s="35">
        <v>182</v>
      </c>
      <c r="K101" s="35" t="s">
        <v>88</v>
      </c>
      <c r="L101" s="35" t="s">
        <v>46</v>
      </c>
      <c r="M101" s="36" t="s">
        <v>96</v>
      </c>
      <c r="N101" s="36"/>
      <c r="O101" s="35">
        <v>45</v>
      </c>
      <c r="P101" s="71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66"/>
      <c r="R101" s="666"/>
      <c r="S101" s="666"/>
      <c r="T101" s="667"/>
      <c r="U101" s="37" t="s">
        <v>46</v>
      </c>
      <c r="V101" s="37" t="s">
        <v>46</v>
      </c>
      <c r="W101" s="38" t="s">
        <v>0</v>
      </c>
      <c r="X101" s="56"/>
      <c r="Y101" s="53">
        <f>IFERROR(IF(X101="",0,CEILING((X101/$H101),1)*$H101),"")</f>
        <v>0</v>
      </c>
      <c r="Z101" s="39" t="str">
        <f>IFERROR(IF(Y101=0,"",ROUNDUP(Y101/H101,0)*0.00651),"")</f>
        <v/>
      </c>
      <c r="AA101" s="65" t="s">
        <v>46</v>
      </c>
      <c r="AB101" s="66" t="s">
        <v>46</v>
      </c>
      <c r="AC101" s="167" t="s">
        <v>224</v>
      </c>
      <c r="AG101" s="75"/>
      <c r="AJ101" s="79" t="s">
        <v>46</v>
      </c>
      <c r="AK101" s="79">
        <v>0</v>
      </c>
      <c r="BB101" s="168" t="s">
        <v>67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x14ac:dyDescent="0.2">
      <c r="A102" s="673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70" t="s">
        <v>40</v>
      </c>
      <c r="Q102" s="671"/>
      <c r="R102" s="671"/>
      <c r="S102" s="671"/>
      <c r="T102" s="671"/>
      <c r="U102" s="671"/>
      <c r="V102" s="672"/>
      <c r="W102" s="40" t="s">
        <v>39</v>
      </c>
      <c r="X102" s="41">
        <f>IFERROR(X98/H98,"0")+IFERROR(X99/H99,"0")+IFERROR(X100/H100,"0")+IFERROR(X101/H101,"0")</f>
        <v>61.728395061728399</v>
      </c>
      <c r="Y102" s="41">
        <f>IFERROR(Y98/H98,"0")+IFERROR(Y99/H99,"0")+IFERROR(Y100/H100,"0")+IFERROR(Y101/H101,"0")</f>
        <v>62</v>
      </c>
      <c r="Z102" s="41">
        <f>IFERROR(IF(Z98="",0,Z98),"0")+IFERROR(IF(Z99="",0,Z99),"0")+IFERROR(IF(Z100="",0,Z100),"0")+IFERROR(IF(Z101="",0,Z101),"0")</f>
        <v>1.17676</v>
      </c>
      <c r="AA102" s="64"/>
      <c r="AB102" s="64"/>
      <c r="AC102" s="64"/>
    </row>
    <row r="103" spans="1:68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70" t="s">
        <v>40</v>
      </c>
      <c r="Q103" s="671"/>
      <c r="R103" s="671"/>
      <c r="S103" s="671"/>
      <c r="T103" s="671"/>
      <c r="U103" s="671"/>
      <c r="V103" s="672"/>
      <c r="W103" s="40" t="s">
        <v>0</v>
      </c>
      <c r="X103" s="41">
        <f>IFERROR(SUM(X98:X101),"0")</f>
        <v>500</v>
      </c>
      <c r="Y103" s="41">
        <f>IFERROR(SUM(Y98:Y101),"0")</f>
        <v>502.2</v>
      </c>
      <c r="Z103" s="40"/>
      <c r="AA103" s="64"/>
      <c r="AB103" s="64"/>
      <c r="AC103" s="64"/>
    </row>
    <row r="104" spans="1:68" ht="16.5" hidden="1" customHeight="1" x14ac:dyDescent="0.25">
      <c r="A104" s="662" t="s">
        <v>225</v>
      </c>
      <c r="B104" s="662"/>
      <c r="C104" s="662"/>
      <c r="D104" s="662"/>
      <c r="E104" s="662"/>
      <c r="F104" s="662"/>
      <c r="G104" s="662"/>
      <c r="H104" s="662"/>
      <c r="I104" s="662"/>
      <c r="J104" s="662"/>
      <c r="K104" s="662"/>
      <c r="L104" s="662"/>
      <c r="M104" s="662"/>
      <c r="N104" s="662"/>
      <c r="O104" s="662"/>
      <c r="P104" s="662"/>
      <c r="Q104" s="662"/>
      <c r="R104" s="662"/>
      <c r="S104" s="662"/>
      <c r="T104" s="662"/>
      <c r="U104" s="662"/>
      <c r="V104" s="662"/>
      <c r="W104" s="662"/>
      <c r="X104" s="662"/>
      <c r="Y104" s="662"/>
      <c r="Z104" s="662"/>
      <c r="AA104" s="62"/>
      <c r="AB104" s="62"/>
      <c r="AC104" s="62"/>
    </row>
    <row r="105" spans="1:68" ht="14.25" hidden="1" customHeight="1" x14ac:dyDescent="0.25">
      <c r="A105" s="663" t="s">
        <v>146</v>
      </c>
      <c r="B105" s="663"/>
      <c r="C105" s="663"/>
      <c r="D105" s="663"/>
      <c r="E105" s="663"/>
      <c r="F105" s="663"/>
      <c r="G105" s="663"/>
      <c r="H105" s="663"/>
      <c r="I105" s="663"/>
      <c r="J105" s="663"/>
      <c r="K105" s="663"/>
      <c r="L105" s="663"/>
      <c r="M105" s="663"/>
      <c r="N105" s="663"/>
      <c r="O105" s="663"/>
      <c r="P105" s="663"/>
      <c r="Q105" s="663"/>
      <c r="R105" s="663"/>
      <c r="S105" s="663"/>
      <c r="T105" s="663"/>
      <c r="U105" s="663"/>
      <c r="V105" s="663"/>
      <c r="W105" s="663"/>
      <c r="X105" s="663"/>
      <c r="Y105" s="663"/>
      <c r="Z105" s="663"/>
      <c r="AA105" s="63"/>
      <c r="AB105" s="63"/>
      <c r="AC105" s="63"/>
    </row>
    <row r="106" spans="1:68" ht="37.5" customHeight="1" x14ac:dyDescent="0.25">
      <c r="A106" s="60" t="s">
        <v>226</v>
      </c>
      <c r="B106" s="60" t="s">
        <v>227</v>
      </c>
      <c r="C106" s="34">
        <v>4301011514</v>
      </c>
      <c r="D106" s="664">
        <v>4680115882133</v>
      </c>
      <c r="E106" s="664"/>
      <c r="F106" s="59">
        <v>1.35</v>
      </c>
      <c r="G106" s="35">
        <v>8</v>
      </c>
      <c r="H106" s="59">
        <v>10.8</v>
      </c>
      <c r="I106" s="59">
        <v>11.21</v>
      </c>
      <c r="J106" s="35">
        <v>64</v>
      </c>
      <c r="K106" s="35" t="s">
        <v>151</v>
      </c>
      <c r="L106" s="35" t="s">
        <v>46</v>
      </c>
      <c r="M106" s="36" t="s">
        <v>150</v>
      </c>
      <c r="N106" s="36"/>
      <c r="O106" s="35">
        <v>50</v>
      </c>
      <c r="P106" s="7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6"/>
      <c r="R106" s="666"/>
      <c r="S106" s="666"/>
      <c r="T106" s="667"/>
      <c r="U106" s="37" t="s">
        <v>46</v>
      </c>
      <c r="V106" s="37" t="s">
        <v>46</v>
      </c>
      <c r="W106" s="38" t="s">
        <v>0</v>
      </c>
      <c r="X106" s="56">
        <v>150</v>
      </c>
      <c r="Y106" s="53">
        <f t="shared" ref="Y106:Y112" si="11">IFERROR(IF(X106="",0,CEILING((X106/$H106),1)*$H106),"")</f>
        <v>151.20000000000002</v>
      </c>
      <c r="Z106" s="39">
        <f>IFERROR(IF(Y106=0,"",ROUNDUP(Y106/H106,0)*0.01898),"")</f>
        <v>0.26572000000000001</v>
      </c>
      <c r="AA106" s="65" t="s">
        <v>46</v>
      </c>
      <c r="AB106" s="66" t="s">
        <v>46</v>
      </c>
      <c r="AC106" s="169" t="s">
        <v>228</v>
      </c>
      <c r="AG106" s="75"/>
      <c r="AJ106" s="79" t="s">
        <v>46</v>
      </c>
      <c r="AK106" s="79">
        <v>0</v>
      </c>
      <c r="BB106" s="170" t="s">
        <v>67</v>
      </c>
      <c r="BM106" s="75">
        <f t="shared" ref="BM106:BM112" si="12">IFERROR(X106*I106/H106,"0")</f>
        <v>155.69444444444446</v>
      </c>
      <c r="BN106" s="75">
        <f t="shared" ref="BN106:BN112" si="13">IFERROR(Y106*I106/H106,"0")</f>
        <v>156.94</v>
      </c>
      <c r="BO106" s="75">
        <f t="shared" ref="BO106:BO112" si="14">IFERROR(1/J106*(X106/H106),"0")</f>
        <v>0.21701388888888887</v>
      </c>
      <c r="BP106" s="75">
        <f t="shared" ref="BP106:BP112" si="15">IFERROR(1/J106*(Y106/H106),"0")</f>
        <v>0.21875</v>
      </c>
    </row>
    <row r="107" spans="1:68" ht="27" hidden="1" customHeight="1" x14ac:dyDescent="0.25">
      <c r="A107" s="60" t="s">
        <v>229</v>
      </c>
      <c r="B107" s="60" t="s">
        <v>230</v>
      </c>
      <c r="C107" s="34">
        <v>4301012051</v>
      </c>
      <c r="D107" s="664">
        <v>4680115887718</v>
      </c>
      <c r="E107" s="664"/>
      <c r="F107" s="59">
        <v>0.11</v>
      </c>
      <c r="G107" s="35">
        <v>10</v>
      </c>
      <c r="H107" s="59">
        <v>1.1000000000000001</v>
      </c>
      <c r="I107" s="59">
        <v>1.31</v>
      </c>
      <c r="J107" s="35">
        <v>192</v>
      </c>
      <c r="K107" s="35" t="s">
        <v>155</v>
      </c>
      <c r="L107" s="35" t="s">
        <v>46</v>
      </c>
      <c r="M107" s="36" t="s">
        <v>83</v>
      </c>
      <c r="N107" s="36"/>
      <c r="O107" s="35">
        <v>30</v>
      </c>
      <c r="P107" s="7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66"/>
      <c r="R107" s="666"/>
      <c r="S107" s="666"/>
      <c r="T107" s="667"/>
      <c r="U107" s="37" t="s">
        <v>46</v>
      </c>
      <c r="V107" s="37" t="s">
        <v>46</v>
      </c>
      <c r="W107" s="38" t="s">
        <v>0</v>
      </c>
      <c r="X107" s="56"/>
      <c r="Y107" s="53">
        <f t="shared" si="11"/>
        <v>0</v>
      </c>
      <c r="Z107" s="39" t="str">
        <f>IFERROR(IF(Y107=0,"",ROUNDUP(Y107/H107,0)*0.00726),"")</f>
        <v/>
      </c>
      <c r="AA107" s="65" t="s">
        <v>46</v>
      </c>
      <c r="AB107" s="66" t="s">
        <v>46</v>
      </c>
      <c r="AC107" s="171" t="s">
        <v>231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27" hidden="1" customHeight="1" x14ac:dyDescent="0.25">
      <c r="A108" s="60" t="s">
        <v>229</v>
      </c>
      <c r="B108" s="60" t="s">
        <v>232</v>
      </c>
      <c r="C108" s="34">
        <v>4301012334</v>
      </c>
      <c r="D108" s="664">
        <v>4680115887718</v>
      </c>
      <c r="E108" s="664"/>
      <c r="F108" s="59">
        <v>0.11</v>
      </c>
      <c r="G108" s="35">
        <v>8</v>
      </c>
      <c r="H108" s="59">
        <v>0.88</v>
      </c>
      <c r="I108" s="59">
        <v>1.0680000000000001</v>
      </c>
      <c r="J108" s="35">
        <v>192</v>
      </c>
      <c r="K108" s="35" t="s">
        <v>155</v>
      </c>
      <c r="L108" s="35" t="s">
        <v>46</v>
      </c>
      <c r="M108" s="36" t="s">
        <v>83</v>
      </c>
      <c r="N108" s="36"/>
      <c r="O108" s="35">
        <v>30</v>
      </c>
      <c r="P108" s="71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66"/>
      <c r="R108" s="666"/>
      <c r="S108" s="666"/>
      <c r="T108" s="667"/>
      <c r="U108" s="37" t="s">
        <v>46</v>
      </c>
      <c r="V108" s="37" t="s">
        <v>46</v>
      </c>
      <c r="W108" s="38" t="s">
        <v>0</v>
      </c>
      <c r="X108" s="56"/>
      <c r="Y108" s="53">
        <f t="shared" si="11"/>
        <v>0</v>
      </c>
      <c r="Z108" s="39" t="str">
        <f>IFERROR(IF(Y108=0,"",ROUNDUP(Y108/H108,0)*0.00726),"")</f>
        <v/>
      </c>
      <c r="AA108" s="65" t="s">
        <v>46</v>
      </c>
      <c r="AB108" s="66" t="s">
        <v>46</v>
      </c>
      <c r="AC108" s="173" t="s">
        <v>231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ht="27" hidden="1" customHeight="1" x14ac:dyDescent="0.25">
      <c r="A109" s="60" t="s">
        <v>233</v>
      </c>
      <c r="B109" s="60" t="s">
        <v>234</v>
      </c>
      <c r="C109" s="34">
        <v>4301012226</v>
      </c>
      <c r="D109" s="664">
        <v>4680115887749</v>
      </c>
      <c r="E109" s="664"/>
      <c r="F109" s="59">
        <v>0.17</v>
      </c>
      <c r="G109" s="35">
        <v>10</v>
      </c>
      <c r="H109" s="59">
        <v>1.7</v>
      </c>
      <c r="I109" s="59">
        <v>1.91</v>
      </c>
      <c r="J109" s="35">
        <v>192</v>
      </c>
      <c r="K109" s="35" t="s">
        <v>155</v>
      </c>
      <c r="L109" s="35" t="s">
        <v>46</v>
      </c>
      <c r="M109" s="36" t="s">
        <v>83</v>
      </c>
      <c r="N109" s="36"/>
      <c r="O109" s="35">
        <v>30</v>
      </c>
      <c r="P109" s="71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66"/>
      <c r="R109" s="666"/>
      <c r="S109" s="666"/>
      <c r="T109" s="667"/>
      <c r="U109" s="37" t="s">
        <v>46</v>
      </c>
      <c r="V109" s="37" t="s">
        <v>46</v>
      </c>
      <c r="W109" s="38" t="s">
        <v>0</v>
      </c>
      <c r="X109" s="56"/>
      <c r="Y109" s="53">
        <f t="shared" si="11"/>
        <v>0</v>
      </c>
      <c r="Z109" s="39" t="str">
        <f>IFERROR(IF(Y109=0,"",ROUNDUP(Y109/H109,0)*0.00726),"")</f>
        <v/>
      </c>
      <c r="AA109" s="65" t="s">
        <v>46</v>
      </c>
      <c r="AB109" s="66" t="s">
        <v>46</v>
      </c>
      <c r="AC109" s="175" t="s">
        <v>231</v>
      </c>
      <c r="AG109" s="75"/>
      <c r="AJ109" s="79" t="s">
        <v>46</v>
      </c>
      <c r="AK109" s="79">
        <v>0</v>
      </c>
      <c r="BB109" s="176" t="s">
        <v>67</v>
      </c>
      <c r="BM109" s="75">
        <f t="shared" si="12"/>
        <v>0</v>
      </c>
      <c r="BN109" s="75">
        <f t="shared" si="13"/>
        <v>0</v>
      </c>
      <c r="BO109" s="75">
        <f t="shared" si="14"/>
        <v>0</v>
      </c>
      <c r="BP109" s="75">
        <f t="shared" si="15"/>
        <v>0</v>
      </c>
    </row>
    <row r="110" spans="1:68" ht="37.5" hidden="1" customHeight="1" x14ac:dyDescent="0.25">
      <c r="A110" s="60" t="s">
        <v>235</v>
      </c>
      <c r="B110" s="60" t="s">
        <v>236</v>
      </c>
      <c r="C110" s="34">
        <v>4301011417</v>
      </c>
      <c r="D110" s="664">
        <v>4680115880269</v>
      </c>
      <c r="E110" s="664"/>
      <c r="F110" s="59">
        <v>0.375</v>
      </c>
      <c r="G110" s="35">
        <v>10</v>
      </c>
      <c r="H110" s="59">
        <v>3.75</v>
      </c>
      <c r="I110" s="59">
        <v>3.94</v>
      </c>
      <c r="J110" s="35">
        <v>132</v>
      </c>
      <c r="K110" s="35" t="s">
        <v>158</v>
      </c>
      <c r="L110" s="35" t="s">
        <v>46</v>
      </c>
      <c r="M110" s="36" t="s">
        <v>96</v>
      </c>
      <c r="N110" s="36"/>
      <c r="O110" s="35">
        <v>50</v>
      </c>
      <c r="P110" s="72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66"/>
      <c r="R110" s="666"/>
      <c r="S110" s="666"/>
      <c r="T110" s="667"/>
      <c r="U110" s="37" t="s">
        <v>46</v>
      </c>
      <c r="V110" s="37" t="s">
        <v>46</v>
      </c>
      <c r="W110" s="38" t="s">
        <v>0</v>
      </c>
      <c r="X110" s="56"/>
      <c r="Y110" s="53">
        <f t="shared" si="11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77" t="s">
        <v>228</v>
      </c>
      <c r="AG110" s="75"/>
      <c r="AJ110" s="79" t="s">
        <v>46</v>
      </c>
      <c r="AK110" s="79">
        <v>0</v>
      </c>
      <c r="BB110" s="178" t="s">
        <v>67</v>
      </c>
      <c r="BM110" s="75">
        <f t="shared" si="12"/>
        <v>0</v>
      </c>
      <c r="BN110" s="75">
        <f t="shared" si="13"/>
        <v>0</v>
      </c>
      <c r="BO110" s="75">
        <f t="shared" si="14"/>
        <v>0</v>
      </c>
      <c r="BP110" s="75">
        <f t="shared" si="15"/>
        <v>0</v>
      </c>
    </row>
    <row r="111" spans="1:68" ht="37.5" hidden="1" customHeight="1" x14ac:dyDescent="0.25">
      <c r="A111" s="60" t="s">
        <v>237</v>
      </c>
      <c r="B111" s="60" t="s">
        <v>238</v>
      </c>
      <c r="C111" s="34">
        <v>4301011415</v>
      </c>
      <c r="D111" s="664">
        <v>4680115880429</v>
      </c>
      <c r="E111" s="664"/>
      <c r="F111" s="59">
        <v>0.45</v>
      </c>
      <c r="G111" s="35">
        <v>10</v>
      </c>
      <c r="H111" s="59">
        <v>4.5</v>
      </c>
      <c r="I111" s="59">
        <v>4.6900000000000004</v>
      </c>
      <c r="J111" s="35">
        <v>132</v>
      </c>
      <c r="K111" s="35" t="s">
        <v>158</v>
      </c>
      <c r="L111" s="35" t="s">
        <v>46</v>
      </c>
      <c r="M111" s="36" t="s">
        <v>96</v>
      </c>
      <c r="N111" s="36"/>
      <c r="O111" s="35">
        <v>50</v>
      </c>
      <c r="P111" s="7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66"/>
      <c r="R111" s="666"/>
      <c r="S111" s="666"/>
      <c r="T111" s="667"/>
      <c r="U111" s="37" t="s">
        <v>46</v>
      </c>
      <c r="V111" s="37" t="s">
        <v>46</v>
      </c>
      <c r="W111" s="38" t="s">
        <v>0</v>
      </c>
      <c r="X111" s="56"/>
      <c r="Y111" s="53">
        <f t="shared" si="11"/>
        <v>0</v>
      </c>
      <c r="Z111" s="39" t="str">
        <f>IFERROR(IF(Y111=0,"",ROUNDUP(Y111/H111,0)*0.00902),"")</f>
        <v/>
      </c>
      <c r="AA111" s="65" t="s">
        <v>46</v>
      </c>
      <c r="AB111" s="66" t="s">
        <v>46</v>
      </c>
      <c r="AC111" s="179" t="s">
        <v>228</v>
      </c>
      <c r="AG111" s="75"/>
      <c r="AJ111" s="79" t="s">
        <v>46</v>
      </c>
      <c r="AK111" s="79">
        <v>0</v>
      </c>
      <c r="BB111" s="180" t="s">
        <v>67</v>
      </c>
      <c r="BM111" s="75">
        <f t="shared" si="12"/>
        <v>0</v>
      </c>
      <c r="BN111" s="75">
        <f t="shared" si="13"/>
        <v>0</v>
      </c>
      <c r="BO111" s="75">
        <f t="shared" si="14"/>
        <v>0</v>
      </c>
      <c r="BP111" s="75">
        <f t="shared" si="15"/>
        <v>0</v>
      </c>
    </row>
    <row r="112" spans="1:68" ht="37.5" customHeight="1" x14ac:dyDescent="0.25">
      <c r="A112" s="60" t="s">
        <v>239</v>
      </c>
      <c r="B112" s="60" t="s">
        <v>240</v>
      </c>
      <c r="C112" s="34">
        <v>4301011462</v>
      </c>
      <c r="D112" s="664">
        <v>4680115881457</v>
      </c>
      <c r="E112" s="664"/>
      <c r="F112" s="59">
        <v>0.75</v>
      </c>
      <c r="G112" s="35">
        <v>6</v>
      </c>
      <c r="H112" s="59">
        <v>4.5</v>
      </c>
      <c r="I112" s="59">
        <v>4.6900000000000004</v>
      </c>
      <c r="J112" s="35">
        <v>132</v>
      </c>
      <c r="K112" s="35" t="s">
        <v>158</v>
      </c>
      <c r="L112" s="35" t="s">
        <v>46</v>
      </c>
      <c r="M112" s="36" t="s">
        <v>96</v>
      </c>
      <c r="N112" s="36"/>
      <c r="O112" s="35">
        <v>50</v>
      </c>
      <c r="P112" s="72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66"/>
      <c r="R112" s="666"/>
      <c r="S112" s="666"/>
      <c r="T112" s="667"/>
      <c r="U112" s="37" t="s">
        <v>46</v>
      </c>
      <c r="V112" s="37" t="s">
        <v>46</v>
      </c>
      <c r="W112" s="38" t="s">
        <v>0</v>
      </c>
      <c r="X112" s="56">
        <v>22.5</v>
      </c>
      <c r="Y112" s="53">
        <f t="shared" si="11"/>
        <v>22.5</v>
      </c>
      <c r="Z112" s="39">
        <f>IFERROR(IF(Y112=0,"",ROUNDUP(Y112/H112,0)*0.00902),"")</f>
        <v>4.5100000000000001E-2</v>
      </c>
      <c r="AA112" s="65" t="s">
        <v>46</v>
      </c>
      <c r="AB112" s="66" t="s">
        <v>46</v>
      </c>
      <c r="AC112" s="181" t="s">
        <v>228</v>
      </c>
      <c r="AG112" s="75"/>
      <c r="AJ112" s="79" t="s">
        <v>46</v>
      </c>
      <c r="AK112" s="79">
        <v>0</v>
      </c>
      <c r="BB112" s="182" t="s">
        <v>67</v>
      </c>
      <c r="BM112" s="75">
        <f t="shared" si="12"/>
        <v>23.450000000000003</v>
      </c>
      <c r="BN112" s="75">
        <f t="shared" si="13"/>
        <v>23.450000000000003</v>
      </c>
      <c r="BO112" s="75">
        <f t="shared" si="14"/>
        <v>3.787878787878788E-2</v>
      </c>
      <c r="BP112" s="75">
        <f t="shared" si="15"/>
        <v>3.787878787878788E-2</v>
      </c>
    </row>
    <row r="113" spans="1:68" x14ac:dyDescent="0.2">
      <c r="A113" s="673"/>
      <c r="B113" s="673"/>
      <c r="C113" s="673"/>
      <c r="D113" s="673"/>
      <c r="E113" s="673"/>
      <c r="F113" s="673"/>
      <c r="G113" s="673"/>
      <c r="H113" s="673"/>
      <c r="I113" s="673"/>
      <c r="J113" s="673"/>
      <c r="K113" s="673"/>
      <c r="L113" s="673"/>
      <c r="M113" s="673"/>
      <c r="N113" s="673"/>
      <c r="O113" s="674"/>
      <c r="P113" s="670" t="s">
        <v>40</v>
      </c>
      <c r="Q113" s="671"/>
      <c r="R113" s="671"/>
      <c r="S113" s="671"/>
      <c r="T113" s="671"/>
      <c r="U113" s="671"/>
      <c r="V113" s="672"/>
      <c r="W113" s="40" t="s">
        <v>39</v>
      </c>
      <c r="X113" s="41">
        <f>IFERROR(X106/H106,"0")+IFERROR(X107/H107,"0")+IFERROR(X108/H108,"0")+IFERROR(X109/H109,"0")+IFERROR(X110/H110,"0")+IFERROR(X111/H111,"0")+IFERROR(X112/H112,"0")</f>
        <v>18.888888888888886</v>
      </c>
      <c r="Y113" s="41">
        <f>IFERROR(Y106/H106,"0")+IFERROR(Y107/H107,"0")+IFERROR(Y108/H108,"0")+IFERROR(Y109/H109,"0")+IFERROR(Y110/H110,"0")+IFERROR(Y111/H111,"0")+IFERROR(Y112/H112,"0")</f>
        <v>19</v>
      </c>
      <c r="Z113" s="41">
        <f>IFERROR(IF(Z106="",0,Z106),"0")+IFERROR(IF(Z107="",0,Z107),"0")+IFERROR(IF(Z108="",0,Z108),"0")+IFERROR(IF(Z109="",0,Z109),"0")+IFERROR(IF(Z110="",0,Z110),"0")+IFERROR(IF(Z111="",0,Z111),"0")+IFERROR(IF(Z112="",0,Z112),"0")</f>
        <v>0.31081999999999999</v>
      </c>
      <c r="AA113" s="64"/>
      <c r="AB113" s="64"/>
      <c r="AC113" s="64"/>
    </row>
    <row r="114" spans="1:68" x14ac:dyDescent="0.2">
      <c r="A114" s="673"/>
      <c r="B114" s="673"/>
      <c r="C114" s="673"/>
      <c r="D114" s="673"/>
      <c r="E114" s="673"/>
      <c r="F114" s="673"/>
      <c r="G114" s="673"/>
      <c r="H114" s="673"/>
      <c r="I114" s="673"/>
      <c r="J114" s="673"/>
      <c r="K114" s="673"/>
      <c r="L114" s="673"/>
      <c r="M114" s="673"/>
      <c r="N114" s="673"/>
      <c r="O114" s="674"/>
      <c r="P114" s="670" t="s">
        <v>40</v>
      </c>
      <c r="Q114" s="671"/>
      <c r="R114" s="671"/>
      <c r="S114" s="671"/>
      <c r="T114" s="671"/>
      <c r="U114" s="671"/>
      <c r="V114" s="672"/>
      <c r="W114" s="40" t="s">
        <v>0</v>
      </c>
      <c r="X114" s="41">
        <f>IFERROR(SUM(X106:X112),"0")</f>
        <v>172.5</v>
      </c>
      <c r="Y114" s="41">
        <f>IFERROR(SUM(Y106:Y112),"0")</f>
        <v>173.70000000000002</v>
      </c>
      <c r="Z114" s="40"/>
      <c r="AA114" s="64"/>
      <c r="AB114" s="64"/>
      <c r="AC114" s="64"/>
    </row>
    <row r="115" spans="1:68" ht="14.25" hidden="1" customHeight="1" x14ac:dyDescent="0.25">
      <c r="A115" s="663" t="s">
        <v>180</v>
      </c>
      <c r="B115" s="663"/>
      <c r="C115" s="663"/>
      <c r="D115" s="663"/>
      <c r="E115" s="663"/>
      <c r="F115" s="663"/>
      <c r="G115" s="663"/>
      <c r="H115" s="663"/>
      <c r="I115" s="663"/>
      <c r="J115" s="663"/>
      <c r="K115" s="663"/>
      <c r="L115" s="663"/>
      <c r="M115" s="663"/>
      <c r="N115" s="663"/>
      <c r="O115" s="663"/>
      <c r="P115" s="663"/>
      <c r="Q115" s="663"/>
      <c r="R115" s="663"/>
      <c r="S115" s="663"/>
      <c r="T115" s="663"/>
      <c r="U115" s="663"/>
      <c r="V115" s="663"/>
      <c r="W115" s="663"/>
      <c r="X115" s="663"/>
      <c r="Y115" s="663"/>
      <c r="Z115" s="663"/>
      <c r="AA115" s="63"/>
      <c r="AB115" s="63"/>
      <c r="AC115" s="63"/>
    </row>
    <row r="116" spans="1:68" ht="16.5" hidden="1" customHeight="1" x14ac:dyDescent="0.25">
      <c r="A116" s="60" t="s">
        <v>241</v>
      </c>
      <c r="B116" s="60" t="s">
        <v>242</v>
      </c>
      <c r="C116" s="34">
        <v>4301020345</v>
      </c>
      <c r="D116" s="664">
        <v>4680115881488</v>
      </c>
      <c r="E116" s="664"/>
      <c r="F116" s="59">
        <v>1.35</v>
      </c>
      <c r="G116" s="35">
        <v>8</v>
      </c>
      <c r="H116" s="59">
        <v>10.8</v>
      </c>
      <c r="I116" s="59">
        <v>11.21</v>
      </c>
      <c r="J116" s="35">
        <v>64</v>
      </c>
      <c r="K116" s="35" t="s">
        <v>151</v>
      </c>
      <c r="L116" s="35" t="s">
        <v>46</v>
      </c>
      <c r="M116" s="36" t="s">
        <v>150</v>
      </c>
      <c r="N116" s="36"/>
      <c r="O116" s="35">
        <v>55</v>
      </c>
      <c r="P116" s="72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66"/>
      <c r="R116" s="666"/>
      <c r="S116" s="666"/>
      <c r="T116" s="667"/>
      <c r="U116" s="37" t="s">
        <v>46</v>
      </c>
      <c r="V116" s="37" t="s">
        <v>46</v>
      </c>
      <c r="W116" s="38" t="s">
        <v>0</v>
      </c>
      <c r="X116" s="56"/>
      <c r="Y116" s="53">
        <f>IFERROR(IF(X116="",0,CEILING((X116/$H116),1)*$H116),"")</f>
        <v>0</v>
      </c>
      <c r="Z116" s="39" t="str">
        <f>IFERROR(IF(Y116=0,"",ROUNDUP(Y116/H116,0)*0.01898),"")</f>
        <v/>
      </c>
      <c r="AA116" s="65" t="s">
        <v>46</v>
      </c>
      <c r="AB116" s="66" t="s">
        <v>46</v>
      </c>
      <c r="AC116" s="183" t="s">
        <v>243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244</v>
      </c>
      <c r="B117" s="60" t="s">
        <v>245</v>
      </c>
      <c r="C117" s="34">
        <v>4301020186</v>
      </c>
      <c r="D117" s="664">
        <v>4680115887664</v>
      </c>
      <c r="E117" s="664"/>
      <c r="F117" s="59">
        <v>0.1</v>
      </c>
      <c r="G117" s="35">
        <v>10</v>
      </c>
      <c r="H117" s="59">
        <v>1</v>
      </c>
      <c r="I117" s="59">
        <v>1.21</v>
      </c>
      <c r="J117" s="35">
        <v>392</v>
      </c>
      <c r="K117" s="35" t="s">
        <v>247</v>
      </c>
      <c r="L117" s="35" t="s">
        <v>46</v>
      </c>
      <c r="M117" s="36" t="s">
        <v>83</v>
      </c>
      <c r="N117" s="36"/>
      <c r="O117" s="35">
        <v>30</v>
      </c>
      <c r="P117" s="72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6"/>
      <c r="R117" s="666"/>
      <c r="S117" s="666"/>
      <c r="T117" s="667"/>
      <c r="U117" s="37" t="s">
        <v>46</v>
      </c>
      <c r="V117" s="37" t="s">
        <v>46</v>
      </c>
      <c r="W117" s="38" t="s">
        <v>0</v>
      </c>
      <c r="X117" s="56"/>
      <c r="Y117" s="53">
        <f>IFERROR(IF(X117="",0,CEILING((X117/$H117),1)*$H117),"")</f>
        <v>0</v>
      </c>
      <c r="Z117" s="39" t="str">
        <f>IFERROR(IF(Y117=0,"",ROUNDUP(Y117/H117,0)*0.00358),"")</f>
        <v/>
      </c>
      <c r="AA117" s="65" t="s">
        <v>46</v>
      </c>
      <c r="AB117" s="66" t="s">
        <v>46</v>
      </c>
      <c r="AC117" s="185" t="s">
        <v>246</v>
      </c>
      <c r="AG117" s="75"/>
      <c r="AJ117" s="79" t="s">
        <v>46</v>
      </c>
      <c r="AK117" s="79">
        <v>0</v>
      </c>
      <c r="BB117" s="186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244</v>
      </c>
      <c r="B118" s="60" t="s">
        <v>248</v>
      </c>
      <c r="C118" s="34">
        <v>4301020430</v>
      </c>
      <c r="D118" s="664">
        <v>4680115887664</v>
      </c>
      <c r="E118" s="664"/>
      <c r="F118" s="59">
        <v>0.1</v>
      </c>
      <c r="G118" s="35">
        <v>8</v>
      </c>
      <c r="H118" s="59">
        <v>0.8</v>
      </c>
      <c r="I118" s="59">
        <v>0.98799999999999999</v>
      </c>
      <c r="J118" s="35">
        <v>392</v>
      </c>
      <c r="K118" s="35" t="s">
        <v>247</v>
      </c>
      <c r="L118" s="35" t="s">
        <v>46</v>
      </c>
      <c r="M118" s="36" t="s">
        <v>83</v>
      </c>
      <c r="N118" s="36"/>
      <c r="O118" s="35">
        <v>30</v>
      </c>
      <c r="P118" s="7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66"/>
      <c r="R118" s="666"/>
      <c r="S118" s="666"/>
      <c r="T118" s="667"/>
      <c r="U118" s="37" t="s">
        <v>46</v>
      </c>
      <c r="V118" s="37" t="s">
        <v>46</v>
      </c>
      <c r="W118" s="38" t="s">
        <v>0</v>
      </c>
      <c r="X118" s="56"/>
      <c r="Y118" s="53">
        <f>IFERROR(IF(X118="",0,CEILING((X118/$H118),1)*$H118),"")</f>
        <v>0</v>
      </c>
      <c r="Z118" s="39" t="str">
        <f>IFERROR(IF(Y118=0,"",ROUNDUP(Y118/H118,0)*0.00358),"")</f>
        <v/>
      </c>
      <c r="AA118" s="65" t="s">
        <v>46</v>
      </c>
      <c r="AB118" s="66" t="s">
        <v>46</v>
      </c>
      <c r="AC118" s="187" t="s">
        <v>246</v>
      </c>
      <c r="AG118" s="75"/>
      <c r="AJ118" s="79" t="s">
        <v>46</v>
      </c>
      <c r="AK118" s="79">
        <v>0</v>
      </c>
      <c r="BB118" s="188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16.5" hidden="1" customHeight="1" x14ac:dyDescent="0.25">
      <c r="A119" s="60" t="s">
        <v>249</v>
      </c>
      <c r="B119" s="60" t="s">
        <v>250</v>
      </c>
      <c r="C119" s="34">
        <v>4301020346</v>
      </c>
      <c r="D119" s="664">
        <v>4680115882775</v>
      </c>
      <c r="E119" s="664"/>
      <c r="F119" s="59">
        <v>0.3</v>
      </c>
      <c r="G119" s="35">
        <v>8</v>
      </c>
      <c r="H119" s="59">
        <v>2.4</v>
      </c>
      <c r="I119" s="59">
        <v>2.5</v>
      </c>
      <c r="J119" s="35">
        <v>234</v>
      </c>
      <c r="K119" s="35" t="s">
        <v>84</v>
      </c>
      <c r="L119" s="35" t="s">
        <v>46</v>
      </c>
      <c r="M119" s="36" t="s">
        <v>150</v>
      </c>
      <c r="N119" s="36"/>
      <c r="O119" s="35">
        <v>55</v>
      </c>
      <c r="P119" s="72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666"/>
      <c r="R119" s="666"/>
      <c r="S119" s="666"/>
      <c r="T119" s="667"/>
      <c r="U119" s="37" t="s">
        <v>46</v>
      </c>
      <c r="V119" s="37" t="s">
        <v>46</v>
      </c>
      <c r="W119" s="38" t="s">
        <v>0</v>
      </c>
      <c r="X119" s="56"/>
      <c r="Y119" s="53">
        <f>IFERROR(IF(X119="",0,CEILING((X119/$H119),1)*$H119),"")</f>
        <v>0</v>
      </c>
      <c r="Z119" s="39" t="str">
        <f>IFERROR(IF(Y119=0,"",ROUNDUP(Y119/H119,0)*0.00502),"")</f>
        <v/>
      </c>
      <c r="AA119" s="65" t="s">
        <v>46</v>
      </c>
      <c r="AB119" s="66" t="s">
        <v>46</v>
      </c>
      <c r="AC119" s="189" t="s">
        <v>243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16.5" hidden="1" customHeight="1" x14ac:dyDescent="0.25">
      <c r="A120" s="60" t="s">
        <v>251</v>
      </c>
      <c r="B120" s="60" t="s">
        <v>252</v>
      </c>
      <c r="C120" s="34">
        <v>4301020344</v>
      </c>
      <c r="D120" s="664">
        <v>4680115880658</v>
      </c>
      <c r="E120" s="664"/>
      <c r="F120" s="59">
        <v>0.4</v>
      </c>
      <c r="G120" s="35">
        <v>6</v>
      </c>
      <c r="H120" s="59">
        <v>2.4</v>
      </c>
      <c r="I120" s="59">
        <v>2.58</v>
      </c>
      <c r="J120" s="35">
        <v>182</v>
      </c>
      <c r="K120" s="35" t="s">
        <v>88</v>
      </c>
      <c r="L120" s="35" t="s">
        <v>46</v>
      </c>
      <c r="M120" s="36" t="s">
        <v>150</v>
      </c>
      <c r="N120" s="36"/>
      <c r="O120" s="35">
        <v>55</v>
      </c>
      <c r="P120" s="72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66"/>
      <c r="R120" s="666"/>
      <c r="S120" s="666"/>
      <c r="T120" s="667"/>
      <c r="U120" s="37" t="s">
        <v>46</v>
      </c>
      <c r="V120" s="37" t="s">
        <v>46</v>
      </c>
      <c r="W120" s="38" t="s">
        <v>0</v>
      </c>
      <c r="X120" s="56"/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243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idden="1" x14ac:dyDescent="0.2">
      <c r="A121" s="673"/>
      <c r="B121" s="673"/>
      <c r="C121" s="673"/>
      <c r="D121" s="673"/>
      <c r="E121" s="673"/>
      <c r="F121" s="673"/>
      <c r="G121" s="673"/>
      <c r="H121" s="673"/>
      <c r="I121" s="673"/>
      <c r="J121" s="673"/>
      <c r="K121" s="673"/>
      <c r="L121" s="673"/>
      <c r="M121" s="673"/>
      <c r="N121" s="673"/>
      <c r="O121" s="674"/>
      <c r="P121" s="670" t="s">
        <v>40</v>
      </c>
      <c r="Q121" s="671"/>
      <c r="R121" s="671"/>
      <c r="S121" s="671"/>
      <c r="T121" s="671"/>
      <c r="U121" s="671"/>
      <c r="V121" s="672"/>
      <c r="W121" s="40" t="s">
        <v>39</v>
      </c>
      <c r="X121" s="41">
        <f>IFERROR(X116/H116,"0")+IFERROR(X117/H117,"0")+IFERROR(X118/H118,"0")+IFERROR(X119/H119,"0")+IFERROR(X120/H120,"0")</f>
        <v>0</v>
      </c>
      <c r="Y121" s="41">
        <f>IFERROR(Y116/H116,"0")+IFERROR(Y117/H117,"0")+IFERROR(Y118/H118,"0")+IFERROR(Y119/H119,"0")+IFERROR(Y120/H120,"0")</f>
        <v>0</v>
      </c>
      <c r="Z121" s="41">
        <f>IFERROR(IF(Z116="",0,Z116),"0")+IFERROR(IF(Z117="",0,Z117),"0")+IFERROR(IF(Z118="",0,Z118),"0")+IFERROR(IF(Z119="",0,Z119),"0")+IFERROR(IF(Z120="",0,Z120),"0")</f>
        <v>0</v>
      </c>
      <c r="AA121" s="64"/>
      <c r="AB121" s="64"/>
      <c r="AC121" s="64"/>
    </row>
    <row r="122" spans="1:68" hidden="1" x14ac:dyDescent="0.2">
      <c r="A122" s="673"/>
      <c r="B122" s="673"/>
      <c r="C122" s="673"/>
      <c r="D122" s="673"/>
      <c r="E122" s="673"/>
      <c r="F122" s="673"/>
      <c r="G122" s="673"/>
      <c r="H122" s="673"/>
      <c r="I122" s="673"/>
      <c r="J122" s="673"/>
      <c r="K122" s="673"/>
      <c r="L122" s="673"/>
      <c r="M122" s="673"/>
      <c r="N122" s="673"/>
      <c r="O122" s="674"/>
      <c r="P122" s="670" t="s">
        <v>40</v>
      </c>
      <c r="Q122" s="671"/>
      <c r="R122" s="671"/>
      <c r="S122" s="671"/>
      <c r="T122" s="671"/>
      <c r="U122" s="671"/>
      <c r="V122" s="672"/>
      <c r="W122" s="40" t="s">
        <v>0</v>
      </c>
      <c r="X122" s="41">
        <f>IFERROR(SUM(X116:X120),"0")</f>
        <v>0</v>
      </c>
      <c r="Y122" s="41">
        <f>IFERROR(SUM(Y116:Y120),"0")</f>
        <v>0</v>
      </c>
      <c r="Z122" s="40"/>
      <c r="AA122" s="64"/>
      <c r="AB122" s="64"/>
      <c r="AC122" s="64"/>
    </row>
    <row r="123" spans="1:68" ht="14.25" hidden="1" customHeight="1" x14ac:dyDescent="0.25">
      <c r="A123" s="663" t="s">
        <v>92</v>
      </c>
      <c r="B123" s="663"/>
      <c r="C123" s="663"/>
      <c r="D123" s="663"/>
      <c r="E123" s="663"/>
      <c r="F123" s="663"/>
      <c r="G123" s="663"/>
      <c r="H123" s="663"/>
      <c r="I123" s="663"/>
      <c r="J123" s="663"/>
      <c r="K123" s="663"/>
      <c r="L123" s="663"/>
      <c r="M123" s="663"/>
      <c r="N123" s="663"/>
      <c r="O123" s="663"/>
      <c r="P123" s="663"/>
      <c r="Q123" s="663"/>
      <c r="R123" s="663"/>
      <c r="S123" s="663"/>
      <c r="T123" s="663"/>
      <c r="U123" s="663"/>
      <c r="V123" s="663"/>
      <c r="W123" s="663"/>
      <c r="X123" s="663"/>
      <c r="Y123" s="663"/>
      <c r="Z123" s="663"/>
      <c r="AA123" s="63"/>
      <c r="AB123" s="63"/>
      <c r="AC123" s="63"/>
    </row>
    <row r="124" spans="1:68" ht="27" customHeight="1" x14ac:dyDescent="0.25">
      <c r="A124" s="60" t="s">
        <v>253</v>
      </c>
      <c r="B124" s="60" t="s">
        <v>254</v>
      </c>
      <c r="C124" s="34">
        <v>4301051724</v>
      </c>
      <c r="D124" s="664">
        <v>4607091385168</v>
      </c>
      <c r="E124" s="664"/>
      <c r="F124" s="59">
        <v>1.35</v>
      </c>
      <c r="G124" s="35">
        <v>6</v>
      </c>
      <c r="H124" s="59">
        <v>8.1</v>
      </c>
      <c r="I124" s="59">
        <v>8.5879999999999992</v>
      </c>
      <c r="J124" s="35">
        <v>64</v>
      </c>
      <c r="K124" s="35" t="s">
        <v>151</v>
      </c>
      <c r="L124" s="35" t="s">
        <v>46</v>
      </c>
      <c r="M124" s="36" t="s">
        <v>102</v>
      </c>
      <c r="N124" s="36"/>
      <c r="O124" s="35">
        <v>45</v>
      </c>
      <c r="P124" s="72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66"/>
      <c r="R124" s="666"/>
      <c r="S124" s="666"/>
      <c r="T124" s="667"/>
      <c r="U124" s="37" t="s">
        <v>46</v>
      </c>
      <c r="V124" s="37" t="s">
        <v>46</v>
      </c>
      <c r="W124" s="38" t="s">
        <v>0</v>
      </c>
      <c r="X124" s="56">
        <v>800</v>
      </c>
      <c r="Y124" s="53">
        <f>IFERROR(IF(X124="",0,CEILING((X124/$H124),1)*$H124),"")</f>
        <v>801.9</v>
      </c>
      <c r="Z124" s="39">
        <f>IFERROR(IF(Y124=0,"",ROUNDUP(Y124/H124,0)*0.01898),"")</f>
        <v>1.8790200000000001</v>
      </c>
      <c r="AA124" s="65" t="s">
        <v>46</v>
      </c>
      <c r="AB124" s="66" t="s">
        <v>46</v>
      </c>
      <c r="AC124" s="193" t="s">
        <v>255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848.19753086419757</v>
      </c>
      <c r="BN124" s="75">
        <f>IFERROR(Y124*I124/H124,"0")</f>
        <v>850.21199999999988</v>
      </c>
      <c r="BO124" s="75">
        <f>IFERROR(1/J124*(X124/H124),"0")</f>
        <v>1.5432098765432098</v>
      </c>
      <c r="BP124" s="75">
        <f>IFERROR(1/J124*(Y124/H124),"0")</f>
        <v>1.546875</v>
      </c>
    </row>
    <row r="125" spans="1:68" ht="27" hidden="1" customHeight="1" x14ac:dyDescent="0.25">
      <c r="A125" s="60" t="s">
        <v>256</v>
      </c>
      <c r="B125" s="60" t="s">
        <v>257</v>
      </c>
      <c r="C125" s="34">
        <v>4301051730</v>
      </c>
      <c r="D125" s="664">
        <v>4607091383256</v>
      </c>
      <c r="E125" s="664"/>
      <c r="F125" s="59">
        <v>0.33</v>
      </c>
      <c r="G125" s="35">
        <v>6</v>
      </c>
      <c r="H125" s="59">
        <v>1.98</v>
      </c>
      <c r="I125" s="59">
        <v>2.226</v>
      </c>
      <c r="J125" s="35">
        <v>182</v>
      </c>
      <c r="K125" s="35" t="s">
        <v>88</v>
      </c>
      <c r="L125" s="35" t="s">
        <v>46</v>
      </c>
      <c r="M125" s="36" t="s">
        <v>102</v>
      </c>
      <c r="N125" s="36"/>
      <c r="O125" s="35">
        <v>45</v>
      </c>
      <c r="P12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66"/>
      <c r="R125" s="666"/>
      <c r="S125" s="666"/>
      <c r="T125" s="667"/>
      <c r="U125" s="37" t="s">
        <v>46</v>
      </c>
      <c r="V125" s="37" t="s">
        <v>46</v>
      </c>
      <c r="W125" s="38" t="s">
        <v>0</v>
      </c>
      <c r="X125" s="56"/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195" t="s">
        <v>255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t="27" hidden="1" customHeight="1" x14ac:dyDescent="0.25">
      <c r="A126" s="60" t="s">
        <v>258</v>
      </c>
      <c r="B126" s="60" t="s">
        <v>259</v>
      </c>
      <c r="C126" s="34">
        <v>4301051721</v>
      </c>
      <c r="D126" s="664">
        <v>4607091385748</v>
      </c>
      <c r="E126" s="664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88</v>
      </c>
      <c r="L126" s="35" t="s">
        <v>46</v>
      </c>
      <c r="M126" s="36" t="s">
        <v>102</v>
      </c>
      <c r="N126" s="36"/>
      <c r="O126" s="35">
        <v>45</v>
      </c>
      <c r="P126" s="73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66"/>
      <c r="R126" s="666"/>
      <c r="S126" s="666"/>
      <c r="T126" s="667"/>
      <c r="U126" s="37" t="s">
        <v>46</v>
      </c>
      <c r="V126" s="37" t="s">
        <v>46</v>
      </c>
      <c r="W126" s="38" t="s">
        <v>0</v>
      </c>
      <c r="X126" s="56"/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255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t="16.5" hidden="1" customHeight="1" x14ac:dyDescent="0.25">
      <c r="A127" s="60" t="s">
        <v>260</v>
      </c>
      <c r="B127" s="60" t="s">
        <v>261</v>
      </c>
      <c r="C127" s="34">
        <v>4301051740</v>
      </c>
      <c r="D127" s="664">
        <v>4680115884533</v>
      </c>
      <c r="E127" s="664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88</v>
      </c>
      <c r="L127" s="35" t="s">
        <v>46</v>
      </c>
      <c r="M127" s="36" t="s">
        <v>96</v>
      </c>
      <c r="N127" s="36"/>
      <c r="O127" s="35">
        <v>45</v>
      </c>
      <c r="P127" s="73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6"/>
      <c r="R127" s="666"/>
      <c r="S127" s="666"/>
      <c r="T127" s="667"/>
      <c r="U127" s="37" t="s">
        <v>46</v>
      </c>
      <c r="V127" s="37" t="s">
        <v>46</v>
      </c>
      <c r="W127" s="38" t="s">
        <v>0</v>
      </c>
      <c r="X127" s="56"/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262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x14ac:dyDescent="0.2">
      <c r="A128" s="673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70" t="s">
        <v>40</v>
      </c>
      <c r="Q128" s="671"/>
      <c r="R128" s="671"/>
      <c r="S128" s="671"/>
      <c r="T128" s="671"/>
      <c r="U128" s="671"/>
      <c r="V128" s="672"/>
      <c r="W128" s="40" t="s">
        <v>39</v>
      </c>
      <c r="X128" s="41">
        <f>IFERROR(X124/H124,"0")+IFERROR(X125/H125,"0")+IFERROR(X126/H126,"0")+IFERROR(X127/H127,"0")</f>
        <v>98.76543209876543</v>
      </c>
      <c r="Y128" s="41">
        <f>IFERROR(Y124/H124,"0")+IFERROR(Y125/H125,"0")+IFERROR(Y126/H126,"0")+IFERROR(Y127/H127,"0")</f>
        <v>99</v>
      </c>
      <c r="Z128" s="41">
        <f>IFERROR(IF(Z124="",0,Z124),"0")+IFERROR(IF(Z125="",0,Z125),"0")+IFERROR(IF(Z126="",0,Z126),"0")+IFERROR(IF(Z127="",0,Z127),"0")</f>
        <v>1.8790200000000001</v>
      </c>
      <c r="AA128" s="64"/>
      <c r="AB128" s="64"/>
      <c r="AC128" s="64"/>
    </row>
    <row r="129" spans="1:68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70" t="s">
        <v>40</v>
      </c>
      <c r="Q129" s="671"/>
      <c r="R129" s="671"/>
      <c r="S129" s="671"/>
      <c r="T129" s="671"/>
      <c r="U129" s="671"/>
      <c r="V129" s="672"/>
      <c r="W129" s="40" t="s">
        <v>0</v>
      </c>
      <c r="X129" s="41">
        <f>IFERROR(SUM(X124:X127),"0")</f>
        <v>800</v>
      </c>
      <c r="Y129" s="41">
        <f>IFERROR(SUM(Y124:Y127),"0")</f>
        <v>801.9</v>
      </c>
      <c r="Z129" s="40"/>
      <c r="AA129" s="64"/>
      <c r="AB129" s="64"/>
      <c r="AC129" s="64"/>
    </row>
    <row r="130" spans="1:68" ht="14.25" hidden="1" customHeight="1" x14ac:dyDescent="0.25">
      <c r="A130" s="663" t="s">
        <v>197</v>
      </c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63"/>
      <c r="P130" s="663"/>
      <c r="Q130" s="663"/>
      <c r="R130" s="663"/>
      <c r="S130" s="663"/>
      <c r="T130" s="663"/>
      <c r="U130" s="663"/>
      <c r="V130" s="663"/>
      <c r="W130" s="663"/>
      <c r="X130" s="663"/>
      <c r="Y130" s="663"/>
      <c r="Z130" s="663"/>
      <c r="AA130" s="63"/>
      <c r="AB130" s="63"/>
      <c r="AC130" s="63"/>
    </row>
    <row r="131" spans="1:68" ht="16.5" hidden="1" customHeight="1" x14ac:dyDescent="0.25">
      <c r="A131" s="60" t="s">
        <v>263</v>
      </c>
      <c r="B131" s="60" t="s">
        <v>264</v>
      </c>
      <c r="C131" s="34">
        <v>4301060317</v>
      </c>
      <c r="D131" s="664">
        <v>4680115880238</v>
      </c>
      <c r="E131" s="664"/>
      <c r="F131" s="59">
        <v>0.33</v>
      </c>
      <c r="G131" s="35">
        <v>6</v>
      </c>
      <c r="H131" s="59">
        <v>1.98</v>
      </c>
      <c r="I131" s="59">
        <v>2.238</v>
      </c>
      <c r="J131" s="35">
        <v>182</v>
      </c>
      <c r="K131" s="35" t="s">
        <v>88</v>
      </c>
      <c r="L131" s="35" t="s">
        <v>46</v>
      </c>
      <c r="M131" s="36" t="s">
        <v>96</v>
      </c>
      <c r="N131" s="36"/>
      <c r="O131" s="35">
        <v>40</v>
      </c>
      <c r="P131" s="73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66"/>
      <c r="R131" s="666"/>
      <c r="S131" s="666"/>
      <c r="T131" s="667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201" t="s">
        <v>265</v>
      </c>
      <c r="AG131" s="75"/>
      <c r="AJ131" s="79" t="s">
        <v>46</v>
      </c>
      <c r="AK131" s="79">
        <v>0</v>
      </c>
      <c r="BB131" s="202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idden="1" x14ac:dyDescent="0.2">
      <c r="A132" s="673"/>
      <c r="B132" s="673"/>
      <c r="C132" s="673"/>
      <c r="D132" s="673"/>
      <c r="E132" s="673"/>
      <c r="F132" s="673"/>
      <c r="G132" s="673"/>
      <c r="H132" s="673"/>
      <c r="I132" s="673"/>
      <c r="J132" s="673"/>
      <c r="K132" s="673"/>
      <c r="L132" s="673"/>
      <c r="M132" s="673"/>
      <c r="N132" s="673"/>
      <c r="O132" s="674"/>
      <c r="P132" s="670" t="s">
        <v>40</v>
      </c>
      <c r="Q132" s="671"/>
      <c r="R132" s="671"/>
      <c r="S132" s="671"/>
      <c r="T132" s="671"/>
      <c r="U132" s="671"/>
      <c r="V132" s="672"/>
      <c r="W132" s="40" t="s">
        <v>39</v>
      </c>
      <c r="X132" s="41">
        <f>IFERROR(X131/H131,"0")</f>
        <v>0</v>
      </c>
      <c r="Y132" s="41">
        <f>IFERROR(Y131/H131,"0")</f>
        <v>0</v>
      </c>
      <c r="Z132" s="41">
        <f>IFERROR(IF(Z131="",0,Z131),"0")</f>
        <v>0</v>
      </c>
      <c r="AA132" s="64"/>
      <c r="AB132" s="64"/>
      <c r="AC132" s="64"/>
    </row>
    <row r="133" spans="1:68" hidden="1" x14ac:dyDescent="0.2">
      <c r="A133" s="673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70" t="s">
        <v>40</v>
      </c>
      <c r="Q133" s="671"/>
      <c r="R133" s="671"/>
      <c r="S133" s="671"/>
      <c r="T133" s="671"/>
      <c r="U133" s="671"/>
      <c r="V133" s="672"/>
      <c r="W133" s="40" t="s">
        <v>0</v>
      </c>
      <c r="X133" s="41">
        <f>IFERROR(SUM(X131:X131),"0")</f>
        <v>0</v>
      </c>
      <c r="Y133" s="41">
        <f>IFERROR(SUM(Y131:Y131),"0")</f>
        <v>0</v>
      </c>
      <c r="Z133" s="40"/>
      <c r="AA133" s="64"/>
      <c r="AB133" s="64"/>
      <c r="AC133" s="64"/>
    </row>
    <row r="134" spans="1:68" ht="16.5" hidden="1" customHeight="1" x14ac:dyDescent="0.25">
      <c r="A134" s="662" t="s">
        <v>266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2"/>
      <c r="AB134" s="62"/>
      <c r="AC134" s="62"/>
    </row>
    <row r="135" spans="1:68" ht="14.25" hidden="1" customHeight="1" x14ac:dyDescent="0.25">
      <c r="A135" s="663" t="s">
        <v>146</v>
      </c>
      <c r="B135" s="663"/>
      <c r="C135" s="663"/>
      <c r="D135" s="663"/>
      <c r="E135" s="663"/>
      <c r="F135" s="663"/>
      <c r="G135" s="663"/>
      <c r="H135" s="663"/>
      <c r="I135" s="663"/>
      <c r="J135" s="663"/>
      <c r="K135" s="663"/>
      <c r="L135" s="663"/>
      <c r="M135" s="663"/>
      <c r="N135" s="663"/>
      <c r="O135" s="663"/>
      <c r="P135" s="663"/>
      <c r="Q135" s="663"/>
      <c r="R135" s="663"/>
      <c r="S135" s="663"/>
      <c r="T135" s="663"/>
      <c r="U135" s="663"/>
      <c r="V135" s="663"/>
      <c r="W135" s="663"/>
      <c r="X135" s="663"/>
      <c r="Y135" s="663"/>
      <c r="Z135" s="663"/>
      <c r="AA135" s="63"/>
      <c r="AB135" s="63"/>
      <c r="AC135" s="63"/>
    </row>
    <row r="136" spans="1:68" ht="27" hidden="1" customHeight="1" x14ac:dyDescent="0.25">
      <c r="A136" s="60" t="s">
        <v>267</v>
      </c>
      <c r="B136" s="60" t="s">
        <v>268</v>
      </c>
      <c r="C136" s="34">
        <v>4301011562</v>
      </c>
      <c r="D136" s="664">
        <v>4680115882577</v>
      </c>
      <c r="E136" s="664"/>
      <c r="F136" s="59">
        <v>0.4</v>
      </c>
      <c r="G136" s="35">
        <v>8</v>
      </c>
      <c r="H136" s="59">
        <v>3.2</v>
      </c>
      <c r="I136" s="59">
        <v>3.38</v>
      </c>
      <c r="J136" s="35">
        <v>182</v>
      </c>
      <c r="K136" s="35" t="s">
        <v>88</v>
      </c>
      <c r="L136" s="35" t="s">
        <v>46</v>
      </c>
      <c r="M136" s="36" t="s">
        <v>128</v>
      </c>
      <c r="N136" s="36"/>
      <c r="O136" s="35">
        <v>90</v>
      </c>
      <c r="P136" s="7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66"/>
      <c r="R136" s="666"/>
      <c r="S136" s="666"/>
      <c r="T136" s="667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269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267</v>
      </c>
      <c r="B137" s="60" t="s">
        <v>270</v>
      </c>
      <c r="C137" s="34">
        <v>4301011564</v>
      </c>
      <c r="D137" s="664">
        <v>4680115882577</v>
      </c>
      <c r="E137" s="664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88</v>
      </c>
      <c r="L137" s="35" t="s">
        <v>46</v>
      </c>
      <c r="M137" s="36" t="s">
        <v>128</v>
      </c>
      <c r="N137" s="36"/>
      <c r="O137" s="35">
        <v>90</v>
      </c>
      <c r="P137" s="73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6"/>
      <c r="R137" s="666"/>
      <c r="S137" s="666"/>
      <c r="T137" s="66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269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73"/>
      <c r="B138" s="673"/>
      <c r="C138" s="673"/>
      <c r="D138" s="673"/>
      <c r="E138" s="673"/>
      <c r="F138" s="673"/>
      <c r="G138" s="673"/>
      <c r="H138" s="673"/>
      <c r="I138" s="673"/>
      <c r="J138" s="673"/>
      <c r="K138" s="673"/>
      <c r="L138" s="673"/>
      <c r="M138" s="673"/>
      <c r="N138" s="673"/>
      <c r="O138" s="674"/>
      <c r="P138" s="670" t="s">
        <v>40</v>
      </c>
      <c r="Q138" s="671"/>
      <c r="R138" s="671"/>
      <c r="S138" s="671"/>
      <c r="T138" s="671"/>
      <c r="U138" s="671"/>
      <c r="V138" s="672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73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70" t="s">
        <v>40</v>
      </c>
      <c r="Q139" s="671"/>
      <c r="R139" s="671"/>
      <c r="S139" s="671"/>
      <c r="T139" s="671"/>
      <c r="U139" s="671"/>
      <c r="V139" s="672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63" t="s">
        <v>77</v>
      </c>
      <c r="B140" s="663"/>
      <c r="C140" s="663"/>
      <c r="D140" s="663"/>
      <c r="E140" s="663"/>
      <c r="F140" s="663"/>
      <c r="G140" s="663"/>
      <c r="H140" s="663"/>
      <c r="I140" s="663"/>
      <c r="J140" s="663"/>
      <c r="K140" s="663"/>
      <c r="L140" s="663"/>
      <c r="M140" s="663"/>
      <c r="N140" s="663"/>
      <c r="O140" s="663"/>
      <c r="P140" s="663"/>
      <c r="Q140" s="663"/>
      <c r="R140" s="663"/>
      <c r="S140" s="663"/>
      <c r="T140" s="663"/>
      <c r="U140" s="663"/>
      <c r="V140" s="663"/>
      <c r="W140" s="663"/>
      <c r="X140" s="663"/>
      <c r="Y140" s="663"/>
      <c r="Z140" s="663"/>
      <c r="AA140" s="63"/>
      <c r="AB140" s="63"/>
      <c r="AC140" s="63"/>
    </row>
    <row r="141" spans="1:68" ht="27" hidden="1" customHeight="1" x14ac:dyDescent="0.25">
      <c r="A141" s="60" t="s">
        <v>271</v>
      </c>
      <c r="B141" s="60" t="s">
        <v>272</v>
      </c>
      <c r="C141" s="34">
        <v>4301031234</v>
      </c>
      <c r="D141" s="664">
        <v>4680115883444</v>
      </c>
      <c r="E141" s="66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88</v>
      </c>
      <c r="L141" s="35" t="s">
        <v>46</v>
      </c>
      <c r="M141" s="36" t="s">
        <v>128</v>
      </c>
      <c r="N141" s="36"/>
      <c r="O141" s="35">
        <v>90</v>
      </c>
      <c r="P141" s="73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66"/>
      <c r="R141" s="666"/>
      <c r="S141" s="666"/>
      <c r="T141" s="66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273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271</v>
      </c>
      <c r="B142" s="60" t="s">
        <v>274</v>
      </c>
      <c r="C142" s="34">
        <v>4301031235</v>
      </c>
      <c r="D142" s="664">
        <v>4680115883444</v>
      </c>
      <c r="E142" s="66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88</v>
      </c>
      <c r="L142" s="35" t="s">
        <v>46</v>
      </c>
      <c r="M142" s="36" t="s">
        <v>128</v>
      </c>
      <c r="N142" s="36"/>
      <c r="O142" s="35">
        <v>90</v>
      </c>
      <c r="P142" s="7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6"/>
      <c r="R142" s="666"/>
      <c r="S142" s="666"/>
      <c r="T142" s="66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273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73"/>
      <c r="B143" s="673"/>
      <c r="C143" s="673"/>
      <c r="D143" s="673"/>
      <c r="E143" s="673"/>
      <c r="F143" s="673"/>
      <c r="G143" s="673"/>
      <c r="H143" s="673"/>
      <c r="I143" s="673"/>
      <c r="J143" s="673"/>
      <c r="K143" s="673"/>
      <c r="L143" s="673"/>
      <c r="M143" s="673"/>
      <c r="N143" s="673"/>
      <c r="O143" s="674"/>
      <c r="P143" s="670" t="s">
        <v>40</v>
      </c>
      <c r="Q143" s="671"/>
      <c r="R143" s="671"/>
      <c r="S143" s="671"/>
      <c r="T143" s="671"/>
      <c r="U143" s="671"/>
      <c r="V143" s="672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73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70" t="s">
        <v>40</v>
      </c>
      <c r="Q144" s="671"/>
      <c r="R144" s="671"/>
      <c r="S144" s="671"/>
      <c r="T144" s="671"/>
      <c r="U144" s="671"/>
      <c r="V144" s="672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663" t="s">
        <v>92</v>
      </c>
      <c r="B145" s="663"/>
      <c r="C145" s="663"/>
      <c r="D145" s="663"/>
      <c r="E145" s="663"/>
      <c r="F145" s="663"/>
      <c r="G145" s="663"/>
      <c r="H145" s="663"/>
      <c r="I145" s="663"/>
      <c r="J145" s="663"/>
      <c r="K145" s="663"/>
      <c r="L145" s="663"/>
      <c r="M145" s="663"/>
      <c r="N145" s="663"/>
      <c r="O145" s="663"/>
      <c r="P145" s="663"/>
      <c r="Q145" s="663"/>
      <c r="R145" s="663"/>
      <c r="S145" s="663"/>
      <c r="T145" s="663"/>
      <c r="U145" s="663"/>
      <c r="V145" s="663"/>
      <c r="W145" s="663"/>
      <c r="X145" s="663"/>
      <c r="Y145" s="663"/>
      <c r="Z145" s="663"/>
      <c r="AA145" s="63"/>
      <c r="AB145" s="63"/>
      <c r="AC145" s="63"/>
    </row>
    <row r="146" spans="1:68" ht="16.5" hidden="1" customHeight="1" x14ac:dyDescent="0.25">
      <c r="A146" s="60" t="s">
        <v>275</v>
      </c>
      <c r="B146" s="60" t="s">
        <v>276</v>
      </c>
      <c r="C146" s="34">
        <v>4301051476</v>
      </c>
      <c r="D146" s="664">
        <v>4680115882584</v>
      </c>
      <c r="E146" s="664"/>
      <c r="F146" s="59">
        <v>0.33</v>
      </c>
      <c r="G146" s="35">
        <v>8</v>
      </c>
      <c r="H146" s="59">
        <v>2.64</v>
      </c>
      <c r="I146" s="59">
        <v>2.9079999999999999</v>
      </c>
      <c r="J146" s="35">
        <v>182</v>
      </c>
      <c r="K146" s="35" t="s">
        <v>88</v>
      </c>
      <c r="L146" s="35" t="s">
        <v>46</v>
      </c>
      <c r="M146" s="36" t="s">
        <v>128</v>
      </c>
      <c r="N146" s="36"/>
      <c r="O146" s="35">
        <v>60</v>
      </c>
      <c r="P146" s="73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66"/>
      <c r="R146" s="666"/>
      <c r="S146" s="666"/>
      <c r="T146" s="66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46</v>
      </c>
      <c r="AB146" s="66" t="s">
        <v>46</v>
      </c>
      <c r="AC146" s="211" t="s">
        <v>269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275</v>
      </c>
      <c r="B147" s="60" t="s">
        <v>277</v>
      </c>
      <c r="C147" s="34">
        <v>4301051477</v>
      </c>
      <c r="D147" s="664">
        <v>4680115882584</v>
      </c>
      <c r="E147" s="664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88</v>
      </c>
      <c r="L147" s="35" t="s">
        <v>46</v>
      </c>
      <c r="M147" s="36" t="s">
        <v>128</v>
      </c>
      <c r="N147" s="36"/>
      <c r="O147" s="35">
        <v>60</v>
      </c>
      <c r="P147" s="73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6"/>
      <c r="R147" s="666"/>
      <c r="S147" s="666"/>
      <c r="T147" s="66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46</v>
      </c>
      <c r="AC147" s="213" t="s">
        <v>269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idden="1" x14ac:dyDescent="0.2">
      <c r="A148" s="673"/>
      <c r="B148" s="673"/>
      <c r="C148" s="673"/>
      <c r="D148" s="673"/>
      <c r="E148" s="673"/>
      <c r="F148" s="673"/>
      <c r="G148" s="673"/>
      <c r="H148" s="673"/>
      <c r="I148" s="673"/>
      <c r="J148" s="673"/>
      <c r="K148" s="673"/>
      <c r="L148" s="673"/>
      <c r="M148" s="673"/>
      <c r="N148" s="673"/>
      <c r="O148" s="674"/>
      <c r="P148" s="670" t="s">
        <v>40</v>
      </c>
      <c r="Q148" s="671"/>
      <c r="R148" s="671"/>
      <c r="S148" s="671"/>
      <c r="T148" s="671"/>
      <c r="U148" s="671"/>
      <c r="V148" s="672"/>
      <c r="W148" s="40" t="s">
        <v>39</v>
      </c>
      <c r="X148" s="41">
        <f>IFERROR(X146/H146,"0")+IFERROR(X147/H147,"0")</f>
        <v>0</v>
      </c>
      <c r="Y148" s="41">
        <f>IFERROR(Y146/H146,"0")+IFERROR(Y147/H147,"0")</f>
        <v>0</v>
      </c>
      <c r="Z148" s="41">
        <f>IFERROR(IF(Z146="",0,Z146),"0")+IFERROR(IF(Z147="",0,Z147),"0")</f>
        <v>0</v>
      </c>
      <c r="AA148" s="64"/>
      <c r="AB148" s="64"/>
      <c r="AC148" s="64"/>
    </row>
    <row r="149" spans="1:68" hidden="1" x14ac:dyDescent="0.2">
      <c r="A149" s="673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70" t="s">
        <v>40</v>
      </c>
      <c r="Q149" s="671"/>
      <c r="R149" s="671"/>
      <c r="S149" s="671"/>
      <c r="T149" s="671"/>
      <c r="U149" s="671"/>
      <c r="V149" s="672"/>
      <c r="W149" s="40" t="s">
        <v>0</v>
      </c>
      <c r="X149" s="41">
        <f>IFERROR(SUM(X146:X147),"0")</f>
        <v>0</v>
      </c>
      <c r="Y149" s="41">
        <f>IFERROR(SUM(Y146:Y147),"0")</f>
        <v>0</v>
      </c>
      <c r="Z149" s="40"/>
      <c r="AA149" s="64"/>
      <c r="AB149" s="64"/>
      <c r="AC149" s="64"/>
    </row>
    <row r="150" spans="1:68" ht="16.5" hidden="1" customHeight="1" x14ac:dyDescent="0.25">
      <c r="A150" s="662" t="s">
        <v>278</v>
      </c>
      <c r="B150" s="662"/>
      <c r="C150" s="662"/>
      <c r="D150" s="662"/>
      <c r="E150" s="662"/>
      <c r="F150" s="662"/>
      <c r="G150" s="662"/>
      <c r="H150" s="662"/>
      <c r="I150" s="662"/>
      <c r="J150" s="662"/>
      <c r="K150" s="662"/>
      <c r="L150" s="662"/>
      <c r="M150" s="662"/>
      <c r="N150" s="662"/>
      <c r="O150" s="662"/>
      <c r="P150" s="662"/>
      <c r="Q150" s="662"/>
      <c r="R150" s="662"/>
      <c r="S150" s="662"/>
      <c r="T150" s="662"/>
      <c r="U150" s="662"/>
      <c r="V150" s="662"/>
      <c r="W150" s="662"/>
      <c r="X150" s="662"/>
      <c r="Y150" s="662"/>
      <c r="Z150" s="662"/>
      <c r="AA150" s="62"/>
      <c r="AB150" s="62"/>
      <c r="AC150" s="62"/>
    </row>
    <row r="151" spans="1:68" ht="14.25" hidden="1" customHeight="1" x14ac:dyDescent="0.25">
      <c r="A151" s="663" t="s">
        <v>92</v>
      </c>
      <c r="B151" s="663"/>
      <c r="C151" s="663"/>
      <c r="D151" s="663"/>
      <c r="E151" s="663"/>
      <c r="F151" s="663"/>
      <c r="G151" s="663"/>
      <c r="H151" s="663"/>
      <c r="I151" s="663"/>
      <c r="J151" s="663"/>
      <c r="K151" s="663"/>
      <c r="L151" s="663"/>
      <c r="M151" s="663"/>
      <c r="N151" s="663"/>
      <c r="O151" s="663"/>
      <c r="P151" s="663"/>
      <c r="Q151" s="663"/>
      <c r="R151" s="663"/>
      <c r="S151" s="663"/>
      <c r="T151" s="663"/>
      <c r="U151" s="663"/>
      <c r="V151" s="663"/>
      <c r="W151" s="663"/>
      <c r="X151" s="663"/>
      <c r="Y151" s="663"/>
      <c r="Z151" s="663"/>
      <c r="AA151" s="63"/>
      <c r="AB151" s="63"/>
      <c r="AC151" s="63"/>
    </row>
    <row r="152" spans="1:68" ht="27" hidden="1" customHeight="1" x14ac:dyDescent="0.25">
      <c r="A152" s="60" t="s">
        <v>279</v>
      </c>
      <c r="B152" s="60" t="s">
        <v>280</v>
      </c>
      <c r="C152" s="34">
        <v>4301052174</v>
      </c>
      <c r="D152" s="664">
        <v>4680115888203</v>
      </c>
      <c r="E152" s="66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88</v>
      </c>
      <c r="L152" s="35" t="s">
        <v>46</v>
      </c>
      <c r="M152" s="36" t="s">
        <v>102</v>
      </c>
      <c r="N152" s="36"/>
      <c r="O152" s="35">
        <v>40</v>
      </c>
      <c r="P152" s="739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66"/>
      <c r="R152" s="666"/>
      <c r="S152" s="666"/>
      <c r="T152" s="667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281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282</v>
      </c>
      <c r="B153" s="60" t="s">
        <v>283</v>
      </c>
      <c r="C153" s="34">
        <v>4301052172</v>
      </c>
      <c r="D153" s="664">
        <v>4680115888180</v>
      </c>
      <c r="E153" s="664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88</v>
      </c>
      <c r="L153" s="35" t="s">
        <v>46</v>
      </c>
      <c r="M153" s="36" t="s">
        <v>102</v>
      </c>
      <c r="N153" s="36"/>
      <c r="O153" s="35">
        <v>40</v>
      </c>
      <c r="P153" s="74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66"/>
      <c r="R153" s="666"/>
      <c r="S153" s="666"/>
      <c r="T153" s="667"/>
      <c r="U153" s="37" t="s">
        <v>46</v>
      </c>
      <c r="V153" s="37" t="s">
        <v>46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46</v>
      </c>
      <c r="AB153" s="66" t="s">
        <v>46</v>
      </c>
      <c r="AC153" s="217" t="s">
        <v>284</v>
      </c>
      <c r="AG153" s="75"/>
      <c r="AJ153" s="79" t="s">
        <v>46</v>
      </c>
      <c r="AK153" s="79">
        <v>0</v>
      </c>
      <c r="BB153" s="218" t="s">
        <v>67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t="27" hidden="1" customHeight="1" x14ac:dyDescent="0.25">
      <c r="A154" s="60" t="s">
        <v>285</v>
      </c>
      <c r="B154" s="60" t="s">
        <v>286</v>
      </c>
      <c r="C154" s="34">
        <v>4301052173</v>
      </c>
      <c r="D154" s="664">
        <v>4680115888197</v>
      </c>
      <c r="E154" s="664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88</v>
      </c>
      <c r="L154" s="35" t="s">
        <v>46</v>
      </c>
      <c r="M154" s="36" t="s">
        <v>102</v>
      </c>
      <c r="N154" s="36"/>
      <c r="O154" s="35">
        <v>40</v>
      </c>
      <c r="P154" s="74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66"/>
      <c r="R154" s="666"/>
      <c r="S154" s="666"/>
      <c r="T154" s="66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287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288</v>
      </c>
      <c r="B155" s="60" t="s">
        <v>289</v>
      </c>
      <c r="C155" s="34">
        <v>4301052175</v>
      </c>
      <c r="D155" s="664">
        <v>4680115888210</v>
      </c>
      <c r="E155" s="66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88</v>
      </c>
      <c r="L155" s="35" t="s">
        <v>46</v>
      </c>
      <c r="M155" s="36" t="s">
        <v>102</v>
      </c>
      <c r="N155" s="36"/>
      <c r="O155" s="35">
        <v>40</v>
      </c>
      <c r="P155" s="74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6"/>
      <c r="R155" s="666"/>
      <c r="S155" s="666"/>
      <c r="T155" s="66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290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idden="1" x14ac:dyDescent="0.2">
      <c r="A156" s="673"/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4"/>
      <c r="P156" s="670" t="s">
        <v>40</v>
      </c>
      <c r="Q156" s="671"/>
      <c r="R156" s="671"/>
      <c r="S156" s="671"/>
      <c r="T156" s="671"/>
      <c r="U156" s="671"/>
      <c r="V156" s="672"/>
      <c r="W156" s="40" t="s">
        <v>39</v>
      </c>
      <c r="X156" s="41">
        <f>IFERROR(X152/H152,"0")+IFERROR(X153/H153,"0")+IFERROR(X154/H154,"0")+IFERROR(X155/H155,"0")</f>
        <v>0</v>
      </c>
      <c r="Y156" s="41">
        <f>IFERROR(Y152/H152,"0")+IFERROR(Y153/H153,"0")+IFERROR(Y154/H154,"0")+IFERROR(Y155/H155,"0")</f>
        <v>0</v>
      </c>
      <c r="Z156" s="41">
        <f>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hidden="1" x14ac:dyDescent="0.2">
      <c r="A157" s="673"/>
      <c r="B157" s="673"/>
      <c r="C157" s="673"/>
      <c r="D157" s="673"/>
      <c r="E157" s="673"/>
      <c r="F157" s="673"/>
      <c r="G157" s="673"/>
      <c r="H157" s="673"/>
      <c r="I157" s="673"/>
      <c r="J157" s="673"/>
      <c r="K157" s="673"/>
      <c r="L157" s="673"/>
      <c r="M157" s="673"/>
      <c r="N157" s="673"/>
      <c r="O157" s="674"/>
      <c r="P157" s="670" t="s">
        <v>40</v>
      </c>
      <c r="Q157" s="671"/>
      <c r="R157" s="671"/>
      <c r="S157" s="671"/>
      <c r="T157" s="671"/>
      <c r="U157" s="671"/>
      <c r="V157" s="672"/>
      <c r="W157" s="40" t="s">
        <v>0</v>
      </c>
      <c r="X157" s="41">
        <f>IFERROR(SUM(X152:X155),"0")</f>
        <v>0</v>
      </c>
      <c r="Y157" s="41">
        <f>IFERROR(SUM(Y152:Y155),"0")</f>
        <v>0</v>
      </c>
      <c r="Z157" s="40"/>
      <c r="AA157" s="64"/>
      <c r="AB157" s="64"/>
      <c r="AC157" s="64"/>
    </row>
    <row r="158" spans="1:68" ht="16.5" hidden="1" customHeight="1" x14ac:dyDescent="0.25">
      <c r="A158" s="662" t="s">
        <v>144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2"/>
      <c r="AB158" s="62"/>
      <c r="AC158" s="62"/>
    </row>
    <row r="159" spans="1:68" ht="14.25" hidden="1" customHeight="1" x14ac:dyDescent="0.25">
      <c r="A159" s="663" t="s">
        <v>146</v>
      </c>
      <c r="B159" s="663"/>
      <c r="C159" s="663"/>
      <c r="D159" s="663"/>
      <c r="E159" s="663"/>
      <c r="F159" s="663"/>
      <c r="G159" s="663"/>
      <c r="H159" s="663"/>
      <c r="I159" s="663"/>
      <c r="J159" s="663"/>
      <c r="K159" s="663"/>
      <c r="L159" s="663"/>
      <c r="M159" s="663"/>
      <c r="N159" s="663"/>
      <c r="O159" s="663"/>
      <c r="P159" s="663"/>
      <c r="Q159" s="663"/>
      <c r="R159" s="663"/>
      <c r="S159" s="663"/>
      <c r="T159" s="663"/>
      <c r="U159" s="663"/>
      <c r="V159" s="663"/>
      <c r="W159" s="663"/>
      <c r="X159" s="663"/>
      <c r="Y159" s="663"/>
      <c r="Z159" s="663"/>
      <c r="AA159" s="63"/>
      <c r="AB159" s="63"/>
      <c r="AC159" s="63"/>
    </row>
    <row r="160" spans="1:68" ht="27" hidden="1" customHeight="1" x14ac:dyDescent="0.25">
      <c r="A160" s="60" t="s">
        <v>291</v>
      </c>
      <c r="B160" s="60" t="s">
        <v>292</v>
      </c>
      <c r="C160" s="34">
        <v>4301012244</v>
      </c>
      <c r="D160" s="664">
        <v>4680115887374</v>
      </c>
      <c r="E160" s="664"/>
      <c r="F160" s="59">
        <v>1.6</v>
      </c>
      <c r="G160" s="35">
        <v>8</v>
      </c>
      <c r="H160" s="59">
        <v>12.8</v>
      </c>
      <c r="I160" s="59">
        <v>13.21</v>
      </c>
      <c r="J160" s="35">
        <v>64</v>
      </c>
      <c r="K160" s="35" t="s">
        <v>151</v>
      </c>
      <c r="L160" s="35" t="s">
        <v>46</v>
      </c>
      <c r="M160" s="36" t="s">
        <v>150</v>
      </c>
      <c r="N160" s="36"/>
      <c r="O160" s="35">
        <v>55</v>
      </c>
      <c r="P160" s="74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66"/>
      <c r="R160" s="666"/>
      <c r="S160" s="666"/>
      <c r="T160" s="667"/>
      <c r="U160" s="37" t="s">
        <v>46</v>
      </c>
      <c r="V160" s="37" t="s">
        <v>46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IFERROR(IF(Y160=0,"",ROUNDUP(Y160/H160,0)*0.01898),"")</f>
        <v/>
      </c>
      <c r="AA160" s="65" t="s">
        <v>46</v>
      </c>
      <c r="AB160" s="66" t="s">
        <v>46</v>
      </c>
      <c r="AC160" s="223" t="s">
        <v>293</v>
      </c>
      <c r="AG160" s="75"/>
      <c r="AJ160" s="79" t="s">
        <v>46</v>
      </c>
      <c r="AK160" s="79">
        <v>0</v>
      </c>
      <c r="BB160" s="224" t="s">
        <v>67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t="27" hidden="1" customHeight="1" x14ac:dyDescent="0.25">
      <c r="A161" s="60" t="s">
        <v>294</v>
      </c>
      <c r="B161" s="60" t="s">
        <v>295</v>
      </c>
      <c r="C161" s="34">
        <v>4301011705</v>
      </c>
      <c r="D161" s="664">
        <v>4607091384604</v>
      </c>
      <c r="E161" s="664"/>
      <c r="F161" s="59">
        <v>0.4</v>
      </c>
      <c r="G161" s="35">
        <v>10</v>
      </c>
      <c r="H161" s="59">
        <v>4</v>
      </c>
      <c r="I161" s="59">
        <v>4.1900000000000004</v>
      </c>
      <c r="J161" s="35">
        <v>132</v>
      </c>
      <c r="K161" s="35" t="s">
        <v>158</v>
      </c>
      <c r="L161" s="35" t="s">
        <v>46</v>
      </c>
      <c r="M161" s="36" t="s">
        <v>150</v>
      </c>
      <c r="N161" s="36"/>
      <c r="O161" s="35">
        <v>50</v>
      </c>
      <c r="P161" s="74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66"/>
      <c r="R161" s="666"/>
      <c r="S161" s="666"/>
      <c r="T161" s="66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IFERROR(IF(Y161=0,"",ROUNDUP(Y161/H161,0)*0.00902),"")</f>
        <v/>
      </c>
      <c r="AA161" s="65" t="s">
        <v>46</v>
      </c>
      <c r="AB161" s="66" t="s">
        <v>46</v>
      </c>
      <c r="AC161" s="225" t="s">
        <v>296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70" t="s">
        <v>40</v>
      </c>
      <c r="Q162" s="671"/>
      <c r="R162" s="671"/>
      <c r="S162" s="671"/>
      <c r="T162" s="671"/>
      <c r="U162" s="671"/>
      <c r="V162" s="672"/>
      <c r="W162" s="40" t="s">
        <v>39</v>
      </c>
      <c r="X162" s="41">
        <f>IFERROR(X160/H160,"0")+IFERROR(X161/H161,"0")</f>
        <v>0</v>
      </c>
      <c r="Y162" s="41">
        <f>IFERROR(Y160/H160,"0")+IFERROR(Y161/H161,"0")</f>
        <v>0</v>
      </c>
      <c r="Z162" s="41">
        <f>IFERROR(IF(Z160="",0,Z160),"0")+IFERROR(IF(Z161="",0,Z161),"0")</f>
        <v>0</v>
      </c>
      <c r="AA162" s="64"/>
      <c r="AB162" s="64"/>
      <c r="AC162" s="64"/>
    </row>
    <row r="163" spans="1:68" hidden="1" x14ac:dyDescent="0.2">
      <c r="A163" s="673"/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4"/>
      <c r="P163" s="670" t="s">
        <v>40</v>
      </c>
      <c r="Q163" s="671"/>
      <c r="R163" s="671"/>
      <c r="S163" s="671"/>
      <c r="T163" s="671"/>
      <c r="U163" s="671"/>
      <c r="V163" s="672"/>
      <c r="W163" s="40" t="s">
        <v>0</v>
      </c>
      <c r="X163" s="41">
        <f>IFERROR(SUM(X160:X161),"0")</f>
        <v>0</v>
      </c>
      <c r="Y163" s="41">
        <f>IFERROR(SUM(Y160:Y161),"0")</f>
        <v>0</v>
      </c>
      <c r="Z163" s="40"/>
      <c r="AA163" s="64"/>
      <c r="AB163" s="64"/>
      <c r="AC163" s="64"/>
    </row>
    <row r="164" spans="1:68" ht="14.25" hidden="1" customHeight="1" x14ac:dyDescent="0.25">
      <c r="A164" s="663" t="s">
        <v>180</v>
      </c>
      <c r="B164" s="663"/>
      <c r="C164" s="663"/>
      <c r="D164" s="663"/>
      <c r="E164" s="663"/>
      <c r="F164" s="663"/>
      <c r="G164" s="663"/>
      <c r="H164" s="663"/>
      <c r="I164" s="663"/>
      <c r="J164" s="663"/>
      <c r="K164" s="663"/>
      <c r="L164" s="663"/>
      <c r="M164" s="663"/>
      <c r="N164" s="663"/>
      <c r="O164" s="663"/>
      <c r="P164" s="663"/>
      <c r="Q164" s="663"/>
      <c r="R164" s="663"/>
      <c r="S164" s="663"/>
      <c r="T164" s="663"/>
      <c r="U164" s="663"/>
      <c r="V164" s="663"/>
      <c r="W164" s="663"/>
      <c r="X164" s="663"/>
      <c r="Y164" s="663"/>
      <c r="Z164" s="663"/>
      <c r="AA164" s="63"/>
      <c r="AB164" s="63"/>
      <c r="AC164" s="63"/>
    </row>
    <row r="165" spans="1:68" ht="16.5" hidden="1" customHeight="1" x14ac:dyDescent="0.25">
      <c r="A165" s="60" t="s">
        <v>297</v>
      </c>
      <c r="B165" s="60" t="s">
        <v>298</v>
      </c>
      <c r="C165" s="34">
        <v>4301020410</v>
      </c>
      <c r="D165" s="664">
        <v>4680115887695</v>
      </c>
      <c r="E165" s="664"/>
      <c r="F165" s="59">
        <v>0.12</v>
      </c>
      <c r="G165" s="35">
        <v>6</v>
      </c>
      <c r="H165" s="59">
        <v>0.72</v>
      </c>
      <c r="I165" s="59">
        <v>0.85</v>
      </c>
      <c r="J165" s="35">
        <v>252</v>
      </c>
      <c r="K165" s="35" t="s">
        <v>84</v>
      </c>
      <c r="L165" s="35" t="s">
        <v>46</v>
      </c>
      <c r="M165" s="36" t="s">
        <v>83</v>
      </c>
      <c r="N165" s="36"/>
      <c r="O165" s="35">
        <v>30</v>
      </c>
      <c r="P165" s="74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66"/>
      <c r="R165" s="666"/>
      <c r="S165" s="666"/>
      <c r="T165" s="667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IFERROR(IF(Y165=0,"",ROUNDUP(Y165/H165,0)*0.00556),"")</f>
        <v/>
      </c>
      <c r="AA165" s="65" t="s">
        <v>46</v>
      </c>
      <c r="AB165" s="66" t="s">
        <v>46</v>
      </c>
      <c r="AC165" s="227" t="s">
        <v>299</v>
      </c>
      <c r="AG165" s="75"/>
      <c r="AJ165" s="79" t="s">
        <v>46</v>
      </c>
      <c r="AK165" s="79">
        <v>0</v>
      </c>
      <c r="BB165" s="228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70" t="s">
        <v>40</v>
      </c>
      <c r="Q166" s="671"/>
      <c r="R166" s="671"/>
      <c r="S166" s="671"/>
      <c r="T166" s="671"/>
      <c r="U166" s="671"/>
      <c r="V166" s="672"/>
      <c r="W166" s="40" t="s">
        <v>39</v>
      </c>
      <c r="X166" s="41">
        <f>IFERROR(X165/H165,"0")</f>
        <v>0</v>
      </c>
      <c r="Y166" s="41">
        <f>IFERROR(Y165/H165,"0")</f>
        <v>0</v>
      </c>
      <c r="Z166" s="41">
        <f>IFERROR(IF(Z165="",0,Z165),"0")</f>
        <v>0</v>
      </c>
      <c r="AA166" s="64"/>
      <c r="AB166" s="64"/>
      <c r="AC166" s="64"/>
    </row>
    <row r="167" spans="1:68" hidden="1" x14ac:dyDescent="0.2">
      <c r="A167" s="673"/>
      <c r="B167" s="673"/>
      <c r="C167" s="673"/>
      <c r="D167" s="673"/>
      <c r="E167" s="673"/>
      <c r="F167" s="673"/>
      <c r="G167" s="673"/>
      <c r="H167" s="673"/>
      <c r="I167" s="673"/>
      <c r="J167" s="673"/>
      <c r="K167" s="673"/>
      <c r="L167" s="673"/>
      <c r="M167" s="673"/>
      <c r="N167" s="673"/>
      <c r="O167" s="674"/>
      <c r="P167" s="670" t="s">
        <v>40</v>
      </c>
      <c r="Q167" s="671"/>
      <c r="R167" s="671"/>
      <c r="S167" s="671"/>
      <c r="T167" s="671"/>
      <c r="U167" s="671"/>
      <c r="V167" s="672"/>
      <c r="W167" s="40" t="s">
        <v>0</v>
      </c>
      <c r="X167" s="41">
        <f>IFERROR(SUM(X165:X165),"0")</f>
        <v>0</v>
      </c>
      <c r="Y167" s="41">
        <f>IFERROR(SUM(Y165:Y165),"0")</f>
        <v>0</v>
      </c>
      <c r="Z167" s="40"/>
      <c r="AA167" s="64"/>
      <c r="AB167" s="64"/>
      <c r="AC167" s="64"/>
    </row>
    <row r="168" spans="1:68" ht="14.25" hidden="1" customHeight="1" x14ac:dyDescent="0.25">
      <c r="A168" s="663" t="s">
        <v>77</v>
      </c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3"/>
      <c r="P168" s="663"/>
      <c r="Q168" s="663"/>
      <c r="R168" s="663"/>
      <c r="S168" s="663"/>
      <c r="T168" s="663"/>
      <c r="U168" s="663"/>
      <c r="V168" s="663"/>
      <c r="W168" s="663"/>
      <c r="X168" s="663"/>
      <c r="Y168" s="663"/>
      <c r="Z168" s="663"/>
      <c r="AA168" s="63"/>
      <c r="AB168" s="63"/>
      <c r="AC168" s="63"/>
    </row>
    <row r="169" spans="1:68" ht="27" hidden="1" customHeight="1" x14ac:dyDescent="0.25">
      <c r="A169" s="60" t="s">
        <v>300</v>
      </c>
      <c r="B169" s="60" t="s">
        <v>301</v>
      </c>
      <c r="C169" s="34">
        <v>4301031496</v>
      </c>
      <c r="D169" s="664">
        <v>4680115887428</v>
      </c>
      <c r="E169" s="664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158</v>
      </c>
      <c r="L169" s="35" t="s">
        <v>46</v>
      </c>
      <c r="M169" s="36" t="s">
        <v>83</v>
      </c>
      <c r="N169" s="36"/>
      <c r="O169" s="35">
        <v>40</v>
      </c>
      <c r="P169" s="74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66"/>
      <c r="R169" s="666"/>
      <c r="S169" s="666"/>
      <c r="T169" s="667"/>
      <c r="U169" s="37" t="s">
        <v>46</v>
      </c>
      <c r="V169" s="37" t="s">
        <v>46</v>
      </c>
      <c r="W169" s="38" t="s">
        <v>0</v>
      </c>
      <c r="X169" s="56"/>
      <c r="Y169" s="53">
        <f t="shared" ref="Y169:Y178" si="16">IFERROR(IF(X169="",0,CEILING((X169/$H169),1)*$H169),"")</f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302</v>
      </c>
      <c r="AG169" s="75"/>
      <c r="AJ169" s="79" t="s">
        <v>46</v>
      </c>
      <c r="AK169" s="79">
        <v>0</v>
      </c>
      <c r="BB169" s="230" t="s">
        <v>67</v>
      </c>
      <c r="BM169" s="75">
        <f t="shared" ref="BM169:BM178" si="17">IFERROR(X169*I169/H169,"0")</f>
        <v>0</v>
      </c>
      <c r="BN169" s="75">
        <f t="shared" ref="BN169:BN178" si="18">IFERROR(Y169*I169/H169,"0")</f>
        <v>0</v>
      </c>
      <c r="BO169" s="75">
        <f t="shared" ref="BO169:BO178" si="19">IFERROR(1/J169*(X169/H169),"0")</f>
        <v>0</v>
      </c>
      <c r="BP169" s="75">
        <f t="shared" ref="BP169:BP178" si="20">IFERROR(1/J169*(Y169/H169),"0")</f>
        <v>0</v>
      </c>
    </row>
    <row r="170" spans="1:68" ht="27" hidden="1" customHeight="1" x14ac:dyDescent="0.25">
      <c r="A170" s="60" t="s">
        <v>303</v>
      </c>
      <c r="B170" s="60" t="s">
        <v>304</v>
      </c>
      <c r="C170" s="34">
        <v>4301030963</v>
      </c>
      <c r="D170" s="664">
        <v>4607091382426</v>
      </c>
      <c r="E170" s="664"/>
      <c r="F170" s="59">
        <v>0.9</v>
      </c>
      <c r="G170" s="35">
        <v>10</v>
      </c>
      <c r="H170" s="59">
        <v>9</v>
      </c>
      <c r="I170" s="59">
        <v>9.56</v>
      </c>
      <c r="J170" s="35">
        <v>64</v>
      </c>
      <c r="K170" s="35" t="s">
        <v>151</v>
      </c>
      <c r="L170" s="35" t="s">
        <v>46</v>
      </c>
      <c r="M170" s="36" t="s">
        <v>83</v>
      </c>
      <c r="N170" s="36"/>
      <c r="O170" s="35">
        <v>40</v>
      </c>
      <c r="P170" s="74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66"/>
      <c r="R170" s="666"/>
      <c r="S170" s="666"/>
      <c r="T170" s="667"/>
      <c r="U170" s="37" t="s">
        <v>46</v>
      </c>
      <c r="V170" s="37" t="s">
        <v>46</v>
      </c>
      <c r="W170" s="38" t="s">
        <v>0</v>
      </c>
      <c r="X170" s="56"/>
      <c r="Y170" s="53">
        <f t="shared" si="16"/>
        <v>0</v>
      </c>
      <c r="Z170" s="39" t="str">
        <f>IFERROR(IF(Y170=0,"",ROUNDUP(Y170/H170,0)*0.01898),"")</f>
        <v/>
      </c>
      <c r="AA170" s="65" t="s">
        <v>46</v>
      </c>
      <c r="AB170" s="66" t="s">
        <v>46</v>
      </c>
      <c r="AC170" s="231" t="s">
        <v>305</v>
      </c>
      <c r="AG170" s="75"/>
      <c r="AJ170" s="79" t="s">
        <v>46</v>
      </c>
      <c r="AK170" s="79">
        <v>0</v>
      </c>
      <c r="BB170" s="232" t="s">
        <v>67</v>
      </c>
      <c r="BM170" s="75">
        <f t="shared" si="17"/>
        <v>0</v>
      </c>
      <c r="BN170" s="75">
        <f t="shared" si="18"/>
        <v>0</v>
      </c>
      <c r="BO170" s="75">
        <f t="shared" si="19"/>
        <v>0</v>
      </c>
      <c r="BP170" s="75">
        <f t="shared" si="20"/>
        <v>0</v>
      </c>
    </row>
    <row r="171" spans="1:68" ht="27" hidden="1" customHeight="1" x14ac:dyDescent="0.25">
      <c r="A171" s="60" t="s">
        <v>306</v>
      </c>
      <c r="B171" s="60" t="s">
        <v>307</v>
      </c>
      <c r="C171" s="34">
        <v>4301031498</v>
      </c>
      <c r="D171" s="664">
        <v>4680115887398</v>
      </c>
      <c r="E171" s="664"/>
      <c r="F171" s="59">
        <v>0.7</v>
      </c>
      <c r="G171" s="35">
        <v>5</v>
      </c>
      <c r="H171" s="59">
        <v>3.5</v>
      </c>
      <c r="I171" s="59">
        <v>3.69</v>
      </c>
      <c r="J171" s="35">
        <v>132</v>
      </c>
      <c r="K171" s="35" t="s">
        <v>158</v>
      </c>
      <c r="L171" s="35" t="s">
        <v>46</v>
      </c>
      <c r="M171" s="36" t="s">
        <v>83</v>
      </c>
      <c r="N171" s="36"/>
      <c r="O171" s="35">
        <v>40</v>
      </c>
      <c r="P171" s="74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66"/>
      <c r="R171" s="666"/>
      <c r="S171" s="666"/>
      <c r="T171" s="667"/>
      <c r="U171" s="37" t="s">
        <v>46</v>
      </c>
      <c r="V171" s="37" t="s">
        <v>46</v>
      </c>
      <c r="W171" s="38" t="s">
        <v>0</v>
      </c>
      <c r="X171" s="56"/>
      <c r="Y171" s="53">
        <f t="shared" si="16"/>
        <v>0</v>
      </c>
      <c r="Z171" s="39" t="str">
        <f>IFERROR(IF(Y171=0,"",ROUNDUP(Y171/H171,0)*0.00902),"")</f>
        <v/>
      </c>
      <c r="AA171" s="65" t="s">
        <v>46</v>
      </c>
      <c r="AB171" s="66" t="s">
        <v>46</v>
      </c>
      <c r="AC171" s="233" t="s">
        <v>308</v>
      </c>
      <c r="AG171" s="75"/>
      <c r="AJ171" s="79" t="s">
        <v>46</v>
      </c>
      <c r="AK171" s="79">
        <v>0</v>
      </c>
      <c r="BB171" s="234" t="s">
        <v>67</v>
      </c>
      <c r="BM171" s="75">
        <f t="shared" si="17"/>
        <v>0</v>
      </c>
      <c r="BN171" s="75">
        <f t="shared" si="18"/>
        <v>0</v>
      </c>
      <c r="BO171" s="75">
        <f t="shared" si="19"/>
        <v>0</v>
      </c>
      <c r="BP171" s="75">
        <f t="shared" si="20"/>
        <v>0</v>
      </c>
    </row>
    <row r="172" spans="1:68" ht="27" hidden="1" customHeight="1" x14ac:dyDescent="0.25">
      <c r="A172" s="60" t="s">
        <v>309</v>
      </c>
      <c r="B172" s="60" t="s">
        <v>310</v>
      </c>
      <c r="C172" s="34">
        <v>4301031497</v>
      </c>
      <c r="D172" s="664">
        <v>4680115887336</v>
      </c>
      <c r="E172" s="664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158</v>
      </c>
      <c r="L172" s="35" t="s">
        <v>46</v>
      </c>
      <c r="M172" s="36" t="s">
        <v>83</v>
      </c>
      <c r="N172" s="36"/>
      <c r="O172" s="35">
        <v>40</v>
      </c>
      <c r="P172" s="7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66"/>
      <c r="R172" s="666"/>
      <c r="S172" s="666"/>
      <c r="T172" s="667"/>
      <c r="U172" s="37" t="s">
        <v>46</v>
      </c>
      <c r="V172" s="37" t="s">
        <v>46</v>
      </c>
      <c r="W172" s="38" t="s">
        <v>0</v>
      </c>
      <c r="X172" s="56"/>
      <c r="Y172" s="53">
        <f t="shared" si="16"/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311</v>
      </c>
      <c r="AG172" s="75"/>
      <c r="AJ172" s="79" t="s">
        <v>46</v>
      </c>
      <c r="AK172" s="79">
        <v>0</v>
      </c>
      <c r="BB172" s="236" t="s">
        <v>67</v>
      </c>
      <c r="BM172" s="75">
        <f t="shared" si="17"/>
        <v>0</v>
      </c>
      <c r="BN172" s="75">
        <f t="shared" si="18"/>
        <v>0</v>
      </c>
      <c r="BO172" s="75">
        <f t="shared" si="19"/>
        <v>0</v>
      </c>
      <c r="BP172" s="75">
        <f t="shared" si="20"/>
        <v>0</v>
      </c>
    </row>
    <row r="173" spans="1:68" ht="16.5" hidden="1" customHeight="1" x14ac:dyDescent="0.25">
      <c r="A173" s="60" t="s">
        <v>312</v>
      </c>
      <c r="B173" s="60" t="s">
        <v>313</v>
      </c>
      <c r="C173" s="34">
        <v>4301032049</v>
      </c>
      <c r="D173" s="664">
        <v>4680115887787</v>
      </c>
      <c r="E173" s="664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155</v>
      </c>
      <c r="L173" s="35" t="s">
        <v>46</v>
      </c>
      <c r="M173" s="36" t="s">
        <v>83</v>
      </c>
      <c r="N173" s="36"/>
      <c r="O173" s="35">
        <v>45</v>
      </c>
      <c r="P173" s="7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66"/>
      <c r="R173" s="666"/>
      <c r="S173" s="666"/>
      <c r="T173" s="667"/>
      <c r="U173" s="37" t="s">
        <v>46</v>
      </c>
      <c r="V173" s="37" t="s">
        <v>46</v>
      </c>
      <c r="W173" s="38" t="s">
        <v>0</v>
      </c>
      <c r="X173" s="56"/>
      <c r="Y173" s="53">
        <f t="shared" si="16"/>
        <v>0</v>
      </c>
      <c r="Z173" s="39" t="str">
        <f>IFERROR(IF(Y173=0,"",ROUNDUP(Y173/H173,0)*0.00417),"")</f>
        <v/>
      </c>
      <c r="AA173" s="65" t="s">
        <v>46</v>
      </c>
      <c r="AB173" s="66" t="s">
        <v>46</v>
      </c>
      <c r="AC173" s="237" t="s">
        <v>314</v>
      </c>
      <c r="AG173" s="75"/>
      <c r="AJ173" s="79" t="s">
        <v>46</v>
      </c>
      <c r="AK173" s="79">
        <v>0</v>
      </c>
      <c r="BB173" s="238" t="s">
        <v>67</v>
      </c>
      <c r="BM173" s="75">
        <f t="shared" si="17"/>
        <v>0</v>
      </c>
      <c r="BN173" s="75">
        <f t="shared" si="18"/>
        <v>0</v>
      </c>
      <c r="BO173" s="75">
        <f t="shared" si="19"/>
        <v>0</v>
      </c>
      <c r="BP173" s="75">
        <f t="shared" si="20"/>
        <v>0</v>
      </c>
    </row>
    <row r="174" spans="1:68" ht="27" hidden="1" customHeight="1" x14ac:dyDescent="0.25">
      <c r="A174" s="60" t="s">
        <v>315</v>
      </c>
      <c r="B174" s="60" t="s">
        <v>316</v>
      </c>
      <c r="C174" s="34">
        <v>4301031448</v>
      </c>
      <c r="D174" s="664">
        <v>4680115887503</v>
      </c>
      <c r="E174" s="664"/>
      <c r="F174" s="59">
        <v>0.28000000000000003</v>
      </c>
      <c r="G174" s="35">
        <v>6</v>
      </c>
      <c r="H174" s="59">
        <v>1.68</v>
      </c>
      <c r="I174" s="59">
        <v>1.78</v>
      </c>
      <c r="J174" s="35">
        <v>234</v>
      </c>
      <c r="K174" s="35" t="s">
        <v>84</v>
      </c>
      <c r="L174" s="35" t="s">
        <v>46</v>
      </c>
      <c r="M174" s="36" t="s">
        <v>83</v>
      </c>
      <c r="N174" s="36"/>
      <c r="O174" s="35">
        <v>40</v>
      </c>
      <c r="P174" s="7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66"/>
      <c r="R174" s="666"/>
      <c r="S174" s="666"/>
      <c r="T174" s="667"/>
      <c r="U174" s="37" t="s">
        <v>46</v>
      </c>
      <c r="V174" s="37" t="s">
        <v>46</v>
      </c>
      <c r="W174" s="38" t="s">
        <v>0</v>
      </c>
      <c r="X174" s="56"/>
      <c r="Y174" s="53">
        <f t="shared" si="16"/>
        <v>0</v>
      </c>
      <c r="Z174" s="39" t="str">
        <f>IFERROR(IF(Y174=0,"",ROUNDUP(Y174/H174,0)*0.00502),"")</f>
        <v/>
      </c>
      <c r="AA174" s="65" t="s">
        <v>46</v>
      </c>
      <c r="AB174" s="66" t="s">
        <v>46</v>
      </c>
      <c r="AC174" s="239" t="s">
        <v>302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317</v>
      </c>
      <c r="B175" s="60" t="s">
        <v>318</v>
      </c>
      <c r="C175" s="34">
        <v>4301031389</v>
      </c>
      <c r="D175" s="664">
        <v>4680115887763</v>
      </c>
      <c r="E175" s="664"/>
      <c r="F175" s="59">
        <v>0.09</v>
      </c>
      <c r="G175" s="35">
        <v>10</v>
      </c>
      <c r="H175" s="59">
        <v>0.9</v>
      </c>
      <c r="I175" s="59">
        <v>1.1100000000000001</v>
      </c>
      <c r="J175" s="35">
        <v>336</v>
      </c>
      <c r="K175" s="35" t="s">
        <v>155</v>
      </c>
      <c r="L175" s="35" t="s">
        <v>46</v>
      </c>
      <c r="M175" s="36" t="s">
        <v>83</v>
      </c>
      <c r="N175" s="36"/>
      <c r="O175" s="35">
        <v>45</v>
      </c>
      <c r="P175" s="7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66"/>
      <c r="R175" s="666"/>
      <c r="S175" s="666"/>
      <c r="T175" s="667"/>
      <c r="U175" s="37" t="s">
        <v>46</v>
      </c>
      <c r="V175" s="37" t="s">
        <v>46</v>
      </c>
      <c r="W175" s="38" t="s">
        <v>0</v>
      </c>
      <c r="X175" s="56"/>
      <c r="Y175" s="53">
        <f t="shared" si="16"/>
        <v>0</v>
      </c>
      <c r="Z175" s="39" t="str">
        <f>IFERROR(IF(Y175=0,"",ROUNDUP(Y175/H175,0)*0.00417),"")</f>
        <v/>
      </c>
      <c r="AA175" s="65" t="s">
        <v>46</v>
      </c>
      <c r="AB175" s="66" t="s">
        <v>46</v>
      </c>
      <c r="AC175" s="241" t="s">
        <v>319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320</v>
      </c>
      <c r="B176" s="60" t="s">
        <v>321</v>
      </c>
      <c r="C176" s="34">
        <v>4301031454</v>
      </c>
      <c r="D176" s="664">
        <v>4680115887480</v>
      </c>
      <c r="E176" s="664"/>
      <c r="F176" s="59">
        <v>0.28000000000000003</v>
      </c>
      <c r="G176" s="35">
        <v>6</v>
      </c>
      <c r="H176" s="59">
        <v>1.68</v>
      </c>
      <c r="I176" s="59">
        <v>1.78</v>
      </c>
      <c r="J176" s="35">
        <v>234</v>
      </c>
      <c r="K176" s="35" t="s">
        <v>84</v>
      </c>
      <c r="L176" s="35" t="s">
        <v>46</v>
      </c>
      <c r="M176" s="36" t="s">
        <v>83</v>
      </c>
      <c r="N176" s="36"/>
      <c r="O176" s="35">
        <v>40</v>
      </c>
      <c r="P176" s="75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66"/>
      <c r="R176" s="666"/>
      <c r="S176" s="666"/>
      <c r="T176" s="667"/>
      <c r="U176" s="37" t="s">
        <v>46</v>
      </c>
      <c r="V176" s="37" t="s">
        <v>46</v>
      </c>
      <c r="W176" s="38" t="s">
        <v>0</v>
      </c>
      <c r="X176" s="56"/>
      <c r="Y176" s="53">
        <f t="shared" si="16"/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3" t="s">
        <v>308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322</v>
      </c>
      <c r="B177" s="60" t="s">
        <v>323</v>
      </c>
      <c r="C177" s="34">
        <v>4301031434</v>
      </c>
      <c r="D177" s="664">
        <v>4680115888067</v>
      </c>
      <c r="E177" s="664"/>
      <c r="F177" s="59">
        <v>0.09</v>
      </c>
      <c r="G177" s="35">
        <v>10</v>
      </c>
      <c r="H177" s="59">
        <v>0.9</v>
      </c>
      <c r="I177" s="59">
        <v>1</v>
      </c>
      <c r="J177" s="35">
        <v>336</v>
      </c>
      <c r="K177" s="35" t="s">
        <v>155</v>
      </c>
      <c r="L177" s="35" t="s">
        <v>46</v>
      </c>
      <c r="M177" s="36" t="s">
        <v>83</v>
      </c>
      <c r="N177" s="36"/>
      <c r="O177" s="35">
        <v>45</v>
      </c>
      <c r="P177" s="75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66"/>
      <c r="R177" s="666"/>
      <c r="S177" s="666"/>
      <c r="T177" s="667"/>
      <c r="U177" s="37" t="s">
        <v>46</v>
      </c>
      <c r="V177" s="37" t="s">
        <v>46</v>
      </c>
      <c r="W177" s="38" t="s">
        <v>0</v>
      </c>
      <c r="X177" s="56"/>
      <c r="Y177" s="53">
        <f t="shared" si="16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324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hidden="1" customHeight="1" x14ac:dyDescent="0.25">
      <c r="A178" s="60" t="s">
        <v>325</v>
      </c>
      <c r="B178" s="60" t="s">
        <v>326</v>
      </c>
      <c r="C178" s="34">
        <v>4301031451</v>
      </c>
      <c r="D178" s="664">
        <v>4680115887435</v>
      </c>
      <c r="E178" s="664"/>
      <c r="F178" s="59">
        <v>0.28000000000000003</v>
      </c>
      <c r="G178" s="35">
        <v>6</v>
      </c>
      <c r="H178" s="59">
        <v>1.68</v>
      </c>
      <c r="I178" s="59">
        <v>1.78</v>
      </c>
      <c r="J178" s="35">
        <v>234</v>
      </c>
      <c r="K178" s="35" t="s">
        <v>84</v>
      </c>
      <c r="L178" s="35" t="s">
        <v>46</v>
      </c>
      <c r="M178" s="36" t="s">
        <v>83</v>
      </c>
      <c r="N178" s="36"/>
      <c r="O178" s="35">
        <v>40</v>
      </c>
      <c r="P178" s="75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66"/>
      <c r="R178" s="666"/>
      <c r="S178" s="666"/>
      <c r="T178" s="667"/>
      <c r="U178" s="37" t="s">
        <v>46</v>
      </c>
      <c r="V178" s="37" t="s">
        <v>46</v>
      </c>
      <c r="W178" s="38" t="s">
        <v>0</v>
      </c>
      <c r="X178" s="56"/>
      <c r="Y178" s="53">
        <f t="shared" si="16"/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47" t="s">
        <v>311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idden="1" x14ac:dyDescent="0.2">
      <c r="A179" s="673"/>
      <c r="B179" s="673"/>
      <c r="C179" s="673"/>
      <c r="D179" s="673"/>
      <c r="E179" s="673"/>
      <c r="F179" s="673"/>
      <c r="G179" s="673"/>
      <c r="H179" s="673"/>
      <c r="I179" s="673"/>
      <c r="J179" s="673"/>
      <c r="K179" s="673"/>
      <c r="L179" s="673"/>
      <c r="M179" s="673"/>
      <c r="N179" s="673"/>
      <c r="O179" s="674"/>
      <c r="P179" s="670" t="s">
        <v>40</v>
      </c>
      <c r="Q179" s="671"/>
      <c r="R179" s="671"/>
      <c r="S179" s="671"/>
      <c r="T179" s="671"/>
      <c r="U179" s="671"/>
      <c r="V179" s="672"/>
      <c r="W179" s="40" t="s">
        <v>39</v>
      </c>
      <c r="X179" s="41">
        <f>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1">
        <f>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1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4"/>
      <c r="AB179" s="64"/>
      <c r="AC179" s="64"/>
    </row>
    <row r="180" spans="1:68" hidden="1" x14ac:dyDescent="0.2">
      <c r="A180" s="673"/>
      <c r="B180" s="673"/>
      <c r="C180" s="673"/>
      <c r="D180" s="673"/>
      <c r="E180" s="673"/>
      <c r="F180" s="673"/>
      <c r="G180" s="673"/>
      <c r="H180" s="673"/>
      <c r="I180" s="673"/>
      <c r="J180" s="673"/>
      <c r="K180" s="673"/>
      <c r="L180" s="673"/>
      <c r="M180" s="673"/>
      <c r="N180" s="673"/>
      <c r="O180" s="674"/>
      <c r="P180" s="670" t="s">
        <v>40</v>
      </c>
      <c r="Q180" s="671"/>
      <c r="R180" s="671"/>
      <c r="S180" s="671"/>
      <c r="T180" s="671"/>
      <c r="U180" s="671"/>
      <c r="V180" s="672"/>
      <c r="W180" s="40" t="s">
        <v>0</v>
      </c>
      <c r="X180" s="41">
        <f>IFERROR(SUM(X169:X178),"0")</f>
        <v>0</v>
      </c>
      <c r="Y180" s="41">
        <f>IFERROR(SUM(Y169:Y178),"0")</f>
        <v>0</v>
      </c>
      <c r="Z180" s="40"/>
      <c r="AA180" s="64"/>
      <c r="AB180" s="64"/>
      <c r="AC180" s="64"/>
    </row>
    <row r="181" spans="1:68" ht="14.25" hidden="1" customHeight="1" x14ac:dyDescent="0.25">
      <c r="A181" s="663" t="s">
        <v>92</v>
      </c>
      <c r="B181" s="663"/>
      <c r="C181" s="663"/>
      <c r="D181" s="663"/>
      <c r="E181" s="663"/>
      <c r="F181" s="663"/>
      <c r="G181" s="663"/>
      <c r="H181" s="663"/>
      <c r="I181" s="663"/>
      <c r="J181" s="663"/>
      <c r="K181" s="663"/>
      <c r="L181" s="663"/>
      <c r="M181" s="663"/>
      <c r="N181" s="663"/>
      <c r="O181" s="663"/>
      <c r="P181" s="663"/>
      <c r="Q181" s="663"/>
      <c r="R181" s="663"/>
      <c r="S181" s="663"/>
      <c r="T181" s="663"/>
      <c r="U181" s="663"/>
      <c r="V181" s="663"/>
      <c r="W181" s="663"/>
      <c r="X181" s="663"/>
      <c r="Y181" s="663"/>
      <c r="Z181" s="663"/>
      <c r="AA181" s="63"/>
      <c r="AB181" s="63"/>
      <c r="AC181" s="63"/>
    </row>
    <row r="182" spans="1:68" ht="27" hidden="1" customHeight="1" x14ac:dyDescent="0.25">
      <c r="A182" s="60" t="s">
        <v>327</v>
      </c>
      <c r="B182" s="60" t="s">
        <v>328</v>
      </c>
      <c r="C182" s="34">
        <v>4301052064</v>
      </c>
      <c r="D182" s="664">
        <v>4680115887459</v>
      </c>
      <c r="E182" s="664"/>
      <c r="F182" s="59">
        <v>0.3</v>
      </c>
      <c r="G182" s="35">
        <v>6</v>
      </c>
      <c r="H182" s="59">
        <v>1.8</v>
      </c>
      <c r="I182" s="59">
        <v>2.0579999999999998</v>
      </c>
      <c r="J182" s="35">
        <v>182</v>
      </c>
      <c r="K182" s="35" t="s">
        <v>88</v>
      </c>
      <c r="L182" s="35" t="s">
        <v>46</v>
      </c>
      <c r="M182" s="36" t="s">
        <v>96</v>
      </c>
      <c r="N182" s="36"/>
      <c r="O182" s="35">
        <v>45</v>
      </c>
      <c r="P182" s="7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2" s="666"/>
      <c r="R182" s="666"/>
      <c r="S182" s="666"/>
      <c r="T182" s="667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329</v>
      </c>
      <c r="AG182" s="75"/>
      <c r="AJ182" s="79" t="s">
        <v>46</v>
      </c>
      <c r="AK182" s="79">
        <v>0</v>
      </c>
      <c r="BB182" s="250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idden="1" x14ac:dyDescent="0.2">
      <c r="A183" s="673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70" t="s">
        <v>40</v>
      </c>
      <c r="Q183" s="671"/>
      <c r="R183" s="671"/>
      <c r="S183" s="671"/>
      <c r="T183" s="671"/>
      <c r="U183" s="671"/>
      <c r="V183" s="672"/>
      <c r="W183" s="40" t="s">
        <v>39</v>
      </c>
      <c r="X183" s="41">
        <f>IFERROR(X182/H182,"0")</f>
        <v>0</v>
      </c>
      <c r="Y183" s="41">
        <f>IFERROR(Y182/H182,"0")</f>
        <v>0</v>
      </c>
      <c r="Z183" s="41">
        <f>IFERROR(IF(Z182="",0,Z182),"0")</f>
        <v>0</v>
      </c>
      <c r="AA183" s="64"/>
      <c r="AB183" s="64"/>
      <c r="AC183" s="64"/>
    </row>
    <row r="184" spans="1:68" hidden="1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70" t="s">
        <v>40</v>
      </c>
      <c r="Q184" s="671"/>
      <c r="R184" s="671"/>
      <c r="S184" s="671"/>
      <c r="T184" s="671"/>
      <c r="U184" s="671"/>
      <c r="V184" s="672"/>
      <c r="W184" s="40" t="s">
        <v>0</v>
      </c>
      <c r="X184" s="41">
        <f>IFERROR(SUM(X182:X182),"0")</f>
        <v>0</v>
      </c>
      <c r="Y184" s="41">
        <f>IFERROR(SUM(Y182:Y182),"0")</f>
        <v>0</v>
      </c>
      <c r="Z184" s="40"/>
      <c r="AA184" s="64"/>
      <c r="AB184" s="64"/>
      <c r="AC184" s="64"/>
    </row>
    <row r="185" spans="1:68" ht="14.25" hidden="1" customHeight="1" x14ac:dyDescent="0.25">
      <c r="A185" s="663" t="s">
        <v>123</v>
      </c>
      <c r="B185" s="663"/>
      <c r="C185" s="663"/>
      <c r="D185" s="663"/>
      <c r="E185" s="663"/>
      <c r="F185" s="663"/>
      <c r="G185" s="663"/>
      <c r="H185" s="663"/>
      <c r="I185" s="663"/>
      <c r="J185" s="663"/>
      <c r="K185" s="663"/>
      <c r="L185" s="663"/>
      <c r="M185" s="663"/>
      <c r="N185" s="663"/>
      <c r="O185" s="663"/>
      <c r="P185" s="663"/>
      <c r="Q185" s="663"/>
      <c r="R185" s="663"/>
      <c r="S185" s="663"/>
      <c r="T185" s="663"/>
      <c r="U185" s="663"/>
      <c r="V185" s="663"/>
      <c r="W185" s="663"/>
      <c r="X185" s="663"/>
      <c r="Y185" s="663"/>
      <c r="Z185" s="663"/>
      <c r="AA185" s="63"/>
      <c r="AB185" s="63"/>
      <c r="AC185" s="63"/>
    </row>
    <row r="186" spans="1:68" ht="16.5" hidden="1" customHeight="1" x14ac:dyDescent="0.25">
      <c r="A186" s="60" t="s">
        <v>330</v>
      </c>
      <c r="B186" s="60" t="s">
        <v>331</v>
      </c>
      <c r="C186" s="34">
        <v>4301032058</v>
      </c>
      <c r="D186" s="664">
        <v>4680115889026</v>
      </c>
      <c r="E186" s="664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334</v>
      </c>
      <c r="L186" s="35" t="s">
        <v>46</v>
      </c>
      <c r="M186" s="36" t="s">
        <v>333</v>
      </c>
      <c r="N186" s="36"/>
      <c r="O186" s="35">
        <v>60</v>
      </c>
      <c r="P186" s="75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6" s="666"/>
      <c r="R186" s="666"/>
      <c r="S186" s="666"/>
      <c r="T186" s="667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332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4301032057</v>
      </c>
      <c r="D187" s="664">
        <v>4680115889088</v>
      </c>
      <c r="E187" s="664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334</v>
      </c>
      <c r="L187" s="35" t="s">
        <v>46</v>
      </c>
      <c r="M187" s="36" t="s">
        <v>333</v>
      </c>
      <c r="N187" s="36"/>
      <c r="O187" s="35">
        <v>45</v>
      </c>
      <c r="P187" s="75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7" s="666"/>
      <c r="R187" s="666"/>
      <c r="S187" s="666"/>
      <c r="T187" s="667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337</v>
      </c>
      <c r="AG187" s="75"/>
      <c r="AJ187" s="79" t="s">
        <v>46</v>
      </c>
      <c r="AK187" s="79">
        <v>0</v>
      </c>
      <c r="BB187" s="254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70" t="s">
        <v>40</v>
      </c>
      <c r="Q188" s="671"/>
      <c r="R188" s="671"/>
      <c r="S188" s="671"/>
      <c r="T188" s="671"/>
      <c r="U188" s="671"/>
      <c r="V188" s="672"/>
      <c r="W188" s="40" t="s">
        <v>39</v>
      </c>
      <c r="X188" s="41">
        <f>IFERROR(X186/H186,"0")+IFERROR(X187/H187,"0")</f>
        <v>0</v>
      </c>
      <c r="Y188" s="41">
        <f>IFERROR(Y186/H186,"0")+IFERROR(Y187/H187,"0")</f>
        <v>0</v>
      </c>
      <c r="Z188" s="41">
        <f>IFERROR(IF(Z186="",0,Z186),"0")+IFERROR(IF(Z187="",0,Z187),"0")</f>
        <v>0</v>
      </c>
      <c r="AA188" s="64"/>
      <c r="AB188" s="64"/>
      <c r="AC188" s="64"/>
    </row>
    <row r="189" spans="1:68" hidden="1" x14ac:dyDescent="0.2">
      <c r="A189" s="673"/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4"/>
      <c r="P189" s="670" t="s">
        <v>40</v>
      </c>
      <c r="Q189" s="671"/>
      <c r="R189" s="671"/>
      <c r="S189" s="671"/>
      <c r="T189" s="671"/>
      <c r="U189" s="671"/>
      <c r="V189" s="672"/>
      <c r="W189" s="40" t="s">
        <v>0</v>
      </c>
      <c r="X189" s="41">
        <f>IFERROR(SUM(X186:X187),"0")</f>
        <v>0</v>
      </c>
      <c r="Y189" s="41">
        <f>IFERROR(SUM(Y186:Y187),"0")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63" t="s">
        <v>338</v>
      </c>
      <c r="B190" s="663"/>
      <c r="C190" s="663"/>
      <c r="D190" s="663"/>
      <c r="E190" s="663"/>
      <c r="F190" s="663"/>
      <c r="G190" s="663"/>
      <c r="H190" s="663"/>
      <c r="I190" s="663"/>
      <c r="J190" s="663"/>
      <c r="K190" s="663"/>
      <c r="L190" s="663"/>
      <c r="M190" s="663"/>
      <c r="N190" s="663"/>
      <c r="O190" s="663"/>
      <c r="P190" s="663"/>
      <c r="Q190" s="663"/>
      <c r="R190" s="663"/>
      <c r="S190" s="663"/>
      <c r="T190" s="663"/>
      <c r="U190" s="663"/>
      <c r="V190" s="663"/>
      <c r="W190" s="663"/>
      <c r="X190" s="663"/>
      <c r="Y190" s="663"/>
      <c r="Z190" s="663"/>
      <c r="AA190" s="63"/>
      <c r="AB190" s="63"/>
      <c r="AC190" s="63"/>
    </row>
    <row r="191" spans="1:68" ht="27" hidden="1" customHeight="1" x14ac:dyDescent="0.25">
      <c r="A191" s="60" t="s">
        <v>339</v>
      </c>
      <c r="B191" s="60" t="s">
        <v>340</v>
      </c>
      <c r="C191" s="34">
        <v>4301041009</v>
      </c>
      <c r="D191" s="664">
        <v>4680115889033</v>
      </c>
      <c r="E191" s="664"/>
      <c r="F191" s="59">
        <v>0.11</v>
      </c>
      <c r="G191" s="35">
        <v>15</v>
      </c>
      <c r="H191" s="59">
        <v>1.65</v>
      </c>
      <c r="I191" s="59">
        <v>1.9</v>
      </c>
      <c r="J191" s="35">
        <v>216</v>
      </c>
      <c r="K191" s="35" t="s">
        <v>334</v>
      </c>
      <c r="L191" s="35" t="s">
        <v>46</v>
      </c>
      <c r="M191" s="36" t="s">
        <v>333</v>
      </c>
      <c r="N191" s="36"/>
      <c r="O191" s="35">
        <v>60</v>
      </c>
      <c r="P191" s="75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1" s="666"/>
      <c r="R191" s="666"/>
      <c r="S191" s="666"/>
      <c r="T191" s="66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46</v>
      </c>
      <c r="AB191" s="66" t="s">
        <v>46</v>
      </c>
      <c r="AC191" s="255" t="s">
        <v>341</v>
      </c>
      <c r="AG191" s="75"/>
      <c r="AJ191" s="79" t="s">
        <v>46</v>
      </c>
      <c r="AK191" s="79">
        <v>0</v>
      </c>
      <c r="BB191" s="256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73"/>
      <c r="B192" s="673"/>
      <c r="C192" s="673"/>
      <c r="D192" s="673"/>
      <c r="E192" s="673"/>
      <c r="F192" s="673"/>
      <c r="G192" s="673"/>
      <c r="H192" s="673"/>
      <c r="I192" s="673"/>
      <c r="J192" s="673"/>
      <c r="K192" s="673"/>
      <c r="L192" s="673"/>
      <c r="M192" s="673"/>
      <c r="N192" s="673"/>
      <c r="O192" s="674"/>
      <c r="P192" s="670" t="s">
        <v>40</v>
      </c>
      <c r="Q192" s="671"/>
      <c r="R192" s="671"/>
      <c r="S192" s="671"/>
      <c r="T192" s="671"/>
      <c r="U192" s="671"/>
      <c r="V192" s="672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hidden="1" x14ac:dyDescent="0.2">
      <c r="A193" s="673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70" t="s">
        <v>40</v>
      </c>
      <c r="Q193" s="671"/>
      <c r="R193" s="671"/>
      <c r="S193" s="671"/>
      <c r="T193" s="671"/>
      <c r="U193" s="671"/>
      <c r="V193" s="672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27.75" hidden="1" customHeight="1" x14ac:dyDescent="0.2">
      <c r="A194" s="661" t="s">
        <v>342</v>
      </c>
      <c r="B194" s="661"/>
      <c r="C194" s="661"/>
      <c r="D194" s="661"/>
      <c r="E194" s="661"/>
      <c r="F194" s="661"/>
      <c r="G194" s="661"/>
      <c r="H194" s="661"/>
      <c r="I194" s="661"/>
      <c r="J194" s="661"/>
      <c r="K194" s="661"/>
      <c r="L194" s="661"/>
      <c r="M194" s="661"/>
      <c r="N194" s="661"/>
      <c r="O194" s="661"/>
      <c r="P194" s="661"/>
      <c r="Q194" s="661"/>
      <c r="R194" s="661"/>
      <c r="S194" s="661"/>
      <c r="T194" s="661"/>
      <c r="U194" s="661"/>
      <c r="V194" s="661"/>
      <c r="W194" s="661"/>
      <c r="X194" s="661"/>
      <c r="Y194" s="661"/>
      <c r="Z194" s="661"/>
      <c r="AA194" s="52"/>
      <c r="AB194" s="52"/>
      <c r="AC194" s="52"/>
    </row>
    <row r="195" spans="1:68" ht="16.5" hidden="1" customHeight="1" x14ac:dyDescent="0.25">
      <c r="A195" s="662" t="s">
        <v>343</v>
      </c>
      <c r="B195" s="662"/>
      <c r="C195" s="662"/>
      <c r="D195" s="662"/>
      <c r="E195" s="662"/>
      <c r="F195" s="662"/>
      <c r="G195" s="662"/>
      <c r="H195" s="662"/>
      <c r="I195" s="662"/>
      <c r="J195" s="662"/>
      <c r="K195" s="662"/>
      <c r="L195" s="662"/>
      <c r="M195" s="662"/>
      <c r="N195" s="662"/>
      <c r="O195" s="662"/>
      <c r="P195" s="662"/>
      <c r="Q195" s="662"/>
      <c r="R195" s="662"/>
      <c r="S195" s="662"/>
      <c r="T195" s="662"/>
      <c r="U195" s="662"/>
      <c r="V195" s="662"/>
      <c r="W195" s="662"/>
      <c r="X195" s="662"/>
      <c r="Y195" s="662"/>
      <c r="Z195" s="662"/>
      <c r="AA195" s="62"/>
      <c r="AB195" s="62"/>
      <c r="AC195" s="62"/>
    </row>
    <row r="196" spans="1:68" ht="14.25" hidden="1" customHeight="1" x14ac:dyDescent="0.25">
      <c r="A196" s="663" t="s">
        <v>146</v>
      </c>
      <c r="B196" s="663"/>
      <c r="C196" s="663"/>
      <c r="D196" s="663"/>
      <c r="E196" s="663"/>
      <c r="F196" s="663"/>
      <c r="G196" s="663"/>
      <c r="H196" s="663"/>
      <c r="I196" s="663"/>
      <c r="J196" s="663"/>
      <c r="K196" s="663"/>
      <c r="L196" s="663"/>
      <c r="M196" s="663"/>
      <c r="N196" s="663"/>
      <c r="O196" s="663"/>
      <c r="P196" s="663"/>
      <c r="Q196" s="663"/>
      <c r="R196" s="663"/>
      <c r="S196" s="663"/>
      <c r="T196" s="663"/>
      <c r="U196" s="663"/>
      <c r="V196" s="663"/>
      <c r="W196" s="663"/>
      <c r="X196" s="663"/>
      <c r="Y196" s="663"/>
      <c r="Z196" s="663"/>
      <c r="AA196" s="63"/>
      <c r="AB196" s="63"/>
      <c r="AC196" s="63"/>
    </row>
    <row r="197" spans="1:68" ht="27" hidden="1" customHeight="1" x14ac:dyDescent="0.25">
      <c r="A197" s="60" t="s">
        <v>344</v>
      </c>
      <c r="B197" s="60" t="s">
        <v>345</v>
      </c>
      <c r="C197" s="34">
        <v>4301011223</v>
      </c>
      <c r="D197" s="664">
        <v>4607091383423</v>
      </c>
      <c r="E197" s="664"/>
      <c r="F197" s="59">
        <v>1.35</v>
      </c>
      <c r="G197" s="35">
        <v>8</v>
      </c>
      <c r="H197" s="59">
        <v>10.8</v>
      </c>
      <c r="I197" s="59">
        <v>11.305999999999999</v>
      </c>
      <c r="J197" s="35">
        <v>64</v>
      </c>
      <c r="K197" s="35" t="s">
        <v>151</v>
      </c>
      <c r="L197" s="35" t="s">
        <v>46</v>
      </c>
      <c r="M197" s="36" t="s">
        <v>96</v>
      </c>
      <c r="N197" s="36"/>
      <c r="O197" s="35">
        <v>35</v>
      </c>
      <c r="P197" s="76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7" s="666"/>
      <c r="R197" s="666"/>
      <c r="S197" s="666"/>
      <c r="T197" s="66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149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37.5" hidden="1" customHeight="1" x14ac:dyDescent="0.25">
      <c r="A198" s="60" t="s">
        <v>346</v>
      </c>
      <c r="B198" s="60" t="s">
        <v>347</v>
      </c>
      <c r="C198" s="34">
        <v>4301012199</v>
      </c>
      <c r="D198" s="664">
        <v>4680115886957</v>
      </c>
      <c r="E198" s="664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151</v>
      </c>
      <c r="L198" s="35" t="s">
        <v>46</v>
      </c>
      <c r="M198" s="36" t="s">
        <v>96</v>
      </c>
      <c r="N198" s="36"/>
      <c r="O198" s="35">
        <v>30</v>
      </c>
      <c r="P198" s="761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8" s="666"/>
      <c r="R198" s="666"/>
      <c r="S198" s="666"/>
      <c r="T198" s="66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348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349</v>
      </c>
      <c r="B199" s="60" t="s">
        <v>350</v>
      </c>
      <c r="C199" s="34">
        <v>4301012098</v>
      </c>
      <c r="D199" s="664">
        <v>4680115885660</v>
      </c>
      <c r="E199" s="664"/>
      <c r="F199" s="59">
        <v>1.35</v>
      </c>
      <c r="G199" s="35">
        <v>8</v>
      </c>
      <c r="H199" s="59">
        <v>10.8</v>
      </c>
      <c r="I199" s="59">
        <v>11.21</v>
      </c>
      <c r="J199" s="35">
        <v>64</v>
      </c>
      <c r="K199" s="35" t="s">
        <v>151</v>
      </c>
      <c r="L199" s="35" t="s">
        <v>46</v>
      </c>
      <c r="M199" s="36" t="s">
        <v>96</v>
      </c>
      <c r="N199" s="36"/>
      <c r="O199" s="35">
        <v>35</v>
      </c>
      <c r="P199" s="76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9" s="666"/>
      <c r="R199" s="666"/>
      <c r="S199" s="666"/>
      <c r="T199" s="667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351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27" hidden="1" customHeight="1" x14ac:dyDescent="0.25">
      <c r="A200" s="60" t="s">
        <v>352</v>
      </c>
      <c r="B200" s="60" t="s">
        <v>353</v>
      </c>
      <c r="C200" s="34">
        <v>4301012176</v>
      </c>
      <c r="D200" s="664">
        <v>4680115886773</v>
      </c>
      <c r="E200" s="664"/>
      <c r="F200" s="59">
        <v>0.9</v>
      </c>
      <c r="G200" s="35">
        <v>10</v>
      </c>
      <c r="H200" s="59">
        <v>9</v>
      </c>
      <c r="I200" s="59">
        <v>9.41</v>
      </c>
      <c r="J200" s="35">
        <v>64</v>
      </c>
      <c r="K200" s="35" t="s">
        <v>151</v>
      </c>
      <c r="L200" s="35" t="s">
        <v>46</v>
      </c>
      <c r="M200" s="36" t="s">
        <v>150</v>
      </c>
      <c r="N200" s="36"/>
      <c r="O200" s="35">
        <v>31</v>
      </c>
      <c r="P200" s="763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0" s="666"/>
      <c r="R200" s="666"/>
      <c r="S200" s="666"/>
      <c r="T200" s="667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IFERROR(IF(Y200=0,"",ROUNDUP(Y200/H200,0)*0.01898),"")</f>
        <v/>
      </c>
      <c r="AA200" s="65" t="s">
        <v>46</v>
      </c>
      <c r="AB200" s="66" t="s">
        <v>46</v>
      </c>
      <c r="AC200" s="263" t="s">
        <v>354</v>
      </c>
      <c r="AG200" s="75"/>
      <c r="AJ200" s="79" t="s">
        <v>46</v>
      </c>
      <c r="AK200" s="79">
        <v>0</v>
      </c>
      <c r="BB200" s="26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">
      <c r="A201" s="673"/>
      <c r="B201" s="673"/>
      <c r="C201" s="673"/>
      <c r="D201" s="673"/>
      <c r="E201" s="673"/>
      <c r="F201" s="673"/>
      <c r="G201" s="673"/>
      <c r="H201" s="673"/>
      <c r="I201" s="673"/>
      <c r="J201" s="673"/>
      <c r="K201" s="673"/>
      <c r="L201" s="673"/>
      <c r="M201" s="673"/>
      <c r="N201" s="673"/>
      <c r="O201" s="674"/>
      <c r="P201" s="670" t="s">
        <v>40</v>
      </c>
      <c r="Q201" s="671"/>
      <c r="R201" s="671"/>
      <c r="S201" s="671"/>
      <c r="T201" s="671"/>
      <c r="U201" s="671"/>
      <c r="V201" s="672"/>
      <c r="W201" s="40" t="s">
        <v>39</v>
      </c>
      <c r="X201" s="41">
        <f>IFERROR(X197/H197,"0")+IFERROR(X198/H198,"0")+IFERROR(X199/H199,"0")+IFERROR(X200/H200,"0")</f>
        <v>0</v>
      </c>
      <c r="Y201" s="41">
        <f>IFERROR(Y197/H197,"0")+IFERROR(Y198/H198,"0")+IFERROR(Y199/H199,"0")+IFERROR(Y200/H200,"0")</f>
        <v>0</v>
      </c>
      <c r="Z201" s="41">
        <f>IFERROR(IF(Z197="",0,Z197),"0")+IFERROR(IF(Z198="",0,Z198),"0")+IFERROR(IF(Z199="",0,Z199),"0")+IFERROR(IF(Z200="",0,Z200),"0")</f>
        <v>0</v>
      </c>
      <c r="AA201" s="64"/>
      <c r="AB201" s="64"/>
      <c r="AC201" s="64"/>
    </row>
    <row r="202" spans="1:68" hidden="1" x14ac:dyDescent="0.2">
      <c r="A202" s="673"/>
      <c r="B202" s="673"/>
      <c r="C202" s="673"/>
      <c r="D202" s="673"/>
      <c r="E202" s="673"/>
      <c r="F202" s="673"/>
      <c r="G202" s="673"/>
      <c r="H202" s="673"/>
      <c r="I202" s="673"/>
      <c r="J202" s="673"/>
      <c r="K202" s="673"/>
      <c r="L202" s="673"/>
      <c r="M202" s="673"/>
      <c r="N202" s="673"/>
      <c r="O202" s="674"/>
      <c r="P202" s="670" t="s">
        <v>40</v>
      </c>
      <c r="Q202" s="671"/>
      <c r="R202" s="671"/>
      <c r="S202" s="671"/>
      <c r="T202" s="671"/>
      <c r="U202" s="671"/>
      <c r="V202" s="672"/>
      <c r="W202" s="40" t="s">
        <v>0</v>
      </c>
      <c r="X202" s="41">
        <f>IFERROR(SUM(X197:X200),"0")</f>
        <v>0</v>
      </c>
      <c r="Y202" s="41">
        <f>IFERROR(SUM(Y197:Y200),"0")</f>
        <v>0</v>
      </c>
      <c r="Z202" s="40"/>
      <c r="AA202" s="64"/>
      <c r="AB202" s="64"/>
      <c r="AC202" s="64"/>
    </row>
    <row r="203" spans="1:68" ht="16.5" hidden="1" customHeight="1" x14ac:dyDescent="0.25">
      <c r="A203" s="662" t="s">
        <v>355</v>
      </c>
      <c r="B203" s="662"/>
      <c r="C203" s="662"/>
      <c r="D203" s="662"/>
      <c r="E203" s="662"/>
      <c r="F203" s="662"/>
      <c r="G203" s="662"/>
      <c r="H203" s="662"/>
      <c r="I203" s="662"/>
      <c r="J203" s="662"/>
      <c r="K203" s="662"/>
      <c r="L203" s="662"/>
      <c r="M203" s="662"/>
      <c r="N203" s="662"/>
      <c r="O203" s="662"/>
      <c r="P203" s="662"/>
      <c r="Q203" s="662"/>
      <c r="R203" s="662"/>
      <c r="S203" s="662"/>
      <c r="T203" s="662"/>
      <c r="U203" s="662"/>
      <c r="V203" s="662"/>
      <c r="W203" s="662"/>
      <c r="X203" s="662"/>
      <c r="Y203" s="662"/>
      <c r="Z203" s="662"/>
      <c r="AA203" s="62"/>
      <c r="AB203" s="62"/>
      <c r="AC203" s="62"/>
    </row>
    <row r="204" spans="1:68" ht="14.25" hidden="1" customHeight="1" x14ac:dyDescent="0.25">
      <c r="A204" s="663" t="s">
        <v>180</v>
      </c>
      <c r="B204" s="663"/>
      <c r="C204" s="663"/>
      <c r="D204" s="663"/>
      <c r="E204" s="663"/>
      <c r="F204" s="663"/>
      <c r="G204" s="663"/>
      <c r="H204" s="663"/>
      <c r="I204" s="663"/>
      <c r="J204" s="663"/>
      <c r="K204" s="663"/>
      <c r="L204" s="663"/>
      <c r="M204" s="663"/>
      <c r="N204" s="663"/>
      <c r="O204" s="663"/>
      <c r="P204" s="663"/>
      <c r="Q204" s="663"/>
      <c r="R204" s="663"/>
      <c r="S204" s="663"/>
      <c r="T204" s="663"/>
      <c r="U204" s="663"/>
      <c r="V204" s="663"/>
      <c r="W204" s="663"/>
      <c r="X204" s="663"/>
      <c r="Y204" s="663"/>
      <c r="Z204" s="663"/>
      <c r="AA204" s="63"/>
      <c r="AB204" s="63"/>
      <c r="AC204" s="63"/>
    </row>
    <row r="205" spans="1:68" ht="27" hidden="1" customHeight="1" x14ac:dyDescent="0.25">
      <c r="A205" s="60" t="s">
        <v>356</v>
      </c>
      <c r="B205" s="60" t="s">
        <v>357</v>
      </c>
      <c r="C205" s="34">
        <v>4301020323</v>
      </c>
      <c r="D205" s="664">
        <v>4680115886223</v>
      </c>
      <c r="E205" s="664"/>
      <c r="F205" s="59">
        <v>0.33</v>
      </c>
      <c r="G205" s="35">
        <v>6</v>
      </c>
      <c r="H205" s="59">
        <v>1.98</v>
      </c>
      <c r="I205" s="59">
        <v>2.08</v>
      </c>
      <c r="J205" s="35">
        <v>234</v>
      </c>
      <c r="K205" s="35" t="s">
        <v>84</v>
      </c>
      <c r="L205" s="35" t="s">
        <v>46</v>
      </c>
      <c r="M205" s="36" t="s">
        <v>83</v>
      </c>
      <c r="N205" s="36"/>
      <c r="O205" s="35">
        <v>40</v>
      </c>
      <c r="P205" s="76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5" s="666"/>
      <c r="R205" s="666"/>
      <c r="S205" s="666"/>
      <c r="T205" s="667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IFERROR(IF(Y205=0,"",ROUNDUP(Y205/H205,0)*0.00502),"")</f>
        <v/>
      </c>
      <c r="AA205" s="65" t="s">
        <v>46</v>
      </c>
      <c r="AB205" s="66" t="s">
        <v>46</v>
      </c>
      <c r="AC205" s="265" t="s">
        <v>358</v>
      </c>
      <c r="AG205" s="75"/>
      <c r="AJ205" s="79" t="s">
        <v>46</v>
      </c>
      <c r="AK205" s="79">
        <v>0</v>
      </c>
      <c r="BB205" s="266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673"/>
      <c r="B206" s="673"/>
      <c r="C206" s="673"/>
      <c r="D206" s="673"/>
      <c r="E206" s="673"/>
      <c r="F206" s="673"/>
      <c r="G206" s="673"/>
      <c r="H206" s="673"/>
      <c r="I206" s="673"/>
      <c r="J206" s="673"/>
      <c r="K206" s="673"/>
      <c r="L206" s="673"/>
      <c r="M206" s="673"/>
      <c r="N206" s="673"/>
      <c r="O206" s="674"/>
      <c r="P206" s="670" t="s">
        <v>40</v>
      </c>
      <c r="Q206" s="671"/>
      <c r="R206" s="671"/>
      <c r="S206" s="671"/>
      <c r="T206" s="671"/>
      <c r="U206" s="671"/>
      <c r="V206" s="672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673"/>
      <c r="B207" s="673"/>
      <c r="C207" s="673"/>
      <c r="D207" s="673"/>
      <c r="E207" s="673"/>
      <c r="F207" s="673"/>
      <c r="G207" s="673"/>
      <c r="H207" s="673"/>
      <c r="I207" s="673"/>
      <c r="J207" s="673"/>
      <c r="K207" s="673"/>
      <c r="L207" s="673"/>
      <c r="M207" s="673"/>
      <c r="N207" s="673"/>
      <c r="O207" s="674"/>
      <c r="P207" s="670" t="s">
        <v>40</v>
      </c>
      <c r="Q207" s="671"/>
      <c r="R207" s="671"/>
      <c r="S207" s="671"/>
      <c r="T207" s="671"/>
      <c r="U207" s="671"/>
      <c r="V207" s="672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14.25" hidden="1" customHeight="1" x14ac:dyDescent="0.25">
      <c r="A208" s="663" t="s">
        <v>77</v>
      </c>
      <c r="B208" s="663"/>
      <c r="C208" s="663"/>
      <c r="D208" s="663"/>
      <c r="E208" s="663"/>
      <c r="F208" s="663"/>
      <c r="G208" s="663"/>
      <c r="H208" s="663"/>
      <c r="I208" s="663"/>
      <c r="J208" s="663"/>
      <c r="K208" s="663"/>
      <c r="L208" s="663"/>
      <c r="M208" s="663"/>
      <c r="N208" s="663"/>
      <c r="O208" s="663"/>
      <c r="P208" s="663"/>
      <c r="Q208" s="663"/>
      <c r="R208" s="663"/>
      <c r="S208" s="663"/>
      <c r="T208" s="663"/>
      <c r="U208" s="663"/>
      <c r="V208" s="663"/>
      <c r="W208" s="663"/>
      <c r="X208" s="663"/>
      <c r="Y208" s="663"/>
      <c r="Z208" s="663"/>
      <c r="AA208" s="63"/>
      <c r="AB208" s="63"/>
      <c r="AC208" s="63"/>
    </row>
    <row r="209" spans="1:68" ht="27" customHeight="1" x14ac:dyDescent="0.25">
      <c r="A209" s="60" t="s">
        <v>359</v>
      </c>
      <c r="B209" s="60" t="s">
        <v>360</v>
      </c>
      <c r="C209" s="34">
        <v>4301031191</v>
      </c>
      <c r="D209" s="664">
        <v>4680115880993</v>
      </c>
      <c r="E209" s="664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158</v>
      </c>
      <c r="L209" s="35" t="s">
        <v>46</v>
      </c>
      <c r="M209" s="36" t="s">
        <v>83</v>
      </c>
      <c r="N209" s="36"/>
      <c r="O209" s="35">
        <v>40</v>
      </c>
      <c r="P209" s="76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9" s="666"/>
      <c r="R209" s="666"/>
      <c r="S209" s="666"/>
      <c r="T209" s="667"/>
      <c r="U209" s="37" t="s">
        <v>46</v>
      </c>
      <c r="V209" s="37" t="s">
        <v>46</v>
      </c>
      <c r="W209" s="38" t="s">
        <v>0</v>
      </c>
      <c r="X209" s="56">
        <v>250</v>
      </c>
      <c r="Y209" s="53">
        <f t="shared" ref="Y209:Y222" si="21">IFERROR(IF(X209="",0,CEILING((X209/$H209),1)*$H209),"")</f>
        <v>252</v>
      </c>
      <c r="Z209" s="39">
        <f>IFERROR(IF(Y209=0,"",ROUNDUP(Y209/H209,0)*0.00902),"")</f>
        <v>0.54120000000000001</v>
      </c>
      <c r="AA209" s="65" t="s">
        <v>46</v>
      </c>
      <c r="AB209" s="66" t="s">
        <v>46</v>
      </c>
      <c r="AC209" s="267" t="s">
        <v>361</v>
      </c>
      <c r="AG209" s="75"/>
      <c r="AJ209" s="79" t="s">
        <v>46</v>
      </c>
      <c r="AK209" s="79">
        <v>0</v>
      </c>
      <c r="BB209" s="268" t="s">
        <v>67</v>
      </c>
      <c r="BM209" s="75">
        <f t="shared" ref="BM209:BM222" si="22">IFERROR(X209*I209/H209,"0")</f>
        <v>264.88095238095235</v>
      </c>
      <c r="BN209" s="75">
        <f t="shared" ref="BN209:BN222" si="23">IFERROR(Y209*I209/H209,"0")</f>
        <v>267</v>
      </c>
      <c r="BO209" s="75">
        <f t="shared" ref="BO209:BO222" si="24">IFERROR(1/J209*(X209/H209),"0")</f>
        <v>0.45093795093795092</v>
      </c>
      <c r="BP209" s="75">
        <f t="shared" ref="BP209:BP222" si="25">IFERROR(1/J209*(Y209/H209),"0")</f>
        <v>0.45454545454545459</v>
      </c>
    </row>
    <row r="210" spans="1:68" ht="27" hidden="1" customHeight="1" x14ac:dyDescent="0.25">
      <c r="A210" s="60" t="s">
        <v>362</v>
      </c>
      <c r="B210" s="60" t="s">
        <v>363</v>
      </c>
      <c r="C210" s="34">
        <v>4301031204</v>
      </c>
      <c r="D210" s="664">
        <v>4680115881761</v>
      </c>
      <c r="E210" s="664"/>
      <c r="F210" s="59">
        <v>0.7</v>
      </c>
      <c r="G210" s="35">
        <v>6</v>
      </c>
      <c r="H210" s="59">
        <v>4.2</v>
      </c>
      <c r="I210" s="59">
        <v>4.45</v>
      </c>
      <c r="J210" s="35">
        <v>132</v>
      </c>
      <c r="K210" s="35" t="s">
        <v>158</v>
      </c>
      <c r="L210" s="35" t="s">
        <v>46</v>
      </c>
      <c r="M210" s="36" t="s">
        <v>83</v>
      </c>
      <c r="N210" s="36"/>
      <c r="O210" s="35">
        <v>40</v>
      </c>
      <c r="P210" s="76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0" s="666"/>
      <c r="R210" s="666"/>
      <c r="S210" s="666"/>
      <c r="T210" s="667"/>
      <c r="U210" s="37" t="s">
        <v>46</v>
      </c>
      <c r="V210" s="37" t="s">
        <v>46</v>
      </c>
      <c r="W210" s="38" t="s">
        <v>0</v>
      </c>
      <c r="X210" s="56"/>
      <c r="Y210" s="53">
        <f t="shared" si="21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364</v>
      </c>
      <c r="AG210" s="75"/>
      <c r="AJ210" s="79" t="s">
        <v>46</v>
      </c>
      <c r="AK210" s="79">
        <v>0</v>
      </c>
      <c r="BB210" s="270" t="s">
        <v>67</v>
      </c>
      <c r="BM210" s="75">
        <f t="shared" si="22"/>
        <v>0</v>
      </c>
      <c r="BN210" s="75">
        <f t="shared" si="23"/>
        <v>0</v>
      </c>
      <c r="BO210" s="75">
        <f t="shared" si="24"/>
        <v>0</v>
      </c>
      <c r="BP210" s="75">
        <f t="shared" si="25"/>
        <v>0</v>
      </c>
    </row>
    <row r="211" spans="1:68" ht="27" customHeight="1" x14ac:dyDescent="0.25">
      <c r="A211" s="60" t="s">
        <v>365</v>
      </c>
      <c r="B211" s="60" t="s">
        <v>366</v>
      </c>
      <c r="C211" s="34">
        <v>4301031201</v>
      </c>
      <c r="D211" s="664">
        <v>4680115881563</v>
      </c>
      <c r="E211" s="664"/>
      <c r="F211" s="59">
        <v>0.7</v>
      </c>
      <c r="G211" s="35">
        <v>6</v>
      </c>
      <c r="H211" s="59">
        <v>4.2</v>
      </c>
      <c r="I211" s="59">
        <v>4.3899999999999997</v>
      </c>
      <c r="J211" s="35">
        <v>132</v>
      </c>
      <c r="K211" s="35" t="s">
        <v>158</v>
      </c>
      <c r="L211" s="35" t="s">
        <v>46</v>
      </c>
      <c r="M211" s="36" t="s">
        <v>83</v>
      </c>
      <c r="N211" s="36"/>
      <c r="O211" s="35">
        <v>40</v>
      </c>
      <c r="P211" s="76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1" s="666"/>
      <c r="R211" s="666"/>
      <c r="S211" s="666"/>
      <c r="T211" s="667"/>
      <c r="U211" s="37" t="s">
        <v>46</v>
      </c>
      <c r="V211" s="37" t="s">
        <v>46</v>
      </c>
      <c r="W211" s="38" t="s">
        <v>0</v>
      </c>
      <c r="X211" s="56">
        <v>40</v>
      </c>
      <c r="Y211" s="53">
        <f t="shared" si="21"/>
        <v>42</v>
      </c>
      <c r="Z211" s="39">
        <f>IFERROR(IF(Y211=0,"",ROUNDUP(Y211/H211,0)*0.00902),"")</f>
        <v>9.0200000000000002E-2</v>
      </c>
      <c r="AA211" s="65" t="s">
        <v>46</v>
      </c>
      <c r="AB211" s="66" t="s">
        <v>46</v>
      </c>
      <c r="AC211" s="271" t="s">
        <v>367</v>
      </c>
      <c r="AG211" s="75"/>
      <c r="AJ211" s="79" t="s">
        <v>46</v>
      </c>
      <c r="AK211" s="79">
        <v>0</v>
      </c>
      <c r="BB211" s="272" t="s">
        <v>67</v>
      </c>
      <c r="BM211" s="75">
        <f t="shared" si="22"/>
        <v>41.809523809523803</v>
      </c>
      <c r="BN211" s="75">
        <f t="shared" si="23"/>
        <v>43.9</v>
      </c>
      <c r="BO211" s="75">
        <f t="shared" si="24"/>
        <v>7.2150072150072145E-2</v>
      </c>
      <c r="BP211" s="75">
        <f t="shared" si="25"/>
        <v>7.575757575757576E-2</v>
      </c>
    </row>
    <row r="212" spans="1:68" ht="37.5" hidden="1" customHeight="1" x14ac:dyDescent="0.25">
      <c r="A212" s="60" t="s">
        <v>368</v>
      </c>
      <c r="B212" s="60" t="s">
        <v>369</v>
      </c>
      <c r="C212" s="34">
        <v>4301031447</v>
      </c>
      <c r="D212" s="664">
        <v>4680115887565</v>
      </c>
      <c r="E212" s="664"/>
      <c r="F212" s="59">
        <v>0.08</v>
      </c>
      <c r="G212" s="35">
        <v>10</v>
      </c>
      <c r="H212" s="59">
        <v>0.8</v>
      </c>
      <c r="I212" s="59">
        <v>0.93</v>
      </c>
      <c r="J212" s="35">
        <v>252</v>
      </c>
      <c r="K212" s="35" t="s">
        <v>84</v>
      </c>
      <c r="L212" s="35" t="s">
        <v>46</v>
      </c>
      <c r="M212" s="36" t="s">
        <v>83</v>
      </c>
      <c r="N212" s="36"/>
      <c r="O212" s="35">
        <v>45</v>
      </c>
      <c r="P212" s="7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2" s="666"/>
      <c r="R212" s="666"/>
      <c r="S212" s="666"/>
      <c r="T212" s="667"/>
      <c r="U212" s="37" t="s">
        <v>46</v>
      </c>
      <c r="V212" s="37" t="s">
        <v>46</v>
      </c>
      <c r="W212" s="38" t="s">
        <v>0</v>
      </c>
      <c r="X212" s="56"/>
      <c r="Y212" s="53">
        <f t="shared" si="21"/>
        <v>0</v>
      </c>
      <c r="Z212" s="39" t="str">
        <f>IFERROR(IF(Y212=0,"",ROUNDUP(Y212/H212,0)*0.00556),"")</f>
        <v/>
      </c>
      <c r="AA212" s="65" t="s">
        <v>46</v>
      </c>
      <c r="AB212" s="66" t="s">
        <v>46</v>
      </c>
      <c r="AC212" s="273" t="s">
        <v>370</v>
      </c>
      <c r="AG212" s="75"/>
      <c r="AJ212" s="79" t="s">
        <v>46</v>
      </c>
      <c r="AK212" s="79">
        <v>0</v>
      </c>
      <c r="BB212" s="274" t="s">
        <v>67</v>
      </c>
      <c r="BM212" s="75">
        <f t="shared" si="22"/>
        <v>0</v>
      </c>
      <c r="BN212" s="75">
        <f t="shared" si="23"/>
        <v>0</v>
      </c>
      <c r="BO212" s="75">
        <f t="shared" si="24"/>
        <v>0</v>
      </c>
      <c r="BP212" s="75">
        <f t="shared" si="25"/>
        <v>0</v>
      </c>
    </row>
    <row r="213" spans="1:68" ht="27" hidden="1" customHeight="1" x14ac:dyDescent="0.25">
      <c r="A213" s="60" t="s">
        <v>371</v>
      </c>
      <c r="B213" s="60" t="s">
        <v>372</v>
      </c>
      <c r="C213" s="34">
        <v>4301031199</v>
      </c>
      <c r="D213" s="664">
        <v>4680115880986</v>
      </c>
      <c r="E213" s="664"/>
      <c r="F213" s="59">
        <v>0.35</v>
      </c>
      <c r="G213" s="35">
        <v>6</v>
      </c>
      <c r="H213" s="59">
        <v>2.1</v>
      </c>
      <c r="I213" s="59">
        <v>2.23</v>
      </c>
      <c r="J213" s="35">
        <v>234</v>
      </c>
      <c r="K213" s="35" t="s">
        <v>84</v>
      </c>
      <c r="L213" s="35" t="s">
        <v>46</v>
      </c>
      <c r="M213" s="36" t="s">
        <v>83</v>
      </c>
      <c r="N213" s="36"/>
      <c r="O213" s="35">
        <v>40</v>
      </c>
      <c r="P213" s="76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3" s="666"/>
      <c r="R213" s="666"/>
      <c r="S213" s="666"/>
      <c r="T213" s="667"/>
      <c r="U213" s="37" t="s">
        <v>46</v>
      </c>
      <c r="V213" s="37" t="s">
        <v>46</v>
      </c>
      <c r="W213" s="38" t="s">
        <v>0</v>
      </c>
      <c r="X213" s="56"/>
      <c r="Y213" s="53">
        <f t="shared" si="21"/>
        <v>0</v>
      </c>
      <c r="Z213" s="39" t="str">
        <f t="shared" ref="Z213:Z218" si="26">IFERROR(IF(Y213=0,"",ROUNDUP(Y213/H213,0)*0.00502),"")</f>
        <v/>
      </c>
      <c r="AA213" s="65" t="s">
        <v>46</v>
      </c>
      <c r="AB213" s="66" t="s">
        <v>46</v>
      </c>
      <c r="AC213" s="275" t="s">
        <v>361</v>
      </c>
      <c r="AG213" s="75"/>
      <c r="AJ213" s="79" t="s">
        <v>46</v>
      </c>
      <c r="AK213" s="79">
        <v>0</v>
      </c>
      <c r="BB213" s="276" t="s">
        <v>67</v>
      </c>
      <c r="BM213" s="75">
        <f t="shared" si="22"/>
        <v>0</v>
      </c>
      <c r="BN213" s="75">
        <f t="shared" si="23"/>
        <v>0</v>
      </c>
      <c r="BO213" s="75">
        <f t="shared" si="24"/>
        <v>0</v>
      </c>
      <c r="BP213" s="75">
        <f t="shared" si="25"/>
        <v>0</v>
      </c>
    </row>
    <row r="214" spans="1:68" ht="27" hidden="1" customHeight="1" x14ac:dyDescent="0.25">
      <c r="A214" s="60" t="s">
        <v>373</v>
      </c>
      <c r="B214" s="60" t="s">
        <v>374</v>
      </c>
      <c r="C214" s="34">
        <v>4301031443</v>
      </c>
      <c r="D214" s="664">
        <v>4680115887213</v>
      </c>
      <c r="E214" s="664"/>
      <c r="F214" s="59">
        <v>0.3</v>
      </c>
      <c r="G214" s="35">
        <v>6</v>
      </c>
      <c r="H214" s="59">
        <v>1.8</v>
      </c>
      <c r="I214" s="59">
        <v>1.9</v>
      </c>
      <c r="J214" s="35">
        <v>234</v>
      </c>
      <c r="K214" s="35" t="s">
        <v>84</v>
      </c>
      <c r="L214" s="35" t="s">
        <v>46</v>
      </c>
      <c r="M214" s="36" t="s">
        <v>83</v>
      </c>
      <c r="N214" s="36"/>
      <c r="O214" s="35">
        <v>45</v>
      </c>
      <c r="P214" s="77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4" s="666"/>
      <c r="R214" s="666"/>
      <c r="S214" s="666"/>
      <c r="T214" s="667"/>
      <c r="U214" s="37" t="s">
        <v>46</v>
      </c>
      <c r="V214" s="37" t="s">
        <v>46</v>
      </c>
      <c r="W214" s="38" t="s">
        <v>0</v>
      </c>
      <c r="X214" s="56"/>
      <c r="Y214" s="53">
        <f t="shared" si="21"/>
        <v>0</v>
      </c>
      <c r="Z214" s="39" t="str">
        <f t="shared" si="26"/>
        <v/>
      </c>
      <c r="AA214" s="65" t="s">
        <v>46</v>
      </c>
      <c r="AB214" s="66" t="s">
        <v>46</v>
      </c>
      <c r="AC214" s="277" t="s">
        <v>375</v>
      </c>
      <c r="AG214" s="75"/>
      <c r="AJ214" s="79" t="s">
        <v>46</v>
      </c>
      <c r="AK214" s="79">
        <v>0</v>
      </c>
      <c r="BB214" s="278" t="s">
        <v>67</v>
      </c>
      <c r="BM214" s="75">
        <f t="shared" si="22"/>
        <v>0</v>
      </c>
      <c r="BN214" s="75">
        <f t="shared" si="23"/>
        <v>0</v>
      </c>
      <c r="BO214" s="75">
        <f t="shared" si="24"/>
        <v>0</v>
      </c>
      <c r="BP214" s="75">
        <f t="shared" si="25"/>
        <v>0</v>
      </c>
    </row>
    <row r="215" spans="1:68" ht="27" hidden="1" customHeight="1" x14ac:dyDescent="0.25">
      <c r="A215" s="60" t="s">
        <v>376</v>
      </c>
      <c r="B215" s="60" t="s">
        <v>377</v>
      </c>
      <c r="C215" s="34">
        <v>4301031205</v>
      </c>
      <c r="D215" s="664">
        <v>4680115881785</v>
      </c>
      <c r="E215" s="664"/>
      <c r="F215" s="59">
        <v>0.35</v>
      </c>
      <c r="G215" s="35">
        <v>6</v>
      </c>
      <c r="H215" s="59">
        <v>2.1</v>
      </c>
      <c r="I215" s="59">
        <v>2.23</v>
      </c>
      <c r="J215" s="35">
        <v>234</v>
      </c>
      <c r="K215" s="35" t="s">
        <v>84</v>
      </c>
      <c r="L215" s="35" t="s">
        <v>46</v>
      </c>
      <c r="M215" s="36" t="s">
        <v>83</v>
      </c>
      <c r="N215" s="36"/>
      <c r="O215" s="35">
        <v>40</v>
      </c>
      <c r="P215" s="7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5" s="666"/>
      <c r="R215" s="666"/>
      <c r="S215" s="666"/>
      <c r="T215" s="667"/>
      <c r="U215" s="37" t="s">
        <v>46</v>
      </c>
      <c r="V215" s="37" t="s">
        <v>46</v>
      </c>
      <c r="W215" s="38" t="s">
        <v>0</v>
      </c>
      <c r="X215" s="56"/>
      <c r="Y215" s="53">
        <f t="shared" si="21"/>
        <v>0</v>
      </c>
      <c r="Z215" s="39" t="str">
        <f t="shared" si="26"/>
        <v/>
      </c>
      <c r="AA215" s="65" t="s">
        <v>46</v>
      </c>
      <c r="AB215" s="66" t="s">
        <v>46</v>
      </c>
      <c r="AC215" s="279" t="s">
        <v>364</v>
      </c>
      <c r="AG215" s="75"/>
      <c r="AJ215" s="79" t="s">
        <v>46</v>
      </c>
      <c r="AK215" s="79">
        <v>0</v>
      </c>
      <c r="BB215" s="280" t="s">
        <v>67</v>
      </c>
      <c r="BM215" s="75">
        <f t="shared" si="22"/>
        <v>0</v>
      </c>
      <c r="BN215" s="75">
        <f t="shared" si="23"/>
        <v>0</v>
      </c>
      <c r="BO215" s="75">
        <f t="shared" si="24"/>
        <v>0</v>
      </c>
      <c r="BP215" s="75">
        <f t="shared" si="25"/>
        <v>0</v>
      </c>
    </row>
    <row r="216" spans="1:68" ht="27" hidden="1" customHeight="1" x14ac:dyDescent="0.25">
      <c r="A216" s="60" t="s">
        <v>378</v>
      </c>
      <c r="B216" s="60" t="s">
        <v>379</v>
      </c>
      <c r="C216" s="34">
        <v>4301031499</v>
      </c>
      <c r="D216" s="664">
        <v>4680115888432</v>
      </c>
      <c r="E216" s="664"/>
      <c r="F216" s="59">
        <v>0.3</v>
      </c>
      <c r="G216" s="35">
        <v>6</v>
      </c>
      <c r="H216" s="59">
        <v>1.8</v>
      </c>
      <c r="I216" s="59">
        <v>1.93</v>
      </c>
      <c r="J216" s="35">
        <v>234</v>
      </c>
      <c r="K216" s="35" t="s">
        <v>84</v>
      </c>
      <c r="L216" s="35" t="s">
        <v>46</v>
      </c>
      <c r="M216" s="36" t="s">
        <v>83</v>
      </c>
      <c r="N216" s="36"/>
      <c r="O216" s="35">
        <v>45</v>
      </c>
      <c r="P216" s="77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6" s="666"/>
      <c r="R216" s="666"/>
      <c r="S216" s="666"/>
      <c r="T216" s="667"/>
      <c r="U216" s="37" t="s">
        <v>46</v>
      </c>
      <c r="V216" s="37" t="s">
        <v>46</v>
      </c>
      <c r="W216" s="38" t="s">
        <v>0</v>
      </c>
      <c r="X216" s="56"/>
      <c r="Y216" s="53">
        <f t="shared" si="21"/>
        <v>0</v>
      </c>
      <c r="Z216" s="39" t="str">
        <f t="shared" si="26"/>
        <v/>
      </c>
      <c r="AA216" s="65" t="s">
        <v>46</v>
      </c>
      <c r="AB216" s="66" t="s">
        <v>46</v>
      </c>
      <c r="AC216" s="281" t="s">
        <v>380</v>
      </c>
      <c r="AG216" s="75"/>
      <c r="AJ216" s="79" t="s">
        <v>46</v>
      </c>
      <c r="AK216" s="79">
        <v>0</v>
      </c>
      <c r="BB216" s="282" t="s">
        <v>67</v>
      </c>
      <c r="BM216" s="75">
        <f t="shared" si="22"/>
        <v>0</v>
      </c>
      <c r="BN216" s="75">
        <f t="shared" si="23"/>
        <v>0</v>
      </c>
      <c r="BO216" s="75">
        <f t="shared" si="24"/>
        <v>0</v>
      </c>
      <c r="BP216" s="75">
        <f t="shared" si="25"/>
        <v>0</v>
      </c>
    </row>
    <row r="217" spans="1:68" ht="27" hidden="1" customHeight="1" x14ac:dyDescent="0.25">
      <c r="A217" s="60" t="s">
        <v>381</v>
      </c>
      <c r="B217" s="60" t="s">
        <v>382</v>
      </c>
      <c r="C217" s="34">
        <v>4301031427</v>
      </c>
      <c r="D217" s="664">
        <v>4680115888104</v>
      </c>
      <c r="E217" s="664"/>
      <c r="F217" s="59">
        <v>0.35</v>
      </c>
      <c r="G217" s="35">
        <v>6</v>
      </c>
      <c r="H217" s="59">
        <v>2.1</v>
      </c>
      <c r="I217" s="59">
        <v>2.2000000000000002</v>
      </c>
      <c r="J217" s="35">
        <v>234</v>
      </c>
      <c r="K217" s="35" t="s">
        <v>84</v>
      </c>
      <c r="L217" s="35" t="s">
        <v>46</v>
      </c>
      <c r="M217" s="36" t="s">
        <v>83</v>
      </c>
      <c r="N217" s="36"/>
      <c r="O217" s="35">
        <v>45</v>
      </c>
      <c r="P217" s="77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7" s="666"/>
      <c r="R217" s="666"/>
      <c r="S217" s="666"/>
      <c r="T217" s="667"/>
      <c r="U217" s="37" t="s">
        <v>46</v>
      </c>
      <c r="V217" s="37" t="s">
        <v>46</v>
      </c>
      <c r="W217" s="38" t="s">
        <v>0</v>
      </c>
      <c r="X217" s="56"/>
      <c r="Y217" s="53">
        <f t="shared" si="21"/>
        <v>0</v>
      </c>
      <c r="Z217" s="39" t="str">
        <f t="shared" si="26"/>
        <v/>
      </c>
      <c r="AA217" s="65" t="s">
        <v>46</v>
      </c>
      <c r="AB217" s="66" t="s">
        <v>46</v>
      </c>
      <c r="AC217" s="283" t="s">
        <v>383</v>
      </c>
      <c r="AG217" s="75"/>
      <c r="AJ217" s="79" t="s">
        <v>46</v>
      </c>
      <c r="AK217" s="79">
        <v>0</v>
      </c>
      <c r="BB217" s="284" t="s">
        <v>67</v>
      </c>
      <c r="BM217" s="75">
        <f t="shared" si="22"/>
        <v>0</v>
      </c>
      <c r="BN217" s="75">
        <f t="shared" si="23"/>
        <v>0</v>
      </c>
      <c r="BO217" s="75">
        <f t="shared" si="24"/>
        <v>0</v>
      </c>
      <c r="BP217" s="75">
        <f t="shared" si="25"/>
        <v>0</v>
      </c>
    </row>
    <row r="218" spans="1:68" ht="27" hidden="1" customHeight="1" x14ac:dyDescent="0.25">
      <c r="A218" s="60" t="s">
        <v>384</v>
      </c>
      <c r="B218" s="60" t="s">
        <v>385</v>
      </c>
      <c r="C218" s="34">
        <v>4301031399</v>
      </c>
      <c r="D218" s="664">
        <v>4680115886537</v>
      </c>
      <c r="E218" s="664"/>
      <c r="F218" s="59">
        <v>0.3</v>
      </c>
      <c r="G218" s="35">
        <v>6</v>
      </c>
      <c r="H218" s="59">
        <v>1.8</v>
      </c>
      <c r="I218" s="59">
        <v>1.93</v>
      </c>
      <c r="J218" s="35">
        <v>234</v>
      </c>
      <c r="K218" s="35" t="s">
        <v>84</v>
      </c>
      <c r="L218" s="35" t="s">
        <v>46</v>
      </c>
      <c r="M218" s="36" t="s">
        <v>83</v>
      </c>
      <c r="N218" s="36"/>
      <c r="O218" s="35">
        <v>40</v>
      </c>
      <c r="P218" s="77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8" s="666"/>
      <c r="R218" s="666"/>
      <c r="S218" s="666"/>
      <c r="T218" s="667"/>
      <c r="U218" s="37" t="s">
        <v>46</v>
      </c>
      <c r="V218" s="37" t="s">
        <v>46</v>
      </c>
      <c r="W218" s="38" t="s">
        <v>0</v>
      </c>
      <c r="X218" s="56"/>
      <c r="Y218" s="53">
        <f t="shared" si="21"/>
        <v>0</v>
      </c>
      <c r="Z218" s="39" t="str">
        <f t="shared" si="26"/>
        <v/>
      </c>
      <c r="AA218" s="65" t="s">
        <v>46</v>
      </c>
      <c r="AB218" s="66" t="s">
        <v>46</v>
      </c>
      <c r="AC218" s="285" t="s">
        <v>386</v>
      </c>
      <c r="AG218" s="75"/>
      <c r="AJ218" s="79" t="s">
        <v>46</v>
      </c>
      <c r="AK218" s="79">
        <v>0</v>
      </c>
      <c r="BB218" s="286" t="s">
        <v>67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hidden="1" customHeight="1" x14ac:dyDescent="0.25">
      <c r="A219" s="60" t="s">
        <v>387</v>
      </c>
      <c r="B219" s="60" t="s">
        <v>388</v>
      </c>
      <c r="C219" s="34">
        <v>4301031279</v>
      </c>
      <c r="D219" s="664">
        <v>4680115887596</v>
      </c>
      <c r="E219" s="664"/>
      <c r="F219" s="59">
        <v>0.08</v>
      </c>
      <c r="G219" s="35">
        <v>10</v>
      </c>
      <c r="H219" s="59">
        <v>0.8</v>
      </c>
      <c r="I219" s="59">
        <v>1.01</v>
      </c>
      <c r="J219" s="35">
        <v>336</v>
      </c>
      <c r="K219" s="35" t="s">
        <v>155</v>
      </c>
      <c r="L219" s="35" t="s">
        <v>46</v>
      </c>
      <c r="M219" s="36" t="s">
        <v>83</v>
      </c>
      <c r="N219" s="36"/>
      <c r="O219" s="35">
        <v>45</v>
      </c>
      <c r="P219" s="77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9" s="666"/>
      <c r="R219" s="666"/>
      <c r="S219" s="666"/>
      <c r="T219" s="667"/>
      <c r="U219" s="37" t="s">
        <v>46</v>
      </c>
      <c r="V219" s="37" t="s">
        <v>46</v>
      </c>
      <c r="W219" s="38" t="s">
        <v>0</v>
      </c>
      <c r="X219" s="56"/>
      <c r="Y219" s="53">
        <f t="shared" si="21"/>
        <v>0</v>
      </c>
      <c r="Z219" s="39" t="str">
        <f>IFERROR(IF(Y219=0,"",ROUNDUP(Y219/H219,0)*0.00417),"")</f>
        <v/>
      </c>
      <c r="AA219" s="65" t="s">
        <v>46</v>
      </c>
      <c r="AB219" s="66" t="s">
        <v>46</v>
      </c>
      <c r="AC219" s="287" t="s">
        <v>389</v>
      </c>
      <c r="AG219" s="75"/>
      <c r="AJ219" s="79" t="s">
        <v>46</v>
      </c>
      <c r="AK219" s="79">
        <v>0</v>
      </c>
      <c r="BB219" s="288" t="s">
        <v>67</v>
      </c>
      <c r="BM219" s="75">
        <f t="shared" si="22"/>
        <v>0</v>
      </c>
      <c r="BN219" s="75">
        <f t="shared" si="23"/>
        <v>0</v>
      </c>
      <c r="BO219" s="75">
        <f t="shared" si="24"/>
        <v>0</v>
      </c>
      <c r="BP219" s="75">
        <f t="shared" si="25"/>
        <v>0</v>
      </c>
    </row>
    <row r="220" spans="1:68" ht="37.5" hidden="1" customHeight="1" x14ac:dyDescent="0.25">
      <c r="A220" s="60" t="s">
        <v>390</v>
      </c>
      <c r="B220" s="60" t="s">
        <v>391</v>
      </c>
      <c r="C220" s="34">
        <v>4301031202</v>
      </c>
      <c r="D220" s="664">
        <v>4680115881679</v>
      </c>
      <c r="E220" s="664"/>
      <c r="F220" s="59">
        <v>0.35</v>
      </c>
      <c r="G220" s="35">
        <v>6</v>
      </c>
      <c r="H220" s="59">
        <v>2.1</v>
      </c>
      <c r="I220" s="59">
        <v>2.2000000000000002</v>
      </c>
      <c r="J220" s="35">
        <v>234</v>
      </c>
      <c r="K220" s="35" t="s">
        <v>84</v>
      </c>
      <c r="L220" s="35" t="s">
        <v>46</v>
      </c>
      <c r="M220" s="36" t="s">
        <v>83</v>
      </c>
      <c r="N220" s="36"/>
      <c r="O220" s="35">
        <v>40</v>
      </c>
      <c r="P220" s="77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0" s="666"/>
      <c r="R220" s="666"/>
      <c r="S220" s="666"/>
      <c r="T220" s="667"/>
      <c r="U220" s="37" t="s">
        <v>46</v>
      </c>
      <c r="V220" s="37" t="s">
        <v>46</v>
      </c>
      <c r="W220" s="38" t="s">
        <v>0</v>
      </c>
      <c r="X220" s="56"/>
      <c r="Y220" s="53">
        <f t="shared" si="21"/>
        <v>0</v>
      </c>
      <c r="Z220" s="39" t="str">
        <f>IFERROR(IF(Y220=0,"",ROUNDUP(Y220/H220,0)*0.00502),"")</f>
        <v/>
      </c>
      <c r="AA220" s="65" t="s">
        <v>46</v>
      </c>
      <c r="AB220" s="66" t="s">
        <v>46</v>
      </c>
      <c r="AC220" s="289" t="s">
        <v>367</v>
      </c>
      <c r="AG220" s="75"/>
      <c r="AJ220" s="79" t="s">
        <v>46</v>
      </c>
      <c r="AK220" s="79">
        <v>0</v>
      </c>
      <c r="BB220" s="290" t="s">
        <v>67</v>
      </c>
      <c r="BM220" s="75">
        <f t="shared" si="22"/>
        <v>0</v>
      </c>
      <c r="BN220" s="75">
        <f t="shared" si="23"/>
        <v>0</v>
      </c>
      <c r="BO220" s="75">
        <f t="shared" si="24"/>
        <v>0</v>
      </c>
      <c r="BP220" s="75">
        <f t="shared" si="25"/>
        <v>0</v>
      </c>
    </row>
    <row r="221" spans="1:68" ht="27" hidden="1" customHeight="1" x14ac:dyDescent="0.25">
      <c r="A221" s="60" t="s">
        <v>392</v>
      </c>
      <c r="B221" s="60" t="s">
        <v>393</v>
      </c>
      <c r="C221" s="34">
        <v>4301031158</v>
      </c>
      <c r="D221" s="664">
        <v>4680115880191</v>
      </c>
      <c r="E221" s="664"/>
      <c r="F221" s="59">
        <v>0.4</v>
      </c>
      <c r="G221" s="35">
        <v>6</v>
      </c>
      <c r="H221" s="59">
        <v>2.4</v>
      </c>
      <c r="I221" s="59">
        <v>2.58</v>
      </c>
      <c r="J221" s="35">
        <v>182</v>
      </c>
      <c r="K221" s="35" t="s">
        <v>88</v>
      </c>
      <c r="L221" s="35" t="s">
        <v>46</v>
      </c>
      <c r="M221" s="36" t="s">
        <v>83</v>
      </c>
      <c r="N221" s="36"/>
      <c r="O221" s="35">
        <v>40</v>
      </c>
      <c r="P221" s="77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1" s="666"/>
      <c r="R221" s="666"/>
      <c r="S221" s="666"/>
      <c r="T221" s="667"/>
      <c r="U221" s="37" t="s">
        <v>46</v>
      </c>
      <c r="V221" s="37" t="s">
        <v>46</v>
      </c>
      <c r="W221" s="38" t="s">
        <v>0</v>
      </c>
      <c r="X221" s="56"/>
      <c r="Y221" s="53">
        <f t="shared" si="21"/>
        <v>0</v>
      </c>
      <c r="Z221" s="39" t="str">
        <f>IFERROR(IF(Y221=0,"",ROUNDUP(Y221/H221,0)*0.00651),"")</f>
        <v/>
      </c>
      <c r="AA221" s="65" t="s">
        <v>46</v>
      </c>
      <c r="AB221" s="66" t="s">
        <v>46</v>
      </c>
      <c r="AC221" s="291" t="s">
        <v>367</v>
      </c>
      <c r="AG221" s="75"/>
      <c r="AJ221" s="79" t="s">
        <v>46</v>
      </c>
      <c r="AK221" s="79">
        <v>0</v>
      </c>
      <c r="BB221" s="292" t="s">
        <v>67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hidden="1" customHeight="1" x14ac:dyDescent="0.25">
      <c r="A222" s="60" t="s">
        <v>394</v>
      </c>
      <c r="B222" s="60" t="s">
        <v>395</v>
      </c>
      <c r="C222" s="34">
        <v>4301031245</v>
      </c>
      <c r="D222" s="664">
        <v>4680115883963</v>
      </c>
      <c r="E222" s="664"/>
      <c r="F222" s="59">
        <v>0.28000000000000003</v>
      </c>
      <c r="G222" s="35">
        <v>6</v>
      </c>
      <c r="H222" s="59">
        <v>1.68</v>
      </c>
      <c r="I222" s="59">
        <v>1.78</v>
      </c>
      <c r="J222" s="35">
        <v>234</v>
      </c>
      <c r="K222" s="35" t="s">
        <v>84</v>
      </c>
      <c r="L222" s="35" t="s">
        <v>46</v>
      </c>
      <c r="M222" s="36" t="s">
        <v>83</v>
      </c>
      <c r="N222" s="36"/>
      <c r="O222" s="35">
        <v>40</v>
      </c>
      <c r="P222" s="77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2" s="666"/>
      <c r="R222" s="666"/>
      <c r="S222" s="666"/>
      <c r="T222" s="667"/>
      <c r="U222" s="37" t="s">
        <v>46</v>
      </c>
      <c r="V222" s="37" t="s">
        <v>46</v>
      </c>
      <c r="W222" s="38" t="s">
        <v>0</v>
      </c>
      <c r="X222" s="56"/>
      <c r="Y222" s="53">
        <f t="shared" si="21"/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3" t="s">
        <v>396</v>
      </c>
      <c r="AG222" s="75"/>
      <c r="AJ222" s="79" t="s">
        <v>46</v>
      </c>
      <c r="AK222" s="79">
        <v>0</v>
      </c>
      <c r="BB222" s="294" t="s">
        <v>67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x14ac:dyDescent="0.2">
      <c r="A223" s="673"/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4"/>
      <c r="P223" s="670" t="s">
        <v>40</v>
      </c>
      <c r="Q223" s="671"/>
      <c r="R223" s="671"/>
      <c r="S223" s="671"/>
      <c r="T223" s="671"/>
      <c r="U223" s="671"/>
      <c r="V223" s="672"/>
      <c r="W223" s="40" t="s">
        <v>39</v>
      </c>
      <c r="X223" s="41">
        <f>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</f>
        <v>69.047619047619037</v>
      </c>
      <c r="Y223" s="41">
        <f>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</f>
        <v>70</v>
      </c>
      <c r="Z223" s="41">
        <f>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0.63139999999999996</v>
      </c>
      <c r="AA223" s="64"/>
      <c r="AB223" s="64"/>
      <c r="AC223" s="64"/>
    </row>
    <row r="224" spans="1:68" x14ac:dyDescent="0.2">
      <c r="A224" s="673"/>
      <c r="B224" s="673"/>
      <c r="C224" s="673"/>
      <c r="D224" s="673"/>
      <c r="E224" s="673"/>
      <c r="F224" s="673"/>
      <c r="G224" s="673"/>
      <c r="H224" s="673"/>
      <c r="I224" s="673"/>
      <c r="J224" s="673"/>
      <c r="K224" s="673"/>
      <c r="L224" s="673"/>
      <c r="M224" s="673"/>
      <c r="N224" s="673"/>
      <c r="O224" s="674"/>
      <c r="P224" s="670" t="s">
        <v>40</v>
      </c>
      <c r="Q224" s="671"/>
      <c r="R224" s="671"/>
      <c r="S224" s="671"/>
      <c r="T224" s="671"/>
      <c r="U224" s="671"/>
      <c r="V224" s="672"/>
      <c r="W224" s="40" t="s">
        <v>0</v>
      </c>
      <c r="X224" s="41">
        <f>IFERROR(SUM(X209:X222),"0")</f>
        <v>290</v>
      </c>
      <c r="Y224" s="41">
        <f>IFERROR(SUM(Y209:Y222),"0")</f>
        <v>294</v>
      </c>
      <c r="Z224" s="40"/>
      <c r="AA224" s="64"/>
      <c r="AB224" s="64"/>
      <c r="AC224" s="64"/>
    </row>
    <row r="225" spans="1:68" ht="14.25" hidden="1" customHeight="1" x14ac:dyDescent="0.25">
      <c r="A225" s="663" t="s">
        <v>92</v>
      </c>
      <c r="B225" s="663"/>
      <c r="C225" s="663"/>
      <c r="D225" s="663"/>
      <c r="E225" s="663"/>
      <c r="F225" s="663"/>
      <c r="G225" s="663"/>
      <c r="H225" s="663"/>
      <c r="I225" s="663"/>
      <c r="J225" s="663"/>
      <c r="K225" s="663"/>
      <c r="L225" s="663"/>
      <c r="M225" s="663"/>
      <c r="N225" s="663"/>
      <c r="O225" s="663"/>
      <c r="P225" s="663"/>
      <c r="Q225" s="663"/>
      <c r="R225" s="663"/>
      <c r="S225" s="663"/>
      <c r="T225" s="663"/>
      <c r="U225" s="663"/>
      <c r="V225" s="663"/>
      <c r="W225" s="663"/>
      <c r="X225" s="663"/>
      <c r="Y225" s="663"/>
      <c r="Z225" s="663"/>
      <c r="AA225" s="63"/>
      <c r="AB225" s="63"/>
      <c r="AC225" s="63"/>
    </row>
    <row r="226" spans="1:68" ht="27" hidden="1" customHeight="1" x14ac:dyDescent="0.25">
      <c r="A226" s="60" t="s">
        <v>397</v>
      </c>
      <c r="B226" s="60" t="s">
        <v>398</v>
      </c>
      <c r="C226" s="34">
        <v>4301052177</v>
      </c>
      <c r="D226" s="664">
        <v>4680115888951</v>
      </c>
      <c r="E226" s="664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158</v>
      </c>
      <c r="L226" s="35" t="s">
        <v>46</v>
      </c>
      <c r="M226" s="36" t="s">
        <v>102</v>
      </c>
      <c r="N226" s="36"/>
      <c r="O226" s="35">
        <v>35</v>
      </c>
      <c r="P226" s="77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6" s="666"/>
      <c r="R226" s="666"/>
      <c r="S226" s="666"/>
      <c r="T226" s="667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399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70" t="s">
        <v>40</v>
      </c>
      <c r="Q227" s="671"/>
      <c r="R227" s="671"/>
      <c r="S227" s="671"/>
      <c r="T227" s="671"/>
      <c r="U227" s="671"/>
      <c r="V227" s="672"/>
      <c r="W227" s="40" t="s">
        <v>39</v>
      </c>
      <c r="X227" s="41">
        <f>IFERROR(X226/H226,"0")</f>
        <v>0</v>
      </c>
      <c r="Y227" s="41">
        <f>IFERROR(Y226/H226,"0")</f>
        <v>0</v>
      </c>
      <c r="Z227" s="41">
        <f>IFERROR(IF(Z226="",0,Z226),"0")</f>
        <v>0</v>
      </c>
      <c r="AA227" s="64"/>
      <c r="AB227" s="64"/>
      <c r="AC227" s="64"/>
    </row>
    <row r="228" spans="1:68" hidden="1" x14ac:dyDescent="0.2">
      <c r="A228" s="673"/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4"/>
      <c r="P228" s="670" t="s">
        <v>40</v>
      </c>
      <c r="Q228" s="671"/>
      <c r="R228" s="671"/>
      <c r="S228" s="671"/>
      <c r="T228" s="671"/>
      <c r="U228" s="671"/>
      <c r="V228" s="672"/>
      <c r="W228" s="40" t="s">
        <v>0</v>
      </c>
      <c r="X228" s="41">
        <f>IFERROR(SUM(X226:X226),"0")</f>
        <v>0</v>
      </c>
      <c r="Y228" s="41">
        <f>IFERROR(SUM(Y226:Y226),"0")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63" t="s">
        <v>123</v>
      </c>
      <c r="B229" s="663"/>
      <c r="C229" s="663"/>
      <c r="D229" s="663"/>
      <c r="E229" s="663"/>
      <c r="F229" s="663"/>
      <c r="G229" s="663"/>
      <c r="H229" s="663"/>
      <c r="I229" s="663"/>
      <c r="J229" s="663"/>
      <c r="K229" s="663"/>
      <c r="L229" s="663"/>
      <c r="M229" s="663"/>
      <c r="N229" s="663"/>
      <c r="O229" s="663"/>
      <c r="P229" s="663"/>
      <c r="Q229" s="663"/>
      <c r="R229" s="663"/>
      <c r="S229" s="663"/>
      <c r="T229" s="663"/>
      <c r="U229" s="663"/>
      <c r="V229" s="663"/>
      <c r="W229" s="663"/>
      <c r="X229" s="663"/>
      <c r="Y229" s="663"/>
      <c r="Z229" s="663"/>
      <c r="AA229" s="63"/>
      <c r="AB229" s="63"/>
      <c r="AC229" s="63"/>
    </row>
    <row r="230" spans="1:68" ht="27" hidden="1" customHeight="1" x14ac:dyDescent="0.25">
      <c r="A230" s="60" t="s">
        <v>400</v>
      </c>
      <c r="B230" s="60" t="s">
        <v>401</v>
      </c>
      <c r="C230" s="34">
        <v>4301032053</v>
      </c>
      <c r="D230" s="664">
        <v>4680115886780</v>
      </c>
      <c r="E230" s="664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334</v>
      </c>
      <c r="L230" s="35" t="s">
        <v>46</v>
      </c>
      <c r="M230" s="36" t="s">
        <v>333</v>
      </c>
      <c r="N230" s="36"/>
      <c r="O230" s="35">
        <v>60</v>
      </c>
      <c r="P230" s="78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66"/>
      <c r="R230" s="666"/>
      <c r="S230" s="666"/>
      <c r="T230" s="667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402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403</v>
      </c>
      <c r="B231" s="60" t="s">
        <v>404</v>
      </c>
      <c r="C231" s="34">
        <v>4301032051</v>
      </c>
      <c r="D231" s="664">
        <v>4680115886742</v>
      </c>
      <c r="E231" s="664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334</v>
      </c>
      <c r="L231" s="35" t="s">
        <v>46</v>
      </c>
      <c r="M231" s="36" t="s">
        <v>333</v>
      </c>
      <c r="N231" s="36"/>
      <c r="O231" s="35">
        <v>90</v>
      </c>
      <c r="P231" s="78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66"/>
      <c r="R231" s="666"/>
      <c r="S231" s="666"/>
      <c r="T231" s="667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405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406</v>
      </c>
      <c r="B232" s="60" t="s">
        <v>407</v>
      </c>
      <c r="C232" s="34">
        <v>4301032052</v>
      </c>
      <c r="D232" s="664">
        <v>4680115886766</v>
      </c>
      <c r="E232" s="664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334</v>
      </c>
      <c r="L232" s="35" t="s">
        <v>46</v>
      </c>
      <c r="M232" s="36" t="s">
        <v>333</v>
      </c>
      <c r="N232" s="36"/>
      <c r="O232" s="35">
        <v>90</v>
      </c>
      <c r="P232" s="78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66"/>
      <c r="R232" s="666"/>
      <c r="S232" s="666"/>
      <c r="T232" s="667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405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idden="1" x14ac:dyDescent="0.2">
      <c r="A233" s="673"/>
      <c r="B233" s="673"/>
      <c r="C233" s="673"/>
      <c r="D233" s="673"/>
      <c r="E233" s="673"/>
      <c r="F233" s="673"/>
      <c r="G233" s="673"/>
      <c r="H233" s="673"/>
      <c r="I233" s="673"/>
      <c r="J233" s="673"/>
      <c r="K233" s="673"/>
      <c r="L233" s="673"/>
      <c r="M233" s="673"/>
      <c r="N233" s="673"/>
      <c r="O233" s="674"/>
      <c r="P233" s="670" t="s">
        <v>40</v>
      </c>
      <c r="Q233" s="671"/>
      <c r="R233" s="671"/>
      <c r="S233" s="671"/>
      <c r="T233" s="671"/>
      <c r="U233" s="671"/>
      <c r="V233" s="672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73"/>
      <c r="B234" s="673"/>
      <c r="C234" s="673"/>
      <c r="D234" s="673"/>
      <c r="E234" s="673"/>
      <c r="F234" s="673"/>
      <c r="G234" s="673"/>
      <c r="H234" s="673"/>
      <c r="I234" s="673"/>
      <c r="J234" s="673"/>
      <c r="K234" s="673"/>
      <c r="L234" s="673"/>
      <c r="M234" s="673"/>
      <c r="N234" s="673"/>
      <c r="O234" s="674"/>
      <c r="P234" s="670" t="s">
        <v>40</v>
      </c>
      <c r="Q234" s="671"/>
      <c r="R234" s="671"/>
      <c r="S234" s="671"/>
      <c r="T234" s="671"/>
      <c r="U234" s="671"/>
      <c r="V234" s="672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63" t="s">
        <v>408</v>
      </c>
      <c r="B235" s="663"/>
      <c r="C235" s="663"/>
      <c r="D235" s="663"/>
      <c r="E235" s="663"/>
      <c r="F235" s="663"/>
      <c r="G235" s="663"/>
      <c r="H235" s="663"/>
      <c r="I235" s="663"/>
      <c r="J235" s="663"/>
      <c r="K235" s="663"/>
      <c r="L235" s="663"/>
      <c r="M235" s="663"/>
      <c r="N235" s="663"/>
      <c r="O235" s="663"/>
      <c r="P235" s="663"/>
      <c r="Q235" s="663"/>
      <c r="R235" s="663"/>
      <c r="S235" s="663"/>
      <c r="T235" s="663"/>
      <c r="U235" s="663"/>
      <c r="V235" s="663"/>
      <c r="W235" s="663"/>
      <c r="X235" s="663"/>
      <c r="Y235" s="663"/>
      <c r="Z235" s="663"/>
      <c r="AA235" s="63"/>
      <c r="AB235" s="63"/>
      <c r="AC235" s="63"/>
    </row>
    <row r="236" spans="1:68" ht="27" hidden="1" customHeight="1" x14ac:dyDescent="0.25">
      <c r="A236" s="60" t="s">
        <v>409</v>
      </c>
      <c r="B236" s="60" t="s">
        <v>410</v>
      </c>
      <c r="C236" s="34">
        <v>4301170013</v>
      </c>
      <c r="D236" s="664">
        <v>4680115886797</v>
      </c>
      <c r="E236" s="664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334</v>
      </c>
      <c r="L236" s="35" t="s">
        <v>46</v>
      </c>
      <c r="M236" s="36" t="s">
        <v>333</v>
      </c>
      <c r="N236" s="36"/>
      <c r="O236" s="35">
        <v>90</v>
      </c>
      <c r="P236" s="78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66"/>
      <c r="R236" s="666"/>
      <c r="S236" s="666"/>
      <c r="T236" s="667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405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idden="1" x14ac:dyDescent="0.2">
      <c r="A237" s="673"/>
      <c r="B237" s="673"/>
      <c r="C237" s="673"/>
      <c r="D237" s="673"/>
      <c r="E237" s="673"/>
      <c r="F237" s="673"/>
      <c r="G237" s="673"/>
      <c r="H237" s="673"/>
      <c r="I237" s="673"/>
      <c r="J237" s="673"/>
      <c r="K237" s="673"/>
      <c r="L237" s="673"/>
      <c r="M237" s="673"/>
      <c r="N237" s="673"/>
      <c r="O237" s="674"/>
      <c r="P237" s="670" t="s">
        <v>40</v>
      </c>
      <c r="Q237" s="671"/>
      <c r="R237" s="671"/>
      <c r="S237" s="671"/>
      <c r="T237" s="671"/>
      <c r="U237" s="671"/>
      <c r="V237" s="672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673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70" t="s">
        <v>40</v>
      </c>
      <c r="Q238" s="671"/>
      <c r="R238" s="671"/>
      <c r="S238" s="671"/>
      <c r="T238" s="671"/>
      <c r="U238" s="671"/>
      <c r="V238" s="672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hidden="1" customHeight="1" x14ac:dyDescent="0.25">
      <c r="A239" s="662" t="s">
        <v>411</v>
      </c>
      <c r="B239" s="662"/>
      <c r="C239" s="662"/>
      <c r="D239" s="662"/>
      <c r="E239" s="662"/>
      <c r="F239" s="662"/>
      <c r="G239" s="662"/>
      <c r="H239" s="662"/>
      <c r="I239" s="662"/>
      <c r="J239" s="662"/>
      <c r="K239" s="662"/>
      <c r="L239" s="662"/>
      <c r="M239" s="662"/>
      <c r="N239" s="662"/>
      <c r="O239" s="662"/>
      <c r="P239" s="662"/>
      <c r="Q239" s="662"/>
      <c r="R239" s="662"/>
      <c r="S239" s="662"/>
      <c r="T239" s="662"/>
      <c r="U239" s="662"/>
      <c r="V239" s="662"/>
      <c r="W239" s="662"/>
      <c r="X239" s="662"/>
      <c r="Y239" s="662"/>
      <c r="Z239" s="662"/>
      <c r="AA239" s="62"/>
      <c r="AB239" s="62"/>
      <c r="AC239" s="62"/>
    </row>
    <row r="240" spans="1:68" ht="14.25" hidden="1" customHeight="1" x14ac:dyDescent="0.25">
      <c r="A240" s="663" t="s">
        <v>146</v>
      </c>
      <c r="B240" s="663"/>
      <c r="C240" s="663"/>
      <c r="D240" s="663"/>
      <c r="E240" s="663"/>
      <c r="F240" s="663"/>
      <c r="G240" s="663"/>
      <c r="H240" s="663"/>
      <c r="I240" s="663"/>
      <c r="J240" s="663"/>
      <c r="K240" s="663"/>
      <c r="L240" s="663"/>
      <c r="M240" s="663"/>
      <c r="N240" s="663"/>
      <c r="O240" s="663"/>
      <c r="P240" s="663"/>
      <c r="Q240" s="663"/>
      <c r="R240" s="663"/>
      <c r="S240" s="663"/>
      <c r="T240" s="663"/>
      <c r="U240" s="663"/>
      <c r="V240" s="663"/>
      <c r="W240" s="663"/>
      <c r="X240" s="663"/>
      <c r="Y240" s="663"/>
      <c r="Z240" s="663"/>
      <c r="AA240" s="63"/>
      <c r="AB240" s="63"/>
      <c r="AC240" s="63"/>
    </row>
    <row r="241" spans="1:68" ht="27" hidden="1" customHeight="1" x14ac:dyDescent="0.25">
      <c r="A241" s="60" t="s">
        <v>412</v>
      </c>
      <c r="B241" s="60" t="s">
        <v>413</v>
      </c>
      <c r="C241" s="34">
        <v>4301011450</v>
      </c>
      <c r="D241" s="664">
        <v>4680115881402</v>
      </c>
      <c r="E241" s="664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151</v>
      </c>
      <c r="L241" s="35" t="s">
        <v>46</v>
      </c>
      <c r="M241" s="36" t="s">
        <v>150</v>
      </c>
      <c r="N241" s="36"/>
      <c r="O241" s="35">
        <v>55</v>
      </c>
      <c r="P241" s="78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66"/>
      <c r="R241" s="666"/>
      <c r="S241" s="666"/>
      <c r="T241" s="66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414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415</v>
      </c>
      <c r="B242" s="60" t="s">
        <v>416</v>
      </c>
      <c r="C242" s="34">
        <v>4301011768</v>
      </c>
      <c r="D242" s="664">
        <v>4680115881396</v>
      </c>
      <c r="E242" s="664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88</v>
      </c>
      <c r="L242" s="35" t="s">
        <v>46</v>
      </c>
      <c r="M242" s="36" t="s">
        <v>150</v>
      </c>
      <c r="N242" s="36"/>
      <c r="O242" s="35">
        <v>55</v>
      </c>
      <c r="P242" s="78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66"/>
      <c r="R242" s="666"/>
      <c r="S242" s="666"/>
      <c r="T242" s="667"/>
      <c r="U242" s="37" t="s">
        <v>46</v>
      </c>
      <c r="V242" s="37" t="s">
        <v>46</v>
      </c>
      <c r="W242" s="38" t="s">
        <v>0</v>
      </c>
      <c r="X242" s="56"/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414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73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70" t="s">
        <v>40</v>
      </c>
      <c r="Q243" s="671"/>
      <c r="R243" s="671"/>
      <c r="S243" s="671"/>
      <c r="T243" s="671"/>
      <c r="U243" s="671"/>
      <c r="V243" s="672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70" t="s">
        <v>40</v>
      </c>
      <c r="Q244" s="671"/>
      <c r="R244" s="671"/>
      <c r="S244" s="671"/>
      <c r="T244" s="671"/>
      <c r="U244" s="671"/>
      <c r="V244" s="672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63" t="s">
        <v>180</v>
      </c>
      <c r="B245" s="663"/>
      <c r="C245" s="663"/>
      <c r="D245" s="663"/>
      <c r="E245" s="663"/>
      <c r="F245" s="663"/>
      <c r="G245" s="663"/>
      <c r="H245" s="663"/>
      <c r="I245" s="663"/>
      <c r="J245" s="663"/>
      <c r="K245" s="663"/>
      <c r="L245" s="663"/>
      <c r="M245" s="663"/>
      <c r="N245" s="663"/>
      <c r="O245" s="663"/>
      <c r="P245" s="663"/>
      <c r="Q245" s="663"/>
      <c r="R245" s="663"/>
      <c r="S245" s="663"/>
      <c r="T245" s="663"/>
      <c r="U245" s="663"/>
      <c r="V245" s="663"/>
      <c r="W245" s="663"/>
      <c r="X245" s="663"/>
      <c r="Y245" s="663"/>
      <c r="Z245" s="663"/>
      <c r="AA245" s="63"/>
      <c r="AB245" s="63"/>
      <c r="AC245" s="63"/>
    </row>
    <row r="246" spans="1:68" ht="16.5" hidden="1" customHeight="1" x14ac:dyDescent="0.25">
      <c r="A246" s="60" t="s">
        <v>417</v>
      </c>
      <c r="B246" s="60" t="s">
        <v>418</v>
      </c>
      <c r="C246" s="34">
        <v>4301020261</v>
      </c>
      <c r="D246" s="664">
        <v>4680115882935</v>
      </c>
      <c r="E246" s="664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151</v>
      </c>
      <c r="L246" s="35" t="s">
        <v>46</v>
      </c>
      <c r="M246" s="36" t="s">
        <v>150</v>
      </c>
      <c r="N246" s="36"/>
      <c r="O246" s="35">
        <v>50</v>
      </c>
      <c r="P246" s="7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66"/>
      <c r="R246" s="666"/>
      <c r="S246" s="666"/>
      <c r="T246" s="66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419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420</v>
      </c>
      <c r="B247" s="60" t="s">
        <v>421</v>
      </c>
      <c r="C247" s="34">
        <v>4301020220</v>
      </c>
      <c r="D247" s="664">
        <v>4680115880764</v>
      </c>
      <c r="E247" s="664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88</v>
      </c>
      <c r="L247" s="35" t="s">
        <v>46</v>
      </c>
      <c r="M247" s="36" t="s">
        <v>150</v>
      </c>
      <c r="N247" s="36"/>
      <c r="O247" s="35">
        <v>50</v>
      </c>
      <c r="P247" s="7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66"/>
      <c r="R247" s="666"/>
      <c r="S247" s="666"/>
      <c r="T247" s="667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419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70" t="s">
        <v>40</v>
      </c>
      <c r="Q248" s="671"/>
      <c r="R248" s="671"/>
      <c r="S248" s="671"/>
      <c r="T248" s="671"/>
      <c r="U248" s="671"/>
      <c r="V248" s="672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73"/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4"/>
      <c r="P249" s="670" t="s">
        <v>40</v>
      </c>
      <c r="Q249" s="671"/>
      <c r="R249" s="671"/>
      <c r="S249" s="671"/>
      <c r="T249" s="671"/>
      <c r="U249" s="671"/>
      <c r="V249" s="672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63" t="s">
        <v>77</v>
      </c>
      <c r="B250" s="663"/>
      <c r="C250" s="663"/>
      <c r="D250" s="663"/>
      <c r="E250" s="663"/>
      <c r="F250" s="663"/>
      <c r="G250" s="663"/>
      <c r="H250" s="663"/>
      <c r="I250" s="663"/>
      <c r="J250" s="663"/>
      <c r="K250" s="663"/>
      <c r="L250" s="663"/>
      <c r="M250" s="663"/>
      <c r="N250" s="663"/>
      <c r="O250" s="663"/>
      <c r="P250" s="663"/>
      <c r="Q250" s="663"/>
      <c r="R250" s="663"/>
      <c r="S250" s="663"/>
      <c r="T250" s="663"/>
      <c r="U250" s="663"/>
      <c r="V250" s="663"/>
      <c r="W250" s="663"/>
      <c r="X250" s="663"/>
      <c r="Y250" s="663"/>
      <c r="Z250" s="663"/>
      <c r="AA250" s="63"/>
      <c r="AB250" s="63"/>
      <c r="AC250" s="63"/>
    </row>
    <row r="251" spans="1:68" ht="27" hidden="1" customHeight="1" x14ac:dyDescent="0.25">
      <c r="A251" s="60" t="s">
        <v>422</v>
      </c>
      <c r="B251" s="60" t="s">
        <v>423</v>
      </c>
      <c r="C251" s="34">
        <v>4301031224</v>
      </c>
      <c r="D251" s="664">
        <v>4680115882683</v>
      </c>
      <c r="E251" s="664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158</v>
      </c>
      <c r="L251" s="35" t="s">
        <v>46</v>
      </c>
      <c r="M251" s="36" t="s">
        <v>83</v>
      </c>
      <c r="N251" s="36"/>
      <c r="O251" s="35">
        <v>40</v>
      </c>
      <c r="P251" s="78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66"/>
      <c r="R251" s="666"/>
      <c r="S251" s="666"/>
      <c r="T251" s="667"/>
      <c r="U251" s="37" t="s">
        <v>46</v>
      </c>
      <c r="V251" s="37" t="s">
        <v>46</v>
      </c>
      <c r="W251" s="38" t="s">
        <v>0</v>
      </c>
      <c r="X251" s="56"/>
      <c r="Y251" s="53">
        <f t="shared" ref="Y251:Y258" si="27">IFERROR(IF(X251="",0,CEILING((X251/$H251),1)*$H251),"")</f>
        <v>0</v>
      </c>
      <c r="Z251" s="39" t="str">
        <f>IFERROR(IF(Y251=0,"",ROUNDUP(Y251/H251,0)*0.00902),"")</f>
        <v/>
      </c>
      <c r="AA251" s="65" t="s">
        <v>46</v>
      </c>
      <c r="AB251" s="66" t="s">
        <v>46</v>
      </c>
      <c r="AC251" s="313" t="s">
        <v>424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28">IFERROR(X251*I251/H251,"0")</f>
        <v>0</v>
      </c>
      <c r="BN251" s="75">
        <f t="shared" ref="BN251:BN258" si="29">IFERROR(Y251*I251/H251,"0")</f>
        <v>0</v>
      </c>
      <c r="BO251" s="75">
        <f t="shared" ref="BO251:BO258" si="30">IFERROR(1/J251*(X251/H251),"0")</f>
        <v>0</v>
      </c>
      <c r="BP251" s="75">
        <f t="shared" ref="BP251:BP258" si="31">IFERROR(1/J251*(Y251/H251),"0")</f>
        <v>0</v>
      </c>
    </row>
    <row r="252" spans="1:68" ht="27" hidden="1" customHeight="1" x14ac:dyDescent="0.25">
      <c r="A252" s="60" t="s">
        <v>425</v>
      </c>
      <c r="B252" s="60" t="s">
        <v>426</v>
      </c>
      <c r="C252" s="34">
        <v>4301031230</v>
      </c>
      <c r="D252" s="664">
        <v>4680115882690</v>
      </c>
      <c r="E252" s="664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158</v>
      </c>
      <c r="L252" s="35" t="s">
        <v>46</v>
      </c>
      <c r="M252" s="36" t="s">
        <v>83</v>
      </c>
      <c r="N252" s="36"/>
      <c r="O252" s="35">
        <v>40</v>
      </c>
      <c r="P252" s="78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66"/>
      <c r="R252" s="666"/>
      <c r="S252" s="666"/>
      <c r="T252" s="667"/>
      <c r="U252" s="37" t="s">
        <v>46</v>
      </c>
      <c r="V252" s="37" t="s">
        <v>46</v>
      </c>
      <c r="W252" s="38" t="s">
        <v>0</v>
      </c>
      <c r="X252" s="56"/>
      <c r="Y252" s="53">
        <f t="shared" si="27"/>
        <v>0</v>
      </c>
      <c r="Z252" s="39" t="str">
        <f>IFERROR(IF(Y252=0,"",ROUNDUP(Y252/H252,0)*0.00902),"")</f>
        <v/>
      </c>
      <c r="AA252" s="65" t="s">
        <v>46</v>
      </c>
      <c r="AB252" s="66" t="s">
        <v>46</v>
      </c>
      <c r="AC252" s="315" t="s">
        <v>427</v>
      </c>
      <c r="AG252" s="75"/>
      <c r="AJ252" s="79" t="s">
        <v>46</v>
      </c>
      <c r="AK252" s="79">
        <v>0</v>
      </c>
      <c r="BB252" s="316" t="s">
        <v>67</v>
      </c>
      <c r="BM252" s="75">
        <f t="shared" si="28"/>
        <v>0</v>
      </c>
      <c r="BN252" s="75">
        <f t="shared" si="29"/>
        <v>0</v>
      </c>
      <c r="BO252" s="75">
        <f t="shared" si="30"/>
        <v>0</v>
      </c>
      <c r="BP252" s="75">
        <f t="shared" si="31"/>
        <v>0</v>
      </c>
    </row>
    <row r="253" spans="1:68" ht="27" hidden="1" customHeight="1" x14ac:dyDescent="0.25">
      <c r="A253" s="60" t="s">
        <v>428</v>
      </c>
      <c r="B253" s="60" t="s">
        <v>429</v>
      </c>
      <c r="C253" s="34">
        <v>4301031220</v>
      </c>
      <c r="D253" s="664">
        <v>4680115882669</v>
      </c>
      <c r="E253" s="664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158</v>
      </c>
      <c r="L253" s="35" t="s">
        <v>46</v>
      </c>
      <c r="M253" s="36" t="s">
        <v>83</v>
      </c>
      <c r="N253" s="36"/>
      <c r="O253" s="35">
        <v>40</v>
      </c>
      <c r="P253" s="7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66"/>
      <c r="R253" s="666"/>
      <c r="S253" s="666"/>
      <c r="T253" s="667"/>
      <c r="U253" s="37" t="s">
        <v>46</v>
      </c>
      <c r="V253" s="37" t="s">
        <v>46</v>
      </c>
      <c r="W253" s="38" t="s">
        <v>0</v>
      </c>
      <c r="X253" s="56"/>
      <c r="Y253" s="53">
        <f t="shared" si="27"/>
        <v>0</v>
      </c>
      <c r="Z253" s="39" t="str">
        <f>IFERROR(IF(Y253=0,"",ROUNDUP(Y253/H253,0)*0.00902),"")</f>
        <v/>
      </c>
      <c r="AA253" s="65" t="s">
        <v>46</v>
      </c>
      <c r="AB253" s="66" t="s">
        <v>46</v>
      </c>
      <c r="AC253" s="317" t="s">
        <v>430</v>
      </c>
      <c r="AG253" s="75"/>
      <c r="AJ253" s="79" t="s">
        <v>46</v>
      </c>
      <c r="AK253" s="79">
        <v>0</v>
      </c>
      <c r="BB253" s="318" t="s">
        <v>67</v>
      </c>
      <c r="BM253" s="75">
        <f t="shared" si="28"/>
        <v>0</v>
      </c>
      <c r="BN253" s="75">
        <f t="shared" si="29"/>
        <v>0</v>
      </c>
      <c r="BO253" s="75">
        <f t="shared" si="30"/>
        <v>0</v>
      </c>
      <c r="BP253" s="75">
        <f t="shared" si="31"/>
        <v>0</v>
      </c>
    </row>
    <row r="254" spans="1:68" ht="27" hidden="1" customHeight="1" x14ac:dyDescent="0.25">
      <c r="A254" s="60" t="s">
        <v>431</v>
      </c>
      <c r="B254" s="60" t="s">
        <v>432</v>
      </c>
      <c r="C254" s="34">
        <v>4301031221</v>
      </c>
      <c r="D254" s="664">
        <v>4680115882676</v>
      </c>
      <c r="E254" s="664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158</v>
      </c>
      <c r="L254" s="35" t="s">
        <v>46</v>
      </c>
      <c r="M254" s="36" t="s">
        <v>83</v>
      </c>
      <c r="N254" s="36"/>
      <c r="O254" s="35">
        <v>40</v>
      </c>
      <c r="P254" s="7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66"/>
      <c r="R254" s="666"/>
      <c r="S254" s="666"/>
      <c r="T254" s="667"/>
      <c r="U254" s="37" t="s">
        <v>46</v>
      </c>
      <c r="V254" s="37" t="s">
        <v>46</v>
      </c>
      <c r="W254" s="38" t="s">
        <v>0</v>
      </c>
      <c r="X254" s="56"/>
      <c r="Y254" s="53">
        <f t="shared" si="27"/>
        <v>0</v>
      </c>
      <c r="Z254" s="39" t="str">
        <f>IFERROR(IF(Y254=0,"",ROUNDUP(Y254/H254,0)*0.00902),"")</f>
        <v/>
      </c>
      <c r="AA254" s="65" t="s">
        <v>46</v>
      </c>
      <c r="AB254" s="66" t="s">
        <v>46</v>
      </c>
      <c r="AC254" s="319" t="s">
        <v>433</v>
      </c>
      <c r="AG254" s="75"/>
      <c r="AJ254" s="79" t="s">
        <v>46</v>
      </c>
      <c r="AK254" s="79">
        <v>0</v>
      </c>
      <c r="BB254" s="320" t="s">
        <v>67</v>
      </c>
      <c r="BM254" s="75">
        <f t="shared" si="28"/>
        <v>0</v>
      </c>
      <c r="BN254" s="75">
        <f t="shared" si="29"/>
        <v>0</v>
      </c>
      <c r="BO254" s="75">
        <f t="shared" si="30"/>
        <v>0</v>
      </c>
      <c r="BP254" s="75">
        <f t="shared" si="31"/>
        <v>0</v>
      </c>
    </row>
    <row r="255" spans="1:68" ht="27" hidden="1" customHeight="1" x14ac:dyDescent="0.25">
      <c r="A255" s="60" t="s">
        <v>434</v>
      </c>
      <c r="B255" s="60" t="s">
        <v>435</v>
      </c>
      <c r="C255" s="34">
        <v>4301031223</v>
      </c>
      <c r="D255" s="664">
        <v>4680115884014</v>
      </c>
      <c r="E255" s="664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84</v>
      </c>
      <c r="L255" s="35" t="s">
        <v>46</v>
      </c>
      <c r="M255" s="36" t="s">
        <v>83</v>
      </c>
      <c r="N255" s="36"/>
      <c r="O255" s="35">
        <v>40</v>
      </c>
      <c r="P255" s="79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66"/>
      <c r="R255" s="666"/>
      <c r="S255" s="666"/>
      <c r="T255" s="667"/>
      <c r="U255" s="37" t="s">
        <v>46</v>
      </c>
      <c r="V255" s="37" t="s">
        <v>46</v>
      </c>
      <c r="W255" s="38" t="s">
        <v>0</v>
      </c>
      <c r="X255" s="56"/>
      <c r="Y255" s="53">
        <f t="shared" si="27"/>
        <v>0</v>
      </c>
      <c r="Z255" s="39" t="str">
        <f>IFERROR(IF(Y255=0,"",ROUNDUP(Y255/H255,0)*0.00502),"")</f>
        <v/>
      </c>
      <c r="AA255" s="65" t="s">
        <v>46</v>
      </c>
      <c r="AB255" s="66" t="s">
        <v>46</v>
      </c>
      <c r="AC255" s="321" t="s">
        <v>424</v>
      </c>
      <c r="AG255" s="75"/>
      <c r="AJ255" s="79" t="s">
        <v>46</v>
      </c>
      <c r="AK255" s="79">
        <v>0</v>
      </c>
      <c r="BB255" s="322" t="s">
        <v>67</v>
      </c>
      <c r="BM255" s="75">
        <f t="shared" si="28"/>
        <v>0</v>
      </c>
      <c r="BN255" s="75">
        <f t="shared" si="29"/>
        <v>0</v>
      </c>
      <c r="BO255" s="75">
        <f t="shared" si="30"/>
        <v>0</v>
      </c>
      <c r="BP255" s="75">
        <f t="shared" si="31"/>
        <v>0</v>
      </c>
    </row>
    <row r="256" spans="1:68" ht="27" hidden="1" customHeight="1" x14ac:dyDescent="0.25">
      <c r="A256" s="60" t="s">
        <v>436</v>
      </c>
      <c r="B256" s="60" t="s">
        <v>437</v>
      </c>
      <c r="C256" s="34">
        <v>4301031222</v>
      </c>
      <c r="D256" s="664">
        <v>4680115884007</v>
      </c>
      <c r="E256" s="664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84</v>
      </c>
      <c r="L256" s="35" t="s">
        <v>46</v>
      </c>
      <c r="M256" s="36" t="s">
        <v>83</v>
      </c>
      <c r="N256" s="36"/>
      <c r="O256" s="35">
        <v>40</v>
      </c>
      <c r="P256" s="79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66"/>
      <c r="R256" s="666"/>
      <c r="S256" s="666"/>
      <c r="T256" s="667"/>
      <c r="U256" s="37" t="s">
        <v>46</v>
      </c>
      <c r="V256" s="37" t="s">
        <v>46</v>
      </c>
      <c r="W256" s="38" t="s">
        <v>0</v>
      </c>
      <c r="X256" s="56"/>
      <c r="Y256" s="53">
        <f t="shared" si="27"/>
        <v>0</v>
      </c>
      <c r="Z256" s="39" t="str">
        <f>IFERROR(IF(Y256=0,"",ROUNDUP(Y256/H256,0)*0.00502),"")</f>
        <v/>
      </c>
      <c r="AA256" s="65" t="s">
        <v>46</v>
      </c>
      <c r="AB256" s="66" t="s">
        <v>46</v>
      </c>
      <c r="AC256" s="323" t="s">
        <v>427</v>
      </c>
      <c r="AG256" s="75"/>
      <c r="AJ256" s="79" t="s">
        <v>46</v>
      </c>
      <c r="AK256" s="79">
        <v>0</v>
      </c>
      <c r="BB256" s="324" t="s">
        <v>67</v>
      </c>
      <c r="BM256" s="75">
        <f t="shared" si="28"/>
        <v>0</v>
      </c>
      <c r="BN256" s="75">
        <f t="shared" si="29"/>
        <v>0</v>
      </c>
      <c r="BO256" s="75">
        <f t="shared" si="30"/>
        <v>0</v>
      </c>
      <c r="BP256" s="75">
        <f t="shared" si="31"/>
        <v>0</v>
      </c>
    </row>
    <row r="257" spans="1:68" ht="27" hidden="1" customHeight="1" x14ac:dyDescent="0.25">
      <c r="A257" s="60" t="s">
        <v>438</v>
      </c>
      <c r="B257" s="60" t="s">
        <v>439</v>
      </c>
      <c r="C257" s="34">
        <v>4301031229</v>
      </c>
      <c r="D257" s="664">
        <v>4680115884038</v>
      </c>
      <c r="E257" s="664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84</v>
      </c>
      <c r="L257" s="35" t="s">
        <v>46</v>
      </c>
      <c r="M257" s="36" t="s">
        <v>83</v>
      </c>
      <c r="N257" s="36"/>
      <c r="O257" s="35">
        <v>40</v>
      </c>
      <c r="P257" s="79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66"/>
      <c r="R257" s="666"/>
      <c r="S257" s="666"/>
      <c r="T257" s="667"/>
      <c r="U257" s="37" t="s">
        <v>46</v>
      </c>
      <c r="V257" s="37" t="s">
        <v>46</v>
      </c>
      <c r="W257" s="38" t="s">
        <v>0</v>
      </c>
      <c r="X257" s="56"/>
      <c r="Y257" s="53">
        <f t="shared" si="27"/>
        <v>0</v>
      </c>
      <c r="Z257" s="39" t="str">
        <f>IFERROR(IF(Y257=0,"",ROUNDUP(Y257/H257,0)*0.00502),"")</f>
        <v/>
      </c>
      <c r="AA257" s="65" t="s">
        <v>46</v>
      </c>
      <c r="AB257" s="66" t="s">
        <v>46</v>
      </c>
      <c r="AC257" s="325" t="s">
        <v>430</v>
      </c>
      <c r="AG257" s="75"/>
      <c r="AJ257" s="79" t="s">
        <v>46</v>
      </c>
      <c r="AK257" s="79">
        <v>0</v>
      </c>
      <c r="BB257" s="326" t="s">
        <v>67</v>
      </c>
      <c r="BM257" s="75">
        <f t="shared" si="28"/>
        <v>0</v>
      </c>
      <c r="BN257" s="75">
        <f t="shared" si="29"/>
        <v>0</v>
      </c>
      <c r="BO257" s="75">
        <f t="shared" si="30"/>
        <v>0</v>
      </c>
      <c r="BP257" s="75">
        <f t="shared" si="31"/>
        <v>0</v>
      </c>
    </row>
    <row r="258" spans="1:68" ht="27" hidden="1" customHeight="1" x14ac:dyDescent="0.25">
      <c r="A258" s="60" t="s">
        <v>440</v>
      </c>
      <c r="B258" s="60" t="s">
        <v>441</v>
      </c>
      <c r="C258" s="34">
        <v>4301031225</v>
      </c>
      <c r="D258" s="664">
        <v>4680115884021</v>
      </c>
      <c r="E258" s="664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84</v>
      </c>
      <c r="L258" s="35" t="s">
        <v>46</v>
      </c>
      <c r="M258" s="36" t="s">
        <v>83</v>
      </c>
      <c r="N258" s="36"/>
      <c r="O258" s="35">
        <v>40</v>
      </c>
      <c r="P258" s="79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66"/>
      <c r="R258" s="666"/>
      <c r="S258" s="666"/>
      <c r="T258" s="667"/>
      <c r="U258" s="37" t="s">
        <v>46</v>
      </c>
      <c r="V258" s="37" t="s">
        <v>46</v>
      </c>
      <c r="W258" s="38" t="s">
        <v>0</v>
      </c>
      <c r="X258" s="56"/>
      <c r="Y258" s="53">
        <f t="shared" si="27"/>
        <v>0</v>
      </c>
      <c r="Z258" s="39" t="str">
        <f>IFERROR(IF(Y258=0,"",ROUNDUP(Y258/H258,0)*0.00502),"")</f>
        <v/>
      </c>
      <c r="AA258" s="65" t="s">
        <v>46</v>
      </c>
      <c r="AB258" s="66" t="s">
        <v>46</v>
      </c>
      <c r="AC258" s="327" t="s">
        <v>433</v>
      </c>
      <c r="AG258" s="75"/>
      <c r="AJ258" s="79" t="s">
        <v>46</v>
      </c>
      <c r="AK258" s="79">
        <v>0</v>
      </c>
      <c r="BB258" s="328" t="s">
        <v>67</v>
      </c>
      <c r="BM258" s="75">
        <f t="shared" si="28"/>
        <v>0</v>
      </c>
      <c r="BN258" s="75">
        <f t="shared" si="29"/>
        <v>0</v>
      </c>
      <c r="BO258" s="75">
        <f t="shared" si="30"/>
        <v>0</v>
      </c>
      <c r="BP258" s="75">
        <f t="shared" si="31"/>
        <v>0</v>
      </c>
    </row>
    <row r="259" spans="1:68" hidden="1" x14ac:dyDescent="0.2">
      <c r="A259" s="673"/>
      <c r="B259" s="673"/>
      <c r="C259" s="673"/>
      <c r="D259" s="673"/>
      <c r="E259" s="673"/>
      <c r="F259" s="673"/>
      <c r="G259" s="673"/>
      <c r="H259" s="673"/>
      <c r="I259" s="673"/>
      <c r="J259" s="673"/>
      <c r="K259" s="673"/>
      <c r="L259" s="673"/>
      <c r="M259" s="673"/>
      <c r="N259" s="673"/>
      <c r="O259" s="674"/>
      <c r="P259" s="670" t="s">
        <v>40</v>
      </c>
      <c r="Q259" s="671"/>
      <c r="R259" s="671"/>
      <c r="S259" s="671"/>
      <c r="T259" s="671"/>
      <c r="U259" s="671"/>
      <c r="V259" s="672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0</v>
      </c>
      <c r="Y259" s="41">
        <f>IFERROR(Y251/H251,"0")+IFERROR(Y252/H252,"0")+IFERROR(Y253/H253,"0")+IFERROR(Y254/H254,"0")+IFERROR(Y255/H255,"0")+IFERROR(Y256/H256,"0")+IFERROR(Y257/H257,"0")+IFERROR(Y258/H258,"0")</f>
        <v>0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</v>
      </c>
      <c r="AA259" s="64"/>
      <c r="AB259" s="64"/>
      <c r="AC259" s="64"/>
    </row>
    <row r="260" spans="1:68" hidden="1" x14ac:dyDescent="0.2">
      <c r="A260" s="673"/>
      <c r="B260" s="673"/>
      <c r="C260" s="673"/>
      <c r="D260" s="673"/>
      <c r="E260" s="673"/>
      <c r="F260" s="673"/>
      <c r="G260" s="673"/>
      <c r="H260" s="673"/>
      <c r="I260" s="673"/>
      <c r="J260" s="673"/>
      <c r="K260" s="673"/>
      <c r="L260" s="673"/>
      <c r="M260" s="673"/>
      <c r="N260" s="673"/>
      <c r="O260" s="674"/>
      <c r="P260" s="670" t="s">
        <v>40</v>
      </c>
      <c r="Q260" s="671"/>
      <c r="R260" s="671"/>
      <c r="S260" s="671"/>
      <c r="T260" s="671"/>
      <c r="U260" s="671"/>
      <c r="V260" s="672"/>
      <c r="W260" s="40" t="s">
        <v>0</v>
      </c>
      <c r="X260" s="41">
        <f>IFERROR(SUM(X251:X258),"0")</f>
        <v>0</v>
      </c>
      <c r="Y260" s="41">
        <f>IFERROR(SUM(Y251:Y258),"0")</f>
        <v>0</v>
      </c>
      <c r="Z260" s="40"/>
      <c r="AA260" s="64"/>
      <c r="AB260" s="64"/>
      <c r="AC260" s="64"/>
    </row>
    <row r="261" spans="1:68" ht="14.25" hidden="1" customHeight="1" x14ac:dyDescent="0.25">
      <c r="A261" s="663" t="s">
        <v>92</v>
      </c>
      <c r="B261" s="663"/>
      <c r="C261" s="663"/>
      <c r="D261" s="663"/>
      <c r="E261" s="663"/>
      <c r="F261" s="663"/>
      <c r="G261" s="663"/>
      <c r="H261" s="663"/>
      <c r="I261" s="663"/>
      <c r="J261" s="663"/>
      <c r="K261" s="663"/>
      <c r="L261" s="663"/>
      <c r="M261" s="663"/>
      <c r="N261" s="663"/>
      <c r="O261" s="663"/>
      <c r="P261" s="663"/>
      <c r="Q261" s="663"/>
      <c r="R261" s="663"/>
      <c r="S261" s="663"/>
      <c r="T261" s="663"/>
      <c r="U261" s="663"/>
      <c r="V261" s="663"/>
      <c r="W261" s="663"/>
      <c r="X261" s="663"/>
      <c r="Y261" s="663"/>
      <c r="Z261" s="663"/>
      <c r="AA261" s="63"/>
      <c r="AB261" s="63"/>
      <c r="AC261" s="63"/>
    </row>
    <row r="262" spans="1:68" ht="37.5" hidden="1" customHeight="1" x14ac:dyDescent="0.25">
      <c r="A262" s="60" t="s">
        <v>442</v>
      </c>
      <c r="B262" s="60" t="s">
        <v>443</v>
      </c>
      <c r="C262" s="34">
        <v>4301051408</v>
      </c>
      <c r="D262" s="664">
        <v>4680115881594</v>
      </c>
      <c r="E262" s="664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151</v>
      </c>
      <c r="L262" s="35" t="s">
        <v>46</v>
      </c>
      <c r="M262" s="36" t="s">
        <v>96</v>
      </c>
      <c r="N262" s="36"/>
      <c r="O262" s="35">
        <v>40</v>
      </c>
      <c r="P262" s="79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66"/>
      <c r="R262" s="666"/>
      <c r="S262" s="666"/>
      <c r="T262" s="667"/>
      <c r="U262" s="37" t="s">
        <v>46</v>
      </c>
      <c r="V262" s="37" t="s">
        <v>46</v>
      </c>
      <c r="W262" s="38" t="s">
        <v>0</v>
      </c>
      <c r="X262" s="56"/>
      <c r="Y262" s="53">
        <f t="shared" ref="Y262:Y271" si="32"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29" t="s">
        <v>444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1" si="33">IFERROR(X262*I262/H262,"0")</f>
        <v>0</v>
      </c>
      <c r="BN262" s="75">
        <f t="shared" ref="BN262:BN271" si="34">IFERROR(Y262*I262/H262,"0")</f>
        <v>0</v>
      </c>
      <c r="BO262" s="75">
        <f t="shared" ref="BO262:BO271" si="35">IFERROR(1/J262*(X262/H262),"0")</f>
        <v>0</v>
      </c>
      <c r="BP262" s="75">
        <f t="shared" ref="BP262:BP271" si="36">IFERROR(1/J262*(Y262/H262),"0")</f>
        <v>0</v>
      </c>
    </row>
    <row r="263" spans="1:68" ht="37.5" hidden="1" customHeight="1" x14ac:dyDescent="0.25">
      <c r="A263" s="60" t="s">
        <v>445</v>
      </c>
      <c r="B263" s="60" t="s">
        <v>446</v>
      </c>
      <c r="C263" s="34">
        <v>4301051411</v>
      </c>
      <c r="D263" s="664">
        <v>4680115881617</v>
      </c>
      <c r="E263" s="664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151</v>
      </c>
      <c r="L263" s="35" t="s">
        <v>46</v>
      </c>
      <c r="M263" s="36" t="s">
        <v>96</v>
      </c>
      <c r="N263" s="36"/>
      <c r="O263" s="35">
        <v>40</v>
      </c>
      <c r="P263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66"/>
      <c r="R263" s="666"/>
      <c r="S263" s="666"/>
      <c r="T263" s="667"/>
      <c r="U263" s="37" t="s">
        <v>46</v>
      </c>
      <c r="V263" s="37" t="s">
        <v>46</v>
      </c>
      <c r="W263" s="38" t="s">
        <v>0</v>
      </c>
      <c r="X263" s="56"/>
      <c r="Y263" s="53">
        <f t="shared" si="32"/>
        <v>0</v>
      </c>
      <c r="Z263" s="39" t="str">
        <f>IFERROR(IF(Y263=0,"",ROUNDUP(Y263/H263,0)*0.01898),"")</f>
        <v/>
      </c>
      <c r="AA263" s="65" t="s">
        <v>46</v>
      </c>
      <c r="AB263" s="66" t="s">
        <v>46</v>
      </c>
      <c r="AC263" s="331" t="s">
        <v>447</v>
      </c>
      <c r="AG263" s="75"/>
      <c r="AJ263" s="79" t="s">
        <v>46</v>
      </c>
      <c r="AK263" s="79">
        <v>0</v>
      </c>
      <c r="BB263" s="332" t="s">
        <v>67</v>
      </c>
      <c r="BM263" s="75">
        <f t="shared" si="33"/>
        <v>0</v>
      </c>
      <c r="BN263" s="75">
        <f t="shared" si="34"/>
        <v>0</v>
      </c>
      <c r="BO263" s="75">
        <f t="shared" si="35"/>
        <v>0</v>
      </c>
      <c r="BP263" s="75">
        <f t="shared" si="36"/>
        <v>0</v>
      </c>
    </row>
    <row r="264" spans="1:68" ht="27" hidden="1" customHeight="1" x14ac:dyDescent="0.25">
      <c r="A264" s="60" t="s">
        <v>448</v>
      </c>
      <c r="B264" s="60" t="s">
        <v>449</v>
      </c>
      <c r="C264" s="34">
        <v>4301051656</v>
      </c>
      <c r="D264" s="664">
        <v>4680115880573</v>
      </c>
      <c r="E264" s="664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151</v>
      </c>
      <c r="L264" s="35" t="s">
        <v>46</v>
      </c>
      <c r="M264" s="36" t="s">
        <v>96</v>
      </c>
      <c r="N264" s="36"/>
      <c r="O264" s="35">
        <v>45</v>
      </c>
      <c r="P264" s="7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66"/>
      <c r="R264" s="666"/>
      <c r="S264" s="666"/>
      <c r="T264" s="667"/>
      <c r="U264" s="37" t="s">
        <v>46</v>
      </c>
      <c r="V264" s="37" t="s">
        <v>46</v>
      </c>
      <c r="W264" s="38" t="s">
        <v>0</v>
      </c>
      <c r="X264" s="56"/>
      <c r="Y264" s="53">
        <f t="shared" si="32"/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3" t="s">
        <v>450</v>
      </c>
      <c r="AG264" s="75"/>
      <c r="AJ264" s="79" t="s">
        <v>46</v>
      </c>
      <c r="AK264" s="79">
        <v>0</v>
      </c>
      <c r="BB264" s="334" t="s">
        <v>67</v>
      </c>
      <c r="BM264" s="75">
        <f t="shared" si="33"/>
        <v>0</v>
      </c>
      <c r="BN264" s="75">
        <f t="shared" si="34"/>
        <v>0</v>
      </c>
      <c r="BO264" s="75">
        <f t="shared" si="35"/>
        <v>0</v>
      </c>
      <c r="BP264" s="75">
        <f t="shared" si="36"/>
        <v>0</v>
      </c>
    </row>
    <row r="265" spans="1:68" ht="37.5" hidden="1" customHeight="1" x14ac:dyDescent="0.25">
      <c r="A265" s="60" t="s">
        <v>451</v>
      </c>
      <c r="B265" s="60" t="s">
        <v>452</v>
      </c>
      <c r="C265" s="34">
        <v>4301051407</v>
      </c>
      <c r="D265" s="664">
        <v>4680115882195</v>
      </c>
      <c r="E265" s="664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88</v>
      </c>
      <c r="L265" s="35" t="s">
        <v>46</v>
      </c>
      <c r="M265" s="36" t="s">
        <v>96</v>
      </c>
      <c r="N265" s="36"/>
      <c r="O265" s="35">
        <v>40</v>
      </c>
      <c r="P265" s="7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66"/>
      <c r="R265" s="666"/>
      <c r="S265" s="666"/>
      <c r="T265" s="667"/>
      <c r="U265" s="37" t="s">
        <v>46</v>
      </c>
      <c r="V265" s="37" t="s">
        <v>46</v>
      </c>
      <c r="W265" s="38" t="s">
        <v>0</v>
      </c>
      <c r="X265" s="56"/>
      <c r="Y265" s="53">
        <f t="shared" si="32"/>
        <v>0</v>
      </c>
      <c r="Z265" s="39" t="str">
        <f t="shared" ref="Z265:Z271" si="37">IFERROR(IF(Y265=0,"",ROUNDUP(Y265/H265,0)*0.00651),"")</f>
        <v/>
      </c>
      <c r="AA265" s="65" t="s">
        <v>46</v>
      </c>
      <c r="AB265" s="66" t="s">
        <v>46</v>
      </c>
      <c r="AC265" s="335" t="s">
        <v>444</v>
      </c>
      <c r="AG265" s="75"/>
      <c r="AJ265" s="79" t="s">
        <v>46</v>
      </c>
      <c r="AK265" s="79">
        <v>0</v>
      </c>
      <c r="BB265" s="336" t="s">
        <v>67</v>
      </c>
      <c r="BM265" s="75">
        <f t="shared" si="33"/>
        <v>0</v>
      </c>
      <c r="BN265" s="75">
        <f t="shared" si="34"/>
        <v>0</v>
      </c>
      <c r="BO265" s="75">
        <f t="shared" si="35"/>
        <v>0</v>
      </c>
      <c r="BP265" s="75">
        <f t="shared" si="36"/>
        <v>0</v>
      </c>
    </row>
    <row r="266" spans="1:68" ht="27" hidden="1" customHeight="1" x14ac:dyDescent="0.25">
      <c r="A266" s="60" t="s">
        <v>453</v>
      </c>
      <c r="B266" s="60" t="s">
        <v>454</v>
      </c>
      <c r="C266" s="34">
        <v>4301051752</v>
      </c>
      <c r="D266" s="664">
        <v>4680115882607</v>
      </c>
      <c r="E266" s="664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88</v>
      </c>
      <c r="L266" s="35" t="s">
        <v>46</v>
      </c>
      <c r="M266" s="36" t="s">
        <v>102</v>
      </c>
      <c r="N266" s="36"/>
      <c r="O266" s="35">
        <v>45</v>
      </c>
      <c r="P266" s="80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66"/>
      <c r="R266" s="666"/>
      <c r="S266" s="666"/>
      <c r="T266" s="667"/>
      <c r="U266" s="37" t="s">
        <v>46</v>
      </c>
      <c r="V266" s="37" t="s">
        <v>46</v>
      </c>
      <c r="W266" s="38" t="s">
        <v>0</v>
      </c>
      <c r="X266" s="56"/>
      <c r="Y266" s="53">
        <f t="shared" si="32"/>
        <v>0</v>
      </c>
      <c r="Z266" s="39" t="str">
        <f t="shared" si="37"/>
        <v/>
      </c>
      <c r="AA266" s="65" t="s">
        <v>46</v>
      </c>
      <c r="AB266" s="66" t="s">
        <v>46</v>
      </c>
      <c r="AC266" s="337" t="s">
        <v>450</v>
      </c>
      <c r="AG266" s="75"/>
      <c r="AJ266" s="79" t="s">
        <v>46</v>
      </c>
      <c r="AK266" s="79">
        <v>0</v>
      </c>
      <c r="BB266" s="338" t="s">
        <v>67</v>
      </c>
      <c r="BM266" s="75">
        <f t="shared" si="33"/>
        <v>0</v>
      </c>
      <c r="BN266" s="75">
        <f t="shared" si="34"/>
        <v>0</v>
      </c>
      <c r="BO266" s="75">
        <f t="shared" si="35"/>
        <v>0</v>
      </c>
      <c r="BP266" s="75">
        <f t="shared" si="36"/>
        <v>0</v>
      </c>
    </row>
    <row r="267" spans="1:68" ht="27" hidden="1" customHeight="1" x14ac:dyDescent="0.25">
      <c r="A267" s="60" t="s">
        <v>455</v>
      </c>
      <c r="B267" s="60" t="s">
        <v>456</v>
      </c>
      <c r="C267" s="34">
        <v>4301051666</v>
      </c>
      <c r="D267" s="664">
        <v>4680115880092</v>
      </c>
      <c r="E267" s="664"/>
      <c r="F267" s="59">
        <v>0.4</v>
      </c>
      <c r="G267" s="35">
        <v>6</v>
      </c>
      <c r="H267" s="59">
        <v>2.4</v>
      </c>
      <c r="I267" s="59">
        <v>2.6520000000000001</v>
      </c>
      <c r="J267" s="35">
        <v>182</v>
      </c>
      <c r="K267" s="35" t="s">
        <v>88</v>
      </c>
      <c r="L267" s="35" t="s">
        <v>46</v>
      </c>
      <c r="M267" s="36" t="s">
        <v>96</v>
      </c>
      <c r="N267" s="36"/>
      <c r="O267" s="35">
        <v>45</v>
      </c>
      <c r="P267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7" s="666"/>
      <c r="R267" s="666"/>
      <c r="S267" s="666"/>
      <c r="T267" s="667"/>
      <c r="U267" s="37" t="s">
        <v>46</v>
      </c>
      <c r="V267" s="37" t="s">
        <v>46</v>
      </c>
      <c r="W267" s="38" t="s">
        <v>0</v>
      </c>
      <c r="X267" s="56"/>
      <c r="Y267" s="53">
        <f t="shared" si="32"/>
        <v>0</v>
      </c>
      <c r="Z267" s="39" t="str">
        <f t="shared" si="37"/>
        <v/>
      </c>
      <c r="AA267" s="65" t="s">
        <v>46</v>
      </c>
      <c r="AB267" s="66" t="s">
        <v>46</v>
      </c>
      <c r="AC267" s="339" t="s">
        <v>450</v>
      </c>
      <c r="AG267" s="75"/>
      <c r="AJ267" s="79" t="s">
        <v>46</v>
      </c>
      <c r="AK267" s="79">
        <v>0</v>
      </c>
      <c r="BB267" s="340" t="s">
        <v>67</v>
      </c>
      <c r="BM267" s="75">
        <f t="shared" si="33"/>
        <v>0</v>
      </c>
      <c r="BN267" s="75">
        <f t="shared" si="34"/>
        <v>0</v>
      </c>
      <c r="BO267" s="75">
        <f t="shared" si="35"/>
        <v>0</v>
      </c>
      <c r="BP267" s="75">
        <f t="shared" si="36"/>
        <v>0</v>
      </c>
    </row>
    <row r="268" spans="1:68" ht="27" hidden="1" customHeight="1" x14ac:dyDescent="0.25">
      <c r="A268" s="60" t="s">
        <v>457</v>
      </c>
      <c r="B268" s="60" t="s">
        <v>458</v>
      </c>
      <c r="C268" s="34">
        <v>4301051668</v>
      </c>
      <c r="D268" s="664">
        <v>4680115880221</v>
      </c>
      <c r="E268" s="664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88</v>
      </c>
      <c r="L268" s="35" t="s">
        <v>46</v>
      </c>
      <c r="M268" s="36" t="s">
        <v>96</v>
      </c>
      <c r="N268" s="36"/>
      <c r="O268" s="35">
        <v>45</v>
      </c>
      <c r="P268" s="80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68" s="666"/>
      <c r="R268" s="666"/>
      <c r="S268" s="666"/>
      <c r="T268" s="667"/>
      <c r="U268" s="37" t="s">
        <v>46</v>
      </c>
      <c r="V268" s="37" t="s">
        <v>46</v>
      </c>
      <c r="W268" s="38" t="s">
        <v>0</v>
      </c>
      <c r="X268" s="56"/>
      <c r="Y268" s="53">
        <f t="shared" si="32"/>
        <v>0</v>
      </c>
      <c r="Z268" s="39" t="str">
        <f t="shared" si="37"/>
        <v/>
      </c>
      <c r="AA268" s="65" t="s">
        <v>46</v>
      </c>
      <c r="AB268" s="66" t="s">
        <v>46</v>
      </c>
      <c r="AC268" s="341" t="s">
        <v>450</v>
      </c>
      <c r="AG268" s="75"/>
      <c r="AJ268" s="79" t="s">
        <v>46</v>
      </c>
      <c r="AK268" s="79">
        <v>0</v>
      </c>
      <c r="BB268" s="342" t="s">
        <v>67</v>
      </c>
      <c r="BM268" s="75">
        <f t="shared" si="33"/>
        <v>0</v>
      </c>
      <c r="BN268" s="75">
        <f t="shared" si="34"/>
        <v>0</v>
      </c>
      <c r="BO268" s="75">
        <f t="shared" si="35"/>
        <v>0</v>
      </c>
      <c r="BP268" s="75">
        <f t="shared" si="36"/>
        <v>0</v>
      </c>
    </row>
    <row r="269" spans="1:68" ht="27" hidden="1" customHeight="1" x14ac:dyDescent="0.25">
      <c r="A269" s="60" t="s">
        <v>459</v>
      </c>
      <c r="B269" s="60" t="s">
        <v>460</v>
      </c>
      <c r="C269" s="34">
        <v>4301051945</v>
      </c>
      <c r="D269" s="664">
        <v>4680115880504</v>
      </c>
      <c r="E269" s="664"/>
      <c r="F269" s="59">
        <v>0.4</v>
      </c>
      <c r="G269" s="35">
        <v>6</v>
      </c>
      <c r="H269" s="59">
        <v>2.4</v>
      </c>
      <c r="I269" s="59">
        <v>2.6520000000000001</v>
      </c>
      <c r="J269" s="35">
        <v>182</v>
      </c>
      <c r="K269" s="35" t="s">
        <v>88</v>
      </c>
      <c r="L269" s="35" t="s">
        <v>46</v>
      </c>
      <c r="M269" s="36" t="s">
        <v>102</v>
      </c>
      <c r="N269" s="36"/>
      <c r="O269" s="35">
        <v>40</v>
      </c>
      <c r="P269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69" s="666"/>
      <c r="R269" s="666"/>
      <c r="S269" s="666"/>
      <c r="T269" s="667"/>
      <c r="U269" s="37" t="s">
        <v>46</v>
      </c>
      <c r="V269" s="37" t="s">
        <v>46</v>
      </c>
      <c r="W269" s="38" t="s">
        <v>0</v>
      </c>
      <c r="X269" s="56"/>
      <c r="Y269" s="53">
        <f t="shared" si="32"/>
        <v>0</v>
      </c>
      <c r="Z269" s="39" t="str">
        <f t="shared" si="37"/>
        <v/>
      </c>
      <c r="AA269" s="65" t="s">
        <v>46</v>
      </c>
      <c r="AB269" s="66" t="s">
        <v>46</v>
      </c>
      <c r="AC269" s="343" t="s">
        <v>461</v>
      </c>
      <c r="AG269" s="75"/>
      <c r="AJ269" s="79" t="s">
        <v>46</v>
      </c>
      <c r="AK269" s="79">
        <v>0</v>
      </c>
      <c r="BB269" s="344" t="s">
        <v>67</v>
      </c>
      <c r="BM269" s="75">
        <f t="shared" si="33"/>
        <v>0</v>
      </c>
      <c r="BN269" s="75">
        <f t="shared" si="34"/>
        <v>0</v>
      </c>
      <c r="BO269" s="75">
        <f t="shared" si="35"/>
        <v>0</v>
      </c>
      <c r="BP269" s="75">
        <f t="shared" si="36"/>
        <v>0</v>
      </c>
    </row>
    <row r="270" spans="1:68" ht="27" hidden="1" customHeight="1" x14ac:dyDescent="0.25">
      <c r="A270" s="60" t="s">
        <v>462</v>
      </c>
      <c r="B270" s="60" t="s">
        <v>463</v>
      </c>
      <c r="C270" s="34">
        <v>4301051410</v>
      </c>
      <c r="D270" s="664">
        <v>4680115882164</v>
      </c>
      <c r="E270" s="664"/>
      <c r="F270" s="59">
        <v>0.4</v>
      </c>
      <c r="G270" s="35">
        <v>6</v>
      </c>
      <c r="H270" s="59">
        <v>2.4</v>
      </c>
      <c r="I270" s="59">
        <v>2.6579999999999999</v>
      </c>
      <c r="J270" s="35">
        <v>182</v>
      </c>
      <c r="K270" s="35" t="s">
        <v>88</v>
      </c>
      <c r="L270" s="35" t="s">
        <v>46</v>
      </c>
      <c r="M270" s="36" t="s">
        <v>96</v>
      </c>
      <c r="N270" s="36"/>
      <c r="O270" s="35">
        <v>40</v>
      </c>
      <c r="P270" s="8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0" s="666"/>
      <c r="R270" s="666"/>
      <c r="S270" s="666"/>
      <c r="T270" s="667"/>
      <c r="U270" s="37" t="s">
        <v>46</v>
      </c>
      <c r="V270" s="37" t="s">
        <v>46</v>
      </c>
      <c r="W270" s="38" t="s">
        <v>0</v>
      </c>
      <c r="X270" s="56"/>
      <c r="Y270" s="53">
        <f t="shared" si="32"/>
        <v>0</v>
      </c>
      <c r="Z270" s="39" t="str">
        <f t="shared" si="37"/>
        <v/>
      </c>
      <c r="AA270" s="65" t="s">
        <v>46</v>
      </c>
      <c r="AB270" s="66" t="s">
        <v>46</v>
      </c>
      <c r="AC270" s="345" t="s">
        <v>464</v>
      </c>
      <c r="AG270" s="75"/>
      <c r="AJ270" s="79" t="s">
        <v>46</v>
      </c>
      <c r="AK270" s="79">
        <v>0</v>
      </c>
      <c r="BB270" s="346" t="s">
        <v>67</v>
      </c>
      <c r="BM270" s="75">
        <f t="shared" si="33"/>
        <v>0</v>
      </c>
      <c r="BN270" s="75">
        <f t="shared" si="34"/>
        <v>0</v>
      </c>
      <c r="BO270" s="75">
        <f t="shared" si="35"/>
        <v>0</v>
      </c>
      <c r="BP270" s="75">
        <f t="shared" si="36"/>
        <v>0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4301052180</v>
      </c>
      <c r="D271" s="664">
        <v>4680115888340</v>
      </c>
      <c r="E271" s="664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88</v>
      </c>
      <c r="L271" s="35" t="s">
        <v>46</v>
      </c>
      <c r="M271" s="36" t="s">
        <v>96</v>
      </c>
      <c r="N271" s="36"/>
      <c r="O271" s="35">
        <v>45</v>
      </c>
      <c r="P271" s="80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1" s="666"/>
      <c r="R271" s="666"/>
      <c r="S271" s="666"/>
      <c r="T271" s="667"/>
      <c r="U271" s="37" t="s">
        <v>46</v>
      </c>
      <c r="V271" s="37" t="s">
        <v>46</v>
      </c>
      <c r="W271" s="38" t="s">
        <v>0</v>
      </c>
      <c r="X271" s="56"/>
      <c r="Y271" s="53">
        <f t="shared" si="32"/>
        <v>0</v>
      </c>
      <c r="Z271" s="39" t="str">
        <f t="shared" si="37"/>
        <v/>
      </c>
      <c r="AA271" s="65" t="s">
        <v>46</v>
      </c>
      <c r="AB271" s="66" t="s">
        <v>46</v>
      </c>
      <c r="AC271" s="347" t="s">
        <v>467</v>
      </c>
      <c r="AG271" s="75"/>
      <c r="AJ271" s="79" t="s">
        <v>46</v>
      </c>
      <c r="AK271" s="79">
        <v>0</v>
      </c>
      <c r="BB271" s="348" t="s">
        <v>67</v>
      </c>
      <c r="BM271" s="75">
        <f t="shared" si="33"/>
        <v>0</v>
      </c>
      <c r="BN271" s="75">
        <f t="shared" si="34"/>
        <v>0</v>
      </c>
      <c r="BO271" s="75">
        <f t="shared" si="35"/>
        <v>0</v>
      </c>
      <c r="BP271" s="75">
        <f t="shared" si="36"/>
        <v>0</v>
      </c>
    </row>
    <row r="272" spans="1:68" hidden="1" x14ac:dyDescent="0.2">
      <c r="A272" s="673"/>
      <c r="B272" s="673"/>
      <c r="C272" s="673"/>
      <c r="D272" s="673"/>
      <c r="E272" s="673"/>
      <c r="F272" s="673"/>
      <c r="G272" s="673"/>
      <c r="H272" s="673"/>
      <c r="I272" s="673"/>
      <c r="J272" s="673"/>
      <c r="K272" s="673"/>
      <c r="L272" s="673"/>
      <c r="M272" s="673"/>
      <c r="N272" s="673"/>
      <c r="O272" s="674"/>
      <c r="P272" s="670" t="s">
        <v>40</v>
      </c>
      <c r="Q272" s="671"/>
      <c r="R272" s="671"/>
      <c r="S272" s="671"/>
      <c r="T272" s="671"/>
      <c r="U272" s="671"/>
      <c r="V272" s="672"/>
      <c r="W272" s="40" t="s">
        <v>39</v>
      </c>
      <c r="X272" s="41">
        <f>IFERROR(X262/H262,"0")+IFERROR(X263/H263,"0")+IFERROR(X264/H264,"0")+IFERROR(X265/H265,"0")+IFERROR(X266/H266,"0")+IFERROR(X267/H267,"0")+IFERROR(X268/H268,"0")+IFERROR(X269/H269,"0")+IFERROR(X270/H270,"0")+IFERROR(X271/H271,"0")</f>
        <v>0</v>
      </c>
      <c r="Y272" s="41">
        <f>IFERROR(Y262/H262,"0")+IFERROR(Y263/H263,"0")+IFERROR(Y264/H264,"0")+IFERROR(Y265/H265,"0")+IFERROR(Y266/H266,"0")+IFERROR(Y267/H267,"0")+IFERROR(Y268/H268,"0")+IFERROR(Y269/H269,"0")+IFERROR(Y270/H270,"0")+IFERROR(Y271/H271,"0")</f>
        <v>0</v>
      </c>
      <c r="Z272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64"/>
      <c r="AB272" s="64"/>
      <c r="AC272" s="64"/>
    </row>
    <row r="273" spans="1:68" hidden="1" x14ac:dyDescent="0.2">
      <c r="A273" s="673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70" t="s">
        <v>40</v>
      </c>
      <c r="Q273" s="671"/>
      <c r="R273" s="671"/>
      <c r="S273" s="671"/>
      <c r="T273" s="671"/>
      <c r="U273" s="671"/>
      <c r="V273" s="672"/>
      <c r="W273" s="40" t="s">
        <v>0</v>
      </c>
      <c r="X273" s="41">
        <f>IFERROR(SUM(X262:X271),"0")</f>
        <v>0</v>
      </c>
      <c r="Y273" s="41">
        <f>IFERROR(SUM(Y262:Y271),"0")</f>
        <v>0</v>
      </c>
      <c r="Z273" s="40"/>
      <c r="AA273" s="64"/>
      <c r="AB273" s="64"/>
      <c r="AC273" s="64"/>
    </row>
    <row r="274" spans="1:68" ht="14.25" hidden="1" customHeight="1" x14ac:dyDescent="0.25">
      <c r="A274" s="663" t="s">
        <v>197</v>
      </c>
      <c r="B274" s="663"/>
      <c r="C274" s="663"/>
      <c r="D274" s="663"/>
      <c r="E274" s="663"/>
      <c r="F274" s="663"/>
      <c r="G274" s="663"/>
      <c r="H274" s="663"/>
      <c r="I274" s="663"/>
      <c r="J274" s="663"/>
      <c r="K274" s="663"/>
      <c r="L274" s="663"/>
      <c r="M274" s="663"/>
      <c r="N274" s="663"/>
      <c r="O274" s="663"/>
      <c r="P274" s="663"/>
      <c r="Q274" s="663"/>
      <c r="R274" s="663"/>
      <c r="S274" s="663"/>
      <c r="T274" s="663"/>
      <c r="U274" s="663"/>
      <c r="V274" s="663"/>
      <c r="W274" s="663"/>
      <c r="X274" s="663"/>
      <c r="Y274" s="663"/>
      <c r="Z274" s="663"/>
      <c r="AA274" s="63"/>
      <c r="AB274" s="63"/>
      <c r="AC274" s="63"/>
    </row>
    <row r="275" spans="1:68" ht="27" hidden="1" customHeight="1" x14ac:dyDescent="0.25">
      <c r="A275" s="60" t="s">
        <v>468</v>
      </c>
      <c r="B275" s="60" t="s">
        <v>469</v>
      </c>
      <c r="C275" s="34">
        <v>4301060463</v>
      </c>
      <c r="D275" s="664">
        <v>4680115880818</v>
      </c>
      <c r="E275" s="664"/>
      <c r="F275" s="59">
        <v>0.4</v>
      </c>
      <c r="G275" s="35">
        <v>6</v>
      </c>
      <c r="H275" s="59">
        <v>2.4</v>
      </c>
      <c r="I275" s="59">
        <v>2.6520000000000001</v>
      </c>
      <c r="J275" s="35">
        <v>182</v>
      </c>
      <c r="K275" s="35" t="s">
        <v>88</v>
      </c>
      <c r="L275" s="35" t="s">
        <v>46</v>
      </c>
      <c r="M275" s="36" t="s">
        <v>102</v>
      </c>
      <c r="N275" s="36"/>
      <c r="O275" s="35">
        <v>40</v>
      </c>
      <c r="P275" s="80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5" s="666"/>
      <c r="R275" s="666"/>
      <c r="S275" s="666"/>
      <c r="T275" s="667"/>
      <c r="U275" s="37" t="s">
        <v>46</v>
      </c>
      <c r="V275" s="37" t="s">
        <v>46</v>
      </c>
      <c r="W275" s="38" t="s">
        <v>0</v>
      </c>
      <c r="X275" s="56"/>
      <c r="Y275" s="53">
        <f>IFERROR(IF(X275="",0,CEILING((X275/$H275),1)*$H275),"")</f>
        <v>0</v>
      </c>
      <c r="Z275" s="39" t="str">
        <f>IFERROR(IF(Y275=0,"",ROUNDUP(Y275/H275,0)*0.00651),"")</f>
        <v/>
      </c>
      <c r="AA275" s="65" t="s">
        <v>46</v>
      </c>
      <c r="AB275" s="66" t="s">
        <v>46</v>
      </c>
      <c r="AC275" s="349" t="s">
        <v>470</v>
      </c>
      <c r="AG275" s="75"/>
      <c r="AJ275" s="79" t="s">
        <v>46</v>
      </c>
      <c r="AK275" s="79">
        <v>0</v>
      </c>
      <c r="BB275" s="350" t="s">
        <v>67</v>
      </c>
      <c r="BM275" s="75">
        <f>IFERROR(X275*I275/H275,"0")</f>
        <v>0</v>
      </c>
      <c r="BN275" s="75">
        <f>IFERROR(Y275*I275/H275,"0")</f>
        <v>0</v>
      </c>
      <c r="BO275" s="75">
        <f>IFERROR(1/J275*(X275/H275),"0")</f>
        <v>0</v>
      </c>
      <c r="BP275" s="75">
        <f>IFERROR(1/J275*(Y275/H275),"0")</f>
        <v>0</v>
      </c>
    </row>
    <row r="276" spans="1:68" ht="37.5" hidden="1" customHeight="1" x14ac:dyDescent="0.25">
      <c r="A276" s="60" t="s">
        <v>471</v>
      </c>
      <c r="B276" s="60" t="s">
        <v>472</v>
      </c>
      <c r="C276" s="34">
        <v>4301060389</v>
      </c>
      <c r="D276" s="664">
        <v>4680115880801</v>
      </c>
      <c r="E276" s="664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88</v>
      </c>
      <c r="L276" s="35" t="s">
        <v>46</v>
      </c>
      <c r="M276" s="36" t="s">
        <v>96</v>
      </c>
      <c r="N276" s="36"/>
      <c r="O276" s="35">
        <v>40</v>
      </c>
      <c r="P276" s="80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6" s="666"/>
      <c r="R276" s="666"/>
      <c r="S276" s="666"/>
      <c r="T276" s="667"/>
      <c r="U276" s="37" t="s">
        <v>46</v>
      </c>
      <c r="V276" s="37" t="s">
        <v>46</v>
      </c>
      <c r="W276" s="38" t="s">
        <v>0</v>
      </c>
      <c r="X276" s="56"/>
      <c r="Y276" s="53">
        <f>IFERROR(IF(X276="",0,CEILING((X276/$H276),1)*$H276),"")</f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51" t="s">
        <v>473</v>
      </c>
      <c r="AG276" s="75"/>
      <c r="AJ276" s="79" t="s">
        <v>46</v>
      </c>
      <c r="AK276" s="79">
        <v>0</v>
      </c>
      <c r="BB276" s="352" t="s">
        <v>67</v>
      </c>
      <c r="BM276" s="75">
        <f>IFERROR(X276*I276/H276,"0")</f>
        <v>0</v>
      </c>
      <c r="BN276" s="75">
        <f>IFERROR(Y276*I276/H276,"0")</f>
        <v>0</v>
      </c>
      <c r="BO276" s="75">
        <f>IFERROR(1/J276*(X276/H276),"0")</f>
        <v>0</v>
      </c>
      <c r="BP276" s="75">
        <f>IFERROR(1/J276*(Y276/H276),"0")</f>
        <v>0</v>
      </c>
    </row>
    <row r="277" spans="1:68" hidden="1" x14ac:dyDescent="0.2">
      <c r="A277" s="673"/>
      <c r="B277" s="673"/>
      <c r="C277" s="673"/>
      <c r="D277" s="673"/>
      <c r="E277" s="673"/>
      <c r="F277" s="673"/>
      <c r="G277" s="673"/>
      <c r="H277" s="673"/>
      <c r="I277" s="673"/>
      <c r="J277" s="673"/>
      <c r="K277" s="673"/>
      <c r="L277" s="673"/>
      <c r="M277" s="673"/>
      <c r="N277" s="673"/>
      <c r="O277" s="674"/>
      <c r="P277" s="670" t="s">
        <v>40</v>
      </c>
      <c r="Q277" s="671"/>
      <c r="R277" s="671"/>
      <c r="S277" s="671"/>
      <c r="T277" s="671"/>
      <c r="U277" s="671"/>
      <c r="V277" s="672"/>
      <c r="W277" s="40" t="s">
        <v>39</v>
      </c>
      <c r="X277" s="41">
        <f>IFERROR(X275/H275,"0")+IFERROR(X276/H276,"0")</f>
        <v>0</v>
      </c>
      <c r="Y277" s="41">
        <f>IFERROR(Y275/H275,"0")+IFERROR(Y276/H276,"0")</f>
        <v>0</v>
      </c>
      <c r="Z277" s="41">
        <f>IFERROR(IF(Z275="",0,Z275),"0")+IFERROR(IF(Z276="",0,Z276),"0")</f>
        <v>0</v>
      </c>
      <c r="AA277" s="64"/>
      <c r="AB277" s="64"/>
      <c r="AC277" s="64"/>
    </row>
    <row r="278" spans="1:68" hidden="1" x14ac:dyDescent="0.2">
      <c r="A278" s="673"/>
      <c r="B278" s="673"/>
      <c r="C278" s="673"/>
      <c r="D278" s="673"/>
      <c r="E278" s="673"/>
      <c r="F278" s="673"/>
      <c r="G278" s="673"/>
      <c r="H278" s="673"/>
      <c r="I278" s="673"/>
      <c r="J278" s="673"/>
      <c r="K278" s="673"/>
      <c r="L278" s="673"/>
      <c r="M278" s="673"/>
      <c r="N278" s="673"/>
      <c r="O278" s="674"/>
      <c r="P278" s="670" t="s">
        <v>40</v>
      </c>
      <c r="Q278" s="671"/>
      <c r="R278" s="671"/>
      <c r="S278" s="671"/>
      <c r="T278" s="671"/>
      <c r="U278" s="671"/>
      <c r="V278" s="672"/>
      <c r="W278" s="40" t="s">
        <v>0</v>
      </c>
      <c r="X278" s="41">
        <f>IFERROR(SUM(X275:X276),"0")</f>
        <v>0</v>
      </c>
      <c r="Y278" s="41">
        <f>IFERROR(SUM(Y275:Y276),"0")</f>
        <v>0</v>
      </c>
      <c r="Z278" s="40"/>
      <c r="AA278" s="64"/>
      <c r="AB278" s="64"/>
      <c r="AC278" s="64"/>
    </row>
    <row r="279" spans="1:68" ht="16.5" hidden="1" customHeight="1" x14ac:dyDescent="0.25">
      <c r="A279" s="662" t="s">
        <v>474</v>
      </c>
      <c r="B279" s="662"/>
      <c r="C279" s="662"/>
      <c r="D279" s="662"/>
      <c r="E279" s="662"/>
      <c r="F279" s="662"/>
      <c r="G279" s="662"/>
      <c r="H279" s="662"/>
      <c r="I279" s="662"/>
      <c r="J279" s="662"/>
      <c r="K279" s="662"/>
      <c r="L279" s="662"/>
      <c r="M279" s="662"/>
      <c r="N279" s="662"/>
      <c r="O279" s="662"/>
      <c r="P279" s="662"/>
      <c r="Q279" s="662"/>
      <c r="R279" s="662"/>
      <c r="S279" s="662"/>
      <c r="T279" s="662"/>
      <c r="U279" s="662"/>
      <c r="V279" s="662"/>
      <c r="W279" s="662"/>
      <c r="X279" s="662"/>
      <c r="Y279" s="662"/>
      <c r="Z279" s="662"/>
      <c r="AA279" s="62"/>
      <c r="AB279" s="62"/>
      <c r="AC279" s="62"/>
    </row>
    <row r="280" spans="1:68" ht="14.25" hidden="1" customHeight="1" x14ac:dyDescent="0.25">
      <c r="A280" s="663" t="s">
        <v>146</v>
      </c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63"/>
      <c r="P280" s="663"/>
      <c r="Q280" s="663"/>
      <c r="R280" s="663"/>
      <c r="S280" s="663"/>
      <c r="T280" s="663"/>
      <c r="U280" s="663"/>
      <c r="V280" s="663"/>
      <c r="W280" s="663"/>
      <c r="X280" s="663"/>
      <c r="Y280" s="663"/>
      <c r="Z280" s="663"/>
      <c r="AA280" s="63"/>
      <c r="AB280" s="63"/>
      <c r="AC280" s="63"/>
    </row>
    <row r="281" spans="1:68" ht="27" hidden="1" customHeight="1" x14ac:dyDescent="0.25">
      <c r="A281" s="60" t="s">
        <v>475</v>
      </c>
      <c r="B281" s="60" t="s">
        <v>476</v>
      </c>
      <c r="C281" s="34">
        <v>4301011826</v>
      </c>
      <c r="D281" s="664">
        <v>4680115884137</v>
      </c>
      <c r="E281" s="664"/>
      <c r="F281" s="59">
        <v>1.45</v>
      </c>
      <c r="G281" s="35">
        <v>8</v>
      </c>
      <c r="H281" s="59">
        <v>11.6</v>
      </c>
      <c r="I281" s="59">
        <v>12.01</v>
      </c>
      <c r="J281" s="35">
        <v>64</v>
      </c>
      <c r="K281" s="35" t="s">
        <v>151</v>
      </c>
      <c r="L281" s="35" t="s">
        <v>46</v>
      </c>
      <c r="M281" s="36" t="s">
        <v>150</v>
      </c>
      <c r="N281" s="36"/>
      <c r="O281" s="35">
        <v>55</v>
      </c>
      <c r="P281" s="80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1" s="666"/>
      <c r="R281" s="666"/>
      <c r="S281" s="666"/>
      <c r="T281" s="66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ref="Y281:Y287" si="38">IFERROR(IF(X281="",0,CEILING((X281/$H281),1)*$H281),"")</f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53" t="s">
        <v>477</v>
      </c>
      <c r="AG281" s="75"/>
      <c r="AJ281" s="79" t="s">
        <v>46</v>
      </c>
      <c r="AK281" s="79">
        <v>0</v>
      </c>
      <c r="BB281" s="354" t="s">
        <v>67</v>
      </c>
      <c r="BM281" s="75">
        <f t="shared" ref="BM281:BM287" si="39">IFERROR(X281*I281/H281,"0")</f>
        <v>0</v>
      </c>
      <c r="BN281" s="75">
        <f t="shared" ref="BN281:BN287" si="40">IFERROR(Y281*I281/H281,"0")</f>
        <v>0</v>
      </c>
      <c r="BO281" s="75">
        <f t="shared" ref="BO281:BO287" si="41">IFERROR(1/J281*(X281/H281),"0")</f>
        <v>0</v>
      </c>
      <c r="BP281" s="75">
        <f t="shared" ref="BP281:BP287" si="42">IFERROR(1/J281*(Y281/H281),"0")</f>
        <v>0</v>
      </c>
    </row>
    <row r="282" spans="1:68" ht="27" hidden="1" customHeight="1" x14ac:dyDescent="0.25">
      <c r="A282" s="60" t="s">
        <v>478</v>
      </c>
      <c r="B282" s="60" t="s">
        <v>479</v>
      </c>
      <c r="C282" s="34">
        <v>4301011724</v>
      </c>
      <c r="D282" s="664">
        <v>4680115884236</v>
      </c>
      <c r="E282" s="664"/>
      <c r="F282" s="59">
        <v>1.45</v>
      </c>
      <c r="G282" s="35">
        <v>8</v>
      </c>
      <c r="H282" s="59">
        <v>11.6</v>
      </c>
      <c r="I282" s="59">
        <v>12.01</v>
      </c>
      <c r="J282" s="35">
        <v>64</v>
      </c>
      <c r="K282" s="35" t="s">
        <v>151</v>
      </c>
      <c r="L282" s="35" t="s">
        <v>46</v>
      </c>
      <c r="M282" s="36" t="s">
        <v>150</v>
      </c>
      <c r="N282" s="36"/>
      <c r="O282" s="35">
        <v>55</v>
      </c>
      <c r="P282" s="80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2" s="666"/>
      <c r="R282" s="666"/>
      <c r="S282" s="666"/>
      <c r="T282" s="66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8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55" t="s">
        <v>480</v>
      </c>
      <c r="AG282" s="75"/>
      <c r="AJ282" s="79" t="s">
        <v>46</v>
      </c>
      <c r="AK282" s="79">
        <v>0</v>
      </c>
      <c r="BB282" s="356" t="s">
        <v>67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hidden="1" customHeight="1" x14ac:dyDescent="0.25">
      <c r="A283" s="60" t="s">
        <v>481</v>
      </c>
      <c r="B283" s="60" t="s">
        <v>482</v>
      </c>
      <c r="C283" s="34">
        <v>4301011721</v>
      </c>
      <c r="D283" s="664">
        <v>4680115884175</v>
      </c>
      <c r="E283" s="664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151</v>
      </c>
      <c r="L283" s="35" t="s">
        <v>46</v>
      </c>
      <c r="M283" s="36" t="s">
        <v>150</v>
      </c>
      <c r="N283" s="36"/>
      <c r="O283" s="35">
        <v>55</v>
      </c>
      <c r="P283" s="8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3" s="666"/>
      <c r="R283" s="666"/>
      <c r="S283" s="666"/>
      <c r="T283" s="66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8"/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351</v>
      </c>
      <c r="AG283" s="75"/>
      <c r="AJ283" s="79" t="s">
        <v>46</v>
      </c>
      <c r="AK283" s="79">
        <v>0</v>
      </c>
      <c r="BB283" s="358" t="s">
        <v>67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hidden="1" customHeight="1" x14ac:dyDescent="0.25">
      <c r="A284" s="60" t="s">
        <v>483</v>
      </c>
      <c r="B284" s="60" t="s">
        <v>484</v>
      </c>
      <c r="C284" s="34">
        <v>4301011824</v>
      </c>
      <c r="D284" s="664">
        <v>4680115884144</v>
      </c>
      <c r="E284" s="664"/>
      <c r="F284" s="59">
        <v>0.4</v>
      </c>
      <c r="G284" s="35">
        <v>10</v>
      </c>
      <c r="H284" s="59">
        <v>4</v>
      </c>
      <c r="I284" s="59">
        <v>4.1900000000000004</v>
      </c>
      <c r="J284" s="35">
        <v>132</v>
      </c>
      <c r="K284" s="35" t="s">
        <v>158</v>
      </c>
      <c r="L284" s="35" t="s">
        <v>46</v>
      </c>
      <c r="M284" s="36" t="s">
        <v>150</v>
      </c>
      <c r="N284" s="36"/>
      <c r="O284" s="35">
        <v>55</v>
      </c>
      <c r="P284" s="81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4" s="666"/>
      <c r="R284" s="666"/>
      <c r="S284" s="666"/>
      <c r="T284" s="66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8"/>
        <v>0</v>
      </c>
      <c r="Z284" s="39" t="str">
        <f>IFERROR(IF(Y284=0,"",ROUNDUP(Y284/H284,0)*0.00902),"")</f>
        <v/>
      </c>
      <c r="AA284" s="65" t="s">
        <v>46</v>
      </c>
      <c r="AB284" s="66" t="s">
        <v>46</v>
      </c>
      <c r="AC284" s="359" t="s">
        <v>477</v>
      </c>
      <c r="AG284" s="75"/>
      <c r="AJ284" s="79" t="s">
        <v>46</v>
      </c>
      <c r="AK284" s="79">
        <v>0</v>
      </c>
      <c r="BB284" s="360" t="s">
        <v>67</v>
      </c>
      <c r="BM284" s="75">
        <f t="shared" si="39"/>
        <v>0</v>
      </c>
      <c r="BN284" s="75">
        <f t="shared" si="40"/>
        <v>0</v>
      </c>
      <c r="BO284" s="75">
        <f t="shared" si="41"/>
        <v>0</v>
      </c>
      <c r="BP284" s="75">
        <f t="shared" si="42"/>
        <v>0</v>
      </c>
    </row>
    <row r="285" spans="1:68" ht="27" hidden="1" customHeight="1" x14ac:dyDescent="0.25">
      <c r="A285" s="60" t="s">
        <v>485</v>
      </c>
      <c r="B285" s="60" t="s">
        <v>486</v>
      </c>
      <c r="C285" s="34">
        <v>4301012149</v>
      </c>
      <c r="D285" s="664">
        <v>4680115886551</v>
      </c>
      <c r="E285" s="664"/>
      <c r="F285" s="59">
        <v>0.4</v>
      </c>
      <c r="G285" s="35">
        <v>10</v>
      </c>
      <c r="H285" s="59">
        <v>4</v>
      </c>
      <c r="I285" s="59">
        <v>4.1900000000000004</v>
      </c>
      <c r="J285" s="35">
        <v>132</v>
      </c>
      <c r="K285" s="35" t="s">
        <v>158</v>
      </c>
      <c r="L285" s="35" t="s">
        <v>46</v>
      </c>
      <c r="M285" s="36" t="s">
        <v>150</v>
      </c>
      <c r="N285" s="36"/>
      <c r="O285" s="35">
        <v>55</v>
      </c>
      <c r="P285" s="81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5" s="666"/>
      <c r="R285" s="666"/>
      <c r="S285" s="666"/>
      <c r="T285" s="66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1" t="s">
        <v>487</v>
      </c>
      <c r="AG285" s="75"/>
      <c r="AJ285" s="79" t="s">
        <v>46</v>
      </c>
      <c r="AK285" s="79">
        <v>0</v>
      </c>
      <c r="BB285" s="362" t="s">
        <v>67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4301012228</v>
      </c>
      <c r="D286" s="664">
        <v>4680115887282</v>
      </c>
      <c r="E286" s="664"/>
      <c r="F286" s="59">
        <v>0.4</v>
      </c>
      <c r="G286" s="35">
        <v>6</v>
      </c>
      <c r="H286" s="59">
        <v>2.4</v>
      </c>
      <c r="I286" s="59">
        <v>2.58</v>
      </c>
      <c r="J286" s="35">
        <v>182</v>
      </c>
      <c r="K286" s="35" t="s">
        <v>88</v>
      </c>
      <c r="L286" s="35" t="s">
        <v>46</v>
      </c>
      <c r="M286" s="36" t="s">
        <v>150</v>
      </c>
      <c r="N286" s="36"/>
      <c r="O286" s="35">
        <v>55</v>
      </c>
      <c r="P286" s="81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6" s="666"/>
      <c r="R286" s="666"/>
      <c r="S286" s="666"/>
      <c r="T286" s="66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63" t="s">
        <v>490</v>
      </c>
      <c r="AG286" s="75"/>
      <c r="AJ286" s="79" t="s">
        <v>46</v>
      </c>
      <c r="AK286" s="79">
        <v>0</v>
      </c>
      <c r="BB286" s="364" t="s">
        <v>67</v>
      </c>
      <c r="BM286" s="75">
        <f t="shared" si="39"/>
        <v>0</v>
      </c>
      <c r="BN286" s="75">
        <f t="shared" si="40"/>
        <v>0</v>
      </c>
      <c r="BO286" s="75">
        <f t="shared" si="41"/>
        <v>0</v>
      </c>
      <c r="BP286" s="75">
        <f t="shared" si="42"/>
        <v>0</v>
      </c>
    </row>
    <row r="287" spans="1:68" ht="27" hidden="1" customHeight="1" x14ac:dyDescent="0.25">
      <c r="A287" s="60" t="s">
        <v>491</v>
      </c>
      <c r="B287" s="60" t="s">
        <v>492</v>
      </c>
      <c r="C287" s="34">
        <v>4301011722</v>
      </c>
      <c r="D287" s="664">
        <v>4680115884205</v>
      </c>
      <c r="E287" s="664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158</v>
      </c>
      <c r="L287" s="35" t="s">
        <v>46</v>
      </c>
      <c r="M287" s="36" t="s">
        <v>150</v>
      </c>
      <c r="N287" s="36"/>
      <c r="O287" s="35">
        <v>55</v>
      </c>
      <c r="P287" s="81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7" s="666"/>
      <c r="R287" s="666"/>
      <c r="S287" s="666"/>
      <c r="T287" s="66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8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351</v>
      </c>
      <c r="AG287" s="75"/>
      <c r="AJ287" s="79" t="s">
        <v>46</v>
      </c>
      <c r="AK287" s="79">
        <v>0</v>
      </c>
      <c r="BB287" s="366" t="s">
        <v>67</v>
      </c>
      <c r="BM287" s="75">
        <f t="shared" si="39"/>
        <v>0</v>
      </c>
      <c r="BN287" s="75">
        <f t="shared" si="40"/>
        <v>0</v>
      </c>
      <c r="BO287" s="75">
        <f t="shared" si="41"/>
        <v>0</v>
      </c>
      <c r="BP287" s="75">
        <f t="shared" si="42"/>
        <v>0</v>
      </c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70" t="s">
        <v>40</v>
      </c>
      <c r="Q288" s="671"/>
      <c r="R288" s="671"/>
      <c r="S288" s="671"/>
      <c r="T288" s="671"/>
      <c r="U288" s="671"/>
      <c r="V288" s="672"/>
      <c r="W288" s="40" t="s">
        <v>39</v>
      </c>
      <c r="X288" s="41">
        <f>IFERROR(X281/H281,"0")+IFERROR(X282/H282,"0")+IFERROR(X283/H283,"0")+IFERROR(X284/H284,"0")+IFERROR(X285/H285,"0")+IFERROR(X286/H286,"0")+IFERROR(X287/H287,"0")</f>
        <v>0</v>
      </c>
      <c r="Y288" s="41">
        <f>IFERROR(Y281/H281,"0")+IFERROR(Y282/H282,"0")+IFERROR(Y283/H283,"0")+IFERROR(Y284/H284,"0")+IFERROR(Y285/H285,"0")+IFERROR(Y286/H286,"0")+IFERROR(Y287/H287,"0")</f>
        <v>0</v>
      </c>
      <c r="Z288" s="41">
        <f>IFERROR(IF(Z281="",0,Z281),"0")+IFERROR(IF(Z282="",0,Z282),"0")+IFERROR(IF(Z283="",0,Z283),"0")+IFERROR(IF(Z284="",0,Z284),"0")+IFERROR(IF(Z285="",0,Z285),"0")+IFERROR(IF(Z286="",0,Z286),"0")+IFERROR(IF(Z287="",0,Z287),"0")</f>
        <v>0</v>
      </c>
      <c r="AA288" s="64"/>
      <c r="AB288" s="64"/>
      <c r="AC288" s="64"/>
    </row>
    <row r="289" spans="1:68" hidden="1" x14ac:dyDescent="0.2">
      <c r="A289" s="673"/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4"/>
      <c r="P289" s="670" t="s">
        <v>40</v>
      </c>
      <c r="Q289" s="671"/>
      <c r="R289" s="671"/>
      <c r="S289" s="671"/>
      <c r="T289" s="671"/>
      <c r="U289" s="671"/>
      <c r="V289" s="672"/>
      <c r="W289" s="40" t="s">
        <v>0</v>
      </c>
      <c r="X289" s="41">
        <f>IFERROR(SUM(X281:X287),"0")</f>
        <v>0</v>
      </c>
      <c r="Y289" s="41">
        <f>IFERROR(SUM(Y281:Y287),"0")</f>
        <v>0</v>
      </c>
      <c r="Z289" s="40"/>
      <c r="AA289" s="64"/>
      <c r="AB289" s="64"/>
      <c r="AC289" s="64"/>
    </row>
    <row r="290" spans="1:68" ht="14.25" hidden="1" customHeight="1" x14ac:dyDescent="0.25">
      <c r="A290" s="663" t="s">
        <v>180</v>
      </c>
      <c r="B290" s="663"/>
      <c r="C290" s="663"/>
      <c r="D290" s="663"/>
      <c r="E290" s="663"/>
      <c r="F290" s="663"/>
      <c r="G290" s="663"/>
      <c r="H290" s="663"/>
      <c r="I290" s="663"/>
      <c r="J290" s="663"/>
      <c r="K290" s="663"/>
      <c r="L290" s="663"/>
      <c r="M290" s="663"/>
      <c r="N290" s="663"/>
      <c r="O290" s="663"/>
      <c r="P290" s="663"/>
      <c r="Q290" s="663"/>
      <c r="R290" s="663"/>
      <c r="S290" s="663"/>
      <c r="T290" s="663"/>
      <c r="U290" s="663"/>
      <c r="V290" s="663"/>
      <c r="W290" s="663"/>
      <c r="X290" s="663"/>
      <c r="Y290" s="663"/>
      <c r="Z290" s="663"/>
      <c r="AA290" s="63"/>
      <c r="AB290" s="63"/>
      <c r="AC290" s="63"/>
    </row>
    <row r="291" spans="1:68" ht="27" hidden="1" customHeight="1" x14ac:dyDescent="0.25">
      <c r="A291" s="60" t="s">
        <v>493</v>
      </c>
      <c r="B291" s="60" t="s">
        <v>494</v>
      </c>
      <c r="C291" s="34">
        <v>4301020377</v>
      </c>
      <c r="D291" s="664">
        <v>4680115885981</v>
      </c>
      <c r="E291" s="664"/>
      <c r="F291" s="59">
        <v>0.33</v>
      </c>
      <c r="G291" s="35">
        <v>6</v>
      </c>
      <c r="H291" s="59">
        <v>1.98</v>
      </c>
      <c r="I291" s="59">
        <v>2.08</v>
      </c>
      <c r="J291" s="35">
        <v>234</v>
      </c>
      <c r="K291" s="35" t="s">
        <v>84</v>
      </c>
      <c r="L291" s="35" t="s">
        <v>46</v>
      </c>
      <c r="M291" s="36" t="s">
        <v>96</v>
      </c>
      <c r="N291" s="36"/>
      <c r="O291" s="35">
        <v>50</v>
      </c>
      <c r="P291" s="81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1" s="666"/>
      <c r="R291" s="666"/>
      <c r="S291" s="666"/>
      <c r="T291" s="667"/>
      <c r="U291" s="37" t="s">
        <v>46</v>
      </c>
      <c r="V291" s="37" t="s">
        <v>46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IFERROR(IF(Y291=0,"",ROUNDUP(Y291/H291,0)*0.00502),"")</f>
        <v/>
      </c>
      <c r="AA291" s="65" t="s">
        <v>46</v>
      </c>
      <c r="AB291" s="66" t="s">
        <v>46</v>
      </c>
      <c r="AC291" s="367" t="s">
        <v>495</v>
      </c>
      <c r="AG291" s="75"/>
      <c r="AJ291" s="79" t="s">
        <v>46</v>
      </c>
      <c r="AK291" s="79">
        <v>0</v>
      </c>
      <c r="BB291" s="368" t="s">
        <v>67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70" t="s">
        <v>40</v>
      </c>
      <c r="Q292" s="671"/>
      <c r="R292" s="671"/>
      <c r="S292" s="671"/>
      <c r="T292" s="671"/>
      <c r="U292" s="671"/>
      <c r="V292" s="672"/>
      <c r="W292" s="40" t="s">
        <v>39</v>
      </c>
      <c r="X292" s="41">
        <f>IFERROR(X291/H291,"0")</f>
        <v>0</v>
      </c>
      <c r="Y292" s="41">
        <f>IFERROR(Y291/H291,"0")</f>
        <v>0</v>
      </c>
      <c r="Z292" s="41">
        <f>IFERROR(IF(Z291="",0,Z291),"0")</f>
        <v>0</v>
      </c>
      <c r="AA292" s="64"/>
      <c r="AB292" s="64"/>
      <c r="AC292" s="64"/>
    </row>
    <row r="293" spans="1:68" hidden="1" x14ac:dyDescent="0.2">
      <c r="A293" s="673"/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4"/>
      <c r="P293" s="670" t="s">
        <v>40</v>
      </c>
      <c r="Q293" s="671"/>
      <c r="R293" s="671"/>
      <c r="S293" s="671"/>
      <c r="T293" s="671"/>
      <c r="U293" s="671"/>
      <c r="V293" s="672"/>
      <c r="W293" s="40" t="s">
        <v>0</v>
      </c>
      <c r="X293" s="41">
        <f>IFERROR(SUM(X291:X291),"0")</f>
        <v>0</v>
      </c>
      <c r="Y293" s="41">
        <f>IFERROR(SUM(Y291:Y291),"0")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63" t="s">
        <v>496</v>
      </c>
      <c r="B294" s="663"/>
      <c r="C294" s="663"/>
      <c r="D294" s="663"/>
      <c r="E294" s="663"/>
      <c r="F294" s="663"/>
      <c r="G294" s="663"/>
      <c r="H294" s="663"/>
      <c r="I294" s="663"/>
      <c r="J294" s="663"/>
      <c r="K294" s="663"/>
      <c r="L294" s="663"/>
      <c r="M294" s="663"/>
      <c r="N294" s="663"/>
      <c r="O294" s="663"/>
      <c r="P294" s="663"/>
      <c r="Q294" s="663"/>
      <c r="R294" s="663"/>
      <c r="S294" s="663"/>
      <c r="T294" s="663"/>
      <c r="U294" s="663"/>
      <c r="V294" s="663"/>
      <c r="W294" s="663"/>
      <c r="X294" s="663"/>
      <c r="Y294" s="663"/>
      <c r="Z294" s="663"/>
      <c r="AA294" s="63"/>
      <c r="AB294" s="63"/>
      <c r="AC294" s="63"/>
    </row>
    <row r="295" spans="1:68" ht="27" hidden="1" customHeight="1" x14ac:dyDescent="0.25">
      <c r="A295" s="60" t="s">
        <v>497</v>
      </c>
      <c r="B295" s="60" t="s">
        <v>498</v>
      </c>
      <c r="C295" s="34">
        <v>4301040362</v>
      </c>
      <c r="D295" s="664">
        <v>4680115886803</v>
      </c>
      <c r="E295" s="664"/>
      <c r="F295" s="59">
        <v>0.12</v>
      </c>
      <c r="G295" s="35">
        <v>15</v>
      </c>
      <c r="H295" s="59">
        <v>1.8</v>
      </c>
      <c r="I295" s="59">
        <v>1.9750000000000001</v>
      </c>
      <c r="J295" s="35">
        <v>216</v>
      </c>
      <c r="K295" s="35" t="s">
        <v>334</v>
      </c>
      <c r="L295" s="35" t="s">
        <v>46</v>
      </c>
      <c r="M295" s="36" t="s">
        <v>333</v>
      </c>
      <c r="N295" s="36"/>
      <c r="O295" s="35">
        <v>45</v>
      </c>
      <c r="P295" s="81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5" s="666"/>
      <c r="R295" s="666"/>
      <c r="S295" s="666"/>
      <c r="T295" s="66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IFERROR(IF(Y295=0,"",ROUNDUP(Y295/H295,0)*0.0059),"")</f>
        <v/>
      </c>
      <c r="AA295" s="65" t="s">
        <v>46</v>
      </c>
      <c r="AB295" s="66" t="s">
        <v>46</v>
      </c>
      <c r="AC295" s="369" t="s">
        <v>499</v>
      </c>
      <c r="AG295" s="75"/>
      <c r="AJ295" s="79" t="s">
        <v>46</v>
      </c>
      <c r="AK295" s="79">
        <v>0</v>
      </c>
      <c r="BB295" s="370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70" t="s">
        <v>40</v>
      </c>
      <c r="Q296" s="671"/>
      <c r="R296" s="671"/>
      <c r="S296" s="671"/>
      <c r="T296" s="671"/>
      <c r="U296" s="671"/>
      <c r="V296" s="672"/>
      <c r="W296" s="40" t="s">
        <v>39</v>
      </c>
      <c r="X296" s="41">
        <f>IFERROR(X295/H295,"0")</f>
        <v>0</v>
      </c>
      <c r="Y296" s="41">
        <f>IFERROR(Y295/H295,"0")</f>
        <v>0</v>
      </c>
      <c r="Z296" s="41">
        <f>IFERROR(IF(Z295="",0,Z295),"0")</f>
        <v>0</v>
      </c>
      <c r="AA296" s="64"/>
      <c r="AB296" s="64"/>
      <c r="AC296" s="64"/>
    </row>
    <row r="297" spans="1:68" hidden="1" x14ac:dyDescent="0.2">
      <c r="A297" s="673"/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4"/>
      <c r="P297" s="670" t="s">
        <v>40</v>
      </c>
      <c r="Q297" s="671"/>
      <c r="R297" s="671"/>
      <c r="S297" s="671"/>
      <c r="T297" s="671"/>
      <c r="U297" s="671"/>
      <c r="V297" s="672"/>
      <c r="W297" s="40" t="s">
        <v>0</v>
      </c>
      <c r="X297" s="41">
        <f>IFERROR(SUM(X295:X295),"0")</f>
        <v>0</v>
      </c>
      <c r="Y297" s="41">
        <f>IFERROR(SUM(Y295:Y295),"0")</f>
        <v>0</v>
      </c>
      <c r="Z297" s="40"/>
      <c r="AA297" s="64"/>
      <c r="AB297" s="64"/>
      <c r="AC297" s="64"/>
    </row>
    <row r="298" spans="1:68" ht="14.25" hidden="1" customHeight="1" x14ac:dyDescent="0.25">
      <c r="A298" s="663" t="s">
        <v>338</v>
      </c>
      <c r="B298" s="663"/>
      <c r="C298" s="663"/>
      <c r="D298" s="663"/>
      <c r="E298" s="663"/>
      <c r="F298" s="663"/>
      <c r="G298" s="663"/>
      <c r="H298" s="663"/>
      <c r="I298" s="663"/>
      <c r="J298" s="663"/>
      <c r="K298" s="663"/>
      <c r="L298" s="663"/>
      <c r="M298" s="663"/>
      <c r="N298" s="663"/>
      <c r="O298" s="663"/>
      <c r="P298" s="663"/>
      <c r="Q298" s="663"/>
      <c r="R298" s="663"/>
      <c r="S298" s="663"/>
      <c r="T298" s="663"/>
      <c r="U298" s="663"/>
      <c r="V298" s="663"/>
      <c r="W298" s="663"/>
      <c r="X298" s="663"/>
      <c r="Y298" s="663"/>
      <c r="Z298" s="663"/>
      <c r="AA298" s="63"/>
      <c r="AB298" s="63"/>
      <c r="AC298" s="63"/>
    </row>
    <row r="299" spans="1:68" ht="27" hidden="1" customHeight="1" x14ac:dyDescent="0.25">
      <c r="A299" s="60" t="s">
        <v>500</v>
      </c>
      <c r="B299" s="60" t="s">
        <v>501</v>
      </c>
      <c r="C299" s="34">
        <v>4301041004</v>
      </c>
      <c r="D299" s="664">
        <v>4680115886704</v>
      </c>
      <c r="E299" s="664"/>
      <c r="F299" s="59">
        <v>5.5E-2</v>
      </c>
      <c r="G299" s="35">
        <v>18</v>
      </c>
      <c r="H299" s="59">
        <v>0.99</v>
      </c>
      <c r="I299" s="59">
        <v>1.18</v>
      </c>
      <c r="J299" s="35">
        <v>216</v>
      </c>
      <c r="K299" s="35" t="s">
        <v>334</v>
      </c>
      <c r="L299" s="35" t="s">
        <v>46</v>
      </c>
      <c r="M299" s="36" t="s">
        <v>333</v>
      </c>
      <c r="N299" s="36"/>
      <c r="O299" s="35">
        <v>90</v>
      </c>
      <c r="P299" s="81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99" s="666"/>
      <c r="R299" s="666"/>
      <c r="S299" s="666"/>
      <c r="T299" s="667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IFERROR(IF(Y299=0,"",ROUNDUP(Y299/H299,0)*0.0059),"")</f>
        <v/>
      </c>
      <c r="AA299" s="65" t="s">
        <v>46</v>
      </c>
      <c r="AB299" s="66" t="s">
        <v>46</v>
      </c>
      <c r="AC299" s="371" t="s">
        <v>502</v>
      </c>
      <c r="AG299" s="75"/>
      <c r="AJ299" s="79" t="s">
        <v>46</v>
      </c>
      <c r="AK299" s="79">
        <v>0</v>
      </c>
      <c r="BB299" s="372" t="s">
        <v>67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hidden="1" customHeight="1" x14ac:dyDescent="0.25">
      <c r="A300" s="60" t="s">
        <v>503</v>
      </c>
      <c r="B300" s="60" t="s">
        <v>504</v>
      </c>
      <c r="C300" s="34">
        <v>4301041008</v>
      </c>
      <c r="D300" s="664">
        <v>4680115886681</v>
      </c>
      <c r="E300" s="664"/>
      <c r="F300" s="59">
        <v>0.12</v>
      </c>
      <c r="G300" s="35">
        <v>15</v>
      </c>
      <c r="H300" s="59">
        <v>1.8</v>
      </c>
      <c r="I300" s="59">
        <v>1.9750000000000001</v>
      </c>
      <c r="J300" s="35">
        <v>216</v>
      </c>
      <c r="K300" s="35" t="s">
        <v>334</v>
      </c>
      <c r="L300" s="35" t="s">
        <v>46</v>
      </c>
      <c r="M300" s="36" t="s">
        <v>333</v>
      </c>
      <c r="N300" s="36"/>
      <c r="O300" s="35">
        <v>90</v>
      </c>
      <c r="P300" s="81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0" s="666"/>
      <c r="R300" s="666"/>
      <c r="S300" s="666"/>
      <c r="T300" s="667"/>
      <c r="U300" s="37" t="s">
        <v>46</v>
      </c>
      <c r="V300" s="37" t="s">
        <v>46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IFERROR(IF(Y300=0,"",ROUNDUP(Y300/H300,0)*0.0059),"")</f>
        <v/>
      </c>
      <c r="AA300" s="65" t="s">
        <v>46</v>
      </c>
      <c r="AB300" s="66" t="s">
        <v>46</v>
      </c>
      <c r="AC300" s="373" t="s">
        <v>502</v>
      </c>
      <c r="AG300" s="75"/>
      <c r="AJ300" s="79" t="s">
        <v>46</v>
      </c>
      <c r="AK300" s="79">
        <v>0</v>
      </c>
      <c r="BB300" s="374" t="s">
        <v>67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hidden="1" customHeight="1" x14ac:dyDescent="0.25">
      <c r="A301" s="60" t="s">
        <v>505</v>
      </c>
      <c r="B301" s="60" t="s">
        <v>506</v>
      </c>
      <c r="C301" s="34">
        <v>4301041007</v>
      </c>
      <c r="D301" s="664">
        <v>4680115886735</v>
      </c>
      <c r="E301" s="664"/>
      <c r="F301" s="59">
        <v>0.05</v>
      </c>
      <c r="G301" s="35">
        <v>18</v>
      </c>
      <c r="H301" s="59">
        <v>0.9</v>
      </c>
      <c r="I301" s="59">
        <v>1.0900000000000001</v>
      </c>
      <c r="J301" s="35">
        <v>216</v>
      </c>
      <c r="K301" s="35" t="s">
        <v>334</v>
      </c>
      <c r="L301" s="35" t="s">
        <v>46</v>
      </c>
      <c r="M301" s="36" t="s">
        <v>333</v>
      </c>
      <c r="N301" s="36"/>
      <c r="O301" s="35">
        <v>90</v>
      </c>
      <c r="P301" s="81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1" s="666"/>
      <c r="R301" s="666"/>
      <c r="S301" s="666"/>
      <c r="T301" s="667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502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507</v>
      </c>
      <c r="B302" s="60" t="s">
        <v>508</v>
      </c>
      <c r="C302" s="34">
        <v>4301041006</v>
      </c>
      <c r="D302" s="664">
        <v>4680115886728</v>
      </c>
      <c r="E302" s="664"/>
      <c r="F302" s="59">
        <v>5.5E-2</v>
      </c>
      <c r="G302" s="35">
        <v>18</v>
      </c>
      <c r="H302" s="59">
        <v>0.99</v>
      </c>
      <c r="I302" s="59">
        <v>1.18</v>
      </c>
      <c r="J302" s="35">
        <v>216</v>
      </c>
      <c r="K302" s="35" t="s">
        <v>334</v>
      </c>
      <c r="L302" s="35" t="s">
        <v>46</v>
      </c>
      <c r="M302" s="36" t="s">
        <v>333</v>
      </c>
      <c r="N302" s="36"/>
      <c r="O302" s="35">
        <v>90</v>
      </c>
      <c r="P302" s="82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2" s="666"/>
      <c r="R302" s="666"/>
      <c r="S302" s="666"/>
      <c r="T302" s="667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502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509</v>
      </c>
      <c r="B303" s="60" t="s">
        <v>510</v>
      </c>
      <c r="C303" s="34">
        <v>4301041005</v>
      </c>
      <c r="D303" s="664">
        <v>4680115886711</v>
      </c>
      <c r="E303" s="664"/>
      <c r="F303" s="59">
        <v>5.5E-2</v>
      </c>
      <c r="G303" s="35">
        <v>18</v>
      </c>
      <c r="H303" s="59">
        <v>0.99</v>
      </c>
      <c r="I303" s="59">
        <v>1.18</v>
      </c>
      <c r="J303" s="35">
        <v>216</v>
      </c>
      <c r="K303" s="35" t="s">
        <v>334</v>
      </c>
      <c r="L303" s="35" t="s">
        <v>46</v>
      </c>
      <c r="M303" s="36" t="s">
        <v>333</v>
      </c>
      <c r="N303" s="36"/>
      <c r="O303" s="35">
        <v>90</v>
      </c>
      <c r="P303" s="82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3" s="666"/>
      <c r="R303" s="666"/>
      <c r="S303" s="666"/>
      <c r="T303" s="667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502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idden="1" x14ac:dyDescent="0.2">
      <c r="A304" s="673"/>
      <c r="B304" s="673"/>
      <c r="C304" s="673"/>
      <c r="D304" s="673"/>
      <c r="E304" s="673"/>
      <c r="F304" s="673"/>
      <c r="G304" s="673"/>
      <c r="H304" s="673"/>
      <c r="I304" s="673"/>
      <c r="J304" s="673"/>
      <c r="K304" s="673"/>
      <c r="L304" s="673"/>
      <c r="M304" s="673"/>
      <c r="N304" s="673"/>
      <c r="O304" s="674"/>
      <c r="P304" s="670" t="s">
        <v>40</v>
      </c>
      <c r="Q304" s="671"/>
      <c r="R304" s="671"/>
      <c r="S304" s="671"/>
      <c r="T304" s="671"/>
      <c r="U304" s="671"/>
      <c r="V304" s="672"/>
      <c r="W304" s="40" t="s">
        <v>39</v>
      </c>
      <c r="X304" s="41">
        <f>IFERROR(X299/H299,"0")+IFERROR(X300/H300,"0")+IFERROR(X301/H301,"0")+IFERROR(X302/H302,"0")+IFERROR(X303/H303,"0")</f>
        <v>0</v>
      </c>
      <c r="Y304" s="41">
        <f>IFERROR(Y299/H299,"0")+IFERROR(Y300/H300,"0")+IFERROR(Y301/H301,"0")+IFERROR(Y302/H302,"0")+IFERROR(Y303/H303,"0")</f>
        <v>0</v>
      </c>
      <c r="Z304" s="41">
        <f>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hidden="1" x14ac:dyDescent="0.2">
      <c r="A305" s="673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70" t="s">
        <v>40</v>
      </c>
      <c r="Q305" s="671"/>
      <c r="R305" s="671"/>
      <c r="S305" s="671"/>
      <c r="T305" s="671"/>
      <c r="U305" s="671"/>
      <c r="V305" s="672"/>
      <c r="W305" s="40" t="s">
        <v>0</v>
      </c>
      <c r="X305" s="41">
        <f>IFERROR(SUM(X299:X303),"0")</f>
        <v>0</v>
      </c>
      <c r="Y305" s="41">
        <f>IFERROR(SUM(Y299:Y303),"0")</f>
        <v>0</v>
      </c>
      <c r="Z305" s="40"/>
      <c r="AA305" s="64"/>
      <c r="AB305" s="64"/>
      <c r="AC305" s="64"/>
    </row>
    <row r="306" spans="1:68" ht="16.5" hidden="1" customHeight="1" x14ac:dyDescent="0.25">
      <c r="A306" s="662" t="s">
        <v>511</v>
      </c>
      <c r="B306" s="662"/>
      <c r="C306" s="662"/>
      <c r="D306" s="662"/>
      <c r="E306" s="662"/>
      <c r="F306" s="662"/>
      <c r="G306" s="662"/>
      <c r="H306" s="662"/>
      <c r="I306" s="662"/>
      <c r="J306" s="662"/>
      <c r="K306" s="662"/>
      <c r="L306" s="662"/>
      <c r="M306" s="662"/>
      <c r="N306" s="662"/>
      <c r="O306" s="662"/>
      <c r="P306" s="662"/>
      <c r="Q306" s="662"/>
      <c r="R306" s="662"/>
      <c r="S306" s="662"/>
      <c r="T306" s="662"/>
      <c r="U306" s="662"/>
      <c r="V306" s="662"/>
      <c r="W306" s="662"/>
      <c r="X306" s="662"/>
      <c r="Y306" s="662"/>
      <c r="Z306" s="662"/>
      <c r="AA306" s="62"/>
      <c r="AB306" s="62"/>
      <c r="AC306" s="62"/>
    </row>
    <row r="307" spans="1:68" ht="14.25" hidden="1" customHeight="1" x14ac:dyDescent="0.25">
      <c r="A307" s="663" t="s">
        <v>146</v>
      </c>
      <c r="B307" s="663"/>
      <c r="C307" s="663"/>
      <c r="D307" s="663"/>
      <c r="E307" s="663"/>
      <c r="F307" s="663"/>
      <c r="G307" s="663"/>
      <c r="H307" s="663"/>
      <c r="I307" s="663"/>
      <c r="J307" s="663"/>
      <c r="K307" s="663"/>
      <c r="L307" s="663"/>
      <c r="M307" s="663"/>
      <c r="N307" s="663"/>
      <c r="O307" s="663"/>
      <c r="P307" s="663"/>
      <c r="Q307" s="663"/>
      <c r="R307" s="663"/>
      <c r="S307" s="663"/>
      <c r="T307" s="663"/>
      <c r="U307" s="663"/>
      <c r="V307" s="663"/>
      <c r="W307" s="663"/>
      <c r="X307" s="663"/>
      <c r="Y307" s="663"/>
      <c r="Z307" s="663"/>
      <c r="AA307" s="63"/>
      <c r="AB307" s="63"/>
      <c r="AC307" s="63"/>
    </row>
    <row r="308" spans="1:68" ht="27" hidden="1" customHeight="1" x14ac:dyDescent="0.25">
      <c r="A308" s="60" t="s">
        <v>512</v>
      </c>
      <c r="B308" s="60" t="s">
        <v>513</v>
      </c>
      <c r="C308" s="34">
        <v>4301011855</v>
      </c>
      <c r="D308" s="664">
        <v>4680115885837</v>
      </c>
      <c r="E308" s="664"/>
      <c r="F308" s="59">
        <v>1.35</v>
      </c>
      <c r="G308" s="35">
        <v>8</v>
      </c>
      <c r="H308" s="59">
        <v>10.8</v>
      </c>
      <c r="I308" s="59">
        <v>11.21</v>
      </c>
      <c r="J308" s="35">
        <v>64</v>
      </c>
      <c r="K308" s="35" t="s">
        <v>151</v>
      </c>
      <c r="L308" s="35" t="s">
        <v>46</v>
      </c>
      <c r="M308" s="36" t="s">
        <v>150</v>
      </c>
      <c r="N308" s="36"/>
      <c r="O308" s="35">
        <v>55</v>
      </c>
      <c r="P308" s="82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8" s="666"/>
      <c r="R308" s="666"/>
      <c r="S308" s="666"/>
      <c r="T308" s="667"/>
      <c r="U308" s="37" t="s">
        <v>46</v>
      </c>
      <c r="V308" s="37" t="s">
        <v>46</v>
      </c>
      <c r="W308" s="38" t="s">
        <v>0</v>
      </c>
      <c r="X308" s="56"/>
      <c r="Y308" s="53">
        <f>IFERROR(IF(X308="",0,CEILING((X308/$H308),1)*$H308),"")</f>
        <v>0</v>
      </c>
      <c r="Z308" s="39" t="str">
        <f>IFERROR(IF(Y308=0,"",ROUNDUP(Y308/H308,0)*0.01898),"")</f>
        <v/>
      </c>
      <c r="AA308" s="65" t="s">
        <v>46</v>
      </c>
      <c r="AB308" s="66" t="s">
        <v>46</v>
      </c>
      <c r="AC308" s="381" t="s">
        <v>514</v>
      </c>
      <c r="AG308" s="75"/>
      <c r="AJ308" s="79" t="s">
        <v>46</v>
      </c>
      <c r="AK308" s="79">
        <v>0</v>
      </c>
      <c r="BB308" s="382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37.5" hidden="1" customHeight="1" x14ac:dyDescent="0.25">
      <c r="A309" s="60" t="s">
        <v>515</v>
      </c>
      <c r="B309" s="60" t="s">
        <v>516</v>
      </c>
      <c r="C309" s="34">
        <v>4301012234</v>
      </c>
      <c r="D309" s="664">
        <v>4680115887237</v>
      </c>
      <c r="E309" s="664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151</v>
      </c>
      <c r="L309" s="35" t="s">
        <v>46</v>
      </c>
      <c r="M309" s="36" t="s">
        <v>150</v>
      </c>
      <c r="N309" s="36"/>
      <c r="O309" s="35">
        <v>55</v>
      </c>
      <c r="P309" s="82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09" s="666"/>
      <c r="R309" s="666"/>
      <c r="S309" s="666"/>
      <c r="T309" s="667"/>
      <c r="U309" s="37" t="s">
        <v>46</v>
      </c>
      <c r="V309" s="37" t="s">
        <v>46</v>
      </c>
      <c r="W309" s="38" t="s">
        <v>0</v>
      </c>
      <c r="X309" s="56"/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517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518</v>
      </c>
      <c r="B310" s="60" t="s">
        <v>519</v>
      </c>
      <c r="C310" s="34">
        <v>4301011850</v>
      </c>
      <c r="D310" s="664">
        <v>4680115885806</v>
      </c>
      <c r="E310" s="664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151</v>
      </c>
      <c r="L310" s="35" t="s">
        <v>46</v>
      </c>
      <c r="M310" s="36" t="s">
        <v>150</v>
      </c>
      <c r="N310" s="36"/>
      <c r="O310" s="35">
        <v>55</v>
      </c>
      <c r="P310" s="8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0" s="666"/>
      <c r="R310" s="666"/>
      <c r="S310" s="666"/>
      <c r="T310" s="667"/>
      <c r="U310" s="37" t="s">
        <v>46</v>
      </c>
      <c r="V310" s="37" t="s">
        <v>46</v>
      </c>
      <c r="W310" s="38" t="s">
        <v>0</v>
      </c>
      <c r="X310" s="56"/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520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521</v>
      </c>
      <c r="B311" s="60" t="s">
        <v>522</v>
      </c>
      <c r="C311" s="34">
        <v>4301011852</v>
      </c>
      <c r="D311" s="664">
        <v>4680115885844</v>
      </c>
      <c r="E311" s="664"/>
      <c r="F311" s="59">
        <v>0.4</v>
      </c>
      <c r="G311" s="35">
        <v>10</v>
      </c>
      <c r="H311" s="59">
        <v>4</v>
      </c>
      <c r="I311" s="59">
        <v>4.1900000000000004</v>
      </c>
      <c r="J311" s="35">
        <v>132</v>
      </c>
      <c r="K311" s="35" t="s">
        <v>158</v>
      </c>
      <c r="L311" s="35" t="s">
        <v>46</v>
      </c>
      <c r="M311" s="36" t="s">
        <v>150</v>
      </c>
      <c r="N311" s="36"/>
      <c r="O311" s="35">
        <v>55</v>
      </c>
      <c r="P311" s="8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1" s="666"/>
      <c r="R311" s="666"/>
      <c r="S311" s="666"/>
      <c r="T311" s="667"/>
      <c r="U311" s="37" t="s">
        <v>46</v>
      </c>
      <c r="V311" s="37" t="s">
        <v>46</v>
      </c>
      <c r="W311" s="38" t="s">
        <v>0</v>
      </c>
      <c r="X311" s="56"/>
      <c r="Y311" s="53">
        <f>IFERROR(IF(X311="",0,CEILING((X311/$H311),1)*$H311),"")</f>
        <v>0</v>
      </c>
      <c r="Z311" s="39" t="str">
        <f>IFERROR(IF(Y311=0,"",ROUNDUP(Y311/H311,0)*0.00902),"")</f>
        <v/>
      </c>
      <c r="AA311" s="65" t="s">
        <v>46</v>
      </c>
      <c r="AB311" s="66" t="s">
        <v>46</v>
      </c>
      <c r="AC311" s="387" t="s">
        <v>523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37.5" hidden="1" customHeight="1" x14ac:dyDescent="0.25">
      <c r="A312" s="60" t="s">
        <v>524</v>
      </c>
      <c r="B312" s="60" t="s">
        <v>525</v>
      </c>
      <c r="C312" s="34">
        <v>4301011851</v>
      </c>
      <c r="D312" s="664">
        <v>4680115885820</v>
      </c>
      <c r="E312" s="664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158</v>
      </c>
      <c r="L312" s="35" t="s">
        <v>46</v>
      </c>
      <c r="M312" s="36" t="s">
        <v>150</v>
      </c>
      <c r="N312" s="36"/>
      <c r="O312" s="35">
        <v>55</v>
      </c>
      <c r="P312" s="8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2" s="666"/>
      <c r="R312" s="666"/>
      <c r="S312" s="666"/>
      <c r="T312" s="667"/>
      <c r="U312" s="37" t="s">
        <v>46</v>
      </c>
      <c r="V312" s="37" t="s">
        <v>46</v>
      </c>
      <c r="W312" s="38" t="s">
        <v>0</v>
      </c>
      <c r="X312" s="56"/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526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673"/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4"/>
      <c r="P313" s="670" t="s">
        <v>40</v>
      </c>
      <c r="Q313" s="671"/>
      <c r="R313" s="671"/>
      <c r="S313" s="671"/>
      <c r="T313" s="671"/>
      <c r="U313" s="671"/>
      <c r="V313" s="672"/>
      <c r="W313" s="40" t="s">
        <v>39</v>
      </c>
      <c r="X313" s="41">
        <f>IFERROR(X308/H308,"0")+IFERROR(X309/H309,"0")+IFERROR(X310/H310,"0")+IFERROR(X311/H311,"0")+IFERROR(X312/H312,"0")</f>
        <v>0</v>
      </c>
      <c r="Y313" s="41">
        <f>IFERROR(Y308/H308,"0")+IFERROR(Y309/H309,"0")+IFERROR(Y310/H310,"0")+IFERROR(Y311/H311,"0")+IFERROR(Y312/H312,"0")</f>
        <v>0</v>
      </c>
      <c r="Z313" s="41">
        <f>IFERROR(IF(Z308="",0,Z308),"0")+IFERROR(IF(Z309="",0,Z309),"0")+IFERROR(IF(Z310="",0,Z310),"0")+IFERROR(IF(Z311="",0,Z311),"0")+IFERROR(IF(Z312="",0,Z312),"0")</f>
        <v>0</v>
      </c>
      <c r="AA313" s="64"/>
      <c r="AB313" s="64"/>
      <c r="AC313" s="64"/>
    </row>
    <row r="314" spans="1:68" hidden="1" x14ac:dyDescent="0.2">
      <c r="A314" s="673"/>
      <c r="B314" s="673"/>
      <c r="C314" s="673"/>
      <c r="D314" s="673"/>
      <c r="E314" s="673"/>
      <c r="F314" s="673"/>
      <c r="G314" s="673"/>
      <c r="H314" s="673"/>
      <c r="I314" s="673"/>
      <c r="J314" s="673"/>
      <c r="K314" s="673"/>
      <c r="L314" s="673"/>
      <c r="M314" s="673"/>
      <c r="N314" s="673"/>
      <c r="O314" s="674"/>
      <c r="P314" s="670" t="s">
        <v>40</v>
      </c>
      <c r="Q314" s="671"/>
      <c r="R314" s="671"/>
      <c r="S314" s="671"/>
      <c r="T314" s="671"/>
      <c r="U314" s="671"/>
      <c r="V314" s="672"/>
      <c r="W314" s="40" t="s">
        <v>0</v>
      </c>
      <c r="X314" s="41">
        <f>IFERROR(SUM(X308:X312),"0")</f>
        <v>0</v>
      </c>
      <c r="Y314" s="41">
        <f>IFERROR(SUM(Y308:Y312),"0")</f>
        <v>0</v>
      </c>
      <c r="Z314" s="40"/>
      <c r="AA314" s="64"/>
      <c r="AB314" s="64"/>
      <c r="AC314" s="64"/>
    </row>
    <row r="315" spans="1:68" ht="16.5" hidden="1" customHeight="1" x14ac:dyDescent="0.25">
      <c r="A315" s="662" t="s">
        <v>527</v>
      </c>
      <c r="B315" s="662"/>
      <c r="C315" s="662"/>
      <c r="D315" s="662"/>
      <c r="E315" s="662"/>
      <c r="F315" s="662"/>
      <c r="G315" s="662"/>
      <c r="H315" s="662"/>
      <c r="I315" s="662"/>
      <c r="J315" s="662"/>
      <c r="K315" s="662"/>
      <c r="L315" s="662"/>
      <c r="M315" s="662"/>
      <c r="N315" s="662"/>
      <c r="O315" s="662"/>
      <c r="P315" s="662"/>
      <c r="Q315" s="662"/>
      <c r="R315" s="662"/>
      <c r="S315" s="662"/>
      <c r="T315" s="662"/>
      <c r="U315" s="662"/>
      <c r="V315" s="662"/>
      <c r="W315" s="662"/>
      <c r="X315" s="662"/>
      <c r="Y315" s="662"/>
      <c r="Z315" s="662"/>
      <c r="AA315" s="62"/>
      <c r="AB315" s="62"/>
      <c r="AC315" s="62"/>
    </row>
    <row r="316" spans="1:68" ht="14.25" hidden="1" customHeight="1" x14ac:dyDescent="0.25">
      <c r="A316" s="663" t="s">
        <v>92</v>
      </c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3"/>
      <c r="P316" s="663"/>
      <c r="Q316" s="663"/>
      <c r="R316" s="663"/>
      <c r="S316" s="663"/>
      <c r="T316" s="663"/>
      <c r="U316" s="663"/>
      <c r="V316" s="663"/>
      <c r="W316" s="663"/>
      <c r="X316" s="663"/>
      <c r="Y316" s="663"/>
      <c r="Z316" s="663"/>
      <c r="AA316" s="63"/>
      <c r="AB316" s="63"/>
      <c r="AC316" s="63"/>
    </row>
    <row r="317" spans="1:68" ht="27" hidden="1" customHeight="1" x14ac:dyDescent="0.25">
      <c r="A317" s="60" t="s">
        <v>528</v>
      </c>
      <c r="B317" s="60" t="s">
        <v>529</v>
      </c>
      <c r="C317" s="34">
        <v>4301051893</v>
      </c>
      <c r="D317" s="664">
        <v>4680115886186</v>
      </c>
      <c r="E317" s="664"/>
      <c r="F317" s="59">
        <v>0.3</v>
      </c>
      <c r="G317" s="35">
        <v>6</v>
      </c>
      <c r="H317" s="59">
        <v>1.8</v>
      </c>
      <c r="I317" s="59">
        <v>1.98</v>
      </c>
      <c r="J317" s="35">
        <v>182</v>
      </c>
      <c r="K317" s="35" t="s">
        <v>88</v>
      </c>
      <c r="L317" s="35" t="s">
        <v>46</v>
      </c>
      <c r="M317" s="36" t="s">
        <v>96</v>
      </c>
      <c r="N317" s="36"/>
      <c r="O317" s="35">
        <v>45</v>
      </c>
      <c r="P317" s="82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7" s="666"/>
      <c r="R317" s="666"/>
      <c r="S317" s="666"/>
      <c r="T317" s="667"/>
      <c r="U317" s="37" t="s">
        <v>46</v>
      </c>
      <c r="V317" s="37" t="s">
        <v>46</v>
      </c>
      <c r="W317" s="38" t="s">
        <v>0</v>
      </c>
      <c r="X317" s="56"/>
      <c r="Y317" s="53">
        <f>IFERROR(IF(X317="",0,CEILING((X317/$H317),1)*$H317),"")</f>
        <v>0</v>
      </c>
      <c r="Z317" s="39" t="str">
        <f>IFERROR(IF(Y317=0,"",ROUNDUP(Y317/H317,0)*0.00651),"")</f>
        <v/>
      </c>
      <c r="AA317" s="65" t="s">
        <v>46</v>
      </c>
      <c r="AB317" s="66" t="s">
        <v>46</v>
      </c>
      <c r="AC317" s="391" t="s">
        <v>530</v>
      </c>
      <c r="AG317" s="75"/>
      <c r="AJ317" s="79" t="s">
        <v>46</v>
      </c>
      <c r="AK317" s="79">
        <v>0</v>
      </c>
      <c r="BB317" s="392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531</v>
      </c>
      <c r="B318" s="60" t="s">
        <v>532</v>
      </c>
      <c r="C318" s="34">
        <v>4301051795</v>
      </c>
      <c r="D318" s="664">
        <v>4680115881228</v>
      </c>
      <c r="E318" s="664"/>
      <c r="F318" s="59">
        <v>0.4</v>
      </c>
      <c r="G318" s="35">
        <v>6</v>
      </c>
      <c r="H318" s="59">
        <v>2.4</v>
      </c>
      <c r="I318" s="59">
        <v>2.6520000000000001</v>
      </c>
      <c r="J318" s="35">
        <v>182</v>
      </c>
      <c r="K318" s="35" t="s">
        <v>88</v>
      </c>
      <c r="L318" s="35" t="s">
        <v>46</v>
      </c>
      <c r="M318" s="36" t="s">
        <v>102</v>
      </c>
      <c r="N318" s="36"/>
      <c r="O318" s="35">
        <v>40</v>
      </c>
      <c r="P318" s="82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8" s="666"/>
      <c r="R318" s="666"/>
      <c r="S318" s="666"/>
      <c r="T318" s="667"/>
      <c r="U318" s="37" t="s">
        <v>46</v>
      </c>
      <c r="V318" s="37" t="s">
        <v>46</v>
      </c>
      <c r="W318" s="38" t="s">
        <v>0</v>
      </c>
      <c r="X318" s="56"/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533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534</v>
      </c>
      <c r="B319" s="60" t="s">
        <v>535</v>
      </c>
      <c r="C319" s="34">
        <v>4301051388</v>
      </c>
      <c r="D319" s="664">
        <v>4680115881211</v>
      </c>
      <c r="E319" s="664"/>
      <c r="F319" s="59">
        <v>0.4</v>
      </c>
      <c r="G319" s="35">
        <v>6</v>
      </c>
      <c r="H319" s="59">
        <v>2.4</v>
      </c>
      <c r="I319" s="59">
        <v>2.58</v>
      </c>
      <c r="J319" s="35">
        <v>182</v>
      </c>
      <c r="K319" s="35" t="s">
        <v>88</v>
      </c>
      <c r="L319" s="35" t="s">
        <v>46</v>
      </c>
      <c r="M319" s="36" t="s">
        <v>96</v>
      </c>
      <c r="N319" s="36"/>
      <c r="O319" s="35">
        <v>45</v>
      </c>
      <c r="P319" s="82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19" s="666"/>
      <c r="R319" s="666"/>
      <c r="S319" s="666"/>
      <c r="T319" s="667"/>
      <c r="U319" s="37" t="s">
        <v>46</v>
      </c>
      <c r="V319" s="37" t="s">
        <v>46</v>
      </c>
      <c r="W319" s="38" t="s">
        <v>0</v>
      </c>
      <c r="X319" s="56"/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395" t="s">
        <v>530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idden="1" x14ac:dyDescent="0.2">
      <c r="A320" s="673"/>
      <c r="B320" s="673"/>
      <c r="C320" s="673"/>
      <c r="D320" s="673"/>
      <c r="E320" s="673"/>
      <c r="F320" s="673"/>
      <c r="G320" s="673"/>
      <c r="H320" s="673"/>
      <c r="I320" s="673"/>
      <c r="J320" s="673"/>
      <c r="K320" s="673"/>
      <c r="L320" s="673"/>
      <c r="M320" s="673"/>
      <c r="N320" s="673"/>
      <c r="O320" s="674"/>
      <c r="P320" s="670" t="s">
        <v>40</v>
      </c>
      <c r="Q320" s="671"/>
      <c r="R320" s="671"/>
      <c r="S320" s="671"/>
      <c r="T320" s="671"/>
      <c r="U320" s="671"/>
      <c r="V320" s="672"/>
      <c r="W320" s="40" t="s">
        <v>39</v>
      </c>
      <c r="X320" s="41">
        <f>IFERROR(X317/H317,"0")+IFERROR(X318/H318,"0")+IFERROR(X319/H319,"0")</f>
        <v>0</v>
      </c>
      <c r="Y320" s="41">
        <f>IFERROR(Y317/H317,"0")+IFERROR(Y318/H318,"0")+IFERROR(Y319/H319,"0")</f>
        <v>0</v>
      </c>
      <c r="Z320" s="41">
        <f>IFERROR(IF(Z317="",0,Z317),"0")+IFERROR(IF(Z318="",0,Z318),"0")+IFERROR(IF(Z319="",0,Z319),"0")</f>
        <v>0</v>
      </c>
      <c r="AA320" s="64"/>
      <c r="AB320" s="64"/>
      <c r="AC320" s="64"/>
    </row>
    <row r="321" spans="1:68" hidden="1" x14ac:dyDescent="0.2">
      <c r="A321" s="673"/>
      <c r="B321" s="673"/>
      <c r="C321" s="673"/>
      <c r="D321" s="673"/>
      <c r="E321" s="673"/>
      <c r="F321" s="673"/>
      <c r="G321" s="673"/>
      <c r="H321" s="673"/>
      <c r="I321" s="673"/>
      <c r="J321" s="673"/>
      <c r="K321" s="673"/>
      <c r="L321" s="673"/>
      <c r="M321" s="673"/>
      <c r="N321" s="673"/>
      <c r="O321" s="674"/>
      <c r="P321" s="670" t="s">
        <v>40</v>
      </c>
      <c r="Q321" s="671"/>
      <c r="R321" s="671"/>
      <c r="S321" s="671"/>
      <c r="T321" s="671"/>
      <c r="U321" s="671"/>
      <c r="V321" s="672"/>
      <c r="W321" s="40" t="s">
        <v>0</v>
      </c>
      <c r="X321" s="41">
        <f>IFERROR(SUM(X317:X319),"0")</f>
        <v>0</v>
      </c>
      <c r="Y321" s="41">
        <f>IFERROR(SUM(Y317:Y319),"0")</f>
        <v>0</v>
      </c>
      <c r="Z321" s="40"/>
      <c r="AA321" s="64"/>
      <c r="AB321" s="64"/>
      <c r="AC321" s="64"/>
    </row>
    <row r="322" spans="1:68" ht="16.5" hidden="1" customHeight="1" x14ac:dyDescent="0.25">
      <c r="A322" s="662" t="s">
        <v>536</v>
      </c>
      <c r="B322" s="662"/>
      <c r="C322" s="662"/>
      <c r="D322" s="662"/>
      <c r="E322" s="662"/>
      <c r="F322" s="662"/>
      <c r="G322" s="662"/>
      <c r="H322" s="662"/>
      <c r="I322" s="662"/>
      <c r="J322" s="662"/>
      <c r="K322" s="662"/>
      <c r="L322" s="662"/>
      <c r="M322" s="662"/>
      <c r="N322" s="662"/>
      <c r="O322" s="662"/>
      <c r="P322" s="662"/>
      <c r="Q322" s="662"/>
      <c r="R322" s="662"/>
      <c r="S322" s="662"/>
      <c r="T322" s="662"/>
      <c r="U322" s="662"/>
      <c r="V322" s="662"/>
      <c r="W322" s="662"/>
      <c r="X322" s="662"/>
      <c r="Y322" s="662"/>
      <c r="Z322" s="662"/>
      <c r="AA322" s="62"/>
      <c r="AB322" s="62"/>
      <c r="AC322" s="62"/>
    </row>
    <row r="323" spans="1:68" ht="14.25" hidden="1" customHeight="1" x14ac:dyDescent="0.25">
      <c r="A323" s="663" t="s">
        <v>77</v>
      </c>
      <c r="B323" s="663"/>
      <c r="C323" s="663"/>
      <c r="D323" s="663"/>
      <c r="E323" s="663"/>
      <c r="F323" s="663"/>
      <c r="G323" s="663"/>
      <c r="H323" s="663"/>
      <c r="I323" s="663"/>
      <c r="J323" s="663"/>
      <c r="K323" s="663"/>
      <c r="L323" s="663"/>
      <c r="M323" s="663"/>
      <c r="N323" s="663"/>
      <c r="O323" s="663"/>
      <c r="P323" s="663"/>
      <c r="Q323" s="663"/>
      <c r="R323" s="663"/>
      <c r="S323" s="663"/>
      <c r="T323" s="663"/>
      <c r="U323" s="663"/>
      <c r="V323" s="663"/>
      <c r="W323" s="663"/>
      <c r="X323" s="663"/>
      <c r="Y323" s="663"/>
      <c r="Z323" s="663"/>
      <c r="AA323" s="63"/>
      <c r="AB323" s="63"/>
      <c r="AC323" s="63"/>
    </row>
    <row r="324" spans="1:68" ht="27" hidden="1" customHeight="1" x14ac:dyDescent="0.25">
      <c r="A324" s="60" t="s">
        <v>537</v>
      </c>
      <c r="B324" s="60" t="s">
        <v>538</v>
      </c>
      <c r="C324" s="34">
        <v>4301031445</v>
      </c>
      <c r="D324" s="664">
        <v>4680115888319</v>
      </c>
      <c r="E324" s="664"/>
      <c r="F324" s="59">
        <v>0.35</v>
      </c>
      <c r="G324" s="35">
        <v>6</v>
      </c>
      <c r="H324" s="59">
        <v>2.1</v>
      </c>
      <c r="I324" s="59">
        <v>2.23</v>
      </c>
      <c r="J324" s="35">
        <v>234</v>
      </c>
      <c r="K324" s="35" t="s">
        <v>84</v>
      </c>
      <c r="L324" s="35" t="s">
        <v>46</v>
      </c>
      <c r="M324" s="36" t="s">
        <v>83</v>
      </c>
      <c r="N324" s="36"/>
      <c r="O324" s="35">
        <v>45</v>
      </c>
      <c r="P324" s="8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4" s="666"/>
      <c r="R324" s="666"/>
      <c r="S324" s="666"/>
      <c r="T324" s="667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IFERROR(IF(Y324=0,"",ROUNDUP(Y324/H324,0)*0.00502),"")</f>
        <v/>
      </c>
      <c r="AA324" s="65" t="s">
        <v>46</v>
      </c>
      <c r="AB324" s="66" t="s">
        <v>46</v>
      </c>
      <c r="AC324" s="397" t="s">
        <v>383</v>
      </c>
      <c r="AG324" s="75"/>
      <c r="AJ324" s="79" t="s">
        <v>46</v>
      </c>
      <c r="AK324" s="79">
        <v>0</v>
      </c>
      <c r="BB324" s="398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27" hidden="1" customHeight="1" x14ac:dyDescent="0.25">
      <c r="A325" s="60" t="s">
        <v>539</v>
      </c>
      <c r="B325" s="60" t="s">
        <v>540</v>
      </c>
      <c r="C325" s="34">
        <v>4301031502</v>
      </c>
      <c r="D325" s="664">
        <v>4680115884700</v>
      </c>
      <c r="E325" s="664"/>
      <c r="F325" s="59">
        <v>0.57999999999999996</v>
      </c>
      <c r="G325" s="35">
        <v>4</v>
      </c>
      <c r="H325" s="59">
        <v>2.3199999999999998</v>
      </c>
      <c r="I325" s="59">
        <v>2.42</v>
      </c>
      <c r="J325" s="35">
        <v>234</v>
      </c>
      <c r="K325" s="35" t="s">
        <v>84</v>
      </c>
      <c r="L325" s="35" t="s">
        <v>46</v>
      </c>
      <c r="M325" s="36" t="s">
        <v>83</v>
      </c>
      <c r="N325" s="36"/>
      <c r="O325" s="35">
        <v>40</v>
      </c>
      <c r="P325" s="8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5" s="666"/>
      <c r="R325" s="666"/>
      <c r="S325" s="666"/>
      <c r="T325" s="667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541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542</v>
      </c>
      <c r="B326" s="60" t="s">
        <v>543</v>
      </c>
      <c r="C326" s="34">
        <v>4301031307</v>
      </c>
      <c r="D326" s="664">
        <v>4680115880344</v>
      </c>
      <c r="E326" s="664"/>
      <c r="F326" s="59">
        <v>0.28000000000000003</v>
      </c>
      <c r="G326" s="35">
        <v>6</v>
      </c>
      <c r="H326" s="59">
        <v>1.68</v>
      </c>
      <c r="I326" s="59">
        <v>1.78</v>
      </c>
      <c r="J326" s="35">
        <v>234</v>
      </c>
      <c r="K326" s="35" t="s">
        <v>84</v>
      </c>
      <c r="L326" s="35" t="s">
        <v>46</v>
      </c>
      <c r="M326" s="36" t="s">
        <v>83</v>
      </c>
      <c r="N326" s="36"/>
      <c r="O326" s="35">
        <v>40</v>
      </c>
      <c r="P326" s="8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6" s="666"/>
      <c r="R326" s="666"/>
      <c r="S326" s="666"/>
      <c r="T326" s="66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544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545</v>
      </c>
      <c r="B327" s="60" t="s">
        <v>546</v>
      </c>
      <c r="C327" s="34">
        <v>4301031501</v>
      </c>
      <c r="D327" s="664">
        <v>4680115886919</v>
      </c>
      <c r="E327" s="664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88</v>
      </c>
      <c r="L327" s="35" t="s">
        <v>46</v>
      </c>
      <c r="M327" s="36" t="s">
        <v>83</v>
      </c>
      <c r="N327" s="36"/>
      <c r="O327" s="35">
        <v>40</v>
      </c>
      <c r="P327" s="8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7" s="666"/>
      <c r="R327" s="666"/>
      <c r="S327" s="666"/>
      <c r="T327" s="66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03" t="s">
        <v>547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548</v>
      </c>
      <c r="B328" s="60" t="s">
        <v>549</v>
      </c>
      <c r="C328" s="34">
        <v>4301031246</v>
      </c>
      <c r="D328" s="664">
        <v>4680115883970</v>
      </c>
      <c r="E328" s="664"/>
      <c r="F328" s="59">
        <v>0.28000000000000003</v>
      </c>
      <c r="G328" s="35">
        <v>6</v>
      </c>
      <c r="H328" s="59">
        <v>1.68</v>
      </c>
      <c r="I328" s="59">
        <v>2.5</v>
      </c>
      <c r="J328" s="35">
        <v>234</v>
      </c>
      <c r="K328" s="35" t="s">
        <v>84</v>
      </c>
      <c r="L328" s="35" t="s">
        <v>46</v>
      </c>
      <c r="M328" s="36" t="s">
        <v>83</v>
      </c>
      <c r="N328" s="36"/>
      <c r="O328" s="35">
        <v>40</v>
      </c>
      <c r="P328" s="83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8" s="666"/>
      <c r="R328" s="666"/>
      <c r="S328" s="666"/>
      <c r="T328" s="66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IFERROR(IF(Y328=0,"",ROUNDUP(Y328/H328,0)*0.00502),"")</f>
        <v/>
      </c>
      <c r="AA328" s="65" t="s">
        <v>46</v>
      </c>
      <c r="AB328" s="66" t="s">
        <v>46</v>
      </c>
      <c r="AC328" s="405" t="s">
        <v>550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">
      <c r="A329" s="673"/>
      <c r="B329" s="673"/>
      <c r="C329" s="673"/>
      <c r="D329" s="673"/>
      <c r="E329" s="673"/>
      <c r="F329" s="673"/>
      <c r="G329" s="673"/>
      <c r="H329" s="673"/>
      <c r="I329" s="673"/>
      <c r="J329" s="673"/>
      <c r="K329" s="673"/>
      <c r="L329" s="673"/>
      <c r="M329" s="673"/>
      <c r="N329" s="673"/>
      <c r="O329" s="674"/>
      <c r="P329" s="670" t="s">
        <v>40</v>
      </c>
      <c r="Q329" s="671"/>
      <c r="R329" s="671"/>
      <c r="S329" s="671"/>
      <c r="T329" s="671"/>
      <c r="U329" s="671"/>
      <c r="V329" s="672"/>
      <c r="W329" s="40" t="s">
        <v>39</v>
      </c>
      <c r="X329" s="41">
        <f>IFERROR(X324/H324,"0")+IFERROR(X325/H325,"0")+IFERROR(X326/H326,"0")+IFERROR(X327/H327,"0")+IFERROR(X328/H328,"0")</f>
        <v>0</v>
      </c>
      <c r="Y329" s="41">
        <f>IFERROR(Y324/H324,"0")+IFERROR(Y325/H325,"0")+IFERROR(Y326/H326,"0")+IFERROR(Y327/H327,"0")+IFERROR(Y328/H328,"0")</f>
        <v>0</v>
      </c>
      <c r="Z329" s="41">
        <f>IFERROR(IF(Z324="",0,Z324),"0")+IFERROR(IF(Z325="",0,Z325),"0")+IFERROR(IF(Z326="",0,Z326),"0")+IFERROR(IF(Z327="",0,Z327),"0")+IFERROR(IF(Z328="",0,Z328),"0")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">
      <c r="A330" s="673"/>
      <c r="B330" s="673"/>
      <c r="C330" s="673"/>
      <c r="D330" s="673"/>
      <c r="E330" s="673"/>
      <c r="F330" s="673"/>
      <c r="G330" s="673"/>
      <c r="H330" s="673"/>
      <c r="I330" s="673"/>
      <c r="J330" s="673"/>
      <c r="K330" s="673"/>
      <c r="L330" s="673"/>
      <c r="M330" s="673"/>
      <c r="N330" s="673"/>
      <c r="O330" s="674"/>
      <c r="P330" s="670" t="s">
        <v>40</v>
      </c>
      <c r="Q330" s="671"/>
      <c r="R330" s="671"/>
      <c r="S330" s="671"/>
      <c r="T330" s="671"/>
      <c r="U330" s="671"/>
      <c r="V330" s="672"/>
      <c r="W330" s="40" t="s">
        <v>0</v>
      </c>
      <c r="X330" s="41">
        <f>IFERROR(SUM(X324:X328),"0")</f>
        <v>0</v>
      </c>
      <c r="Y330" s="41">
        <f>IFERROR(SUM(Y324:Y328),"0")</f>
        <v>0</v>
      </c>
      <c r="Z330" s="40"/>
      <c r="AA330" s="64"/>
      <c r="AB330" s="64"/>
      <c r="AC330" s="64"/>
    </row>
    <row r="331" spans="1:68" ht="14.25" hidden="1" customHeight="1" x14ac:dyDescent="0.25">
      <c r="A331" s="663" t="s">
        <v>92</v>
      </c>
      <c r="B331" s="663"/>
      <c r="C331" s="663"/>
      <c r="D331" s="663"/>
      <c r="E331" s="663"/>
      <c r="F331" s="663"/>
      <c r="G331" s="663"/>
      <c r="H331" s="663"/>
      <c r="I331" s="663"/>
      <c r="J331" s="663"/>
      <c r="K331" s="663"/>
      <c r="L331" s="663"/>
      <c r="M331" s="663"/>
      <c r="N331" s="663"/>
      <c r="O331" s="663"/>
      <c r="P331" s="663"/>
      <c r="Q331" s="663"/>
      <c r="R331" s="663"/>
      <c r="S331" s="663"/>
      <c r="T331" s="663"/>
      <c r="U331" s="663"/>
      <c r="V331" s="663"/>
      <c r="W331" s="663"/>
      <c r="X331" s="663"/>
      <c r="Y331" s="663"/>
      <c r="Z331" s="663"/>
      <c r="AA331" s="63"/>
      <c r="AB331" s="63"/>
      <c r="AC331" s="63"/>
    </row>
    <row r="332" spans="1:68" ht="37.5" hidden="1" customHeight="1" x14ac:dyDescent="0.25">
      <c r="A332" s="60" t="s">
        <v>551</v>
      </c>
      <c r="B332" s="60" t="s">
        <v>552</v>
      </c>
      <c r="C332" s="34">
        <v>4301051782</v>
      </c>
      <c r="D332" s="664">
        <v>4680115884618</v>
      </c>
      <c r="E332" s="664"/>
      <c r="F332" s="59">
        <v>0.6</v>
      </c>
      <c r="G332" s="35">
        <v>6</v>
      </c>
      <c r="H332" s="59">
        <v>3.6</v>
      </c>
      <c r="I332" s="59">
        <v>3.79</v>
      </c>
      <c r="J332" s="35">
        <v>132</v>
      </c>
      <c r="K332" s="35" t="s">
        <v>158</v>
      </c>
      <c r="L332" s="35" t="s">
        <v>46</v>
      </c>
      <c r="M332" s="36" t="s">
        <v>96</v>
      </c>
      <c r="N332" s="36"/>
      <c r="O332" s="35">
        <v>45</v>
      </c>
      <c r="P332" s="83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2" s="666"/>
      <c r="R332" s="666"/>
      <c r="S332" s="666"/>
      <c r="T332" s="66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07" t="s">
        <v>553</v>
      </c>
      <c r="AG332" s="75"/>
      <c r="AJ332" s="79" t="s">
        <v>46</v>
      </c>
      <c r="AK332" s="79">
        <v>0</v>
      </c>
      <c r="BB332" s="40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554</v>
      </c>
      <c r="B333" s="60" t="s">
        <v>555</v>
      </c>
      <c r="C333" s="34">
        <v>4301052057</v>
      </c>
      <c r="D333" s="664">
        <v>4680115887114</v>
      </c>
      <c r="E333" s="664"/>
      <c r="F333" s="59">
        <v>0.55000000000000004</v>
      </c>
      <c r="G333" s="35">
        <v>6</v>
      </c>
      <c r="H333" s="59">
        <v>3.3</v>
      </c>
      <c r="I333" s="59">
        <v>3.49</v>
      </c>
      <c r="J333" s="35">
        <v>132</v>
      </c>
      <c r="K333" s="35" t="s">
        <v>158</v>
      </c>
      <c r="L333" s="35" t="s">
        <v>46</v>
      </c>
      <c r="M333" s="36" t="s">
        <v>96</v>
      </c>
      <c r="N333" s="36"/>
      <c r="O333" s="35">
        <v>45</v>
      </c>
      <c r="P333" s="83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3" s="666"/>
      <c r="R333" s="666"/>
      <c r="S333" s="666"/>
      <c r="T333" s="66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556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73"/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4"/>
      <c r="P334" s="670" t="s">
        <v>40</v>
      </c>
      <c r="Q334" s="671"/>
      <c r="R334" s="671"/>
      <c r="S334" s="671"/>
      <c r="T334" s="671"/>
      <c r="U334" s="671"/>
      <c r="V334" s="672"/>
      <c r="W334" s="40" t="s">
        <v>39</v>
      </c>
      <c r="X334" s="41">
        <f>IFERROR(X332/H332,"0")+IFERROR(X333/H333,"0")</f>
        <v>0</v>
      </c>
      <c r="Y334" s="41">
        <f>IFERROR(Y332/H332,"0")+IFERROR(Y333/H333,"0")</f>
        <v>0</v>
      </c>
      <c r="Z334" s="41">
        <f>IFERROR(IF(Z332="",0,Z332),"0")+IFERROR(IF(Z333="",0,Z333),"0")</f>
        <v>0</v>
      </c>
      <c r="AA334" s="64"/>
      <c r="AB334" s="64"/>
      <c r="AC334" s="64"/>
    </row>
    <row r="335" spans="1:68" hidden="1" x14ac:dyDescent="0.2">
      <c r="A335" s="673"/>
      <c r="B335" s="673"/>
      <c r="C335" s="673"/>
      <c r="D335" s="673"/>
      <c r="E335" s="673"/>
      <c r="F335" s="673"/>
      <c r="G335" s="673"/>
      <c r="H335" s="673"/>
      <c r="I335" s="673"/>
      <c r="J335" s="673"/>
      <c r="K335" s="673"/>
      <c r="L335" s="673"/>
      <c r="M335" s="673"/>
      <c r="N335" s="673"/>
      <c r="O335" s="674"/>
      <c r="P335" s="670" t="s">
        <v>40</v>
      </c>
      <c r="Q335" s="671"/>
      <c r="R335" s="671"/>
      <c r="S335" s="671"/>
      <c r="T335" s="671"/>
      <c r="U335" s="671"/>
      <c r="V335" s="672"/>
      <c r="W335" s="40" t="s">
        <v>0</v>
      </c>
      <c r="X335" s="41">
        <f>IFERROR(SUM(X332:X333),"0")</f>
        <v>0</v>
      </c>
      <c r="Y335" s="41">
        <f>IFERROR(SUM(Y332:Y333),"0")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62" t="s">
        <v>557</v>
      </c>
      <c r="B336" s="662"/>
      <c r="C336" s="662"/>
      <c r="D336" s="662"/>
      <c r="E336" s="662"/>
      <c r="F336" s="662"/>
      <c r="G336" s="662"/>
      <c r="H336" s="662"/>
      <c r="I336" s="662"/>
      <c r="J336" s="662"/>
      <c r="K336" s="662"/>
      <c r="L336" s="662"/>
      <c r="M336" s="662"/>
      <c r="N336" s="662"/>
      <c r="O336" s="662"/>
      <c r="P336" s="662"/>
      <c r="Q336" s="662"/>
      <c r="R336" s="662"/>
      <c r="S336" s="662"/>
      <c r="T336" s="662"/>
      <c r="U336" s="662"/>
      <c r="V336" s="662"/>
      <c r="W336" s="662"/>
      <c r="X336" s="662"/>
      <c r="Y336" s="662"/>
      <c r="Z336" s="662"/>
      <c r="AA336" s="62"/>
      <c r="AB336" s="62"/>
      <c r="AC336" s="62"/>
    </row>
    <row r="337" spans="1:68" ht="14.25" hidden="1" customHeight="1" x14ac:dyDescent="0.25">
      <c r="A337" s="663" t="s">
        <v>146</v>
      </c>
      <c r="B337" s="663"/>
      <c r="C337" s="663"/>
      <c r="D337" s="663"/>
      <c r="E337" s="663"/>
      <c r="F337" s="663"/>
      <c r="G337" s="663"/>
      <c r="H337" s="663"/>
      <c r="I337" s="663"/>
      <c r="J337" s="663"/>
      <c r="K337" s="663"/>
      <c r="L337" s="663"/>
      <c r="M337" s="663"/>
      <c r="N337" s="663"/>
      <c r="O337" s="663"/>
      <c r="P337" s="663"/>
      <c r="Q337" s="663"/>
      <c r="R337" s="663"/>
      <c r="S337" s="663"/>
      <c r="T337" s="663"/>
      <c r="U337" s="663"/>
      <c r="V337" s="663"/>
      <c r="W337" s="663"/>
      <c r="X337" s="663"/>
      <c r="Y337" s="663"/>
      <c r="Z337" s="663"/>
      <c r="AA337" s="63"/>
      <c r="AB337" s="63"/>
      <c r="AC337" s="63"/>
    </row>
    <row r="338" spans="1:68" ht="27" hidden="1" customHeight="1" x14ac:dyDescent="0.25">
      <c r="A338" s="60" t="s">
        <v>558</v>
      </c>
      <c r="B338" s="60" t="s">
        <v>559</v>
      </c>
      <c r="C338" s="34">
        <v>4301012324</v>
      </c>
      <c r="D338" s="664">
        <v>4680115887947</v>
      </c>
      <c r="E338" s="664"/>
      <c r="F338" s="59">
        <v>1.3</v>
      </c>
      <c r="G338" s="35">
        <v>6</v>
      </c>
      <c r="H338" s="59">
        <v>7.8</v>
      </c>
      <c r="I338" s="59">
        <v>8.2100000000000009</v>
      </c>
      <c r="J338" s="35">
        <v>64</v>
      </c>
      <c r="K338" s="35" t="s">
        <v>151</v>
      </c>
      <c r="L338" s="35" t="s">
        <v>46</v>
      </c>
      <c r="M338" s="36" t="s">
        <v>96</v>
      </c>
      <c r="N338" s="36"/>
      <c r="O338" s="35">
        <v>60</v>
      </c>
      <c r="P338" s="83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8" s="666"/>
      <c r="R338" s="666"/>
      <c r="S338" s="666"/>
      <c r="T338" s="66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IFERROR(IF(Y338=0,"",ROUNDUP(Y338/H338,0)*0.01898),"")</f>
        <v/>
      </c>
      <c r="AA338" s="65" t="s">
        <v>46</v>
      </c>
      <c r="AB338" s="66" t="s">
        <v>46</v>
      </c>
      <c r="AC338" s="411" t="s">
        <v>560</v>
      </c>
      <c r="AG338" s="75"/>
      <c r="AJ338" s="79" t="s">
        <v>46</v>
      </c>
      <c r="AK338" s="79">
        <v>0</v>
      </c>
      <c r="BB338" s="41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561</v>
      </c>
      <c r="B339" s="60" t="s">
        <v>562</v>
      </c>
      <c r="C339" s="34">
        <v>4301012325</v>
      </c>
      <c r="D339" s="664">
        <v>4680115887978</v>
      </c>
      <c r="E339" s="664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151</v>
      </c>
      <c r="L339" s="35" t="s">
        <v>46</v>
      </c>
      <c r="M339" s="36" t="s">
        <v>96</v>
      </c>
      <c r="N339" s="36"/>
      <c r="O339" s="35">
        <v>60</v>
      </c>
      <c r="P339" s="83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39" s="666"/>
      <c r="R339" s="666"/>
      <c r="S339" s="666"/>
      <c r="T339" s="66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13" t="s">
        <v>563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564</v>
      </c>
      <c r="B340" s="60" t="s">
        <v>565</v>
      </c>
      <c r="C340" s="34">
        <v>4301012327</v>
      </c>
      <c r="D340" s="664">
        <v>4680115887992</v>
      </c>
      <c r="E340" s="664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151</v>
      </c>
      <c r="L340" s="35" t="s">
        <v>46</v>
      </c>
      <c r="M340" s="36" t="s">
        <v>96</v>
      </c>
      <c r="N340" s="36"/>
      <c r="O340" s="35">
        <v>60</v>
      </c>
      <c r="P340" s="83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0" s="666"/>
      <c r="R340" s="666"/>
      <c r="S340" s="666"/>
      <c r="T340" s="66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566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70" t="s">
        <v>40</v>
      </c>
      <c r="Q341" s="671"/>
      <c r="R341" s="671"/>
      <c r="S341" s="671"/>
      <c r="T341" s="671"/>
      <c r="U341" s="671"/>
      <c r="V341" s="672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">
      <c r="A342" s="673"/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4"/>
      <c r="P342" s="670" t="s">
        <v>40</v>
      </c>
      <c r="Q342" s="671"/>
      <c r="R342" s="671"/>
      <c r="S342" s="671"/>
      <c r="T342" s="671"/>
      <c r="U342" s="671"/>
      <c r="V342" s="672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662" t="s">
        <v>567</v>
      </c>
      <c r="B343" s="662"/>
      <c r="C343" s="662"/>
      <c r="D343" s="662"/>
      <c r="E343" s="662"/>
      <c r="F343" s="662"/>
      <c r="G343" s="662"/>
      <c r="H343" s="662"/>
      <c r="I343" s="662"/>
      <c r="J343" s="662"/>
      <c r="K343" s="662"/>
      <c r="L343" s="662"/>
      <c r="M343" s="662"/>
      <c r="N343" s="662"/>
      <c r="O343" s="662"/>
      <c r="P343" s="662"/>
      <c r="Q343" s="662"/>
      <c r="R343" s="662"/>
      <c r="S343" s="662"/>
      <c r="T343" s="662"/>
      <c r="U343" s="662"/>
      <c r="V343" s="662"/>
      <c r="W343" s="662"/>
      <c r="X343" s="662"/>
      <c r="Y343" s="662"/>
      <c r="Z343" s="662"/>
      <c r="AA343" s="62"/>
      <c r="AB343" s="62"/>
      <c r="AC343" s="62"/>
    </row>
    <row r="344" spans="1:68" ht="14.25" hidden="1" customHeight="1" x14ac:dyDescent="0.25">
      <c r="A344" s="663" t="s">
        <v>146</v>
      </c>
      <c r="B344" s="663"/>
      <c r="C344" s="663"/>
      <c r="D344" s="663"/>
      <c r="E344" s="663"/>
      <c r="F344" s="663"/>
      <c r="G344" s="663"/>
      <c r="H344" s="663"/>
      <c r="I344" s="663"/>
      <c r="J344" s="663"/>
      <c r="K344" s="663"/>
      <c r="L344" s="663"/>
      <c r="M344" s="663"/>
      <c r="N344" s="663"/>
      <c r="O344" s="663"/>
      <c r="P344" s="663"/>
      <c r="Q344" s="663"/>
      <c r="R344" s="663"/>
      <c r="S344" s="663"/>
      <c r="T344" s="663"/>
      <c r="U344" s="663"/>
      <c r="V344" s="663"/>
      <c r="W344" s="663"/>
      <c r="X344" s="663"/>
      <c r="Y344" s="663"/>
      <c r="Z344" s="663"/>
      <c r="AA344" s="63"/>
      <c r="AB344" s="63"/>
      <c r="AC344" s="63"/>
    </row>
    <row r="345" spans="1:68" ht="27" hidden="1" customHeight="1" x14ac:dyDescent="0.25">
      <c r="A345" s="60" t="s">
        <v>568</v>
      </c>
      <c r="B345" s="60" t="s">
        <v>569</v>
      </c>
      <c r="C345" s="34">
        <v>4301012126</v>
      </c>
      <c r="D345" s="664">
        <v>4607091386004</v>
      </c>
      <c r="E345" s="664"/>
      <c r="F345" s="59">
        <v>1.35</v>
      </c>
      <c r="G345" s="35">
        <v>8</v>
      </c>
      <c r="H345" s="59">
        <v>10.8</v>
      </c>
      <c r="I345" s="59">
        <v>11.21</v>
      </c>
      <c r="J345" s="35">
        <v>64</v>
      </c>
      <c r="K345" s="35" t="s">
        <v>151</v>
      </c>
      <c r="L345" s="35" t="s">
        <v>46</v>
      </c>
      <c r="M345" s="36" t="s">
        <v>150</v>
      </c>
      <c r="N345" s="36"/>
      <c r="O345" s="35">
        <v>55</v>
      </c>
      <c r="P345" s="84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5" s="666"/>
      <c r="R345" s="666"/>
      <c r="S345" s="666"/>
      <c r="T345" s="667"/>
      <c r="U345" s="37" t="s">
        <v>46</v>
      </c>
      <c r="V345" s="37" t="s">
        <v>46</v>
      </c>
      <c r="W345" s="38" t="s">
        <v>0</v>
      </c>
      <c r="X345" s="56">
        <v>0</v>
      </c>
      <c r="Y345" s="53">
        <f t="shared" ref="Y345:Y350" si="43">IFERROR(IF(X345="",0,CEILING((X345/$H345),1)*$H345),"")</f>
        <v>0</v>
      </c>
      <c r="Z345" s="39" t="str">
        <f>IFERROR(IF(Y345=0,"",ROUNDUP(Y345/H345,0)*0.01898),"")</f>
        <v/>
      </c>
      <c r="AA345" s="65" t="s">
        <v>46</v>
      </c>
      <c r="AB345" s="66" t="s">
        <v>46</v>
      </c>
      <c r="AC345" s="417" t="s">
        <v>570</v>
      </c>
      <c r="AG345" s="75"/>
      <c r="AJ345" s="79" t="s">
        <v>46</v>
      </c>
      <c r="AK345" s="79">
        <v>0</v>
      </c>
      <c r="BB345" s="418" t="s">
        <v>67</v>
      </c>
      <c r="BM345" s="75">
        <f t="shared" ref="BM345:BM350" si="44">IFERROR(X345*I345/H345,"0")</f>
        <v>0</v>
      </c>
      <c r="BN345" s="75">
        <f t="shared" ref="BN345:BN350" si="45">IFERROR(Y345*I345/H345,"0")</f>
        <v>0</v>
      </c>
      <c r="BO345" s="75">
        <f t="shared" ref="BO345:BO350" si="46">IFERROR(1/J345*(X345/H345),"0")</f>
        <v>0</v>
      </c>
      <c r="BP345" s="75">
        <f t="shared" ref="BP345:BP350" si="47">IFERROR(1/J345*(Y345/H345),"0")</f>
        <v>0</v>
      </c>
    </row>
    <row r="346" spans="1:68" ht="27" hidden="1" customHeight="1" x14ac:dyDescent="0.25">
      <c r="A346" s="60" t="s">
        <v>571</v>
      </c>
      <c r="B346" s="60" t="s">
        <v>572</v>
      </c>
      <c r="C346" s="34">
        <v>4301012235</v>
      </c>
      <c r="D346" s="664">
        <v>4680115887190</v>
      </c>
      <c r="E346" s="664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151</v>
      </c>
      <c r="L346" s="35" t="s">
        <v>46</v>
      </c>
      <c r="M346" s="36" t="s">
        <v>150</v>
      </c>
      <c r="N346" s="36"/>
      <c r="O346" s="35">
        <v>55</v>
      </c>
      <c r="P346" s="84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666"/>
      <c r="R346" s="666"/>
      <c r="S346" s="666"/>
      <c r="T346" s="667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si="43"/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573</v>
      </c>
      <c r="AG346" s="75"/>
      <c r="AJ346" s="79" t="s">
        <v>46</v>
      </c>
      <c r="AK346" s="79">
        <v>0</v>
      </c>
      <c r="BB346" s="420" t="s">
        <v>67</v>
      </c>
      <c r="BM346" s="75">
        <f t="shared" si="44"/>
        <v>0</v>
      </c>
      <c r="BN346" s="75">
        <f t="shared" si="45"/>
        <v>0</v>
      </c>
      <c r="BO346" s="75">
        <f t="shared" si="46"/>
        <v>0</v>
      </c>
      <c r="BP346" s="75">
        <f t="shared" si="47"/>
        <v>0</v>
      </c>
    </row>
    <row r="347" spans="1:68" ht="37.5" hidden="1" customHeight="1" x14ac:dyDescent="0.25">
      <c r="A347" s="60" t="s">
        <v>574</v>
      </c>
      <c r="B347" s="60" t="s">
        <v>575</v>
      </c>
      <c r="C347" s="34">
        <v>4301012233</v>
      </c>
      <c r="D347" s="664">
        <v>4680115887138</v>
      </c>
      <c r="E347" s="664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151</v>
      </c>
      <c r="L347" s="35" t="s">
        <v>46</v>
      </c>
      <c r="M347" s="36" t="s">
        <v>150</v>
      </c>
      <c r="N347" s="36"/>
      <c r="O347" s="35">
        <v>55</v>
      </c>
      <c r="P347" s="84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666"/>
      <c r="R347" s="666"/>
      <c r="S347" s="666"/>
      <c r="T347" s="667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3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576</v>
      </c>
      <c r="AG347" s="75"/>
      <c r="AJ347" s="79" t="s">
        <v>46</v>
      </c>
      <c r="AK347" s="79">
        <v>0</v>
      </c>
      <c r="BB347" s="422" t="s">
        <v>67</v>
      </c>
      <c r="BM347" s="75">
        <f t="shared" si="44"/>
        <v>0</v>
      </c>
      <c r="BN347" s="75">
        <f t="shared" si="45"/>
        <v>0</v>
      </c>
      <c r="BO347" s="75">
        <f t="shared" si="46"/>
        <v>0</v>
      </c>
      <c r="BP347" s="75">
        <f t="shared" si="47"/>
        <v>0</v>
      </c>
    </row>
    <row r="348" spans="1:68" ht="27" hidden="1" customHeight="1" x14ac:dyDescent="0.25">
      <c r="A348" s="60" t="s">
        <v>577</v>
      </c>
      <c r="B348" s="60" t="s">
        <v>578</v>
      </c>
      <c r="C348" s="34">
        <v>4301012016</v>
      </c>
      <c r="D348" s="664">
        <v>4680115885554</v>
      </c>
      <c r="E348" s="664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151</v>
      </c>
      <c r="L348" s="35" t="s">
        <v>46</v>
      </c>
      <c r="M348" s="36" t="s">
        <v>96</v>
      </c>
      <c r="N348" s="36"/>
      <c r="O348" s="35">
        <v>55</v>
      </c>
      <c r="P348" s="8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666"/>
      <c r="R348" s="666"/>
      <c r="S348" s="666"/>
      <c r="T348" s="667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3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579</v>
      </c>
      <c r="AG348" s="75"/>
      <c r="AJ348" s="79" t="s">
        <v>46</v>
      </c>
      <c r="AK348" s="79">
        <v>0</v>
      </c>
      <c r="BB348" s="424" t="s">
        <v>67</v>
      </c>
      <c r="BM348" s="75">
        <f t="shared" si="44"/>
        <v>0</v>
      </c>
      <c r="BN348" s="75">
        <f t="shared" si="45"/>
        <v>0</v>
      </c>
      <c r="BO348" s="75">
        <f t="shared" si="46"/>
        <v>0</v>
      </c>
      <c r="BP348" s="75">
        <f t="shared" si="47"/>
        <v>0</v>
      </c>
    </row>
    <row r="349" spans="1:68" ht="27" hidden="1" customHeight="1" x14ac:dyDescent="0.25">
      <c r="A349" s="60" t="s">
        <v>580</v>
      </c>
      <c r="B349" s="60" t="s">
        <v>581</v>
      </c>
      <c r="C349" s="34">
        <v>4301012236</v>
      </c>
      <c r="D349" s="664">
        <v>4680115887220</v>
      </c>
      <c r="E349" s="664"/>
      <c r="F349" s="59">
        <v>0.4</v>
      </c>
      <c r="G349" s="35">
        <v>10</v>
      </c>
      <c r="H349" s="59">
        <v>4</v>
      </c>
      <c r="I349" s="59">
        <v>4.1900000000000004</v>
      </c>
      <c r="J349" s="35">
        <v>132</v>
      </c>
      <c r="K349" s="35" t="s">
        <v>158</v>
      </c>
      <c r="L349" s="35" t="s">
        <v>46</v>
      </c>
      <c r="M349" s="36" t="s">
        <v>150</v>
      </c>
      <c r="N349" s="36"/>
      <c r="O349" s="35">
        <v>55</v>
      </c>
      <c r="P349" s="84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666"/>
      <c r="R349" s="666"/>
      <c r="S349" s="666"/>
      <c r="T349" s="667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3"/>
        <v>0</v>
      </c>
      <c r="Z349" s="39" t="str">
        <f>IFERROR(IF(Y349=0,"",ROUNDUP(Y349/H349,0)*0.00902),"")</f>
        <v/>
      </c>
      <c r="AA349" s="65" t="s">
        <v>46</v>
      </c>
      <c r="AB349" s="66" t="s">
        <v>46</v>
      </c>
      <c r="AC349" s="425" t="s">
        <v>573</v>
      </c>
      <c r="AG349" s="75"/>
      <c r="AJ349" s="79" t="s">
        <v>46</v>
      </c>
      <c r="AK349" s="79">
        <v>0</v>
      </c>
      <c r="BB349" s="426" t="s">
        <v>67</v>
      </c>
      <c r="BM349" s="75">
        <f t="shared" si="44"/>
        <v>0</v>
      </c>
      <c r="BN349" s="75">
        <f t="shared" si="45"/>
        <v>0</v>
      </c>
      <c r="BO349" s="75">
        <f t="shared" si="46"/>
        <v>0</v>
      </c>
      <c r="BP349" s="75">
        <f t="shared" si="47"/>
        <v>0</v>
      </c>
    </row>
    <row r="350" spans="1:68" ht="27" hidden="1" customHeight="1" x14ac:dyDescent="0.25">
      <c r="A350" s="60" t="s">
        <v>582</v>
      </c>
      <c r="B350" s="60" t="s">
        <v>583</v>
      </c>
      <c r="C350" s="34">
        <v>4301011859</v>
      </c>
      <c r="D350" s="664">
        <v>4680115885608</v>
      </c>
      <c r="E350" s="664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158</v>
      </c>
      <c r="L350" s="35" t="s">
        <v>46</v>
      </c>
      <c r="M350" s="36" t="s">
        <v>150</v>
      </c>
      <c r="N350" s="36"/>
      <c r="O350" s="35">
        <v>55</v>
      </c>
      <c r="P350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666"/>
      <c r="R350" s="666"/>
      <c r="S350" s="666"/>
      <c r="T350" s="667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3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584</v>
      </c>
      <c r="AG350" s="75"/>
      <c r="AJ350" s="79" t="s">
        <v>46</v>
      </c>
      <c r="AK350" s="79">
        <v>0</v>
      </c>
      <c r="BB350" s="428" t="s">
        <v>67</v>
      </c>
      <c r="BM350" s="75">
        <f t="shared" si="44"/>
        <v>0</v>
      </c>
      <c r="BN350" s="75">
        <f t="shared" si="45"/>
        <v>0</v>
      </c>
      <c r="BO350" s="75">
        <f t="shared" si="46"/>
        <v>0</v>
      </c>
      <c r="BP350" s="75">
        <f t="shared" si="47"/>
        <v>0</v>
      </c>
    </row>
    <row r="351" spans="1:68" hidden="1" x14ac:dyDescent="0.2">
      <c r="A351" s="673"/>
      <c r="B351" s="673"/>
      <c r="C351" s="673"/>
      <c r="D351" s="673"/>
      <c r="E351" s="673"/>
      <c r="F351" s="673"/>
      <c r="G351" s="673"/>
      <c r="H351" s="673"/>
      <c r="I351" s="673"/>
      <c r="J351" s="673"/>
      <c r="K351" s="673"/>
      <c r="L351" s="673"/>
      <c r="M351" s="673"/>
      <c r="N351" s="673"/>
      <c r="O351" s="674"/>
      <c r="P351" s="670" t="s">
        <v>40</v>
      </c>
      <c r="Q351" s="671"/>
      <c r="R351" s="671"/>
      <c r="S351" s="671"/>
      <c r="T351" s="671"/>
      <c r="U351" s="671"/>
      <c r="V351" s="672"/>
      <c r="W351" s="40" t="s">
        <v>39</v>
      </c>
      <c r="X351" s="41">
        <f>IFERROR(X345/H345,"0")+IFERROR(X346/H346,"0")+IFERROR(X347/H347,"0")+IFERROR(X348/H348,"0")+IFERROR(X349/H349,"0")+IFERROR(X350/H350,"0")</f>
        <v>0</v>
      </c>
      <c r="Y351" s="41">
        <f>IFERROR(Y345/H345,"0")+IFERROR(Y346/H346,"0")+IFERROR(Y347/H347,"0")+IFERROR(Y348/H348,"0")+IFERROR(Y349/H349,"0")+IFERROR(Y350/H350,"0")</f>
        <v>0</v>
      </c>
      <c r="Z351" s="41">
        <f>IFERROR(IF(Z345="",0,Z345),"0")+IFERROR(IF(Z346="",0,Z346),"0")+IFERROR(IF(Z347="",0,Z347),"0")+IFERROR(IF(Z348="",0,Z348),"0")+IFERROR(IF(Z349="",0,Z349),"0")+IFERROR(IF(Z350="",0,Z350),"0")</f>
        <v>0</v>
      </c>
      <c r="AA351" s="64"/>
      <c r="AB351" s="64"/>
      <c r="AC351" s="64"/>
    </row>
    <row r="352" spans="1:68" hidden="1" x14ac:dyDescent="0.2">
      <c r="A352" s="673"/>
      <c r="B352" s="673"/>
      <c r="C352" s="673"/>
      <c r="D352" s="673"/>
      <c r="E352" s="673"/>
      <c r="F352" s="673"/>
      <c r="G352" s="673"/>
      <c r="H352" s="673"/>
      <c r="I352" s="673"/>
      <c r="J352" s="673"/>
      <c r="K352" s="673"/>
      <c r="L352" s="673"/>
      <c r="M352" s="673"/>
      <c r="N352" s="673"/>
      <c r="O352" s="674"/>
      <c r="P352" s="670" t="s">
        <v>40</v>
      </c>
      <c r="Q352" s="671"/>
      <c r="R352" s="671"/>
      <c r="S352" s="671"/>
      <c r="T352" s="671"/>
      <c r="U352" s="671"/>
      <c r="V352" s="672"/>
      <c r="W352" s="40" t="s">
        <v>0</v>
      </c>
      <c r="X352" s="41">
        <f>IFERROR(SUM(X345:X350),"0")</f>
        <v>0</v>
      </c>
      <c r="Y352" s="41">
        <f>IFERROR(SUM(Y345:Y350),"0")</f>
        <v>0</v>
      </c>
      <c r="Z352" s="40"/>
      <c r="AA352" s="64"/>
      <c r="AB352" s="64"/>
      <c r="AC352" s="64"/>
    </row>
    <row r="353" spans="1:68" ht="14.25" hidden="1" customHeight="1" x14ac:dyDescent="0.25">
      <c r="A353" s="663" t="s">
        <v>77</v>
      </c>
      <c r="B353" s="663"/>
      <c r="C353" s="663"/>
      <c r="D353" s="663"/>
      <c r="E353" s="663"/>
      <c r="F353" s="663"/>
      <c r="G353" s="663"/>
      <c r="H353" s="663"/>
      <c r="I353" s="663"/>
      <c r="J353" s="663"/>
      <c r="K353" s="663"/>
      <c r="L353" s="663"/>
      <c r="M353" s="663"/>
      <c r="N353" s="663"/>
      <c r="O353" s="663"/>
      <c r="P353" s="663"/>
      <c r="Q353" s="663"/>
      <c r="R353" s="663"/>
      <c r="S353" s="663"/>
      <c r="T353" s="663"/>
      <c r="U353" s="663"/>
      <c r="V353" s="663"/>
      <c r="W353" s="663"/>
      <c r="X353" s="663"/>
      <c r="Y353" s="663"/>
      <c r="Z353" s="663"/>
      <c r="AA353" s="63"/>
      <c r="AB353" s="63"/>
      <c r="AC353" s="63"/>
    </row>
    <row r="354" spans="1:68" ht="27" customHeight="1" x14ac:dyDescent="0.25">
      <c r="A354" s="60" t="s">
        <v>585</v>
      </c>
      <c r="B354" s="60" t="s">
        <v>586</v>
      </c>
      <c r="C354" s="34">
        <v>4301030878</v>
      </c>
      <c r="D354" s="664">
        <v>4607091387193</v>
      </c>
      <c r="E354" s="664"/>
      <c r="F354" s="59">
        <v>0.7</v>
      </c>
      <c r="G354" s="35">
        <v>6</v>
      </c>
      <c r="H354" s="59">
        <v>4.2</v>
      </c>
      <c r="I354" s="59">
        <v>4.45</v>
      </c>
      <c r="J354" s="35">
        <v>132</v>
      </c>
      <c r="K354" s="35" t="s">
        <v>158</v>
      </c>
      <c r="L354" s="35" t="s">
        <v>46</v>
      </c>
      <c r="M354" s="36" t="s">
        <v>83</v>
      </c>
      <c r="N354" s="36"/>
      <c r="O354" s="35">
        <v>35</v>
      </c>
      <c r="P354" s="8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666"/>
      <c r="R354" s="666"/>
      <c r="S354" s="666"/>
      <c r="T354" s="667"/>
      <c r="U354" s="37" t="s">
        <v>46</v>
      </c>
      <c r="V354" s="37" t="s">
        <v>46</v>
      </c>
      <c r="W354" s="38" t="s">
        <v>0</v>
      </c>
      <c r="X354" s="56">
        <v>150</v>
      </c>
      <c r="Y354" s="53">
        <f t="shared" ref="Y354:Y360" si="48">IFERROR(IF(X354="",0,CEILING((X354/$H354),1)*$H354),"")</f>
        <v>151.20000000000002</v>
      </c>
      <c r="Z354" s="39">
        <f>IFERROR(IF(Y354=0,"",ROUNDUP(Y354/H354,0)*0.00902),"")</f>
        <v>0.32472000000000001</v>
      </c>
      <c r="AA354" s="65" t="s">
        <v>46</v>
      </c>
      <c r="AB354" s="66" t="s">
        <v>46</v>
      </c>
      <c r="AC354" s="429" t="s">
        <v>587</v>
      </c>
      <c r="AG354" s="75"/>
      <c r="AJ354" s="79" t="s">
        <v>46</v>
      </c>
      <c r="AK354" s="79">
        <v>0</v>
      </c>
      <c r="BB354" s="430" t="s">
        <v>67</v>
      </c>
      <c r="BM354" s="75">
        <f t="shared" ref="BM354:BM360" si="49">IFERROR(X354*I354/H354,"0")</f>
        <v>158.92857142857142</v>
      </c>
      <c r="BN354" s="75">
        <f t="shared" ref="BN354:BN360" si="50">IFERROR(Y354*I354/H354,"0")</f>
        <v>160.20000000000002</v>
      </c>
      <c r="BO354" s="75">
        <f t="shared" ref="BO354:BO360" si="51">IFERROR(1/J354*(X354/H354),"0")</f>
        <v>0.27056277056277056</v>
      </c>
      <c r="BP354" s="75">
        <f t="shared" ref="BP354:BP360" si="52">IFERROR(1/J354*(Y354/H354),"0")</f>
        <v>0.27272727272727271</v>
      </c>
    </row>
    <row r="355" spans="1:68" ht="27" customHeight="1" x14ac:dyDescent="0.25">
      <c r="A355" s="60" t="s">
        <v>588</v>
      </c>
      <c r="B355" s="60" t="s">
        <v>589</v>
      </c>
      <c r="C355" s="34">
        <v>4301031153</v>
      </c>
      <c r="D355" s="664">
        <v>4607091387230</v>
      </c>
      <c r="E355" s="664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158</v>
      </c>
      <c r="L355" s="35" t="s">
        <v>46</v>
      </c>
      <c r="M355" s="36" t="s">
        <v>83</v>
      </c>
      <c r="N355" s="36"/>
      <c r="O355" s="35">
        <v>40</v>
      </c>
      <c r="P355" s="8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666"/>
      <c r="R355" s="666"/>
      <c r="S355" s="666"/>
      <c r="T355" s="667"/>
      <c r="U355" s="37" t="s">
        <v>46</v>
      </c>
      <c r="V355" s="37" t="s">
        <v>46</v>
      </c>
      <c r="W355" s="38" t="s">
        <v>0</v>
      </c>
      <c r="X355" s="56">
        <v>60</v>
      </c>
      <c r="Y355" s="53">
        <f t="shared" si="48"/>
        <v>63</v>
      </c>
      <c r="Z355" s="39">
        <f>IFERROR(IF(Y355=0,"",ROUNDUP(Y355/H355,0)*0.00902),"")</f>
        <v>0.1353</v>
      </c>
      <c r="AA355" s="65" t="s">
        <v>46</v>
      </c>
      <c r="AB355" s="66" t="s">
        <v>46</v>
      </c>
      <c r="AC355" s="431" t="s">
        <v>590</v>
      </c>
      <c r="AG355" s="75"/>
      <c r="AJ355" s="79" t="s">
        <v>46</v>
      </c>
      <c r="AK355" s="79">
        <v>0</v>
      </c>
      <c r="BB355" s="432" t="s">
        <v>67</v>
      </c>
      <c r="BM355" s="75">
        <f t="shared" si="49"/>
        <v>63.571428571428569</v>
      </c>
      <c r="BN355" s="75">
        <f t="shared" si="50"/>
        <v>66.75</v>
      </c>
      <c r="BO355" s="75">
        <f t="shared" si="51"/>
        <v>0.10822510822510822</v>
      </c>
      <c r="BP355" s="75">
        <f t="shared" si="52"/>
        <v>0.11363636363636365</v>
      </c>
    </row>
    <row r="356" spans="1:68" ht="27" hidden="1" customHeight="1" x14ac:dyDescent="0.25">
      <c r="A356" s="60" t="s">
        <v>591</v>
      </c>
      <c r="B356" s="60" t="s">
        <v>592</v>
      </c>
      <c r="C356" s="34">
        <v>4301031154</v>
      </c>
      <c r="D356" s="664">
        <v>4607091387292</v>
      </c>
      <c r="E356" s="664"/>
      <c r="F356" s="59">
        <v>0.73</v>
      </c>
      <c r="G356" s="35">
        <v>6</v>
      </c>
      <c r="H356" s="59">
        <v>4.38</v>
      </c>
      <c r="I356" s="59">
        <v>4.63</v>
      </c>
      <c r="J356" s="35">
        <v>132</v>
      </c>
      <c r="K356" s="35" t="s">
        <v>158</v>
      </c>
      <c r="L356" s="35" t="s">
        <v>46</v>
      </c>
      <c r="M356" s="36" t="s">
        <v>83</v>
      </c>
      <c r="N356" s="36"/>
      <c r="O356" s="35">
        <v>45</v>
      </c>
      <c r="P356" s="84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666"/>
      <c r="R356" s="666"/>
      <c r="S356" s="666"/>
      <c r="T356" s="667"/>
      <c r="U356" s="37" t="s">
        <v>46</v>
      </c>
      <c r="V356" s="37" t="s">
        <v>46</v>
      </c>
      <c r="W356" s="38" t="s">
        <v>0</v>
      </c>
      <c r="X356" s="56"/>
      <c r="Y356" s="53">
        <f t="shared" si="48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593</v>
      </c>
      <c r="AG356" s="75"/>
      <c r="AJ356" s="79" t="s">
        <v>46</v>
      </c>
      <c r="AK356" s="79">
        <v>0</v>
      </c>
      <c r="BB356" s="434" t="s">
        <v>67</v>
      </c>
      <c r="BM356" s="75">
        <f t="shared" si="49"/>
        <v>0</v>
      </c>
      <c r="BN356" s="75">
        <f t="shared" si="50"/>
        <v>0</v>
      </c>
      <c r="BO356" s="75">
        <f t="shared" si="51"/>
        <v>0</v>
      </c>
      <c r="BP356" s="75">
        <f t="shared" si="52"/>
        <v>0</v>
      </c>
    </row>
    <row r="357" spans="1:68" ht="27" hidden="1" customHeight="1" x14ac:dyDescent="0.25">
      <c r="A357" s="60" t="s">
        <v>594</v>
      </c>
      <c r="B357" s="60" t="s">
        <v>595</v>
      </c>
      <c r="C357" s="34">
        <v>4301031152</v>
      </c>
      <c r="D357" s="664">
        <v>4607091387285</v>
      </c>
      <c r="E357" s="664"/>
      <c r="F357" s="59">
        <v>0.35</v>
      </c>
      <c r="G357" s="35">
        <v>6</v>
      </c>
      <c r="H357" s="59">
        <v>2.1</v>
      </c>
      <c r="I357" s="59">
        <v>2.23</v>
      </c>
      <c r="J357" s="35">
        <v>234</v>
      </c>
      <c r="K357" s="35" t="s">
        <v>84</v>
      </c>
      <c r="L357" s="35" t="s">
        <v>46</v>
      </c>
      <c r="M357" s="36" t="s">
        <v>83</v>
      </c>
      <c r="N357" s="36"/>
      <c r="O357" s="35">
        <v>40</v>
      </c>
      <c r="P357" s="8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666"/>
      <c r="R357" s="666"/>
      <c r="S357" s="666"/>
      <c r="T357" s="667"/>
      <c r="U357" s="37" t="s">
        <v>46</v>
      </c>
      <c r="V357" s="37" t="s">
        <v>46</v>
      </c>
      <c r="W357" s="38" t="s">
        <v>0</v>
      </c>
      <c r="X357" s="56"/>
      <c r="Y357" s="53">
        <f t="shared" si="48"/>
        <v>0</v>
      </c>
      <c r="Z357" s="39" t="str">
        <f>IFERROR(IF(Y357=0,"",ROUNDUP(Y357/H357,0)*0.00502),"")</f>
        <v/>
      </c>
      <c r="AA357" s="65" t="s">
        <v>46</v>
      </c>
      <c r="AB357" s="66" t="s">
        <v>46</v>
      </c>
      <c r="AC357" s="435" t="s">
        <v>590</v>
      </c>
      <c r="AG357" s="75"/>
      <c r="AJ357" s="79" t="s">
        <v>46</v>
      </c>
      <c r="AK357" s="79">
        <v>0</v>
      </c>
      <c r="BB357" s="436" t="s">
        <v>67</v>
      </c>
      <c r="BM357" s="75">
        <f t="shared" si="49"/>
        <v>0</v>
      </c>
      <c r="BN357" s="75">
        <f t="shared" si="50"/>
        <v>0</v>
      </c>
      <c r="BO357" s="75">
        <f t="shared" si="51"/>
        <v>0</v>
      </c>
      <c r="BP357" s="75">
        <f t="shared" si="52"/>
        <v>0</v>
      </c>
    </row>
    <row r="358" spans="1:68" ht="27" hidden="1" customHeight="1" x14ac:dyDescent="0.25">
      <c r="A358" s="60" t="s">
        <v>596</v>
      </c>
      <c r="B358" s="60" t="s">
        <v>597</v>
      </c>
      <c r="C358" s="34">
        <v>4301031305</v>
      </c>
      <c r="D358" s="664">
        <v>4607091389845</v>
      </c>
      <c r="E358" s="664"/>
      <c r="F358" s="59">
        <v>0.35</v>
      </c>
      <c r="G358" s="35">
        <v>6</v>
      </c>
      <c r="H358" s="59">
        <v>2.1</v>
      </c>
      <c r="I358" s="59">
        <v>2.2000000000000002</v>
      </c>
      <c r="J358" s="35">
        <v>234</v>
      </c>
      <c r="K358" s="35" t="s">
        <v>84</v>
      </c>
      <c r="L358" s="35" t="s">
        <v>46</v>
      </c>
      <c r="M358" s="36" t="s">
        <v>83</v>
      </c>
      <c r="N358" s="36"/>
      <c r="O358" s="35">
        <v>40</v>
      </c>
      <c r="P358" s="85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666"/>
      <c r="R358" s="666"/>
      <c r="S358" s="666"/>
      <c r="T358" s="667"/>
      <c r="U358" s="37" t="s">
        <v>46</v>
      </c>
      <c r="V358" s="37" t="s">
        <v>46</v>
      </c>
      <c r="W358" s="38" t="s">
        <v>0</v>
      </c>
      <c r="X358" s="56"/>
      <c r="Y358" s="53">
        <f t="shared" si="48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598</v>
      </c>
      <c r="AG358" s="75"/>
      <c r="AJ358" s="79" t="s">
        <v>46</v>
      </c>
      <c r="AK358" s="79">
        <v>0</v>
      </c>
      <c r="BB358" s="438" t="s">
        <v>67</v>
      </c>
      <c r="BM358" s="75">
        <f t="shared" si="49"/>
        <v>0</v>
      </c>
      <c r="BN358" s="75">
        <f t="shared" si="50"/>
        <v>0</v>
      </c>
      <c r="BO358" s="75">
        <f t="shared" si="51"/>
        <v>0</v>
      </c>
      <c r="BP358" s="75">
        <f t="shared" si="52"/>
        <v>0</v>
      </c>
    </row>
    <row r="359" spans="1:68" ht="27" hidden="1" customHeight="1" x14ac:dyDescent="0.25">
      <c r="A359" s="60" t="s">
        <v>599</v>
      </c>
      <c r="B359" s="60" t="s">
        <v>600</v>
      </c>
      <c r="C359" s="34">
        <v>4301031460</v>
      </c>
      <c r="D359" s="664">
        <v>4680115887442</v>
      </c>
      <c r="E359" s="664"/>
      <c r="F359" s="59">
        <v>0.73</v>
      </c>
      <c r="G359" s="35">
        <v>6</v>
      </c>
      <c r="H359" s="59">
        <v>4.38</v>
      </c>
      <c r="I359" s="59">
        <v>4.63</v>
      </c>
      <c r="J359" s="35">
        <v>132</v>
      </c>
      <c r="K359" s="35" t="s">
        <v>158</v>
      </c>
      <c r="L359" s="35" t="s">
        <v>46</v>
      </c>
      <c r="M359" s="36" t="s">
        <v>83</v>
      </c>
      <c r="N359" s="36"/>
      <c r="O359" s="35">
        <v>45</v>
      </c>
      <c r="P359" s="85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666"/>
      <c r="R359" s="666"/>
      <c r="S359" s="666"/>
      <c r="T359" s="667"/>
      <c r="U359" s="37" t="s">
        <v>46</v>
      </c>
      <c r="V359" s="37" t="s">
        <v>46</v>
      </c>
      <c r="W359" s="38" t="s">
        <v>0</v>
      </c>
      <c r="X359" s="56"/>
      <c r="Y359" s="53">
        <f t="shared" si="48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39" t="s">
        <v>593</v>
      </c>
      <c r="AG359" s="75"/>
      <c r="AJ359" s="79" t="s">
        <v>46</v>
      </c>
      <c r="AK359" s="79">
        <v>0</v>
      </c>
      <c r="BB359" s="440" t="s">
        <v>67</v>
      </c>
      <c r="BM359" s="75">
        <f t="shared" si="49"/>
        <v>0</v>
      </c>
      <c r="BN359" s="75">
        <f t="shared" si="50"/>
        <v>0</v>
      </c>
      <c r="BO359" s="75">
        <f t="shared" si="51"/>
        <v>0</v>
      </c>
      <c r="BP359" s="75">
        <f t="shared" si="52"/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4301031066</v>
      </c>
      <c r="D360" s="664">
        <v>4607091383836</v>
      </c>
      <c r="E360" s="664"/>
      <c r="F360" s="59">
        <v>0.3</v>
      </c>
      <c r="G360" s="35">
        <v>6</v>
      </c>
      <c r="H360" s="59">
        <v>1.8</v>
      </c>
      <c r="I360" s="59">
        <v>2.028</v>
      </c>
      <c r="J360" s="35">
        <v>182</v>
      </c>
      <c r="K360" s="35" t="s">
        <v>88</v>
      </c>
      <c r="L360" s="35" t="s">
        <v>46</v>
      </c>
      <c r="M360" s="36" t="s">
        <v>83</v>
      </c>
      <c r="N360" s="36"/>
      <c r="O360" s="35">
        <v>40</v>
      </c>
      <c r="P360" s="85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666"/>
      <c r="R360" s="666"/>
      <c r="S360" s="666"/>
      <c r="T360" s="667"/>
      <c r="U360" s="37" t="s">
        <v>46</v>
      </c>
      <c r="V360" s="37" t="s">
        <v>46</v>
      </c>
      <c r="W360" s="38" t="s">
        <v>0</v>
      </c>
      <c r="X360" s="56"/>
      <c r="Y360" s="53">
        <f t="shared" si="48"/>
        <v>0</v>
      </c>
      <c r="Z360" s="39" t="str">
        <f>IFERROR(IF(Y360=0,"",ROUNDUP(Y360/H360,0)*0.00651),"")</f>
        <v/>
      </c>
      <c r="AA360" s="65" t="s">
        <v>46</v>
      </c>
      <c r="AB360" s="66" t="s">
        <v>46</v>
      </c>
      <c r="AC360" s="441" t="s">
        <v>603</v>
      </c>
      <c r="AG360" s="75"/>
      <c r="AJ360" s="79" t="s">
        <v>46</v>
      </c>
      <c r="AK360" s="79">
        <v>0</v>
      </c>
      <c r="BB360" s="442" t="s">
        <v>67</v>
      </c>
      <c r="BM360" s="75">
        <f t="shared" si="49"/>
        <v>0</v>
      </c>
      <c r="BN360" s="75">
        <f t="shared" si="50"/>
        <v>0</v>
      </c>
      <c r="BO360" s="75">
        <f t="shared" si="51"/>
        <v>0</v>
      </c>
      <c r="BP360" s="75">
        <f t="shared" si="52"/>
        <v>0</v>
      </c>
    </row>
    <row r="361" spans="1:68" x14ac:dyDescent="0.2">
      <c r="A361" s="673"/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4"/>
      <c r="P361" s="670" t="s">
        <v>40</v>
      </c>
      <c r="Q361" s="671"/>
      <c r="R361" s="671"/>
      <c r="S361" s="671"/>
      <c r="T361" s="671"/>
      <c r="U361" s="671"/>
      <c r="V361" s="672"/>
      <c r="W361" s="40" t="s">
        <v>39</v>
      </c>
      <c r="X361" s="41">
        <f>IFERROR(X354/H354,"0")+IFERROR(X355/H355,"0")+IFERROR(X356/H356,"0")+IFERROR(X357/H357,"0")+IFERROR(X358/H358,"0")+IFERROR(X359/H359,"0")+IFERROR(X360/H360,"0")</f>
        <v>50</v>
      </c>
      <c r="Y361" s="41">
        <f>IFERROR(Y354/H354,"0")+IFERROR(Y355/H355,"0")+IFERROR(Y356/H356,"0")+IFERROR(Y357/H357,"0")+IFERROR(Y358/H358,"0")+IFERROR(Y359/H359,"0")+IFERROR(Y360/H360,"0")</f>
        <v>51</v>
      </c>
      <c r="Z361" s="41">
        <f>IFERROR(IF(Z354="",0,Z354),"0")+IFERROR(IF(Z355="",0,Z355),"0")+IFERROR(IF(Z356="",0,Z356),"0")+IFERROR(IF(Z357="",0,Z357),"0")+IFERROR(IF(Z358="",0,Z358),"0")+IFERROR(IF(Z359="",0,Z359),"0")+IFERROR(IF(Z360="",0,Z360),"0")</f>
        <v>0.46001999999999998</v>
      </c>
      <c r="AA361" s="64"/>
      <c r="AB361" s="64"/>
      <c r="AC361" s="64"/>
    </row>
    <row r="362" spans="1:68" x14ac:dyDescent="0.2">
      <c r="A362" s="673"/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4"/>
      <c r="P362" s="670" t="s">
        <v>40</v>
      </c>
      <c r="Q362" s="671"/>
      <c r="R362" s="671"/>
      <c r="S362" s="671"/>
      <c r="T362" s="671"/>
      <c r="U362" s="671"/>
      <c r="V362" s="672"/>
      <c r="W362" s="40" t="s">
        <v>0</v>
      </c>
      <c r="X362" s="41">
        <f>IFERROR(SUM(X354:X360),"0")</f>
        <v>210</v>
      </c>
      <c r="Y362" s="41">
        <f>IFERROR(SUM(Y354:Y360),"0")</f>
        <v>214.20000000000002</v>
      </c>
      <c r="Z362" s="40"/>
      <c r="AA362" s="64"/>
      <c r="AB362" s="64"/>
      <c r="AC362" s="64"/>
    </row>
    <row r="363" spans="1:68" ht="14.25" hidden="1" customHeight="1" x14ac:dyDescent="0.25">
      <c r="A363" s="663" t="s">
        <v>92</v>
      </c>
      <c r="B363" s="663"/>
      <c r="C363" s="663"/>
      <c r="D363" s="663"/>
      <c r="E363" s="663"/>
      <c r="F363" s="663"/>
      <c r="G363" s="663"/>
      <c r="H363" s="663"/>
      <c r="I363" s="663"/>
      <c r="J363" s="663"/>
      <c r="K363" s="663"/>
      <c r="L363" s="663"/>
      <c r="M363" s="663"/>
      <c r="N363" s="663"/>
      <c r="O363" s="663"/>
      <c r="P363" s="663"/>
      <c r="Q363" s="663"/>
      <c r="R363" s="663"/>
      <c r="S363" s="663"/>
      <c r="T363" s="663"/>
      <c r="U363" s="663"/>
      <c r="V363" s="663"/>
      <c r="W363" s="663"/>
      <c r="X363" s="663"/>
      <c r="Y363" s="663"/>
      <c r="Z363" s="663"/>
      <c r="AA363" s="63"/>
      <c r="AB363" s="63"/>
      <c r="AC363" s="63"/>
    </row>
    <row r="364" spans="1:68" ht="27" hidden="1" customHeight="1" x14ac:dyDescent="0.25">
      <c r="A364" s="60" t="s">
        <v>604</v>
      </c>
      <c r="B364" s="60" t="s">
        <v>605</v>
      </c>
      <c r="C364" s="34">
        <v>4301051100</v>
      </c>
      <c r="D364" s="664">
        <v>4607091387766</v>
      </c>
      <c r="E364" s="664"/>
      <c r="F364" s="59">
        <v>1.3</v>
      </c>
      <c r="G364" s="35">
        <v>6</v>
      </c>
      <c r="H364" s="59">
        <v>7.8</v>
      </c>
      <c r="I364" s="59">
        <v>8.2880000000000003</v>
      </c>
      <c r="J364" s="35">
        <v>64</v>
      </c>
      <c r="K364" s="35" t="s">
        <v>151</v>
      </c>
      <c r="L364" s="35" t="s">
        <v>46</v>
      </c>
      <c r="M364" s="36" t="s">
        <v>96</v>
      </c>
      <c r="N364" s="36"/>
      <c r="O364" s="35">
        <v>40</v>
      </c>
      <c r="P364" s="8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666"/>
      <c r="R364" s="666"/>
      <c r="S364" s="666"/>
      <c r="T364" s="667"/>
      <c r="U364" s="37" t="s">
        <v>46</v>
      </c>
      <c r="V364" s="37" t="s">
        <v>46</v>
      </c>
      <c r="W364" s="38" t="s">
        <v>0</v>
      </c>
      <c r="X364" s="56"/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3" t="s">
        <v>606</v>
      </c>
      <c r="AG364" s="75"/>
      <c r="AJ364" s="79" t="s">
        <v>46</v>
      </c>
      <c r="AK364" s="79">
        <v>0</v>
      </c>
      <c r="BB364" s="444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607</v>
      </c>
      <c r="B365" s="60" t="s">
        <v>608</v>
      </c>
      <c r="C365" s="34">
        <v>4301051818</v>
      </c>
      <c r="D365" s="664">
        <v>4607091387957</v>
      </c>
      <c r="E365" s="664"/>
      <c r="F365" s="59">
        <v>1.3</v>
      </c>
      <c r="G365" s="35">
        <v>6</v>
      </c>
      <c r="H365" s="59">
        <v>7.8</v>
      </c>
      <c r="I365" s="59">
        <v>8.2940000000000005</v>
      </c>
      <c r="J365" s="35">
        <v>64</v>
      </c>
      <c r="K365" s="35" t="s">
        <v>151</v>
      </c>
      <c r="L365" s="35" t="s">
        <v>46</v>
      </c>
      <c r="M365" s="36" t="s">
        <v>96</v>
      </c>
      <c r="N365" s="36"/>
      <c r="O365" s="35">
        <v>40</v>
      </c>
      <c r="P365" s="85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666"/>
      <c r="R365" s="666"/>
      <c r="S365" s="666"/>
      <c r="T365" s="667"/>
      <c r="U365" s="37" t="s">
        <v>46</v>
      </c>
      <c r="V365" s="37" t="s">
        <v>46</v>
      </c>
      <c r="W365" s="38" t="s">
        <v>0</v>
      </c>
      <c r="X365" s="56"/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45" t="s">
        <v>609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37.5" hidden="1" customHeight="1" x14ac:dyDescent="0.25">
      <c r="A366" s="60" t="s">
        <v>610</v>
      </c>
      <c r="B366" s="60" t="s">
        <v>611</v>
      </c>
      <c r="C366" s="34">
        <v>4301051819</v>
      </c>
      <c r="D366" s="664">
        <v>4607091387964</v>
      </c>
      <c r="E366" s="664"/>
      <c r="F366" s="59">
        <v>1.35</v>
      </c>
      <c r="G366" s="35">
        <v>6</v>
      </c>
      <c r="H366" s="59">
        <v>8.1</v>
      </c>
      <c r="I366" s="59">
        <v>8.5760000000000005</v>
      </c>
      <c r="J366" s="35">
        <v>64</v>
      </c>
      <c r="K366" s="35" t="s">
        <v>151</v>
      </c>
      <c r="L366" s="35" t="s">
        <v>46</v>
      </c>
      <c r="M366" s="36" t="s">
        <v>96</v>
      </c>
      <c r="N366" s="36"/>
      <c r="O366" s="35">
        <v>40</v>
      </c>
      <c r="P366" s="85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666"/>
      <c r="R366" s="666"/>
      <c r="S366" s="666"/>
      <c r="T366" s="667"/>
      <c r="U366" s="37" t="s">
        <v>46</v>
      </c>
      <c r="V366" s="37" t="s">
        <v>46</v>
      </c>
      <c r="W366" s="38" t="s">
        <v>0</v>
      </c>
      <c r="X366" s="56"/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612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hidden="1" customHeight="1" x14ac:dyDescent="0.25">
      <c r="A367" s="60" t="s">
        <v>613</v>
      </c>
      <c r="B367" s="60" t="s">
        <v>614</v>
      </c>
      <c r="C367" s="34">
        <v>4301051734</v>
      </c>
      <c r="D367" s="664">
        <v>4680115884588</v>
      </c>
      <c r="E367" s="664"/>
      <c r="F367" s="59">
        <v>0.5</v>
      </c>
      <c r="G367" s="35">
        <v>6</v>
      </c>
      <c r="H367" s="59">
        <v>3</v>
      </c>
      <c r="I367" s="59">
        <v>3.246</v>
      </c>
      <c r="J367" s="35">
        <v>182</v>
      </c>
      <c r="K367" s="35" t="s">
        <v>88</v>
      </c>
      <c r="L367" s="35" t="s">
        <v>46</v>
      </c>
      <c r="M367" s="36" t="s">
        <v>96</v>
      </c>
      <c r="N367" s="36"/>
      <c r="O367" s="35">
        <v>40</v>
      </c>
      <c r="P367" s="85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666"/>
      <c r="R367" s="666"/>
      <c r="S367" s="666"/>
      <c r="T367" s="667"/>
      <c r="U367" s="37" t="s">
        <v>46</v>
      </c>
      <c r="V367" s="37" t="s">
        <v>46</v>
      </c>
      <c r="W367" s="38" t="s">
        <v>0</v>
      </c>
      <c r="X367" s="56"/>
      <c r="Y367" s="53">
        <f>IFERROR(IF(X367="",0,CEILING((X367/$H367),1)*$H367),"")</f>
        <v>0</v>
      </c>
      <c r="Z367" s="39" t="str">
        <f>IFERROR(IF(Y367=0,"",ROUNDUP(Y367/H367,0)*0.00651),"")</f>
        <v/>
      </c>
      <c r="AA367" s="65" t="s">
        <v>46</v>
      </c>
      <c r="AB367" s="66" t="s">
        <v>46</v>
      </c>
      <c r="AC367" s="449" t="s">
        <v>606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idden="1" x14ac:dyDescent="0.2">
      <c r="A368" s="673"/>
      <c r="B368" s="673"/>
      <c r="C368" s="673"/>
      <c r="D368" s="673"/>
      <c r="E368" s="673"/>
      <c r="F368" s="673"/>
      <c r="G368" s="673"/>
      <c r="H368" s="673"/>
      <c r="I368" s="673"/>
      <c r="J368" s="673"/>
      <c r="K368" s="673"/>
      <c r="L368" s="673"/>
      <c r="M368" s="673"/>
      <c r="N368" s="673"/>
      <c r="O368" s="674"/>
      <c r="P368" s="670" t="s">
        <v>40</v>
      </c>
      <c r="Q368" s="671"/>
      <c r="R368" s="671"/>
      <c r="S368" s="671"/>
      <c r="T368" s="671"/>
      <c r="U368" s="671"/>
      <c r="V368" s="672"/>
      <c r="W368" s="40" t="s">
        <v>39</v>
      </c>
      <c r="X368" s="41">
        <f>IFERROR(X364/H364,"0")+IFERROR(X365/H365,"0")+IFERROR(X366/H366,"0")+IFERROR(X367/H367,"0")</f>
        <v>0</v>
      </c>
      <c r="Y368" s="41">
        <f>IFERROR(Y364/H364,"0")+IFERROR(Y365/H365,"0")+IFERROR(Y366/H366,"0")+IFERROR(Y367/H367,"0")</f>
        <v>0</v>
      </c>
      <c r="Z368" s="41">
        <f>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hidden="1" x14ac:dyDescent="0.2">
      <c r="A369" s="673"/>
      <c r="B369" s="673"/>
      <c r="C369" s="673"/>
      <c r="D369" s="673"/>
      <c r="E369" s="673"/>
      <c r="F369" s="673"/>
      <c r="G369" s="673"/>
      <c r="H369" s="673"/>
      <c r="I369" s="673"/>
      <c r="J369" s="673"/>
      <c r="K369" s="673"/>
      <c r="L369" s="673"/>
      <c r="M369" s="673"/>
      <c r="N369" s="673"/>
      <c r="O369" s="674"/>
      <c r="P369" s="670" t="s">
        <v>40</v>
      </c>
      <c r="Q369" s="671"/>
      <c r="R369" s="671"/>
      <c r="S369" s="671"/>
      <c r="T369" s="671"/>
      <c r="U369" s="671"/>
      <c r="V369" s="672"/>
      <c r="W369" s="40" t="s">
        <v>0</v>
      </c>
      <c r="X369" s="41">
        <f>IFERROR(SUM(X364:X367),"0")</f>
        <v>0</v>
      </c>
      <c r="Y369" s="41">
        <f>IFERROR(SUM(Y364:Y367),"0")</f>
        <v>0</v>
      </c>
      <c r="Z369" s="40"/>
      <c r="AA369" s="64"/>
      <c r="AB369" s="64"/>
      <c r="AC369" s="64"/>
    </row>
    <row r="370" spans="1:68" ht="14.25" hidden="1" customHeight="1" x14ac:dyDescent="0.25">
      <c r="A370" s="663" t="s">
        <v>197</v>
      </c>
      <c r="B370" s="663"/>
      <c r="C370" s="663"/>
      <c r="D370" s="663"/>
      <c r="E370" s="663"/>
      <c r="F370" s="663"/>
      <c r="G370" s="663"/>
      <c r="H370" s="663"/>
      <c r="I370" s="663"/>
      <c r="J370" s="663"/>
      <c r="K370" s="663"/>
      <c r="L370" s="663"/>
      <c r="M370" s="663"/>
      <c r="N370" s="663"/>
      <c r="O370" s="663"/>
      <c r="P370" s="663"/>
      <c r="Q370" s="663"/>
      <c r="R370" s="663"/>
      <c r="S370" s="663"/>
      <c r="T370" s="663"/>
      <c r="U370" s="663"/>
      <c r="V370" s="663"/>
      <c r="W370" s="663"/>
      <c r="X370" s="663"/>
      <c r="Y370" s="663"/>
      <c r="Z370" s="663"/>
      <c r="AA370" s="63"/>
      <c r="AB370" s="63"/>
      <c r="AC370" s="63"/>
    </row>
    <row r="371" spans="1:68" ht="27" customHeight="1" x14ac:dyDescent="0.25">
      <c r="A371" s="60" t="s">
        <v>615</v>
      </c>
      <c r="B371" s="60" t="s">
        <v>616</v>
      </c>
      <c r="C371" s="34">
        <v>4301060387</v>
      </c>
      <c r="D371" s="664">
        <v>4607091380880</v>
      </c>
      <c r="E371" s="664"/>
      <c r="F371" s="59">
        <v>1.4</v>
      </c>
      <c r="G371" s="35">
        <v>6</v>
      </c>
      <c r="H371" s="59">
        <v>8.4</v>
      </c>
      <c r="I371" s="59">
        <v>8.8940000000000001</v>
      </c>
      <c r="J371" s="35">
        <v>64</v>
      </c>
      <c r="K371" s="35" t="s">
        <v>151</v>
      </c>
      <c r="L371" s="35" t="s">
        <v>46</v>
      </c>
      <c r="M371" s="36" t="s">
        <v>96</v>
      </c>
      <c r="N371" s="36"/>
      <c r="O371" s="35">
        <v>30</v>
      </c>
      <c r="P371" s="85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666"/>
      <c r="R371" s="666"/>
      <c r="S371" s="666"/>
      <c r="T371" s="667"/>
      <c r="U371" s="37" t="s">
        <v>46</v>
      </c>
      <c r="V371" s="37" t="s">
        <v>46</v>
      </c>
      <c r="W371" s="38" t="s">
        <v>0</v>
      </c>
      <c r="X371" s="56">
        <v>150</v>
      </c>
      <c r="Y371" s="53">
        <f>IFERROR(IF(X371="",0,CEILING((X371/$H371),1)*$H371),"")</f>
        <v>151.20000000000002</v>
      </c>
      <c r="Z371" s="39">
        <f>IFERROR(IF(Y371=0,"",ROUNDUP(Y371/H371,0)*0.01898),"")</f>
        <v>0.34164</v>
      </c>
      <c r="AA371" s="65" t="s">
        <v>46</v>
      </c>
      <c r="AB371" s="66" t="s">
        <v>46</v>
      </c>
      <c r="AC371" s="451" t="s">
        <v>617</v>
      </c>
      <c r="AG371" s="75"/>
      <c r="AJ371" s="79" t="s">
        <v>46</v>
      </c>
      <c r="AK371" s="79">
        <v>0</v>
      </c>
      <c r="BB371" s="452" t="s">
        <v>67</v>
      </c>
      <c r="BM371" s="75">
        <f>IFERROR(X371*I371/H371,"0")</f>
        <v>158.82142857142856</v>
      </c>
      <c r="BN371" s="75">
        <f>IFERROR(Y371*I371/H371,"0")</f>
        <v>160.09200000000001</v>
      </c>
      <c r="BO371" s="75">
        <f>IFERROR(1/J371*(X371/H371),"0")</f>
        <v>0.27901785714285715</v>
      </c>
      <c r="BP371" s="75">
        <f>IFERROR(1/J371*(Y371/H371),"0")</f>
        <v>0.28125</v>
      </c>
    </row>
    <row r="372" spans="1:68" ht="27" customHeight="1" x14ac:dyDescent="0.25">
      <c r="A372" s="60" t="s">
        <v>618</v>
      </c>
      <c r="B372" s="60" t="s">
        <v>619</v>
      </c>
      <c r="C372" s="34">
        <v>4301060406</v>
      </c>
      <c r="D372" s="664">
        <v>4607091384482</v>
      </c>
      <c r="E372" s="664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151</v>
      </c>
      <c r="L372" s="35" t="s">
        <v>46</v>
      </c>
      <c r="M372" s="36" t="s">
        <v>96</v>
      </c>
      <c r="N372" s="36"/>
      <c r="O372" s="35">
        <v>30</v>
      </c>
      <c r="P372" s="8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666"/>
      <c r="R372" s="666"/>
      <c r="S372" s="666"/>
      <c r="T372" s="667"/>
      <c r="U372" s="37" t="s">
        <v>46</v>
      </c>
      <c r="V372" s="37" t="s">
        <v>46</v>
      </c>
      <c r="W372" s="38" t="s">
        <v>0</v>
      </c>
      <c r="X372" s="56">
        <v>700</v>
      </c>
      <c r="Y372" s="53">
        <f>IFERROR(IF(X372="",0,CEILING((X372/$H372),1)*$H372),"")</f>
        <v>702</v>
      </c>
      <c r="Z372" s="39">
        <f>IFERROR(IF(Y372=0,"",ROUNDUP(Y372/H372,0)*0.01898),"")</f>
        <v>1.7081999999999999</v>
      </c>
      <c r="AA372" s="65" t="s">
        <v>46</v>
      </c>
      <c r="AB372" s="66" t="s">
        <v>46</v>
      </c>
      <c r="AC372" s="453" t="s">
        <v>620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744.33333333333337</v>
      </c>
      <c r="BN372" s="75">
        <f>IFERROR(Y372*I372/H372,"0")</f>
        <v>746.46</v>
      </c>
      <c r="BO372" s="75">
        <f>IFERROR(1/J372*(X372/H372),"0")</f>
        <v>1.4022435897435899</v>
      </c>
      <c r="BP372" s="75">
        <f>IFERROR(1/J372*(Y372/H372),"0")</f>
        <v>1.40625</v>
      </c>
    </row>
    <row r="373" spans="1:68" ht="16.5" customHeight="1" x14ac:dyDescent="0.25">
      <c r="A373" s="60" t="s">
        <v>621</v>
      </c>
      <c r="B373" s="60" t="s">
        <v>622</v>
      </c>
      <c r="C373" s="34">
        <v>4301060484</v>
      </c>
      <c r="D373" s="664">
        <v>4607091380897</v>
      </c>
      <c r="E373" s="664"/>
      <c r="F373" s="59">
        <v>1.4</v>
      </c>
      <c r="G373" s="35">
        <v>6</v>
      </c>
      <c r="H373" s="59">
        <v>8.4</v>
      </c>
      <c r="I373" s="59">
        <v>8.8940000000000001</v>
      </c>
      <c r="J373" s="35">
        <v>64</v>
      </c>
      <c r="K373" s="35" t="s">
        <v>151</v>
      </c>
      <c r="L373" s="35" t="s">
        <v>46</v>
      </c>
      <c r="M373" s="36" t="s">
        <v>102</v>
      </c>
      <c r="N373" s="36"/>
      <c r="O373" s="35">
        <v>30</v>
      </c>
      <c r="P373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666"/>
      <c r="R373" s="666"/>
      <c r="S373" s="666"/>
      <c r="T373" s="667"/>
      <c r="U373" s="37" t="s">
        <v>46</v>
      </c>
      <c r="V373" s="37" t="s">
        <v>46</v>
      </c>
      <c r="W373" s="38" t="s">
        <v>0</v>
      </c>
      <c r="X373" s="56">
        <v>50</v>
      </c>
      <c r="Y373" s="53">
        <f>IFERROR(IF(X373="",0,CEILING((X373/$H373),1)*$H373),"")</f>
        <v>50.400000000000006</v>
      </c>
      <c r="Z373" s="39">
        <f>IFERROR(IF(Y373=0,"",ROUNDUP(Y373/H373,0)*0.01898),"")</f>
        <v>0.11388000000000001</v>
      </c>
      <c r="AA373" s="65" t="s">
        <v>46</v>
      </c>
      <c r="AB373" s="66" t="s">
        <v>46</v>
      </c>
      <c r="AC373" s="455" t="s">
        <v>623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52.94047619047619</v>
      </c>
      <c r="BN373" s="75">
        <f>IFERROR(Y373*I373/H373,"0")</f>
        <v>53.364000000000004</v>
      </c>
      <c r="BO373" s="75">
        <f>IFERROR(1/J373*(X373/H373),"0")</f>
        <v>9.3005952380952384E-2</v>
      </c>
      <c r="BP373" s="75">
        <f>IFERROR(1/J373*(Y373/H373),"0")</f>
        <v>9.375E-2</v>
      </c>
    </row>
    <row r="374" spans="1:68" x14ac:dyDescent="0.2">
      <c r="A374" s="673"/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4"/>
      <c r="P374" s="670" t="s">
        <v>40</v>
      </c>
      <c r="Q374" s="671"/>
      <c r="R374" s="671"/>
      <c r="S374" s="671"/>
      <c r="T374" s="671"/>
      <c r="U374" s="671"/>
      <c r="V374" s="672"/>
      <c r="W374" s="40" t="s">
        <v>39</v>
      </c>
      <c r="X374" s="41">
        <f>IFERROR(X371/H371,"0")+IFERROR(X372/H372,"0")+IFERROR(X373/H373,"0")</f>
        <v>113.55311355311356</v>
      </c>
      <c r="Y374" s="41">
        <f>IFERROR(Y371/H371,"0")+IFERROR(Y372/H372,"0")+IFERROR(Y373/H373,"0")</f>
        <v>114</v>
      </c>
      <c r="Z374" s="41">
        <f>IFERROR(IF(Z371="",0,Z371),"0")+IFERROR(IF(Z372="",0,Z372),"0")+IFERROR(IF(Z373="",0,Z373),"0")</f>
        <v>2.1637200000000001</v>
      </c>
      <c r="AA374" s="64"/>
      <c r="AB374" s="64"/>
      <c r="AC374" s="64"/>
    </row>
    <row r="375" spans="1:68" x14ac:dyDescent="0.2">
      <c r="A375" s="673"/>
      <c r="B375" s="673"/>
      <c r="C375" s="673"/>
      <c r="D375" s="673"/>
      <c r="E375" s="673"/>
      <c r="F375" s="673"/>
      <c r="G375" s="673"/>
      <c r="H375" s="673"/>
      <c r="I375" s="673"/>
      <c r="J375" s="673"/>
      <c r="K375" s="673"/>
      <c r="L375" s="673"/>
      <c r="M375" s="673"/>
      <c r="N375" s="673"/>
      <c r="O375" s="674"/>
      <c r="P375" s="670" t="s">
        <v>40</v>
      </c>
      <c r="Q375" s="671"/>
      <c r="R375" s="671"/>
      <c r="S375" s="671"/>
      <c r="T375" s="671"/>
      <c r="U375" s="671"/>
      <c r="V375" s="672"/>
      <c r="W375" s="40" t="s">
        <v>0</v>
      </c>
      <c r="X375" s="41">
        <f>IFERROR(SUM(X371:X373),"0")</f>
        <v>900</v>
      </c>
      <c r="Y375" s="41">
        <f>IFERROR(SUM(Y371:Y373),"0")</f>
        <v>903.6</v>
      </c>
      <c r="Z375" s="40"/>
      <c r="AA375" s="64"/>
      <c r="AB375" s="64"/>
      <c r="AC375" s="64"/>
    </row>
    <row r="376" spans="1:68" ht="14.25" hidden="1" customHeight="1" x14ac:dyDescent="0.25">
      <c r="A376" s="663" t="s">
        <v>123</v>
      </c>
      <c r="B376" s="663"/>
      <c r="C376" s="663"/>
      <c r="D376" s="663"/>
      <c r="E376" s="663"/>
      <c r="F376" s="663"/>
      <c r="G376" s="663"/>
      <c r="H376" s="663"/>
      <c r="I376" s="663"/>
      <c r="J376" s="663"/>
      <c r="K376" s="663"/>
      <c r="L376" s="663"/>
      <c r="M376" s="663"/>
      <c r="N376" s="663"/>
      <c r="O376" s="663"/>
      <c r="P376" s="663"/>
      <c r="Q376" s="663"/>
      <c r="R376" s="663"/>
      <c r="S376" s="663"/>
      <c r="T376" s="663"/>
      <c r="U376" s="663"/>
      <c r="V376" s="663"/>
      <c r="W376" s="663"/>
      <c r="X376" s="663"/>
      <c r="Y376" s="663"/>
      <c r="Z376" s="663"/>
      <c r="AA376" s="63"/>
      <c r="AB376" s="63"/>
      <c r="AC376" s="63"/>
    </row>
    <row r="377" spans="1:68" ht="27" hidden="1" customHeight="1" x14ac:dyDescent="0.25">
      <c r="A377" s="60" t="s">
        <v>624</v>
      </c>
      <c r="B377" s="60" t="s">
        <v>625</v>
      </c>
      <c r="C377" s="34">
        <v>4301030235</v>
      </c>
      <c r="D377" s="664">
        <v>4607091388381</v>
      </c>
      <c r="E377" s="664"/>
      <c r="F377" s="59">
        <v>0.38</v>
      </c>
      <c r="G377" s="35">
        <v>8</v>
      </c>
      <c r="H377" s="59">
        <v>3.04</v>
      </c>
      <c r="I377" s="59">
        <v>3.31</v>
      </c>
      <c r="J377" s="35">
        <v>132</v>
      </c>
      <c r="K377" s="35" t="s">
        <v>158</v>
      </c>
      <c r="L377" s="35" t="s">
        <v>46</v>
      </c>
      <c r="M377" s="36" t="s">
        <v>128</v>
      </c>
      <c r="N377" s="36"/>
      <c r="O377" s="35">
        <v>180</v>
      </c>
      <c r="P377" s="86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666"/>
      <c r="R377" s="666"/>
      <c r="S377" s="666"/>
      <c r="T377" s="667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57" t="s">
        <v>626</v>
      </c>
      <c r="AG377" s="75"/>
      <c r="AJ377" s="79" t="s">
        <v>46</v>
      </c>
      <c r="AK377" s="79">
        <v>0</v>
      </c>
      <c r="BB377" s="458" t="s">
        <v>67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hidden="1" customHeight="1" x14ac:dyDescent="0.25">
      <c r="A378" s="60" t="s">
        <v>627</v>
      </c>
      <c r="B378" s="60" t="s">
        <v>628</v>
      </c>
      <c r="C378" s="34">
        <v>4301030232</v>
      </c>
      <c r="D378" s="664">
        <v>4607091388374</v>
      </c>
      <c r="E378" s="664"/>
      <c r="F378" s="59">
        <v>0.38</v>
      </c>
      <c r="G378" s="35">
        <v>8</v>
      </c>
      <c r="H378" s="59">
        <v>3.04</v>
      </c>
      <c r="I378" s="59">
        <v>3.27</v>
      </c>
      <c r="J378" s="35">
        <v>132</v>
      </c>
      <c r="K378" s="35" t="s">
        <v>158</v>
      </c>
      <c r="L378" s="35" t="s">
        <v>46</v>
      </c>
      <c r="M378" s="36" t="s">
        <v>128</v>
      </c>
      <c r="N378" s="36"/>
      <c r="O378" s="35">
        <v>180</v>
      </c>
      <c r="P378" s="8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666"/>
      <c r="R378" s="666"/>
      <c r="S378" s="666"/>
      <c r="T378" s="667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626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629</v>
      </c>
      <c r="B379" s="60" t="s">
        <v>630</v>
      </c>
      <c r="C379" s="34">
        <v>4301032015</v>
      </c>
      <c r="D379" s="664">
        <v>4607091383102</v>
      </c>
      <c r="E379" s="664"/>
      <c r="F379" s="59">
        <v>0.17</v>
      </c>
      <c r="G379" s="35">
        <v>15</v>
      </c>
      <c r="H379" s="59">
        <v>2.5499999999999998</v>
      </c>
      <c r="I379" s="59">
        <v>2.9550000000000001</v>
      </c>
      <c r="J379" s="35">
        <v>182</v>
      </c>
      <c r="K379" s="35" t="s">
        <v>88</v>
      </c>
      <c r="L379" s="35" t="s">
        <v>46</v>
      </c>
      <c r="M379" s="36" t="s">
        <v>128</v>
      </c>
      <c r="N379" s="36"/>
      <c r="O379" s="35">
        <v>180</v>
      </c>
      <c r="P379" s="86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666"/>
      <c r="R379" s="666"/>
      <c r="S379" s="666"/>
      <c r="T379" s="66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IFERROR(IF(Y379=0,"",ROUNDUP(Y379/H379,0)*0.00651),"")</f>
        <v/>
      </c>
      <c r="AA379" s="65" t="s">
        <v>46</v>
      </c>
      <c r="AB379" s="66" t="s">
        <v>46</v>
      </c>
      <c r="AC379" s="461" t="s">
        <v>626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631</v>
      </c>
      <c r="B380" s="60" t="s">
        <v>632</v>
      </c>
      <c r="C380" s="34">
        <v>4301030233</v>
      </c>
      <c r="D380" s="664">
        <v>4607091388404</v>
      </c>
      <c r="E380" s="664"/>
      <c r="F380" s="59">
        <v>0.17</v>
      </c>
      <c r="G380" s="35">
        <v>15</v>
      </c>
      <c r="H380" s="59">
        <v>2.5499999999999998</v>
      </c>
      <c r="I380" s="59">
        <v>2.88</v>
      </c>
      <c r="J380" s="35">
        <v>182</v>
      </c>
      <c r="K380" s="35" t="s">
        <v>88</v>
      </c>
      <c r="L380" s="35" t="s">
        <v>46</v>
      </c>
      <c r="M380" s="36" t="s">
        <v>128</v>
      </c>
      <c r="N380" s="36"/>
      <c r="O380" s="35">
        <v>180</v>
      </c>
      <c r="P380" s="8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666"/>
      <c r="R380" s="666"/>
      <c r="S380" s="666"/>
      <c r="T380" s="66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626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673"/>
      <c r="B381" s="673"/>
      <c r="C381" s="673"/>
      <c r="D381" s="673"/>
      <c r="E381" s="673"/>
      <c r="F381" s="673"/>
      <c r="G381" s="673"/>
      <c r="H381" s="673"/>
      <c r="I381" s="673"/>
      <c r="J381" s="673"/>
      <c r="K381" s="673"/>
      <c r="L381" s="673"/>
      <c r="M381" s="673"/>
      <c r="N381" s="673"/>
      <c r="O381" s="674"/>
      <c r="P381" s="670" t="s">
        <v>40</v>
      </c>
      <c r="Q381" s="671"/>
      <c r="R381" s="671"/>
      <c r="S381" s="671"/>
      <c r="T381" s="671"/>
      <c r="U381" s="671"/>
      <c r="V381" s="672"/>
      <c r="W381" s="40" t="s">
        <v>39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673"/>
      <c r="B382" s="673"/>
      <c r="C382" s="673"/>
      <c r="D382" s="673"/>
      <c r="E382" s="673"/>
      <c r="F382" s="673"/>
      <c r="G382" s="673"/>
      <c r="H382" s="673"/>
      <c r="I382" s="673"/>
      <c r="J382" s="673"/>
      <c r="K382" s="673"/>
      <c r="L382" s="673"/>
      <c r="M382" s="673"/>
      <c r="N382" s="673"/>
      <c r="O382" s="674"/>
      <c r="P382" s="670" t="s">
        <v>40</v>
      </c>
      <c r="Q382" s="671"/>
      <c r="R382" s="671"/>
      <c r="S382" s="671"/>
      <c r="T382" s="671"/>
      <c r="U382" s="671"/>
      <c r="V382" s="672"/>
      <c r="W382" s="40" t="s">
        <v>0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63" t="s">
        <v>633</v>
      </c>
      <c r="B383" s="663"/>
      <c r="C383" s="663"/>
      <c r="D383" s="663"/>
      <c r="E383" s="663"/>
      <c r="F383" s="663"/>
      <c r="G383" s="663"/>
      <c r="H383" s="663"/>
      <c r="I383" s="663"/>
      <c r="J383" s="663"/>
      <c r="K383" s="663"/>
      <c r="L383" s="663"/>
      <c r="M383" s="663"/>
      <c r="N383" s="663"/>
      <c r="O383" s="663"/>
      <c r="P383" s="663"/>
      <c r="Q383" s="663"/>
      <c r="R383" s="663"/>
      <c r="S383" s="663"/>
      <c r="T383" s="663"/>
      <c r="U383" s="663"/>
      <c r="V383" s="663"/>
      <c r="W383" s="663"/>
      <c r="X383" s="663"/>
      <c r="Y383" s="663"/>
      <c r="Z383" s="663"/>
      <c r="AA383" s="63"/>
      <c r="AB383" s="63"/>
      <c r="AC383" s="63"/>
    </row>
    <row r="384" spans="1:68" ht="16.5" hidden="1" customHeight="1" x14ac:dyDescent="0.25">
      <c r="A384" s="60" t="s">
        <v>634</v>
      </c>
      <c r="B384" s="60" t="s">
        <v>635</v>
      </c>
      <c r="C384" s="34">
        <v>4301180007</v>
      </c>
      <c r="D384" s="664">
        <v>4680115881808</v>
      </c>
      <c r="E384" s="664"/>
      <c r="F384" s="59">
        <v>0.1</v>
      </c>
      <c r="G384" s="35">
        <v>20</v>
      </c>
      <c r="H384" s="59">
        <v>2</v>
      </c>
      <c r="I384" s="59">
        <v>2.2400000000000002</v>
      </c>
      <c r="J384" s="35">
        <v>238</v>
      </c>
      <c r="K384" s="35" t="s">
        <v>88</v>
      </c>
      <c r="L384" s="35" t="s">
        <v>46</v>
      </c>
      <c r="M384" s="36" t="s">
        <v>637</v>
      </c>
      <c r="N384" s="36"/>
      <c r="O384" s="35">
        <v>731</v>
      </c>
      <c r="P384" s="86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666"/>
      <c r="R384" s="666"/>
      <c r="S384" s="666"/>
      <c r="T384" s="66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IFERROR(IF(Y384=0,"",ROUNDUP(Y384/H384,0)*0.00474),"")</f>
        <v/>
      </c>
      <c r="AA384" s="65" t="s">
        <v>46</v>
      </c>
      <c r="AB384" s="66" t="s">
        <v>46</v>
      </c>
      <c r="AC384" s="465" t="s">
        <v>636</v>
      </c>
      <c r="AG384" s="75"/>
      <c r="AJ384" s="79" t="s">
        <v>46</v>
      </c>
      <c r="AK384" s="79">
        <v>0</v>
      </c>
      <c r="BB384" s="466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638</v>
      </c>
      <c r="B385" s="60" t="s">
        <v>639</v>
      </c>
      <c r="C385" s="34">
        <v>4301180006</v>
      </c>
      <c r="D385" s="664">
        <v>4680115881822</v>
      </c>
      <c r="E385" s="664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88</v>
      </c>
      <c r="L385" s="35" t="s">
        <v>46</v>
      </c>
      <c r="M385" s="36" t="s">
        <v>637</v>
      </c>
      <c r="N385" s="36"/>
      <c r="O385" s="35">
        <v>731</v>
      </c>
      <c r="P385" s="86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666"/>
      <c r="R385" s="666"/>
      <c r="S385" s="666"/>
      <c r="T385" s="667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636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640</v>
      </c>
      <c r="B386" s="60" t="s">
        <v>641</v>
      </c>
      <c r="C386" s="34">
        <v>4301180001</v>
      </c>
      <c r="D386" s="664">
        <v>4680115880016</v>
      </c>
      <c r="E386" s="664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88</v>
      </c>
      <c r="L386" s="35" t="s">
        <v>46</v>
      </c>
      <c r="M386" s="36" t="s">
        <v>637</v>
      </c>
      <c r="N386" s="36"/>
      <c r="O386" s="35">
        <v>731</v>
      </c>
      <c r="P386" s="86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666"/>
      <c r="R386" s="666"/>
      <c r="S386" s="666"/>
      <c r="T386" s="66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636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idden="1" x14ac:dyDescent="0.2">
      <c r="A387" s="673"/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4"/>
      <c r="P387" s="670" t="s">
        <v>40</v>
      </c>
      <c r="Q387" s="671"/>
      <c r="R387" s="671"/>
      <c r="S387" s="671"/>
      <c r="T387" s="671"/>
      <c r="U387" s="671"/>
      <c r="V387" s="672"/>
      <c r="W387" s="40" t="s">
        <v>39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hidden="1" x14ac:dyDescent="0.2">
      <c r="A388" s="673"/>
      <c r="B388" s="673"/>
      <c r="C388" s="673"/>
      <c r="D388" s="673"/>
      <c r="E388" s="673"/>
      <c r="F388" s="673"/>
      <c r="G388" s="673"/>
      <c r="H388" s="673"/>
      <c r="I388" s="673"/>
      <c r="J388" s="673"/>
      <c r="K388" s="673"/>
      <c r="L388" s="673"/>
      <c r="M388" s="673"/>
      <c r="N388" s="673"/>
      <c r="O388" s="674"/>
      <c r="P388" s="670" t="s">
        <v>40</v>
      </c>
      <c r="Q388" s="671"/>
      <c r="R388" s="671"/>
      <c r="S388" s="671"/>
      <c r="T388" s="671"/>
      <c r="U388" s="671"/>
      <c r="V388" s="672"/>
      <c r="W388" s="40" t="s">
        <v>0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16.5" hidden="1" customHeight="1" x14ac:dyDescent="0.25">
      <c r="A389" s="662" t="s">
        <v>642</v>
      </c>
      <c r="B389" s="662"/>
      <c r="C389" s="662"/>
      <c r="D389" s="662"/>
      <c r="E389" s="662"/>
      <c r="F389" s="662"/>
      <c r="G389" s="662"/>
      <c r="H389" s="662"/>
      <c r="I389" s="662"/>
      <c r="J389" s="662"/>
      <c r="K389" s="662"/>
      <c r="L389" s="662"/>
      <c r="M389" s="662"/>
      <c r="N389" s="662"/>
      <c r="O389" s="662"/>
      <c r="P389" s="662"/>
      <c r="Q389" s="662"/>
      <c r="R389" s="662"/>
      <c r="S389" s="662"/>
      <c r="T389" s="662"/>
      <c r="U389" s="662"/>
      <c r="V389" s="662"/>
      <c r="W389" s="662"/>
      <c r="X389" s="662"/>
      <c r="Y389" s="662"/>
      <c r="Z389" s="662"/>
      <c r="AA389" s="62"/>
      <c r="AB389" s="62"/>
      <c r="AC389" s="62"/>
    </row>
    <row r="390" spans="1:68" ht="14.25" hidden="1" customHeight="1" x14ac:dyDescent="0.25">
      <c r="A390" s="663" t="s">
        <v>92</v>
      </c>
      <c r="B390" s="663"/>
      <c r="C390" s="663"/>
      <c r="D390" s="663"/>
      <c r="E390" s="663"/>
      <c r="F390" s="663"/>
      <c r="G390" s="663"/>
      <c r="H390" s="663"/>
      <c r="I390" s="663"/>
      <c r="J390" s="663"/>
      <c r="K390" s="663"/>
      <c r="L390" s="663"/>
      <c r="M390" s="663"/>
      <c r="N390" s="663"/>
      <c r="O390" s="663"/>
      <c r="P390" s="663"/>
      <c r="Q390" s="663"/>
      <c r="R390" s="663"/>
      <c r="S390" s="663"/>
      <c r="T390" s="663"/>
      <c r="U390" s="663"/>
      <c r="V390" s="663"/>
      <c r="W390" s="663"/>
      <c r="X390" s="663"/>
      <c r="Y390" s="663"/>
      <c r="Z390" s="663"/>
      <c r="AA390" s="63"/>
      <c r="AB390" s="63"/>
      <c r="AC390" s="63"/>
    </row>
    <row r="391" spans="1:68" ht="37.5" hidden="1" customHeight="1" x14ac:dyDescent="0.25">
      <c r="A391" s="60" t="s">
        <v>643</v>
      </c>
      <c r="B391" s="60" t="s">
        <v>644</v>
      </c>
      <c r="C391" s="34">
        <v>4301051489</v>
      </c>
      <c r="D391" s="664">
        <v>4607091387919</v>
      </c>
      <c r="E391" s="664"/>
      <c r="F391" s="59">
        <v>1.35</v>
      </c>
      <c r="G391" s="35">
        <v>6</v>
      </c>
      <c r="H391" s="59">
        <v>8.1</v>
      </c>
      <c r="I391" s="59">
        <v>8.5939999999999994</v>
      </c>
      <c r="J391" s="35">
        <v>64</v>
      </c>
      <c r="K391" s="35" t="s">
        <v>151</v>
      </c>
      <c r="L391" s="35" t="s">
        <v>46</v>
      </c>
      <c r="M391" s="36" t="s">
        <v>102</v>
      </c>
      <c r="N391" s="36"/>
      <c r="O391" s="35">
        <v>45</v>
      </c>
      <c r="P391" s="86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666"/>
      <c r="R391" s="666"/>
      <c r="S391" s="666"/>
      <c r="T391" s="667"/>
      <c r="U391" s="37" t="s">
        <v>46</v>
      </c>
      <c r="V391" s="37" t="s">
        <v>46</v>
      </c>
      <c r="W391" s="38" t="s">
        <v>0</v>
      </c>
      <c r="X391" s="56"/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71" t="s">
        <v>645</v>
      </c>
      <c r="AG391" s="75"/>
      <c r="AJ391" s="79" t="s">
        <v>46</v>
      </c>
      <c r="AK391" s="79">
        <v>0</v>
      </c>
      <c r="BB391" s="472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37.5" hidden="1" customHeight="1" x14ac:dyDescent="0.25">
      <c r="A392" s="60" t="s">
        <v>646</v>
      </c>
      <c r="B392" s="60" t="s">
        <v>647</v>
      </c>
      <c r="C392" s="34">
        <v>4301051461</v>
      </c>
      <c r="D392" s="664">
        <v>4680115883604</v>
      </c>
      <c r="E392" s="664"/>
      <c r="F392" s="59">
        <v>0.35</v>
      </c>
      <c r="G392" s="35">
        <v>6</v>
      </c>
      <c r="H392" s="59">
        <v>2.1</v>
      </c>
      <c r="I392" s="59">
        <v>2.3519999999999999</v>
      </c>
      <c r="J392" s="35">
        <v>182</v>
      </c>
      <c r="K392" s="35" t="s">
        <v>88</v>
      </c>
      <c r="L392" s="35" t="s">
        <v>46</v>
      </c>
      <c r="M392" s="36" t="s">
        <v>96</v>
      </c>
      <c r="N392" s="36"/>
      <c r="O392" s="35">
        <v>45</v>
      </c>
      <c r="P392" s="8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666"/>
      <c r="R392" s="666"/>
      <c r="S392" s="666"/>
      <c r="T392" s="667"/>
      <c r="U392" s="37" t="s">
        <v>46</v>
      </c>
      <c r="V392" s="37" t="s">
        <v>46</v>
      </c>
      <c r="W392" s="38" t="s">
        <v>0</v>
      </c>
      <c r="X392" s="56"/>
      <c r="Y392" s="53">
        <f>IFERROR(IF(X392="",0,CEILING((X392/$H392),1)*$H392),"")</f>
        <v>0</v>
      </c>
      <c r="Z392" s="39" t="str">
        <f>IFERROR(IF(Y392=0,"",ROUNDUP(Y392/H392,0)*0.00651),"")</f>
        <v/>
      </c>
      <c r="AA392" s="65" t="s">
        <v>46</v>
      </c>
      <c r="AB392" s="66" t="s">
        <v>46</v>
      </c>
      <c r="AC392" s="473" t="s">
        <v>648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649</v>
      </c>
      <c r="B393" s="60" t="s">
        <v>650</v>
      </c>
      <c r="C393" s="34">
        <v>4301051864</v>
      </c>
      <c r="D393" s="664">
        <v>4680115883567</v>
      </c>
      <c r="E393" s="664"/>
      <c r="F393" s="59">
        <v>0.35</v>
      </c>
      <c r="G393" s="35">
        <v>6</v>
      </c>
      <c r="H393" s="59">
        <v>2.1</v>
      </c>
      <c r="I393" s="59">
        <v>2.34</v>
      </c>
      <c r="J393" s="35">
        <v>182</v>
      </c>
      <c r="K393" s="35" t="s">
        <v>88</v>
      </c>
      <c r="L393" s="35" t="s">
        <v>46</v>
      </c>
      <c r="M393" s="36" t="s">
        <v>102</v>
      </c>
      <c r="N393" s="36"/>
      <c r="O393" s="35">
        <v>40</v>
      </c>
      <c r="P393" s="8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666"/>
      <c r="R393" s="666"/>
      <c r="S393" s="666"/>
      <c r="T393" s="667"/>
      <c r="U393" s="37" t="s">
        <v>46</v>
      </c>
      <c r="V393" s="37" t="s">
        <v>46</v>
      </c>
      <c r="W393" s="38" t="s">
        <v>0</v>
      </c>
      <c r="X393" s="56"/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 t="s">
        <v>46</v>
      </c>
      <c r="AB393" s="66" t="s">
        <v>46</v>
      </c>
      <c r="AC393" s="475" t="s">
        <v>651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idden="1" x14ac:dyDescent="0.2">
      <c r="A394" s="673"/>
      <c r="B394" s="673"/>
      <c r="C394" s="673"/>
      <c r="D394" s="673"/>
      <c r="E394" s="673"/>
      <c r="F394" s="673"/>
      <c r="G394" s="673"/>
      <c r="H394" s="673"/>
      <c r="I394" s="673"/>
      <c r="J394" s="673"/>
      <c r="K394" s="673"/>
      <c r="L394" s="673"/>
      <c r="M394" s="673"/>
      <c r="N394" s="673"/>
      <c r="O394" s="674"/>
      <c r="P394" s="670" t="s">
        <v>40</v>
      </c>
      <c r="Q394" s="671"/>
      <c r="R394" s="671"/>
      <c r="S394" s="671"/>
      <c r="T394" s="671"/>
      <c r="U394" s="671"/>
      <c r="V394" s="672"/>
      <c r="W394" s="40" t="s">
        <v>39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">
      <c r="A395" s="673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70" t="s">
        <v>40</v>
      </c>
      <c r="Q395" s="671"/>
      <c r="R395" s="671"/>
      <c r="S395" s="671"/>
      <c r="T395" s="671"/>
      <c r="U395" s="671"/>
      <c r="V395" s="672"/>
      <c r="W395" s="40" t="s">
        <v>0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27.75" hidden="1" customHeight="1" x14ac:dyDescent="0.2">
      <c r="A396" s="661" t="s">
        <v>652</v>
      </c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1"/>
      <c r="P396" s="661"/>
      <c r="Q396" s="661"/>
      <c r="R396" s="661"/>
      <c r="S396" s="661"/>
      <c r="T396" s="661"/>
      <c r="U396" s="661"/>
      <c r="V396" s="661"/>
      <c r="W396" s="661"/>
      <c r="X396" s="661"/>
      <c r="Y396" s="661"/>
      <c r="Z396" s="661"/>
      <c r="AA396" s="52"/>
      <c r="AB396" s="52"/>
      <c r="AC396" s="52"/>
    </row>
    <row r="397" spans="1:68" ht="16.5" hidden="1" customHeight="1" x14ac:dyDescent="0.25">
      <c r="A397" s="662" t="s">
        <v>653</v>
      </c>
      <c r="B397" s="662"/>
      <c r="C397" s="662"/>
      <c r="D397" s="662"/>
      <c r="E397" s="662"/>
      <c r="F397" s="662"/>
      <c r="G397" s="662"/>
      <c r="H397" s="662"/>
      <c r="I397" s="662"/>
      <c r="J397" s="662"/>
      <c r="K397" s="662"/>
      <c r="L397" s="662"/>
      <c r="M397" s="662"/>
      <c r="N397" s="662"/>
      <c r="O397" s="662"/>
      <c r="P397" s="662"/>
      <c r="Q397" s="662"/>
      <c r="R397" s="662"/>
      <c r="S397" s="662"/>
      <c r="T397" s="662"/>
      <c r="U397" s="662"/>
      <c r="V397" s="662"/>
      <c r="W397" s="662"/>
      <c r="X397" s="662"/>
      <c r="Y397" s="662"/>
      <c r="Z397" s="662"/>
      <c r="AA397" s="62"/>
      <c r="AB397" s="62"/>
      <c r="AC397" s="62"/>
    </row>
    <row r="398" spans="1:68" ht="14.25" hidden="1" customHeight="1" x14ac:dyDescent="0.25">
      <c r="A398" s="663" t="s">
        <v>146</v>
      </c>
      <c r="B398" s="663"/>
      <c r="C398" s="663"/>
      <c r="D398" s="663"/>
      <c r="E398" s="663"/>
      <c r="F398" s="663"/>
      <c r="G398" s="663"/>
      <c r="H398" s="663"/>
      <c r="I398" s="663"/>
      <c r="J398" s="663"/>
      <c r="K398" s="663"/>
      <c r="L398" s="663"/>
      <c r="M398" s="663"/>
      <c r="N398" s="663"/>
      <c r="O398" s="663"/>
      <c r="P398" s="663"/>
      <c r="Q398" s="663"/>
      <c r="R398" s="663"/>
      <c r="S398" s="663"/>
      <c r="T398" s="663"/>
      <c r="U398" s="663"/>
      <c r="V398" s="663"/>
      <c r="W398" s="663"/>
      <c r="X398" s="663"/>
      <c r="Y398" s="663"/>
      <c r="Z398" s="663"/>
      <c r="AA398" s="63"/>
      <c r="AB398" s="63"/>
      <c r="AC398" s="63"/>
    </row>
    <row r="399" spans="1:68" ht="27" hidden="1" customHeight="1" x14ac:dyDescent="0.25">
      <c r="A399" s="60" t="s">
        <v>654</v>
      </c>
      <c r="B399" s="60" t="s">
        <v>655</v>
      </c>
      <c r="C399" s="34">
        <v>4301012332</v>
      </c>
      <c r="D399" s="664">
        <v>4680115888401</v>
      </c>
      <c r="E399" s="664"/>
      <c r="F399" s="59">
        <v>2.5</v>
      </c>
      <c r="G399" s="35">
        <v>6</v>
      </c>
      <c r="H399" s="59">
        <v>15</v>
      </c>
      <c r="I399" s="59">
        <v>15.47</v>
      </c>
      <c r="J399" s="35">
        <v>48</v>
      </c>
      <c r="K399" s="35" t="s">
        <v>151</v>
      </c>
      <c r="L399" s="35" t="s">
        <v>46</v>
      </c>
      <c r="M399" s="36" t="s">
        <v>102</v>
      </c>
      <c r="N399" s="36"/>
      <c r="O399" s="35">
        <v>60</v>
      </c>
      <c r="P399" s="87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666"/>
      <c r="R399" s="666"/>
      <c r="S399" s="666"/>
      <c r="T399" s="667"/>
      <c r="U399" s="37" t="s">
        <v>46</v>
      </c>
      <c r="V399" s="37" t="s">
        <v>46</v>
      </c>
      <c r="W399" s="38" t="s">
        <v>0</v>
      </c>
      <c r="X399" s="56"/>
      <c r="Y399" s="53">
        <f t="shared" ref="Y399:Y406" si="53">IFERROR(IF(X399="",0,CEILING((X399/$H399),1)*$H399),"")</f>
        <v>0</v>
      </c>
      <c r="Z399" s="39" t="str">
        <f>IFERROR(IF(Y399=0,"",ROUNDUP(Y399/H399,0)*0.02175),"")</f>
        <v/>
      </c>
      <c r="AA399" s="65" t="s">
        <v>46</v>
      </c>
      <c r="AB399" s="66" t="s">
        <v>46</v>
      </c>
      <c r="AC399" s="477" t="s">
        <v>656</v>
      </c>
      <c r="AG399" s="75"/>
      <c r="AJ399" s="79" t="s">
        <v>46</v>
      </c>
      <c r="AK399" s="79">
        <v>0</v>
      </c>
      <c r="BB399" s="478" t="s">
        <v>67</v>
      </c>
      <c r="BM399" s="75">
        <f t="shared" ref="BM399:BM406" si="54">IFERROR(X399*I399/H399,"0")</f>
        <v>0</v>
      </c>
      <c r="BN399" s="75">
        <f t="shared" ref="BN399:BN406" si="55">IFERROR(Y399*I399/H399,"0")</f>
        <v>0</v>
      </c>
      <c r="BO399" s="75">
        <f t="shared" ref="BO399:BO406" si="56">IFERROR(1/J399*(X399/H399),"0")</f>
        <v>0</v>
      </c>
      <c r="BP399" s="75">
        <f t="shared" ref="BP399:BP406" si="57">IFERROR(1/J399*(Y399/H399),"0")</f>
        <v>0</v>
      </c>
    </row>
    <row r="400" spans="1:68" ht="37.5" customHeight="1" x14ac:dyDescent="0.25">
      <c r="A400" s="60" t="s">
        <v>657</v>
      </c>
      <c r="B400" s="60" t="s">
        <v>658</v>
      </c>
      <c r="C400" s="34">
        <v>4301011869</v>
      </c>
      <c r="D400" s="664">
        <v>4680115884847</v>
      </c>
      <c r="E400" s="664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151</v>
      </c>
      <c r="L400" s="35" t="s">
        <v>46</v>
      </c>
      <c r="M400" s="36" t="s">
        <v>83</v>
      </c>
      <c r="N400" s="36"/>
      <c r="O400" s="35">
        <v>60</v>
      </c>
      <c r="P400" s="8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666"/>
      <c r="R400" s="666"/>
      <c r="S400" s="666"/>
      <c r="T400" s="667"/>
      <c r="U400" s="37" t="s">
        <v>46</v>
      </c>
      <c r="V400" s="37" t="s">
        <v>46</v>
      </c>
      <c r="W400" s="38" t="s">
        <v>0</v>
      </c>
      <c r="X400" s="56">
        <v>4200</v>
      </c>
      <c r="Y400" s="53">
        <f t="shared" si="53"/>
        <v>4200</v>
      </c>
      <c r="Z400" s="39">
        <f>IFERROR(IF(Y400=0,"",ROUNDUP(Y400/H400,0)*0.02175),"")</f>
        <v>6.09</v>
      </c>
      <c r="AA400" s="65" t="s">
        <v>46</v>
      </c>
      <c r="AB400" s="66" t="s">
        <v>46</v>
      </c>
      <c r="AC400" s="479" t="s">
        <v>659</v>
      </c>
      <c r="AG400" s="75"/>
      <c r="AJ400" s="79" t="s">
        <v>46</v>
      </c>
      <c r="AK400" s="79">
        <v>0</v>
      </c>
      <c r="BB400" s="480" t="s">
        <v>67</v>
      </c>
      <c r="BM400" s="75">
        <f t="shared" si="54"/>
        <v>4331.6000000000004</v>
      </c>
      <c r="BN400" s="75">
        <f t="shared" si="55"/>
        <v>4331.6000000000004</v>
      </c>
      <c r="BO400" s="75">
        <f t="shared" si="56"/>
        <v>5.833333333333333</v>
      </c>
      <c r="BP400" s="75">
        <f t="shared" si="57"/>
        <v>5.833333333333333</v>
      </c>
    </row>
    <row r="401" spans="1:68" ht="27" customHeight="1" x14ac:dyDescent="0.25">
      <c r="A401" s="60" t="s">
        <v>660</v>
      </c>
      <c r="B401" s="60" t="s">
        <v>661</v>
      </c>
      <c r="C401" s="34">
        <v>4301012083</v>
      </c>
      <c r="D401" s="664">
        <v>4680115884854</v>
      </c>
      <c r="E401" s="664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151</v>
      </c>
      <c r="L401" s="35" t="s">
        <v>46</v>
      </c>
      <c r="M401" s="36" t="s">
        <v>150</v>
      </c>
      <c r="N401" s="36"/>
      <c r="O401" s="35">
        <v>60</v>
      </c>
      <c r="P401" s="87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666"/>
      <c r="R401" s="666"/>
      <c r="S401" s="666"/>
      <c r="T401" s="667"/>
      <c r="U401" s="37" t="s">
        <v>46</v>
      </c>
      <c r="V401" s="37" t="s">
        <v>46</v>
      </c>
      <c r="W401" s="38" t="s">
        <v>0</v>
      </c>
      <c r="X401" s="56">
        <v>2700</v>
      </c>
      <c r="Y401" s="53">
        <f t="shared" si="53"/>
        <v>2700</v>
      </c>
      <c r="Z401" s="39">
        <f>IFERROR(IF(Y401=0,"",ROUNDUP(Y401/H401,0)*0.02175),"")</f>
        <v>3.9149999999999996</v>
      </c>
      <c r="AA401" s="65" t="s">
        <v>46</v>
      </c>
      <c r="AB401" s="66" t="s">
        <v>46</v>
      </c>
      <c r="AC401" s="481" t="s">
        <v>662</v>
      </c>
      <c r="AG401" s="75"/>
      <c r="AJ401" s="79" t="s">
        <v>46</v>
      </c>
      <c r="AK401" s="79">
        <v>0</v>
      </c>
      <c r="BB401" s="482" t="s">
        <v>67</v>
      </c>
      <c r="BM401" s="75">
        <f t="shared" si="54"/>
        <v>2784.6</v>
      </c>
      <c r="BN401" s="75">
        <f t="shared" si="55"/>
        <v>2784.6</v>
      </c>
      <c r="BO401" s="75">
        <f t="shared" si="56"/>
        <v>3.75</v>
      </c>
      <c r="BP401" s="75">
        <f t="shared" si="57"/>
        <v>3.75</v>
      </c>
    </row>
    <row r="402" spans="1:68" ht="27" customHeight="1" x14ac:dyDescent="0.25">
      <c r="A402" s="60" t="s">
        <v>663</v>
      </c>
      <c r="B402" s="60" t="s">
        <v>664</v>
      </c>
      <c r="C402" s="34">
        <v>4301011867</v>
      </c>
      <c r="D402" s="664">
        <v>4680115884830</v>
      </c>
      <c r="E402" s="664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151</v>
      </c>
      <c r="L402" s="35" t="s">
        <v>46</v>
      </c>
      <c r="M402" s="36" t="s">
        <v>83</v>
      </c>
      <c r="N402" s="36"/>
      <c r="O402" s="35">
        <v>60</v>
      </c>
      <c r="P402" s="87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666"/>
      <c r="R402" s="666"/>
      <c r="S402" s="666"/>
      <c r="T402" s="667"/>
      <c r="U402" s="37" t="s">
        <v>46</v>
      </c>
      <c r="V402" s="37" t="s">
        <v>46</v>
      </c>
      <c r="W402" s="38" t="s">
        <v>0</v>
      </c>
      <c r="X402" s="56">
        <v>3000</v>
      </c>
      <c r="Y402" s="53">
        <f t="shared" si="53"/>
        <v>3000</v>
      </c>
      <c r="Z402" s="39">
        <f>IFERROR(IF(Y402=0,"",ROUNDUP(Y402/H402,0)*0.02175),"")</f>
        <v>4.3499999999999996</v>
      </c>
      <c r="AA402" s="65" t="s">
        <v>46</v>
      </c>
      <c r="AB402" s="66" t="s">
        <v>46</v>
      </c>
      <c r="AC402" s="483" t="s">
        <v>665</v>
      </c>
      <c r="AG402" s="75"/>
      <c r="AJ402" s="79" t="s">
        <v>46</v>
      </c>
      <c r="AK402" s="79">
        <v>0</v>
      </c>
      <c r="BB402" s="484" t="s">
        <v>67</v>
      </c>
      <c r="BM402" s="75">
        <f t="shared" si="54"/>
        <v>3094</v>
      </c>
      <c r="BN402" s="75">
        <f t="shared" si="55"/>
        <v>3094</v>
      </c>
      <c r="BO402" s="75">
        <f t="shared" si="56"/>
        <v>4.1666666666666661</v>
      </c>
      <c r="BP402" s="75">
        <f t="shared" si="57"/>
        <v>4.1666666666666661</v>
      </c>
    </row>
    <row r="403" spans="1:68" ht="27" hidden="1" customHeight="1" x14ac:dyDescent="0.25">
      <c r="A403" s="60" t="s">
        <v>666</v>
      </c>
      <c r="B403" s="60" t="s">
        <v>667</v>
      </c>
      <c r="C403" s="34">
        <v>4301012215</v>
      </c>
      <c r="D403" s="664">
        <v>4680115887046</v>
      </c>
      <c r="E403" s="664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151</v>
      </c>
      <c r="L403" s="35" t="s">
        <v>46</v>
      </c>
      <c r="M403" s="36" t="s">
        <v>102</v>
      </c>
      <c r="N403" s="36"/>
      <c r="O403" s="35">
        <v>60</v>
      </c>
      <c r="P403" s="87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3" s="666"/>
      <c r="R403" s="666"/>
      <c r="S403" s="666"/>
      <c r="T403" s="667"/>
      <c r="U403" s="37" t="s">
        <v>46</v>
      </c>
      <c r="V403" s="37" t="s">
        <v>46</v>
      </c>
      <c r="W403" s="38" t="s">
        <v>0</v>
      </c>
      <c r="X403" s="56"/>
      <c r="Y403" s="53">
        <f t="shared" si="53"/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85" t="s">
        <v>668</v>
      </c>
      <c r="AG403" s="75"/>
      <c r="AJ403" s="79" t="s">
        <v>46</v>
      </c>
      <c r="AK403" s="79">
        <v>0</v>
      </c>
      <c r="BB403" s="486" t="s">
        <v>67</v>
      </c>
      <c r="BM403" s="75">
        <f t="shared" si="54"/>
        <v>0</v>
      </c>
      <c r="BN403" s="75">
        <f t="shared" si="55"/>
        <v>0</v>
      </c>
      <c r="BO403" s="75">
        <f t="shared" si="56"/>
        <v>0</v>
      </c>
      <c r="BP403" s="75">
        <f t="shared" si="57"/>
        <v>0</v>
      </c>
    </row>
    <row r="404" spans="1:68" ht="27" hidden="1" customHeight="1" x14ac:dyDescent="0.25">
      <c r="A404" s="60" t="s">
        <v>669</v>
      </c>
      <c r="B404" s="60" t="s">
        <v>670</v>
      </c>
      <c r="C404" s="34">
        <v>4301011433</v>
      </c>
      <c r="D404" s="664">
        <v>4680115882638</v>
      </c>
      <c r="E404" s="664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158</v>
      </c>
      <c r="L404" s="35" t="s">
        <v>46</v>
      </c>
      <c r="M404" s="36" t="s">
        <v>150</v>
      </c>
      <c r="N404" s="36"/>
      <c r="O404" s="35">
        <v>90</v>
      </c>
      <c r="P40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666"/>
      <c r="R404" s="666"/>
      <c r="S404" s="666"/>
      <c r="T404" s="667"/>
      <c r="U404" s="37" t="s">
        <v>46</v>
      </c>
      <c r="V404" s="37" t="s">
        <v>46</v>
      </c>
      <c r="W404" s="38" t="s">
        <v>0</v>
      </c>
      <c r="X404" s="56"/>
      <c r="Y404" s="53">
        <f t="shared" si="53"/>
        <v>0</v>
      </c>
      <c r="Z404" s="39" t="str">
        <f>IFERROR(IF(Y404=0,"",ROUNDUP(Y404/H404,0)*0.00902),"")</f>
        <v/>
      </c>
      <c r="AA404" s="65" t="s">
        <v>46</v>
      </c>
      <c r="AB404" s="66" t="s">
        <v>46</v>
      </c>
      <c r="AC404" s="487" t="s">
        <v>671</v>
      </c>
      <c r="AG404" s="75"/>
      <c r="AJ404" s="79" t="s">
        <v>46</v>
      </c>
      <c r="AK404" s="79">
        <v>0</v>
      </c>
      <c r="BB404" s="488" t="s">
        <v>67</v>
      </c>
      <c r="BM404" s="75">
        <f t="shared" si="54"/>
        <v>0</v>
      </c>
      <c r="BN404" s="75">
        <f t="shared" si="55"/>
        <v>0</v>
      </c>
      <c r="BO404" s="75">
        <f t="shared" si="56"/>
        <v>0</v>
      </c>
      <c r="BP404" s="75">
        <f t="shared" si="57"/>
        <v>0</v>
      </c>
    </row>
    <row r="405" spans="1:68" ht="27" hidden="1" customHeight="1" x14ac:dyDescent="0.25">
      <c r="A405" s="60" t="s">
        <v>672</v>
      </c>
      <c r="B405" s="60" t="s">
        <v>673</v>
      </c>
      <c r="C405" s="34">
        <v>4301011952</v>
      </c>
      <c r="D405" s="664">
        <v>4680115884922</v>
      </c>
      <c r="E405" s="664"/>
      <c r="F405" s="59">
        <v>0.5</v>
      </c>
      <c r="G405" s="35">
        <v>10</v>
      </c>
      <c r="H405" s="59">
        <v>5</v>
      </c>
      <c r="I405" s="59">
        <v>5.19</v>
      </c>
      <c r="J405" s="35">
        <v>132</v>
      </c>
      <c r="K405" s="35" t="s">
        <v>158</v>
      </c>
      <c r="L405" s="35" t="s">
        <v>46</v>
      </c>
      <c r="M405" s="36" t="s">
        <v>83</v>
      </c>
      <c r="N405" s="36"/>
      <c r="O405" s="35">
        <v>60</v>
      </c>
      <c r="P405" s="8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666"/>
      <c r="R405" s="666"/>
      <c r="S405" s="666"/>
      <c r="T405" s="667"/>
      <c r="U405" s="37" t="s">
        <v>46</v>
      </c>
      <c r="V405" s="37" t="s">
        <v>46</v>
      </c>
      <c r="W405" s="38" t="s">
        <v>0</v>
      </c>
      <c r="X405" s="56"/>
      <c r="Y405" s="53">
        <f t="shared" si="53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674</v>
      </c>
      <c r="AG405" s="75"/>
      <c r="AJ405" s="79" t="s">
        <v>46</v>
      </c>
      <c r="AK405" s="79">
        <v>0</v>
      </c>
      <c r="BB405" s="490" t="s">
        <v>67</v>
      </c>
      <c r="BM405" s="75">
        <f t="shared" si="54"/>
        <v>0</v>
      </c>
      <c r="BN405" s="75">
        <f t="shared" si="55"/>
        <v>0</v>
      </c>
      <c r="BO405" s="75">
        <f t="shared" si="56"/>
        <v>0</v>
      </c>
      <c r="BP405" s="75">
        <f t="shared" si="57"/>
        <v>0</v>
      </c>
    </row>
    <row r="406" spans="1:68" ht="37.5" hidden="1" customHeight="1" x14ac:dyDescent="0.25">
      <c r="A406" s="60" t="s">
        <v>675</v>
      </c>
      <c r="B406" s="60" t="s">
        <v>676</v>
      </c>
      <c r="C406" s="34">
        <v>4301011868</v>
      </c>
      <c r="D406" s="664">
        <v>4680115884861</v>
      </c>
      <c r="E406" s="664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158</v>
      </c>
      <c r="L406" s="35" t="s">
        <v>46</v>
      </c>
      <c r="M406" s="36" t="s">
        <v>83</v>
      </c>
      <c r="N406" s="36"/>
      <c r="O406" s="35">
        <v>60</v>
      </c>
      <c r="P406" s="87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666"/>
      <c r="R406" s="666"/>
      <c r="S406" s="666"/>
      <c r="T406" s="667"/>
      <c r="U406" s="37" t="s">
        <v>46</v>
      </c>
      <c r="V406" s="37" t="s">
        <v>46</v>
      </c>
      <c r="W406" s="38" t="s">
        <v>0</v>
      </c>
      <c r="X406" s="56"/>
      <c r="Y406" s="53">
        <f t="shared" si="53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677</v>
      </c>
      <c r="AG406" s="75"/>
      <c r="AJ406" s="79" t="s">
        <v>46</v>
      </c>
      <c r="AK406" s="79">
        <v>0</v>
      </c>
      <c r="BB406" s="492" t="s">
        <v>67</v>
      </c>
      <c r="BM406" s="75">
        <f t="shared" si="54"/>
        <v>0</v>
      </c>
      <c r="BN406" s="75">
        <f t="shared" si="55"/>
        <v>0</v>
      </c>
      <c r="BO406" s="75">
        <f t="shared" si="56"/>
        <v>0</v>
      </c>
      <c r="BP406" s="75">
        <f t="shared" si="57"/>
        <v>0</v>
      </c>
    </row>
    <row r="407" spans="1:68" x14ac:dyDescent="0.2">
      <c r="A407" s="673"/>
      <c r="B407" s="673"/>
      <c r="C407" s="673"/>
      <c r="D407" s="673"/>
      <c r="E407" s="673"/>
      <c r="F407" s="673"/>
      <c r="G407" s="673"/>
      <c r="H407" s="673"/>
      <c r="I407" s="673"/>
      <c r="J407" s="673"/>
      <c r="K407" s="673"/>
      <c r="L407" s="673"/>
      <c r="M407" s="673"/>
      <c r="N407" s="673"/>
      <c r="O407" s="674"/>
      <c r="P407" s="670" t="s">
        <v>40</v>
      </c>
      <c r="Q407" s="671"/>
      <c r="R407" s="671"/>
      <c r="S407" s="671"/>
      <c r="T407" s="671"/>
      <c r="U407" s="671"/>
      <c r="V407" s="672"/>
      <c r="W407" s="40" t="s">
        <v>39</v>
      </c>
      <c r="X407" s="41">
        <f>IFERROR(X399/H399,"0")+IFERROR(X400/H400,"0")+IFERROR(X401/H401,"0")+IFERROR(X402/H402,"0")+IFERROR(X403/H403,"0")+IFERROR(X404/H404,"0")+IFERROR(X405/H405,"0")+IFERROR(X406/H406,"0")</f>
        <v>660</v>
      </c>
      <c r="Y407" s="41">
        <f>IFERROR(Y399/H399,"0")+IFERROR(Y400/H400,"0")+IFERROR(Y401/H401,"0")+IFERROR(Y402/H402,"0")+IFERROR(Y403/H403,"0")+IFERROR(Y404/H404,"0")+IFERROR(Y405/H405,"0")+IFERROR(Y406/H406,"0")</f>
        <v>660</v>
      </c>
      <c r="Z407" s="41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14.354999999999999</v>
      </c>
      <c r="AA407" s="64"/>
      <c r="AB407" s="64"/>
      <c r="AC407" s="64"/>
    </row>
    <row r="408" spans="1:68" x14ac:dyDescent="0.2">
      <c r="A408" s="673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70" t="s">
        <v>40</v>
      </c>
      <c r="Q408" s="671"/>
      <c r="R408" s="671"/>
      <c r="S408" s="671"/>
      <c r="T408" s="671"/>
      <c r="U408" s="671"/>
      <c r="V408" s="672"/>
      <c r="W408" s="40" t="s">
        <v>0</v>
      </c>
      <c r="X408" s="41">
        <f>IFERROR(SUM(X399:X406),"0")</f>
        <v>9900</v>
      </c>
      <c r="Y408" s="41">
        <f>IFERROR(SUM(Y399:Y406),"0")</f>
        <v>9900</v>
      </c>
      <c r="Z408" s="40"/>
      <c r="AA408" s="64"/>
      <c r="AB408" s="64"/>
      <c r="AC408" s="64"/>
    </row>
    <row r="409" spans="1:68" ht="14.25" hidden="1" customHeight="1" x14ac:dyDescent="0.25">
      <c r="A409" s="663" t="s">
        <v>180</v>
      </c>
      <c r="B409" s="663"/>
      <c r="C409" s="663"/>
      <c r="D409" s="663"/>
      <c r="E409" s="663"/>
      <c r="F409" s="663"/>
      <c r="G409" s="663"/>
      <c r="H409" s="663"/>
      <c r="I409" s="663"/>
      <c r="J409" s="663"/>
      <c r="K409" s="663"/>
      <c r="L409" s="663"/>
      <c r="M409" s="663"/>
      <c r="N409" s="663"/>
      <c r="O409" s="663"/>
      <c r="P409" s="663"/>
      <c r="Q409" s="663"/>
      <c r="R409" s="663"/>
      <c r="S409" s="663"/>
      <c r="T409" s="663"/>
      <c r="U409" s="663"/>
      <c r="V409" s="663"/>
      <c r="W409" s="663"/>
      <c r="X409" s="663"/>
      <c r="Y409" s="663"/>
      <c r="Z409" s="663"/>
      <c r="AA409" s="63"/>
      <c r="AB409" s="63"/>
      <c r="AC409" s="63"/>
    </row>
    <row r="410" spans="1:68" ht="27" hidden="1" customHeight="1" x14ac:dyDescent="0.25">
      <c r="A410" s="60" t="s">
        <v>678</v>
      </c>
      <c r="B410" s="60" t="s">
        <v>679</v>
      </c>
      <c r="C410" s="34">
        <v>4301020178</v>
      </c>
      <c r="D410" s="664">
        <v>4607091383980</v>
      </c>
      <c r="E410" s="664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151</v>
      </c>
      <c r="L410" s="35" t="s">
        <v>46</v>
      </c>
      <c r="M410" s="36" t="s">
        <v>150</v>
      </c>
      <c r="N410" s="36"/>
      <c r="O410" s="35">
        <v>50</v>
      </c>
      <c r="P41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666"/>
      <c r="R410" s="666"/>
      <c r="S410" s="666"/>
      <c r="T410" s="667"/>
      <c r="U410" s="37" t="s">
        <v>46</v>
      </c>
      <c r="V410" s="37" t="s">
        <v>46</v>
      </c>
      <c r="W410" s="38" t="s">
        <v>0</v>
      </c>
      <c r="X410" s="56"/>
      <c r="Y410" s="53">
        <f>IFERROR(IF(X410="",0,CEILING((X410/$H410),1)*$H410),"")</f>
        <v>0</v>
      </c>
      <c r="Z410" s="39" t="str">
        <f>IFERROR(IF(Y410=0,"",ROUNDUP(Y410/H410,0)*0.02175),"")</f>
        <v/>
      </c>
      <c r="AA410" s="65" t="s">
        <v>46</v>
      </c>
      <c r="AB410" s="66" t="s">
        <v>46</v>
      </c>
      <c r="AC410" s="493" t="s">
        <v>680</v>
      </c>
      <c r="AG410" s="75"/>
      <c r="AJ410" s="79" t="s">
        <v>46</v>
      </c>
      <c r="AK410" s="79">
        <v>0</v>
      </c>
      <c r="BB410" s="494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681</v>
      </c>
      <c r="B411" s="60" t="s">
        <v>682</v>
      </c>
      <c r="C411" s="34">
        <v>4301020355</v>
      </c>
      <c r="D411" s="664">
        <v>4680115888425</v>
      </c>
      <c r="E411" s="664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151</v>
      </c>
      <c r="L411" s="35" t="s">
        <v>46</v>
      </c>
      <c r="M411" s="36" t="s">
        <v>150</v>
      </c>
      <c r="N411" s="36"/>
      <c r="O411" s="35">
        <v>50</v>
      </c>
      <c r="P411" s="87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666"/>
      <c r="R411" s="666"/>
      <c r="S411" s="666"/>
      <c r="T411" s="667"/>
      <c r="U411" s="37" t="s">
        <v>46</v>
      </c>
      <c r="V411" s="37" t="s">
        <v>46</v>
      </c>
      <c r="W411" s="38" t="s">
        <v>0</v>
      </c>
      <c r="X411" s="56"/>
      <c r="Y411" s="53">
        <f>IFERROR(IF(X411="",0,CEILING((X411/$H411),1)*$H411),"")</f>
        <v>0</v>
      </c>
      <c r="Z411" s="39" t="str">
        <f>IFERROR(IF(Y411=0,"",ROUNDUP(Y411/H411,0)*0.02175),"")</f>
        <v/>
      </c>
      <c r="AA411" s="65" t="s">
        <v>46</v>
      </c>
      <c r="AB411" s="66" t="s">
        <v>46</v>
      </c>
      <c r="AC411" s="495" t="s">
        <v>683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684</v>
      </c>
      <c r="B412" s="60" t="s">
        <v>685</v>
      </c>
      <c r="C412" s="34">
        <v>4301020179</v>
      </c>
      <c r="D412" s="664">
        <v>4607091384178</v>
      </c>
      <c r="E412" s="664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158</v>
      </c>
      <c r="L412" s="35" t="s">
        <v>46</v>
      </c>
      <c r="M412" s="36" t="s">
        <v>150</v>
      </c>
      <c r="N412" s="36"/>
      <c r="O412" s="35">
        <v>50</v>
      </c>
      <c r="P412" s="8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666"/>
      <c r="R412" s="666"/>
      <c r="S412" s="666"/>
      <c r="T412" s="667"/>
      <c r="U412" s="37" t="s">
        <v>46</v>
      </c>
      <c r="V412" s="37" t="s">
        <v>46</v>
      </c>
      <c r="W412" s="38" t="s">
        <v>0</v>
      </c>
      <c r="X412" s="56"/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 t="s">
        <v>46</v>
      </c>
      <c r="AB412" s="66" t="s">
        <v>46</v>
      </c>
      <c r="AC412" s="497" t="s">
        <v>686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idden="1" x14ac:dyDescent="0.2">
      <c r="A413" s="673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70" t="s">
        <v>40</v>
      </c>
      <c r="Q413" s="671"/>
      <c r="R413" s="671"/>
      <c r="S413" s="671"/>
      <c r="T413" s="671"/>
      <c r="U413" s="671"/>
      <c r="V413" s="672"/>
      <c r="W413" s="40" t="s">
        <v>39</v>
      </c>
      <c r="X413" s="41">
        <f>IFERROR(X410/H410,"0")+IFERROR(X411/H411,"0")+IFERROR(X412/H412,"0")</f>
        <v>0</v>
      </c>
      <c r="Y413" s="41">
        <f>IFERROR(Y410/H410,"0")+IFERROR(Y411/H411,"0")+IFERROR(Y412/H412,"0")</f>
        <v>0</v>
      </c>
      <c r="Z413" s="41">
        <f>IFERROR(IF(Z410="",0,Z410),"0")+IFERROR(IF(Z411="",0,Z411),"0")+IFERROR(IF(Z412="",0,Z412),"0")</f>
        <v>0</v>
      </c>
      <c r="AA413" s="64"/>
      <c r="AB413" s="64"/>
      <c r="AC413" s="64"/>
    </row>
    <row r="414" spans="1:68" hidden="1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70" t="s">
        <v>40</v>
      </c>
      <c r="Q414" s="671"/>
      <c r="R414" s="671"/>
      <c r="S414" s="671"/>
      <c r="T414" s="671"/>
      <c r="U414" s="671"/>
      <c r="V414" s="672"/>
      <c r="W414" s="40" t="s">
        <v>0</v>
      </c>
      <c r="X414" s="41">
        <f>IFERROR(SUM(X410:X412),"0")</f>
        <v>0</v>
      </c>
      <c r="Y414" s="41">
        <f>IFERROR(SUM(Y410:Y412),"0")</f>
        <v>0</v>
      </c>
      <c r="Z414" s="40"/>
      <c r="AA414" s="64"/>
      <c r="AB414" s="64"/>
      <c r="AC414" s="64"/>
    </row>
    <row r="415" spans="1:68" ht="14.25" hidden="1" customHeight="1" x14ac:dyDescent="0.25">
      <c r="A415" s="663" t="s">
        <v>92</v>
      </c>
      <c r="B415" s="663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N415" s="663"/>
      <c r="O415" s="663"/>
      <c r="P415" s="663"/>
      <c r="Q415" s="663"/>
      <c r="R415" s="663"/>
      <c r="S415" s="663"/>
      <c r="T415" s="663"/>
      <c r="U415" s="663"/>
      <c r="V415" s="663"/>
      <c r="W415" s="663"/>
      <c r="X415" s="663"/>
      <c r="Y415" s="663"/>
      <c r="Z415" s="663"/>
      <c r="AA415" s="63"/>
      <c r="AB415" s="63"/>
      <c r="AC415" s="63"/>
    </row>
    <row r="416" spans="1:68" ht="27" customHeight="1" x14ac:dyDescent="0.25">
      <c r="A416" s="60" t="s">
        <v>687</v>
      </c>
      <c r="B416" s="60" t="s">
        <v>688</v>
      </c>
      <c r="C416" s="34">
        <v>4301051903</v>
      </c>
      <c r="D416" s="664">
        <v>4607091383928</v>
      </c>
      <c r="E416" s="664"/>
      <c r="F416" s="59">
        <v>1.5</v>
      </c>
      <c r="G416" s="35">
        <v>6</v>
      </c>
      <c r="H416" s="59">
        <v>9</v>
      </c>
      <c r="I416" s="59">
        <v>9.5</v>
      </c>
      <c r="J416" s="35">
        <v>64</v>
      </c>
      <c r="K416" s="35" t="s">
        <v>151</v>
      </c>
      <c r="L416" s="35" t="s">
        <v>46</v>
      </c>
      <c r="M416" s="36" t="s">
        <v>96</v>
      </c>
      <c r="N416" s="36"/>
      <c r="O416" s="35">
        <v>40</v>
      </c>
      <c r="P416" s="8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666"/>
      <c r="R416" s="666"/>
      <c r="S416" s="666"/>
      <c r="T416" s="667"/>
      <c r="U416" s="37" t="s">
        <v>46</v>
      </c>
      <c r="V416" s="37" t="s">
        <v>46</v>
      </c>
      <c r="W416" s="38" t="s">
        <v>0</v>
      </c>
      <c r="X416" s="56">
        <v>1000</v>
      </c>
      <c r="Y416" s="53">
        <f>IFERROR(IF(X416="",0,CEILING((X416/$H416),1)*$H416),"")</f>
        <v>1008</v>
      </c>
      <c r="Z416" s="39">
        <f>IFERROR(IF(Y416=0,"",ROUNDUP(Y416/H416,0)*0.01898),"")</f>
        <v>2.1257600000000001</v>
      </c>
      <c r="AA416" s="65" t="s">
        <v>46</v>
      </c>
      <c r="AB416" s="66" t="s">
        <v>46</v>
      </c>
      <c r="AC416" s="499" t="s">
        <v>689</v>
      </c>
      <c r="AG416" s="75"/>
      <c r="AJ416" s="79" t="s">
        <v>46</v>
      </c>
      <c r="AK416" s="79">
        <v>0</v>
      </c>
      <c r="BB416" s="500" t="s">
        <v>67</v>
      </c>
      <c r="BM416" s="75">
        <f>IFERROR(X416*I416/H416,"0")</f>
        <v>1055.5555555555557</v>
      </c>
      <c r="BN416" s="75">
        <f>IFERROR(Y416*I416/H416,"0")</f>
        <v>1064</v>
      </c>
      <c r="BO416" s="75">
        <f>IFERROR(1/J416*(X416/H416),"0")</f>
        <v>1.7361111111111112</v>
      </c>
      <c r="BP416" s="75">
        <f>IFERROR(1/J416*(Y416/H416),"0")</f>
        <v>1.75</v>
      </c>
    </row>
    <row r="417" spans="1:68" ht="27" customHeight="1" x14ac:dyDescent="0.25">
      <c r="A417" s="60" t="s">
        <v>690</v>
      </c>
      <c r="B417" s="60" t="s">
        <v>691</v>
      </c>
      <c r="C417" s="34">
        <v>4301051897</v>
      </c>
      <c r="D417" s="664">
        <v>4607091384260</v>
      </c>
      <c r="E417" s="664"/>
      <c r="F417" s="59">
        <v>1.5</v>
      </c>
      <c r="G417" s="35">
        <v>6</v>
      </c>
      <c r="H417" s="59">
        <v>9</v>
      </c>
      <c r="I417" s="59">
        <v>9.4939999999999998</v>
      </c>
      <c r="J417" s="35">
        <v>64</v>
      </c>
      <c r="K417" s="35" t="s">
        <v>151</v>
      </c>
      <c r="L417" s="35" t="s">
        <v>46</v>
      </c>
      <c r="M417" s="36" t="s">
        <v>96</v>
      </c>
      <c r="N417" s="36"/>
      <c r="O417" s="35">
        <v>40</v>
      </c>
      <c r="P417" s="8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666"/>
      <c r="R417" s="666"/>
      <c r="S417" s="666"/>
      <c r="T417" s="667"/>
      <c r="U417" s="37" t="s">
        <v>46</v>
      </c>
      <c r="V417" s="37" t="s">
        <v>46</v>
      </c>
      <c r="W417" s="38" t="s">
        <v>0</v>
      </c>
      <c r="X417" s="56">
        <v>370</v>
      </c>
      <c r="Y417" s="53">
        <f>IFERROR(IF(X417="",0,CEILING((X417/$H417),1)*$H417),"")</f>
        <v>378</v>
      </c>
      <c r="Z417" s="39">
        <f>IFERROR(IF(Y417=0,"",ROUNDUP(Y417/H417,0)*0.01898),"")</f>
        <v>0.79715999999999998</v>
      </c>
      <c r="AA417" s="65" t="s">
        <v>46</v>
      </c>
      <c r="AB417" s="66" t="s">
        <v>46</v>
      </c>
      <c r="AC417" s="501" t="s">
        <v>692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390.30888888888887</v>
      </c>
      <c r="BN417" s="75">
        <f>IFERROR(Y417*I417/H417,"0")</f>
        <v>398.74799999999999</v>
      </c>
      <c r="BO417" s="75">
        <f>IFERROR(1/J417*(X417/H417),"0")</f>
        <v>0.64236111111111116</v>
      </c>
      <c r="BP417" s="75">
        <f>IFERROR(1/J417*(Y417/H417),"0")</f>
        <v>0.65625</v>
      </c>
    </row>
    <row r="418" spans="1:68" x14ac:dyDescent="0.2">
      <c r="A418" s="673"/>
      <c r="B418" s="673"/>
      <c r="C418" s="673"/>
      <c r="D418" s="673"/>
      <c r="E418" s="673"/>
      <c r="F418" s="673"/>
      <c r="G418" s="673"/>
      <c r="H418" s="673"/>
      <c r="I418" s="673"/>
      <c r="J418" s="673"/>
      <c r="K418" s="673"/>
      <c r="L418" s="673"/>
      <c r="M418" s="673"/>
      <c r="N418" s="673"/>
      <c r="O418" s="674"/>
      <c r="P418" s="670" t="s">
        <v>40</v>
      </c>
      <c r="Q418" s="671"/>
      <c r="R418" s="671"/>
      <c r="S418" s="671"/>
      <c r="T418" s="671"/>
      <c r="U418" s="671"/>
      <c r="V418" s="672"/>
      <c r="W418" s="40" t="s">
        <v>39</v>
      </c>
      <c r="X418" s="41">
        <f>IFERROR(X416/H416,"0")+IFERROR(X417/H417,"0")</f>
        <v>152.22222222222223</v>
      </c>
      <c r="Y418" s="41">
        <f>IFERROR(Y416/H416,"0")+IFERROR(Y417/H417,"0")</f>
        <v>154</v>
      </c>
      <c r="Z418" s="41">
        <f>IFERROR(IF(Z416="",0,Z416),"0")+IFERROR(IF(Z417="",0,Z417),"0")</f>
        <v>2.92292</v>
      </c>
      <c r="AA418" s="64"/>
      <c r="AB418" s="64"/>
      <c r="AC418" s="64"/>
    </row>
    <row r="419" spans="1:68" x14ac:dyDescent="0.2">
      <c r="A419" s="673"/>
      <c r="B419" s="673"/>
      <c r="C419" s="673"/>
      <c r="D419" s="673"/>
      <c r="E419" s="673"/>
      <c r="F419" s="673"/>
      <c r="G419" s="673"/>
      <c r="H419" s="673"/>
      <c r="I419" s="673"/>
      <c r="J419" s="673"/>
      <c r="K419" s="673"/>
      <c r="L419" s="673"/>
      <c r="M419" s="673"/>
      <c r="N419" s="673"/>
      <c r="O419" s="674"/>
      <c r="P419" s="670" t="s">
        <v>40</v>
      </c>
      <c r="Q419" s="671"/>
      <c r="R419" s="671"/>
      <c r="S419" s="671"/>
      <c r="T419" s="671"/>
      <c r="U419" s="671"/>
      <c r="V419" s="672"/>
      <c r="W419" s="40" t="s">
        <v>0</v>
      </c>
      <c r="X419" s="41">
        <f>IFERROR(SUM(X416:X417),"0")</f>
        <v>1370</v>
      </c>
      <c r="Y419" s="41">
        <f>IFERROR(SUM(Y416:Y417),"0")</f>
        <v>1386</v>
      </c>
      <c r="Z419" s="40"/>
      <c r="AA419" s="64"/>
      <c r="AB419" s="64"/>
      <c r="AC419" s="64"/>
    </row>
    <row r="420" spans="1:68" ht="14.25" hidden="1" customHeight="1" x14ac:dyDescent="0.25">
      <c r="A420" s="663" t="s">
        <v>197</v>
      </c>
      <c r="B420" s="663"/>
      <c r="C420" s="663"/>
      <c r="D420" s="663"/>
      <c r="E420" s="663"/>
      <c r="F420" s="663"/>
      <c r="G420" s="663"/>
      <c r="H420" s="663"/>
      <c r="I420" s="663"/>
      <c r="J420" s="663"/>
      <c r="K420" s="663"/>
      <c r="L420" s="663"/>
      <c r="M420" s="663"/>
      <c r="N420" s="663"/>
      <c r="O420" s="663"/>
      <c r="P420" s="663"/>
      <c r="Q420" s="663"/>
      <c r="R420" s="663"/>
      <c r="S420" s="663"/>
      <c r="T420" s="663"/>
      <c r="U420" s="663"/>
      <c r="V420" s="663"/>
      <c r="W420" s="663"/>
      <c r="X420" s="663"/>
      <c r="Y420" s="663"/>
      <c r="Z420" s="663"/>
      <c r="AA420" s="63"/>
      <c r="AB420" s="63"/>
      <c r="AC420" s="63"/>
    </row>
    <row r="421" spans="1:68" ht="16.5" customHeight="1" x14ac:dyDescent="0.25">
      <c r="A421" s="60" t="s">
        <v>693</v>
      </c>
      <c r="B421" s="60" t="s">
        <v>694</v>
      </c>
      <c r="C421" s="34">
        <v>4301060524</v>
      </c>
      <c r="D421" s="664">
        <v>4607091384673</v>
      </c>
      <c r="E421" s="664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151</v>
      </c>
      <c r="L421" s="35" t="s">
        <v>46</v>
      </c>
      <c r="M421" s="36" t="s">
        <v>96</v>
      </c>
      <c r="N421" s="36"/>
      <c r="O421" s="35">
        <v>40</v>
      </c>
      <c r="P421" s="88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666"/>
      <c r="R421" s="666"/>
      <c r="S421" s="666"/>
      <c r="T421" s="667"/>
      <c r="U421" s="37" t="s">
        <v>46</v>
      </c>
      <c r="V421" s="37" t="s">
        <v>46</v>
      </c>
      <c r="W421" s="38" t="s">
        <v>0</v>
      </c>
      <c r="X421" s="56">
        <v>710</v>
      </c>
      <c r="Y421" s="53">
        <f>IFERROR(IF(X421="",0,CEILING((X421/$H421),1)*$H421),"")</f>
        <v>711</v>
      </c>
      <c r="Z421" s="39">
        <f>IFERROR(IF(Y421=0,"",ROUNDUP(Y421/H421,0)*0.01898),"")</f>
        <v>1.49942</v>
      </c>
      <c r="AA421" s="65" t="s">
        <v>46</v>
      </c>
      <c r="AB421" s="66" t="s">
        <v>46</v>
      </c>
      <c r="AC421" s="503" t="s">
        <v>695</v>
      </c>
      <c r="AG421" s="75"/>
      <c r="AJ421" s="79" t="s">
        <v>46</v>
      </c>
      <c r="AK421" s="79">
        <v>0</v>
      </c>
      <c r="BB421" s="504" t="s">
        <v>67</v>
      </c>
      <c r="BM421" s="75">
        <f>IFERROR(X421*I421/H421,"0")</f>
        <v>748.9711111111111</v>
      </c>
      <c r="BN421" s="75">
        <f>IFERROR(Y421*I421/H421,"0")</f>
        <v>750.02599999999995</v>
      </c>
      <c r="BO421" s="75">
        <f>IFERROR(1/J421*(X421/H421),"0")</f>
        <v>1.2326388888888888</v>
      </c>
      <c r="BP421" s="75">
        <f>IFERROR(1/J421*(Y421/H421),"0")</f>
        <v>1.234375</v>
      </c>
    </row>
    <row r="422" spans="1:68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70" t="s">
        <v>40</v>
      </c>
      <c r="Q422" s="671"/>
      <c r="R422" s="671"/>
      <c r="S422" s="671"/>
      <c r="T422" s="671"/>
      <c r="U422" s="671"/>
      <c r="V422" s="672"/>
      <c r="W422" s="40" t="s">
        <v>39</v>
      </c>
      <c r="X422" s="41">
        <f>IFERROR(X421/H421,"0")</f>
        <v>78.888888888888886</v>
      </c>
      <c r="Y422" s="41">
        <f>IFERROR(Y421/H421,"0")</f>
        <v>79</v>
      </c>
      <c r="Z422" s="41">
        <f>IFERROR(IF(Z421="",0,Z421),"0")</f>
        <v>1.49942</v>
      </c>
      <c r="AA422" s="64"/>
      <c r="AB422" s="64"/>
      <c r="AC422" s="64"/>
    </row>
    <row r="423" spans="1:68" x14ac:dyDescent="0.2">
      <c r="A423" s="673"/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4"/>
      <c r="P423" s="670" t="s">
        <v>40</v>
      </c>
      <c r="Q423" s="671"/>
      <c r="R423" s="671"/>
      <c r="S423" s="671"/>
      <c r="T423" s="671"/>
      <c r="U423" s="671"/>
      <c r="V423" s="672"/>
      <c r="W423" s="40" t="s">
        <v>0</v>
      </c>
      <c r="X423" s="41">
        <f>IFERROR(SUM(X421:X421),"0")</f>
        <v>710</v>
      </c>
      <c r="Y423" s="41">
        <f>IFERROR(SUM(Y421:Y421),"0")</f>
        <v>711</v>
      </c>
      <c r="Z423" s="40"/>
      <c r="AA423" s="64"/>
      <c r="AB423" s="64"/>
      <c r="AC423" s="64"/>
    </row>
    <row r="424" spans="1:68" ht="16.5" hidden="1" customHeight="1" x14ac:dyDescent="0.25">
      <c r="A424" s="662" t="s">
        <v>696</v>
      </c>
      <c r="B424" s="662"/>
      <c r="C424" s="662"/>
      <c r="D424" s="662"/>
      <c r="E424" s="662"/>
      <c r="F424" s="662"/>
      <c r="G424" s="662"/>
      <c r="H424" s="662"/>
      <c r="I424" s="662"/>
      <c r="J424" s="662"/>
      <c r="K424" s="662"/>
      <c r="L424" s="662"/>
      <c r="M424" s="662"/>
      <c r="N424" s="662"/>
      <c r="O424" s="662"/>
      <c r="P424" s="662"/>
      <c r="Q424" s="662"/>
      <c r="R424" s="662"/>
      <c r="S424" s="662"/>
      <c r="T424" s="662"/>
      <c r="U424" s="662"/>
      <c r="V424" s="662"/>
      <c r="W424" s="662"/>
      <c r="X424" s="662"/>
      <c r="Y424" s="662"/>
      <c r="Z424" s="662"/>
      <c r="AA424" s="62"/>
      <c r="AB424" s="62"/>
      <c r="AC424" s="62"/>
    </row>
    <row r="425" spans="1:68" ht="14.25" hidden="1" customHeight="1" x14ac:dyDescent="0.25">
      <c r="A425" s="663" t="s">
        <v>146</v>
      </c>
      <c r="B425" s="663"/>
      <c r="C425" s="663"/>
      <c r="D425" s="663"/>
      <c r="E425" s="663"/>
      <c r="F425" s="663"/>
      <c r="G425" s="663"/>
      <c r="H425" s="663"/>
      <c r="I425" s="663"/>
      <c r="J425" s="663"/>
      <c r="K425" s="663"/>
      <c r="L425" s="663"/>
      <c r="M425" s="663"/>
      <c r="N425" s="663"/>
      <c r="O425" s="663"/>
      <c r="P425" s="663"/>
      <c r="Q425" s="663"/>
      <c r="R425" s="663"/>
      <c r="S425" s="663"/>
      <c r="T425" s="663"/>
      <c r="U425" s="663"/>
      <c r="V425" s="663"/>
      <c r="W425" s="663"/>
      <c r="X425" s="663"/>
      <c r="Y425" s="663"/>
      <c r="Z425" s="663"/>
      <c r="AA425" s="63"/>
      <c r="AB425" s="63"/>
      <c r="AC425" s="63"/>
    </row>
    <row r="426" spans="1:68" ht="27" hidden="1" customHeight="1" x14ac:dyDescent="0.25">
      <c r="A426" s="60" t="s">
        <v>697</v>
      </c>
      <c r="B426" s="60" t="s">
        <v>698</v>
      </c>
      <c r="C426" s="34">
        <v>4301011875</v>
      </c>
      <c r="D426" s="664">
        <v>4680115884885</v>
      </c>
      <c r="E426" s="664"/>
      <c r="F426" s="59">
        <v>0.8</v>
      </c>
      <c r="G426" s="35">
        <v>15</v>
      </c>
      <c r="H426" s="59">
        <v>12</v>
      </c>
      <c r="I426" s="59">
        <v>12.41</v>
      </c>
      <c r="J426" s="35">
        <v>64</v>
      </c>
      <c r="K426" s="35" t="s">
        <v>151</v>
      </c>
      <c r="L426" s="35" t="s">
        <v>46</v>
      </c>
      <c r="M426" s="36" t="s">
        <v>83</v>
      </c>
      <c r="N426" s="36"/>
      <c r="O426" s="35">
        <v>60</v>
      </c>
      <c r="P426" s="8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666"/>
      <c r="R426" s="666"/>
      <c r="S426" s="666"/>
      <c r="T426" s="667"/>
      <c r="U426" s="37" t="s">
        <v>46</v>
      </c>
      <c r="V426" s="37" t="s">
        <v>46</v>
      </c>
      <c r="W426" s="38" t="s">
        <v>0</v>
      </c>
      <c r="X426" s="56"/>
      <c r="Y426" s="53">
        <f>IFERROR(IF(X426="",0,CEILING((X426/$H426),1)*$H426),"")</f>
        <v>0</v>
      </c>
      <c r="Z426" s="39" t="str">
        <f>IFERROR(IF(Y426=0,"",ROUNDUP(Y426/H426,0)*0.01898),"")</f>
        <v/>
      </c>
      <c r="AA426" s="65" t="s">
        <v>46</v>
      </c>
      <c r="AB426" s="66" t="s">
        <v>46</v>
      </c>
      <c r="AC426" s="505" t="s">
        <v>699</v>
      </c>
      <c r="AG426" s="75"/>
      <c r="AJ426" s="79" t="s">
        <v>46</v>
      </c>
      <c r="AK426" s="79">
        <v>0</v>
      </c>
      <c r="BB426" s="506" t="s">
        <v>67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t="37.5" hidden="1" customHeight="1" x14ac:dyDescent="0.25">
      <c r="A427" s="60" t="s">
        <v>700</v>
      </c>
      <c r="B427" s="60" t="s">
        <v>701</v>
      </c>
      <c r="C427" s="34">
        <v>4301011871</v>
      </c>
      <c r="D427" s="664">
        <v>4680115884908</v>
      </c>
      <c r="E427" s="664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158</v>
      </c>
      <c r="L427" s="35" t="s">
        <v>46</v>
      </c>
      <c r="M427" s="36" t="s">
        <v>83</v>
      </c>
      <c r="N427" s="36"/>
      <c r="O427" s="35">
        <v>60</v>
      </c>
      <c r="P427" s="88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666"/>
      <c r="R427" s="666"/>
      <c r="S427" s="666"/>
      <c r="T427" s="667"/>
      <c r="U427" s="37" t="s">
        <v>46</v>
      </c>
      <c r="V427" s="37" t="s">
        <v>46</v>
      </c>
      <c r="W427" s="38" t="s">
        <v>0</v>
      </c>
      <c r="X427" s="56"/>
      <c r="Y427" s="53">
        <f>IFERROR(IF(X427="",0,CEILING((X427/$H427),1)*$H427),"")</f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07" t="s">
        <v>699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idden="1" x14ac:dyDescent="0.2">
      <c r="A428" s="673"/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4"/>
      <c r="P428" s="670" t="s">
        <v>40</v>
      </c>
      <c r="Q428" s="671"/>
      <c r="R428" s="671"/>
      <c r="S428" s="671"/>
      <c r="T428" s="671"/>
      <c r="U428" s="671"/>
      <c r="V428" s="672"/>
      <c r="W428" s="40" t="s">
        <v>39</v>
      </c>
      <c r="X428" s="41">
        <f>IFERROR(X426/H426,"0")+IFERROR(X427/H427,"0")</f>
        <v>0</v>
      </c>
      <c r="Y428" s="41">
        <f>IFERROR(Y426/H426,"0")+IFERROR(Y427/H427,"0")</f>
        <v>0</v>
      </c>
      <c r="Z428" s="41">
        <f>IFERROR(IF(Z426="",0,Z426),"0")+IFERROR(IF(Z427="",0,Z427),"0")</f>
        <v>0</v>
      </c>
      <c r="AA428" s="64"/>
      <c r="AB428" s="64"/>
      <c r="AC428" s="64"/>
    </row>
    <row r="429" spans="1:68" hidden="1" x14ac:dyDescent="0.2">
      <c r="A429" s="673"/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4"/>
      <c r="P429" s="670" t="s">
        <v>40</v>
      </c>
      <c r="Q429" s="671"/>
      <c r="R429" s="671"/>
      <c r="S429" s="671"/>
      <c r="T429" s="671"/>
      <c r="U429" s="671"/>
      <c r="V429" s="672"/>
      <c r="W429" s="40" t="s">
        <v>0</v>
      </c>
      <c r="X429" s="41">
        <f>IFERROR(SUM(X426:X427),"0")</f>
        <v>0</v>
      </c>
      <c r="Y429" s="41">
        <f>IFERROR(SUM(Y426:Y427),"0")</f>
        <v>0</v>
      </c>
      <c r="Z429" s="40"/>
      <c r="AA429" s="64"/>
      <c r="AB429" s="64"/>
      <c r="AC429" s="64"/>
    </row>
    <row r="430" spans="1:68" ht="14.25" hidden="1" customHeight="1" x14ac:dyDescent="0.25">
      <c r="A430" s="663" t="s">
        <v>77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3"/>
      <c r="AB430" s="63"/>
      <c r="AC430" s="63"/>
    </row>
    <row r="431" spans="1:68" ht="27" customHeight="1" x14ac:dyDescent="0.25">
      <c r="A431" s="60" t="s">
        <v>702</v>
      </c>
      <c r="B431" s="60" t="s">
        <v>703</v>
      </c>
      <c r="C431" s="34">
        <v>4301031457</v>
      </c>
      <c r="D431" s="664">
        <v>4607091384802</v>
      </c>
      <c r="E431" s="664"/>
      <c r="F431" s="59">
        <v>0.7</v>
      </c>
      <c r="G431" s="35">
        <v>6</v>
      </c>
      <c r="H431" s="59">
        <v>4.2</v>
      </c>
      <c r="I431" s="59">
        <v>4.45</v>
      </c>
      <c r="J431" s="35">
        <v>132</v>
      </c>
      <c r="K431" s="35" t="s">
        <v>158</v>
      </c>
      <c r="L431" s="35" t="s">
        <v>46</v>
      </c>
      <c r="M431" s="36" t="s">
        <v>83</v>
      </c>
      <c r="N431" s="36"/>
      <c r="O431" s="35">
        <v>50</v>
      </c>
      <c r="P431" s="88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666"/>
      <c r="R431" s="666"/>
      <c r="S431" s="666"/>
      <c r="T431" s="667"/>
      <c r="U431" s="37" t="s">
        <v>46</v>
      </c>
      <c r="V431" s="37" t="s">
        <v>46</v>
      </c>
      <c r="W431" s="38" t="s">
        <v>0</v>
      </c>
      <c r="X431" s="56">
        <v>130</v>
      </c>
      <c r="Y431" s="53">
        <f>IFERROR(IF(X431="",0,CEILING((X431/$H431),1)*$H431),"")</f>
        <v>130.20000000000002</v>
      </c>
      <c r="Z431" s="39">
        <f>IFERROR(IF(Y431=0,"",ROUNDUP(Y431/H431,0)*0.00902),"")</f>
        <v>0.27961999999999998</v>
      </c>
      <c r="AA431" s="65" t="s">
        <v>46</v>
      </c>
      <c r="AB431" s="66" t="s">
        <v>46</v>
      </c>
      <c r="AC431" s="509" t="s">
        <v>704</v>
      </c>
      <c r="AG431" s="75"/>
      <c r="AJ431" s="79" t="s">
        <v>46</v>
      </c>
      <c r="AK431" s="79">
        <v>0</v>
      </c>
      <c r="BB431" s="510" t="s">
        <v>67</v>
      </c>
      <c r="BM431" s="75">
        <f>IFERROR(X431*I431/H431,"0")</f>
        <v>137.73809523809524</v>
      </c>
      <c r="BN431" s="75">
        <f>IFERROR(Y431*I431/H431,"0")</f>
        <v>137.95000000000002</v>
      </c>
      <c r="BO431" s="75">
        <f>IFERROR(1/J431*(X431/H431),"0")</f>
        <v>0.23448773448773449</v>
      </c>
      <c r="BP431" s="75">
        <f>IFERROR(1/J431*(Y431/H431),"0")</f>
        <v>0.23484848484848489</v>
      </c>
    </row>
    <row r="432" spans="1:68" x14ac:dyDescent="0.2">
      <c r="A432" s="673"/>
      <c r="B432" s="673"/>
      <c r="C432" s="673"/>
      <c r="D432" s="673"/>
      <c r="E432" s="673"/>
      <c r="F432" s="673"/>
      <c r="G432" s="673"/>
      <c r="H432" s="673"/>
      <c r="I432" s="673"/>
      <c r="J432" s="673"/>
      <c r="K432" s="673"/>
      <c r="L432" s="673"/>
      <c r="M432" s="673"/>
      <c r="N432" s="673"/>
      <c r="O432" s="674"/>
      <c r="P432" s="670" t="s">
        <v>40</v>
      </c>
      <c r="Q432" s="671"/>
      <c r="R432" s="671"/>
      <c r="S432" s="671"/>
      <c r="T432" s="671"/>
      <c r="U432" s="671"/>
      <c r="V432" s="672"/>
      <c r="W432" s="40" t="s">
        <v>39</v>
      </c>
      <c r="X432" s="41">
        <f>IFERROR(X431/H431,"0")</f>
        <v>30.952380952380953</v>
      </c>
      <c r="Y432" s="41">
        <f>IFERROR(Y431/H431,"0")</f>
        <v>31.000000000000004</v>
      </c>
      <c r="Z432" s="41">
        <f>IFERROR(IF(Z431="",0,Z431),"0")</f>
        <v>0.27961999999999998</v>
      </c>
      <c r="AA432" s="64"/>
      <c r="AB432" s="64"/>
      <c r="AC432" s="64"/>
    </row>
    <row r="433" spans="1:68" x14ac:dyDescent="0.2">
      <c r="A433" s="673"/>
      <c r="B433" s="673"/>
      <c r="C433" s="673"/>
      <c r="D433" s="673"/>
      <c r="E433" s="673"/>
      <c r="F433" s="673"/>
      <c r="G433" s="673"/>
      <c r="H433" s="673"/>
      <c r="I433" s="673"/>
      <c r="J433" s="673"/>
      <c r="K433" s="673"/>
      <c r="L433" s="673"/>
      <c r="M433" s="673"/>
      <c r="N433" s="673"/>
      <c r="O433" s="674"/>
      <c r="P433" s="670" t="s">
        <v>40</v>
      </c>
      <c r="Q433" s="671"/>
      <c r="R433" s="671"/>
      <c r="S433" s="671"/>
      <c r="T433" s="671"/>
      <c r="U433" s="671"/>
      <c r="V433" s="672"/>
      <c r="W433" s="40" t="s">
        <v>0</v>
      </c>
      <c r="X433" s="41">
        <f>IFERROR(SUM(X431:X431),"0")</f>
        <v>130</v>
      </c>
      <c r="Y433" s="41">
        <f>IFERROR(SUM(Y431:Y431),"0")</f>
        <v>130.20000000000002</v>
      </c>
      <c r="Z433" s="40"/>
      <c r="AA433" s="64"/>
      <c r="AB433" s="64"/>
      <c r="AC433" s="64"/>
    </row>
    <row r="434" spans="1:68" ht="14.25" hidden="1" customHeight="1" x14ac:dyDescent="0.25">
      <c r="A434" s="663" t="s">
        <v>92</v>
      </c>
      <c r="B434" s="663"/>
      <c r="C434" s="663"/>
      <c r="D434" s="663"/>
      <c r="E434" s="663"/>
      <c r="F434" s="663"/>
      <c r="G434" s="663"/>
      <c r="H434" s="663"/>
      <c r="I434" s="663"/>
      <c r="J434" s="663"/>
      <c r="K434" s="663"/>
      <c r="L434" s="663"/>
      <c r="M434" s="663"/>
      <c r="N434" s="663"/>
      <c r="O434" s="663"/>
      <c r="P434" s="663"/>
      <c r="Q434" s="663"/>
      <c r="R434" s="663"/>
      <c r="S434" s="663"/>
      <c r="T434" s="663"/>
      <c r="U434" s="663"/>
      <c r="V434" s="663"/>
      <c r="W434" s="663"/>
      <c r="X434" s="663"/>
      <c r="Y434" s="663"/>
      <c r="Z434" s="663"/>
      <c r="AA434" s="63"/>
      <c r="AB434" s="63"/>
      <c r="AC434" s="63"/>
    </row>
    <row r="435" spans="1:68" ht="27" customHeight="1" x14ac:dyDescent="0.25">
      <c r="A435" s="60" t="s">
        <v>705</v>
      </c>
      <c r="B435" s="60" t="s">
        <v>706</v>
      </c>
      <c r="C435" s="34">
        <v>4301051899</v>
      </c>
      <c r="D435" s="664">
        <v>4607091384246</v>
      </c>
      <c r="E435" s="664"/>
      <c r="F435" s="59">
        <v>1.5</v>
      </c>
      <c r="G435" s="35">
        <v>6</v>
      </c>
      <c r="H435" s="59">
        <v>9</v>
      </c>
      <c r="I435" s="59">
        <v>9.4939999999999998</v>
      </c>
      <c r="J435" s="35">
        <v>64</v>
      </c>
      <c r="K435" s="35" t="s">
        <v>151</v>
      </c>
      <c r="L435" s="35" t="s">
        <v>46</v>
      </c>
      <c r="M435" s="36" t="s">
        <v>96</v>
      </c>
      <c r="N435" s="36"/>
      <c r="O435" s="35">
        <v>40</v>
      </c>
      <c r="P435" s="88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666"/>
      <c r="R435" s="666"/>
      <c r="S435" s="666"/>
      <c r="T435" s="667"/>
      <c r="U435" s="37" t="s">
        <v>46</v>
      </c>
      <c r="V435" s="37" t="s">
        <v>46</v>
      </c>
      <c r="W435" s="38" t="s">
        <v>0</v>
      </c>
      <c r="X435" s="56">
        <v>200</v>
      </c>
      <c r="Y435" s="53">
        <f>IFERROR(IF(X435="",0,CEILING((X435/$H435),1)*$H435),"")</f>
        <v>207</v>
      </c>
      <c r="Z435" s="39">
        <f>IFERROR(IF(Y435=0,"",ROUNDUP(Y435/H435,0)*0.01898),"")</f>
        <v>0.43653999999999998</v>
      </c>
      <c r="AA435" s="65" t="s">
        <v>46</v>
      </c>
      <c r="AB435" s="66" t="s">
        <v>46</v>
      </c>
      <c r="AC435" s="511" t="s">
        <v>707</v>
      </c>
      <c r="AG435" s="75"/>
      <c r="AJ435" s="79" t="s">
        <v>46</v>
      </c>
      <c r="AK435" s="79">
        <v>0</v>
      </c>
      <c r="BB435" s="512" t="s">
        <v>67</v>
      </c>
      <c r="BM435" s="75">
        <f>IFERROR(X435*I435/H435,"0")</f>
        <v>210.97777777777776</v>
      </c>
      <c r="BN435" s="75">
        <f>IFERROR(Y435*I435/H435,"0")</f>
        <v>218.36199999999999</v>
      </c>
      <c r="BO435" s="75">
        <f>IFERROR(1/J435*(X435/H435),"0")</f>
        <v>0.34722222222222221</v>
      </c>
      <c r="BP435" s="75">
        <f>IFERROR(1/J435*(Y435/H435),"0")</f>
        <v>0.359375</v>
      </c>
    </row>
    <row r="436" spans="1:68" ht="27" hidden="1" customHeight="1" x14ac:dyDescent="0.25">
      <c r="A436" s="60" t="s">
        <v>708</v>
      </c>
      <c r="B436" s="60" t="s">
        <v>709</v>
      </c>
      <c r="C436" s="34">
        <v>4301051660</v>
      </c>
      <c r="D436" s="664">
        <v>4607091384253</v>
      </c>
      <c r="E436" s="664"/>
      <c r="F436" s="59">
        <v>0.4</v>
      </c>
      <c r="G436" s="35">
        <v>6</v>
      </c>
      <c r="H436" s="59">
        <v>2.4</v>
      </c>
      <c r="I436" s="59">
        <v>2.6640000000000001</v>
      </c>
      <c r="J436" s="35">
        <v>182</v>
      </c>
      <c r="K436" s="35" t="s">
        <v>88</v>
      </c>
      <c r="L436" s="35" t="s">
        <v>46</v>
      </c>
      <c r="M436" s="36" t="s">
        <v>96</v>
      </c>
      <c r="N436" s="36"/>
      <c r="O436" s="35">
        <v>40</v>
      </c>
      <c r="P436" s="8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666"/>
      <c r="R436" s="666"/>
      <c r="S436" s="666"/>
      <c r="T436" s="667"/>
      <c r="U436" s="37" t="s">
        <v>46</v>
      </c>
      <c r="V436" s="37" t="s">
        <v>46</v>
      </c>
      <c r="W436" s="38" t="s">
        <v>0</v>
      </c>
      <c r="X436" s="56"/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 t="s">
        <v>46</v>
      </c>
      <c r="AB436" s="66" t="s">
        <v>46</v>
      </c>
      <c r="AC436" s="513" t="s">
        <v>707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hidden="1" customHeight="1" x14ac:dyDescent="0.25">
      <c r="A437" s="60" t="s">
        <v>708</v>
      </c>
      <c r="B437" s="60" t="s">
        <v>710</v>
      </c>
      <c r="C437" s="34">
        <v>4301052069</v>
      </c>
      <c r="D437" s="664">
        <v>4607091384253</v>
      </c>
      <c r="E437" s="664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88</v>
      </c>
      <c r="L437" s="35" t="s">
        <v>46</v>
      </c>
      <c r="M437" s="36" t="s">
        <v>96</v>
      </c>
      <c r="N437" s="36"/>
      <c r="O437" s="35">
        <v>40</v>
      </c>
      <c r="P437" s="88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666"/>
      <c r="R437" s="666"/>
      <c r="S437" s="666"/>
      <c r="T437" s="667"/>
      <c r="U437" s="37" t="s">
        <v>46</v>
      </c>
      <c r="V437" s="37" t="s">
        <v>46</v>
      </c>
      <c r="W437" s="38" t="s">
        <v>0</v>
      </c>
      <c r="X437" s="56"/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711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73"/>
      <c r="B438" s="673"/>
      <c r="C438" s="673"/>
      <c r="D438" s="673"/>
      <c r="E438" s="673"/>
      <c r="F438" s="673"/>
      <c r="G438" s="673"/>
      <c r="H438" s="673"/>
      <c r="I438" s="673"/>
      <c r="J438" s="673"/>
      <c r="K438" s="673"/>
      <c r="L438" s="673"/>
      <c r="M438" s="673"/>
      <c r="N438" s="673"/>
      <c r="O438" s="674"/>
      <c r="P438" s="670" t="s">
        <v>40</v>
      </c>
      <c r="Q438" s="671"/>
      <c r="R438" s="671"/>
      <c r="S438" s="671"/>
      <c r="T438" s="671"/>
      <c r="U438" s="671"/>
      <c r="V438" s="672"/>
      <c r="W438" s="40" t="s">
        <v>39</v>
      </c>
      <c r="X438" s="41">
        <f>IFERROR(X435/H435,"0")+IFERROR(X436/H436,"0")+IFERROR(X437/H437,"0")</f>
        <v>22.222222222222221</v>
      </c>
      <c r="Y438" s="41">
        <f>IFERROR(Y435/H435,"0")+IFERROR(Y436/H436,"0")+IFERROR(Y437/H437,"0")</f>
        <v>23</v>
      </c>
      <c r="Z438" s="41">
        <f>IFERROR(IF(Z435="",0,Z435),"0")+IFERROR(IF(Z436="",0,Z436),"0")+IFERROR(IF(Z437="",0,Z437),"0")</f>
        <v>0.43653999999999998</v>
      </c>
      <c r="AA438" s="64"/>
      <c r="AB438" s="64"/>
      <c r="AC438" s="64"/>
    </row>
    <row r="439" spans="1:68" x14ac:dyDescent="0.2">
      <c r="A439" s="673"/>
      <c r="B439" s="673"/>
      <c r="C439" s="673"/>
      <c r="D439" s="673"/>
      <c r="E439" s="673"/>
      <c r="F439" s="673"/>
      <c r="G439" s="673"/>
      <c r="H439" s="673"/>
      <c r="I439" s="673"/>
      <c r="J439" s="673"/>
      <c r="K439" s="673"/>
      <c r="L439" s="673"/>
      <c r="M439" s="673"/>
      <c r="N439" s="673"/>
      <c r="O439" s="674"/>
      <c r="P439" s="670" t="s">
        <v>40</v>
      </c>
      <c r="Q439" s="671"/>
      <c r="R439" s="671"/>
      <c r="S439" s="671"/>
      <c r="T439" s="671"/>
      <c r="U439" s="671"/>
      <c r="V439" s="672"/>
      <c r="W439" s="40" t="s">
        <v>0</v>
      </c>
      <c r="X439" s="41">
        <f>IFERROR(SUM(X435:X437),"0")</f>
        <v>200</v>
      </c>
      <c r="Y439" s="41">
        <f>IFERROR(SUM(Y435:Y437),"0")</f>
        <v>207</v>
      </c>
      <c r="Z439" s="40"/>
      <c r="AA439" s="64"/>
      <c r="AB439" s="64"/>
      <c r="AC439" s="64"/>
    </row>
    <row r="440" spans="1:68" ht="27.75" hidden="1" customHeight="1" x14ac:dyDescent="0.2">
      <c r="A440" s="661" t="s">
        <v>712</v>
      </c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1"/>
      <c r="P440" s="661"/>
      <c r="Q440" s="661"/>
      <c r="R440" s="661"/>
      <c r="S440" s="661"/>
      <c r="T440" s="661"/>
      <c r="U440" s="661"/>
      <c r="V440" s="661"/>
      <c r="W440" s="661"/>
      <c r="X440" s="661"/>
      <c r="Y440" s="661"/>
      <c r="Z440" s="661"/>
      <c r="AA440" s="52"/>
      <c r="AB440" s="52"/>
      <c r="AC440" s="52"/>
    </row>
    <row r="441" spans="1:68" ht="16.5" hidden="1" customHeight="1" x14ac:dyDescent="0.25">
      <c r="A441" s="662" t="s">
        <v>713</v>
      </c>
      <c r="B441" s="662"/>
      <c r="C441" s="662"/>
      <c r="D441" s="662"/>
      <c r="E441" s="662"/>
      <c r="F441" s="662"/>
      <c r="G441" s="662"/>
      <c r="H441" s="662"/>
      <c r="I441" s="662"/>
      <c r="J441" s="662"/>
      <c r="K441" s="662"/>
      <c r="L441" s="662"/>
      <c r="M441" s="662"/>
      <c r="N441" s="662"/>
      <c r="O441" s="662"/>
      <c r="P441" s="662"/>
      <c r="Q441" s="662"/>
      <c r="R441" s="662"/>
      <c r="S441" s="662"/>
      <c r="T441" s="662"/>
      <c r="U441" s="662"/>
      <c r="V441" s="662"/>
      <c r="W441" s="662"/>
      <c r="X441" s="662"/>
      <c r="Y441" s="662"/>
      <c r="Z441" s="662"/>
      <c r="AA441" s="62"/>
      <c r="AB441" s="62"/>
      <c r="AC441" s="62"/>
    </row>
    <row r="442" spans="1:68" ht="14.25" hidden="1" customHeight="1" x14ac:dyDescent="0.25">
      <c r="A442" s="663" t="s">
        <v>77</v>
      </c>
      <c r="B442" s="663"/>
      <c r="C442" s="663"/>
      <c r="D442" s="663"/>
      <c r="E442" s="663"/>
      <c r="F442" s="663"/>
      <c r="G442" s="663"/>
      <c r="H442" s="663"/>
      <c r="I442" s="663"/>
      <c r="J442" s="663"/>
      <c r="K442" s="663"/>
      <c r="L442" s="663"/>
      <c r="M442" s="663"/>
      <c r="N442" s="663"/>
      <c r="O442" s="663"/>
      <c r="P442" s="663"/>
      <c r="Q442" s="663"/>
      <c r="R442" s="663"/>
      <c r="S442" s="663"/>
      <c r="T442" s="663"/>
      <c r="U442" s="663"/>
      <c r="V442" s="663"/>
      <c r="W442" s="663"/>
      <c r="X442" s="663"/>
      <c r="Y442" s="663"/>
      <c r="Z442" s="663"/>
      <c r="AA442" s="63"/>
      <c r="AB442" s="63"/>
      <c r="AC442" s="63"/>
    </row>
    <row r="443" spans="1:68" ht="27" customHeight="1" x14ac:dyDescent="0.25">
      <c r="A443" s="60" t="s">
        <v>714</v>
      </c>
      <c r="B443" s="60" t="s">
        <v>715</v>
      </c>
      <c r="C443" s="34">
        <v>4301031405</v>
      </c>
      <c r="D443" s="664">
        <v>4680115886100</v>
      </c>
      <c r="E443" s="664"/>
      <c r="F443" s="59">
        <v>0.9</v>
      </c>
      <c r="G443" s="35">
        <v>6</v>
      </c>
      <c r="H443" s="59">
        <v>5.4</v>
      </c>
      <c r="I443" s="59">
        <v>5.59</v>
      </c>
      <c r="J443" s="35">
        <v>132</v>
      </c>
      <c r="K443" s="35" t="s">
        <v>158</v>
      </c>
      <c r="L443" s="35" t="s">
        <v>46</v>
      </c>
      <c r="M443" s="36" t="s">
        <v>83</v>
      </c>
      <c r="N443" s="36"/>
      <c r="O443" s="35">
        <v>50</v>
      </c>
      <c r="P443" s="89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666"/>
      <c r="R443" s="666"/>
      <c r="S443" s="666"/>
      <c r="T443" s="667"/>
      <c r="U443" s="37" t="s">
        <v>46</v>
      </c>
      <c r="V443" s="37" t="s">
        <v>46</v>
      </c>
      <c r="W443" s="38" t="s">
        <v>0</v>
      </c>
      <c r="X443" s="56">
        <v>30</v>
      </c>
      <c r="Y443" s="53">
        <f t="shared" ref="Y443:Y448" si="58">IFERROR(IF(X443="",0,CEILING((X443/$H443),1)*$H443),"")</f>
        <v>32.400000000000006</v>
      </c>
      <c r="Z443" s="39">
        <f>IFERROR(IF(Y443=0,"",ROUNDUP(Y443/H443,0)*0.00902),"")</f>
        <v>5.4120000000000001E-2</v>
      </c>
      <c r="AA443" s="65" t="s">
        <v>46</v>
      </c>
      <c r="AB443" s="66" t="s">
        <v>46</v>
      </c>
      <c r="AC443" s="517" t="s">
        <v>716</v>
      </c>
      <c r="AG443" s="75"/>
      <c r="AJ443" s="79" t="s">
        <v>46</v>
      </c>
      <c r="AK443" s="79">
        <v>0</v>
      </c>
      <c r="BB443" s="518" t="s">
        <v>67</v>
      </c>
      <c r="BM443" s="75">
        <f t="shared" ref="BM443:BM448" si="59">IFERROR(X443*I443/H443,"0")</f>
        <v>31.05555555555555</v>
      </c>
      <c r="BN443" s="75">
        <f t="shared" ref="BN443:BN448" si="60">IFERROR(Y443*I443/H443,"0")</f>
        <v>33.54</v>
      </c>
      <c r="BO443" s="75">
        <f t="shared" ref="BO443:BO448" si="61">IFERROR(1/J443*(X443/H443),"0")</f>
        <v>4.208754208754209E-2</v>
      </c>
      <c r="BP443" s="75">
        <f t="shared" ref="BP443:BP448" si="62">IFERROR(1/J443*(Y443/H443),"0")</f>
        <v>4.5454545454545463E-2</v>
      </c>
    </row>
    <row r="444" spans="1:68" ht="27" customHeight="1" x14ac:dyDescent="0.25">
      <c r="A444" s="60" t="s">
        <v>717</v>
      </c>
      <c r="B444" s="60" t="s">
        <v>718</v>
      </c>
      <c r="C444" s="34">
        <v>4301031402</v>
      </c>
      <c r="D444" s="664">
        <v>4680115886124</v>
      </c>
      <c r="E444" s="664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158</v>
      </c>
      <c r="L444" s="35" t="s">
        <v>46</v>
      </c>
      <c r="M444" s="36" t="s">
        <v>83</v>
      </c>
      <c r="N444" s="36"/>
      <c r="O444" s="35">
        <v>50</v>
      </c>
      <c r="P444" s="8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666"/>
      <c r="R444" s="666"/>
      <c r="S444" s="666"/>
      <c r="T444" s="667"/>
      <c r="U444" s="37" t="s">
        <v>46</v>
      </c>
      <c r="V444" s="37" t="s">
        <v>46</v>
      </c>
      <c r="W444" s="38" t="s">
        <v>0</v>
      </c>
      <c r="X444" s="56">
        <v>250</v>
      </c>
      <c r="Y444" s="53">
        <f t="shared" si="58"/>
        <v>253.8</v>
      </c>
      <c r="Z444" s="39">
        <f>IFERROR(IF(Y444=0,"",ROUNDUP(Y444/H444,0)*0.00902),"")</f>
        <v>0.42393999999999998</v>
      </c>
      <c r="AA444" s="65" t="s">
        <v>46</v>
      </c>
      <c r="AB444" s="66" t="s">
        <v>46</v>
      </c>
      <c r="AC444" s="519" t="s">
        <v>719</v>
      </c>
      <c r="AG444" s="75"/>
      <c r="AJ444" s="79" t="s">
        <v>46</v>
      </c>
      <c r="AK444" s="79">
        <v>0</v>
      </c>
      <c r="BB444" s="520" t="s">
        <v>67</v>
      </c>
      <c r="BM444" s="75">
        <f t="shared" si="59"/>
        <v>258.7962962962963</v>
      </c>
      <c r="BN444" s="75">
        <f t="shared" si="60"/>
        <v>262.72999999999996</v>
      </c>
      <c r="BO444" s="75">
        <f t="shared" si="61"/>
        <v>0.35072951739618402</v>
      </c>
      <c r="BP444" s="75">
        <f t="shared" si="62"/>
        <v>0.35606060606060608</v>
      </c>
    </row>
    <row r="445" spans="1:68" ht="27" hidden="1" customHeight="1" x14ac:dyDescent="0.25">
      <c r="A445" s="60" t="s">
        <v>720</v>
      </c>
      <c r="B445" s="60" t="s">
        <v>721</v>
      </c>
      <c r="C445" s="34">
        <v>4301031362</v>
      </c>
      <c r="D445" s="664">
        <v>4607091384338</v>
      </c>
      <c r="E445" s="664"/>
      <c r="F445" s="59">
        <v>0.35</v>
      </c>
      <c r="G445" s="35">
        <v>6</v>
      </c>
      <c r="H445" s="59">
        <v>2.1</v>
      </c>
      <c r="I445" s="59">
        <v>2.23</v>
      </c>
      <c r="J445" s="35">
        <v>234</v>
      </c>
      <c r="K445" s="35" t="s">
        <v>84</v>
      </c>
      <c r="L445" s="35" t="s">
        <v>46</v>
      </c>
      <c r="M445" s="36" t="s">
        <v>83</v>
      </c>
      <c r="N445" s="36"/>
      <c r="O445" s="35">
        <v>50</v>
      </c>
      <c r="P445" s="8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666"/>
      <c r="R445" s="666"/>
      <c r="S445" s="666"/>
      <c r="T445" s="667"/>
      <c r="U445" s="37" t="s">
        <v>46</v>
      </c>
      <c r="V445" s="37" t="s">
        <v>46</v>
      </c>
      <c r="W445" s="38" t="s">
        <v>0</v>
      </c>
      <c r="X445" s="56"/>
      <c r="Y445" s="53">
        <f t="shared" si="58"/>
        <v>0</v>
      </c>
      <c r="Z445" s="39" t="str">
        <f>IFERROR(IF(Y445=0,"",ROUNDUP(Y445/H445,0)*0.00502),"")</f>
        <v/>
      </c>
      <c r="AA445" s="65" t="s">
        <v>46</v>
      </c>
      <c r="AB445" s="66" t="s">
        <v>46</v>
      </c>
      <c r="AC445" s="521" t="s">
        <v>716</v>
      </c>
      <c r="AG445" s="75"/>
      <c r="AJ445" s="79" t="s">
        <v>46</v>
      </c>
      <c r="AK445" s="79">
        <v>0</v>
      </c>
      <c r="BB445" s="522" t="s">
        <v>67</v>
      </c>
      <c r="BM445" s="75">
        <f t="shared" si="59"/>
        <v>0</v>
      </c>
      <c r="BN445" s="75">
        <f t="shared" si="60"/>
        <v>0</v>
      </c>
      <c r="BO445" s="75">
        <f t="shared" si="61"/>
        <v>0</v>
      </c>
      <c r="BP445" s="75">
        <f t="shared" si="62"/>
        <v>0</v>
      </c>
    </row>
    <row r="446" spans="1:68" ht="27" hidden="1" customHeight="1" x14ac:dyDescent="0.25">
      <c r="A446" s="60" t="s">
        <v>722</v>
      </c>
      <c r="B446" s="60" t="s">
        <v>723</v>
      </c>
      <c r="C446" s="34">
        <v>4301031364</v>
      </c>
      <c r="D446" s="664">
        <v>4680115883161</v>
      </c>
      <c r="E446" s="664"/>
      <c r="F446" s="59">
        <v>0.28000000000000003</v>
      </c>
      <c r="G446" s="35">
        <v>6</v>
      </c>
      <c r="H446" s="59">
        <v>1.68</v>
      </c>
      <c r="I446" s="59">
        <v>1.81</v>
      </c>
      <c r="J446" s="35">
        <v>234</v>
      </c>
      <c r="K446" s="35" t="s">
        <v>84</v>
      </c>
      <c r="L446" s="35" t="s">
        <v>46</v>
      </c>
      <c r="M446" s="36" t="s">
        <v>83</v>
      </c>
      <c r="N446" s="36"/>
      <c r="O446" s="35">
        <v>50</v>
      </c>
      <c r="P446" s="8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666"/>
      <c r="R446" s="666"/>
      <c r="S446" s="666"/>
      <c r="T446" s="667"/>
      <c r="U446" s="37" t="s">
        <v>46</v>
      </c>
      <c r="V446" s="37" t="s">
        <v>46</v>
      </c>
      <c r="W446" s="38" t="s">
        <v>0</v>
      </c>
      <c r="X446" s="56"/>
      <c r="Y446" s="53">
        <f t="shared" si="58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724</v>
      </c>
      <c r="AG446" s="75"/>
      <c r="AJ446" s="79" t="s">
        <v>46</v>
      </c>
      <c r="AK446" s="79">
        <v>0</v>
      </c>
      <c r="BB446" s="524" t="s">
        <v>67</v>
      </c>
      <c r="BM446" s="75">
        <f t="shared" si="59"/>
        <v>0</v>
      </c>
      <c r="BN446" s="75">
        <f t="shared" si="60"/>
        <v>0</v>
      </c>
      <c r="BO446" s="75">
        <f t="shared" si="61"/>
        <v>0</v>
      </c>
      <c r="BP446" s="75">
        <f t="shared" si="62"/>
        <v>0</v>
      </c>
    </row>
    <row r="447" spans="1:68" ht="27" hidden="1" customHeight="1" x14ac:dyDescent="0.25">
      <c r="A447" s="60" t="s">
        <v>725</v>
      </c>
      <c r="B447" s="60" t="s">
        <v>726</v>
      </c>
      <c r="C447" s="34">
        <v>4301031358</v>
      </c>
      <c r="D447" s="664">
        <v>4607091389531</v>
      </c>
      <c r="E447" s="664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84</v>
      </c>
      <c r="L447" s="35" t="s">
        <v>46</v>
      </c>
      <c r="M447" s="36" t="s">
        <v>83</v>
      </c>
      <c r="N447" s="36"/>
      <c r="O447" s="35">
        <v>50</v>
      </c>
      <c r="P447" s="8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666"/>
      <c r="R447" s="666"/>
      <c r="S447" s="666"/>
      <c r="T447" s="667"/>
      <c r="U447" s="37" t="s">
        <v>46</v>
      </c>
      <c r="V447" s="37" t="s">
        <v>46</v>
      </c>
      <c r="W447" s="38" t="s">
        <v>0</v>
      </c>
      <c r="X447" s="56"/>
      <c r="Y447" s="53">
        <f t="shared" si="58"/>
        <v>0</v>
      </c>
      <c r="Z447" s="39" t="str">
        <f>IFERROR(IF(Y447=0,"",ROUNDUP(Y447/H447,0)*0.00502),"")</f>
        <v/>
      </c>
      <c r="AA447" s="65" t="s">
        <v>46</v>
      </c>
      <c r="AB447" s="66" t="s">
        <v>46</v>
      </c>
      <c r="AC447" s="525" t="s">
        <v>727</v>
      </c>
      <c r="AG447" s="75"/>
      <c r="AJ447" s="79" t="s">
        <v>46</v>
      </c>
      <c r="AK447" s="79">
        <v>0</v>
      </c>
      <c r="BB447" s="526" t="s">
        <v>67</v>
      </c>
      <c r="BM447" s="75">
        <f t="shared" si="59"/>
        <v>0</v>
      </c>
      <c r="BN447" s="75">
        <f t="shared" si="60"/>
        <v>0</v>
      </c>
      <c r="BO447" s="75">
        <f t="shared" si="61"/>
        <v>0</v>
      </c>
      <c r="BP447" s="75">
        <f t="shared" si="62"/>
        <v>0</v>
      </c>
    </row>
    <row r="448" spans="1:68" ht="37.5" hidden="1" customHeight="1" x14ac:dyDescent="0.25">
      <c r="A448" s="60" t="s">
        <v>728</v>
      </c>
      <c r="B448" s="60" t="s">
        <v>729</v>
      </c>
      <c r="C448" s="34">
        <v>4301031360</v>
      </c>
      <c r="D448" s="664">
        <v>4607091384345</v>
      </c>
      <c r="E448" s="664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84</v>
      </c>
      <c r="L448" s="35" t="s">
        <v>46</v>
      </c>
      <c r="M448" s="36" t="s">
        <v>83</v>
      </c>
      <c r="N448" s="36"/>
      <c r="O448" s="35">
        <v>50</v>
      </c>
      <c r="P448" s="8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666"/>
      <c r="R448" s="666"/>
      <c r="S448" s="666"/>
      <c r="T448" s="667"/>
      <c r="U448" s="37" t="s">
        <v>46</v>
      </c>
      <c r="V448" s="37" t="s">
        <v>46</v>
      </c>
      <c r="W448" s="38" t="s">
        <v>0</v>
      </c>
      <c r="X448" s="56"/>
      <c r="Y448" s="53">
        <f t="shared" si="58"/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724</v>
      </c>
      <c r="AG448" s="75"/>
      <c r="AJ448" s="79" t="s">
        <v>46</v>
      </c>
      <c r="AK448" s="79">
        <v>0</v>
      </c>
      <c r="BB448" s="528" t="s">
        <v>67</v>
      </c>
      <c r="BM448" s="75">
        <f t="shared" si="59"/>
        <v>0</v>
      </c>
      <c r="BN448" s="75">
        <f t="shared" si="60"/>
        <v>0</v>
      </c>
      <c r="BO448" s="75">
        <f t="shared" si="61"/>
        <v>0</v>
      </c>
      <c r="BP448" s="75">
        <f t="shared" si="62"/>
        <v>0</v>
      </c>
    </row>
    <row r="449" spans="1:68" x14ac:dyDescent="0.2">
      <c r="A449" s="673"/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4"/>
      <c r="P449" s="670" t="s">
        <v>40</v>
      </c>
      <c r="Q449" s="671"/>
      <c r="R449" s="671"/>
      <c r="S449" s="671"/>
      <c r="T449" s="671"/>
      <c r="U449" s="671"/>
      <c r="V449" s="672"/>
      <c r="W449" s="40" t="s">
        <v>39</v>
      </c>
      <c r="X449" s="41">
        <f>IFERROR(X443/H443,"0")+IFERROR(X444/H444,"0")+IFERROR(X445/H445,"0")+IFERROR(X446/H446,"0")+IFERROR(X447/H447,"0")+IFERROR(X448/H448,"0")</f>
        <v>51.851851851851848</v>
      </c>
      <c r="Y449" s="41">
        <f>IFERROR(Y443/H443,"0")+IFERROR(Y444/H444,"0")+IFERROR(Y445/H445,"0")+IFERROR(Y446/H446,"0")+IFERROR(Y447/H447,"0")+IFERROR(Y448/H448,"0")</f>
        <v>53</v>
      </c>
      <c r="Z449" s="41">
        <f>IFERROR(IF(Z443="",0,Z443),"0")+IFERROR(IF(Z444="",0,Z444),"0")+IFERROR(IF(Z445="",0,Z445),"0")+IFERROR(IF(Z446="",0,Z446),"0")+IFERROR(IF(Z447="",0,Z447),"0")+IFERROR(IF(Z448="",0,Z448),"0")</f>
        <v>0.47805999999999998</v>
      </c>
      <c r="AA449" s="64"/>
      <c r="AB449" s="64"/>
      <c r="AC449" s="64"/>
    </row>
    <row r="450" spans="1:68" x14ac:dyDescent="0.2">
      <c r="A450" s="673"/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4"/>
      <c r="P450" s="670" t="s">
        <v>40</v>
      </c>
      <c r="Q450" s="671"/>
      <c r="R450" s="671"/>
      <c r="S450" s="671"/>
      <c r="T450" s="671"/>
      <c r="U450" s="671"/>
      <c r="V450" s="672"/>
      <c r="W450" s="40" t="s">
        <v>0</v>
      </c>
      <c r="X450" s="41">
        <f>IFERROR(SUM(X443:X448),"0")</f>
        <v>280</v>
      </c>
      <c r="Y450" s="41">
        <f>IFERROR(SUM(Y443:Y448),"0")</f>
        <v>286.20000000000005</v>
      </c>
      <c r="Z450" s="40"/>
      <c r="AA450" s="64"/>
      <c r="AB450" s="64"/>
      <c r="AC450" s="64"/>
    </row>
    <row r="451" spans="1:68" ht="14.25" hidden="1" customHeight="1" x14ac:dyDescent="0.25">
      <c r="A451" s="663" t="s">
        <v>92</v>
      </c>
      <c r="B451" s="663"/>
      <c r="C451" s="663"/>
      <c r="D451" s="663"/>
      <c r="E451" s="663"/>
      <c r="F451" s="663"/>
      <c r="G451" s="663"/>
      <c r="H451" s="663"/>
      <c r="I451" s="663"/>
      <c r="J451" s="663"/>
      <c r="K451" s="663"/>
      <c r="L451" s="663"/>
      <c r="M451" s="663"/>
      <c r="N451" s="663"/>
      <c r="O451" s="663"/>
      <c r="P451" s="663"/>
      <c r="Q451" s="663"/>
      <c r="R451" s="663"/>
      <c r="S451" s="663"/>
      <c r="T451" s="663"/>
      <c r="U451" s="663"/>
      <c r="V451" s="663"/>
      <c r="W451" s="663"/>
      <c r="X451" s="663"/>
      <c r="Y451" s="663"/>
      <c r="Z451" s="663"/>
      <c r="AA451" s="63"/>
      <c r="AB451" s="63"/>
      <c r="AC451" s="63"/>
    </row>
    <row r="452" spans="1:68" ht="27" hidden="1" customHeight="1" x14ac:dyDescent="0.25">
      <c r="A452" s="60" t="s">
        <v>730</v>
      </c>
      <c r="B452" s="60" t="s">
        <v>731</v>
      </c>
      <c r="C452" s="34">
        <v>4301051284</v>
      </c>
      <c r="D452" s="664">
        <v>4607091384352</v>
      </c>
      <c r="E452" s="664"/>
      <c r="F452" s="59">
        <v>0.6</v>
      </c>
      <c r="G452" s="35">
        <v>4</v>
      </c>
      <c r="H452" s="59">
        <v>2.4</v>
      </c>
      <c r="I452" s="59">
        <v>2.6259999999999999</v>
      </c>
      <c r="J452" s="35">
        <v>132</v>
      </c>
      <c r="K452" s="35" t="s">
        <v>158</v>
      </c>
      <c r="L452" s="35" t="s">
        <v>46</v>
      </c>
      <c r="M452" s="36" t="s">
        <v>96</v>
      </c>
      <c r="N452" s="36"/>
      <c r="O452" s="35">
        <v>45</v>
      </c>
      <c r="P452" s="89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666"/>
      <c r="R452" s="666"/>
      <c r="S452" s="666"/>
      <c r="T452" s="66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29" t="s">
        <v>732</v>
      </c>
      <c r="AG452" s="75"/>
      <c r="AJ452" s="79" t="s">
        <v>46</v>
      </c>
      <c r="AK452" s="79">
        <v>0</v>
      </c>
      <c r="BB452" s="530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hidden="1" customHeight="1" x14ac:dyDescent="0.25">
      <c r="A453" s="60" t="s">
        <v>733</v>
      </c>
      <c r="B453" s="60" t="s">
        <v>734</v>
      </c>
      <c r="C453" s="34">
        <v>4301051431</v>
      </c>
      <c r="D453" s="664">
        <v>4607091389654</v>
      </c>
      <c r="E453" s="664"/>
      <c r="F453" s="59">
        <v>0.33</v>
      </c>
      <c r="G453" s="35">
        <v>6</v>
      </c>
      <c r="H453" s="59">
        <v>1.98</v>
      </c>
      <c r="I453" s="59">
        <v>2.238</v>
      </c>
      <c r="J453" s="35">
        <v>182</v>
      </c>
      <c r="K453" s="35" t="s">
        <v>88</v>
      </c>
      <c r="L453" s="35" t="s">
        <v>46</v>
      </c>
      <c r="M453" s="36" t="s">
        <v>96</v>
      </c>
      <c r="N453" s="36"/>
      <c r="O453" s="35">
        <v>45</v>
      </c>
      <c r="P453" s="8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666"/>
      <c r="R453" s="666"/>
      <c r="S453" s="666"/>
      <c r="T453" s="667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46</v>
      </c>
      <c r="AB453" s="66" t="s">
        <v>46</v>
      </c>
      <c r="AC453" s="531" t="s">
        <v>735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70" t="s">
        <v>40</v>
      </c>
      <c r="Q454" s="671"/>
      <c r="R454" s="671"/>
      <c r="S454" s="671"/>
      <c r="T454" s="671"/>
      <c r="U454" s="671"/>
      <c r="V454" s="672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73"/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4"/>
      <c r="P455" s="670" t="s">
        <v>40</v>
      </c>
      <c r="Q455" s="671"/>
      <c r="R455" s="671"/>
      <c r="S455" s="671"/>
      <c r="T455" s="671"/>
      <c r="U455" s="671"/>
      <c r="V455" s="672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662" t="s">
        <v>736</v>
      </c>
      <c r="B456" s="662"/>
      <c r="C456" s="662"/>
      <c r="D456" s="662"/>
      <c r="E456" s="662"/>
      <c r="F456" s="662"/>
      <c r="G456" s="662"/>
      <c r="H456" s="662"/>
      <c r="I456" s="662"/>
      <c r="J456" s="662"/>
      <c r="K456" s="662"/>
      <c r="L456" s="662"/>
      <c r="M456" s="662"/>
      <c r="N456" s="662"/>
      <c r="O456" s="662"/>
      <c r="P456" s="662"/>
      <c r="Q456" s="662"/>
      <c r="R456" s="662"/>
      <c r="S456" s="662"/>
      <c r="T456" s="662"/>
      <c r="U456" s="662"/>
      <c r="V456" s="662"/>
      <c r="W456" s="662"/>
      <c r="X456" s="662"/>
      <c r="Y456" s="662"/>
      <c r="Z456" s="662"/>
      <c r="AA456" s="62"/>
      <c r="AB456" s="62"/>
      <c r="AC456" s="62"/>
    </row>
    <row r="457" spans="1:68" ht="14.25" hidden="1" customHeight="1" x14ac:dyDescent="0.25">
      <c r="A457" s="663" t="s">
        <v>180</v>
      </c>
      <c r="B457" s="663"/>
      <c r="C457" s="663"/>
      <c r="D457" s="663"/>
      <c r="E457" s="663"/>
      <c r="F457" s="663"/>
      <c r="G457" s="663"/>
      <c r="H457" s="663"/>
      <c r="I457" s="663"/>
      <c r="J457" s="663"/>
      <c r="K457" s="663"/>
      <c r="L457" s="663"/>
      <c r="M457" s="663"/>
      <c r="N457" s="663"/>
      <c r="O457" s="663"/>
      <c r="P457" s="663"/>
      <c r="Q457" s="663"/>
      <c r="R457" s="663"/>
      <c r="S457" s="663"/>
      <c r="T457" s="663"/>
      <c r="U457" s="663"/>
      <c r="V457" s="663"/>
      <c r="W457" s="663"/>
      <c r="X457" s="663"/>
      <c r="Y457" s="663"/>
      <c r="Z457" s="663"/>
      <c r="AA457" s="63"/>
      <c r="AB457" s="63"/>
      <c r="AC457" s="63"/>
    </row>
    <row r="458" spans="1:68" ht="27" hidden="1" customHeight="1" x14ac:dyDescent="0.25">
      <c r="A458" s="60" t="s">
        <v>737</v>
      </c>
      <c r="B458" s="60" t="s">
        <v>738</v>
      </c>
      <c r="C458" s="34">
        <v>4301020416</v>
      </c>
      <c r="D458" s="664">
        <v>4680115885240</v>
      </c>
      <c r="E458" s="664"/>
      <c r="F458" s="59">
        <v>0.35</v>
      </c>
      <c r="G458" s="35">
        <v>6</v>
      </c>
      <c r="H458" s="59">
        <v>2.1</v>
      </c>
      <c r="I458" s="59">
        <v>2.31</v>
      </c>
      <c r="J458" s="35">
        <v>182</v>
      </c>
      <c r="K458" s="35" t="s">
        <v>88</v>
      </c>
      <c r="L458" s="35" t="s">
        <v>46</v>
      </c>
      <c r="M458" s="36" t="s">
        <v>83</v>
      </c>
      <c r="N458" s="36"/>
      <c r="O458" s="35">
        <v>40</v>
      </c>
      <c r="P458" s="8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666"/>
      <c r="R458" s="666"/>
      <c r="S458" s="666"/>
      <c r="T458" s="667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 t="s">
        <v>46</v>
      </c>
      <c r="AB458" s="66" t="s">
        <v>46</v>
      </c>
      <c r="AC458" s="533" t="s">
        <v>739</v>
      </c>
      <c r="AG458" s="75"/>
      <c r="AJ458" s="79" t="s">
        <v>46</v>
      </c>
      <c r="AK458" s="79">
        <v>0</v>
      </c>
      <c r="BB458" s="534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idden="1" x14ac:dyDescent="0.2">
      <c r="A459" s="673"/>
      <c r="B459" s="673"/>
      <c r="C459" s="673"/>
      <c r="D459" s="673"/>
      <c r="E459" s="673"/>
      <c r="F459" s="673"/>
      <c r="G459" s="673"/>
      <c r="H459" s="673"/>
      <c r="I459" s="673"/>
      <c r="J459" s="673"/>
      <c r="K459" s="673"/>
      <c r="L459" s="673"/>
      <c r="M459" s="673"/>
      <c r="N459" s="673"/>
      <c r="O459" s="674"/>
      <c r="P459" s="670" t="s">
        <v>40</v>
      </c>
      <c r="Q459" s="671"/>
      <c r="R459" s="671"/>
      <c r="S459" s="671"/>
      <c r="T459" s="671"/>
      <c r="U459" s="671"/>
      <c r="V459" s="672"/>
      <c r="W459" s="40" t="s">
        <v>39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hidden="1" x14ac:dyDescent="0.2">
      <c r="A460" s="673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70" t="s">
        <v>40</v>
      </c>
      <c r="Q460" s="671"/>
      <c r="R460" s="671"/>
      <c r="S460" s="671"/>
      <c r="T460" s="671"/>
      <c r="U460" s="671"/>
      <c r="V460" s="672"/>
      <c r="W460" s="40" t="s">
        <v>0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hidden="1" customHeight="1" x14ac:dyDescent="0.25">
      <c r="A461" s="663" t="s">
        <v>77</v>
      </c>
      <c r="B461" s="663"/>
      <c r="C461" s="663"/>
      <c r="D461" s="663"/>
      <c r="E461" s="663"/>
      <c r="F461" s="663"/>
      <c r="G461" s="663"/>
      <c r="H461" s="663"/>
      <c r="I461" s="663"/>
      <c r="J461" s="663"/>
      <c r="K461" s="663"/>
      <c r="L461" s="663"/>
      <c r="M461" s="663"/>
      <c r="N461" s="663"/>
      <c r="O461" s="663"/>
      <c r="P461" s="663"/>
      <c r="Q461" s="663"/>
      <c r="R461" s="663"/>
      <c r="S461" s="663"/>
      <c r="T461" s="663"/>
      <c r="U461" s="663"/>
      <c r="V461" s="663"/>
      <c r="W461" s="663"/>
      <c r="X461" s="663"/>
      <c r="Y461" s="663"/>
      <c r="Z461" s="663"/>
      <c r="AA461" s="63"/>
      <c r="AB461" s="63"/>
      <c r="AC461" s="63"/>
    </row>
    <row r="462" spans="1:68" ht="27" customHeight="1" x14ac:dyDescent="0.25">
      <c r="A462" s="60" t="s">
        <v>740</v>
      </c>
      <c r="B462" s="60" t="s">
        <v>741</v>
      </c>
      <c r="C462" s="34">
        <v>4301031407</v>
      </c>
      <c r="D462" s="664">
        <v>4680115886094</v>
      </c>
      <c r="E462" s="664"/>
      <c r="F462" s="59">
        <v>0.9</v>
      </c>
      <c r="G462" s="35">
        <v>6</v>
      </c>
      <c r="H462" s="59">
        <v>5.4</v>
      </c>
      <c r="I462" s="59">
        <v>5.59</v>
      </c>
      <c r="J462" s="35">
        <v>132</v>
      </c>
      <c r="K462" s="35" t="s">
        <v>158</v>
      </c>
      <c r="L462" s="35" t="s">
        <v>46</v>
      </c>
      <c r="M462" s="36" t="s">
        <v>83</v>
      </c>
      <c r="N462" s="36"/>
      <c r="O462" s="35">
        <v>50</v>
      </c>
      <c r="P462" s="8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666"/>
      <c r="R462" s="666"/>
      <c r="S462" s="666"/>
      <c r="T462" s="667"/>
      <c r="U462" s="37" t="s">
        <v>46</v>
      </c>
      <c r="V462" s="37" t="s">
        <v>46</v>
      </c>
      <c r="W462" s="38" t="s">
        <v>0</v>
      </c>
      <c r="X462" s="56">
        <v>350</v>
      </c>
      <c r="Y462" s="53">
        <f>IFERROR(IF(X462="",0,CEILING((X462/$H462),1)*$H462),"")</f>
        <v>351</v>
      </c>
      <c r="Z462" s="39">
        <f>IFERROR(IF(Y462=0,"",ROUNDUP(Y462/H462,0)*0.00902),"")</f>
        <v>0.58630000000000004</v>
      </c>
      <c r="AA462" s="65" t="s">
        <v>46</v>
      </c>
      <c r="AB462" s="66" t="s">
        <v>46</v>
      </c>
      <c r="AC462" s="535" t="s">
        <v>742</v>
      </c>
      <c r="AG462" s="75"/>
      <c r="AJ462" s="79" t="s">
        <v>46</v>
      </c>
      <c r="AK462" s="79">
        <v>0</v>
      </c>
      <c r="BB462" s="536" t="s">
        <v>67</v>
      </c>
      <c r="BM462" s="75">
        <f>IFERROR(X462*I462/H462,"0")</f>
        <v>362.31481481481478</v>
      </c>
      <c r="BN462" s="75">
        <f>IFERROR(Y462*I462/H462,"0")</f>
        <v>363.34999999999997</v>
      </c>
      <c r="BO462" s="75">
        <f>IFERROR(1/J462*(X462/H462),"0")</f>
        <v>0.49102132435465767</v>
      </c>
      <c r="BP462" s="75">
        <f>IFERROR(1/J462*(Y462/H462),"0")</f>
        <v>0.49242424242424243</v>
      </c>
    </row>
    <row r="463" spans="1:68" ht="27" hidden="1" customHeight="1" x14ac:dyDescent="0.25">
      <c r="A463" s="60" t="s">
        <v>743</v>
      </c>
      <c r="B463" s="60" t="s">
        <v>744</v>
      </c>
      <c r="C463" s="34">
        <v>4301031373</v>
      </c>
      <c r="D463" s="664">
        <v>4680115880771</v>
      </c>
      <c r="E463" s="664"/>
      <c r="F463" s="59">
        <v>0.28000000000000003</v>
      </c>
      <c r="G463" s="35">
        <v>6</v>
      </c>
      <c r="H463" s="59">
        <v>1.68</v>
      </c>
      <c r="I463" s="59">
        <v>1.81</v>
      </c>
      <c r="J463" s="35">
        <v>234</v>
      </c>
      <c r="K463" s="35" t="s">
        <v>84</v>
      </c>
      <c r="L463" s="35" t="s">
        <v>46</v>
      </c>
      <c r="M463" s="36" t="s">
        <v>83</v>
      </c>
      <c r="N463" s="36"/>
      <c r="O463" s="35">
        <v>50</v>
      </c>
      <c r="P463" s="90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666"/>
      <c r="R463" s="666"/>
      <c r="S463" s="666"/>
      <c r="T463" s="667"/>
      <c r="U463" s="37" t="s">
        <v>46</v>
      </c>
      <c r="V463" s="37" t="s">
        <v>46</v>
      </c>
      <c r="W463" s="38" t="s">
        <v>0</v>
      </c>
      <c r="X463" s="56"/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 t="s">
        <v>46</v>
      </c>
      <c r="AB463" s="66" t="s">
        <v>46</v>
      </c>
      <c r="AC463" s="537" t="s">
        <v>745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hidden="1" customHeight="1" x14ac:dyDescent="0.25">
      <c r="A464" s="60" t="s">
        <v>746</v>
      </c>
      <c r="B464" s="60" t="s">
        <v>747</v>
      </c>
      <c r="C464" s="34">
        <v>4301031359</v>
      </c>
      <c r="D464" s="664">
        <v>4607091389500</v>
      </c>
      <c r="E464" s="664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84</v>
      </c>
      <c r="L464" s="35" t="s">
        <v>46</v>
      </c>
      <c r="M464" s="36" t="s">
        <v>83</v>
      </c>
      <c r="N464" s="36"/>
      <c r="O464" s="35">
        <v>50</v>
      </c>
      <c r="P464" s="90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666"/>
      <c r="R464" s="666"/>
      <c r="S464" s="666"/>
      <c r="T464" s="667"/>
      <c r="U464" s="37" t="s">
        <v>46</v>
      </c>
      <c r="V464" s="37" t="s">
        <v>46</v>
      </c>
      <c r="W464" s="38" t="s">
        <v>0</v>
      </c>
      <c r="X464" s="56"/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745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x14ac:dyDescent="0.2">
      <c r="A465" s="673"/>
      <c r="B465" s="673"/>
      <c r="C465" s="673"/>
      <c r="D465" s="673"/>
      <c r="E465" s="673"/>
      <c r="F465" s="673"/>
      <c r="G465" s="673"/>
      <c r="H465" s="673"/>
      <c r="I465" s="673"/>
      <c r="J465" s="673"/>
      <c r="K465" s="673"/>
      <c r="L465" s="673"/>
      <c r="M465" s="673"/>
      <c r="N465" s="673"/>
      <c r="O465" s="674"/>
      <c r="P465" s="670" t="s">
        <v>40</v>
      </c>
      <c r="Q465" s="671"/>
      <c r="R465" s="671"/>
      <c r="S465" s="671"/>
      <c r="T465" s="671"/>
      <c r="U465" s="671"/>
      <c r="V465" s="672"/>
      <c r="W465" s="40" t="s">
        <v>39</v>
      </c>
      <c r="X465" s="41">
        <f>IFERROR(X462/H462,"0")+IFERROR(X463/H463,"0")+IFERROR(X464/H464,"0")</f>
        <v>64.81481481481481</v>
      </c>
      <c r="Y465" s="41">
        <f>IFERROR(Y462/H462,"0")+IFERROR(Y463/H463,"0")+IFERROR(Y464/H464,"0")</f>
        <v>65</v>
      </c>
      <c r="Z465" s="41">
        <f>IFERROR(IF(Z462="",0,Z462),"0")+IFERROR(IF(Z463="",0,Z463),"0")+IFERROR(IF(Z464="",0,Z464),"0")</f>
        <v>0.58630000000000004</v>
      </c>
      <c r="AA465" s="64"/>
      <c r="AB465" s="64"/>
      <c r="AC465" s="64"/>
    </row>
    <row r="466" spans="1:68" x14ac:dyDescent="0.2">
      <c r="A466" s="673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70" t="s">
        <v>40</v>
      </c>
      <c r="Q466" s="671"/>
      <c r="R466" s="671"/>
      <c r="S466" s="671"/>
      <c r="T466" s="671"/>
      <c r="U466" s="671"/>
      <c r="V466" s="672"/>
      <c r="W466" s="40" t="s">
        <v>0</v>
      </c>
      <c r="X466" s="41">
        <f>IFERROR(SUM(X462:X464),"0")</f>
        <v>350</v>
      </c>
      <c r="Y466" s="41">
        <f>IFERROR(SUM(Y462:Y464),"0")</f>
        <v>351</v>
      </c>
      <c r="Z466" s="40"/>
      <c r="AA466" s="64"/>
      <c r="AB466" s="64"/>
      <c r="AC466" s="64"/>
    </row>
    <row r="467" spans="1:68" ht="27.75" hidden="1" customHeight="1" x14ac:dyDescent="0.2">
      <c r="A467" s="661" t="s">
        <v>748</v>
      </c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1"/>
      <c r="P467" s="661"/>
      <c r="Q467" s="661"/>
      <c r="R467" s="661"/>
      <c r="S467" s="661"/>
      <c r="T467" s="661"/>
      <c r="U467" s="661"/>
      <c r="V467" s="661"/>
      <c r="W467" s="661"/>
      <c r="X467" s="661"/>
      <c r="Y467" s="661"/>
      <c r="Z467" s="661"/>
      <c r="AA467" s="52"/>
      <c r="AB467" s="52"/>
      <c r="AC467" s="52"/>
    </row>
    <row r="468" spans="1:68" ht="16.5" hidden="1" customHeight="1" x14ac:dyDescent="0.25">
      <c r="A468" s="662" t="s">
        <v>748</v>
      </c>
      <c r="B468" s="662"/>
      <c r="C468" s="662"/>
      <c r="D468" s="662"/>
      <c r="E468" s="662"/>
      <c r="F468" s="662"/>
      <c r="G468" s="662"/>
      <c r="H468" s="662"/>
      <c r="I468" s="662"/>
      <c r="J468" s="662"/>
      <c r="K468" s="662"/>
      <c r="L468" s="662"/>
      <c r="M468" s="662"/>
      <c r="N468" s="662"/>
      <c r="O468" s="662"/>
      <c r="P468" s="662"/>
      <c r="Q468" s="662"/>
      <c r="R468" s="662"/>
      <c r="S468" s="662"/>
      <c r="T468" s="662"/>
      <c r="U468" s="662"/>
      <c r="V468" s="662"/>
      <c r="W468" s="662"/>
      <c r="X468" s="662"/>
      <c r="Y468" s="662"/>
      <c r="Z468" s="662"/>
      <c r="AA468" s="62"/>
      <c r="AB468" s="62"/>
      <c r="AC468" s="62"/>
    </row>
    <row r="469" spans="1:68" ht="14.25" hidden="1" customHeight="1" x14ac:dyDescent="0.25">
      <c r="A469" s="663" t="s">
        <v>146</v>
      </c>
      <c r="B469" s="663"/>
      <c r="C469" s="663"/>
      <c r="D469" s="663"/>
      <c r="E469" s="663"/>
      <c r="F469" s="663"/>
      <c r="G469" s="663"/>
      <c r="H469" s="663"/>
      <c r="I469" s="663"/>
      <c r="J469" s="663"/>
      <c r="K469" s="663"/>
      <c r="L469" s="663"/>
      <c r="M469" s="663"/>
      <c r="N469" s="663"/>
      <c r="O469" s="663"/>
      <c r="P469" s="663"/>
      <c r="Q469" s="663"/>
      <c r="R469" s="663"/>
      <c r="S469" s="663"/>
      <c r="T469" s="663"/>
      <c r="U469" s="663"/>
      <c r="V469" s="663"/>
      <c r="W469" s="663"/>
      <c r="X469" s="663"/>
      <c r="Y469" s="663"/>
      <c r="Z469" s="663"/>
      <c r="AA469" s="63"/>
      <c r="AB469" s="63"/>
      <c r="AC469" s="63"/>
    </row>
    <row r="470" spans="1:68" ht="27" hidden="1" customHeight="1" x14ac:dyDescent="0.25">
      <c r="A470" s="60" t="s">
        <v>749</v>
      </c>
      <c r="B470" s="60" t="s">
        <v>750</v>
      </c>
      <c r="C470" s="34">
        <v>4301011769</v>
      </c>
      <c r="D470" s="664">
        <v>4607091389067</v>
      </c>
      <c r="E470" s="664"/>
      <c r="F470" s="59">
        <v>0.88</v>
      </c>
      <c r="G470" s="35">
        <v>6</v>
      </c>
      <c r="H470" s="59">
        <v>5.28</v>
      </c>
      <c r="I470" s="59">
        <v>5.63</v>
      </c>
      <c r="J470" s="35">
        <v>104</v>
      </c>
      <c r="K470" s="35" t="s">
        <v>151</v>
      </c>
      <c r="L470" s="35" t="s">
        <v>46</v>
      </c>
      <c r="M470" s="36" t="s">
        <v>96</v>
      </c>
      <c r="N470" s="36"/>
      <c r="O470" s="35">
        <v>60</v>
      </c>
      <c r="P470" s="90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666"/>
      <c r="R470" s="666"/>
      <c r="S470" s="666"/>
      <c r="T470" s="667"/>
      <c r="U470" s="37" t="s">
        <v>46</v>
      </c>
      <c r="V470" s="37" t="s">
        <v>46</v>
      </c>
      <c r="W470" s="38" t="s">
        <v>0</v>
      </c>
      <c r="X470" s="56"/>
      <c r="Y470" s="53">
        <f t="shared" ref="Y470:Y478" si="63">IFERROR(IF(X470="",0,CEILING((X470/$H470),1)*$H470),"")</f>
        <v>0</v>
      </c>
      <c r="Z470" s="39" t="str">
        <f t="shared" ref="Z470:Z475" si="64">IFERROR(IF(Y470=0,"",ROUNDUP(Y470/H470,0)*0.01196),"")</f>
        <v/>
      </c>
      <c r="AA470" s="65" t="s">
        <v>46</v>
      </c>
      <c r="AB470" s="66" t="s">
        <v>46</v>
      </c>
      <c r="AC470" s="541" t="s">
        <v>149</v>
      </c>
      <c r="AG470" s="75"/>
      <c r="AJ470" s="79" t="s">
        <v>46</v>
      </c>
      <c r="AK470" s="79">
        <v>0</v>
      </c>
      <c r="BB470" s="542" t="s">
        <v>67</v>
      </c>
      <c r="BM470" s="75">
        <f t="shared" ref="BM470:BM478" si="65">IFERROR(X470*I470/H470,"0")</f>
        <v>0</v>
      </c>
      <c r="BN470" s="75">
        <f t="shared" ref="BN470:BN478" si="66">IFERROR(Y470*I470/H470,"0")</f>
        <v>0</v>
      </c>
      <c r="BO470" s="75">
        <f t="shared" ref="BO470:BO478" si="67">IFERROR(1/J470*(X470/H470),"0")</f>
        <v>0</v>
      </c>
      <c r="BP470" s="75">
        <f t="shared" ref="BP470:BP478" si="68">IFERROR(1/J470*(Y470/H470),"0")</f>
        <v>0</v>
      </c>
    </row>
    <row r="471" spans="1:68" ht="27" hidden="1" customHeight="1" x14ac:dyDescent="0.25">
      <c r="A471" s="60" t="s">
        <v>751</v>
      </c>
      <c r="B471" s="60" t="s">
        <v>752</v>
      </c>
      <c r="C471" s="34">
        <v>4301012210</v>
      </c>
      <c r="D471" s="664">
        <v>4607091383522</v>
      </c>
      <c r="E471" s="664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151</v>
      </c>
      <c r="L471" s="35" t="s">
        <v>46</v>
      </c>
      <c r="M471" s="36" t="s">
        <v>150</v>
      </c>
      <c r="N471" s="36"/>
      <c r="O471" s="35">
        <v>60</v>
      </c>
      <c r="P471" s="90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666"/>
      <c r="R471" s="666"/>
      <c r="S471" s="666"/>
      <c r="T471" s="667"/>
      <c r="U471" s="37" t="s">
        <v>46</v>
      </c>
      <c r="V471" s="37" t="s">
        <v>46</v>
      </c>
      <c r="W471" s="38" t="s">
        <v>0</v>
      </c>
      <c r="X471" s="56"/>
      <c r="Y471" s="53">
        <f t="shared" si="63"/>
        <v>0</v>
      </c>
      <c r="Z471" s="39" t="str">
        <f t="shared" si="64"/>
        <v/>
      </c>
      <c r="AA471" s="65" t="s">
        <v>46</v>
      </c>
      <c r="AB471" s="66" t="s">
        <v>46</v>
      </c>
      <c r="AC471" s="543" t="s">
        <v>753</v>
      </c>
      <c r="AG471" s="75"/>
      <c r="AJ471" s="79" t="s">
        <v>46</v>
      </c>
      <c r="AK471" s="79">
        <v>0</v>
      </c>
      <c r="BB471" s="544" t="s">
        <v>67</v>
      </c>
      <c r="BM471" s="75">
        <f t="shared" si="65"/>
        <v>0</v>
      </c>
      <c r="BN471" s="75">
        <f t="shared" si="66"/>
        <v>0</v>
      </c>
      <c r="BO471" s="75">
        <f t="shared" si="67"/>
        <v>0</v>
      </c>
      <c r="BP471" s="75">
        <f t="shared" si="68"/>
        <v>0</v>
      </c>
    </row>
    <row r="472" spans="1:68" ht="27" customHeight="1" x14ac:dyDescent="0.25">
      <c r="A472" s="60" t="s">
        <v>754</v>
      </c>
      <c r="B472" s="60" t="s">
        <v>755</v>
      </c>
      <c r="C472" s="34">
        <v>4301011961</v>
      </c>
      <c r="D472" s="664">
        <v>4680115885271</v>
      </c>
      <c r="E472" s="664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151</v>
      </c>
      <c r="L472" s="35" t="s">
        <v>46</v>
      </c>
      <c r="M472" s="36" t="s">
        <v>150</v>
      </c>
      <c r="N472" s="36"/>
      <c r="O472" s="35">
        <v>60</v>
      </c>
      <c r="P472" s="9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666"/>
      <c r="R472" s="666"/>
      <c r="S472" s="666"/>
      <c r="T472" s="667"/>
      <c r="U472" s="37" t="s">
        <v>46</v>
      </c>
      <c r="V472" s="37" t="s">
        <v>46</v>
      </c>
      <c r="W472" s="38" t="s">
        <v>0</v>
      </c>
      <c r="X472" s="56">
        <v>50</v>
      </c>
      <c r="Y472" s="53">
        <f t="shared" si="63"/>
        <v>52.800000000000004</v>
      </c>
      <c r="Z472" s="39">
        <f t="shared" si="64"/>
        <v>0.1196</v>
      </c>
      <c r="AA472" s="65" t="s">
        <v>46</v>
      </c>
      <c r="AB472" s="66" t="s">
        <v>46</v>
      </c>
      <c r="AC472" s="545" t="s">
        <v>756</v>
      </c>
      <c r="AG472" s="75"/>
      <c r="AJ472" s="79" t="s">
        <v>46</v>
      </c>
      <c r="AK472" s="79">
        <v>0</v>
      </c>
      <c r="BB472" s="546" t="s">
        <v>67</v>
      </c>
      <c r="BM472" s="75">
        <f t="shared" si="65"/>
        <v>53.314393939393938</v>
      </c>
      <c r="BN472" s="75">
        <f t="shared" si="66"/>
        <v>56.3</v>
      </c>
      <c r="BO472" s="75">
        <f t="shared" si="67"/>
        <v>9.1054778554778545E-2</v>
      </c>
      <c r="BP472" s="75">
        <f t="shared" si="68"/>
        <v>9.6153846153846159E-2</v>
      </c>
    </row>
    <row r="473" spans="1:68" ht="27" customHeight="1" x14ac:dyDescent="0.25">
      <c r="A473" s="60" t="s">
        <v>757</v>
      </c>
      <c r="B473" s="60" t="s">
        <v>758</v>
      </c>
      <c r="C473" s="34">
        <v>4301011369</v>
      </c>
      <c r="D473" s="664">
        <v>4680115885226</v>
      </c>
      <c r="E473" s="664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151</v>
      </c>
      <c r="L473" s="35" t="s">
        <v>46</v>
      </c>
      <c r="M473" s="36" t="s">
        <v>150</v>
      </c>
      <c r="N473" s="36"/>
      <c r="O473" s="35">
        <v>60</v>
      </c>
      <c r="P473" s="9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666"/>
      <c r="R473" s="666"/>
      <c r="S473" s="666"/>
      <c r="T473" s="667"/>
      <c r="U473" s="37" t="s">
        <v>46</v>
      </c>
      <c r="V473" s="37" t="s">
        <v>46</v>
      </c>
      <c r="W473" s="38" t="s">
        <v>0</v>
      </c>
      <c r="X473" s="56">
        <v>100</v>
      </c>
      <c r="Y473" s="53">
        <f t="shared" si="63"/>
        <v>100.32000000000001</v>
      </c>
      <c r="Z473" s="39">
        <f t="shared" si="64"/>
        <v>0.22724</v>
      </c>
      <c r="AA473" s="65" t="s">
        <v>46</v>
      </c>
      <c r="AB473" s="66" t="s">
        <v>46</v>
      </c>
      <c r="AC473" s="547" t="s">
        <v>759</v>
      </c>
      <c r="AG473" s="75"/>
      <c r="AJ473" s="79" t="s">
        <v>46</v>
      </c>
      <c r="AK473" s="79">
        <v>0</v>
      </c>
      <c r="BB473" s="548" t="s">
        <v>67</v>
      </c>
      <c r="BM473" s="75">
        <f t="shared" si="65"/>
        <v>106.62878787878788</v>
      </c>
      <c r="BN473" s="75">
        <f t="shared" si="66"/>
        <v>106.97</v>
      </c>
      <c r="BO473" s="75">
        <f t="shared" si="67"/>
        <v>0.18210955710955709</v>
      </c>
      <c r="BP473" s="75">
        <f t="shared" si="68"/>
        <v>0.18269230769230771</v>
      </c>
    </row>
    <row r="474" spans="1:68" ht="16.5" hidden="1" customHeight="1" x14ac:dyDescent="0.25">
      <c r="A474" s="60" t="s">
        <v>760</v>
      </c>
      <c r="B474" s="60" t="s">
        <v>761</v>
      </c>
      <c r="C474" s="34">
        <v>4301011797</v>
      </c>
      <c r="D474" s="664">
        <v>4680115884502</v>
      </c>
      <c r="E474" s="664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151</v>
      </c>
      <c r="L474" s="35" t="s">
        <v>46</v>
      </c>
      <c r="M474" s="36" t="s">
        <v>96</v>
      </c>
      <c r="N474" s="36"/>
      <c r="O474" s="35">
        <v>60</v>
      </c>
      <c r="P474" s="90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666"/>
      <c r="R474" s="666"/>
      <c r="S474" s="666"/>
      <c r="T474" s="667"/>
      <c r="U474" s="37" t="s">
        <v>46</v>
      </c>
      <c r="V474" s="37" t="s">
        <v>46</v>
      </c>
      <c r="W474" s="38" t="s">
        <v>0</v>
      </c>
      <c r="X474" s="56"/>
      <c r="Y474" s="53">
        <f t="shared" si="63"/>
        <v>0</v>
      </c>
      <c r="Z474" s="39" t="str">
        <f t="shared" si="64"/>
        <v/>
      </c>
      <c r="AA474" s="65" t="s">
        <v>46</v>
      </c>
      <c r="AB474" s="66" t="s">
        <v>46</v>
      </c>
      <c r="AC474" s="549" t="s">
        <v>762</v>
      </c>
      <c r="AG474" s="75"/>
      <c r="AJ474" s="79" t="s">
        <v>46</v>
      </c>
      <c r="AK474" s="79">
        <v>0</v>
      </c>
      <c r="BB474" s="550" t="s">
        <v>67</v>
      </c>
      <c r="BM474" s="75">
        <f t="shared" si="65"/>
        <v>0</v>
      </c>
      <c r="BN474" s="75">
        <f t="shared" si="66"/>
        <v>0</v>
      </c>
      <c r="BO474" s="75">
        <f t="shared" si="67"/>
        <v>0</v>
      </c>
      <c r="BP474" s="75">
        <f t="shared" si="68"/>
        <v>0</v>
      </c>
    </row>
    <row r="475" spans="1:68" ht="27" customHeight="1" x14ac:dyDescent="0.25">
      <c r="A475" s="60" t="s">
        <v>763</v>
      </c>
      <c r="B475" s="60" t="s">
        <v>764</v>
      </c>
      <c r="C475" s="34">
        <v>4301011771</v>
      </c>
      <c r="D475" s="664">
        <v>4607091389104</v>
      </c>
      <c r="E475" s="664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151</v>
      </c>
      <c r="L475" s="35" t="s">
        <v>46</v>
      </c>
      <c r="M475" s="36" t="s">
        <v>150</v>
      </c>
      <c r="N475" s="36"/>
      <c r="O475" s="35">
        <v>60</v>
      </c>
      <c r="P475" s="90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666"/>
      <c r="R475" s="666"/>
      <c r="S475" s="666"/>
      <c r="T475" s="667"/>
      <c r="U475" s="37" t="s">
        <v>46</v>
      </c>
      <c r="V475" s="37" t="s">
        <v>46</v>
      </c>
      <c r="W475" s="38" t="s">
        <v>0</v>
      </c>
      <c r="X475" s="56">
        <v>580</v>
      </c>
      <c r="Y475" s="53">
        <f t="shared" si="63"/>
        <v>580.80000000000007</v>
      </c>
      <c r="Z475" s="39">
        <f t="shared" si="64"/>
        <v>1.3156000000000001</v>
      </c>
      <c r="AA475" s="65" t="s">
        <v>46</v>
      </c>
      <c r="AB475" s="66" t="s">
        <v>46</v>
      </c>
      <c r="AC475" s="551" t="s">
        <v>765</v>
      </c>
      <c r="AG475" s="75"/>
      <c r="AJ475" s="79" t="s">
        <v>46</v>
      </c>
      <c r="AK475" s="79">
        <v>0</v>
      </c>
      <c r="BB475" s="552" t="s">
        <v>67</v>
      </c>
      <c r="BM475" s="75">
        <f t="shared" si="65"/>
        <v>618.44696969696963</v>
      </c>
      <c r="BN475" s="75">
        <f t="shared" si="66"/>
        <v>619.30000000000007</v>
      </c>
      <c r="BO475" s="75">
        <f t="shared" si="67"/>
        <v>1.0562354312354312</v>
      </c>
      <c r="BP475" s="75">
        <f t="shared" si="68"/>
        <v>1.0576923076923079</v>
      </c>
    </row>
    <row r="476" spans="1:68" ht="27" hidden="1" customHeight="1" x14ac:dyDescent="0.25">
      <c r="A476" s="60" t="s">
        <v>766</v>
      </c>
      <c r="B476" s="60" t="s">
        <v>767</v>
      </c>
      <c r="C476" s="34">
        <v>4301012125</v>
      </c>
      <c r="D476" s="664">
        <v>4680115886391</v>
      </c>
      <c r="E476" s="664"/>
      <c r="F476" s="59">
        <v>0.4</v>
      </c>
      <c r="G476" s="35">
        <v>6</v>
      </c>
      <c r="H476" s="59">
        <v>2.4</v>
      </c>
      <c r="I476" s="59">
        <v>2.58</v>
      </c>
      <c r="J476" s="35">
        <v>182</v>
      </c>
      <c r="K476" s="35" t="s">
        <v>88</v>
      </c>
      <c r="L476" s="35" t="s">
        <v>46</v>
      </c>
      <c r="M476" s="36" t="s">
        <v>96</v>
      </c>
      <c r="N476" s="36"/>
      <c r="O476" s="35">
        <v>60</v>
      </c>
      <c r="P476" s="9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666"/>
      <c r="R476" s="666"/>
      <c r="S476" s="666"/>
      <c r="T476" s="667"/>
      <c r="U476" s="37" t="s">
        <v>46</v>
      </c>
      <c r="V476" s="37" t="s">
        <v>46</v>
      </c>
      <c r="W476" s="38" t="s">
        <v>0</v>
      </c>
      <c r="X476" s="56"/>
      <c r="Y476" s="53">
        <f t="shared" si="63"/>
        <v>0</v>
      </c>
      <c r="Z476" s="39" t="str">
        <f>IFERROR(IF(Y476=0,"",ROUNDUP(Y476/H476,0)*0.00651),"")</f>
        <v/>
      </c>
      <c r="AA476" s="65" t="s">
        <v>46</v>
      </c>
      <c r="AB476" s="66" t="s">
        <v>46</v>
      </c>
      <c r="AC476" s="553" t="s">
        <v>149</v>
      </c>
      <c r="AG476" s="75"/>
      <c r="AJ476" s="79" t="s">
        <v>46</v>
      </c>
      <c r="AK476" s="79">
        <v>0</v>
      </c>
      <c r="BB476" s="554" t="s">
        <v>67</v>
      </c>
      <c r="BM476" s="75">
        <f t="shared" si="65"/>
        <v>0</v>
      </c>
      <c r="BN476" s="75">
        <f t="shared" si="66"/>
        <v>0</v>
      </c>
      <c r="BO476" s="75">
        <f t="shared" si="67"/>
        <v>0</v>
      </c>
      <c r="BP476" s="75">
        <f t="shared" si="68"/>
        <v>0</v>
      </c>
    </row>
    <row r="477" spans="1:68" ht="27" hidden="1" customHeight="1" x14ac:dyDescent="0.25">
      <c r="A477" s="60" t="s">
        <v>768</v>
      </c>
      <c r="B477" s="60" t="s">
        <v>769</v>
      </c>
      <c r="C477" s="34">
        <v>4301012048</v>
      </c>
      <c r="D477" s="664">
        <v>4680115880603</v>
      </c>
      <c r="E477" s="664"/>
      <c r="F477" s="59">
        <v>0.6</v>
      </c>
      <c r="G477" s="35">
        <v>8</v>
      </c>
      <c r="H477" s="59">
        <v>4.8</v>
      </c>
      <c r="I477" s="59">
        <v>6.91</v>
      </c>
      <c r="J477" s="35">
        <v>132</v>
      </c>
      <c r="K477" s="35" t="s">
        <v>158</v>
      </c>
      <c r="L477" s="35" t="s">
        <v>46</v>
      </c>
      <c r="M477" s="36" t="s">
        <v>96</v>
      </c>
      <c r="N477" s="36"/>
      <c r="O477" s="35">
        <v>60</v>
      </c>
      <c r="P477" s="90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666"/>
      <c r="R477" s="666"/>
      <c r="S477" s="666"/>
      <c r="T477" s="667"/>
      <c r="U477" s="37" t="s">
        <v>46</v>
      </c>
      <c r="V477" s="37" t="s">
        <v>46</v>
      </c>
      <c r="W477" s="38" t="s">
        <v>0</v>
      </c>
      <c r="X477" s="56"/>
      <c r="Y477" s="53">
        <f t="shared" si="63"/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55" t="s">
        <v>149</v>
      </c>
      <c r="AG477" s="75"/>
      <c r="AJ477" s="79" t="s">
        <v>46</v>
      </c>
      <c r="AK477" s="79">
        <v>0</v>
      </c>
      <c r="BB477" s="556" t="s">
        <v>67</v>
      </c>
      <c r="BM477" s="75">
        <f t="shared" si="65"/>
        <v>0</v>
      </c>
      <c r="BN477" s="75">
        <f t="shared" si="66"/>
        <v>0</v>
      </c>
      <c r="BO477" s="75">
        <f t="shared" si="67"/>
        <v>0</v>
      </c>
      <c r="BP477" s="75">
        <f t="shared" si="68"/>
        <v>0</v>
      </c>
    </row>
    <row r="478" spans="1:68" ht="27" hidden="1" customHeight="1" x14ac:dyDescent="0.25">
      <c r="A478" s="60" t="s">
        <v>770</v>
      </c>
      <c r="B478" s="60" t="s">
        <v>771</v>
      </c>
      <c r="C478" s="34">
        <v>4301012034</v>
      </c>
      <c r="D478" s="664">
        <v>4607091389982</v>
      </c>
      <c r="E478" s="664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158</v>
      </c>
      <c r="L478" s="35" t="s">
        <v>46</v>
      </c>
      <c r="M478" s="36" t="s">
        <v>150</v>
      </c>
      <c r="N478" s="36"/>
      <c r="O478" s="35">
        <v>60</v>
      </c>
      <c r="P478" s="91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66"/>
      <c r="R478" s="666"/>
      <c r="S478" s="666"/>
      <c r="T478" s="667"/>
      <c r="U478" s="37" t="s">
        <v>46</v>
      </c>
      <c r="V478" s="37" t="s">
        <v>46</v>
      </c>
      <c r="W478" s="38" t="s">
        <v>0</v>
      </c>
      <c r="X478" s="56"/>
      <c r="Y478" s="53">
        <f t="shared" si="63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765</v>
      </c>
      <c r="AG478" s="75"/>
      <c r="AJ478" s="79" t="s">
        <v>46</v>
      </c>
      <c r="AK478" s="79">
        <v>0</v>
      </c>
      <c r="BB478" s="558" t="s">
        <v>67</v>
      </c>
      <c r="BM478" s="75">
        <f t="shared" si="65"/>
        <v>0</v>
      </c>
      <c r="BN478" s="75">
        <f t="shared" si="66"/>
        <v>0</v>
      </c>
      <c r="BO478" s="75">
        <f t="shared" si="67"/>
        <v>0</v>
      </c>
      <c r="BP478" s="75">
        <f t="shared" si="68"/>
        <v>0</v>
      </c>
    </row>
    <row r="479" spans="1:68" x14ac:dyDescent="0.2">
      <c r="A479" s="673"/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4"/>
      <c r="P479" s="670" t="s">
        <v>40</v>
      </c>
      <c r="Q479" s="671"/>
      <c r="R479" s="671"/>
      <c r="S479" s="671"/>
      <c r="T479" s="671"/>
      <c r="U479" s="671"/>
      <c r="V479" s="672"/>
      <c r="W479" s="40" t="s">
        <v>39</v>
      </c>
      <c r="X479" s="41">
        <f>IFERROR(X470/H470,"0")+IFERROR(X471/H471,"0")+IFERROR(X472/H472,"0")+IFERROR(X473/H473,"0")+IFERROR(X474/H474,"0")+IFERROR(X475/H475,"0")+IFERROR(X476/H476,"0")+IFERROR(X477/H477,"0")+IFERROR(X478/H478,"0")</f>
        <v>138.25757575757575</v>
      </c>
      <c r="Y479" s="41">
        <f>IFERROR(Y470/H470,"0")+IFERROR(Y471/H471,"0")+IFERROR(Y472/H472,"0")+IFERROR(Y473/H473,"0")+IFERROR(Y474/H474,"0")+IFERROR(Y475/H475,"0")+IFERROR(Y476/H476,"0")+IFERROR(Y477/H477,"0")+IFERROR(Y478/H478,"0")</f>
        <v>139</v>
      </c>
      <c r="Z479" s="41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1.6624400000000001</v>
      </c>
      <c r="AA479" s="64"/>
      <c r="AB479" s="64"/>
      <c r="AC479" s="64"/>
    </row>
    <row r="480" spans="1:68" x14ac:dyDescent="0.2">
      <c r="A480" s="673"/>
      <c r="B480" s="673"/>
      <c r="C480" s="673"/>
      <c r="D480" s="673"/>
      <c r="E480" s="673"/>
      <c r="F480" s="673"/>
      <c r="G480" s="673"/>
      <c r="H480" s="673"/>
      <c r="I480" s="673"/>
      <c r="J480" s="673"/>
      <c r="K480" s="673"/>
      <c r="L480" s="673"/>
      <c r="M480" s="673"/>
      <c r="N480" s="673"/>
      <c r="O480" s="674"/>
      <c r="P480" s="670" t="s">
        <v>40</v>
      </c>
      <c r="Q480" s="671"/>
      <c r="R480" s="671"/>
      <c r="S480" s="671"/>
      <c r="T480" s="671"/>
      <c r="U480" s="671"/>
      <c r="V480" s="672"/>
      <c r="W480" s="40" t="s">
        <v>0</v>
      </c>
      <c r="X480" s="41">
        <f>IFERROR(SUM(X470:X478),"0")</f>
        <v>730</v>
      </c>
      <c r="Y480" s="41">
        <f>IFERROR(SUM(Y470:Y478),"0")</f>
        <v>733.92000000000007</v>
      </c>
      <c r="Z480" s="40"/>
      <c r="AA480" s="64"/>
      <c r="AB480" s="64"/>
      <c r="AC480" s="64"/>
    </row>
    <row r="481" spans="1:68" ht="14.25" hidden="1" customHeight="1" x14ac:dyDescent="0.25">
      <c r="A481" s="663" t="s">
        <v>180</v>
      </c>
      <c r="B481" s="663"/>
      <c r="C481" s="663"/>
      <c r="D481" s="663"/>
      <c r="E481" s="663"/>
      <c r="F481" s="663"/>
      <c r="G481" s="663"/>
      <c r="H481" s="663"/>
      <c r="I481" s="663"/>
      <c r="J481" s="663"/>
      <c r="K481" s="663"/>
      <c r="L481" s="663"/>
      <c r="M481" s="663"/>
      <c r="N481" s="663"/>
      <c r="O481" s="663"/>
      <c r="P481" s="663"/>
      <c r="Q481" s="663"/>
      <c r="R481" s="663"/>
      <c r="S481" s="663"/>
      <c r="T481" s="663"/>
      <c r="U481" s="663"/>
      <c r="V481" s="663"/>
      <c r="W481" s="663"/>
      <c r="X481" s="663"/>
      <c r="Y481" s="663"/>
      <c r="Z481" s="663"/>
      <c r="AA481" s="63"/>
      <c r="AB481" s="63"/>
      <c r="AC481" s="63"/>
    </row>
    <row r="482" spans="1:68" ht="16.5" customHeight="1" x14ac:dyDescent="0.25">
      <c r="A482" s="60" t="s">
        <v>772</v>
      </c>
      <c r="B482" s="60" t="s">
        <v>773</v>
      </c>
      <c r="C482" s="34">
        <v>4301020334</v>
      </c>
      <c r="D482" s="664">
        <v>4607091388930</v>
      </c>
      <c r="E482" s="664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151</v>
      </c>
      <c r="L482" s="35" t="s">
        <v>46</v>
      </c>
      <c r="M482" s="36" t="s">
        <v>96</v>
      </c>
      <c r="N482" s="36"/>
      <c r="O482" s="35">
        <v>70</v>
      </c>
      <c r="P482" s="91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666"/>
      <c r="R482" s="666"/>
      <c r="S482" s="666"/>
      <c r="T482" s="667"/>
      <c r="U482" s="37" t="s">
        <v>46</v>
      </c>
      <c r="V482" s="37" t="s">
        <v>46</v>
      </c>
      <c r="W482" s="38" t="s">
        <v>0</v>
      </c>
      <c r="X482" s="56">
        <v>150</v>
      </c>
      <c r="Y482" s="53">
        <f>IFERROR(IF(X482="",0,CEILING((X482/$H482),1)*$H482),"")</f>
        <v>153.12</v>
      </c>
      <c r="Z482" s="39">
        <f>IFERROR(IF(Y482=0,"",ROUNDUP(Y482/H482,0)*0.01196),"")</f>
        <v>0.34683999999999998</v>
      </c>
      <c r="AA482" s="65" t="s">
        <v>46</v>
      </c>
      <c r="AB482" s="66" t="s">
        <v>46</v>
      </c>
      <c r="AC482" s="559" t="s">
        <v>774</v>
      </c>
      <c r="AG482" s="75"/>
      <c r="AJ482" s="79" t="s">
        <v>46</v>
      </c>
      <c r="AK482" s="79">
        <v>0</v>
      </c>
      <c r="BB482" s="560" t="s">
        <v>67</v>
      </c>
      <c r="BM482" s="75">
        <f>IFERROR(X482*I482/H482,"0")</f>
        <v>159.94318181818181</v>
      </c>
      <c r="BN482" s="75">
        <f>IFERROR(Y482*I482/H482,"0")</f>
        <v>163.26999999999998</v>
      </c>
      <c r="BO482" s="75">
        <f>IFERROR(1/J482*(X482/H482),"0")</f>
        <v>0.27316433566433568</v>
      </c>
      <c r="BP482" s="75">
        <f>IFERROR(1/J482*(Y482/H482),"0")</f>
        <v>0.27884615384615385</v>
      </c>
    </row>
    <row r="483" spans="1:68" ht="16.5" hidden="1" customHeight="1" x14ac:dyDescent="0.25">
      <c r="A483" s="60" t="s">
        <v>775</v>
      </c>
      <c r="B483" s="60" t="s">
        <v>776</v>
      </c>
      <c r="C483" s="34">
        <v>4301020374</v>
      </c>
      <c r="D483" s="664">
        <v>4680115886407</v>
      </c>
      <c r="E483" s="664"/>
      <c r="F483" s="59">
        <v>0.4</v>
      </c>
      <c r="G483" s="35">
        <v>6</v>
      </c>
      <c r="H483" s="59">
        <v>2.4</v>
      </c>
      <c r="I483" s="59">
        <v>2.58</v>
      </c>
      <c r="J483" s="35">
        <v>182</v>
      </c>
      <c r="K483" s="35" t="s">
        <v>88</v>
      </c>
      <c r="L483" s="35" t="s">
        <v>46</v>
      </c>
      <c r="M483" s="36" t="s">
        <v>150</v>
      </c>
      <c r="N483" s="36"/>
      <c r="O483" s="35">
        <v>70</v>
      </c>
      <c r="P483" s="91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666"/>
      <c r="R483" s="666"/>
      <c r="S483" s="666"/>
      <c r="T483" s="667"/>
      <c r="U483" s="37" t="s">
        <v>46</v>
      </c>
      <c r="V483" s="37" t="s">
        <v>46</v>
      </c>
      <c r="W483" s="38" t="s">
        <v>0</v>
      </c>
      <c r="X483" s="56"/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61" t="s">
        <v>774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hidden="1" customHeight="1" x14ac:dyDescent="0.25">
      <c r="A484" s="60" t="s">
        <v>777</v>
      </c>
      <c r="B484" s="60" t="s">
        <v>778</v>
      </c>
      <c r="C484" s="34">
        <v>4301020385</v>
      </c>
      <c r="D484" s="664">
        <v>4680115880054</v>
      </c>
      <c r="E484" s="664"/>
      <c r="F484" s="59">
        <v>0.6</v>
      </c>
      <c r="G484" s="35">
        <v>8</v>
      </c>
      <c r="H484" s="59">
        <v>4.8</v>
      </c>
      <c r="I484" s="59">
        <v>6.91</v>
      </c>
      <c r="J484" s="35">
        <v>132</v>
      </c>
      <c r="K484" s="35" t="s">
        <v>158</v>
      </c>
      <c r="L484" s="35" t="s">
        <v>46</v>
      </c>
      <c r="M484" s="36" t="s">
        <v>150</v>
      </c>
      <c r="N484" s="36"/>
      <c r="O484" s="35">
        <v>70</v>
      </c>
      <c r="P484" s="9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666"/>
      <c r="R484" s="666"/>
      <c r="S484" s="666"/>
      <c r="T484" s="667"/>
      <c r="U484" s="37" t="s">
        <v>46</v>
      </c>
      <c r="V484" s="37" t="s">
        <v>46</v>
      </c>
      <c r="W484" s="38" t="s">
        <v>0</v>
      </c>
      <c r="X484" s="56"/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63" t="s">
        <v>774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x14ac:dyDescent="0.2">
      <c r="A485" s="673"/>
      <c r="B485" s="673"/>
      <c r="C485" s="673"/>
      <c r="D485" s="673"/>
      <c r="E485" s="673"/>
      <c r="F485" s="673"/>
      <c r="G485" s="673"/>
      <c r="H485" s="673"/>
      <c r="I485" s="673"/>
      <c r="J485" s="673"/>
      <c r="K485" s="673"/>
      <c r="L485" s="673"/>
      <c r="M485" s="673"/>
      <c r="N485" s="673"/>
      <c r="O485" s="674"/>
      <c r="P485" s="670" t="s">
        <v>40</v>
      </c>
      <c r="Q485" s="671"/>
      <c r="R485" s="671"/>
      <c r="S485" s="671"/>
      <c r="T485" s="671"/>
      <c r="U485" s="671"/>
      <c r="V485" s="672"/>
      <c r="W485" s="40" t="s">
        <v>39</v>
      </c>
      <c r="X485" s="41">
        <f>IFERROR(X482/H482,"0")+IFERROR(X483/H483,"0")+IFERROR(X484/H484,"0")</f>
        <v>28.409090909090907</v>
      </c>
      <c r="Y485" s="41">
        <f>IFERROR(Y482/H482,"0")+IFERROR(Y483/H483,"0")+IFERROR(Y484/H484,"0")</f>
        <v>29</v>
      </c>
      <c r="Z485" s="41">
        <f>IFERROR(IF(Z482="",0,Z482),"0")+IFERROR(IF(Z483="",0,Z483),"0")+IFERROR(IF(Z484="",0,Z484),"0")</f>
        <v>0.34683999999999998</v>
      </c>
      <c r="AA485" s="64"/>
      <c r="AB485" s="64"/>
      <c r="AC485" s="64"/>
    </row>
    <row r="486" spans="1:68" x14ac:dyDescent="0.2">
      <c r="A486" s="673"/>
      <c r="B486" s="673"/>
      <c r="C486" s="673"/>
      <c r="D486" s="673"/>
      <c r="E486" s="673"/>
      <c r="F486" s="673"/>
      <c r="G486" s="673"/>
      <c r="H486" s="673"/>
      <c r="I486" s="673"/>
      <c r="J486" s="673"/>
      <c r="K486" s="673"/>
      <c r="L486" s="673"/>
      <c r="M486" s="673"/>
      <c r="N486" s="673"/>
      <c r="O486" s="674"/>
      <c r="P486" s="670" t="s">
        <v>40</v>
      </c>
      <c r="Q486" s="671"/>
      <c r="R486" s="671"/>
      <c r="S486" s="671"/>
      <c r="T486" s="671"/>
      <c r="U486" s="671"/>
      <c r="V486" s="672"/>
      <c r="W486" s="40" t="s">
        <v>0</v>
      </c>
      <c r="X486" s="41">
        <f>IFERROR(SUM(X482:X484),"0")</f>
        <v>150</v>
      </c>
      <c r="Y486" s="41">
        <f>IFERROR(SUM(Y482:Y484),"0")</f>
        <v>153.12</v>
      </c>
      <c r="Z486" s="40"/>
      <c r="AA486" s="64"/>
      <c r="AB486" s="64"/>
      <c r="AC486" s="64"/>
    </row>
    <row r="487" spans="1:68" ht="14.25" hidden="1" customHeight="1" x14ac:dyDescent="0.25">
      <c r="A487" s="663" t="s">
        <v>77</v>
      </c>
      <c r="B487" s="663"/>
      <c r="C487" s="663"/>
      <c r="D487" s="663"/>
      <c r="E487" s="663"/>
      <c r="F487" s="663"/>
      <c r="G487" s="663"/>
      <c r="H487" s="663"/>
      <c r="I487" s="663"/>
      <c r="J487" s="663"/>
      <c r="K487" s="663"/>
      <c r="L487" s="663"/>
      <c r="M487" s="663"/>
      <c r="N487" s="663"/>
      <c r="O487" s="663"/>
      <c r="P487" s="663"/>
      <c r="Q487" s="663"/>
      <c r="R487" s="663"/>
      <c r="S487" s="663"/>
      <c r="T487" s="663"/>
      <c r="U487" s="663"/>
      <c r="V487" s="663"/>
      <c r="W487" s="663"/>
      <c r="X487" s="663"/>
      <c r="Y487" s="663"/>
      <c r="Z487" s="663"/>
      <c r="AA487" s="63"/>
      <c r="AB487" s="63"/>
      <c r="AC487" s="63"/>
    </row>
    <row r="488" spans="1:68" ht="27" hidden="1" customHeight="1" x14ac:dyDescent="0.25">
      <c r="A488" s="60" t="s">
        <v>779</v>
      </c>
      <c r="B488" s="60" t="s">
        <v>780</v>
      </c>
      <c r="C488" s="34">
        <v>4301031349</v>
      </c>
      <c r="D488" s="664">
        <v>4680115883116</v>
      </c>
      <c r="E488" s="664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151</v>
      </c>
      <c r="L488" s="35" t="s">
        <v>46</v>
      </c>
      <c r="M488" s="36" t="s">
        <v>150</v>
      </c>
      <c r="N488" s="36"/>
      <c r="O488" s="35">
        <v>70</v>
      </c>
      <c r="P488" s="9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666"/>
      <c r="R488" s="666"/>
      <c r="S488" s="666"/>
      <c r="T488" s="667"/>
      <c r="U488" s="37" t="s">
        <v>46</v>
      </c>
      <c r="V488" s="37" t="s">
        <v>46</v>
      </c>
      <c r="W488" s="38" t="s">
        <v>0</v>
      </c>
      <c r="X488" s="56"/>
      <c r="Y488" s="53">
        <f t="shared" ref="Y488:Y494" si="69">IFERROR(IF(X488="",0,CEILING((X488/$H488),1)*$H488),"")</f>
        <v>0</v>
      </c>
      <c r="Z488" s="39" t="str">
        <f>IFERROR(IF(Y488=0,"",ROUNDUP(Y488/H488,0)*0.01196),"")</f>
        <v/>
      </c>
      <c r="AA488" s="65" t="s">
        <v>46</v>
      </c>
      <c r="AB488" s="66" t="s">
        <v>46</v>
      </c>
      <c r="AC488" s="565" t="s">
        <v>781</v>
      </c>
      <c r="AG488" s="75"/>
      <c r="AJ488" s="79" t="s">
        <v>46</v>
      </c>
      <c r="AK488" s="79">
        <v>0</v>
      </c>
      <c r="BB488" s="566" t="s">
        <v>67</v>
      </c>
      <c r="BM488" s="75">
        <f t="shared" ref="BM488:BM494" si="70">IFERROR(X488*I488/H488,"0")</f>
        <v>0</v>
      </c>
      <c r="BN488" s="75">
        <f t="shared" ref="BN488:BN494" si="71">IFERROR(Y488*I488/H488,"0")</f>
        <v>0</v>
      </c>
      <c r="BO488" s="75">
        <f t="shared" ref="BO488:BO494" si="72">IFERROR(1/J488*(X488/H488),"0")</f>
        <v>0</v>
      </c>
      <c r="BP488" s="75">
        <f t="shared" ref="BP488:BP494" si="73">IFERROR(1/J488*(Y488/H488),"0")</f>
        <v>0</v>
      </c>
    </row>
    <row r="489" spans="1:68" ht="27" customHeight="1" x14ac:dyDescent="0.25">
      <c r="A489" s="60" t="s">
        <v>782</v>
      </c>
      <c r="B489" s="60" t="s">
        <v>783</v>
      </c>
      <c r="C489" s="34">
        <v>4301031350</v>
      </c>
      <c r="D489" s="664">
        <v>4680115883093</v>
      </c>
      <c r="E489" s="664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151</v>
      </c>
      <c r="L489" s="35" t="s">
        <v>46</v>
      </c>
      <c r="M489" s="36" t="s">
        <v>83</v>
      </c>
      <c r="N489" s="36"/>
      <c r="O489" s="35">
        <v>70</v>
      </c>
      <c r="P489" s="91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666"/>
      <c r="R489" s="666"/>
      <c r="S489" s="666"/>
      <c r="T489" s="667"/>
      <c r="U489" s="37" t="s">
        <v>46</v>
      </c>
      <c r="V489" s="37" t="s">
        <v>46</v>
      </c>
      <c r="W489" s="38" t="s">
        <v>0</v>
      </c>
      <c r="X489" s="56">
        <v>120</v>
      </c>
      <c r="Y489" s="53">
        <f t="shared" si="69"/>
        <v>121.44000000000001</v>
      </c>
      <c r="Z489" s="39">
        <f>IFERROR(IF(Y489=0,"",ROUNDUP(Y489/H489,0)*0.01196),"")</f>
        <v>0.27507999999999999</v>
      </c>
      <c r="AA489" s="65" t="s">
        <v>46</v>
      </c>
      <c r="AB489" s="66" t="s">
        <v>46</v>
      </c>
      <c r="AC489" s="567" t="s">
        <v>784</v>
      </c>
      <c r="AG489" s="75"/>
      <c r="AJ489" s="79" t="s">
        <v>46</v>
      </c>
      <c r="AK489" s="79">
        <v>0</v>
      </c>
      <c r="BB489" s="568" t="s">
        <v>67</v>
      </c>
      <c r="BM489" s="75">
        <f t="shared" si="70"/>
        <v>127.95454545454545</v>
      </c>
      <c r="BN489" s="75">
        <f t="shared" si="71"/>
        <v>129.49</v>
      </c>
      <c r="BO489" s="75">
        <f t="shared" si="72"/>
        <v>0.21853146853146854</v>
      </c>
      <c r="BP489" s="75">
        <f t="shared" si="73"/>
        <v>0.22115384615384617</v>
      </c>
    </row>
    <row r="490" spans="1:68" ht="27" customHeight="1" x14ac:dyDescent="0.25">
      <c r="A490" s="60" t="s">
        <v>785</v>
      </c>
      <c r="B490" s="60" t="s">
        <v>786</v>
      </c>
      <c r="C490" s="34">
        <v>4301031353</v>
      </c>
      <c r="D490" s="664">
        <v>4680115883109</v>
      </c>
      <c r="E490" s="664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151</v>
      </c>
      <c r="L490" s="35" t="s">
        <v>46</v>
      </c>
      <c r="M490" s="36" t="s">
        <v>83</v>
      </c>
      <c r="N490" s="36"/>
      <c r="O490" s="35">
        <v>70</v>
      </c>
      <c r="P490" s="91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666"/>
      <c r="R490" s="666"/>
      <c r="S490" s="666"/>
      <c r="T490" s="667"/>
      <c r="U490" s="37" t="s">
        <v>46</v>
      </c>
      <c r="V490" s="37" t="s">
        <v>46</v>
      </c>
      <c r="W490" s="38" t="s">
        <v>0</v>
      </c>
      <c r="X490" s="56">
        <v>100</v>
      </c>
      <c r="Y490" s="53">
        <f t="shared" si="69"/>
        <v>100.32000000000001</v>
      </c>
      <c r="Z490" s="39">
        <f>IFERROR(IF(Y490=0,"",ROUNDUP(Y490/H490,0)*0.01196),"")</f>
        <v>0.22724</v>
      </c>
      <c r="AA490" s="65" t="s">
        <v>46</v>
      </c>
      <c r="AB490" s="66" t="s">
        <v>46</v>
      </c>
      <c r="AC490" s="569" t="s">
        <v>787</v>
      </c>
      <c r="AG490" s="75"/>
      <c r="AJ490" s="79" t="s">
        <v>46</v>
      </c>
      <c r="AK490" s="79">
        <v>0</v>
      </c>
      <c r="BB490" s="570" t="s">
        <v>67</v>
      </c>
      <c r="BM490" s="75">
        <f t="shared" si="70"/>
        <v>106.62878787878788</v>
      </c>
      <c r="BN490" s="75">
        <f t="shared" si="71"/>
        <v>106.97</v>
      </c>
      <c r="BO490" s="75">
        <f t="shared" si="72"/>
        <v>0.18210955710955709</v>
      </c>
      <c r="BP490" s="75">
        <f t="shared" si="73"/>
        <v>0.18269230769230771</v>
      </c>
    </row>
    <row r="491" spans="1:68" ht="27" customHeight="1" x14ac:dyDescent="0.25">
      <c r="A491" s="60" t="s">
        <v>788</v>
      </c>
      <c r="B491" s="60" t="s">
        <v>789</v>
      </c>
      <c r="C491" s="34">
        <v>4301031419</v>
      </c>
      <c r="D491" s="664">
        <v>4680115882072</v>
      </c>
      <c r="E491" s="664"/>
      <c r="F491" s="59">
        <v>0.6</v>
      </c>
      <c r="G491" s="35">
        <v>8</v>
      </c>
      <c r="H491" s="59">
        <v>4.8</v>
      </c>
      <c r="I491" s="59">
        <v>6.91</v>
      </c>
      <c r="J491" s="35">
        <v>132</v>
      </c>
      <c r="K491" s="35" t="s">
        <v>158</v>
      </c>
      <c r="L491" s="35" t="s">
        <v>46</v>
      </c>
      <c r="M491" s="36" t="s">
        <v>150</v>
      </c>
      <c r="N491" s="36"/>
      <c r="O491" s="35">
        <v>70</v>
      </c>
      <c r="P491" s="91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666"/>
      <c r="R491" s="666"/>
      <c r="S491" s="666"/>
      <c r="T491" s="667"/>
      <c r="U491" s="37" t="s">
        <v>46</v>
      </c>
      <c r="V491" s="37" t="s">
        <v>46</v>
      </c>
      <c r="W491" s="38" t="s">
        <v>0</v>
      </c>
      <c r="X491" s="56">
        <v>100</v>
      </c>
      <c r="Y491" s="53">
        <f t="shared" si="69"/>
        <v>100.8</v>
      </c>
      <c r="Z491" s="39">
        <f>IFERROR(IF(Y491=0,"",ROUNDUP(Y491/H491,0)*0.00902),"")</f>
        <v>0.18942000000000001</v>
      </c>
      <c r="AA491" s="65" t="s">
        <v>46</v>
      </c>
      <c r="AB491" s="66" t="s">
        <v>46</v>
      </c>
      <c r="AC491" s="571" t="s">
        <v>781</v>
      </c>
      <c r="AG491" s="75"/>
      <c r="AJ491" s="79" t="s">
        <v>46</v>
      </c>
      <c r="AK491" s="79">
        <v>0</v>
      </c>
      <c r="BB491" s="572" t="s">
        <v>67</v>
      </c>
      <c r="BM491" s="75">
        <f t="shared" si="70"/>
        <v>143.95833333333334</v>
      </c>
      <c r="BN491" s="75">
        <f t="shared" si="71"/>
        <v>145.11000000000001</v>
      </c>
      <c r="BO491" s="75">
        <f t="shared" si="72"/>
        <v>0.15782828282828285</v>
      </c>
      <c r="BP491" s="75">
        <f t="shared" si="73"/>
        <v>0.15909090909090909</v>
      </c>
    </row>
    <row r="492" spans="1:68" ht="27" hidden="1" customHeight="1" x14ac:dyDescent="0.25">
      <c r="A492" s="60" t="s">
        <v>790</v>
      </c>
      <c r="B492" s="60" t="s">
        <v>791</v>
      </c>
      <c r="C492" s="34">
        <v>4301031352</v>
      </c>
      <c r="D492" s="664">
        <v>4680115882102</v>
      </c>
      <c r="E492" s="664"/>
      <c r="F492" s="59">
        <v>0.6</v>
      </c>
      <c r="G492" s="35">
        <v>6</v>
      </c>
      <c r="H492" s="59">
        <v>3.6</v>
      </c>
      <c r="I492" s="59">
        <v>3.79</v>
      </c>
      <c r="J492" s="35">
        <v>132</v>
      </c>
      <c r="K492" s="35" t="s">
        <v>158</v>
      </c>
      <c r="L492" s="35" t="s">
        <v>46</v>
      </c>
      <c r="M492" s="36" t="s">
        <v>83</v>
      </c>
      <c r="N492" s="36"/>
      <c r="O492" s="35">
        <v>70</v>
      </c>
      <c r="P492" s="91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666"/>
      <c r="R492" s="666"/>
      <c r="S492" s="666"/>
      <c r="T492" s="667"/>
      <c r="U492" s="37" t="s">
        <v>46</v>
      </c>
      <c r="V492" s="37" t="s">
        <v>46</v>
      </c>
      <c r="W492" s="38" t="s">
        <v>0</v>
      </c>
      <c r="X492" s="56"/>
      <c r="Y492" s="53">
        <f t="shared" si="69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784</v>
      </c>
      <c r="AG492" s="75"/>
      <c r="AJ492" s="79" t="s">
        <v>46</v>
      </c>
      <c r="AK492" s="79">
        <v>0</v>
      </c>
      <c r="BB492" s="574" t="s">
        <v>67</v>
      </c>
      <c r="BM492" s="75">
        <f t="shared" si="70"/>
        <v>0</v>
      </c>
      <c r="BN492" s="75">
        <f t="shared" si="71"/>
        <v>0</v>
      </c>
      <c r="BO492" s="75">
        <f t="shared" si="72"/>
        <v>0</v>
      </c>
      <c r="BP492" s="75">
        <f t="shared" si="73"/>
        <v>0</v>
      </c>
    </row>
    <row r="493" spans="1:68" ht="27" hidden="1" customHeight="1" x14ac:dyDescent="0.25">
      <c r="A493" s="60" t="s">
        <v>790</v>
      </c>
      <c r="B493" s="60" t="s">
        <v>792</v>
      </c>
      <c r="C493" s="34">
        <v>4301031418</v>
      </c>
      <c r="D493" s="664">
        <v>4680115882102</v>
      </c>
      <c r="E493" s="664"/>
      <c r="F493" s="59">
        <v>0.6</v>
      </c>
      <c r="G493" s="35">
        <v>8</v>
      </c>
      <c r="H493" s="59">
        <v>4.8</v>
      </c>
      <c r="I493" s="59">
        <v>6.67</v>
      </c>
      <c r="J493" s="35">
        <v>132</v>
      </c>
      <c r="K493" s="35" t="s">
        <v>158</v>
      </c>
      <c r="L493" s="35" t="s">
        <v>46</v>
      </c>
      <c r="M493" s="36" t="s">
        <v>83</v>
      </c>
      <c r="N493" s="36"/>
      <c r="O493" s="35">
        <v>70</v>
      </c>
      <c r="P493" s="91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666"/>
      <c r="R493" s="666"/>
      <c r="S493" s="666"/>
      <c r="T493" s="667"/>
      <c r="U493" s="37" t="s">
        <v>46</v>
      </c>
      <c r="V493" s="37" t="s">
        <v>46</v>
      </c>
      <c r="W493" s="38" t="s">
        <v>0</v>
      </c>
      <c r="X493" s="56"/>
      <c r="Y493" s="53">
        <f t="shared" si="69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784</v>
      </c>
      <c r="AG493" s="75"/>
      <c r="AJ493" s="79" t="s">
        <v>46</v>
      </c>
      <c r="AK493" s="79">
        <v>0</v>
      </c>
      <c r="BB493" s="576" t="s">
        <v>67</v>
      </c>
      <c r="BM493" s="75">
        <f t="shared" si="70"/>
        <v>0</v>
      </c>
      <c r="BN493" s="75">
        <f t="shared" si="71"/>
        <v>0</v>
      </c>
      <c r="BO493" s="75">
        <f t="shared" si="72"/>
        <v>0</v>
      </c>
      <c r="BP493" s="75">
        <f t="shared" si="73"/>
        <v>0</v>
      </c>
    </row>
    <row r="494" spans="1:68" ht="27" hidden="1" customHeight="1" x14ac:dyDescent="0.25">
      <c r="A494" s="60" t="s">
        <v>793</v>
      </c>
      <c r="B494" s="60" t="s">
        <v>794</v>
      </c>
      <c r="C494" s="34">
        <v>4301031417</v>
      </c>
      <c r="D494" s="664">
        <v>4680115882096</v>
      </c>
      <c r="E494" s="664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158</v>
      </c>
      <c r="L494" s="35" t="s">
        <v>46</v>
      </c>
      <c r="M494" s="36" t="s">
        <v>83</v>
      </c>
      <c r="N494" s="36"/>
      <c r="O494" s="35">
        <v>70</v>
      </c>
      <c r="P494" s="92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666"/>
      <c r="R494" s="666"/>
      <c r="S494" s="666"/>
      <c r="T494" s="667"/>
      <c r="U494" s="37" t="s">
        <v>46</v>
      </c>
      <c r="V494" s="37" t="s">
        <v>46</v>
      </c>
      <c r="W494" s="38" t="s">
        <v>0</v>
      </c>
      <c r="X494" s="56"/>
      <c r="Y494" s="53">
        <f t="shared" si="69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787</v>
      </c>
      <c r="AG494" s="75"/>
      <c r="AJ494" s="79" t="s">
        <v>46</v>
      </c>
      <c r="AK494" s="79">
        <v>0</v>
      </c>
      <c r="BB494" s="578" t="s">
        <v>67</v>
      </c>
      <c r="BM494" s="75">
        <f t="shared" si="70"/>
        <v>0</v>
      </c>
      <c r="BN494" s="75">
        <f t="shared" si="71"/>
        <v>0</v>
      </c>
      <c r="BO494" s="75">
        <f t="shared" si="72"/>
        <v>0</v>
      </c>
      <c r="BP494" s="75">
        <f t="shared" si="73"/>
        <v>0</v>
      </c>
    </row>
    <row r="495" spans="1:68" x14ac:dyDescent="0.2">
      <c r="A495" s="673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70" t="s">
        <v>40</v>
      </c>
      <c r="Q495" s="671"/>
      <c r="R495" s="671"/>
      <c r="S495" s="671"/>
      <c r="T495" s="671"/>
      <c r="U495" s="671"/>
      <c r="V495" s="672"/>
      <c r="W495" s="40" t="s">
        <v>39</v>
      </c>
      <c r="X495" s="41">
        <f>IFERROR(X488/H488,"0")+IFERROR(X489/H489,"0")+IFERROR(X490/H490,"0")+IFERROR(X491/H491,"0")+IFERROR(X492/H492,"0")+IFERROR(X493/H493,"0")+IFERROR(X494/H494,"0")</f>
        <v>62.5</v>
      </c>
      <c r="Y495" s="41">
        <f>IFERROR(Y488/H488,"0")+IFERROR(Y489/H489,"0")+IFERROR(Y490/H490,"0")+IFERROR(Y491/H491,"0")+IFERROR(Y492/H492,"0")+IFERROR(Y493/H493,"0")+IFERROR(Y494/H494,"0")</f>
        <v>63</v>
      </c>
      <c r="Z495" s="41">
        <f>IFERROR(IF(Z488="",0,Z488),"0")+IFERROR(IF(Z489="",0,Z489),"0")+IFERROR(IF(Z490="",0,Z490),"0")+IFERROR(IF(Z491="",0,Z491),"0")+IFERROR(IF(Z492="",0,Z492),"0")+IFERROR(IF(Z493="",0,Z493),"0")+IFERROR(IF(Z494="",0,Z494),"0")</f>
        <v>0.69174000000000002</v>
      </c>
      <c r="AA495" s="64"/>
      <c r="AB495" s="64"/>
      <c r="AC495" s="64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70" t="s">
        <v>40</v>
      </c>
      <c r="Q496" s="671"/>
      <c r="R496" s="671"/>
      <c r="S496" s="671"/>
      <c r="T496" s="671"/>
      <c r="U496" s="671"/>
      <c r="V496" s="672"/>
      <c r="W496" s="40" t="s">
        <v>0</v>
      </c>
      <c r="X496" s="41">
        <f>IFERROR(SUM(X488:X494),"0")</f>
        <v>320</v>
      </c>
      <c r="Y496" s="41">
        <f>IFERROR(SUM(Y488:Y494),"0")</f>
        <v>322.56</v>
      </c>
      <c r="Z496" s="40"/>
      <c r="AA496" s="64"/>
      <c r="AB496" s="64"/>
      <c r="AC496" s="64"/>
    </row>
    <row r="497" spans="1:68" ht="27.75" hidden="1" customHeight="1" x14ac:dyDescent="0.2">
      <c r="A497" s="661" t="s">
        <v>795</v>
      </c>
      <c r="B497" s="661"/>
      <c r="C497" s="661"/>
      <c r="D497" s="661"/>
      <c r="E497" s="661"/>
      <c r="F497" s="661"/>
      <c r="G497" s="661"/>
      <c r="H497" s="661"/>
      <c r="I497" s="661"/>
      <c r="J497" s="661"/>
      <c r="K497" s="661"/>
      <c r="L497" s="661"/>
      <c r="M497" s="661"/>
      <c r="N497" s="661"/>
      <c r="O497" s="661"/>
      <c r="P497" s="661"/>
      <c r="Q497" s="661"/>
      <c r="R497" s="661"/>
      <c r="S497" s="661"/>
      <c r="T497" s="661"/>
      <c r="U497" s="661"/>
      <c r="V497" s="661"/>
      <c r="W497" s="661"/>
      <c r="X497" s="661"/>
      <c r="Y497" s="661"/>
      <c r="Z497" s="661"/>
      <c r="AA497" s="52"/>
      <c r="AB497" s="52"/>
      <c r="AC497" s="52"/>
    </row>
    <row r="498" spans="1:68" ht="16.5" hidden="1" customHeight="1" x14ac:dyDescent="0.25">
      <c r="A498" s="662" t="s">
        <v>795</v>
      </c>
      <c r="B498" s="662"/>
      <c r="C498" s="662"/>
      <c r="D498" s="662"/>
      <c r="E498" s="662"/>
      <c r="F498" s="662"/>
      <c r="G498" s="662"/>
      <c r="H498" s="662"/>
      <c r="I498" s="662"/>
      <c r="J498" s="662"/>
      <c r="K498" s="662"/>
      <c r="L498" s="662"/>
      <c r="M498" s="662"/>
      <c r="N498" s="662"/>
      <c r="O498" s="662"/>
      <c r="P498" s="662"/>
      <c r="Q498" s="662"/>
      <c r="R498" s="662"/>
      <c r="S498" s="662"/>
      <c r="T498" s="662"/>
      <c r="U498" s="662"/>
      <c r="V498" s="662"/>
      <c r="W498" s="662"/>
      <c r="X498" s="662"/>
      <c r="Y498" s="662"/>
      <c r="Z498" s="662"/>
      <c r="AA498" s="62"/>
      <c r="AB498" s="62"/>
      <c r="AC498" s="62"/>
    </row>
    <row r="499" spans="1:68" ht="14.25" hidden="1" customHeight="1" x14ac:dyDescent="0.25">
      <c r="A499" s="663" t="s">
        <v>146</v>
      </c>
      <c r="B499" s="663"/>
      <c r="C499" s="663"/>
      <c r="D499" s="663"/>
      <c r="E499" s="663"/>
      <c r="F499" s="663"/>
      <c r="G499" s="663"/>
      <c r="H499" s="663"/>
      <c r="I499" s="663"/>
      <c r="J499" s="663"/>
      <c r="K499" s="663"/>
      <c r="L499" s="663"/>
      <c r="M499" s="663"/>
      <c r="N499" s="663"/>
      <c r="O499" s="663"/>
      <c r="P499" s="663"/>
      <c r="Q499" s="663"/>
      <c r="R499" s="663"/>
      <c r="S499" s="663"/>
      <c r="T499" s="663"/>
      <c r="U499" s="663"/>
      <c r="V499" s="663"/>
      <c r="W499" s="663"/>
      <c r="X499" s="663"/>
      <c r="Y499" s="663"/>
      <c r="Z499" s="663"/>
      <c r="AA499" s="63"/>
      <c r="AB499" s="63"/>
      <c r="AC499" s="63"/>
    </row>
    <row r="500" spans="1:68" ht="27" hidden="1" customHeight="1" x14ac:dyDescent="0.25">
      <c r="A500" s="60" t="s">
        <v>796</v>
      </c>
      <c r="B500" s="60" t="s">
        <v>797</v>
      </c>
      <c r="C500" s="34">
        <v>4301011584</v>
      </c>
      <c r="D500" s="664">
        <v>4640242180564</v>
      </c>
      <c r="E500" s="664"/>
      <c r="F500" s="59">
        <v>1.5</v>
      </c>
      <c r="G500" s="35">
        <v>8</v>
      </c>
      <c r="H500" s="59">
        <v>12</v>
      </c>
      <c r="I500" s="59">
        <v>12.41</v>
      </c>
      <c r="J500" s="35">
        <v>64</v>
      </c>
      <c r="K500" s="35" t="s">
        <v>151</v>
      </c>
      <c r="L500" s="35" t="s">
        <v>46</v>
      </c>
      <c r="M500" s="36" t="s">
        <v>150</v>
      </c>
      <c r="N500" s="36"/>
      <c r="O500" s="35">
        <v>50</v>
      </c>
      <c r="P500" s="92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666"/>
      <c r="R500" s="666"/>
      <c r="S500" s="666"/>
      <c r="T500" s="667"/>
      <c r="U500" s="37" t="s">
        <v>46</v>
      </c>
      <c r="V500" s="37" t="s">
        <v>46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IFERROR(IF(Y500=0,"",ROUNDUP(Y500/H500,0)*0.01898),"")</f>
        <v/>
      </c>
      <c r="AA500" s="65" t="s">
        <v>46</v>
      </c>
      <c r="AB500" s="66" t="s">
        <v>46</v>
      </c>
      <c r="AC500" s="579" t="s">
        <v>798</v>
      </c>
      <c r="AG500" s="75"/>
      <c r="AJ500" s="79" t="s">
        <v>46</v>
      </c>
      <c r="AK500" s="79">
        <v>0</v>
      </c>
      <c r="BB500" s="580" t="s">
        <v>67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idden="1" x14ac:dyDescent="0.2">
      <c r="A501" s="673"/>
      <c r="B501" s="673"/>
      <c r="C501" s="673"/>
      <c r="D501" s="673"/>
      <c r="E501" s="673"/>
      <c r="F501" s="673"/>
      <c r="G501" s="673"/>
      <c r="H501" s="673"/>
      <c r="I501" s="673"/>
      <c r="J501" s="673"/>
      <c r="K501" s="673"/>
      <c r="L501" s="673"/>
      <c r="M501" s="673"/>
      <c r="N501" s="673"/>
      <c r="O501" s="674"/>
      <c r="P501" s="670" t="s">
        <v>40</v>
      </c>
      <c r="Q501" s="671"/>
      <c r="R501" s="671"/>
      <c r="S501" s="671"/>
      <c r="T501" s="671"/>
      <c r="U501" s="671"/>
      <c r="V501" s="672"/>
      <c r="W501" s="40" t="s">
        <v>39</v>
      </c>
      <c r="X501" s="41">
        <f>IFERROR(X500/H500,"0")</f>
        <v>0</v>
      </c>
      <c r="Y501" s="41">
        <f>IFERROR(Y500/H500,"0")</f>
        <v>0</v>
      </c>
      <c r="Z501" s="41">
        <f>IFERROR(IF(Z500="",0,Z500),"0")</f>
        <v>0</v>
      </c>
      <c r="AA501" s="64"/>
      <c r="AB501" s="64"/>
      <c r="AC501" s="64"/>
    </row>
    <row r="502" spans="1:68" hidden="1" x14ac:dyDescent="0.2">
      <c r="A502" s="673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70" t="s">
        <v>40</v>
      </c>
      <c r="Q502" s="671"/>
      <c r="R502" s="671"/>
      <c r="S502" s="671"/>
      <c r="T502" s="671"/>
      <c r="U502" s="671"/>
      <c r="V502" s="672"/>
      <c r="W502" s="40" t="s">
        <v>0</v>
      </c>
      <c r="X502" s="41">
        <f>IFERROR(SUM(X500:X500),"0")</f>
        <v>0</v>
      </c>
      <c r="Y502" s="41">
        <f>IFERROR(SUM(Y500:Y500),"0")</f>
        <v>0</v>
      </c>
      <c r="Z502" s="40"/>
      <c r="AA502" s="64"/>
      <c r="AB502" s="64"/>
      <c r="AC502" s="64"/>
    </row>
    <row r="503" spans="1:68" ht="14.25" hidden="1" customHeight="1" x14ac:dyDescent="0.25">
      <c r="A503" s="663" t="s">
        <v>180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3"/>
      <c r="AB503" s="63"/>
      <c r="AC503" s="63"/>
    </row>
    <row r="504" spans="1:68" ht="27" hidden="1" customHeight="1" x14ac:dyDescent="0.25">
      <c r="A504" s="60" t="s">
        <v>799</v>
      </c>
      <c r="B504" s="60" t="s">
        <v>800</v>
      </c>
      <c r="C504" s="34">
        <v>4301020400</v>
      </c>
      <c r="D504" s="664">
        <v>4640242180519</v>
      </c>
      <c r="E504" s="664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151</v>
      </c>
      <c r="L504" s="35" t="s">
        <v>46</v>
      </c>
      <c r="M504" s="36" t="s">
        <v>150</v>
      </c>
      <c r="N504" s="36"/>
      <c r="O504" s="35">
        <v>50</v>
      </c>
      <c r="P504" s="9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666"/>
      <c r="R504" s="666"/>
      <c r="S504" s="666"/>
      <c r="T504" s="667"/>
      <c r="U504" s="37" t="s">
        <v>46</v>
      </c>
      <c r="V504" s="37" t="s">
        <v>46</v>
      </c>
      <c r="W504" s="38" t="s">
        <v>0</v>
      </c>
      <c r="X504" s="56">
        <v>0</v>
      </c>
      <c r="Y504" s="53">
        <f>IFERROR(IF(X504="",0,CEILING((X504/$H504),1)*$H504),"")</f>
        <v>0</v>
      </c>
      <c r="Z504" s="39" t="str">
        <f>IFERROR(IF(Y504=0,"",ROUNDUP(Y504/H504,0)*0.01898),"")</f>
        <v/>
      </c>
      <c r="AA504" s="65" t="s">
        <v>46</v>
      </c>
      <c r="AB504" s="66" t="s">
        <v>46</v>
      </c>
      <c r="AC504" s="581" t="s">
        <v>801</v>
      </c>
      <c r="AG504" s="75"/>
      <c r="AJ504" s="79" t="s">
        <v>46</v>
      </c>
      <c r="AK504" s="79">
        <v>0</v>
      </c>
      <c r="BB504" s="582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idden="1" x14ac:dyDescent="0.2">
      <c r="A505" s="673"/>
      <c r="B505" s="673"/>
      <c r="C505" s="673"/>
      <c r="D505" s="673"/>
      <c r="E505" s="673"/>
      <c r="F505" s="673"/>
      <c r="G505" s="673"/>
      <c r="H505" s="673"/>
      <c r="I505" s="673"/>
      <c r="J505" s="673"/>
      <c r="K505" s="673"/>
      <c r="L505" s="673"/>
      <c r="M505" s="673"/>
      <c r="N505" s="673"/>
      <c r="O505" s="674"/>
      <c r="P505" s="670" t="s">
        <v>40</v>
      </c>
      <c r="Q505" s="671"/>
      <c r="R505" s="671"/>
      <c r="S505" s="671"/>
      <c r="T505" s="671"/>
      <c r="U505" s="671"/>
      <c r="V505" s="672"/>
      <c r="W505" s="40" t="s">
        <v>39</v>
      </c>
      <c r="X505" s="41">
        <f>IFERROR(X504/H504,"0")</f>
        <v>0</v>
      </c>
      <c r="Y505" s="41">
        <f>IFERROR(Y504/H504,"0")</f>
        <v>0</v>
      </c>
      <c r="Z505" s="41">
        <f>IFERROR(IF(Z504="",0,Z504),"0")</f>
        <v>0</v>
      </c>
      <c r="AA505" s="64"/>
      <c r="AB505" s="64"/>
      <c r="AC505" s="64"/>
    </row>
    <row r="506" spans="1:68" hidden="1" x14ac:dyDescent="0.2">
      <c r="A506" s="673"/>
      <c r="B506" s="673"/>
      <c r="C506" s="673"/>
      <c r="D506" s="673"/>
      <c r="E506" s="673"/>
      <c r="F506" s="673"/>
      <c r="G506" s="673"/>
      <c r="H506" s="673"/>
      <c r="I506" s="673"/>
      <c r="J506" s="673"/>
      <c r="K506" s="673"/>
      <c r="L506" s="673"/>
      <c r="M506" s="673"/>
      <c r="N506" s="673"/>
      <c r="O506" s="674"/>
      <c r="P506" s="670" t="s">
        <v>40</v>
      </c>
      <c r="Q506" s="671"/>
      <c r="R506" s="671"/>
      <c r="S506" s="671"/>
      <c r="T506" s="671"/>
      <c r="U506" s="671"/>
      <c r="V506" s="672"/>
      <c r="W506" s="40" t="s">
        <v>0</v>
      </c>
      <c r="X506" s="41">
        <f>IFERROR(SUM(X504:X504),"0")</f>
        <v>0</v>
      </c>
      <c r="Y506" s="41">
        <f>IFERROR(SUM(Y504:Y504),"0")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663" t="s">
        <v>77</v>
      </c>
      <c r="B507" s="663"/>
      <c r="C507" s="663"/>
      <c r="D507" s="663"/>
      <c r="E507" s="663"/>
      <c r="F507" s="663"/>
      <c r="G507" s="663"/>
      <c r="H507" s="663"/>
      <c r="I507" s="663"/>
      <c r="J507" s="663"/>
      <c r="K507" s="663"/>
      <c r="L507" s="663"/>
      <c r="M507" s="663"/>
      <c r="N507" s="663"/>
      <c r="O507" s="663"/>
      <c r="P507" s="663"/>
      <c r="Q507" s="663"/>
      <c r="R507" s="663"/>
      <c r="S507" s="663"/>
      <c r="T507" s="663"/>
      <c r="U507" s="663"/>
      <c r="V507" s="663"/>
      <c r="W507" s="663"/>
      <c r="X507" s="663"/>
      <c r="Y507" s="663"/>
      <c r="Z507" s="663"/>
      <c r="AA507" s="63"/>
      <c r="AB507" s="63"/>
      <c r="AC507" s="63"/>
    </row>
    <row r="508" spans="1:68" ht="27" customHeight="1" x14ac:dyDescent="0.25">
      <c r="A508" s="60" t="s">
        <v>802</v>
      </c>
      <c r="B508" s="60" t="s">
        <v>803</v>
      </c>
      <c r="C508" s="34">
        <v>4301031467</v>
      </c>
      <c r="D508" s="664">
        <v>4640242180595</v>
      </c>
      <c r="E508" s="664"/>
      <c r="F508" s="59">
        <v>0.8</v>
      </c>
      <c r="G508" s="35">
        <v>6</v>
      </c>
      <c r="H508" s="59">
        <v>4.8</v>
      </c>
      <c r="I508" s="59">
        <v>5.05</v>
      </c>
      <c r="J508" s="35">
        <v>132</v>
      </c>
      <c r="K508" s="35" t="s">
        <v>158</v>
      </c>
      <c r="L508" s="35" t="s">
        <v>46</v>
      </c>
      <c r="M508" s="36" t="s">
        <v>83</v>
      </c>
      <c r="N508" s="36"/>
      <c r="O508" s="35">
        <v>40</v>
      </c>
      <c r="P508" s="92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666"/>
      <c r="R508" s="666"/>
      <c r="S508" s="666"/>
      <c r="T508" s="667"/>
      <c r="U508" s="37" t="s">
        <v>46</v>
      </c>
      <c r="V508" s="37" t="s">
        <v>46</v>
      </c>
      <c r="W508" s="38" t="s">
        <v>0</v>
      </c>
      <c r="X508" s="56">
        <v>300</v>
      </c>
      <c r="Y508" s="53">
        <f>IFERROR(IF(X508="",0,CEILING((X508/$H508),1)*$H508),"")</f>
        <v>302.39999999999998</v>
      </c>
      <c r="Z508" s="39">
        <f>IFERROR(IF(Y508=0,"",ROUNDUP(Y508/H508,0)*0.00902),"")</f>
        <v>0.56825999999999999</v>
      </c>
      <c r="AA508" s="65" t="s">
        <v>46</v>
      </c>
      <c r="AB508" s="66" t="s">
        <v>46</v>
      </c>
      <c r="AC508" s="583" t="s">
        <v>804</v>
      </c>
      <c r="AG508" s="75"/>
      <c r="AJ508" s="79" t="s">
        <v>46</v>
      </c>
      <c r="AK508" s="79">
        <v>0</v>
      </c>
      <c r="BB508" s="584" t="s">
        <v>67</v>
      </c>
      <c r="BM508" s="75">
        <f>IFERROR(X508*I508/H508,"0")</f>
        <v>315.625</v>
      </c>
      <c r="BN508" s="75">
        <f>IFERROR(Y508*I508/H508,"0")</f>
        <v>318.14999999999998</v>
      </c>
      <c r="BO508" s="75">
        <f>IFERROR(1/J508*(X508/H508),"0")</f>
        <v>0.47348484848484851</v>
      </c>
      <c r="BP508" s="75">
        <f>IFERROR(1/J508*(Y508/H508),"0")</f>
        <v>0.47727272727272729</v>
      </c>
    </row>
    <row r="509" spans="1:68" x14ac:dyDescent="0.2">
      <c r="A509" s="673"/>
      <c r="B509" s="673"/>
      <c r="C509" s="673"/>
      <c r="D509" s="673"/>
      <c r="E509" s="673"/>
      <c r="F509" s="673"/>
      <c r="G509" s="673"/>
      <c r="H509" s="673"/>
      <c r="I509" s="673"/>
      <c r="J509" s="673"/>
      <c r="K509" s="673"/>
      <c r="L509" s="673"/>
      <c r="M509" s="673"/>
      <c r="N509" s="673"/>
      <c r="O509" s="674"/>
      <c r="P509" s="670" t="s">
        <v>40</v>
      </c>
      <c r="Q509" s="671"/>
      <c r="R509" s="671"/>
      <c r="S509" s="671"/>
      <c r="T509" s="671"/>
      <c r="U509" s="671"/>
      <c r="V509" s="672"/>
      <c r="W509" s="40" t="s">
        <v>39</v>
      </c>
      <c r="X509" s="41">
        <f>IFERROR(X508/H508,"0")</f>
        <v>62.5</v>
      </c>
      <c r="Y509" s="41">
        <f>IFERROR(Y508/H508,"0")</f>
        <v>63</v>
      </c>
      <c r="Z509" s="41">
        <f>IFERROR(IF(Z508="",0,Z508),"0")</f>
        <v>0.56825999999999999</v>
      </c>
      <c r="AA509" s="64"/>
      <c r="AB509" s="64"/>
      <c r="AC509" s="64"/>
    </row>
    <row r="510" spans="1:68" x14ac:dyDescent="0.2">
      <c r="A510" s="673"/>
      <c r="B510" s="673"/>
      <c r="C510" s="673"/>
      <c r="D510" s="673"/>
      <c r="E510" s="673"/>
      <c r="F510" s="673"/>
      <c r="G510" s="673"/>
      <c r="H510" s="673"/>
      <c r="I510" s="673"/>
      <c r="J510" s="673"/>
      <c r="K510" s="673"/>
      <c r="L510" s="673"/>
      <c r="M510" s="673"/>
      <c r="N510" s="673"/>
      <c r="O510" s="674"/>
      <c r="P510" s="670" t="s">
        <v>40</v>
      </c>
      <c r="Q510" s="671"/>
      <c r="R510" s="671"/>
      <c r="S510" s="671"/>
      <c r="T510" s="671"/>
      <c r="U510" s="671"/>
      <c r="V510" s="672"/>
      <c r="W510" s="40" t="s">
        <v>0</v>
      </c>
      <c r="X510" s="41">
        <f>IFERROR(SUM(X508:X508),"0")</f>
        <v>300</v>
      </c>
      <c r="Y510" s="41">
        <f>IFERROR(SUM(Y508:Y508),"0")</f>
        <v>302.39999999999998</v>
      </c>
      <c r="Z510" s="40"/>
      <c r="AA510" s="64"/>
      <c r="AB510" s="64"/>
      <c r="AC510" s="64"/>
    </row>
    <row r="511" spans="1:68" ht="14.25" hidden="1" customHeight="1" x14ac:dyDescent="0.25">
      <c r="A511" s="663" t="s">
        <v>92</v>
      </c>
      <c r="B511" s="663"/>
      <c r="C511" s="663"/>
      <c r="D511" s="663"/>
      <c r="E511" s="663"/>
      <c r="F511" s="663"/>
      <c r="G511" s="663"/>
      <c r="H511" s="663"/>
      <c r="I511" s="663"/>
      <c r="J511" s="663"/>
      <c r="K511" s="663"/>
      <c r="L511" s="663"/>
      <c r="M511" s="663"/>
      <c r="N511" s="663"/>
      <c r="O511" s="663"/>
      <c r="P511" s="663"/>
      <c r="Q511" s="663"/>
      <c r="R511" s="663"/>
      <c r="S511" s="663"/>
      <c r="T511" s="663"/>
      <c r="U511" s="663"/>
      <c r="V511" s="663"/>
      <c r="W511" s="663"/>
      <c r="X511" s="663"/>
      <c r="Y511" s="663"/>
      <c r="Z511" s="663"/>
      <c r="AA511" s="63"/>
      <c r="AB511" s="63"/>
      <c r="AC511" s="63"/>
    </row>
    <row r="512" spans="1:68" ht="27" hidden="1" customHeight="1" x14ac:dyDescent="0.25">
      <c r="A512" s="60" t="s">
        <v>805</v>
      </c>
      <c r="B512" s="60" t="s">
        <v>806</v>
      </c>
      <c r="C512" s="34">
        <v>4301052046</v>
      </c>
      <c r="D512" s="664">
        <v>4640242180533</v>
      </c>
      <c r="E512" s="664"/>
      <c r="F512" s="59">
        <v>1.5</v>
      </c>
      <c r="G512" s="35">
        <v>6</v>
      </c>
      <c r="H512" s="59">
        <v>9</v>
      </c>
      <c r="I512" s="59">
        <v>9.4939999999999998</v>
      </c>
      <c r="J512" s="35">
        <v>64</v>
      </c>
      <c r="K512" s="35" t="s">
        <v>151</v>
      </c>
      <c r="L512" s="35" t="s">
        <v>46</v>
      </c>
      <c r="M512" s="36" t="s">
        <v>102</v>
      </c>
      <c r="N512" s="36"/>
      <c r="O512" s="35">
        <v>45</v>
      </c>
      <c r="P512" s="92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2" s="666"/>
      <c r="R512" s="666"/>
      <c r="S512" s="666"/>
      <c r="T512" s="667"/>
      <c r="U512" s="37" t="s">
        <v>46</v>
      </c>
      <c r="V512" s="37" t="s">
        <v>46</v>
      </c>
      <c r="W512" s="38" t="s">
        <v>0</v>
      </c>
      <c r="X512" s="56"/>
      <c r="Y512" s="53">
        <f>IFERROR(IF(X512="",0,CEILING((X512/$H512),1)*$H512),"")</f>
        <v>0</v>
      </c>
      <c r="Z512" s="39" t="str">
        <f>IFERROR(IF(Y512=0,"",ROUNDUP(Y512/H512,0)*0.01898),"")</f>
        <v/>
      </c>
      <c r="AA512" s="65" t="s">
        <v>46</v>
      </c>
      <c r="AB512" s="66" t="s">
        <v>46</v>
      </c>
      <c r="AC512" s="585" t="s">
        <v>807</v>
      </c>
      <c r="AG512" s="75"/>
      <c r="AJ512" s="79" t="s">
        <v>46</v>
      </c>
      <c r="AK512" s="79">
        <v>0</v>
      </c>
      <c r="BB512" s="586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idden="1" x14ac:dyDescent="0.2">
      <c r="A513" s="673"/>
      <c r="B513" s="673"/>
      <c r="C513" s="673"/>
      <c r="D513" s="673"/>
      <c r="E513" s="673"/>
      <c r="F513" s="673"/>
      <c r="G513" s="673"/>
      <c r="H513" s="673"/>
      <c r="I513" s="673"/>
      <c r="J513" s="673"/>
      <c r="K513" s="673"/>
      <c r="L513" s="673"/>
      <c r="M513" s="673"/>
      <c r="N513" s="673"/>
      <c r="O513" s="674"/>
      <c r="P513" s="670" t="s">
        <v>40</v>
      </c>
      <c r="Q513" s="671"/>
      <c r="R513" s="671"/>
      <c r="S513" s="671"/>
      <c r="T513" s="671"/>
      <c r="U513" s="671"/>
      <c r="V513" s="672"/>
      <c r="W513" s="40" t="s">
        <v>39</v>
      </c>
      <c r="X513" s="41">
        <f>IFERROR(X512/H512,"0")</f>
        <v>0</v>
      </c>
      <c r="Y513" s="41">
        <f>IFERROR(Y512/H512,"0")</f>
        <v>0</v>
      </c>
      <c r="Z513" s="41">
        <f>IFERROR(IF(Z512="",0,Z512),"0")</f>
        <v>0</v>
      </c>
      <c r="AA513" s="64"/>
      <c r="AB513" s="64"/>
      <c r="AC513" s="64"/>
    </row>
    <row r="514" spans="1:68" hidden="1" x14ac:dyDescent="0.2">
      <c r="A514" s="673"/>
      <c r="B514" s="673"/>
      <c r="C514" s="673"/>
      <c r="D514" s="673"/>
      <c r="E514" s="673"/>
      <c r="F514" s="673"/>
      <c r="G514" s="673"/>
      <c r="H514" s="673"/>
      <c r="I514" s="673"/>
      <c r="J514" s="673"/>
      <c r="K514" s="673"/>
      <c r="L514" s="673"/>
      <c r="M514" s="673"/>
      <c r="N514" s="673"/>
      <c r="O514" s="674"/>
      <c r="P514" s="670" t="s">
        <v>40</v>
      </c>
      <c r="Q514" s="671"/>
      <c r="R514" s="671"/>
      <c r="S514" s="671"/>
      <c r="T514" s="671"/>
      <c r="U514" s="671"/>
      <c r="V514" s="672"/>
      <c r="W514" s="40" t="s">
        <v>0</v>
      </c>
      <c r="X514" s="41">
        <f>IFERROR(SUM(X512:X512),"0")</f>
        <v>0</v>
      </c>
      <c r="Y514" s="41">
        <f>IFERROR(SUM(Y512:Y512),"0")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663" t="s">
        <v>197</v>
      </c>
      <c r="B515" s="663"/>
      <c r="C515" s="663"/>
      <c r="D515" s="663"/>
      <c r="E515" s="663"/>
      <c r="F515" s="663"/>
      <c r="G515" s="663"/>
      <c r="H515" s="663"/>
      <c r="I515" s="663"/>
      <c r="J515" s="663"/>
      <c r="K515" s="663"/>
      <c r="L515" s="663"/>
      <c r="M515" s="663"/>
      <c r="N515" s="663"/>
      <c r="O515" s="663"/>
      <c r="P515" s="663"/>
      <c r="Q515" s="663"/>
      <c r="R515" s="663"/>
      <c r="S515" s="663"/>
      <c r="T515" s="663"/>
      <c r="U515" s="663"/>
      <c r="V515" s="663"/>
      <c r="W515" s="663"/>
      <c r="X515" s="663"/>
      <c r="Y515" s="663"/>
      <c r="Z515" s="663"/>
      <c r="AA515" s="63"/>
      <c r="AB515" s="63"/>
      <c r="AC515" s="63"/>
    </row>
    <row r="516" spans="1:68" ht="27" hidden="1" customHeight="1" x14ac:dyDescent="0.25">
      <c r="A516" s="60" t="s">
        <v>808</v>
      </c>
      <c r="B516" s="60" t="s">
        <v>809</v>
      </c>
      <c r="C516" s="34">
        <v>4301060491</v>
      </c>
      <c r="D516" s="664">
        <v>4640242180120</v>
      </c>
      <c r="E516" s="664"/>
      <c r="F516" s="59">
        <v>1.5</v>
      </c>
      <c r="G516" s="35">
        <v>6</v>
      </c>
      <c r="H516" s="59">
        <v>9</v>
      </c>
      <c r="I516" s="59">
        <v>9.41</v>
      </c>
      <c r="J516" s="35">
        <v>64</v>
      </c>
      <c r="K516" s="35" t="s">
        <v>151</v>
      </c>
      <c r="L516" s="35" t="s">
        <v>46</v>
      </c>
      <c r="M516" s="36" t="s">
        <v>96</v>
      </c>
      <c r="N516" s="36"/>
      <c r="O516" s="35">
        <v>40</v>
      </c>
      <c r="P516" s="92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6" s="666"/>
      <c r="R516" s="666"/>
      <c r="S516" s="666"/>
      <c r="T516" s="667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IFERROR(IF(Y516=0,"",ROUNDUP(Y516/H516,0)*0.01898),"")</f>
        <v/>
      </c>
      <c r="AA516" s="65" t="s">
        <v>46</v>
      </c>
      <c r="AB516" s="66" t="s">
        <v>46</v>
      </c>
      <c r="AC516" s="587" t="s">
        <v>810</v>
      </c>
      <c r="AG516" s="75"/>
      <c r="AJ516" s="79" t="s">
        <v>46</v>
      </c>
      <c r="AK516" s="79">
        <v>0</v>
      </c>
      <c r="BB516" s="588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27" hidden="1" customHeight="1" x14ac:dyDescent="0.25">
      <c r="A517" s="60" t="s">
        <v>811</v>
      </c>
      <c r="B517" s="60" t="s">
        <v>812</v>
      </c>
      <c r="C517" s="34">
        <v>4301060493</v>
      </c>
      <c r="D517" s="664">
        <v>4640242180137</v>
      </c>
      <c r="E517" s="664"/>
      <c r="F517" s="59">
        <v>1.5</v>
      </c>
      <c r="G517" s="35">
        <v>6</v>
      </c>
      <c r="H517" s="59">
        <v>9</v>
      </c>
      <c r="I517" s="59">
        <v>9.41</v>
      </c>
      <c r="J517" s="35">
        <v>64</v>
      </c>
      <c r="K517" s="35" t="s">
        <v>151</v>
      </c>
      <c r="L517" s="35" t="s">
        <v>46</v>
      </c>
      <c r="M517" s="36" t="s">
        <v>96</v>
      </c>
      <c r="N517" s="36"/>
      <c r="O517" s="35">
        <v>40</v>
      </c>
      <c r="P517" s="92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7" s="666"/>
      <c r="R517" s="666"/>
      <c r="S517" s="666"/>
      <c r="T517" s="667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IFERROR(IF(Y517=0,"",ROUNDUP(Y517/H517,0)*0.01898),"")</f>
        <v/>
      </c>
      <c r="AA517" s="65" t="s">
        <v>46</v>
      </c>
      <c r="AB517" s="66" t="s">
        <v>46</v>
      </c>
      <c r="AC517" s="589" t="s">
        <v>813</v>
      </c>
      <c r="AG517" s="75"/>
      <c r="AJ517" s="79" t="s">
        <v>46</v>
      </c>
      <c r="AK517" s="79">
        <v>0</v>
      </c>
      <c r="BB517" s="590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idden="1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70" t="s">
        <v>40</v>
      </c>
      <c r="Q518" s="671"/>
      <c r="R518" s="671"/>
      <c r="S518" s="671"/>
      <c r="T518" s="671"/>
      <c r="U518" s="671"/>
      <c r="V518" s="672"/>
      <c r="W518" s="40" t="s">
        <v>39</v>
      </c>
      <c r="X518" s="41">
        <f>IFERROR(X516/H516,"0")+IFERROR(X517/H517,"0")</f>
        <v>0</v>
      </c>
      <c r="Y518" s="41">
        <f>IFERROR(Y516/H516,"0")+IFERROR(Y517/H517,"0")</f>
        <v>0</v>
      </c>
      <c r="Z518" s="41">
        <f>IFERROR(IF(Z516="",0,Z516),"0")+IFERROR(IF(Z517="",0,Z517),"0")</f>
        <v>0</v>
      </c>
      <c r="AA518" s="64"/>
      <c r="AB518" s="64"/>
      <c r="AC518" s="64"/>
    </row>
    <row r="519" spans="1:68" hidden="1" x14ac:dyDescent="0.2">
      <c r="A519" s="673"/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4"/>
      <c r="P519" s="670" t="s">
        <v>40</v>
      </c>
      <c r="Q519" s="671"/>
      <c r="R519" s="671"/>
      <c r="S519" s="671"/>
      <c r="T519" s="671"/>
      <c r="U519" s="671"/>
      <c r="V519" s="672"/>
      <c r="W519" s="40" t="s">
        <v>0</v>
      </c>
      <c r="X519" s="41">
        <f>IFERROR(SUM(X516:X517),"0")</f>
        <v>0</v>
      </c>
      <c r="Y519" s="41">
        <f>IFERROR(SUM(Y516:Y517),"0")</f>
        <v>0</v>
      </c>
      <c r="Z519" s="40"/>
      <c r="AA519" s="64"/>
      <c r="AB519" s="64"/>
      <c r="AC519" s="64"/>
    </row>
    <row r="520" spans="1:68" ht="16.5" hidden="1" customHeight="1" x14ac:dyDescent="0.25">
      <c r="A520" s="662" t="s">
        <v>814</v>
      </c>
      <c r="B520" s="662"/>
      <c r="C520" s="662"/>
      <c r="D520" s="662"/>
      <c r="E520" s="662"/>
      <c r="F520" s="662"/>
      <c r="G520" s="662"/>
      <c r="H520" s="662"/>
      <c r="I520" s="662"/>
      <c r="J520" s="662"/>
      <c r="K520" s="662"/>
      <c r="L520" s="662"/>
      <c r="M520" s="662"/>
      <c r="N520" s="662"/>
      <c r="O520" s="662"/>
      <c r="P520" s="662"/>
      <c r="Q520" s="662"/>
      <c r="R520" s="662"/>
      <c r="S520" s="662"/>
      <c r="T520" s="662"/>
      <c r="U520" s="662"/>
      <c r="V520" s="662"/>
      <c r="W520" s="662"/>
      <c r="X520" s="662"/>
      <c r="Y520" s="662"/>
      <c r="Z520" s="662"/>
      <c r="AA520" s="62"/>
      <c r="AB520" s="62"/>
      <c r="AC520" s="62"/>
    </row>
    <row r="521" spans="1:68" ht="14.25" hidden="1" customHeight="1" x14ac:dyDescent="0.25">
      <c r="A521" s="663" t="s">
        <v>180</v>
      </c>
      <c r="B521" s="663"/>
      <c r="C521" s="663"/>
      <c r="D521" s="663"/>
      <c r="E521" s="663"/>
      <c r="F521" s="663"/>
      <c r="G521" s="663"/>
      <c r="H521" s="663"/>
      <c r="I521" s="663"/>
      <c r="J521" s="663"/>
      <c r="K521" s="663"/>
      <c r="L521" s="663"/>
      <c r="M521" s="663"/>
      <c r="N521" s="663"/>
      <c r="O521" s="663"/>
      <c r="P521" s="663"/>
      <c r="Q521" s="663"/>
      <c r="R521" s="663"/>
      <c r="S521" s="663"/>
      <c r="T521" s="663"/>
      <c r="U521" s="663"/>
      <c r="V521" s="663"/>
      <c r="W521" s="663"/>
      <c r="X521" s="663"/>
      <c r="Y521" s="663"/>
      <c r="Z521" s="663"/>
      <c r="AA521" s="63"/>
      <c r="AB521" s="63"/>
      <c r="AC521" s="63"/>
    </row>
    <row r="522" spans="1:68" ht="27" hidden="1" customHeight="1" x14ac:dyDescent="0.25">
      <c r="A522" s="60" t="s">
        <v>815</v>
      </c>
      <c r="B522" s="60" t="s">
        <v>816</v>
      </c>
      <c r="C522" s="34">
        <v>4301020428</v>
      </c>
      <c r="D522" s="664">
        <v>4640242180090</v>
      </c>
      <c r="E522" s="664"/>
      <c r="F522" s="59">
        <v>1.5</v>
      </c>
      <c r="G522" s="35">
        <v>8</v>
      </c>
      <c r="H522" s="59">
        <v>12</v>
      </c>
      <c r="I522" s="59">
        <v>12.41</v>
      </c>
      <c r="J522" s="35">
        <v>64</v>
      </c>
      <c r="K522" s="35" t="s">
        <v>151</v>
      </c>
      <c r="L522" s="35" t="s">
        <v>46</v>
      </c>
      <c r="M522" s="36" t="s">
        <v>150</v>
      </c>
      <c r="N522" s="36"/>
      <c r="O522" s="35">
        <v>50</v>
      </c>
      <c r="P522" s="92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2" s="666"/>
      <c r="R522" s="666"/>
      <c r="S522" s="666"/>
      <c r="T522" s="667"/>
      <c r="U522" s="37" t="s">
        <v>46</v>
      </c>
      <c r="V522" s="37" t="s">
        <v>46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46</v>
      </c>
      <c r="AB522" s="66" t="s">
        <v>46</v>
      </c>
      <c r="AC522" s="591" t="s">
        <v>817</v>
      </c>
      <c r="AG522" s="75"/>
      <c r="AJ522" s="79" t="s">
        <v>46</v>
      </c>
      <c r="AK522" s="79">
        <v>0</v>
      </c>
      <c r="BB522" s="592" t="s">
        <v>67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idden="1" x14ac:dyDescent="0.2">
      <c r="A523" s="673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70" t="s">
        <v>40</v>
      </c>
      <c r="Q523" s="671"/>
      <c r="R523" s="671"/>
      <c r="S523" s="671"/>
      <c r="T523" s="671"/>
      <c r="U523" s="671"/>
      <c r="V523" s="672"/>
      <c r="W523" s="40" t="s">
        <v>39</v>
      </c>
      <c r="X523" s="41">
        <f>IFERROR(X522/H522,"0")</f>
        <v>0</v>
      </c>
      <c r="Y523" s="41">
        <f>IFERROR(Y522/H522,"0")</f>
        <v>0</v>
      </c>
      <c r="Z523" s="41">
        <f>IFERROR(IF(Z522="",0,Z522),"0")</f>
        <v>0</v>
      </c>
      <c r="AA523" s="64"/>
      <c r="AB523" s="64"/>
      <c r="AC523" s="64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70" t="s">
        <v>40</v>
      </c>
      <c r="Q524" s="671"/>
      <c r="R524" s="671"/>
      <c r="S524" s="671"/>
      <c r="T524" s="671"/>
      <c r="U524" s="671"/>
      <c r="V524" s="672"/>
      <c r="W524" s="40" t="s">
        <v>0</v>
      </c>
      <c r="X524" s="41">
        <f>IFERROR(SUM(X522:X522),"0")</f>
        <v>0</v>
      </c>
      <c r="Y524" s="41">
        <f>IFERROR(SUM(Y522:Y522),"0")</f>
        <v>0</v>
      </c>
      <c r="Z524" s="40"/>
      <c r="AA524" s="64"/>
      <c r="AB524" s="64"/>
      <c r="AC524" s="64"/>
    </row>
    <row r="525" spans="1:68" ht="15" customHeight="1" x14ac:dyDescent="0.2">
      <c r="A525" s="673"/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931"/>
      <c r="P525" s="928" t="s">
        <v>33</v>
      </c>
      <c r="Q525" s="929"/>
      <c r="R525" s="929"/>
      <c r="S525" s="929"/>
      <c r="T525" s="929"/>
      <c r="U525" s="929"/>
      <c r="V525" s="930"/>
      <c r="W525" s="40" t="s">
        <v>0</v>
      </c>
      <c r="X525" s="41">
        <f>IFERROR(X26+X39+X43+X52+X61+X71+X78+X83+X88+X96+X103+X114+X122+X129+X133+X139+X144+X149+X157+X163+X167+X180+X184+X189+X193+X202+X207+X224+X228+X234+X238+X244+X249+X260+X273+X278+X289+X293+X297+X305+X314+X321+X330+X335+X342+X352+X362+X369+X375+X382+X388+X395+X408+X414+X419+X423+X429+X433+X439+X450+X455+X460+X466+X480+X486+X496+X502+X506+X510+X514+X519+X524,"0")</f>
        <v>18005</v>
      </c>
      <c r="Y525" s="41">
        <f>IFERROR(Y26+Y39+Y43+Y52+Y61+Y71+Y78+Y83+Y88+Y96+Y103+Y114+Y122+Y129+Y133+Y139+Y144+Y149+Y157+Y163+Y167+Y180+Y184+Y189+Y193+Y202+Y207+Y224+Y228+Y234+Y238+Y244+Y249+Y260+Y273+Y278+Y289+Y293+Y297+Y305+Y314+Y321+Y330+Y335+Y342+Y352+Y362+Y369+Y375+Y382+Y388+Y395+Y408+Y414+Y419+Y423+Y429+Y433+Y439+Y450+Y455+Y460+Y466+Y480+Y486+Y496+Y502+Y506+Y510+Y514+Y519+Y524,"0")</f>
        <v>18085.100000000006</v>
      </c>
      <c r="Z525" s="40"/>
      <c r="AA525" s="64"/>
      <c r="AB525" s="64"/>
      <c r="AC525" s="64"/>
    </row>
    <row r="526" spans="1:68" x14ac:dyDescent="0.2">
      <c r="A526" s="673"/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931"/>
      <c r="P526" s="928" t="s">
        <v>34</v>
      </c>
      <c r="Q526" s="929"/>
      <c r="R526" s="929"/>
      <c r="S526" s="929"/>
      <c r="T526" s="929"/>
      <c r="U526" s="929"/>
      <c r="V526" s="930"/>
      <c r="W526" s="40" t="s">
        <v>0</v>
      </c>
      <c r="X526" s="41">
        <f>IFERROR(SUM(BM22:BM522),"0")</f>
        <v>18800.61553791886</v>
      </c>
      <c r="Y526" s="41">
        <f>IFERROR(SUM(BN22:BN522),"0")</f>
        <v>18885.082000000006</v>
      </c>
      <c r="Z526" s="40"/>
      <c r="AA526" s="64"/>
      <c r="AB526" s="64"/>
      <c r="AC526" s="64"/>
    </row>
    <row r="527" spans="1:68" x14ac:dyDescent="0.2">
      <c r="A527" s="673"/>
      <c r="B527" s="673"/>
      <c r="C527" s="673"/>
      <c r="D527" s="673"/>
      <c r="E527" s="673"/>
      <c r="F527" s="673"/>
      <c r="G527" s="673"/>
      <c r="H527" s="673"/>
      <c r="I527" s="673"/>
      <c r="J527" s="673"/>
      <c r="K527" s="673"/>
      <c r="L527" s="673"/>
      <c r="M527" s="673"/>
      <c r="N527" s="673"/>
      <c r="O527" s="931"/>
      <c r="P527" s="928" t="s">
        <v>35</v>
      </c>
      <c r="Q527" s="929"/>
      <c r="R527" s="929"/>
      <c r="S527" s="929"/>
      <c r="T527" s="929"/>
      <c r="U527" s="929"/>
      <c r="V527" s="930"/>
      <c r="W527" s="40" t="s">
        <v>20</v>
      </c>
      <c r="X527" s="42">
        <f>ROUNDUP(SUM(BO22:BO522),0)</f>
        <v>28</v>
      </c>
      <c r="Y527" s="42">
        <f>ROUNDUP(SUM(BP22:BP522),0)</f>
        <v>29</v>
      </c>
      <c r="Z527" s="40"/>
      <c r="AA527" s="64"/>
      <c r="AB527" s="64"/>
      <c r="AC527" s="64"/>
    </row>
    <row r="528" spans="1:68" x14ac:dyDescent="0.2">
      <c r="A528" s="673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931"/>
      <c r="P528" s="928" t="s">
        <v>36</v>
      </c>
      <c r="Q528" s="929"/>
      <c r="R528" s="929"/>
      <c r="S528" s="929"/>
      <c r="T528" s="929"/>
      <c r="U528" s="929"/>
      <c r="V528" s="930"/>
      <c r="W528" s="40" t="s">
        <v>0</v>
      </c>
      <c r="X528" s="41">
        <f>GrossWeightTotal+PalletQtyTotal*25</f>
        <v>19500.61553791886</v>
      </c>
      <c r="Y528" s="41">
        <f>GrossWeightTotalR+PalletQtyTotalR*25</f>
        <v>19610.082000000006</v>
      </c>
      <c r="Z528" s="40"/>
      <c r="AA528" s="64"/>
      <c r="AB528" s="64"/>
      <c r="AC528" s="64"/>
    </row>
    <row r="529" spans="1:32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931"/>
      <c r="P529" s="928" t="s">
        <v>37</v>
      </c>
      <c r="Q529" s="929"/>
      <c r="R529" s="929"/>
      <c r="S529" s="929"/>
      <c r="T529" s="929"/>
      <c r="U529" s="929"/>
      <c r="V529" s="930"/>
      <c r="W529" s="40" t="s">
        <v>20</v>
      </c>
      <c r="X529" s="41">
        <f>IFERROR(X25+X38+X42+X51+X60+X70+X77+X82+X87+X95+X102+X113+X121+X128+X132+X138+X143+X148+X156+X162+X166+X179+X183+X188+X192+X201+X206+X223+X227+X233+X237+X243+X248+X259+X272+X277+X288+X292+X296+X304+X313+X320+X329+X334+X341+X351+X361+X368+X374+X381+X387+X394+X407+X413+X418+X422+X428+X432+X438+X449+X454+X459+X465+X479+X485+X495+X501+X505+X509+X513+X518+X523,"0")</f>
        <v>1834.7876814543481</v>
      </c>
      <c r="Y529" s="41">
        <f>IFERROR(Y25+Y38+Y42+Y51+Y60+Y70+Y77+Y82+Y87+Y95+Y102+Y113+Y121+Y128+Y132+Y138+Y143+Y148+Y156+Y162+Y166+Y179+Y183+Y188+Y192+Y201+Y206+Y223+Y227+Y233+Y237+Y243+Y248+Y259+Y272+Y277+Y288+Y292+Y296+Y304+Y313+Y320+Y329+Y334+Y341+Y351+Y361+Y368+Y374+Y381+Y387+Y394+Y407+Y413+Y418+Y422+Y428+Y432+Y438+Y449+Y454+Y459+Y465+Y479+Y485+Y495+Y501+Y505+Y509+Y513+Y518+Y523,"0")</f>
        <v>1846</v>
      </c>
      <c r="Z529" s="40"/>
      <c r="AA529" s="64"/>
      <c r="AB529" s="64"/>
      <c r="AC529" s="64"/>
    </row>
    <row r="530" spans="1:32" ht="14.25" hidden="1" x14ac:dyDescent="0.2">
      <c r="A530" s="673"/>
      <c r="B530" s="673"/>
      <c r="C530" s="673"/>
      <c r="D530" s="673"/>
      <c r="E530" s="673"/>
      <c r="F530" s="673"/>
      <c r="G530" s="673"/>
      <c r="H530" s="673"/>
      <c r="I530" s="673"/>
      <c r="J530" s="673"/>
      <c r="K530" s="673"/>
      <c r="L530" s="673"/>
      <c r="M530" s="673"/>
      <c r="N530" s="673"/>
      <c r="O530" s="931"/>
      <c r="P530" s="928" t="s">
        <v>38</v>
      </c>
      <c r="Q530" s="929"/>
      <c r="R530" s="929"/>
      <c r="S530" s="929"/>
      <c r="T530" s="929"/>
      <c r="U530" s="929"/>
      <c r="V530" s="930"/>
      <c r="W530" s="43" t="s">
        <v>52</v>
      </c>
      <c r="X530" s="40"/>
      <c r="Y530" s="40"/>
      <c r="Z530" s="40">
        <f>IFERROR(Z25+Z38+Z42+Z51+Z60+Z70+Z77+Z82+Z87+Z95+Z102+Z113+Z121+Z128+Z132+Z138+Z143+Z148+Z156+Z162+Z166+Z179+Z183+Z188+Z192+Z201+Z206+Z223+Z227+Z233+Z237+Z243+Z248+Z259+Z272+Z277+Z288+Z292+Z296+Z304+Z313+Z320+Z329+Z334+Z341+Z351+Z361+Z368+Z374+Z381+Z387+Z394+Z407+Z413+Z418+Z422+Z428+Z432+Z438+Z449+Z454+Z459+Z465+Z479+Z485+Z495+Z501+Z505+Z509+Z513+Z518+Z523,"0")</f>
        <v>31.71584</v>
      </c>
      <c r="AA530" s="64"/>
      <c r="AB530" s="64"/>
      <c r="AC530" s="64"/>
    </row>
    <row r="531" spans="1:32" ht="13.5" thickBot="1" x14ac:dyDescent="0.25"/>
    <row r="532" spans="1:32" ht="27" thickTop="1" thickBot="1" x14ac:dyDescent="0.25">
      <c r="A532" s="44" t="s">
        <v>9</v>
      </c>
      <c r="B532" s="80" t="s">
        <v>76</v>
      </c>
      <c r="C532" s="80" t="s">
        <v>45</v>
      </c>
      <c r="D532" s="934" t="s">
        <v>144</v>
      </c>
      <c r="E532" s="934" t="s">
        <v>144</v>
      </c>
      <c r="F532" s="934" t="s">
        <v>144</v>
      </c>
      <c r="G532" s="934" t="s">
        <v>144</v>
      </c>
      <c r="H532" s="934" t="s">
        <v>144</v>
      </c>
      <c r="I532" s="934" t="s">
        <v>144</v>
      </c>
      <c r="J532" s="934" t="s">
        <v>144</v>
      </c>
      <c r="K532" s="934" t="s">
        <v>342</v>
      </c>
      <c r="L532" s="934" t="s">
        <v>342</v>
      </c>
      <c r="M532" s="934" t="s">
        <v>342</v>
      </c>
      <c r="N532" s="935"/>
      <c r="O532" s="934" t="s">
        <v>342</v>
      </c>
      <c r="P532" s="934" t="s">
        <v>342</v>
      </c>
      <c r="Q532" s="934" t="s">
        <v>342</v>
      </c>
      <c r="R532" s="934" t="s">
        <v>342</v>
      </c>
      <c r="S532" s="934" t="s">
        <v>342</v>
      </c>
      <c r="T532" s="934" t="s">
        <v>342</v>
      </c>
      <c r="U532" s="934" t="s">
        <v>342</v>
      </c>
      <c r="V532" s="934" t="s">
        <v>652</v>
      </c>
      <c r="W532" s="934" t="s">
        <v>652</v>
      </c>
      <c r="X532" s="934" t="s">
        <v>712</v>
      </c>
      <c r="Y532" s="934" t="s">
        <v>712</v>
      </c>
      <c r="Z532" s="80" t="s">
        <v>748</v>
      </c>
      <c r="AA532" s="934" t="s">
        <v>795</v>
      </c>
      <c r="AB532" s="934" t="s">
        <v>795</v>
      </c>
      <c r="AC532" s="9"/>
      <c r="AF532" s="1"/>
    </row>
    <row r="533" spans="1:32" ht="14.25" customHeight="1" thickTop="1" x14ac:dyDescent="0.2">
      <c r="A533" s="932" t="s">
        <v>10</v>
      </c>
      <c r="B533" s="934" t="s">
        <v>76</v>
      </c>
      <c r="C533" s="934" t="s">
        <v>129</v>
      </c>
      <c r="D533" s="934" t="s">
        <v>145</v>
      </c>
      <c r="E533" s="934" t="s">
        <v>161</v>
      </c>
      <c r="F533" s="934" t="s">
        <v>204</v>
      </c>
      <c r="G533" s="934" t="s">
        <v>225</v>
      </c>
      <c r="H533" s="934" t="s">
        <v>266</v>
      </c>
      <c r="I533" s="934" t="s">
        <v>278</v>
      </c>
      <c r="J533" s="934" t="s">
        <v>144</v>
      </c>
      <c r="K533" s="934" t="s">
        <v>343</v>
      </c>
      <c r="L533" s="934" t="s">
        <v>355</v>
      </c>
      <c r="M533" s="934" t="s">
        <v>411</v>
      </c>
      <c r="N533" s="1"/>
      <c r="O533" s="934" t="s">
        <v>474</v>
      </c>
      <c r="P533" s="934" t="s">
        <v>511</v>
      </c>
      <c r="Q533" s="934" t="s">
        <v>527</v>
      </c>
      <c r="R533" s="934" t="s">
        <v>536</v>
      </c>
      <c r="S533" s="934" t="s">
        <v>557</v>
      </c>
      <c r="T533" s="934" t="s">
        <v>567</v>
      </c>
      <c r="U533" s="934" t="s">
        <v>642</v>
      </c>
      <c r="V533" s="934" t="s">
        <v>653</v>
      </c>
      <c r="W533" s="934" t="s">
        <v>696</v>
      </c>
      <c r="X533" s="934" t="s">
        <v>713</v>
      </c>
      <c r="Y533" s="934" t="s">
        <v>736</v>
      </c>
      <c r="Z533" s="934" t="s">
        <v>748</v>
      </c>
      <c r="AA533" s="934" t="s">
        <v>795</v>
      </c>
      <c r="AB533" s="934" t="s">
        <v>814</v>
      </c>
      <c r="AC533" s="9"/>
      <c r="AF533" s="1"/>
    </row>
    <row r="534" spans="1:32" ht="13.5" thickBot="1" x14ac:dyDescent="0.25">
      <c r="A534" s="933"/>
      <c r="B534" s="934"/>
      <c r="C534" s="934"/>
      <c r="D534" s="934"/>
      <c r="E534" s="934"/>
      <c r="F534" s="934"/>
      <c r="G534" s="934"/>
      <c r="H534" s="934"/>
      <c r="I534" s="934"/>
      <c r="J534" s="934"/>
      <c r="K534" s="934"/>
      <c r="L534" s="934"/>
      <c r="M534" s="934"/>
      <c r="N534" s="1"/>
      <c r="O534" s="934"/>
      <c r="P534" s="934"/>
      <c r="Q534" s="934"/>
      <c r="R534" s="934"/>
      <c r="S534" s="934"/>
      <c r="T534" s="934"/>
      <c r="U534" s="934"/>
      <c r="V534" s="934"/>
      <c r="W534" s="934"/>
      <c r="X534" s="934"/>
      <c r="Y534" s="934"/>
      <c r="Z534" s="934"/>
      <c r="AA534" s="934"/>
      <c r="AB534" s="934"/>
      <c r="AC534" s="9"/>
      <c r="AF534" s="1"/>
    </row>
    <row r="535" spans="1:32" ht="18" thickTop="1" thickBot="1" x14ac:dyDescent="0.25">
      <c r="A535" s="44" t="s">
        <v>13</v>
      </c>
      <c r="B535" s="50">
        <f>IFERROR(Y22*1,"0")+IFERROR(Y23*1,"0")+IFERROR(Y24*1,"0")+IFERROR(Y28*1,"0")+IFERROR(Y29*1,"0")+IFERROR(Y30*1,"0")+IFERROR(Y31*1,"0")+IFERROR(Y32*1,"0")+IFERROR(Y33*1,"0")+IFERROR(Y34*1,"0")+IFERROR(Y35*1,"0")+IFERROR(Y36*1,"0")+IFERROR(Y37*1,"0")+IFERROR(Y41*1,"0")</f>
        <v>0</v>
      </c>
      <c r="C535" s="50">
        <f>IFERROR(Y47*1,"0")+IFERROR(Y48*1,"0")+IFERROR(Y49*1,"0")+IFERROR(Y50*1,"0")</f>
        <v>0</v>
      </c>
      <c r="D535" s="50">
        <f>IFERROR(Y56*1,"0")+IFERROR(Y57*1,"0")+IFERROR(Y58*1,"0")+IFERROR(Y59*1,"0")</f>
        <v>473.6</v>
      </c>
      <c r="E535" s="50">
        <f>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86.4</v>
      </c>
      <c r="F535" s="50">
        <f>IFERROR(Y91*1,"0")+IFERROR(Y92*1,"0")+IFERROR(Y93*1,"0")+IFERROR(Y94*1,"0")+IFERROR(Y98*1,"0")+IFERROR(Y99*1,"0")+IFERROR(Y100*1,"0")+IFERROR(Y101*1,"0")</f>
        <v>654.29999999999995</v>
      </c>
      <c r="G535" s="50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975.6</v>
      </c>
      <c r="H535" s="50">
        <f>IFERROR(Y136*1,"0")+IFERROR(Y137*1,"0")+IFERROR(Y141*1,"0")+IFERROR(Y142*1,"0")+IFERROR(Y146*1,"0")+IFERROR(Y147*1,"0")</f>
        <v>0</v>
      </c>
      <c r="I535" s="50">
        <f>IFERROR(Y152*1,"0")+IFERROR(Y153*1,"0")+IFERROR(Y154*1,"0")+IFERROR(Y155*1,"0")</f>
        <v>0</v>
      </c>
      <c r="J535" s="50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186*1,"0")+IFERROR(Y187*1,"0")+IFERROR(Y191*1,"0")</f>
        <v>0</v>
      </c>
      <c r="K535" s="50">
        <f>IFERROR(Y197*1,"0")+IFERROR(Y198*1,"0")+IFERROR(Y199*1,"0")+IFERROR(Y200*1,"0")</f>
        <v>0</v>
      </c>
      <c r="L535" s="50">
        <f>IFERROR(Y205*1,"0")+IFERROR(Y209*1,"0")+IFERROR(Y210*1,"0")+IFERROR(Y211*1,"0")+IFERROR(Y212*1,"0")+IFERROR(Y213*1,"0")+IFERROR(Y214*1,"0")+IFERROR(Y215*1,"0")+IFERROR(Y216*1,"0")+IFERROR(Y217*1,"0")+IFERROR(Y218*1,"0")+IFERROR(Y219*1,"0")+IFERROR(Y220*1,"0")+IFERROR(Y221*1,"0")+IFERROR(Y222*1,"0")+IFERROR(Y226*1,"0")+IFERROR(Y230*1,"0")+IFERROR(Y231*1,"0")+IFERROR(Y232*1,"0")+IFERROR(Y236*1,"0")</f>
        <v>294</v>
      </c>
      <c r="M535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275*1,"0")+IFERROR(Y276*1,"0")</f>
        <v>0</v>
      </c>
      <c r="N535" s="1"/>
      <c r="O535" s="50">
        <f>IFERROR(Y281*1,"0")+IFERROR(Y282*1,"0")+IFERROR(Y283*1,"0")+IFERROR(Y284*1,"0")+IFERROR(Y285*1,"0")+IFERROR(Y286*1,"0")+IFERROR(Y287*1,"0")+IFERROR(Y291*1,"0")+IFERROR(Y295*1,"0")+IFERROR(Y299*1,"0")+IFERROR(Y300*1,"0")+IFERROR(Y301*1,"0")+IFERROR(Y302*1,"0")+IFERROR(Y303*1,"0")</f>
        <v>0</v>
      </c>
      <c r="P535" s="50">
        <f>IFERROR(Y308*1,"0")+IFERROR(Y309*1,"0")+IFERROR(Y310*1,"0")+IFERROR(Y311*1,"0")+IFERROR(Y312*1,"0")</f>
        <v>0</v>
      </c>
      <c r="Q535" s="50">
        <f>IFERROR(Y317*1,"0")+IFERROR(Y318*1,"0")+IFERROR(Y319*1,"0")</f>
        <v>0</v>
      </c>
      <c r="R535" s="50">
        <f>IFERROR(Y324*1,"0")+IFERROR(Y325*1,"0")+IFERROR(Y326*1,"0")+IFERROR(Y327*1,"0")+IFERROR(Y328*1,"0")+IFERROR(Y332*1,"0")+IFERROR(Y333*1,"0")</f>
        <v>0</v>
      </c>
      <c r="S535" s="50">
        <f>IFERROR(Y338*1,"0")+IFERROR(Y339*1,"0")+IFERROR(Y340*1,"0")</f>
        <v>0</v>
      </c>
      <c r="T535" s="50">
        <f>IFERROR(Y345*1,"0")+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1117.8000000000002</v>
      </c>
      <c r="U535" s="50">
        <f>IFERROR(Y391*1,"0")+IFERROR(Y392*1,"0")+IFERROR(Y393*1,"0")</f>
        <v>0</v>
      </c>
      <c r="V535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11997</v>
      </c>
      <c r="W535" s="50">
        <f>IFERROR(Y426*1,"0")+IFERROR(Y427*1,"0")+IFERROR(Y431*1,"0")+IFERROR(Y435*1,"0")+IFERROR(Y436*1,"0")+IFERROR(Y437*1,"0")</f>
        <v>337.20000000000005</v>
      </c>
      <c r="X535" s="50">
        <f>IFERROR(Y443*1,"0")+IFERROR(Y444*1,"0")+IFERROR(Y445*1,"0")+IFERROR(Y446*1,"0")+IFERROR(Y447*1,"0")+IFERROR(Y448*1,"0")+IFERROR(Y452*1,"0")+IFERROR(Y453*1,"0")</f>
        <v>286.20000000000005</v>
      </c>
      <c r="Y535" s="50">
        <f>IFERROR(Y458*1,"0")+IFERROR(Y462*1,"0")+IFERROR(Y463*1,"0")+IFERROR(Y464*1,"0")</f>
        <v>351</v>
      </c>
      <c r="Z535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1209.6000000000001</v>
      </c>
      <c r="AA535" s="50">
        <f>IFERROR(Y500*1,"0")+IFERROR(Y504*1,"0")+IFERROR(Y508*1,"0")+IFERROR(Y512*1,"0")+IFERROR(Y516*1,"0")+IFERROR(Y517*1,"0")</f>
        <v>302.39999999999998</v>
      </c>
      <c r="AB535" s="50">
        <f>IFERROR(Y522*1,"0")</f>
        <v>0</v>
      </c>
      <c r="AC535" s="9"/>
      <c r="AF535" s="1"/>
    </row>
  </sheetData>
  <sheetProtection algorithmName="SHA-512" hashValue="F1U8/RuJErCXRnnzQl1yKkiahzmBVV7NOdIGAhBzuCccCrMBNFCz+OMDUXZByTXIeojrbkkslQu9WGLMGarY2g==" saltValue="RCrqJnfng4hrQux6OxygZA==" spinCount="100000" sheet="1" objects="1" scenarios="1" sort="0" autoFilter="0" pivotTables="0"/>
  <autoFilter ref="A18:AF53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370,00"/>
        <filter val="1 834,79"/>
        <filter val="100,00"/>
        <filter val="113,55"/>
        <filter val="120,00"/>
        <filter val="130,00"/>
        <filter val="138,26"/>
        <filter val="142,50"/>
        <filter val="150,00"/>
        <filter val="152,22"/>
        <filter val="16,11"/>
        <filter val="172,50"/>
        <filter val="18 005,00"/>
        <filter val="18 800,62"/>
        <filter val="18,89"/>
        <filter val="19 500,62"/>
        <filter val="2 700,00"/>
        <filter val="20,00"/>
        <filter val="200,00"/>
        <filter val="210,00"/>
        <filter val="22,22"/>
        <filter val="22,50"/>
        <filter val="250,00"/>
        <filter val="28"/>
        <filter val="28,41"/>
        <filter val="280,00"/>
        <filter val="290,00"/>
        <filter val="3 000,00"/>
        <filter val="30,00"/>
        <filter val="30,95"/>
        <filter val="300,00"/>
        <filter val="320,00"/>
        <filter val="350,00"/>
        <filter val="370,00"/>
        <filter val="4 200,00"/>
        <filter val="40,00"/>
        <filter val="450,00"/>
        <filter val="46,67"/>
        <filter val="470,00"/>
        <filter val="50,00"/>
        <filter val="500,00"/>
        <filter val="51,85"/>
        <filter val="580,00"/>
        <filter val="60,00"/>
        <filter val="61,73"/>
        <filter val="62,50"/>
        <filter val="64,81"/>
        <filter val="660,00"/>
        <filter val="69,05"/>
        <filter val="7,41"/>
        <filter val="700,00"/>
        <filter val="710,00"/>
        <filter val="730,00"/>
        <filter val="78,89"/>
        <filter val="80,00"/>
        <filter val="800,00"/>
        <filter val="9 900,00"/>
        <filter val="900,00"/>
        <filter val="98,77"/>
      </filters>
    </filterColumn>
    <filterColumn colId="29" showButton="0"/>
    <filterColumn colId="30" showButton="0"/>
  </autoFilter>
  <dataConsolidate/>
  <mergeCells count="939">
    <mergeCell ref="U533:U534"/>
    <mergeCell ref="V533:V534"/>
    <mergeCell ref="W533:W534"/>
    <mergeCell ref="X533:X534"/>
    <mergeCell ref="Y533:Y534"/>
    <mergeCell ref="Z533:Z534"/>
    <mergeCell ref="AA533:AA534"/>
    <mergeCell ref="AB533:AB534"/>
    <mergeCell ref="D532:J532"/>
    <mergeCell ref="K532:U532"/>
    <mergeCell ref="V532:W532"/>
    <mergeCell ref="X532:Y532"/>
    <mergeCell ref="AA532:AB532"/>
    <mergeCell ref="J533:J534"/>
    <mergeCell ref="K533:K534"/>
    <mergeCell ref="L533:L534"/>
    <mergeCell ref="M533:M534"/>
    <mergeCell ref="O533:O534"/>
    <mergeCell ref="P533:P534"/>
    <mergeCell ref="Q533:Q534"/>
    <mergeCell ref="R533:R534"/>
    <mergeCell ref="S533:S534"/>
    <mergeCell ref="T533:T534"/>
    <mergeCell ref="A533:A534"/>
    <mergeCell ref="B533:B534"/>
    <mergeCell ref="C533:C534"/>
    <mergeCell ref="D533:D534"/>
    <mergeCell ref="E533:E534"/>
    <mergeCell ref="F533:F534"/>
    <mergeCell ref="G533:G534"/>
    <mergeCell ref="H533:H534"/>
    <mergeCell ref="I533:I534"/>
    <mergeCell ref="P523:V523"/>
    <mergeCell ref="A523:O524"/>
    <mergeCell ref="P524:V524"/>
    <mergeCell ref="P525:V525"/>
    <mergeCell ref="A525:O530"/>
    <mergeCell ref="P526:V526"/>
    <mergeCell ref="P527:V527"/>
    <mergeCell ref="P528:V528"/>
    <mergeCell ref="P529:V529"/>
    <mergeCell ref="P530:V530"/>
    <mergeCell ref="D517:E517"/>
    <mergeCell ref="P517:T517"/>
    <mergeCell ref="P518:V518"/>
    <mergeCell ref="A518:O519"/>
    <mergeCell ref="P519:V519"/>
    <mergeCell ref="A520:Z520"/>
    <mergeCell ref="A521:Z521"/>
    <mergeCell ref="D522:E522"/>
    <mergeCell ref="P522:T522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P509:V509"/>
    <mergeCell ref="A509:O510"/>
    <mergeCell ref="P510:V510"/>
    <mergeCell ref="A497:Z497"/>
    <mergeCell ref="A498:Z498"/>
    <mergeCell ref="A499:Z499"/>
    <mergeCell ref="D500:E500"/>
    <mergeCell ref="P500:T500"/>
    <mergeCell ref="P501:V501"/>
    <mergeCell ref="A501:O502"/>
    <mergeCell ref="P502:V502"/>
    <mergeCell ref="A503:Z503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D484:E484"/>
    <mergeCell ref="P484:T484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69:Z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A468:Z468"/>
    <mergeCell ref="A457:Z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40:Z440"/>
    <mergeCell ref="A441:Z441"/>
    <mergeCell ref="A442:Z442"/>
    <mergeCell ref="D443:E443"/>
    <mergeCell ref="P443:T443"/>
    <mergeCell ref="D444:E444"/>
    <mergeCell ref="P444:T444"/>
    <mergeCell ref="D445:E445"/>
    <mergeCell ref="P445:T445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P432:V432"/>
    <mergeCell ref="A432:O433"/>
    <mergeCell ref="P433:V433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D426:E426"/>
    <mergeCell ref="P426:T426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P418:V418"/>
    <mergeCell ref="A418:O419"/>
    <mergeCell ref="P419:V419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A396:Z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D354:E354"/>
    <mergeCell ref="P354:T354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P329:V329"/>
    <mergeCell ref="A329:O330"/>
    <mergeCell ref="P330:V330"/>
    <mergeCell ref="A331:Z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12:E312"/>
    <mergeCell ref="P312:T312"/>
    <mergeCell ref="P313:V313"/>
    <mergeCell ref="A313:O314"/>
    <mergeCell ref="P314:V314"/>
    <mergeCell ref="A315:Z315"/>
    <mergeCell ref="A316:Z316"/>
    <mergeCell ref="D317:E317"/>
    <mergeCell ref="P317:T31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4:Z294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P288:V288"/>
    <mergeCell ref="A288:O289"/>
    <mergeCell ref="P289:V289"/>
    <mergeCell ref="A290:Z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A280:Z280"/>
    <mergeCell ref="D281:E281"/>
    <mergeCell ref="P281:T281"/>
    <mergeCell ref="D282:E282"/>
    <mergeCell ref="P282:T282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P248:V248"/>
    <mergeCell ref="A248:O249"/>
    <mergeCell ref="P249:V249"/>
    <mergeCell ref="P237:V237"/>
    <mergeCell ref="A237:O238"/>
    <mergeCell ref="P238:V238"/>
    <mergeCell ref="A239:Z239"/>
    <mergeCell ref="A240:Z240"/>
    <mergeCell ref="D241:E241"/>
    <mergeCell ref="P241:T241"/>
    <mergeCell ref="D242:E242"/>
    <mergeCell ref="P242:T242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P223:V223"/>
    <mergeCell ref="A223:O224"/>
    <mergeCell ref="P224:V22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D198:E198"/>
    <mergeCell ref="P198:T198"/>
    <mergeCell ref="D199:E199"/>
    <mergeCell ref="P199:T199"/>
    <mergeCell ref="D200:E200"/>
    <mergeCell ref="P200:T200"/>
    <mergeCell ref="P201:V201"/>
    <mergeCell ref="A201:O202"/>
    <mergeCell ref="P202:V202"/>
    <mergeCell ref="D191:E191"/>
    <mergeCell ref="P191:T191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A185:Z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P183:V183"/>
    <mergeCell ref="A183:O184"/>
    <mergeCell ref="P184:V184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8:Z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P162:V162"/>
    <mergeCell ref="A162:O163"/>
    <mergeCell ref="P163:V163"/>
    <mergeCell ref="A164:Z164"/>
    <mergeCell ref="D165:E165"/>
    <mergeCell ref="P165:T165"/>
    <mergeCell ref="P166:V166"/>
    <mergeCell ref="A166:O167"/>
    <mergeCell ref="P167:V167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D85:E85"/>
    <mergeCell ref="P85:T85"/>
    <mergeCell ref="D86:E86"/>
    <mergeCell ref="P86:T86"/>
    <mergeCell ref="P87:V87"/>
    <mergeCell ref="A87:O88"/>
    <mergeCell ref="P88:V88"/>
    <mergeCell ref="A89:Z89"/>
    <mergeCell ref="A90:Z90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A62:Z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57:E57"/>
    <mergeCell ref="P57:T57"/>
    <mergeCell ref="D58:E58"/>
    <mergeCell ref="P58:T58"/>
    <mergeCell ref="D59:E59"/>
    <mergeCell ref="P59:T59"/>
    <mergeCell ref="P60:V60"/>
    <mergeCell ref="A60:O61"/>
    <mergeCell ref="P61:V61"/>
    <mergeCell ref="D50:E50"/>
    <mergeCell ref="P50:T50"/>
    <mergeCell ref="P51:V51"/>
    <mergeCell ref="A51:O52"/>
    <mergeCell ref="P52:V52"/>
    <mergeCell ref="A53:Z53"/>
    <mergeCell ref="A54:Z54"/>
    <mergeCell ref="A55:Z55"/>
    <mergeCell ref="D56:E56"/>
    <mergeCell ref="P56:T56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7:E37"/>
    <mergeCell ref="P37:T37"/>
    <mergeCell ref="P38:V38"/>
    <mergeCell ref="A38:O39"/>
    <mergeCell ref="P39:V39"/>
    <mergeCell ref="A40:Z40"/>
    <mergeCell ref="D41:E41"/>
    <mergeCell ref="P41:T41"/>
    <mergeCell ref="P42:V42"/>
    <mergeCell ref="A42:O43"/>
    <mergeCell ref="P43:V43"/>
    <mergeCell ref="D32:E32"/>
    <mergeCell ref="P32:T32"/>
    <mergeCell ref="D33:E33"/>
    <mergeCell ref="P33:T33"/>
    <mergeCell ref="D34:E34"/>
    <mergeCell ref="P34:T34"/>
    <mergeCell ref="D35:E35"/>
    <mergeCell ref="P35:T35"/>
    <mergeCell ref="D36:E36"/>
    <mergeCell ref="P36:T36"/>
    <mergeCell ref="A27:Z27"/>
    <mergeCell ref="D28:E28"/>
    <mergeCell ref="P28:T28"/>
    <mergeCell ref="D29:E29"/>
    <mergeCell ref="P29:T29"/>
    <mergeCell ref="D30:E30"/>
    <mergeCell ref="P30:T30"/>
    <mergeCell ref="D31:E31"/>
    <mergeCell ref="P31:T31"/>
    <mergeCell ref="A20:Z20"/>
    <mergeCell ref="A21:Z21"/>
    <mergeCell ref="D22:E22"/>
    <mergeCell ref="P22:T22"/>
    <mergeCell ref="D23:E23"/>
    <mergeCell ref="P23:T23"/>
    <mergeCell ref="D24:E24"/>
    <mergeCell ref="P24:T24"/>
    <mergeCell ref="P25:V25"/>
    <mergeCell ref="A25:O26"/>
    <mergeCell ref="P26:V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8" spans="2:8" x14ac:dyDescent="0.2">
      <c r="B8" s="51" t="s">
        <v>827</v>
      </c>
      <c r="C8" s="51" t="s">
        <v>828</v>
      </c>
      <c r="D8" s="51" t="s">
        <v>829</v>
      </c>
      <c r="E8" s="51" t="s">
        <v>46</v>
      </c>
    </row>
    <row r="10" spans="2:8" x14ac:dyDescent="0.2">
      <c r="B10" s="51" t="s">
        <v>830</v>
      </c>
      <c r="C10" s="51" t="s">
        <v>822</v>
      </c>
      <c r="D10" s="51" t="s">
        <v>46</v>
      </c>
      <c r="E10" s="51" t="s">
        <v>46</v>
      </c>
    </row>
    <row r="12" spans="2:8" x14ac:dyDescent="0.2">
      <c r="B12" s="51" t="s">
        <v>831</v>
      </c>
      <c r="C12" s="51" t="s">
        <v>825</v>
      </c>
      <c r="D12" s="51" t="s">
        <v>46</v>
      </c>
      <c r="E12" s="51" t="s">
        <v>46</v>
      </c>
    </row>
    <row r="14" spans="2:8" x14ac:dyDescent="0.2">
      <c r="B14" s="51" t="s">
        <v>832</v>
      </c>
      <c r="C14" s="51" t="s">
        <v>828</v>
      </c>
      <c r="D14" s="51" t="s">
        <v>46</v>
      </c>
      <c r="E14" s="51" t="s">
        <v>46</v>
      </c>
    </row>
    <row r="16" spans="2:8" x14ac:dyDescent="0.2">
      <c r="B16" s="51" t="s">
        <v>833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841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842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843</v>
      </c>
      <c r="C26" s="51" t="s">
        <v>46</v>
      </c>
      <c r="D26" s="51" t="s">
        <v>46</v>
      </c>
      <c r="E26" s="51" t="s">
        <v>46</v>
      </c>
    </row>
  </sheetData>
  <sheetProtection algorithmName="SHA-512" hashValue="Syl9HDuZlP85tkSRTxya2O2P9yP0A03EXC9ZUw7ete1ksCpr60IJAtt1JEHvd0H0MCkXJHkJHvughnhOblMJZQ==" saltValue="rgXt+gOew+AzRW+XKX53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1069</vt:i4>
      </vt:variant>
    </vt:vector>
  </HeadingPairs>
  <TitlesOfParts>
    <vt:vector size="10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2026-06-30T11:04:16Z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