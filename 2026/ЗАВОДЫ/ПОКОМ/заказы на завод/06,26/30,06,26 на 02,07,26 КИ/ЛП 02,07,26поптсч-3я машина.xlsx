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234336-6266-4463-932D-62493D61338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N360" i="2"/>
  <c r="BM360" i="2"/>
  <c r="Z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N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P350" i="2"/>
  <c r="BO350" i="2"/>
  <c r="BM350" i="2"/>
  <c r="Y350" i="2"/>
  <c r="BN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N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P304" i="2"/>
  <c r="BO304" i="2"/>
  <c r="BN304" i="2"/>
  <c r="BM304" i="2"/>
  <c r="Z304" i="2"/>
  <c r="Y304" i="2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Z277" i="2"/>
  <c r="Y277" i="2"/>
  <c r="BN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Z270" i="2"/>
  <c r="Y270" i="2"/>
  <c r="BN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BO254" i="2"/>
  <c r="BM254" i="2"/>
  <c r="Y254" i="2"/>
  <c r="BN254" i="2" s="1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BN247" i="2" s="1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N208" i="2" s="1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P186" i="2"/>
  <c r="BO186" i="2"/>
  <c r="BM186" i="2"/>
  <c r="Y186" i="2"/>
  <c r="BN186" i="2" s="1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N166" i="2"/>
  <c r="BM166" i="2"/>
  <c r="Y166" i="2"/>
  <c r="BP166" i="2" s="1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Z149" i="2" s="1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BP30" i="2" l="1"/>
  <c r="BP231" i="2"/>
  <c r="BN107" i="2"/>
  <c r="Z406" i="2"/>
  <c r="Z218" i="2"/>
  <c r="BP270" i="2"/>
  <c r="BP115" i="2"/>
  <c r="Y466" i="2"/>
  <c r="BN438" i="2"/>
  <c r="Y298" i="2"/>
  <c r="BN63" i="2"/>
  <c r="Z220" i="2"/>
  <c r="Z350" i="2"/>
  <c r="BN463" i="2"/>
  <c r="BN96" i="2"/>
  <c r="BN104" i="2"/>
  <c r="BN218" i="2"/>
  <c r="BP339" i="2"/>
  <c r="BP406" i="2"/>
  <c r="Z262" i="2"/>
  <c r="Z115" i="2"/>
  <c r="Z122" i="2"/>
  <c r="BN231" i="2"/>
  <c r="Z252" i="2"/>
  <c r="Y396" i="2"/>
  <c r="BN174" i="2"/>
  <c r="Y455" i="2"/>
  <c r="Z31" i="2"/>
  <c r="Z64" i="2"/>
  <c r="BN211" i="2"/>
  <c r="Z214" i="2"/>
  <c r="Z412" i="2"/>
  <c r="BN436" i="2"/>
  <c r="Z453" i="2"/>
  <c r="BN491" i="2"/>
  <c r="Z501" i="2"/>
  <c r="Z502" i="2" s="1"/>
  <c r="BP23" i="2"/>
  <c r="BN162" i="2"/>
  <c r="BN386" i="2"/>
  <c r="Z62" i="2"/>
  <c r="Z151" i="2"/>
  <c r="BN453" i="2"/>
  <c r="Z509" i="2"/>
  <c r="Z175" i="2"/>
  <c r="BN351" i="2"/>
  <c r="Z143" i="2"/>
  <c r="Z145" i="2" s="1"/>
  <c r="BP217" i="2"/>
  <c r="Z254" i="2"/>
  <c r="BN446" i="2"/>
  <c r="Z449" i="2"/>
  <c r="BN474" i="2"/>
  <c r="BN44" i="2"/>
  <c r="BN70" i="2"/>
  <c r="BN116" i="2"/>
  <c r="BN124" i="2"/>
  <c r="BN241" i="2"/>
  <c r="Z267" i="2"/>
  <c r="Z339" i="2"/>
  <c r="BN361" i="2"/>
  <c r="Y376" i="2"/>
  <c r="Z485" i="2"/>
  <c r="Z495" i="2"/>
  <c r="Z208" i="2"/>
  <c r="Z268" i="2"/>
  <c r="Z358" i="2"/>
  <c r="Z36" i="2"/>
  <c r="Z37" i="2" s="1"/>
  <c r="BN394" i="2"/>
  <c r="BN404" i="2"/>
  <c r="Z273" i="2"/>
  <c r="Z479" i="2"/>
  <c r="Z217" i="2"/>
  <c r="Z271" i="2"/>
  <c r="BN484" i="2"/>
  <c r="Y395" i="2"/>
  <c r="Z44" i="2"/>
  <c r="Z106" i="2"/>
  <c r="Y163" i="2"/>
  <c r="BP271" i="2"/>
  <c r="Z301" i="2"/>
  <c r="BP349" i="2"/>
  <c r="X528" i="2"/>
  <c r="BN60" i="2"/>
  <c r="BN65" i="2"/>
  <c r="BN143" i="2"/>
  <c r="BN149" i="2"/>
  <c r="BN158" i="2"/>
  <c r="Y164" i="2"/>
  <c r="Z186" i="2"/>
  <c r="BN198" i="2"/>
  <c r="Z283" i="2"/>
  <c r="Y295" i="2"/>
  <c r="Z325" i="2"/>
  <c r="BP359" i="2"/>
  <c r="Z372" i="2"/>
  <c r="BP374" i="2"/>
  <c r="BN393" i="2"/>
  <c r="Y433" i="2"/>
  <c r="BN444" i="2"/>
  <c r="BN449" i="2"/>
  <c r="Y456" i="2"/>
  <c r="BN28" i="2"/>
  <c r="BN134" i="2"/>
  <c r="Z169" i="2"/>
  <c r="BN334" i="2"/>
  <c r="Z368" i="2"/>
  <c r="Z392" i="2"/>
  <c r="Z53" i="2"/>
  <c r="Z72" i="2"/>
  <c r="Z108" i="2"/>
  <c r="Z303" i="2"/>
  <c r="BN340" i="2"/>
  <c r="Z349" i="2"/>
  <c r="BN494" i="2"/>
  <c r="Z97" i="2"/>
  <c r="BP392" i="2"/>
  <c r="BN407" i="2"/>
  <c r="Z116" i="2"/>
  <c r="Z241" i="2"/>
  <c r="Z359" i="2"/>
  <c r="Z374" i="2"/>
  <c r="BP381" i="2"/>
  <c r="BP479" i="2"/>
  <c r="Z95" i="2"/>
  <c r="Y140" i="2"/>
  <c r="Z173" i="2"/>
  <c r="BP303" i="2"/>
  <c r="Z312" i="2"/>
  <c r="Z444" i="2"/>
  <c r="BN54" i="2"/>
  <c r="BP173" i="2"/>
  <c r="BP254" i="2"/>
  <c r="Y389" i="2"/>
  <c r="Z23" i="2"/>
  <c r="Z255" i="2"/>
  <c r="Z82" i="2"/>
  <c r="BN128" i="2"/>
  <c r="BN255" i="2"/>
  <c r="BN326" i="2"/>
  <c r="D537" i="2"/>
  <c r="BP77" i="2"/>
  <c r="BN219" i="2"/>
  <c r="BN432" i="2"/>
  <c r="BN379" i="2"/>
  <c r="Z437" i="2"/>
  <c r="Z247" i="2"/>
  <c r="Z248" i="2" s="1"/>
  <c r="Z257" i="2"/>
  <c r="Z265" i="2"/>
  <c r="BN272" i="2"/>
  <c r="BN319" i="2"/>
  <c r="Z348" i="2"/>
  <c r="Z380" i="2"/>
  <c r="Y434" i="2"/>
  <c r="BN454" i="2"/>
  <c r="Z402" i="2"/>
  <c r="Z365" i="2"/>
  <c r="J9" i="2"/>
  <c r="Y83" i="2"/>
  <c r="BP172" i="2"/>
  <c r="Y206" i="2"/>
  <c r="Y205" i="2"/>
  <c r="BP204" i="2"/>
  <c r="BN357" i="2"/>
  <c r="Z357" i="2"/>
  <c r="X529" i="2"/>
  <c r="X530" i="2" s="1"/>
  <c r="X531" i="2"/>
  <c r="C537" i="2"/>
  <c r="Y56" i="2"/>
  <c r="BP52" i="2"/>
  <c r="Z61" i="2"/>
  <c r="BP61" i="2"/>
  <c r="BP63" i="2"/>
  <c r="Z71" i="2"/>
  <c r="BP71" i="2"/>
  <c r="Z81" i="2"/>
  <c r="Z83" i="2" s="1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Z429" i="2" s="1"/>
  <c r="BP427" i="2"/>
  <c r="BN437" i="2"/>
  <c r="Z438" i="2"/>
  <c r="Z439" i="2" s="1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79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Z511" i="2" s="1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388" i="2" s="1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Z520" i="2" s="1"/>
  <c r="Y525" i="2"/>
  <c r="E537" i="2"/>
  <c r="Z32" i="2"/>
  <c r="Z69" i="2"/>
  <c r="Z180" i="2"/>
  <c r="BN87" i="2"/>
  <c r="Z152" i="2"/>
  <c r="Z153" i="2" s="1"/>
  <c r="Z185" i="2"/>
  <c r="Z187" i="2" s="1"/>
  <c r="Z210" i="2"/>
  <c r="Z230" i="2"/>
  <c r="Z253" i="2"/>
  <c r="Z263" i="2"/>
  <c r="Z284" i="2"/>
  <c r="Z318" i="2"/>
  <c r="Z329" i="2"/>
  <c r="Z373" i="2"/>
  <c r="BN385" i="2"/>
  <c r="Y388" i="2"/>
  <c r="BP400" i="2"/>
  <c r="Z418" i="2"/>
  <c r="Z419" i="2" s="1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50" i="2" l="1"/>
  <c r="Z414" i="2"/>
  <c r="Z222" i="2"/>
  <c r="Z305" i="2"/>
  <c r="Z382" i="2"/>
  <c r="Z200" i="2"/>
  <c r="Z330" i="2"/>
  <c r="Z182" i="2"/>
  <c r="Z24" i="2"/>
  <c r="Z496" i="2"/>
  <c r="Z176" i="2"/>
  <c r="Z375" i="2"/>
  <c r="Z455" i="2"/>
  <c r="Z109" i="2"/>
  <c r="Z91" i="2"/>
  <c r="Z369" i="2"/>
  <c r="Z66" i="2"/>
  <c r="Z140" i="2"/>
  <c r="Z159" i="2"/>
  <c r="Z290" i="2"/>
  <c r="Z362" i="2"/>
  <c r="Z98" i="2"/>
  <c r="Z274" i="2"/>
  <c r="Z135" i="2"/>
  <c r="Z55" i="2"/>
  <c r="Z466" i="2"/>
  <c r="Z395" i="2"/>
  <c r="Z243" i="2"/>
  <c r="Z227" i="2"/>
  <c r="Z408" i="2"/>
  <c r="Z73" i="2"/>
  <c r="Z314" i="2"/>
  <c r="Y529" i="2"/>
  <c r="Z259" i="2"/>
  <c r="Z352" i="2"/>
  <c r="Y528" i="2"/>
  <c r="Y530" i="2" s="1"/>
  <c r="Z33" i="2"/>
  <c r="Z486" i="2"/>
  <c r="Z125" i="2"/>
  <c r="Z321" i="2"/>
  <c r="Z233" i="2"/>
  <c r="Z118" i="2"/>
  <c r="Z342" i="2"/>
  <c r="Y527" i="2"/>
  <c r="Z46" i="2"/>
  <c r="Y531" i="2"/>
  <c r="Z480" i="2"/>
  <c r="Z532" i="2" l="1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<sst xmlns="http://schemas.openxmlformats.org/spreadsheetml/2006/main" count="3957" uniqueCount="845">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</sst>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346" sqref="AA3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844</v>
      </c>
      <c r="I5" s="602"/>
      <c r="J5" s="602"/>
      <c r="K5" s="602"/>
      <c r="L5" s="602"/>
      <c r="M5" s="602"/>
      <c r="N5" s="69"/>
      <c r="P5" s="26" t="s">
        <v>4</v>
      </c>
      <c r="Q5" s="604">
        <v>46205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Четверг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0.5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2000</v>
      </c>
      <c r="Y346" s="53">
        <f t="shared" ref="Y346:Y351" si="47">IFERROR(IF(X346="",0,CEILING((X346/$H346),1)*$H346),"")</f>
        <v>2008.8000000000002</v>
      </c>
      <c r="Z346" s="39">
        <f>IFERROR(IF(Y346=0,"",ROUNDUP(Y346/H346,0)*0.01898),"")</f>
        <v>3.5302799999999999</v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2075.9259259259256</v>
      </c>
      <c r="BN346" s="75">
        <f t="shared" ref="BN346:BN351" si="49">IFERROR(Y346*I346/H346,"0")</f>
        <v>2085.0600000000004</v>
      </c>
      <c r="BO346" s="75">
        <f t="shared" ref="BO346:BO351" si="50">IFERROR(1/J346*(X346/H346),"0")</f>
        <v>2.8935185185185182</v>
      </c>
      <c r="BP346" s="75">
        <f t="shared" ref="BP346:BP351" si="51">IFERROR(1/J346*(Y346/H346),"0")</f>
        <v>2.90625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185.18518518518516</v>
      </c>
      <c r="Y352" s="41">
        <f>IFERROR(Y346/H346,"0")+IFERROR(Y347/H347,"0")+IFERROR(Y348/H348,"0")+IFERROR(Y349/H349,"0")+IFERROR(Y350/H350,"0")+IFERROR(Y351/H351,"0")</f>
        <v>186</v>
      </c>
      <c r="Z352" s="41">
        <f>IFERROR(IF(Z346="",0,Z346),"0")+IFERROR(IF(Z347="",0,Z347),"0")+IFERROR(IF(Z348="",0,Z348),"0")+IFERROR(IF(Z349="",0,Z349),"0")+IFERROR(IF(Z350="",0,Z350),"0")+IFERROR(IF(Z351="",0,Z351),"0")</f>
        <v>3.5302799999999999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2000</v>
      </c>
      <c r="Y353" s="41">
        <f>IFERROR(SUM(Y346:Y351),"0")</f>
        <v>2008.8000000000002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idden="1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6000</v>
      </c>
      <c r="Y365" s="53">
        <f>IFERROR(IF(X365="",0,CEILING((X365/$H365),1)*$H365),"")</f>
        <v>6006</v>
      </c>
      <c r="Z365" s="39">
        <f>IFERROR(IF(Y365=0,"",ROUNDUP(Y365/H365,0)*0.01898),"")</f>
        <v>14.614600000000001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6375.3846153846152</v>
      </c>
      <c r="BN365" s="75">
        <f>IFERROR(Y365*I365/H365,"0")</f>
        <v>6381.76</v>
      </c>
      <c r="BO365" s="75">
        <f>IFERROR(1/J365*(X365/H365),"0")</f>
        <v>12.01923076923077</v>
      </c>
      <c r="BP365" s="75">
        <f>IFERROR(1/J365*(Y365/H365),"0")</f>
        <v>12.03125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769.23076923076928</v>
      </c>
      <c r="Y369" s="41">
        <f>IFERROR(Y365/H365,"0")+IFERROR(Y366/H366,"0")+IFERROR(Y367/H367,"0")+IFERROR(Y368/H368,"0")</f>
        <v>770</v>
      </c>
      <c r="Z369" s="41">
        <f>IFERROR(IF(Z365="",0,Z365),"0")+IFERROR(IF(Z366="",0,Z366),"0")+IFERROR(IF(Z367="",0,Z367),"0")+IFERROR(IF(Z368="",0,Z368),"0")</f>
        <v>14.614600000000001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6000</v>
      </c>
      <c r="Y370" s="41">
        <f>IFERROR(SUM(Y365:Y368),"0")</f>
        <v>6006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hidden="1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4000</v>
      </c>
      <c r="Y402" s="53">
        <f t="shared" si="57"/>
        <v>4005</v>
      </c>
      <c r="Z402" s="39">
        <f>IFERROR(IF(Y402=0,"",ROUNDUP(Y402/H402,0)*0.02175),"")</f>
        <v>5.8072499999999998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4125.333333333333</v>
      </c>
      <c r="BN402" s="75">
        <f t="shared" si="59"/>
        <v>4130.4900000000007</v>
      </c>
      <c r="BO402" s="75">
        <f t="shared" si="60"/>
        <v>5.5555555555555554</v>
      </c>
      <c r="BP402" s="75">
        <f t="shared" si="61"/>
        <v>5.5625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0</v>
      </c>
      <c r="Y403" s="53">
        <f t="shared" si="57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0</v>
      </c>
      <c r="BN403" s="75">
        <f t="shared" si="59"/>
        <v>0</v>
      </c>
      <c r="BO403" s="75">
        <f t="shared" si="60"/>
        <v>0</v>
      </c>
      <c r="BP403" s="75">
        <f t="shared" si="61"/>
        <v>0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6000</v>
      </c>
      <c r="Y404" s="53">
        <f t="shared" si="57"/>
        <v>6000</v>
      </c>
      <c r="Z404" s="39">
        <f>IFERROR(IF(Y404=0,"",ROUNDUP(Y404/H404,0)*0.02175),"")</f>
        <v>8.6999999999999993</v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6188</v>
      </c>
      <c r="BN404" s="75">
        <f t="shared" si="59"/>
        <v>6188</v>
      </c>
      <c r="BO404" s="75">
        <f t="shared" si="60"/>
        <v>8.3333333333333321</v>
      </c>
      <c r="BP404" s="75">
        <f t="shared" si="61"/>
        <v>8.3333333333333321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666.66666666666674</v>
      </c>
      <c r="Y408" s="41">
        <f>IFERROR(Y400/H400,"0")+IFERROR(Y401/H401,"0")+IFERROR(Y402/H402,"0")+IFERROR(Y403/H403,"0")+IFERROR(Y404/H404,"0")+IFERROR(Y405/H405,"0")+IFERROR(Y406/H406,"0")+IFERROR(Y407/H407,"0")</f>
        <v>667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14.507249999999999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10000</v>
      </c>
      <c r="Y409" s="41">
        <f>IFERROR(SUM(Y400:Y407),"0")</f>
        <v>10005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idden="1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0</v>
      </c>
      <c r="Y480" s="41">
        <f>IFERROR(Y471/H471,"0")+IFERROR(Y472/H472,"0")+IFERROR(Y473/H473,"0")+IFERROR(Y474/H474,"0")+IFERROR(Y475/H475,"0")+IFERROR(Y476/H476,"0")+IFERROR(Y477/H477,"0")+IFERROR(Y478/H478,"0")+IFERROR(Y479/H479,"0")</f>
        <v>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0</v>
      </c>
      <c r="Y481" s="41">
        <f>IFERROR(SUM(Y471:Y479),"0")</f>
        <v>0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18000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18019.8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18764.643874643873</v>
      </c>
      <c r="Y528" s="41">
        <f>IFERROR(SUM(BN22:BN524),"0")</f>
        <v>18785.310000000001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29</v>
      </c>
      <c r="Y529" s="42">
        <f>ROUNDUP(SUM(BP22:BP524),0)</f>
        <v>29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19489.643874643873</v>
      </c>
      <c r="Y530" s="41">
        <f>GrossWeightTotalR+PalletQtyTotalR*25</f>
        <v>19510.310000000001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1621.0826210826212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1623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32.65213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8014.8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10005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0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21,08"/>
        <filter val="10 000,00"/>
        <filter val="18 000,00"/>
        <filter val="18 764,64"/>
        <filter val="185,19"/>
        <filter val="19 489,64"/>
        <filter val="2 000,00"/>
        <filter val="29"/>
        <filter val="4 000,00"/>
        <filter val="6 000,00"/>
        <filter val="666,67"/>
        <filter val="769,23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2026-06-30T10:58:46Z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