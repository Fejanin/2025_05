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BCC8D3-CB7D-4848-BE9E-D203BF451A8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заказа'!$X$512:$X$512</definedName>
    <definedName name="GrossWeightTotalR">'Бланк заказа'!$Y$512:$Y$512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заказа'!$X$513:$X$513</definedName>
    <definedName name="PalletQtyTotalR">'Бланк заказа'!$Y$513:$Y$513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заказа'!$B$209:$B$209</definedName>
    <definedName name="ProductId102">'Бланк заказа'!$B$210:$B$210</definedName>
    <definedName name="ProductId103">'Бланк заказа'!$B$214:$B$214</definedName>
    <definedName name="ProductId104">'Бланк заказа'!$B$215:$B$215</definedName>
    <definedName name="ProductId105">'Бланк заказа'!$B$216:$B$216</definedName>
    <definedName name="ProductId106">'Бланк заказа'!$B$220:$B$220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заказа'!$B$235:$B$235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заказа'!$B$246:$B$246</definedName>
    <definedName name="ProductId12">'Бланк заказа'!$B$44:$B$44</definedName>
    <definedName name="ProductId120">'Бланк заказа'!$B$247:$B$247</definedName>
    <definedName name="ProductId121">'Бланк заказа'!$B$248:$B$248</definedName>
    <definedName name="ProductId122">'Бланк заказа'!$B$249:$B$249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заказа'!$B$261:$B$261</definedName>
    <definedName name="ProductId132">'Бланк заказа'!$B$262:$B$262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заказа'!$B$285:$B$285</definedName>
    <definedName name="ProductId143">'Бланк заказа'!$B$286:$B$286</definedName>
    <definedName name="ProductId144">'Бланк заказа'!$B$287:$B$287</definedName>
    <definedName name="ProductId145">'Бланк заказа'!$B$288:$B$288</definedName>
    <definedName name="ProductId146">'Бланк заказа'!$B$293:$B$293</definedName>
    <definedName name="ProductId147">'Бланк заказа'!$B$294:$B$294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заказа'!$B$302:$B$302</definedName>
    <definedName name="ProductId152">'Бланк заказа'!$B$303:$B$303</definedName>
    <definedName name="ProductId153">'Бланк заказа'!$B$304:$B$304</definedName>
    <definedName name="ProductId154">'Бланк заказа'!$B$309:$B$309</definedName>
    <definedName name="ProductId155">'Бланк заказа'!$B$310:$B$310</definedName>
    <definedName name="ProductId156">'Бланк заказа'!$B$311:$B$311</definedName>
    <definedName name="ProductId157">'Бланк заказа'!$B$312:$B$312</definedName>
    <definedName name="ProductId158">'Бланк заказа'!$B$313:$B$313</definedName>
    <definedName name="ProductId159">'Бланк заказа'!$B$317:$B$317</definedName>
    <definedName name="ProductId16">'Бланк заказа'!$B$53:$B$53</definedName>
    <definedName name="ProductId160">'Бланк заказа'!$B$318:$B$318</definedName>
    <definedName name="ProductId161">'Бланк заказа'!$B$323:$B$323</definedName>
    <definedName name="ProductId162">'Бланк заказа'!$B$324:$B$324</definedName>
    <definedName name="ProductId163">'Бланк заказа'!$B$325:$B$325</definedName>
    <definedName name="ProductId164">'Бланк заказа'!$B$330:$B$330</definedName>
    <definedName name="ProductId165">'Бланк заказа'!$B$331:$B$331</definedName>
    <definedName name="ProductId166">'Бланк заказа'!$B$332:$B$332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заказа'!$B$339:$B$339</definedName>
    <definedName name="ProductId171">'Бланк заказа'!$B$340:$B$340</definedName>
    <definedName name="ProductId172">'Бланк заказа'!$B$341:$B$341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заказа'!$B$349:$B$349</definedName>
    <definedName name="ProductId178">'Бланк заказа'!$B$350:$B$350</definedName>
    <definedName name="ProductId179">'Бланк заказа'!$B$351:$B$351</definedName>
    <definedName name="ProductId18">'Бланк заказа'!$B$59:$B$59</definedName>
    <definedName name="ProductId180">'Бланк заказа'!$B$352:$B$352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заказа'!$B$362:$B$362</definedName>
    <definedName name="ProductId185">'Бланк заказа'!$B$363:$B$363</definedName>
    <definedName name="ProductId186">'Бланк заказа'!$B$364:$B$364</definedName>
    <definedName name="ProductId187">'Бланк заказа'!$B$365:$B$365</definedName>
    <definedName name="ProductId188">'Бланк заказа'!$B$369:$B$369</definedName>
    <definedName name="ProductId189">'Бланк заказа'!$B$370:$B$370</definedName>
    <definedName name="ProductId19">'Бланк заказа'!$B$60:$B$60</definedName>
    <definedName name="ProductId190">'Бланк заказа'!$B$371:$B$371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заказа'!$B$384:$B$384</definedName>
    <definedName name="ProductId195">'Бланк заказа'!$B$385:$B$385</definedName>
    <definedName name="ProductId196">'Бланк заказа'!$B$386:$B$386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заказа'!$B$395:$B$395</definedName>
    <definedName name="ProductId203">'Бланк заказа'!$B$396:$B$396</definedName>
    <definedName name="ProductId204">'Бланк заказа'!$B$397:$B$397</definedName>
    <definedName name="ProductId205">'Бланк заказа'!$B$401:$B$401</definedName>
    <definedName name="ProductId206">'Бланк заказа'!$B$402:$B$402</definedName>
    <definedName name="ProductId207">'Бланк заказа'!$B$406:$B$406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заказа'!$B$420:$B$420</definedName>
    <definedName name="ProductId212">'Бланк заказа'!$B$421:$B$421</definedName>
    <definedName name="ProductId213">'Бланк заказа'!$B$422:$B$422</definedName>
    <definedName name="ProductId214">'Бланк заказа'!$B$428:$B$428</definedName>
    <definedName name="ProductId215">'Бланк заказа'!$B$429:$B$429</definedName>
    <definedName name="ProductId216">'Бланк заказа'!$B$430:$B$430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заказа'!$B$437:$B$437</definedName>
    <definedName name="ProductId221">'Бланк заказа'!$B$438:$B$438</definedName>
    <definedName name="ProductId222">'Бланк заказа'!$B$443:$B$443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заказа'!$B$455:$B$455</definedName>
    <definedName name="ProductId227">'Бланк заказа'!$B$456:$B$456</definedName>
    <definedName name="ProductId228">'Бланк заказа'!$B$457:$B$457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заказа'!$B$467:$B$467</definedName>
    <definedName name="ProductId236">'Бланк заказа'!$B$468:$B$468</definedName>
    <definedName name="ProductId237">'Бланк заказа'!$B$469:$B$469</definedName>
    <definedName name="ProductId238">'Бланк заказа'!$B$473:$B$473</definedName>
    <definedName name="ProductId239">'Бланк заказа'!$B$474:$B$474</definedName>
    <definedName name="ProductId24">'Бланк заказа'!$B$65:$B$65</definedName>
    <definedName name="ProductId240">'Бланк заказа'!$B$475:$B$475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заказа'!$B$485:$B$485</definedName>
    <definedName name="ProductId246">'Бланк заказа'!$B$489:$B$489</definedName>
    <definedName name="ProductId247">'Бланк заказа'!$B$493:$B$493</definedName>
    <definedName name="ProductId248">'Бланк заказа'!$B$494:$B$494</definedName>
    <definedName name="ProductId249">'Бланк заказа'!$B$498:$B$498</definedName>
    <definedName name="ProductId25">'Бланк заказа'!$B$69:$B$69</definedName>
    <definedName name="ProductId250">'Бланк заказа'!$B$502:$B$502</definedName>
    <definedName name="ProductId251">'Бланк заказа'!$B$503:$B$503</definedName>
    <definedName name="ProductId252">'Бланк заказа'!$B$508:$B$508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заказа'!$B$32:$B$32</definedName>
    <definedName name="ProductId80">'Бланк заказа'!$B$170:$B$170</definedName>
    <definedName name="ProductId81">'Бланк заказа'!$B$174:$B$174</definedName>
    <definedName name="ProductId82">'Бланк заказа'!$B$180:$B$180</definedName>
    <definedName name="ProductId83">'Бланк заказа'!$B$181:$B$181</definedName>
    <definedName name="ProductId84">'Бланк заказа'!$B$182:$B$182</definedName>
    <definedName name="ProductId85">'Бланк заказа'!$B$183:$B$183</definedName>
    <definedName name="ProductId86">'Бланк заказа'!$B$188:$B$188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заказа'!$X$209:$X$209</definedName>
    <definedName name="SalesQty102">'Бланк заказа'!$X$210:$X$210</definedName>
    <definedName name="SalesQty103">'Бланк заказа'!$X$214:$X$214</definedName>
    <definedName name="SalesQty104">'Бланк заказа'!$X$215:$X$215</definedName>
    <definedName name="SalesQty105">'Бланк заказа'!$X$216:$X$216</definedName>
    <definedName name="SalesQty106">'Бланк заказа'!$X$220:$X$220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заказа'!$X$235:$X$235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заказа'!$X$246:$X$246</definedName>
    <definedName name="SalesQty12">'Бланк заказа'!$X$44:$X$44</definedName>
    <definedName name="SalesQty120">'Бланк заказа'!$X$247:$X$247</definedName>
    <definedName name="SalesQty121">'Бланк заказа'!$X$248:$X$248</definedName>
    <definedName name="SalesQty122">'Бланк заказа'!$X$249:$X$249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заказа'!$X$261:$X$261</definedName>
    <definedName name="SalesQty132">'Бланк заказа'!$X$262:$X$262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заказа'!$X$285:$X$285</definedName>
    <definedName name="SalesQty143">'Бланк заказа'!$X$286:$X$286</definedName>
    <definedName name="SalesQty144">'Бланк заказа'!$X$287:$X$287</definedName>
    <definedName name="SalesQty145">'Бланк заказа'!$X$288:$X$288</definedName>
    <definedName name="SalesQty146">'Бланк заказа'!$X$293:$X$293</definedName>
    <definedName name="SalesQty147">'Бланк заказа'!$X$294:$X$294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заказа'!$X$302:$X$302</definedName>
    <definedName name="SalesQty152">'Бланк заказа'!$X$303:$X$303</definedName>
    <definedName name="SalesQty153">'Бланк заказа'!$X$304:$X$304</definedName>
    <definedName name="SalesQty154">'Бланк заказа'!$X$309:$X$309</definedName>
    <definedName name="SalesQty155">'Бланк заказа'!$X$310:$X$310</definedName>
    <definedName name="SalesQty156">'Бланк заказа'!$X$311:$X$311</definedName>
    <definedName name="SalesQty157">'Бланк заказа'!$X$312:$X$312</definedName>
    <definedName name="SalesQty158">'Бланк заказа'!$X$313:$X$313</definedName>
    <definedName name="SalesQty159">'Бланк заказа'!$X$317:$X$317</definedName>
    <definedName name="SalesQty16">'Бланк заказа'!$X$53:$X$53</definedName>
    <definedName name="SalesQty160">'Бланк заказа'!$X$318:$X$318</definedName>
    <definedName name="SalesQty161">'Бланк заказа'!$X$323:$X$323</definedName>
    <definedName name="SalesQty162">'Бланк заказа'!$X$324:$X$324</definedName>
    <definedName name="SalesQty163">'Бланк заказа'!$X$325:$X$325</definedName>
    <definedName name="SalesQty164">'Бланк заказа'!$X$330:$X$330</definedName>
    <definedName name="SalesQty165">'Бланк заказа'!$X$331:$X$331</definedName>
    <definedName name="SalesQty166">'Бланк заказа'!$X$332:$X$332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заказа'!$X$339:$X$339</definedName>
    <definedName name="SalesQty171">'Бланк заказа'!$X$340:$X$340</definedName>
    <definedName name="SalesQty172">'Бланк заказа'!$X$341:$X$341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заказа'!$X$349:$X$349</definedName>
    <definedName name="SalesQty178">'Бланк заказа'!$X$350:$X$350</definedName>
    <definedName name="SalesQty179">'Бланк заказа'!$X$351:$X$351</definedName>
    <definedName name="SalesQty18">'Бланк заказа'!$X$59:$X$59</definedName>
    <definedName name="SalesQty180">'Бланк заказа'!$X$352:$X$352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заказа'!$X$362:$X$362</definedName>
    <definedName name="SalesQty185">'Бланк заказа'!$X$363:$X$363</definedName>
    <definedName name="SalesQty186">'Бланк заказа'!$X$364:$X$364</definedName>
    <definedName name="SalesQty187">'Бланк заказа'!$X$365:$X$365</definedName>
    <definedName name="SalesQty188">'Бланк заказа'!$X$369:$X$369</definedName>
    <definedName name="SalesQty189">'Бланк заказа'!$X$370:$X$370</definedName>
    <definedName name="SalesQty19">'Бланк заказа'!$X$60:$X$60</definedName>
    <definedName name="SalesQty190">'Бланк заказа'!$X$371:$X$371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заказа'!$X$384:$X$384</definedName>
    <definedName name="SalesQty195">'Бланк заказа'!$X$385:$X$385</definedName>
    <definedName name="SalesQty196">'Бланк заказа'!$X$386:$X$386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заказа'!$X$395:$X$395</definedName>
    <definedName name="SalesQty203">'Бланк заказа'!$X$396:$X$396</definedName>
    <definedName name="SalesQty204">'Бланк заказа'!$X$397:$X$397</definedName>
    <definedName name="SalesQty205">'Бланк заказа'!$X$401:$X$401</definedName>
    <definedName name="SalesQty206">'Бланк заказа'!$X$402:$X$402</definedName>
    <definedName name="SalesQty207">'Бланк заказа'!$X$406:$X$406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заказа'!$X$420:$X$420</definedName>
    <definedName name="SalesQty212">'Бланк заказа'!$X$421:$X$421</definedName>
    <definedName name="SalesQty213">'Бланк заказа'!$X$422:$X$422</definedName>
    <definedName name="SalesQty214">'Бланк заказа'!$X$428:$X$428</definedName>
    <definedName name="SalesQty215">'Бланк заказа'!$X$429:$X$429</definedName>
    <definedName name="SalesQty216">'Бланк заказа'!$X$430:$X$430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заказа'!$X$437:$X$437</definedName>
    <definedName name="SalesQty221">'Бланк заказа'!$X$438:$X$438</definedName>
    <definedName name="SalesQty222">'Бланк заказа'!$X$443:$X$443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заказа'!$X$455:$X$455</definedName>
    <definedName name="SalesQty227">'Бланк заказа'!$X$456:$X$456</definedName>
    <definedName name="SalesQty228">'Бланк заказа'!$X$457:$X$457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заказа'!$X$467:$X$467</definedName>
    <definedName name="SalesQty236">'Бланк заказа'!$X$468:$X$468</definedName>
    <definedName name="SalesQty237">'Бланк заказа'!$X$469:$X$469</definedName>
    <definedName name="SalesQty238">'Бланк заказа'!$X$473:$X$473</definedName>
    <definedName name="SalesQty239">'Бланк заказа'!$X$474:$X$474</definedName>
    <definedName name="SalesQty24">'Бланк заказа'!$X$65:$X$65</definedName>
    <definedName name="SalesQty240">'Бланк заказа'!$X$475:$X$475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заказа'!$X$485:$X$485</definedName>
    <definedName name="SalesQty246">'Бланк заказа'!$X$489:$X$489</definedName>
    <definedName name="SalesQty247">'Бланк заказа'!$X$493:$X$493</definedName>
    <definedName name="SalesQty248">'Бланк заказа'!$X$494:$X$494</definedName>
    <definedName name="SalesQty249">'Бланк заказа'!$X$498:$X$498</definedName>
    <definedName name="SalesQty25">'Бланк заказа'!$X$69:$X$69</definedName>
    <definedName name="SalesQty250">'Бланк заказа'!$X$502:$X$502</definedName>
    <definedName name="SalesQty251">'Бланк заказа'!$X$503:$X$503</definedName>
    <definedName name="SalesQty252">'Бланк заказа'!$X$508:$X$508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заказа'!$X$32:$X$32</definedName>
    <definedName name="SalesQty80">'Бланк заказа'!$X$170:$X$170</definedName>
    <definedName name="SalesQty81">'Бланк заказа'!$X$174:$X$174</definedName>
    <definedName name="SalesQty82">'Бланк заказа'!$X$180:$X$180</definedName>
    <definedName name="SalesQty83">'Бланк заказа'!$X$181:$X$181</definedName>
    <definedName name="SalesQty84">'Бланк заказа'!$X$182:$X$182</definedName>
    <definedName name="SalesQty85">'Бланк заказа'!$X$183:$X$183</definedName>
    <definedName name="SalesQty86">'Бланк заказа'!$X$188:$X$188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заказа'!$Y$209:$Y$209</definedName>
    <definedName name="SalesRoundBox102">'Бланк заказа'!$Y$210:$Y$210</definedName>
    <definedName name="SalesRoundBox103">'Бланк заказа'!$Y$214:$Y$214</definedName>
    <definedName name="SalesRoundBox104">'Бланк заказа'!$Y$215:$Y$215</definedName>
    <definedName name="SalesRoundBox105">'Бланк заказа'!$Y$216:$Y$216</definedName>
    <definedName name="SalesRoundBox106">'Бланк заказа'!$Y$220:$Y$220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заказа'!$Y$235:$Y$235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заказа'!$Y$246:$Y$246</definedName>
    <definedName name="SalesRoundBox12">'Бланк заказа'!$Y$44:$Y$44</definedName>
    <definedName name="SalesRoundBox120">'Бланк заказа'!$Y$247:$Y$247</definedName>
    <definedName name="SalesRoundBox121">'Бланк заказа'!$Y$248:$Y$248</definedName>
    <definedName name="SalesRoundBox122">'Бланк заказа'!$Y$249:$Y$249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заказа'!$Y$261:$Y$261</definedName>
    <definedName name="SalesRoundBox132">'Бланк заказа'!$Y$262:$Y$262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заказа'!$Y$285:$Y$285</definedName>
    <definedName name="SalesRoundBox143">'Бланк заказа'!$Y$286:$Y$286</definedName>
    <definedName name="SalesRoundBox144">'Бланк заказа'!$Y$287:$Y$287</definedName>
    <definedName name="SalesRoundBox145">'Бланк заказа'!$Y$288:$Y$288</definedName>
    <definedName name="SalesRoundBox146">'Бланк заказа'!$Y$293:$Y$293</definedName>
    <definedName name="SalesRoundBox147">'Бланк заказа'!$Y$294:$Y$294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заказа'!$Y$302:$Y$302</definedName>
    <definedName name="SalesRoundBox152">'Бланк заказа'!$Y$303:$Y$303</definedName>
    <definedName name="SalesRoundBox153">'Бланк заказа'!$Y$304:$Y$304</definedName>
    <definedName name="SalesRoundBox154">'Бланк заказа'!$Y$309:$Y$309</definedName>
    <definedName name="SalesRoundBox155">'Бланк заказа'!$Y$310:$Y$310</definedName>
    <definedName name="SalesRoundBox156">'Бланк заказа'!$Y$311:$Y$311</definedName>
    <definedName name="SalesRoundBox157">'Бланк заказа'!$Y$312:$Y$312</definedName>
    <definedName name="SalesRoundBox158">'Бланк заказа'!$Y$313:$Y$313</definedName>
    <definedName name="SalesRoundBox159">'Бланк заказа'!$Y$317:$Y$317</definedName>
    <definedName name="SalesRoundBox16">'Бланк заказа'!$Y$53:$Y$53</definedName>
    <definedName name="SalesRoundBox160">'Бланк заказа'!$Y$318:$Y$318</definedName>
    <definedName name="SalesRoundBox161">'Бланк заказа'!$Y$323:$Y$323</definedName>
    <definedName name="SalesRoundBox162">'Бланк заказа'!$Y$324:$Y$324</definedName>
    <definedName name="SalesRoundBox163">'Бланк заказа'!$Y$325:$Y$325</definedName>
    <definedName name="SalesRoundBox164">'Бланк заказа'!$Y$330:$Y$330</definedName>
    <definedName name="SalesRoundBox165">'Бланк заказа'!$Y$331:$Y$331</definedName>
    <definedName name="SalesRoundBox166">'Бланк заказа'!$Y$332:$Y$332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заказа'!$Y$339:$Y$339</definedName>
    <definedName name="SalesRoundBox171">'Бланк заказа'!$Y$340:$Y$340</definedName>
    <definedName name="SalesRoundBox172">'Бланк заказа'!$Y$341:$Y$341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заказа'!$Y$349:$Y$349</definedName>
    <definedName name="SalesRoundBox178">'Бланк заказа'!$Y$350:$Y$350</definedName>
    <definedName name="SalesRoundBox179">'Бланк заказа'!$Y$351:$Y$351</definedName>
    <definedName name="SalesRoundBox18">'Бланк заказа'!$Y$59:$Y$59</definedName>
    <definedName name="SalesRoundBox180">'Бланк заказа'!$Y$352:$Y$352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заказа'!$Y$362:$Y$362</definedName>
    <definedName name="SalesRoundBox185">'Бланк заказа'!$Y$363:$Y$363</definedName>
    <definedName name="SalesRoundBox186">'Бланк заказа'!$Y$364:$Y$364</definedName>
    <definedName name="SalesRoundBox187">'Бланк заказа'!$Y$365:$Y$365</definedName>
    <definedName name="SalesRoundBox188">'Бланк заказа'!$Y$369:$Y$369</definedName>
    <definedName name="SalesRoundBox189">'Бланк заказа'!$Y$370:$Y$370</definedName>
    <definedName name="SalesRoundBox19">'Бланк заказа'!$Y$60:$Y$60</definedName>
    <definedName name="SalesRoundBox190">'Бланк заказа'!$Y$371:$Y$371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заказа'!$Y$384:$Y$384</definedName>
    <definedName name="SalesRoundBox195">'Бланк заказа'!$Y$385:$Y$385</definedName>
    <definedName name="SalesRoundBox196">'Бланк заказа'!$Y$386:$Y$386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заказа'!$Y$395:$Y$395</definedName>
    <definedName name="SalesRoundBox203">'Бланк заказа'!$Y$396:$Y$396</definedName>
    <definedName name="SalesRoundBox204">'Бланк заказа'!$Y$397:$Y$397</definedName>
    <definedName name="SalesRoundBox205">'Бланк заказа'!$Y$401:$Y$401</definedName>
    <definedName name="SalesRoundBox206">'Бланк заказа'!$Y$402:$Y$402</definedName>
    <definedName name="SalesRoundBox207">'Бланк заказа'!$Y$406:$Y$406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заказа'!$Y$420:$Y$420</definedName>
    <definedName name="SalesRoundBox212">'Бланк заказа'!$Y$421:$Y$421</definedName>
    <definedName name="SalesRoundBox213">'Бланк заказа'!$Y$422:$Y$422</definedName>
    <definedName name="SalesRoundBox214">'Бланк заказа'!$Y$428:$Y$428</definedName>
    <definedName name="SalesRoundBox215">'Бланк заказа'!$Y$429:$Y$429</definedName>
    <definedName name="SalesRoundBox216">'Бланк заказа'!$Y$430:$Y$430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заказа'!$Y$437:$Y$437</definedName>
    <definedName name="SalesRoundBox221">'Бланк заказа'!$Y$438:$Y$438</definedName>
    <definedName name="SalesRoundBox222">'Бланк заказа'!$Y$443:$Y$443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заказа'!$Y$455:$Y$455</definedName>
    <definedName name="SalesRoundBox227">'Бланк заказа'!$Y$456:$Y$456</definedName>
    <definedName name="SalesRoundBox228">'Бланк заказа'!$Y$457:$Y$457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заказа'!$Y$467:$Y$467</definedName>
    <definedName name="SalesRoundBox236">'Бланк заказа'!$Y$468:$Y$468</definedName>
    <definedName name="SalesRoundBox237">'Бланк заказа'!$Y$469:$Y$469</definedName>
    <definedName name="SalesRoundBox238">'Бланк заказа'!$Y$473:$Y$473</definedName>
    <definedName name="SalesRoundBox239">'Бланк заказа'!$Y$474:$Y$474</definedName>
    <definedName name="SalesRoundBox24">'Бланк заказа'!$Y$65:$Y$65</definedName>
    <definedName name="SalesRoundBox240">'Бланк заказа'!$Y$475:$Y$475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заказа'!$Y$485:$Y$485</definedName>
    <definedName name="SalesRoundBox246">'Бланк заказа'!$Y$489:$Y$489</definedName>
    <definedName name="SalesRoundBox247">'Бланк заказа'!$Y$493:$Y$493</definedName>
    <definedName name="SalesRoundBox248">'Бланк заказа'!$Y$494:$Y$494</definedName>
    <definedName name="SalesRoundBox249">'Бланк заказа'!$Y$498:$Y$498</definedName>
    <definedName name="SalesRoundBox25">'Бланк заказа'!$Y$69:$Y$69</definedName>
    <definedName name="SalesRoundBox250">'Бланк заказа'!$Y$502:$Y$502</definedName>
    <definedName name="SalesRoundBox251">'Бланк заказа'!$Y$503:$Y$503</definedName>
    <definedName name="SalesRoundBox252">'Бланк заказа'!$Y$508:$Y$508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заказа'!$Y$32:$Y$32</definedName>
    <definedName name="SalesRoundBox80">'Бланк заказа'!$Y$170:$Y$170</definedName>
    <definedName name="SalesRoundBox81">'Бланк заказа'!$Y$174:$Y$174</definedName>
    <definedName name="SalesRoundBox82">'Бланк заказа'!$Y$180:$Y$180</definedName>
    <definedName name="SalesRoundBox83">'Бланк заказа'!$Y$181:$Y$181</definedName>
    <definedName name="SalesRoundBox84">'Бланк заказа'!$Y$182:$Y$182</definedName>
    <definedName name="SalesRoundBox85">'Бланк заказа'!$Y$183:$Y$183</definedName>
    <definedName name="SalesRoundBox86">'Бланк заказа'!$Y$188:$Y$188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заказа'!$W$209:$W$209</definedName>
    <definedName name="UnitOfMeasure102">'Бланк заказа'!$W$210:$W$210</definedName>
    <definedName name="UnitOfMeasure103">'Бланк заказа'!$W$214:$W$214</definedName>
    <definedName name="UnitOfMeasure104">'Бланк заказа'!$W$215:$W$215</definedName>
    <definedName name="UnitOfMeasure105">'Бланк заказа'!$W$216:$W$216</definedName>
    <definedName name="UnitOfMeasure106">'Бланк заказа'!$W$220:$W$220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заказа'!$W$235:$W$235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заказа'!$W$246:$W$246</definedName>
    <definedName name="UnitOfMeasure12">'Бланк заказа'!$W$44:$W$44</definedName>
    <definedName name="UnitOfMeasure120">'Бланк заказа'!$W$247:$W$247</definedName>
    <definedName name="UnitOfMeasure121">'Бланк заказа'!$W$248:$W$248</definedName>
    <definedName name="UnitOfMeasure122">'Бланк заказа'!$W$249:$W$249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заказа'!$W$261:$W$261</definedName>
    <definedName name="UnitOfMeasure132">'Бланк заказа'!$W$262:$W$262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заказа'!$W$285:$W$285</definedName>
    <definedName name="UnitOfMeasure143">'Бланк заказа'!$W$286:$W$286</definedName>
    <definedName name="UnitOfMeasure144">'Бланк заказа'!$W$287:$W$287</definedName>
    <definedName name="UnitOfMeasure145">'Бланк заказа'!$W$288:$W$288</definedName>
    <definedName name="UnitOfMeasure146">'Бланк заказа'!$W$293:$W$293</definedName>
    <definedName name="UnitOfMeasure147">'Бланк заказа'!$W$294:$W$294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заказа'!$W$302:$W$302</definedName>
    <definedName name="UnitOfMeasure152">'Бланк заказа'!$W$303:$W$303</definedName>
    <definedName name="UnitOfMeasure153">'Бланк заказа'!$W$304:$W$304</definedName>
    <definedName name="UnitOfMeasure154">'Бланк заказа'!$W$309:$W$309</definedName>
    <definedName name="UnitOfMeasure155">'Бланк заказа'!$W$310:$W$310</definedName>
    <definedName name="UnitOfMeasure156">'Бланк заказа'!$W$311:$W$311</definedName>
    <definedName name="UnitOfMeasure157">'Бланк заказа'!$W$312:$W$312</definedName>
    <definedName name="UnitOfMeasure158">'Бланк заказа'!$W$313:$W$313</definedName>
    <definedName name="UnitOfMeasure159">'Бланк заказа'!$W$317:$W$317</definedName>
    <definedName name="UnitOfMeasure16">'Бланк заказа'!$W$53:$W$53</definedName>
    <definedName name="UnitOfMeasure160">'Бланк заказа'!$W$318:$W$318</definedName>
    <definedName name="UnitOfMeasure161">'Бланк заказа'!$W$323:$W$323</definedName>
    <definedName name="UnitOfMeasure162">'Бланк заказа'!$W$324:$W$324</definedName>
    <definedName name="UnitOfMeasure163">'Бланк заказа'!$W$325:$W$325</definedName>
    <definedName name="UnitOfMeasure164">'Бланк заказа'!$W$330:$W$330</definedName>
    <definedName name="UnitOfMeasure165">'Бланк заказа'!$W$331:$W$331</definedName>
    <definedName name="UnitOfMeasure166">'Бланк заказа'!$W$332:$W$332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заказа'!$W$339:$W$339</definedName>
    <definedName name="UnitOfMeasure171">'Бланк заказа'!$W$340:$W$340</definedName>
    <definedName name="UnitOfMeasure172">'Бланк заказа'!$W$341:$W$341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заказа'!$W$349:$W$349</definedName>
    <definedName name="UnitOfMeasure178">'Бланк заказа'!$W$350:$W$350</definedName>
    <definedName name="UnitOfMeasure179">'Бланк заказа'!$W$351:$W$351</definedName>
    <definedName name="UnitOfMeasure18">'Бланк заказа'!$W$59:$W$59</definedName>
    <definedName name="UnitOfMeasure180">'Бланк заказа'!$W$352:$W$352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заказа'!$W$362:$W$362</definedName>
    <definedName name="UnitOfMeasure185">'Бланк заказа'!$W$363:$W$363</definedName>
    <definedName name="UnitOfMeasure186">'Бланк заказа'!$W$364:$W$364</definedName>
    <definedName name="UnitOfMeasure187">'Бланк заказа'!$W$365:$W$365</definedName>
    <definedName name="UnitOfMeasure188">'Бланк заказа'!$W$369:$W$369</definedName>
    <definedName name="UnitOfMeasure189">'Бланк заказа'!$W$370:$W$370</definedName>
    <definedName name="UnitOfMeasure19">'Бланк заказа'!$W$60:$W$60</definedName>
    <definedName name="UnitOfMeasure190">'Бланк заказа'!$W$371:$W$371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заказа'!$W$384:$W$384</definedName>
    <definedName name="UnitOfMeasure195">'Бланк заказа'!$W$385:$W$385</definedName>
    <definedName name="UnitOfMeasure196">'Бланк заказа'!$W$386:$W$386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заказа'!$W$395:$W$395</definedName>
    <definedName name="UnitOfMeasure203">'Бланк заказа'!$W$396:$W$396</definedName>
    <definedName name="UnitOfMeasure204">'Бланк заказа'!$W$397:$W$397</definedName>
    <definedName name="UnitOfMeasure205">'Бланк заказа'!$W$401:$W$401</definedName>
    <definedName name="UnitOfMeasure206">'Бланк заказа'!$W$402:$W$402</definedName>
    <definedName name="UnitOfMeasure207">'Бланк заказа'!$W$406:$W$406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заказа'!$W$420:$W$420</definedName>
    <definedName name="UnitOfMeasure212">'Бланк заказа'!$W$421:$W$421</definedName>
    <definedName name="UnitOfMeasure213">'Бланк заказа'!$W$422:$W$422</definedName>
    <definedName name="UnitOfMeasure214">'Бланк заказа'!$W$428:$W$428</definedName>
    <definedName name="UnitOfMeasure215">'Бланк заказа'!$W$429:$W$429</definedName>
    <definedName name="UnitOfMeasure216">'Бланк заказа'!$W$430:$W$430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заказа'!$W$437:$W$437</definedName>
    <definedName name="UnitOfMeasure221">'Бланк заказа'!$W$438:$W$438</definedName>
    <definedName name="UnitOfMeasure222">'Бланк заказа'!$W$443:$W$443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заказа'!$W$455:$W$455</definedName>
    <definedName name="UnitOfMeasure227">'Бланк заказа'!$W$456:$W$456</definedName>
    <definedName name="UnitOfMeasure228">'Бланк заказа'!$W$457:$W$457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заказа'!$W$467:$W$467</definedName>
    <definedName name="UnitOfMeasure236">'Бланк заказа'!$W$468:$W$468</definedName>
    <definedName name="UnitOfMeasure237">'Бланк заказа'!$W$469:$W$469</definedName>
    <definedName name="UnitOfMeasure238">'Бланк заказа'!$W$473:$W$473</definedName>
    <definedName name="UnitOfMeasure239">'Бланк заказа'!$W$474:$W$474</definedName>
    <definedName name="UnitOfMeasure24">'Бланк заказа'!$W$65:$W$65</definedName>
    <definedName name="UnitOfMeasure240">'Бланк заказа'!$W$475:$W$475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заказа'!$W$485:$W$485</definedName>
    <definedName name="UnitOfMeasure246">'Бланк заказа'!$W$489:$W$489</definedName>
    <definedName name="UnitOfMeasure247">'Бланк заказа'!$W$493:$W$493</definedName>
    <definedName name="UnitOfMeasure248">'Бланк заказа'!$W$494:$W$494</definedName>
    <definedName name="UnitOfMeasure249">'Бланк заказа'!$W$498:$W$498</definedName>
    <definedName name="UnitOfMeasure25">'Бланк заказа'!$W$69:$W$69</definedName>
    <definedName name="UnitOfMeasure250">'Бланк заказа'!$W$502:$W$502</definedName>
    <definedName name="UnitOfMeasure251">'Бланк заказа'!$W$503:$W$503</definedName>
    <definedName name="UnitOfMeasure252">'Бланк заказа'!$W$508:$W$508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заказа'!$W$32:$W$32</definedName>
    <definedName name="UnitOfMeasure80">'Бланк заказа'!$W$170:$W$170</definedName>
    <definedName name="UnitOfMeasure81">'Бланк заказа'!$W$174:$W$174</definedName>
    <definedName name="UnitOfMeasure82">'Бланк заказа'!$W$180:$W$180</definedName>
    <definedName name="UnitOfMeasure83">'Бланк заказа'!$W$181:$W$181</definedName>
    <definedName name="UnitOfMeasure84">'Бланк заказа'!$W$182:$W$182</definedName>
    <definedName name="UnitOfMeasure85">'Бланк заказа'!$W$183:$W$183</definedName>
    <definedName name="UnitOfMeasure86">'Бланк заказа'!$W$188:$W$188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10" i="2" l="1"/>
  <c r="X509" i="2"/>
  <c r="BO508" i="2"/>
  <c r="BM508" i="2"/>
  <c r="Y508" i="2"/>
  <c r="AA521" i="2" s="1"/>
  <c r="P508" i="2"/>
  <c r="X505" i="2"/>
  <c r="X504" i="2"/>
  <c r="BO503" i="2"/>
  <c r="BM503" i="2"/>
  <c r="Y503" i="2"/>
  <c r="BN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BP498" i="2" s="1"/>
  <c r="P498" i="2"/>
  <c r="X496" i="2"/>
  <c r="X495" i="2"/>
  <c r="BO494" i="2"/>
  <c r="BM494" i="2"/>
  <c r="Y494" i="2"/>
  <c r="P494" i="2"/>
  <c r="BO493" i="2"/>
  <c r="BM493" i="2"/>
  <c r="Y493" i="2"/>
  <c r="BP493" i="2" s="1"/>
  <c r="P493" i="2"/>
  <c r="X491" i="2"/>
  <c r="X490" i="2"/>
  <c r="BO489" i="2"/>
  <c r="BM489" i="2"/>
  <c r="Y489" i="2"/>
  <c r="Y491" i="2" s="1"/>
  <c r="P489" i="2"/>
  <c r="X487" i="2"/>
  <c r="X486" i="2"/>
  <c r="BO485" i="2"/>
  <c r="BM485" i="2"/>
  <c r="Y485" i="2"/>
  <c r="Z485" i="2" s="1"/>
  <c r="Z486" i="2" s="1"/>
  <c r="P485" i="2"/>
  <c r="X481" i="2"/>
  <c r="X480" i="2"/>
  <c r="BO479" i="2"/>
  <c r="BM479" i="2"/>
  <c r="Y479" i="2"/>
  <c r="BN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X471" i="2"/>
  <c r="X470" i="2"/>
  <c r="BO469" i="2"/>
  <c r="BM469" i="2"/>
  <c r="Y469" i="2"/>
  <c r="BN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N459" i="2" s="1"/>
  <c r="P459" i="2"/>
  <c r="BO458" i="2"/>
  <c r="BM458" i="2"/>
  <c r="Y458" i="2"/>
  <c r="P458" i="2"/>
  <c r="BO457" i="2"/>
  <c r="BM457" i="2"/>
  <c r="Y457" i="2"/>
  <c r="BN457" i="2" s="1"/>
  <c r="P457" i="2"/>
  <c r="BO456" i="2"/>
  <c r="BM456" i="2"/>
  <c r="Y456" i="2"/>
  <c r="BN456" i="2" s="1"/>
  <c r="P456" i="2"/>
  <c r="BO455" i="2"/>
  <c r="BM455" i="2"/>
  <c r="Y455" i="2"/>
  <c r="BN455" i="2" s="1"/>
  <c r="P455" i="2"/>
  <c r="X451" i="2"/>
  <c r="X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P447" i="2" s="1"/>
  <c r="P447" i="2"/>
  <c r="X445" i="2"/>
  <c r="X444" i="2"/>
  <c r="BO443" i="2"/>
  <c r="BM443" i="2"/>
  <c r="Y443" i="2"/>
  <c r="Y444" i="2" s="1"/>
  <c r="P443" i="2"/>
  <c r="X440" i="2"/>
  <c r="X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8" i="2"/>
  <c r="X417" i="2"/>
  <c r="BO416" i="2"/>
  <c r="BM416" i="2"/>
  <c r="Y416" i="2"/>
  <c r="Y418" i="2" s="1"/>
  <c r="P416" i="2"/>
  <c r="X414" i="2"/>
  <c r="X413" i="2"/>
  <c r="BO412" i="2"/>
  <c r="BM412" i="2"/>
  <c r="Y412" i="2"/>
  <c r="BP412" i="2" s="1"/>
  <c r="P412" i="2"/>
  <c r="BO411" i="2"/>
  <c r="BM411" i="2"/>
  <c r="Y411" i="2"/>
  <c r="P411" i="2"/>
  <c r="X408" i="2"/>
  <c r="X407" i="2"/>
  <c r="BO406" i="2"/>
  <c r="BM406" i="2"/>
  <c r="Y406" i="2"/>
  <c r="BP406" i="2" s="1"/>
  <c r="P406" i="2"/>
  <c r="X404" i="2"/>
  <c r="X403" i="2"/>
  <c r="BO402" i="2"/>
  <c r="BM402" i="2"/>
  <c r="Z402" i="2"/>
  <c r="Y402" i="2"/>
  <c r="BN402" i="2" s="1"/>
  <c r="P402" i="2"/>
  <c r="BO401" i="2"/>
  <c r="BM401" i="2"/>
  <c r="Y401" i="2"/>
  <c r="BP401" i="2" s="1"/>
  <c r="P401" i="2"/>
  <c r="X399" i="2"/>
  <c r="X398" i="2"/>
  <c r="BO397" i="2"/>
  <c r="BM397" i="2"/>
  <c r="Y397" i="2"/>
  <c r="Z397" i="2" s="1"/>
  <c r="P397" i="2"/>
  <c r="BO396" i="2"/>
  <c r="BM396" i="2"/>
  <c r="Y396" i="2"/>
  <c r="BP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X373" i="2"/>
  <c r="X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BN369" i="2" s="1"/>
  <c r="P369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X354" i="2"/>
  <c r="X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BO349" i="2"/>
  <c r="BM349" i="2"/>
  <c r="Y349" i="2"/>
  <c r="BP349" i="2" s="1"/>
  <c r="P349" i="2"/>
  <c r="X347" i="2"/>
  <c r="X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Z342" i="2" s="1"/>
  <c r="P342" i="2"/>
  <c r="BO341" i="2"/>
  <c r="BM341" i="2"/>
  <c r="Y341" i="2"/>
  <c r="BP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BN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X315" i="2"/>
  <c r="X314" i="2"/>
  <c r="BO313" i="2"/>
  <c r="BM313" i="2"/>
  <c r="Y313" i="2"/>
  <c r="BN313" i="2" s="1"/>
  <c r="P313" i="2"/>
  <c r="BO312" i="2"/>
  <c r="BM312" i="2"/>
  <c r="Y312" i="2"/>
  <c r="BP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X299" i="2"/>
  <c r="X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X290" i="2"/>
  <c r="X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X279" i="2"/>
  <c r="X278" i="2"/>
  <c r="BO277" i="2"/>
  <c r="BM277" i="2"/>
  <c r="Y277" i="2"/>
  <c r="Y278" i="2" s="1"/>
  <c r="P277" i="2"/>
  <c r="X275" i="2"/>
  <c r="X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4" i="2"/>
  <c r="X263" i="2"/>
  <c r="BO262" i="2"/>
  <c r="BM262" i="2"/>
  <c r="Y262" i="2"/>
  <c r="Z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Z257" i="2" s="1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BN237" i="2" s="1"/>
  <c r="P237" i="2"/>
  <c r="BO236" i="2"/>
  <c r="BN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X222" i="2"/>
  <c r="X221" i="2"/>
  <c r="BO220" i="2"/>
  <c r="BM220" i="2"/>
  <c r="Y220" i="2"/>
  <c r="Y222" i="2" s="1"/>
  <c r="P220" i="2"/>
  <c r="X218" i="2"/>
  <c r="X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N214" i="2" s="1"/>
  <c r="P214" i="2"/>
  <c r="X212" i="2"/>
  <c r="X211" i="2"/>
  <c r="BO210" i="2"/>
  <c r="BM210" i="2"/>
  <c r="Y210" i="2"/>
  <c r="Z210" i="2" s="1"/>
  <c r="P210" i="2"/>
  <c r="BO209" i="2"/>
  <c r="BM209" i="2"/>
  <c r="Y209" i="2"/>
  <c r="Z209" i="2" s="1"/>
  <c r="P209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N196" i="2" s="1"/>
  <c r="P196" i="2"/>
  <c r="BO195" i="2"/>
  <c r="BM195" i="2"/>
  <c r="Y195" i="2"/>
  <c r="P195" i="2"/>
  <c r="BO194" i="2"/>
  <c r="BM194" i="2"/>
  <c r="Y194" i="2"/>
  <c r="BN194" i="2" s="1"/>
  <c r="P194" i="2"/>
  <c r="BO193" i="2"/>
  <c r="BM193" i="2"/>
  <c r="Y193" i="2"/>
  <c r="BN193" i="2" s="1"/>
  <c r="P193" i="2"/>
  <c r="BO192" i="2"/>
  <c r="BM192" i="2"/>
  <c r="Y192" i="2"/>
  <c r="P192" i="2"/>
  <c r="X190" i="2"/>
  <c r="X189" i="2"/>
  <c r="BO188" i="2"/>
  <c r="BM188" i="2"/>
  <c r="Y188" i="2"/>
  <c r="Y189" i="2" s="1"/>
  <c r="P188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6" i="2"/>
  <c r="X175" i="2"/>
  <c r="BO174" i="2"/>
  <c r="BM174" i="2"/>
  <c r="Y174" i="2"/>
  <c r="Z174" i="2" s="1"/>
  <c r="Z175" i="2" s="1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Z165" i="2" s="1"/>
  <c r="P165" i="2"/>
  <c r="BO164" i="2"/>
  <c r="BM164" i="2"/>
  <c r="Y164" i="2"/>
  <c r="Z164" i="2" s="1"/>
  <c r="P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P150" i="2"/>
  <c r="X148" i="2"/>
  <c r="X147" i="2"/>
  <c r="BO146" i="2"/>
  <c r="BM146" i="2"/>
  <c r="Y146" i="2"/>
  <c r="BP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8" i="2"/>
  <c r="X137" i="2"/>
  <c r="BO136" i="2"/>
  <c r="BM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BO133" i="2"/>
  <c r="BM133" i="2"/>
  <c r="Y133" i="2"/>
  <c r="Z133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N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Z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Z94" i="2" s="1"/>
  <c r="P94" i="2"/>
  <c r="X92" i="2"/>
  <c r="X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P82" i="2"/>
  <c r="BP81" i="2"/>
  <c r="BO81" i="2"/>
  <c r="BN81" i="2"/>
  <c r="BM81" i="2"/>
  <c r="Z81" i="2"/>
  <c r="Y81" i="2"/>
  <c r="P81" i="2"/>
  <c r="X79" i="2"/>
  <c r="X78" i="2"/>
  <c r="BO77" i="2"/>
  <c r="BM77" i="2"/>
  <c r="Y77" i="2"/>
  <c r="Z77" i="2" s="1"/>
  <c r="P77" i="2"/>
  <c r="BO76" i="2"/>
  <c r="BM76" i="2"/>
  <c r="Y76" i="2"/>
  <c r="Z76" i="2" s="1"/>
  <c r="P76" i="2"/>
  <c r="X74" i="2"/>
  <c r="X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70" i="2" l="1"/>
  <c r="BN254" i="2"/>
  <c r="BP216" i="2"/>
  <c r="Y233" i="2"/>
  <c r="BN61" i="2"/>
  <c r="Z456" i="2"/>
  <c r="Y263" i="2"/>
  <c r="Z254" i="2"/>
  <c r="BN357" i="2"/>
  <c r="BP364" i="2"/>
  <c r="Z431" i="2"/>
  <c r="Z60" i="2"/>
  <c r="BN164" i="2"/>
  <c r="Z43" i="2"/>
  <c r="BP60" i="2"/>
  <c r="Z122" i="2"/>
  <c r="Y137" i="2"/>
  <c r="Z152" i="2"/>
  <c r="BN169" i="2"/>
  <c r="BN230" i="2"/>
  <c r="BN246" i="2"/>
  <c r="Z277" i="2"/>
  <c r="Z278" i="2" s="1"/>
  <c r="BN352" i="2"/>
  <c r="Z438" i="2"/>
  <c r="Z473" i="2"/>
  <c r="BN401" i="2"/>
  <c r="BN429" i="2"/>
  <c r="Z169" i="2"/>
  <c r="Z246" i="2"/>
  <c r="BN262" i="2"/>
  <c r="BN268" i="2"/>
  <c r="BN317" i="2"/>
  <c r="BN476" i="2"/>
  <c r="Z45" i="2"/>
  <c r="BP45" i="2"/>
  <c r="BN76" i="2"/>
  <c r="BN105" i="2"/>
  <c r="BN113" i="2"/>
  <c r="Z114" i="2"/>
  <c r="BP114" i="2"/>
  <c r="BN115" i="2"/>
  <c r="BN122" i="2"/>
  <c r="Z124" i="2"/>
  <c r="BP124" i="2"/>
  <c r="Z136" i="2"/>
  <c r="BP136" i="2"/>
  <c r="Z146" i="2"/>
  <c r="Z147" i="2" s="1"/>
  <c r="BN154" i="2"/>
  <c r="Z158" i="2"/>
  <c r="BP158" i="2"/>
  <c r="BN159" i="2"/>
  <c r="Z180" i="2"/>
  <c r="BN183" i="2"/>
  <c r="Z193" i="2"/>
  <c r="BP193" i="2"/>
  <c r="BN257" i="2"/>
  <c r="BN296" i="2"/>
  <c r="BN342" i="2"/>
  <c r="Y367" i="2"/>
  <c r="Z370" i="2"/>
  <c r="BP370" i="2"/>
  <c r="BN385" i="2"/>
  <c r="Z391" i="2"/>
  <c r="Y408" i="2"/>
  <c r="Y435" i="2"/>
  <c r="Z432" i="2"/>
  <c r="BP432" i="2"/>
  <c r="Z443" i="2"/>
  <c r="Z444" i="2" s="1"/>
  <c r="BP443" i="2"/>
  <c r="Y445" i="2"/>
  <c r="Z457" i="2"/>
  <c r="BP457" i="2"/>
  <c r="Z462" i="2"/>
  <c r="BP462" i="2"/>
  <c r="Z475" i="2"/>
  <c r="Y490" i="2"/>
  <c r="Y504" i="2"/>
  <c r="Z70" i="2"/>
  <c r="BN71" i="2"/>
  <c r="Y126" i="2"/>
  <c r="BP196" i="2"/>
  <c r="Z236" i="2"/>
  <c r="BP270" i="2"/>
  <c r="BN273" i="2"/>
  <c r="BN285" i="2"/>
  <c r="BN332" i="2"/>
  <c r="BN362" i="2"/>
  <c r="Y404" i="2"/>
  <c r="BP431" i="2"/>
  <c r="BP456" i="2"/>
  <c r="BP459" i="2"/>
  <c r="BN489" i="2"/>
  <c r="Y148" i="2"/>
  <c r="Y46" i="2"/>
  <c r="BN146" i="2"/>
  <c r="BN180" i="2"/>
  <c r="Y398" i="2"/>
  <c r="BP402" i="2"/>
  <c r="BN443" i="2"/>
  <c r="BN475" i="2"/>
  <c r="Y243" i="2"/>
  <c r="P521" i="2"/>
  <c r="Y306" i="2"/>
  <c r="BP304" i="2"/>
  <c r="X511" i="2"/>
  <c r="Z29" i="2"/>
  <c r="BN29" i="2"/>
  <c r="BP29" i="2"/>
  <c r="BP89" i="2"/>
  <c r="BP94" i="2"/>
  <c r="BP242" i="2"/>
  <c r="Y274" i="2"/>
  <c r="BP325" i="2"/>
  <c r="BP387" i="2"/>
  <c r="Y470" i="2"/>
  <c r="BP474" i="2"/>
  <c r="Y480" i="2"/>
  <c r="BN23" i="2"/>
  <c r="BN31" i="2"/>
  <c r="BP36" i="2"/>
  <c r="Y38" i="2"/>
  <c r="Y47" i="2"/>
  <c r="BP59" i="2"/>
  <c r="Z64" i="2"/>
  <c r="Z89" i="2"/>
  <c r="Z102" i="2"/>
  <c r="BN104" i="2"/>
  <c r="BP105" i="2"/>
  <c r="Z112" i="2"/>
  <c r="Y118" i="2"/>
  <c r="BN135" i="2"/>
  <c r="Z156" i="2"/>
  <c r="Y185" i="2"/>
  <c r="BN182" i="2"/>
  <c r="BP183" i="2"/>
  <c r="Z194" i="2"/>
  <c r="BP194" i="2"/>
  <c r="BN201" i="2"/>
  <c r="Z203" i="2"/>
  <c r="BP203" i="2"/>
  <c r="BN204" i="2"/>
  <c r="BN209" i="2"/>
  <c r="Z214" i="2"/>
  <c r="BP214" i="2"/>
  <c r="Z226" i="2"/>
  <c r="BP226" i="2"/>
  <c r="Z237" i="2"/>
  <c r="BP237" i="2"/>
  <c r="Z247" i="2"/>
  <c r="BP247" i="2"/>
  <c r="Z256" i="2"/>
  <c r="BP256" i="2"/>
  <c r="Z267" i="2"/>
  <c r="BN302" i="2"/>
  <c r="BP310" i="2"/>
  <c r="BN312" i="2"/>
  <c r="Z313" i="2"/>
  <c r="BP313" i="2"/>
  <c r="Z325" i="2"/>
  <c r="Z330" i="2"/>
  <c r="BP330" i="2"/>
  <c r="Z340" i="2"/>
  <c r="BP340" i="2"/>
  <c r="Z350" i="2"/>
  <c r="BP350" i="2"/>
  <c r="Y353" i="2"/>
  <c r="Z369" i="2"/>
  <c r="BP369" i="2"/>
  <c r="BN371" i="2"/>
  <c r="Y372" i="2"/>
  <c r="BP397" i="2"/>
  <c r="BN406" i="2"/>
  <c r="Y407" i="2"/>
  <c r="Z420" i="2"/>
  <c r="BP420" i="2"/>
  <c r="Z428" i="2"/>
  <c r="Z430" i="2"/>
  <c r="BP430" i="2"/>
  <c r="Z455" i="2"/>
  <c r="BP455" i="2"/>
  <c r="Z467" i="2"/>
  <c r="BP467" i="2"/>
  <c r="Z474" i="2"/>
  <c r="Z477" i="2"/>
  <c r="BP477" i="2"/>
  <c r="Y500" i="2"/>
  <c r="BP199" i="2"/>
  <c r="Y217" i="2"/>
  <c r="Y373" i="2"/>
  <c r="Y25" i="2"/>
  <c r="BP61" i="2"/>
  <c r="BP71" i="2"/>
  <c r="BN94" i="2"/>
  <c r="BN108" i="2"/>
  <c r="BP115" i="2"/>
  <c r="BP154" i="2"/>
  <c r="BP159" i="2"/>
  <c r="BP164" i="2"/>
  <c r="BN199" i="2"/>
  <c r="Y218" i="2"/>
  <c r="Y228" i="2"/>
  <c r="BP225" i="2"/>
  <c r="BP239" i="2"/>
  <c r="BN242" i="2"/>
  <c r="BP249" i="2"/>
  <c r="BN252" i="2"/>
  <c r="BP273" i="2"/>
  <c r="BN277" i="2"/>
  <c r="Z287" i="2"/>
  <c r="BP296" i="2"/>
  <c r="Y305" i="2"/>
  <c r="Z317" i="2"/>
  <c r="Y327" i="2"/>
  <c r="Z334" i="2"/>
  <c r="Z344" i="2"/>
  <c r="BN356" i="2"/>
  <c r="Z357" i="2"/>
  <c r="Z385" i="2"/>
  <c r="BN387" i="2"/>
  <c r="Y403" i="2"/>
  <c r="V521" i="2"/>
  <c r="BP422" i="2"/>
  <c r="Y424" i="2"/>
  <c r="Z429" i="2"/>
  <c r="Z463" i="2"/>
  <c r="BP469" i="2"/>
  <c r="Z476" i="2"/>
  <c r="BP479" i="2"/>
  <c r="BP503" i="2"/>
  <c r="BP108" i="2"/>
  <c r="BP252" i="2"/>
  <c r="Y423" i="2"/>
  <c r="Z23" i="2"/>
  <c r="Z31" i="2"/>
  <c r="Y37" i="2"/>
  <c r="BP43" i="2"/>
  <c r="BP76" i="2"/>
  <c r="Z104" i="2"/>
  <c r="BN112" i="2"/>
  <c r="Y119" i="2"/>
  <c r="H521" i="2"/>
  <c r="BP133" i="2"/>
  <c r="Z135" i="2"/>
  <c r="Y147" i="2"/>
  <c r="BP151" i="2"/>
  <c r="BN156" i="2"/>
  <c r="Z157" i="2"/>
  <c r="Z182" i="2"/>
  <c r="Y184" i="2"/>
  <c r="Y190" i="2"/>
  <c r="Z201" i="2"/>
  <c r="BP204" i="2"/>
  <c r="BP209" i="2"/>
  <c r="BP257" i="2"/>
  <c r="BP262" i="2"/>
  <c r="BN267" i="2"/>
  <c r="Z268" i="2"/>
  <c r="Y279" i="2"/>
  <c r="BP285" i="2"/>
  <c r="BP293" i="2"/>
  <c r="BN294" i="2"/>
  <c r="Z302" i="2"/>
  <c r="BP302" i="2"/>
  <c r="BP332" i="2"/>
  <c r="BP342" i="2"/>
  <c r="BP352" i="2"/>
  <c r="Z362" i="2"/>
  <c r="Z371" i="2"/>
  <c r="Z377" i="2"/>
  <c r="Z389" i="2"/>
  <c r="Z395" i="2"/>
  <c r="BP395" i="2"/>
  <c r="BN397" i="2"/>
  <c r="Z406" i="2"/>
  <c r="Z407" i="2" s="1"/>
  <c r="Z412" i="2"/>
  <c r="Y413" i="2"/>
  <c r="Z521" i="2"/>
  <c r="Z489" i="2"/>
  <c r="Z490" i="2" s="1"/>
  <c r="BP489" i="2"/>
  <c r="Z498" i="2"/>
  <c r="Z499" i="2" s="1"/>
  <c r="Y212" i="2"/>
  <c r="BP210" i="2"/>
  <c r="BN210" i="2"/>
  <c r="Z378" i="2"/>
  <c r="BP378" i="2"/>
  <c r="BN378" i="2"/>
  <c r="Z390" i="2"/>
  <c r="BP390" i="2"/>
  <c r="BN390" i="2"/>
  <c r="Y207" i="2"/>
  <c r="Y206" i="2"/>
  <c r="BP192" i="2"/>
  <c r="K521" i="2"/>
  <c r="BP248" i="2"/>
  <c r="Y259" i="2"/>
  <c r="Z248" i="2"/>
  <c r="BN248" i="2"/>
  <c r="BP448" i="2"/>
  <c r="BN448" i="2"/>
  <c r="Z448" i="2"/>
  <c r="Z255" i="2"/>
  <c r="Y258" i="2"/>
  <c r="Z335" i="2"/>
  <c r="BP335" i="2"/>
  <c r="BN152" i="2"/>
  <c r="Y172" i="2"/>
  <c r="Y171" i="2"/>
  <c r="BP170" i="2"/>
  <c r="Z170" i="2"/>
  <c r="Z171" i="2" s="1"/>
  <c r="BN170" i="2"/>
  <c r="BP195" i="2"/>
  <c r="Z195" i="2"/>
  <c r="BN195" i="2"/>
  <c r="Z288" i="2"/>
  <c r="Y319" i="2"/>
  <c r="Y320" i="2"/>
  <c r="Z345" i="2"/>
  <c r="BP345" i="2"/>
  <c r="BN345" i="2"/>
  <c r="X521" i="2"/>
  <c r="Y495" i="2"/>
  <c r="BP494" i="2"/>
  <c r="BN494" i="2"/>
  <c r="Z494" i="2"/>
  <c r="Y130" i="2"/>
  <c r="BP128" i="2"/>
  <c r="Y129" i="2"/>
  <c r="Y74" i="2"/>
  <c r="Y73" i="2"/>
  <c r="Y109" i="2"/>
  <c r="Y110" i="2"/>
  <c r="Z123" i="2"/>
  <c r="BN192" i="2"/>
  <c r="Z202" i="2"/>
  <c r="Z240" i="2"/>
  <c r="BN255" i="2"/>
  <c r="Z318" i="2"/>
  <c r="BN335" i="2"/>
  <c r="BP205" i="2"/>
  <c r="BN205" i="2"/>
  <c r="BP271" i="2"/>
  <c r="M521" i="2"/>
  <c r="BN288" i="2"/>
  <c r="BP460" i="2"/>
  <c r="BN460" i="2"/>
  <c r="Z460" i="2"/>
  <c r="Z192" i="2"/>
  <c r="F521" i="2"/>
  <c r="Y92" i="2"/>
  <c r="Y91" i="2"/>
  <c r="Z87" i="2"/>
  <c r="BN32" i="2"/>
  <c r="BN90" i="2"/>
  <c r="BN53" i="2"/>
  <c r="BN72" i="2"/>
  <c r="BP72" i="2"/>
  <c r="BN87" i="2"/>
  <c r="BN106" i="2"/>
  <c r="BP106" i="2"/>
  <c r="BN123" i="2"/>
  <c r="BN202" i="2"/>
  <c r="Z205" i="2"/>
  <c r="BN240" i="2"/>
  <c r="Z271" i="2"/>
  <c r="BN318" i="2"/>
  <c r="Y393" i="2"/>
  <c r="BP62" i="2"/>
  <c r="BN62" i="2"/>
  <c r="Z90" i="2"/>
  <c r="Z53" i="2"/>
  <c r="Y143" i="2"/>
  <c r="I521" i="2"/>
  <c r="BP165" i="2"/>
  <c r="BN165" i="2"/>
  <c r="Z62" i="2"/>
  <c r="Z32" i="2"/>
  <c r="BP253" i="2"/>
  <c r="BN253" i="2"/>
  <c r="BN271" i="2"/>
  <c r="BP318" i="2"/>
  <c r="Z128" i="2"/>
  <c r="Z129" i="2" s="1"/>
  <c r="BN69" i="2"/>
  <c r="BP30" i="2"/>
  <c r="BN30" i="2"/>
  <c r="BP69" i="2"/>
  <c r="BP103" i="2"/>
  <c r="Z150" i="2"/>
  <c r="BP150" i="2"/>
  <c r="BN150" i="2"/>
  <c r="Y161" i="2"/>
  <c r="Y176" i="2"/>
  <c r="Y175" i="2"/>
  <c r="BN181" i="2"/>
  <c r="Z253" i="2"/>
  <c r="T521" i="2"/>
  <c r="Y380" i="2"/>
  <c r="BP376" i="2"/>
  <c r="Y379" i="2"/>
  <c r="BN376" i="2"/>
  <c r="Z376" i="2"/>
  <c r="BN97" i="2"/>
  <c r="Y125" i="2"/>
  <c r="BP121" i="2"/>
  <c r="BN121" i="2"/>
  <c r="BN142" i="2"/>
  <c r="BP200" i="2"/>
  <c r="BN200" i="2"/>
  <c r="Y244" i="2"/>
  <c r="BP235" i="2"/>
  <c r="Z437" i="2"/>
  <c r="Z439" i="2" s="1"/>
  <c r="Y440" i="2"/>
  <c r="Y439" i="2"/>
  <c r="BP437" i="2"/>
  <c r="BN437" i="2"/>
  <c r="BN128" i="2"/>
  <c r="X515" i="2"/>
  <c r="Z121" i="2"/>
  <c r="Y160" i="2"/>
  <c r="BP181" i="2"/>
  <c r="Z200" i="2"/>
  <c r="Z235" i="2"/>
  <c r="Z250" i="2"/>
  <c r="Z286" i="2"/>
  <c r="BP286" i="2"/>
  <c r="BN286" i="2"/>
  <c r="Z333" i="2"/>
  <c r="BP333" i="2"/>
  <c r="BN333" i="2"/>
  <c r="Y521" i="2"/>
  <c r="Z97" i="2"/>
  <c r="Y56" i="2"/>
  <c r="D521" i="2"/>
  <c r="Y55" i="2"/>
  <c r="BP51" i="2"/>
  <c r="BN51" i="2"/>
  <c r="BN64" i="2"/>
  <c r="BP142" i="2"/>
  <c r="BN157" i="2"/>
  <c r="BN174" i="2"/>
  <c r="Z211" i="2"/>
  <c r="BP238" i="2"/>
  <c r="Z238" i="2"/>
  <c r="BN238" i="2"/>
  <c r="S521" i="2"/>
  <c r="Z343" i="2"/>
  <c r="BP343" i="2"/>
  <c r="BN343" i="2"/>
  <c r="Z142" i="2"/>
  <c r="Z30" i="2"/>
  <c r="Y24" i="2"/>
  <c r="B521" i="2"/>
  <c r="Z22" i="2"/>
  <c r="Z51" i="2"/>
  <c r="Z78" i="2"/>
  <c r="Z113" i="2"/>
  <c r="Z197" i="2"/>
  <c r="BN235" i="2"/>
  <c r="BN250" i="2"/>
  <c r="Z297" i="2"/>
  <c r="BP297" i="2"/>
  <c r="BN297" i="2"/>
  <c r="BN311" i="2"/>
  <c r="Y314" i="2"/>
  <c r="BP311" i="2"/>
  <c r="BP365" i="2"/>
  <c r="BN365" i="2"/>
  <c r="Z365" i="2"/>
  <c r="Z69" i="2"/>
  <c r="Y34" i="2"/>
  <c r="BP27" i="2"/>
  <c r="Y33" i="2"/>
  <c r="X512" i="2"/>
  <c r="BN27" i="2"/>
  <c r="Z44" i="2"/>
  <c r="BN116" i="2"/>
  <c r="BP116" i="2"/>
  <c r="BP174" i="2"/>
  <c r="BP215" i="2"/>
  <c r="Z215" i="2"/>
  <c r="BN215" i="2"/>
  <c r="Z311" i="2"/>
  <c r="Y451" i="2"/>
  <c r="Y465" i="2"/>
  <c r="BP87" i="2"/>
  <c r="Y84" i="2"/>
  <c r="Y83" i="2"/>
  <c r="BP82" i="2"/>
  <c r="Z82" i="2"/>
  <c r="Z83" i="2" s="1"/>
  <c r="BN82" i="2"/>
  <c r="Y167" i="2"/>
  <c r="BN197" i="2"/>
  <c r="Y232" i="2"/>
  <c r="BP230" i="2"/>
  <c r="Y79" i="2"/>
  <c r="BP77" i="2"/>
  <c r="BN77" i="2"/>
  <c r="Z103" i="2"/>
  <c r="BN103" i="2"/>
  <c r="BN44" i="2"/>
  <c r="G521" i="2"/>
  <c r="BP155" i="2"/>
  <c r="BN155" i="2"/>
  <c r="Y227" i="2"/>
  <c r="L521" i="2"/>
  <c r="Z230" i="2"/>
  <c r="BN281" i="2"/>
  <c r="Y283" i="2"/>
  <c r="Y282" i="2"/>
  <c r="BP281" i="2"/>
  <c r="Z294" i="2"/>
  <c r="X513" i="2"/>
  <c r="E521" i="2"/>
  <c r="Y67" i="2"/>
  <c r="Y66" i="2"/>
  <c r="BN95" i="2"/>
  <c r="Y98" i="2"/>
  <c r="BP95" i="2"/>
  <c r="Y138" i="2"/>
  <c r="BP134" i="2"/>
  <c r="BP22" i="2"/>
  <c r="Z59" i="2"/>
  <c r="Z95" i="2"/>
  <c r="Z134" i="2"/>
  <c r="Z155" i="2"/>
  <c r="Z225" i="2"/>
  <c r="Z281" i="2"/>
  <c r="Z282" i="2" s="1"/>
  <c r="Z324" i="2"/>
  <c r="Z326" i="2" s="1"/>
  <c r="BP324" i="2"/>
  <c r="Y414" i="2"/>
  <c r="Y499" i="2"/>
  <c r="J521" i="2"/>
  <c r="Z388" i="2"/>
  <c r="Z411" i="2"/>
  <c r="Z413" i="2" s="1"/>
  <c r="Y471" i="2"/>
  <c r="Y481" i="2"/>
  <c r="Z42" i="2"/>
  <c r="Z54" i="2"/>
  <c r="Z65" i="2"/>
  <c r="Z88" i="2"/>
  <c r="Z220" i="2"/>
  <c r="Z221" i="2" s="1"/>
  <c r="Y264" i="2"/>
  <c r="Y275" i="2"/>
  <c r="Y289" i="2"/>
  <c r="Z309" i="2"/>
  <c r="Y336" i="2"/>
  <c r="Y346" i="2"/>
  <c r="Y354" i="2"/>
  <c r="Z363" i="2"/>
  <c r="BN388" i="2"/>
  <c r="Y399" i="2"/>
  <c r="BN411" i="2"/>
  <c r="Z421" i="2"/>
  <c r="Z433" i="2"/>
  <c r="Z458" i="2"/>
  <c r="Z468" i="2"/>
  <c r="Z478" i="2"/>
  <c r="Y505" i="2"/>
  <c r="O521" i="2"/>
  <c r="BN269" i="2"/>
  <c r="BN303" i="2"/>
  <c r="Y315" i="2"/>
  <c r="BN358" i="2"/>
  <c r="BN416" i="2"/>
  <c r="BN463" i="2"/>
  <c r="Z28" i="2"/>
  <c r="BN42" i="2"/>
  <c r="BN54" i="2"/>
  <c r="BN65" i="2"/>
  <c r="BN88" i="2"/>
  <c r="Y99" i="2"/>
  <c r="Y144" i="2"/>
  <c r="Z153" i="2"/>
  <c r="Z163" i="2"/>
  <c r="Z166" i="2" s="1"/>
  <c r="Z188" i="2"/>
  <c r="Z189" i="2" s="1"/>
  <c r="Z198" i="2"/>
  <c r="BN220" i="2"/>
  <c r="Z231" i="2"/>
  <c r="Z241" i="2"/>
  <c r="Z251" i="2"/>
  <c r="Z261" i="2"/>
  <c r="Z263" i="2" s="1"/>
  <c r="Z272" i="2"/>
  <c r="Z295" i="2"/>
  <c r="BN309" i="2"/>
  <c r="Z331" i="2"/>
  <c r="Z341" i="2"/>
  <c r="Z351" i="2"/>
  <c r="BN363" i="2"/>
  <c r="Y366" i="2"/>
  <c r="Z386" i="2"/>
  <c r="Z396" i="2"/>
  <c r="Z398" i="2" s="1"/>
  <c r="BP411" i="2"/>
  <c r="BN421" i="2"/>
  <c r="BN433" i="2"/>
  <c r="BN458" i="2"/>
  <c r="BN468" i="2"/>
  <c r="BN478" i="2"/>
  <c r="Z502" i="2"/>
  <c r="Q521" i="2"/>
  <c r="Y290" i="2"/>
  <c r="BP303" i="2"/>
  <c r="Z312" i="2"/>
  <c r="Y337" i="2"/>
  <c r="Y347" i="2"/>
  <c r="Z356" i="2"/>
  <c r="BP358" i="2"/>
  <c r="BN391" i="2"/>
  <c r="Z401" i="2"/>
  <c r="Z403" i="2" s="1"/>
  <c r="BP416" i="2"/>
  <c r="BN428" i="2"/>
  <c r="BN438" i="2"/>
  <c r="Z449" i="2"/>
  <c r="Z461" i="2"/>
  <c r="BN473" i="2"/>
  <c r="BN485" i="2"/>
  <c r="Z508" i="2"/>
  <c r="Z509" i="2" s="1"/>
  <c r="R521" i="2"/>
  <c r="Z416" i="2"/>
  <c r="Z417" i="2" s="1"/>
  <c r="BP269" i="2"/>
  <c r="F9" i="2"/>
  <c r="BN28" i="2"/>
  <c r="BP42" i="2"/>
  <c r="Z52" i="2"/>
  <c r="Z63" i="2"/>
  <c r="Y78" i="2"/>
  <c r="Z96" i="2"/>
  <c r="Z107" i="2"/>
  <c r="Z117" i="2"/>
  <c r="Z141" i="2"/>
  <c r="Z143" i="2" s="1"/>
  <c r="BN153" i="2"/>
  <c r="BN163" i="2"/>
  <c r="Y166" i="2"/>
  <c r="BN188" i="2"/>
  <c r="BN198" i="2"/>
  <c r="Y211" i="2"/>
  <c r="BP220" i="2"/>
  <c r="BN231" i="2"/>
  <c r="BN241" i="2"/>
  <c r="BN251" i="2"/>
  <c r="BN261" i="2"/>
  <c r="BN272" i="2"/>
  <c r="BN295" i="2"/>
  <c r="Y298" i="2"/>
  <c r="BN331" i="2"/>
  <c r="BN341" i="2"/>
  <c r="BN351" i="2"/>
  <c r="BP363" i="2"/>
  <c r="BN386" i="2"/>
  <c r="BN396" i="2"/>
  <c r="BP458" i="2"/>
  <c r="BN502" i="2"/>
  <c r="H9" i="2"/>
  <c r="Y359" i="2"/>
  <c r="Y417" i="2"/>
  <c r="BP428" i="2"/>
  <c r="BN449" i="2"/>
  <c r="BN461" i="2"/>
  <c r="Y464" i="2"/>
  <c r="BP485" i="2"/>
  <c r="Y496" i="2"/>
  <c r="BN508" i="2"/>
  <c r="J9" i="2"/>
  <c r="Z36" i="2"/>
  <c r="Z37" i="2" s="1"/>
  <c r="BN52" i="2"/>
  <c r="BN63" i="2"/>
  <c r="BN96" i="2"/>
  <c r="BN107" i="2"/>
  <c r="BN117" i="2"/>
  <c r="BN141" i="2"/>
  <c r="Z151" i="2"/>
  <c r="BP163" i="2"/>
  <c r="BP188" i="2"/>
  <c r="Z196" i="2"/>
  <c r="Z216" i="2"/>
  <c r="Y221" i="2"/>
  <c r="Z239" i="2"/>
  <c r="Z249" i="2"/>
  <c r="Z270" i="2"/>
  <c r="Z293" i="2"/>
  <c r="Z304" i="2"/>
  <c r="Z339" i="2"/>
  <c r="Z349" i="2"/>
  <c r="Z384" i="2"/>
  <c r="Y434" i="2"/>
  <c r="U521" i="2"/>
  <c r="BP277" i="2"/>
  <c r="BN287" i="2"/>
  <c r="Y299" i="2"/>
  <c r="Z310" i="2"/>
  <c r="BN323" i="2"/>
  <c r="Y326" i="2"/>
  <c r="BN334" i="2"/>
  <c r="BN344" i="2"/>
  <c r="Z364" i="2"/>
  <c r="BN377" i="2"/>
  <c r="BN389" i="2"/>
  <c r="Y392" i="2"/>
  <c r="BN412" i="2"/>
  <c r="Z422" i="2"/>
  <c r="Z447" i="2"/>
  <c r="Z459" i="2"/>
  <c r="Z469" i="2"/>
  <c r="Z479" i="2"/>
  <c r="Y486" i="2"/>
  <c r="Z493" i="2"/>
  <c r="Z495" i="2" s="1"/>
  <c r="BP508" i="2"/>
  <c r="C521" i="2"/>
  <c r="A10" i="2"/>
  <c r="BN339" i="2"/>
  <c r="BN349" i="2"/>
  <c r="Y360" i="2"/>
  <c r="BN384" i="2"/>
  <c r="W521" i="2"/>
  <c r="BP102" i="2"/>
  <c r="BN133" i="2"/>
  <c r="BP323" i="2"/>
  <c r="BN447" i="2"/>
  <c r="Y450" i="2"/>
  <c r="BN493" i="2"/>
  <c r="Z503" i="2"/>
  <c r="Y509" i="2"/>
  <c r="BP384" i="2"/>
  <c r="Y487" i="2"/>
  <c r="BN498" i="2"/>
  <c r="Y510" i="2"/>
  <c r="Z125" i="2" l="1"/>
  <c r="Z319" i="2"/>
  <c r="Z184" i="2"/>
  <c r="Z336" i="2"/>
  <c r="Z73" i="2"/>
  <c r="Z305" i="2"/>
  <c r="Z480" i="2"/>
  <c r="Z359" i="2"/>
  <c r="Z470" i="2"/>
  <c r="Z24" i="2"/>
  <c r="Z392" i="2"/>
  <c r="Z464" i="2"/>
  <c r="Z289" i="2"/>
  <c r="Z137" i="2"/>
  <c r="Z353" i="2"/>
  <c r="Z33" i="2"/>
  <c r="Z434" i="2"/>
  <c r="Z227" i="2"/>
  <c r="Z504" i="2"/>
  <c r="Z66" i="2"/>
  <c r="Z109" i="2"/>
  <c r="Z423" i="2"/>
  <c r="Z366" i="2"/>
  <c r="Y512" i="2"/>
  <c r="Y511" i="2"/>
  <c r="Z55" i="2"/>
  <c r="Z372" i="2"/>
  <c r="Z98" i="2"/>
  <c r="Z217" i="2"/>
  <c r="Z118" i="2"/>
  <c r="Z274" i="2"/>
  <c r="Z206" i="2"/>
  <c r="Z314" i="2"/>
  <c r="X514" i="2"/>
  <c r="Z232" i="2"/>
  <c r="Z243" i="2"/>
  <c r="Z160" i="2"/>
  <c r="Y513" i="2"/>
  <c r="Z450" i="2"/>
  <c r="Z46" i="2"/>
  <c r="Y515" i="2"/>
  <c r="Z346" i="2"/>
  <c r="Z91" i="2"/>
  <c r="Z379" i="2"/>
  <c r="Z298" i="2"/>
  <c r="Z258" i="2"/>
  <c r="Y514" i="2" l="1"/>
  <c r="Z516" i="2"/>
</calcChain>
</file>

<file path=xl/sharedStrings.xml><?xml version="1.0" encoding="utf-8"?>
<sst xmlns="http://schemas.openxmlformats.org/spreadsheetml/2006/main" count="3853" uniqueCount="829">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</sst>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1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2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1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93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1"/>
  <sheetViews>
    <sheetView showGridLines="0" tabSelected="1" zoomScaleNormal="100" zoomScaleSheetLayoutView="100" workbookViewId="0">
      <selection activeCell="AA196" sqref="AA19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13" t="s">
        <v>26</v>
      </c>
      <c r="E1" s="913"/>
      <c r="F1" s="913"/>
      <c r="G1" s="14" t="s">
        <v>67</v>
      </c>
      <c r="H1" s="913" t="s">
        <v>47</v>
      </c>
      <c r="I1" s="913"/>
      <c r="J1" s="913"/>
      <c r="K1" s="913"/>
      <c r="L1" s="913"/>
      <c r="M1" s="913"/>
      <c r="N1" s="913"/>
      <c r="O1" s="913"/>
      <c r="P1" s="913"/>
      <c r="Q1" s="913"/>
      <c r="R1" s="914" t="s">
        <v>68</v>
      </c>
      <c r="S1" s="915"/>
      <c r="T1" s="91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16"/>
      <c r="R2" s="916"/>
      <c r="S2" s="916"/>
      <c r="T2" s="916"/>
      <c r="U2" s="916"/>
      <c r="V2" s="916"/>
      <c r="W2" s="91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16"/>
      <c r="Q3" s="916"/>
      <c r="R3" s="916"/>
      <c r="S3" s="916"/>
      <c r="T3" s="916"/>
      <c r="U3" s="916"/>
      <c r="V3" s="916"/>
      <c r="W3" s="91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95" t="s">
        <v>8</v>
      </c>
      <c r="B5" s="895"/>
      <c r="C5" s="895"/>
      <c r="D5" s="917"/>
      <c r="E5" s="917"/>
      <c r="F5" s="918" t="s">
        <v>14</v>
      </c>
      <c r="G5" s="918"/>
      <c r="H5" s="917" t="s">
        <v>828</v>
      </c>
      <c r="I5" s="917"/>
      <c r="J5" s="917"/>
      <c r="K5" s="917"/>
      <c r="L5" s="917"/>
      <c r="M5" s="917"/>
      <c r="N5" s="69"/>
      <c r="P5" s="26" t="s">
        <v>4</v>
      </c>
      <c r="Q5" s="919">
        <v>46202</v>
      </c>
      <c r="R5" s="919"/>
      <c r="T5" s="920" t="s">
        <v>3</v>
      </c>
      <c r="U5" s="921"/>
      <c r="V5" s="922" t="s">
        <v>808</v>
      </c>
      <c r="W5" s="923"/>
      <c r="AB5" s="57"/>
      <c r="AC5" s="57"/>
      <c r="AD5" s="57"/>
      <c r="AE5" s="57"/>
    </row>
    <row r="6" spans="1:32" s="17" customFormat="1" ht="24" customHeight="1" x14ac:dyDescent="0.2">
      <c r="A6" s="895" t="s">
        <v>1</v>
      </c>
      <c r="B6" s="895"/>
      <c r="C6" s="895"/>
      <c r="D6" s="896" t="s">
        <v>809</v>
      </c>
      <c r="E6" s="896"/>
      <c r="F6" s="896"/>
      <c r="G6" s="896"/>
      <c r="H6" s="896"/>
      <c r="I6" s="896"/>
      <c r="J6" s="896"/>
      <c r="K6" s="896"/>
      <c r="L6" s="896"/>
      <c r="M6" s="896"/>
      <c r="N6" s="70"/>
      <c r="P6" s="26" t="s">
        <v>27</v>
      </c>
      <c r="Q6" s="897" t="str">
        <f>IF(Q5=0," ",CHOOSE(WEEKDAY(Q5,2),"Понедельник","Вторник","Среда","Четверг","Пятница","Суббота","Воскресенье"))</f>
        <v>Понедельник</v>
      </c>
      <c r="R6" s="897"/>
      <c r="T6" s="898" t="s">
        <v>5</v>
      </c>
      <c r="U6" s="899"/>
      <c r="V6" s="900" t="s">
        <v>70</v>
      </c>
      <c r="W6" s="90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06" t="str">
        <f>IFERROR(VLOOKUP(DeliveryAddress,Table,3,0),1)</f>
        <v>1</v>
      </c>
      <c r="E7" s="907"/>
      <c r="F7" s="907"/>
      <c r="G7" s="907"/>
      <c r="H7" s="907"/>
      <c r="I7" s="907"/>
      <c r="J7" s="907"/>
      <c r="K7" s="907"/>
      <c r="L7" s="907"/>
      <c r="M7" s="908"/>
      <c r="N7" s="71"/>
      <c r="P7" s="26"/>
      <c r="Q7" s="46"/>
      <c r="R7" s="46"/>
      <c r="T7" s="898"/>
      <c r="U7" s="899"/>
      <c r="V7" s="902"/>
      <c r="W7" s="903"/>
      <c r="AB7" s="57"/>
      <c r="AC7" s="57"/>
      <c r="AD7" s="57"/>
      <c r="AE7" s="57"/>
    </row>
    <row r="8" spans="1:32" s="17" customFormat="1" ht="25.5" customHeight="1" x14ac:dyDescent="0.2">
      <c r="A8" s="909" t="s">
        <v>58</v>
      </c>
      <c r="B8" s="909"/>
      <c r="C8" s="909"/>
      <c r="D8" s="910"/>
      <c r="E8" s="910"/>
      <c r="F8" s="910"/>
      <c r="G8" s="910"/>
      <c r="H8" s="910"/>
      <c r="I8" s="910"/>
      <c r="J8" s="910"/>
      <c r="K8" s="910"/>
      <c r="L8" s="910"/>
      <c r="M8" s="910"/>
      <c r="N8" s="72"/>
      <c r="P8" s="26" t="s">
        <v>11</v>
      </c>
      <c r="Q8" s="893">
        <v>0.35416666666666669</v>
      </c>
      <c r="R8" s="893"/>
      <c r="T8" s="898"/>
      <c r="U8" s="899"/>
      <c r="V8" s="902"/>
      <c r="W8" s="903"/>
      <c r="AB8" s="57"/>
      <c r="AC8" s="57"/>
      <c r="AD8" s="57"/>
      <c r="AE8" s="57"/>
    </row>
    <row r="9" spans="1:32" s="17" customFormat="1" ht="39.950000000000003" customHeight="1" x14ac:dyDescent="0.2">
      <c r="A9" s="8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85"/>
      <c r="C9" s="885"/>
      <c r="D9" s="886" t="s">
        <v>46</v>
      </c>
      <c r="E9" s="887"/>
      <c r="F9" s="8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85"/>
      <c r="H9" s="911" t="str">
        <f>IF(AND($A$9="Тип доверенности/получателя при получении в адресе перегруза:",$D$9="Разовая доверенность"),"Введите ФИО","")</f>
        <v/>
      </c>
      <c r="I9" s="911"/>
      <c r="J9" s="9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11"/>
      <c r="L9" s="911"/>
      <c r="M9" s="911"/>
      <c r="N9" s="67"/>
      <c r="P9" s="29" t="s">
        <v>15</v>
      </c>
      <c r="Q9" s="912"/>
      <c r="R9" s="912"/>
      <c r="T9" s="898"/>
      <c r="U9" s="899"/>
      <c r="V9" s="904"/>
      <c r="W9" s="90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85"/>
      <c r="C10" s="885"/>
      <c r="D10" s="886"/>
      <c r="E10" s="887"/>
      <c r="F10" s="8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85"/>
      <c r="H10" s="888" t="str">
        <f>IFERROR(VLOOKUP($D$10,Proxy,2,FALSE),"")</f>
        <v/>
      </c>
      <c r="I10" s="888"/>
      <c r="J10" s="888"/>
      <c r="K10" s="888"/>
      <c r="L10" s="888"/>
      <c r="M10" s="888"/>
      <c r="N10" s="68"/>
      <c r="P10" s="29" t="s">
        <v>32</v>
      </c>
      <c r="Q10" s="889"/>
      <c r="R10" s="889"/>
      <c r="U10" s="26" t="s">
        <v>12</v>
      </c>
      <c r="V10" s="890" t="s">
        <v>71</v>
      </c>
      <c r="W10" s="89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92"/>
      <c r="R11" s="892"/>
      <c r="U11" s="26" t="s">
        <v>28</v>
      </c>
      <c r="V11" s="871" t="s">
        <v>55</v>
      </c>
      <c r="W11" s="8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70" t="s">
        <v>72</v>
      </c>
      <c r="B12" s="870"/>
      <c r="C12" s="870"/>
      <c r="D12" s="870"/>
      <c r="E12" s="870"/>
      <c r="F12" s="870"/>
      <c r="G12" s="870"/>
      <c r="H12" s="870"/>
      <c r="I12" s="870"/>
      <c r="J12" s="870"/>
      <c r="K12" s="870"/>
      <c r="L12" s="870"/>
      <c r="M12" s="870"/>
      <c r="N12" s="73"/>
      <c r="P12" s="26" t="s">
        <v>30</v>
      </c>
      <c r="Q12" s="893"/>
      <c r="R12" s="893"/>
      <c r="S12" s="27"/>
      <c r="T12"/>
      <c r="U12" s="26" t="s">
        <v>46</v>
      </c>
      <c r="V12" s="894"/>
      <c r="W12" s="894"/>
      <c r="X12"/>
      <c r="AB12" s="57"/>
      <c r="AC12" s="57"/>
      <c r="AD12" s="57"/>
      <c r="AE12" s="57"/>
    </row>
    <row r="13" spans="1:32" s="17" customFormat="1" ht="23.25" customHeight="1" x14ac:dyDescent="0.2">
      <c r="A13" s="870" t="s">
        <v>73</v>
      </c>
      <c r="B13" s="870"/>
      <c r="C13" s="870"/>
      <c r="D13" s="870"/>
      <c r="E13" s="870"/>
      <c r="F13" s="870"/>
      <c r="G13" s="870"/>
      <c r="H13" s="870"/>
      <c r="I13" s="870"/>
      <c r="J13" s="870"/>
      <c r="K13" s="870"/>
      <c r="L13" s="870"/>
      <c r="M13" s="870"/>
      <c r="N13" s="73"/>
      <c r="O13" s="29"/>
      <c r="P13" s="29" t="s">
        <v>31</v>
      </c>
      <c r="Q13" s="871"/>
      <c r="R13" s="8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70" t="s">
        <v>74</v>
      </c>
      <c r="B14" s="870"/>
      <c r="C14" s="870"/>
      <c r="D14" s="870"/>
      <c r="E14" s="870"/>
      <c r="F14" s="870"/>
      <c r="G14" s="870"/>
      <c r="H14" s="870"/>
      <c r="I14" s="870"/>
      <c r="J14" s="870"/>
      <c r="K14" s="870"/>
      <c r="L14" s="870"/>
      <c r="M14" s="87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72" t="s">
        <v>75</v>
      </c>
      <c r="B15" s="872"/>
      <c r="C15" s="872"/>
      <c r="D15" s="872"/>
      <c r="E15" s="872"/>
      <c r="F15" s="872"/>
      <c r="G15" s="872"/>
      <c r="H15" s="872"/>
      <c r="I15" s="872"/>
      <c r="J15" s="872"/>
      <c r="K15" s="872"/>
      <c r="L15" s="872"/>
      <c r="M15" s="872"/>
      <c r="N15" s="74"/>
      <c r="O15"/>
      <c r="P15" s="873" t="s">
        <v>61</v>
      </c>
      <c r="Q15" s="873"/>
      <c r="R15" s="873"/>
      <c r="S15" s="873"/>
      <c r="T15" s="8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74"/>
      <c r="Q16" s="874"/>
      <c r="R16" s="874"/>
      <c r="S16" s="874"/>
      <c r="T16" s="8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56" t="s">
        <v>59</v>
      </c>
      <c r="B17" s="856" t="s">
        <v>49</v>
      </c>
      <c r="C17" s="877" t="s">
        <v>48</v>
      </c>
      <c r="D17" s="879" t="s">
        <v>50</v>
      </c>
      <c r="E17" s="880"/>
      <c r="F17" s="856" t="s">
        <v>21</v>
      </c>
      <c r="G17" s="856" t="s">
        <v>24</v>
      </c>
      <c r="H17" s="856" t="s">
        <v>22</v>
      </c>
      <c r="I17" s="856" t="s">
        <v>23</v>
      </c>
      <c r="J17" s="856" t="s">
        <v>16</v>
      </c>
      <c r="K17" s="856" t="s">
        <v>66</v>
      </c>
      <c r="L17" s="856" t="s">
        <v>64</v>
      </c>
      <c r="M17" s="856" t="s">
        <v>2</v>
      </c>
      <c r="N17" s="856" t="s">
        <v>63</v>
      </c>
      <c r="O17" s="856" t="s">
        <v>25</v>
      </c>
      <c r="P17" s="879" t="s">
        <v>17</v>
      </c>
      <c r="Q17" s="883"/>
      <c r="R17" s="883"/>
      <c r="S17" s="883"/>
      <c r="T17" s="880"/>
      <c r="U17" s="875" t="s">
        <v>56</v>
      </c>
      <c r="V17" s="876"/>
      <c r="W17" s="856" t="s">
        <v>6</v>
      </c>
      <c r="X17" s="856" t="s">
        <v>41</v>
      </c>
      <c r="Y17" s="858" t="s">
        <v>54</v>
      </c>
      <c r="Z17" s="860" t="s">
        <v>18</v>
      </c>
      <c r="AA17" s="862" t="s">
        <v>60</v>
      </c>
      <c r="AB17" s="862" t="s">
        <v>19</v>
      </c>
      <c r="AC17" s="862" t="s">
        <v>65</v>
      </c>
      <c r="AD17" s="864" t="s">
        <v>57</v>
      </c>
      <c r="AE17" s="865"/>
      <c r="AF17" s="866"/>
      <c r="AG17" s="77"/>
      <c r="BD17" s="76" t="s">
        <v>62</v>
      </c>
    </row>
    <row r="18" spans="1:68" ht="14.25" customHeight="1" x14ac:dyDescent="0.2">
      <c r="A18" s="857"/>
      <c r="B18" s="857"/>
      <c r="C18" s="878"/>
      <c r="D18" s="881"/>
      <c r="E18" s="882"/>
      <c r="F18" s="857"/>
      <c r="G18" s="857"/>
      <c r="H18" s="857"/>
      <c r="I18" s="857"/>
      <c r="J18" s="857"/>
      <c r="K18" s="857"/>
      <c r="L18" s="857"/>
      <c r="M18" s="857"/>
      <c r="N18" s="857"/>
      <c r="O18" s="857"/>
      <c r="P18" s="881"/>
      <c r="Q18" s="884"/>
      <c r="R18" s="884"/>
      <c r="S18" s="884"/>
      <c r="T18" s="882"/>
      <c r="U18" s="78" t="s">
        <v>44</v>
      </c>
      <c r="V18" s="78" t="s">
        <v>43</v>
      </c>
      <c r="W18" s="857"/>
      <c r="X18" s="857"/>
      <c r="Y18" s="859"/>
      <c r="Z18" s="861"/>
      <c r="AA18" s="863"/>
      <c r="AB18" s="863"/>
      <c r="AC18" s="863"/>
      <c r="AD18" s="867"/>
      <c r="AE18" s="868"/>
      <c r="AF18" s="869"/>
      <c r="AG18" s="77"/>
      <c r="BD18" s="76"/>
    </row>
    <row r="19" spans="1:68" ht="27.75" hidden="1" customHeight="1" x14ac:dyDescent="0.2">
      <c r="A19" s="610" t="s">
        <v>76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52"/>
      <c r="AB19" s="52"/>
      <c r="AC19" s="52"/>
    </row>
    <row r="20" spans="1:68" ht="16.5" hidden="1" customHeight="1" x14ac:dyDescent="0.25">
      <c r="A20" s="605" t="s">
        <v>76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hidden="1" customHeight="1" x14ac:dyDescent="0.25">
      <c r="A21" s="589" t="s">
        <v>77</v>
      </c>
      <c r="B21" s="589"/>
      <c r="C21" s="589"/>
      <c r="D21" s="589"/>
      <c r="E21" s="589"/>
      <c r="F21" s="589"/>
      <c r="G21" s="589"/>
      <c r="H21" s="589"/>
      <c r="I21" s="589"/>
      <c r="J21" s="589"/>
      <c r="K21" s="589"/>
      <c r="L21" s="589"/>
      <c r="M21" s="589"/>
      <c r="N21" s="589"/>
      <c r="O21" s="589"/>
      <c r="P21" s="589"/>
      <c r="Q21" s="589"/>
      <c r="R21" s="589"/>
      <c r="S21" s="589"/>
      <c r="T21" s="589"/>
      <c r="U21" s="589"/>
      <c r="V21" s="589"/>
      <c r="W21" s="589"/>
      <c r="X21" s="589"/>
      <c r="Y21" s="589"/>
      <c r="Z21" s="58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590">
        <v>4680115886643</v>
      </c>
      <c r="E22" s="59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2"/>
      <c r="R22" s="592"/>
      <c r="S22" s="592"/>
      <c r="T22" s="59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590">
        <v>4680115889071</v>
      </c>
      <c r="E23" s="59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2"/>
      <c r="R23" s="592"/>
      <c r="S23" s="592"/>
      <c r="T23" s="59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97"/>
      <c r="B24" s="597"/>
      <c r="C24" s="597"/>
      <c r="D24" s="597"/>
      <c r="E24" s="597"/>
      <c r="F24" s="597"/>
      <c r="G24" s="597"/>
      <c r="H24" s="597"/>
      <c r="I24" s="597"/>
      <c r="J24" s="597"/>
      <c r="K24" s="597"/>
      <c r="L24" s="597"/>
      <c r="M24" s="597"/>
      <c r="N24" s="597"/>
      <c r="O24" s="598"/>
      <c r="P24" s="594" t="s">
        <v>40</v>
      </c>
      <c r="Q24" s="595"/>
      <c r="R24" s="595"/>
      <c r="S24" s="595"/>
      <c r="T24" s="595"/>
      <c r="U24" s="595"/>
      <c r="V24" s="596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97"/>
      <c r="B25" s="597"/>
      <c r="C25" s="597"/>
      <c r="D25" s="597"/>
      <c r="E25" s="597"/>
      <c r="F25" s="597"/>
      <c r="G25" s="597"/>
      <c r="H25" s="597"/>
      <c r="I25" s="597"/>
      <c r="J25" s="597"/>
      <c r="K25" s="597"/>
      <c r="L25" s="597"/>
      <c r="M25" s="597"/>
      <c r="N25" s="597"/>
      <c r="O25" s="598"/>
      <c r="P25" s="594" t="s">
        <v>40</v>
      </c>
      <c r="Q25" s="595"/>
      <c r="R25" s="595"/>
      <c r="S25" s="595"/>
      <c r="T25" s="595"/>
      <c r="U25" s="595"/>
      <c r="V25" s="596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89" t="s">
        <v>86</v>
      </c>
      <c r="B26" s="589"/>
      <c r="C26" s="589"/>
      <c r="D26" s="589"/>
      <c r="E26" s="589"/>
      <c r="F26" s="589"/>
      <c r="G26" s="589"/>
      <c r="H26" s="589"/>
      <c r="I26" s="589"/>
      <c r="J26" s="589"/>
      <c r="K26" s="589"/>
      <c r="L26" s="589"/>
      <c r="M26" s="589"/>
      <c r="N26" s="589"/>
      <c r="O26" s="589"/>
      <c r="P26" s="589"/>
      <c r="Q26" s="589"/>
      <c r="R26" s="589"/>
      <c r="S26" s="589"/>
      <c r="T26" s="589"/>
      <c r="U26" s="589"/>
      <c r="V26" s="589"/>
      <c r="W26" s="589"/>
      <c r="X26" s="589"/>
      <c r="Y26" s="589"/>
      <c r="Z26" s="58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90">
        <v>4680115885912</v>
      </c>
      <c r="E27" s="59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2"/>
      <c r="R27" s="592"/>
      <c r="S27" s="592"/>
      <c r="T27" s="593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590">
        <v>4607091388237</v>
      </c>
      <c r="E28" s="59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2"/>
      <c r="R28" s="592"/>
      <c r="S28" s="592"/>
      <c r="T28" s="593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590">
        <v>4680115887350</v>
      </c>
      <c r="E29" s="59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2"/>
      <c r="R29" s="592"/>
      <c r="S29" s="592"/>
      <c r="T29" s="593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590">
        <v>4680115885905</v>
      </c>
      <c r="E30" s="59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2"/>
      <c r="R30" s="592"/>
      <c r="S30" s="592"/>
      <c r="T30" s="593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590">
        <v>4680115887657</v>
      </c>
      <c r="E31" s="59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4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2"/>
      <c r="R31" s="592"/>
      <c r="S31" s="592"/>
      <c r="T31" s="593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590">
        <v>4680115887619</v>
      </c>
      <c r="E32" s="59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2"/>
      <c r="R32" s="592"/>
      <c r="S32" s="592"/>
      <c r="T32" s="593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97"/>
      <c r="B33" s="597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/>
      <c r="O33" s="598"/>
      <c r="P33" s="594" t="s">
        <v>40</v>
      </c>
      <c r="Q33" s="595"/>
      <c r="R33" s="595"/>
      <c r="S33" s="595"/>
      <c r="T33" s="595"/>
      <c r="U33" s="595"/>
      <c r="V33" s="596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97"/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8"/>
      <c r="P34" s="594" t="s">
        <v>40</v>
      </c>
      <c r="Q34" s="595"/>
      <c r="R34" s="595"/>
      <c r="S34" s="595"/>
      <c r="T34" s="595"/>
      <c r="U34" s="595"/>
      <c r="V34" s="596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89" t="s">
        <v>107</v>
      </c>
      <c r="B35" s="589"/>
      <c r="C35" s="589"/>
      <c r="D35" s="589"/>
      <c r="E35" s="589"/>
      <c r="F35" s="589"/>
      <c r="G35" s="589"/>
      <c r="H35" s="589"/>
      <c r="I35" s="589"/>
      <c r="J35" s="589"/>
      <c r="K35" s="589"/>
      <c r="L35" s="589"/>
      <c r="M35" s="589"/>
      <c r="N35" s="589"/>
      <c r="O35" s="589"/>
      <c r="P35" s="589"/>
      <c r="Q35" s="589"/>
      <c r="R35" s="589"/>
      <c r="S35" s="589"/>
      <c r="T35" s="589"/>
      <c r="U35" s="589"/>
      <c r="V35" s="589"/>
      <c r="W35" s="589"/>
      <c r="X35" s="589"/>
      <c r="Y35" s="589"/>
      <c r="Z35" s="589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590">
        <v>4607091388503</v>
      </c>
      <c r="E36" s="59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2"/>
      <c r="R36" s="592"/>
      <c r="S36" s="592"/>
      <c r="T36" s="593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97"/>
      <c r="B37" s="597"/>
      <c r="C37" s="597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8"/>
      <c r="P37" s="594" t="s">
        <v>40</v>
      </c>
      <c r="Q37" s="595"/>
      <c r="R37" s="595"/>
      <c r="S37" s="595"/>
      <c r="T37" s="595"/>
      <c r="U37" s="595"/>
      <c r="V37" s="596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97"/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8"/>
      <c r="P38" s="594" t="s">
        <v>40</v>
      </c>
      <c r="Q38" s="595"/>
      <c r="R38" s="595"/>
      <c r="S38" s="595"/>
      <c r="T38" s="595"/>
      <c r="U38" s="595"/>
      <c r="V38" s="596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0" t="s">
        <v>45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52"/>
      <c r="AB39" s="52"/>
      <c r="AC39" s="52"/>
    </row>
    <row r="40" spans="1:68" ht="16.5" hidden="1" customHeight="1" x14ac:dyDescent="0.25">
      <c r="A40" s="605" t="s">
        <v>113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hidden="1" customHeight="1" x14ac:dyDescent="0.25">
      <c r="A41" s="589" t="s">
        <v>86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590">
        <v>4680115888463</v>
      </c>
      <c r="E42" s="59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2"/>
      <c r="R42" s="592"/>
      <c r="S42" s="592"/>
      <c r="T42" s="59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590">
        <v>4680115888494</v>
      </c>
      <c r="E43" s="59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4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2"/>
      <c r="R43" s="592"/>
      <c r="S43" s="592"/>
      <c r="T43" s="59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590">
        <v>4680115888272</v>
      </c>
      <c r="E44" s="59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2"/>
      <c r="R44" s="592"/>
      <c r="S44" s="592"/>
      <c r="T44" s="59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590">
        <v>4680115888364</v>
      </c>
      <c r="E45" s="59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2"/>
      <c r="R45" s="592"/>
      <c r="S45" s="592"/>
      <c r="T45" s="59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597"/>
      <c r="B46" s="597"/>
      <c r="C46" s="597"/>
      <c r="D46" s="597"/>
      <c r="E46" s="597"/>
      <c r="F46" s="597"/>
      <c r="G46" s="597"/>
      <c r="H46" s="597"/>
      <c r="I46" s="597"/>
      <c r="J46" s="597"/>
      <c r="K46" s="597"/>
      <c r="L46" s="597"/>
      <c r="M46" s="597"/>
      <c r="N46" s="597"/>
      <c r="O46" s="598"/>
      <c r="P46" s="594" t="s">
        <v>40</v>
      </c>
      <c r="Q46" s="595"/>
      <c r="R46" s="595"/>
      <c r="S46" s="595"/>
      <c r="T46" s="595"/>
      <c r="U46" s="595"/>
      <c r="V46" s="596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597"/>
      <c r="B47" s="597"/>
      <c r="C47" s="597"/>
      <c r="D47" s="597"/>
      <c r="E47" s="597"/>
      <c r="F47" s="597"/>
      <c r="G47" s="597"/>
      <c r="H47" s="597"/>
      <c r="I47" s="597"/>
      <c r="J47" s="597"/>
      <c r="K47" s="597"/>
      <c r="L47" s="597"/>
      <c r="M47" s="597"/>
      <c r="N47" s="597"/>
      <c r="O47" s="598"/>
      <c r="P47" s="594" t="s">
        <v>40</v>
      </c>
      <c r="Q47" s="595"/>
      <c r="R47" s="595"/>
      <c r="S47" s="595"/>
      <c r="T47" s="595"/>
      <c r="U47" s="595"/>
      <c r="V47" s="596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10" t="s">
        <v>126</v>
      </c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0"/>
      <c r="P48" s="610"/>
      <c r="Q48" s="610"/>
      <c r="R48" s="610"/>
      <c r="S48" s="610"/>
      <c r="T48" s="610"/>
      <c r="U48" s="610"/>
      <c r="V48" s="610"/>
      <c r="W48" s="610"/>
      <c r="X48" s="610"/>
      <c r="Y48" s="610"/>
      <c r="Z48" s="610"/>
      <c r="AA48" s="52"/>
      <c r="AB48" s="52"/>
      <c r="AC48" s="52"/>
    </row>
    <row r="49" spans="1:68" ht="16.5" hidden="1" customHeight="1" x14ac:dyDescent="0.25">
      <c r="A49" s="605" t="s">
        <v>127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hidden="1" customHeight="1" x14ac:dyDescent="0.25">
      <c r="A50" s="589" t="s">
        <v>128</v>
      </c>
      <c r="B50" s="589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9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590">
        <v>4607091385670</v>
      </c>
      <c r="E51" s="59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2"/>
      <c r="R51" s="592"/>
      <c r="S51" s="592"/>
      <c r="T51" s="59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590">
        <v>4680115887725</v>
      </c>
      <c r="E52" s="59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2"/>
      <c r="R52" s="592"/>
      <c r="S52" s="592"/>
      <c r="T52" s="59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590">
        <v>4607091385687</v>
      </c>
      <c r="E53" s="59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2"/>
      <c r="R53" s="592"/>
      <c r="S53" s="592"/>
      <c r="T53" s="59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590">
        <v>4680115882539</v>
      </c>
      <c r="E54" s="59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2"/>
      <c r="R54" s="592"/>
      <c r="S54" s="592"/>
      <c r="T54" s="59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597"/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7"/>
      <c r="N55" s="597"/>
      <c r="O55" s="598"/>
      <c r="P55" s="594" t="s">
        <v>40</v>
      </c>
      <c r="Q55" s="595"/>
      <c r="R55" s="595"/>
      <c r="S55" s="595"/>
      <c r="T55" s="595"/>
      <c r="U55" s="595"/>
      <c r="V55" s="596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  <c r="M56" s="597"/>
      <c r="N56" s="597"/>
      <c r="O56" s="598"/>
      <c r="P56" s="594" t="s">
        <v>40</v>
      </c>
      <c r="Q56" s="595"/>
      <c r="R56" s="595"/>
      <c r="S56" s="595"/>
      <c r="T56" s="595"/>
      <c r="U56" s="595"/>
      <c r="V56" s="596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05" t="s">
        <v>143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hidden="1" customHeight="1" x14ac:dyDescent="0.25">
      <c r="A58" s="589" t="s">
        <v>128</v>
      </c>
      <c r="B58" s="589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  <c r="R58" s="589"/>
      <c r="S58" s="589"/>
      <c r="T58" s="589"/>
      <c r="U58" s="589"/>
      <c r="V58" s="589"/>
      <c r="W58" s="589"/>
      <c r="X58" s="589"/>
      <c r="Y58" s="589"/>
      <c r="Z58" s="589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590">
        <v>4680115885882</v>
      </c>
      <c r="E59" s="59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2"/>
      <c r="R59" s="592"/>
      <c r="S59" s="592"/>
      <c r="T59" s="59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590">
        <v>4680115885882</v>
      </c>
      <c r="E60" s="59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2"/>
      <c r="R60" s="592"/>
      <c r="S60" s="592"/>
      <c r="T60" s="59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590">
        <v>4680115881426</v>
      </c>
      <c r="E61" s="59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2"/>
      <c r="R61" s="592"/>
      <c r="S61" s="592"/>
      <c r="T61" s="59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590">
        <v>4680115880283</v>
      </c>
      <c r="E62" s="59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2"/>
      <c r="R62" s="592"/>
      <c r="S62" s="592"/>
      <c r="T62" s="59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590">
        <v>4680115881525</v>
      </c>
      <c r="E63" s="590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2"/>
      <c r="R63" s="592"/>
      <c r="S63" s="592"/>
      <c r="T63" s="59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590">
        <v>4680115885899</v>
      </c>
      <c r="E64" s="590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2"/>
      <c r="R64" s="592"/>
      <c r="S64" s="592"/>
      <c r="T64" s="59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590">
        <v>4680115881419</v>
      </c>
      <c r="E65" s="590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2"/>
      <c r="R65" s="592"/>
      <c r="S65" s="592"/>
      <c r="T65" s="59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597"/>
      <c r="B66" s="597"/>
      <c r="C66" s="597"/>
      <c r="D66" s="597"/>
      <c r="E66" s="597"/>
      <c r="F66" s="597"/>
      <c r="G66" s="597"/>
      <c r="H66" s="597"/>
      <c r="I66" s="597"/>
      <c r="J66" s="597"/>
      <c r="K66" s="597"/>
      <c r="L66" s="597"/>
      <c r="M66" s="597"/>
      <c r="N66" s="597"/>
      <c r="O66" s="598"/>
      <c r="P66" s="594" t="s">
        <v>40</v>
      </c>
      <c r="Q66" s="595"/>
      <c r="R66" s="595"/>
      <c r="S66" s="595"/>
      <c r="T66" s="595"/>
      <c r="U66" s="595"/>
      <c r="V66" s="596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597"/>
      <c r="B67" s="597"/>
      <c r="C67" s="597"/>
      <c r="D67" s="597"/>
      <c r="E67" s="597"/>
      <c r="F67" s="597"/>
      <c r="G67" s="597"/>
      <c r="H67" s="597"/>
      <c r="I67" s="597"/>
      <c r="J67" s="597"/>
      <c r="K67" s="597"/>
      <c r="L67" s="597"/>
      <c r="M67" s="597"/>
      <c r="N67" s="597"/>
      <c r="O67" s="598"/>
      <c r="P67" s="594" t="s">
        <v>40</v>
      </c>
      <c r="Q67" s="595"/>
      <c r="R67" s="595"/>
      <c r="S67" s="595"/>
      <c r="T67" s="595"/>
      <c r="U67" s="595"/>
      <c r="V67" s="596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589" t="s">
        <v>163</v>
      </c>
      <c r="B68" s="589"/>
      <c r="C68" s="589"/>
      <c r="D68" s="589"/>
      <c r="E68" s="589"/>
      <c r="F68" s="589"/>
      <c r="G68" s="589"/>
      <c r="H68" s="589"/>
      <c r="I68" s="589"/>
      <c r="J68" s="589"/>
      <c r="K68" s="589"/>
      <c r="L68" s="589"/>
      <c r="M68" s="589"/>
      <c r="N68" s="589"/>
      <c r="O68" s="589"/>
      <c r="P68" s="589"/>
      <c r="Q68" s="589"/>
      <c r="R68" s="589"/>
      <c r="S68" s="589"/>
      <c r="T68" s="589"/>
      <c r="U68" s="589"/>
      <c r="V68" s="589"/>
      <c r="W68" s="589"/>
      <c r="X68" s="589"/>
      <c r="Y68" s="589"/>
      <c r="Z68" s="589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590">
        <v>4680115881440</v>
      </c>
      <c r="E69" s="590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2"/>
      <c r="R69" s="592"/>
      <c r="S69" s="592"/>
      <c r="T69" s="59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590">
        <v>4680115885950</v>
      </c>
      <c r="E70" s="590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2"/>
      <c r="R70" s="592"/>
      <c r="S70" s="592"/>
      <c r="T70" s="59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590">
        <v>4680115887688</v>
      </c>
      <c r="E71" s="590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2"/>
      <c r="R71" s="592"/>
      <c r="S71" s="592"/>
      <c r="T71" s="59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590">
        <v>4680115881433</v>
      </c>
      <c r="E72" s="59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2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2"/>
      <c r="R72" s="592"/>
      <c r="S72" s="592"/>
      <c r="T72" s="59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597"/>
      <c r="B73" s="597"/>
      <c r="C73" s="597"/>
      <c r="D73" s="597"/>
      <c r="E73" s="597"/>
      <c r="F73" s="597"/>
      <c r="G73" s="597"/>
      <c r="H73" s="597"/>
      <c r="I73" s="597"/>
      <c r="J73" s="597"/>
      <c r="K73" s="597"/>
      <c r="L73" s="597"/>
      <c r="M73" s="597"/>
      <c r="N73" s="597"/>
      <c r="O73" s="598"/>
      <c r="P73" s="594" t="s">
        <v>40</v>
      </c>
      <c r="Q73" s="595"/>
      <c r="R73" s="595"/>
      <c r="S73" s="595"/>
      <c r="T73" s="595"/>
      <c r="U73" s="595"/>
      <c r="V73" s="596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597"/>
      <c r="B74" s="597"/>
      <c r="C74" s="597"/>
      <c r="D74" s="597"/>
      <c r="E74" s="597"/>
      <c r="F74" s="597"/>
      <c r="G74" s="597"/>
      <c r="H74" s="597"/>
      <c r="I74" s="597"/>
      <c r="J74" s="597"/>
      <c r="K74" s="597"/>
      <c r="L74" s="597"/>
      <c r="M74" s="597"/>
      <c r="N74" s="597"/>
      <c r="O74" s="598"/>
      <c r="P74" s="594" t="s">
        <v>40</v>
      </c>
      <c r="Q74" s="595"/>
      <c r="R74" s="595"/>
      <c r="S74" s="595"/>
      <c r="T74" s="595"/>
      <c r="U74" s="595"/>
      <c r="V74" s="596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589" t="s">
        <v>86</v>
      </c>
      <c r="B75" s="589"/>
      <c r="C75" s="589"/>
      <c r="D75" s="589"/>
      <c r="E75" s="589"/>
      <c r="F75" s="589"/>
      <c r="G75" s="589"/>
      <c r="H75" s="589"/>
      <c r="I75" s="589"/>
      <c r="J75" s="589"/>
      <c r="K75" s="589"/>
      <c r="L75" s="589"/>
      <c r="M75" s="589"/>
      <c r="N75" s="589"/>
      <c r="O75" s="589"/>
      <c r="P75" s="589"/>
      <c r="Q75" s="589"/>
      <c r="R75" s="589"/>
      <c r="S75" s="589"/>
      <c r="T75" s="589"/>
      <c r="U75" s="589"/>
      <c r="V75" s="589"/>
      <c r="W75" s="589"/>
      <c r="X75" s="589"/>
      <c r="Y75" s="589"/>
      <c r="Z75" s="589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590">
        <v>4680115884311</v>
      </c>
      <c r="E76" s="59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2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2"/>
      <c r="R76" s="592"/>
      <c r="S76" s="592"/>
      <c r="T76" s="59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590">
        <v>4680115884403</v>
      </c>
      <c r="E77" s="59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2"/>
      <c r="R77" s="592"/>
      <c r="S77" s="592"/>
      <c r="T77" s="59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597"/>
      <c r="B78" s="597"/>
      <c r="C78" s="597"/>
      <c r="D78" s="597"/>
      <c r="E78" s="597"/>
      <c r="F78" s="597"/>
      <c r="G78" s="597"/>
      <c r="H78" s="597"/>
      <c r="I78" s="597"/>
      <c r="J78" s="597"/>
      <c r="K78" s="597"/>
      <c r="L78" s="597"/>
      <c r="M78" s="597"/>
      <c r="N78" s="597"/>
      <c r="O78" s="598"/>
      <c r="P78" s="594" t="s">
        <v>40</v>
      </c>
      <c r="Q78" s="595"/>
      <c r="R78" s="595"/>
      <c r="S78" s="595"/>
      <c r="T78" s="595"/>
      <c r="U78" s="595"/>
      <c r="V78" s="596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597"/>
      <c r="B79" s="597"/>
      <c r="C79" s="597"/>
      <c r="D79" s="597"/>
      <c r="E79" s="597"/>
      <c r="F79" s="597"/>
      <c r="G79" s="597"/>
      <c r="H79" s="597"/>
      <c r="I79" s="597"/>
      <c r="J79" s="597"/>
      <c r="K79" s="597"/>
      <c r="L79" s="597"/>
      <c r="M79" s="597"/>
      <c r="N79" s="597"/>
      <c r="O79" s="598"/>
      <c r="P79" s="594" t="s">
        <v>40</v>
      </c>
      <c r="Q79" s="595"/>
      <c r="R79" s="595"/>
      <c r="S79" s="595"/>
      <c r="T79" s="595"/>
      <c r="U79" s="595"/>
      <c r="V79" s="596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589" t="s">
        <v>180</v>
      </c>
      <c r="B80" s="589"/>
      <c r="C80" s="589"/>
      <c r="D80" s="589"/>
      <c r="E80" s="589"/>
      <c r="F80" s="589"/>
      <c r="G80" s="589"/>
      <c r="H80" s="589"/>
      <c r="I80" s="589"/>
      <c r="J80" s="589"/>
      <c r="K80" s="589"/>
      <c r="L80" s="589"/>
      <c r="M80" s="589"/>
      <c r="N80" s="589"/>
      <c r="O80" s="589"/>
      <c r="P80" s="589"/>
      <c r="Q80" s="589"/>
      <c r="R80" s="589"/>
      <c r="S80" s="589"/>
      <c r="T80" s="589"/>
      <c r="U80" s="589"/>
      <c r="V80" s="589"/>
      <c r="W80" s="589"/>
      <c r="X80" s="589"/>
      <c r="Y80" s="589"/>
      <c r="Z80" s="589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590">
        <v>4680115881532</v>
      </c>
      <c r="E81" s="59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2"/>
      <c r="R81" s="592"/>
      <c r="S81" s="592"/>
      <c r="T81" s="593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590">
        <v>4680115881464</v>
      </c>
      <c r="E82" s="590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2"/>
      <c r="R82" s="592"/>
      <c r="S82" s="592"/>
      <c r="T82" s="59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597"/>
      <c r="B83" s="597"/>
      <c r="C83" s="597"/>
      <c r="D83" s="597"/>
      <c r="E83" s="597"/>
      <c r="F83" s="597"/>
      <c r="G83" s="597"/>
      <c r="H83" s="597"/>
      <c r="I83" s="597"/>
      <c r="J83" s="597"/>
      <c r="K83" s="597"/>
      <c r="L83" s="597"/>
      <c r="M83" s="597"/>
      <c r="N83" s="597"/>
      <c r="O83" s="598"/>
      <c r="P83" s="594" t="s">
        <v>40</v>
      </c>
      <c r="Q83" s="595"/>
      <c r="R83" s="595"/>
      <c r="S83" s="595"/>
      <c r="T83" s="595"/>
      <c r="U83" s="595"/>
      <c r="V83" s="596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597"/>
      <c r="B84" s="597"/>
      <c r="C84" s="597"/>
      <c r="D84" s="597"/>
      <c r="E84" s="597"/>
      <c r="F84" s="597"/>
      <c r="G84" s="597"/>
      <c r="H84" s="597"/>
      <c r="I84" s="597"/>
      <c r="J84" s="597"/>
      <c r="K84" s="597"/>
      <c r="L84" s="597"/>
      <c r="M84" s="597"/>
      <c r="N84" s="597"/>
      <c r="O84" s="598"/>
      <c r="P84" s="594" t="s">
        <v>40</v>
      </c>
      <c r="Q84" s="595"/>
      <c r="R84" s="595"/>
      <c r="S84" s="595"/>
      <c r="T84" s="595"/>
      <c r="U84" s="595"/>
      <c r="V84" s="596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05" t="s">
        <v>187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hidden="1" customHeight="1" x14ac:dyDescent="0.25">
      <c r="A86" s="589" t="s">
        <v>128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590">
        <v>4680115881327</v>
      </c>
      <c r="E87" s="590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2"/>
      <c r="R87" s="592"/>
      <c r="S87" s="592"/>
      <c r="T87" s="59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590">
        <v>4680115887732</v>
      </c>
      <c r="E88" s="590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2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2"/>
      <c r="R88" s="592"/>
      <c r="S88" s="592"/>
      <c r="T88" s="59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590">
        <v>4680115881518</v>
      </c>
      <c r="E89" s="590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2"/>
      <c r="R89" s="592"/>
      <c r="S89" s="592"/>
      <c r="T89" s="59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590">
        <v>4680115881303</v>
      </c>
      <c r="E90" s="590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2"/>
      <c r="R90" s="592"/>
      <c r="S90" s="592"/>
      <c r="T90" s="59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597"/>
      <c r="B91" s="597"/>
      <c r="C91" s="597"/>
      <c r="D91" s="597"/>
      <c r="E91" s="597"/>
      <c r="F91" s="597"/>
      <c r="G91" s="597"/>
      <c r="H91" s="597"/>
      <c r="I91" s="597"/>
      <c r="J91" s="597"/>
      <c r="K91" s="597"/>
      <c r="L91" s="597"/>
      <c r="M91" s="597"/>
      <c r="N91" s="597"/>
      <c r="O91" s="598"/>
      <c r="P91" s="594" t="s">
        <v>40</v>
      </c>
      <c r="Q91" s="595"/>
      <c r="R91" s="595"/>
      <c r="S91" s="595"/>
      <c r="T91" s="595"/>
      <c r="U91" s="595"/>
      <c r="V91" s="596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597"/>
      <c r="B92" s="597"/>
      <c r="C92" s="597"/>
      <c r="D92" s="597"/>
      <c r="E92" s="597"/>
      <c r="F92" s="597"/>
      <c r="G92" s="597"/>
      <c r="H92" s="597"/>
      <c r="I92" s="597"/>
      <c r="J92" s="597"/>
      <c r="K92" s="597"/>
      <c r="L92" s="597"/>
      <c r="M92" s="597"/>
      <c r="N92" s="597"/>
      <c r="O92" s="598"/>
      <c r="P92" s="594" t="s">
        <v>40</v>
      </c>
      <c r="Q92" s="595"/>
      <c r="R92" s="595"/>
      <c r="S92" s="595"/>
      <c r="T92" s="595"/>
      <c r="U92" s="595"/>
      <c r="V92" s="596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589" t="s">
        <v>86</v>
      </c>
      <c r="B93" s="589"/>
      <c r="C93" s="589"/>
      <c r="D93" s="589"/>
      <c r="E93" s="589"/>
      <c r="F93" s="589"/>
      <c r="G93" s="589"/>
      <c r="H93" s="589"/>
      <c r="I93" s="589"/>
      <c r="J93" s="589"/>
      <c r="K93" s="589"/>
      <c r="L93" s="589"/>
      <c r="M93" s="589"/>
      <c r="N93" s="589"/>
      <c r="O93" s="589"/>
      <c r="P93" s="589"/>
      <c r="Q93" s="589"/>
      <c r="R93" s="589"/>
      <c r="S93" s="589"/>
      <c r="T93" s="589"/>
      <c r="U93" s="589"/>
      <c r="V93" s="589"/>
      <c r="W93" s="589"/>
      <c r="X93" s="589"/>
      <c r="Y93" s="589"/>
      <c r="Z93" s="589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590">
        <v>4607091386967</v>
      </c>
      <c r="E94" s="59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2"/>
      <c r="R94" s="592"/>
      <c r="S94" s="592"/>
      <c r="T94" s="59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590">
        <v>4680115884953</v>
      </c>
      <c r="E95" s="59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2"/>
      <c r="R95" s="592"/>
      <c r="S95" s="592"/>
      <c r="T95" s="59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590">
        <v>4607091385731</v>
      </c>
      <c r="E96" s="59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1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2"/>
      <c r="R96" s="592"/>
      <c r="S96" s="592"/>
      <c r="T96" s="59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590">
        <v>4680115880894</v>
      </c>
      <c r="E97" s="590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2"/>
      <c r="R97" s="592"/>
      <c r="S97" s="592"/>
      <c r="T97" s="59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597"/>
      <c r="B98" s="597"/>
      <c r="C98" s="597"/>
      <c r="D98" s="597"/>
      <c r="E98" s="597"/>
      <c r="F98" s="597"/>
      <c r="G98" s="597"/>
      <c r="H98" s="597"/>
      <c r="I98" s="597"/>
      <c r="J98" s="597"/>
      <c r="K98" s="597"/>
      <c r="L98" s="597"/>
      <c r="M98" s="597"/>
      <c r="N98" s="597"/>
      <c r="O98" s="598"/>
      <c r="P98" s="594" t="s">
        <v>40</v>
      </c>
      <c r="Q98" s="595"/>
      <c r="R98" s="595"/>
      <c r="S98" s="595"/>
      <c r="T98" s="595"/>
      <c r="U98" s="595"/>
      <c r="V98" s="596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597"/>
      <c r="B99" s="597"/>
      <c r="C99" s="597"/>
      <c r="D99" s="597"/>
      <c r="E99" s="597"/>
      <c r="F99" s="597"/>
      <c r="G99" s="597"/>
      <c r="H99" s="597"/>
      <c r="I99" s="597"/>
      <c r="J99" s="597"/>
      <c r="K99" s="597"/>
      <c r="L99" s="597"/>
      <c r="M99" s="597"/>
      <c r="N99" s="597"/>
      <c r="O99" s="598"/>
      <c r="P99" s="594" t="s">
        <v>40</v>
      </c>
      <c r="Q99" s="595"/>
      <c r="R99" s="595"/>
      <c r="S99" s="595"/>
      <c r="T99" s="595"/>
      <c r="U99" s="595"/>
      <c r="V99" s="596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05" t="s">
        <v>208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hidden="1" customHeight="1" x14ac:dyDescent="0.25">
      <c r="A101" s="589" t="s">
        <v>128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590">
        <v>4680115882133</v>
      </c>
      <c r="E102" s="590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2"/>
      <c r="R102" s="592"/>
      <c r="S102" s="592"/>
      <c r="T102" s="59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590">
        <v>4680115887718</v>
      </c>
      <c r="E103" s="590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1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2"/>
      <c r="R103" s="592"/>
      <c r="S103" s="592"/>
      <c r="T103" s="59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590">
        <v>4680115887718</v>
      </c>
      <c r="E104" s="590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1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2"/>
      <c r="R104" s="592"/>
      <c r="S104" s="592"/>
      <c r="T104" s="59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590">
        <v>4680115887749</v>
      </c>
      <c r="E105" s="590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1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2"/>
      <c r="R105" s="592"/>
      <c r="S105" s="592"/>
      <c r="T105" s="59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590">
        <v>4680115880269</v>
      </c>
      <c r="E106" s="59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2"/>
      <c r="R106" s="592"/>
      <c r="S106" s="592"/>
      <c r="T106" s="59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590">
        <v>4680115880429</v>
      </c>
      <c r="E107" s="59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2"/>
      <c r="R107" s="592"/>
      <c r="S107" s="592"/>
      <c r="T107" s="59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590">
        <v>4680115881457</v>
      </c>
      <c r="E108" s="59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2"/>
      <c r="R108" s="592"/>
      <c r="S108" s="592"/>
      <c r="T108" s="59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597"/>
      <c r="B109" s="597"/>
      <c r="C109" s="597"/>
      <c r="D109" s="597"/>
      <c r="E109" s="597"/>
      <c r="F109" s="597"/>
      <c r="G109" s="597"/>
      <c r="H109" s="597"/>
      <c r="I109" s="597"/>
      <c r="J109" s="597"/>
      <c r="K109" s="597"/>
      <c r="L109" s="597"/>
      <c r="M109" s="597"/>
      <c r="N109" s="597"/>
      <c r="O109" s="598"/>
      <c r="P109" s="594" t="s">
        <v>40</v>
      </c>
      <c r="Q109" s="595"/>
      <c r="R109" s="595"/>
      <c r="S109" s="595"/>
      <c r="T109" s="595"/>
      <c r="U109" s="595"/>
      <c r="V109" s="596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597"/>
      <c r="B110" s="597"/>
      <c r="C110" s="597"/>
      <c r="D110" s="597"/>
      <c r="E110" s="597"/>
      <c r="F110" s="597"/>
      <c r="G110" s="597"/>
      <c r="H110" s="597"/>
      <c r="I110" s="597"/>
      <c r="J110" s="597"/>
      <c r="K110" s="597"/>
      <c r="L110" s="597"/>
      <c r="M110" s="597"/>
      <c r="N110" s="597"/>
      <c r="O110" s="598"/>
      <c r="P110" s="594" t="s">
        <v>40</v>
      </c>
      <c r="Q110" s="595"/>
      <c r="R110" s="595"/>
      <c r="S110" s="595"/>
      <c r="T110" s="595"/>
      <c r="U110" s="595"/>
      <c r="V110" s="596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589" t="s">
        <v>163</v>
      </c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590">
        <v>4680115881488</v>
      </c>
      <c r="E112" s="59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0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2"/>
      <c r="R112" s="592"/>
      <c r="S112" s="592"/>
      <c r="T112" s="59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590">
        <v>4680115881488</v>
      </c>
      <c r="E113" s="59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0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2"/>
      <c r="R113" s="592"/>
      <c r="S113" s="592"/>
      <c r="T113" s="59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590">
        <v>4680115887664</v>
      </c>
      <c r="E114" s="59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2"/>
      <c r="R114" s="592"/>
      <c r="S114" s="592"/>
      <c r="T114" s="59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590">
        <v>4680115887664</v>
      </c>
      <c r="E115" s="59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2"/>
      <c r="R115" s="592"/>
      <c r="S115" s="592"/>
      <c r="T115" s="59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590">
        <v>4680115882775</v>
      </c>
      <c r="E116" s="59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2"/>
      <c r="R116" s="592"/>
      <c r="S116" s="592"/>
      <c r="T116" s="59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590">
        <v>4680115880658</v>
      </c>
      <c r="E117" s="59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0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2"/>
      <c r="R117" s="592"/>
      <c r="S117" s="592"/>
      <c r="T117" s="59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597"/>
      <c r="B118" s="597"/>
      <c r="C118" s="597"/>
      <c r="D118" s="597"/>
      <c r="E118" s="597"/>
      <c r="F118" s="597"/>
      <c r="G118" s="597"/>
      <c r="H118" s="597"/>
      <c r="I118" s="597"/>
      <c r="J118" s="597"/>
      <c r="K118" s="597"/>
      <c r="L118" s="597"/>
      <c r="M118" s="597"/>
      <c r="N118" s="597"/>
      <c r="O118" s="598"/>
      <c r="P118" s="594" t="s">
        <v>40</v>
      </c>
      <c r="Q118" s="595"/>
      <c r="R118" s="595"/>
      <c r="S118" s="595"/>
      <c r="T118" s="595"/>
      <c r="U118" s="595"/>
      <c r="V118" s="596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597"/>
      <c r="B119" s="597"/>
      <c r="C119" s="597"/>
      <c r="D119" s="597"/>
      <c r="E119" s="597"/>
      <c r="F119" s="597"/>
      <c r="G119" s="597"/>
      <c r="H119" s="597"/>
      <c r="I119" s="597"/>
      <c r="J119" s="597"/>
      <c r="K119" s="597"/>
      <c r="L119" s="597"/>
      <c r="M119" s="597"/>
      <c r="N119" s="597"/>
      <c r="O119" s="598"/>
      <c r="P119" s="594" t="s">
        <v>40</v>
      </c>
      <c r="Q119" s="595"/>
      <c r="R119" s="595"/>
      <c r="S119" s="595"/>
      <c r="T119" s="595"/>
      <c r="U119" s="595"/>
      <c r="V119" s="596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589" t="s">
        <v>86</v>
      </c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590">
        <v>4607091385168</v>
      </c>
      <c r="E121" s="590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2"/>
      <c r="R121" s="592"/>
      <c r="S121" s="592"/>
      <c r="T121" s="593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590">
        <v>4607091383256</v>
      </c>
      <c r="E122" s="59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2"/>
      <c r="R122" s="592"/>
      <c r="S122" s="592"/>
      <c r="T122" s="59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590">
        <v>4607091385748</v>
      </c>
      <c r="E123" s="59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0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2"/>
      <c r="R123" s="592"/>
      <c r="S123" s="592"/>
      <c r="T123" s="59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590">
        <v>4680115884533</v>
      </c>
      <c r="E124" s="590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0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2"/>
      <c r="R124" s="592"/>
      <c r="S124" s="592"/>
      <c r="T124" s="59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597"/>
      <c r="B125" s="597"/>
      <c r="C125" s="597"/>
      <c r="D125" s="597"/>
      <c r="E125" s="597"/>
      <c r="F125" s="597"/>
      <c r="G125" s="597"/>
      <c r="H125" s="597"/>
      <c r="I125" s="597"/>
      <c r="J125" s="597"/>
      <c r="K125" s="597"/>
      <c r="L125" s="597"/>
      <c r="M125" s="597"/>
      <c r="N125" s="597"/>
      <c r="O125" s="598"/>
      <c r="P125" s="594" t="s">
        <v>40</v>
      </c>
      <c r="Q125" s="595"/>
      <c r="R125" s="595"/>
      <c r="S125" s="595"/>
      <c r="T125" s="595"/>
      <c r="U125" s="595"/>
      <c r="V125" s="596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597"/>
      <c r="B126" s="597"/>
      <c r="C126" s="597"/>
      <c r="D126" s="597"/>
      <c r="E126" s="597"/>
      <c r="F126" s="597"/>
      <c r="G126" s="597"/>
      <c r="H126" s="597"/>
      <c r="I126" s="597"/>
      <c r="J126" s="597"/>
      <c r="K126" s="597"/>
      <c r="L126" s="597"/>
      <c r="M126" s="597"/>
      <c r="N126" s="597"/>
      <c r="O126" s="598"/>
      <c r="P126" s="594" t="s">
        <v>40</v>
      </c>
      <c r="Q126" s="595"/>
      <c r="R126" s="595"/>
      <c r="S126" s="595"/>
      <c r="T126" s="595"/>
      <c r="U126" s="595"/>
      <c r="V126" s="596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589" t="s">
        <v>180</v>
      </c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590">
        <v>4680115880238</v>
      </c>
      <c r="E128" s="590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9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2"/>
      <c r="R128" s="592"/>
      <c r="S128" s="592"/>
      <c r="T128" s="593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597"/>
      <c r="B129" s="597"/>
      <c r="C129" s="597"/>
      <c r="D129" s="597"/>
      <c r="E129" s="597"/>
      <c r="F129" s="597"/>
      <c r="G129" s="597"/>
      <c r="H129" s="597"/>
      <c r="I129" s="597"/>
      <c r="J129" s="597"/>
      <c r="K129" s="597"/>
      <c r="L129" s="597"/>
      <c r="M129" s="597"/>
      <c r="N129" s="597"/>
      <c r="O129" s="598"/>
      <c r="P129" s="594" t="s">
        <v>40</v>
      </c>
      <c r="Q129" s="595"/>
      <c r="R129" s="595"/>
      <c r="S129" s="595"/>
      <c r="T129" s="595"/>
      <c r="U129" s="595"/>
      <c r="V129" s="596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597"/>
      <c r="B130" s="597"/>
      <c r="C130" s="597"/>
      <c r="D130" s="597"/>
      <c r="E130" s="597"/>
      <c r="F130" s="597"/>
      <c r="G130" s="597"/>
      <c r="H130" s="597"/>
      <c r="I130" s="597"/>
      <c r="J130" s="597"/>
      <c r="K130" s="597"/>
      <c r="L130" s="597"/>
      <c r="M130" s="597"/>
      <c r="N130" s="597"/>
      <c r="O130" s="598"/>
      <c r="P130" s="594" t="s">
        <v>40</v>
      </c>
      <c r="Q130" s="595"/>
      <c r="R130" s="595"/>
      <c r="S130" s="595"/>
      <c r="T130" s="595"/>
      <c r="U130" s="595"/>
      <c r="V130" s="596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05" t="s">
        <v>251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hidden="1" customHeight="1" x14ac:dyDescent="0.25">
      <c r="A132" s="589" t="s">
        <v>86</v>
      </c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4301052174</v>
      </c>
      <c r="D133" s="590">
        <v>4680115888203</v>
      </c>
      <c r="E133" s="590"/>
      <c r="F133" s="59">
        <v>0.22</v>
      </c>
      <c r="G133" s="35">
        <v>9</v>
      </c>
      <c r="H133" s="59">
        <v>1.98</v>
      </c>
      <c r="I133" s="59">
        <v>2.2589999999999999</v>
      </c>
      <c r="J133" s="35">
        <v>182</v>
      </c>
      <c r="K133" s="35" t="s">
        <v>91</v>
      </c>
      <c r="L133" s="35" t="s">
        <v>46</v>
      </c>
      <c r="M133" s="36" t="s">
        <v>97</v>
      </c>
      <c r="N133" s="36"/>
      <c r="O133" s="35">
        <v>40</v>
      </c>
      <c r="P133" s="79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3" s="592"/>
      <c r="R133" s="592"/>
      <c r="S133" s="592"/>
      <c r="T133" s="59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4301052172</v>
      </c>
      <c r="D134" s="590">
        <v>4680115888180</v>
      </c>
      <c r="E134" s="590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4" s="592"/>
      <c r="R134" s="592"/>
      <c r="S134" s="592"/>
      <c r="T134" s="59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258</v>
      </c>
      <c r="B135" s="60" t="s">
        <v>259</v>
      </c>
      <c r="C135" s="34">
        <v>4301052173</v>
      </c>
      <c r="D135" s="590">
        <v>4680115888197</v>
      </c>
      <c r="E135" s="590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9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5" s="592"/>
      <c r="R135" s="592"/>
      <c r="S135" s="592"/>
      <c r="T135" s="59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261</v>
      </c>
      <c r="B136" s="60" t="s">
        <v>262</v>
      </c>
      <c r="C136" s="34">
        <v>4301052175</v>
      </c>
      <c r="D136" s="590">
        <v>4680115888210</v>
      </c>
      <c r="E136" s="590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6" s="592"/>
      <c r="R136" s="592"/>
      <c r="S136" s="592"/>
      <c r="T136" s="59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263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597"/>
      <c r="B137" s="597"/>
      <c r="C137" s="597"/>
      <c r="D137" s="597"/>
      <c r="E137" s="597"/>
      <c r="F137" s="597"/>
      <c r="G137" s="597"/>
      <c r="H137" s="597"/>
      <c r="I137" s="597"/>
      <c r="J137" s="597"/>
      <c r="K137" s="597"/>
      <c r="L137" s="597"/>
      <c r="M137" s="597"/>
      <c r="N137" s="597"/>
      <c r="O137" s="598"/>
      <c r="P137" s="594" t="s">
        <v>40</v>
      </c>
      <c r="Q137" s="595"/>
      <c r="R137" s="595"/>
      <c r="S137" s="595"/>
      <c r="T137" s="595"/>
      <c r="U137" s="595"/>
      <c r="V137" s="596"/>
      <c r="W137" s="40" t="s">
        <v>39</v>
      </c>
      <c r="X137" s="41">
        <f>IFERROR(X133/H133,"0")+IFERROR(X134/H134,"0")+IFERROR(X135/H135,"0")+IFERROR(X136/H136,"0")</f>
        <v>0</v>
      </c>
      <c r="Y137" s="41">
        <f>IFERROR(Y133/H133,"0")+IFERROR(Y134/H134,"0")+IFERROR(Y135/H135,"0")+IFERROR(Y136/H136,"0")</f>
        <v>0</v>
      </c>
      <c r="Z137" s="41">
        <f>IFERROR(IF(Z133="",0,Z133),"0")+IFERROR(IF(Z134="",0,Z134),"0")+IFERROR(IF(Z135="",0,Z135),"0")+IFERROR(IF(Z136="",0,Z136),"0")</f>
        <v>0</v>
      </c>
      <c r="AA137" s="64"/>
      <c r="AB137" s="64"/>
      <c r="AC137" s="64"/>
    </row>
    <row r="138" spans="1:68" hidden="1" x14ac:dyDescent="0.2">
      <c r="A138" s="597"/>
      <c r="B138" s="597"/>
      <c r="C138" s="597"/>
      <c r="D138" s="597"/>
      <c r="E138" s="597"/>
      <c r="F138" s="597"/>
      <c r="G138" s="597"/>
      <c r="H138" s="597"/>
      <c r="I138" s="597"/>
      <c r="J138" s="597"/>
      <c r="K138" s="597"/>
      <c r="L138" s="597"/>
      <c r="M138" s="597"/>
      <c r="N138" s="597"/>
      <c r="O138" s="598"/>
      <c r="P138" s="594" t="s">
        <v>40</v>
      </c>
      <c r="Q138" s="595"/>
      <c r="R138" s="595"/>
      <c r="S138" s="595"/>
      <c r="T138" s="595"/>
      <c r="U138" s="595"/>
      <c r="V138" s="596"/>
      <c r="W138" s="40" t="s">
        <v>0</v>
      </c>
      <c r="X138" s="41">
        <f>IFERROR(SUM(X133:X136),"0")</f>
        <v>0</v>
      </c>
      <c r="Y138" s="41">
        <f>IFERROR(SUM(Y133:Y136),"0")</f>
        <v>0</v>
      </c>
      <c r="Z138" s="40"/>
      <c r="AA138" s="64"/>
      <c r="AB138" s="64"/>
      <c r="AC138" s="64"/>
    </row>
    <row r="139" spans="1:68" ht="16.5" hidden="1" customHeight="1" x14ac:dyDescent="0.25">
      <c r="A139" s="605" t="s">
        <v>126</v>
      </c>
      <c r="B139" s="605"/>
      <c r="C139" s="605"/>
      <c r="D139" s="605"/>
      <c r="E139" s="605"/>
      <c r="F139" s="605"/>
      <c r="G139" s="605"/>
      <c r="H139" s="605"/>
      <c r="I139" s="605"/>
      <c r="J139" s="605"/>
      <c r="K139" s="605"/>
      <c r="L139" s="605"/>
      <c r="M139" s="605"/>
      <c r="N139" s="605"/>
      <c r="O139" s="605"/>
      <c r="P139" s="605"/>
      <c r="Q139" s="605"/>
      <c r="R139" s="605"/>
      <c r="S139" s="605"/>
      <c r="T139" s="605"/>
      <c r="U139" s="605"/>
      <c r="V139" s="605"/>
      <c r="W139" s="605"/>
      <c r="X139" s="605"/>
      <c r="Y139" s="605"/>
      <c r="Z139" s="605"/>
      <c r="AA139" s="62"/>
      <c r="AB139" s="62"/>
      <c r="AC139" s="62"/>
    </row>
    <row r="140" spans="1:68" ht="14.25" hidden="1" customHeight="1" x14ac:dyDescent="0.25">
      <c r="A140" s="589" t="s">
        <v>128</v>
      </c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63"/>
      <c r="AB140" s="63"/>
      <c r="AC140" s="63"/>
    </row>
    <row r="141" spans="1:68" ht="27" hidden="1" customHeight="1" x14ac:dyDescent="0.25">
      <c r="A141" s="60" t="s">
        <v>264</v>
      </c>
      <c r="B141" s="60" t="s">
        <v>265</v>
      </c>
      <c r="C141" s="34">
        <v>4301012244</v>
      </c>
      <c r="D141" s="590">
        <v>4680115887374</v>
      </c>
      <c r="E141" s="590"/>
      <c r="F141" s="59">
        <v>1.6</v>
      </c>
      <c r="G141" s="35">
        <v>8</v>
      </c>
      <c r="H141" s="59">
        <v>12.8</v>
      </c>
      <c r="I141" s="59">
        <v>13.21</v>
      </c>
      <c r="J141" s="35">
        <v>64</v>
      </c>
      <c r="K141" s="35" t="s">
        <v>133</v>
      </c>
      <c r="L141" s="35" t="s">
        <v>46</v>
      </c>
      <c r="M141" s="36" t="s">
        <v>132</v>
      </c>
      <c r="N141" s="36"/>
      <c r="O141" s="35">
        <v>55</v>
      </c>
      <c r="P141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92"/>
      <c r="R141" s="592"/>
      <c r="S141" s="592"/>
      <c r="T141" s="593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46</v>
      </c>
      <c r="AB141" s="66" t="s">
        <v>46</v>
      </c>
      <c r="AC141" s="205" t="s">
        <v>266</v>
      </c>
      <c r="AG141" s="75"/>
      <c r="AJ141" s="79" t="s">
        <v>46</v>
      </c>
      <c r="AK141" s="79">
        <v>0</v>
      </c>
      <c r="BB141" s="206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267</v>
      </c>
      <c r="B142" s="60" t="s">
        <v>268</v>
      </c>
      <c r="C142" s="34">
        <v>4301011705</v>
      </c>
      <c r="D142" s="590">
        <v>4607091384604</v>
      </c>
      <c r="E142" s="590"/>
      <c r="F142" s="59">
        <v>0.4</v>
      </c>
      <c r="G142" s="35">
        <v>10</v>
      </c>
      <c r="H142" s="59">
        <v>4</v>
      </c>
      <c r="I142" s="59">
        <v>4.1900000000000004</v>
      </c>
      <c r="J142" s="35">
        <v>132</v>
      </c>
      <c r="K142" s="35" t="s">
        <v>140</v>
      </c>
      <c r="L142" s="35" t="s">
        <v>46</v>
      </c>
      <c r="M142" s="36" t="s">
        <v>132</v>
      </c>
      <c r="N142" s="36"/>
      <c r="O142" s="35">
        <v>50</v>
      </c>
      <c r="P142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92"/>
      <c r="R142" s="592"/>
      <c r="S142" s="592"/>
      <c r="T142" s="59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46</v>
      </c>
      <c r="AB142" s="66" t="s">
        <v>46</v>
      </c>
      <c r="AC142" s="207" t="s">
        <v>269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597"/>
      <c r="B143" s="597"/>
      <c r="C143" s="597"/>
      <c r="D143" s="597"/>
      <c r="E143" s="597"/>
      <c r="F143" s="597"/>
      <c r="G143" s="597"/>
      <c r="H143" s="597"/>
      <c r="I143" s="597"/>
      <c r="J143" s="597"/>
      <c r="K143" s="597"/>
      <c r="L143" s="597"/>
      <c r="M143" s="597"/>
      <c r="N143" s="597"/>
      <c r="O143" s="598"/>
      <c r="P143" s="594" t="s">
        <v>40</v>
      </c>
      <c r="Q143" s="595"/>
      <c r="R143" s="595"/>
      <c r="S143" s="595"/>
      <c r="T143" s="595"/>
      <c r="U143" s="595"/>
      <c r="V143" s="596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597"/>
      <c r="B144" s="597"/>
      <c r="C144" s="597"/>
      <c r="D144" s="597"/>
      <c r="E144" s="597"/>
      <c r="F144" s="597"/>
      <c r="G144" s="597"/>
      <c r="H144" s="597"/>
      <c r="I144" s="597"/>
      <c r="J144" s="597"/>
      <c r="K144" s="597"/>
      <c r="L144" s="597"/>
      <c r="M144" s="597"/>
      <c r="N144" s="597"/>
      <c r="O144" s="598"/>
      <c r="P144" s="594" t="s">
        <v>40</v>
      </c>
      <c r="Q144" s="595"/>
      <c r="R144" s="595"/>
      <c r="S144" s="595"/>
      <c r="T144" s="595"/>
      <c r="U144" s="595"/>
      <c r="V144" s="596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589" t="s">
        <v>163</v>
      </c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63"/>
      <c r="AB145" s="63"/>
      <c r="AC145" s="63"/>
    </row>
    <row r="146" spans="1:68" ht="16.5" hidden="1" customHeight="1" x14ac:dyDescent="0.25">
      <c r="A146" s="60" t="s">
        <v>270</v>
      </c>
      <c r="B146" s="60" t="s">
        <v>271</v>
      </c>
      <c r="C146" s="34">
        <v>4301020410</v>
      </c>
      <c r="D146" s="590">
        <v>4680115887695</v>
      </c>
      <c r="E146" s="590"/>
      <c r="F146" s="59">
        <v>0.12</v>
      </c>
      <c r="G146" s="35">
        <v>6</v>
      </c>
      <c r="H146" s="59">
        <v>0.72</v>
      </c>
      <c r="I146" s="59">
        <v>0.85</v>
      </c>
      <c r="J146" s="35">
        <v>252</v>
      </c>
      <c r="K146" s="35" t="s">
        <v>82</v>
      </c>
      <c r="L146" s="35" t="s">
        <v>46</v>
      </c>
      <c r="M146" s="36" t="s">
        <v>81</v>
      </c>
      <c r="N146" s="36"/>
      <c r="O146" s="35">
        <v>30</v>
      </c>
      <c r="P146" s="79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6" s="592"/>
      <c r="R146" s="592"/>
      <c r="S146" s="592"/>
      <c r="T146" s="593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IFERROR(IF(Y146=0,"",ROUNDUP(Y146/H146,0)*0.00556),"")</f>
        <v/>
      </c>
      <c r="AA146" s="65" t="s">
        <v>46</v>
      </c>
      <c r="AB146" s="66" t="s">
        <v>46</v>
      </c>
      <c r="AC146" s="209" t="s">
        <v>272</v>
      </c>
      <c r="AG146" s="75"/>
      <c r="AJ146" s="79" t="s">
        <v>46</v>
      </c>
      <c r="AK146" s="79">
        <v>0</v>
      </c>
      <c r="BB146" s="210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597"/>
      <c r="B147" s="597"/>
      <c r="C147" s="597"/>
      <c r="D147" s="597"/>
      <c r="E147" s="597"/>
      <c r="F147" s="597"/>
      <c r="G147" s="597"/>
      <c r="H147" s="597"/>
      <c r="I147" s="597"/>
      <c r="J147" s="597"/>
      <c r="K147" s="597"/>
      <c r="L147" s="597"/>
      <c r="M147" s="597"/>
      <c r="N147" s="597"/>
      <c r="O147" s="598"/>
      <c r="P147" s="594" t="s">
        <v>40</v>
      </c>
      <c r="Q147" s="595"/>
      <c r="R147" s="595"/>
      <c r="S147" s="595"/>
      <c r="T147" s="595"/>
      <c r="U147" s="595"/>
      <c r="V147" s="596"/>
      <c r="W147" s="40" t="s">
        <v>39</v>
      </c>
      <c r="X147" s="41">
        <f>IFERROR(X146/H146,"0")</f>
        <v>0</v>
      </c>
      <c r="Y147" s="41">
        <f>IFERROR(Y146/H146,"0")</f>
        <v>0</v>
      </c>
      <c r="Z147" s="41">
        <f>IFERROR(IF(Z146="",0,Z146),"0")</f>
        <v>0</v>
      </c>
      <c r="AA147" s="64"/>
      <c r="AB147" s="64"/>
      <c r="AC147" s="64"/>
    </row>
    <row r="148" spans="1:68" hidden="1" x14ac:dyDescent="0.2">
      <c r="A148" s="597"/>
      <c r="B148" s="597"/>
      <c r="C148" s="597"/>
      <c r="D148" s="597"/>
      <c r="E148" s="597"/>
      <c r="F148" s="597"/>
      <c r="G148" s="597"/>
      <c r="H148" s="597"/>
      <c r="I148" s="597"/>
      <c r="J148" s="597"/>
      <c r="K148" s="597"/>
      <c r="L148" s="597"/>
      <c r="M148" s="597"/>
      <c r="N148" s="597"/>
      <c r="O148" s="598"/>
      <c r="P148" s="594" t="s">
        <v>40</v>
      </c>
      <c r="Q148" s="595"/>
      <c r="R148" s="595"/>
      <c r="S148" s="595"/>
      <c r="T148" s="595"/>
      <c r="U148" s="595"/>
      <c r="V148" s="596"/>
      <c r="W148" s="40" t="s">
        <v>0</v>
      </c>
      <c r="X148" s="41">
        <f>IFERROR(SUM(X146:X146),"0")</f>
        <v>0</v>
      </c>
      <c r="Y148" s="41">
        <f>IFERROR(SUM(Y146:Y146),"0")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589" t="s">
        <v>77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63"/>
      <c r="AB149" s="63"/>
      <c r="AC149" s="63"/>
    </row>
    <row r="150" spans="1:68" ht="27" hidden="1" customHeight="1" x14ac:dyDescent="0.25">
      <c r="A150" s="60" t="s">
        <v>273</v>
      </c>
      <c r="B150" s="60" t="s">
        <v>274</v>
      </c>
      <c r="C150" s="34">
        <v>4301031496</v>
      </c>
      <c r="D150" s="590">
        <v>4680115887428</v>
      </c>
      <c r="E150" s="590"/>
      <c r="F150" s="59">
        <v>0.7</v>
      </c>
      <c r="G150" s="35">
        <v>5</v>
      </c>
      <c r="H150" s="59">
        <v>3.5</v>
      </c>
      <c r="I150" s="59">
        <v>3.69</v>
      </c>
      <c r="J150" s="35">
        <v>132</v>
      </c>
      <c r="K150" s="35" t="s">
        <v>140</v>
      </c>
      <c r="L150" s="35" t="s">
        <v>46</v>
      </c>
      <c r="M150" s="36" t="s">
        <v>81</v>
      </c>
      <c r="N150" s="36"/>
      <c r="O150" s="35">
        <v>40</v>
      </c>
      <c r="P150" s="78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0" s="592"/>
      <c r="R150" s="592"/>
      <c r="S150" s="592"/>
      <c r="T150" s="59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9" si="21">IFERROR(IF(X150="",0,CEILING((X150/$H150),1)*$H150),"")</f>
        <v>0</v>
      </c>
      <c r="Z150" s="39" t="str">
        <f>IFERROR(IF(Y150=0,"",ROUNDUP(Y150/H150,0)*0.00902),"")</f>
        <v/>
      </c>
      <c r="AA150" s="65" t="s">
        <v>46</v>
      </c>
      <c r="AB150" s="66" t="s">
        <v>46</v>
      </c>
      <c r="AC150" s="211" t="s">
        <v>275</v>
      </c>
      <c r="AG150" s="75"/>
      <c r="AJ150" s="79" t="s">
        <v>46</v>
      </c>
      <c r="AK150" s="79">
        <v>0</v>
      </c>
      <c r="BB150" s="212" t="s">
        <v>67</v>
      </c>
      <c r="BM150" s="75">
        <f t="shared" ref="BM150:BM159" si="22">IFERROR(X150*I150/H150,"0")</f>
        <v>0</v>
      </c>
      <c r="BN150" s="75">
        <f t="shared" ref="BN150:BN159" si="23">IFERROR(Y150*I150/H150,"0")</f>
        <v>0</v>
      </c>
      <c r="BO150" s="75">
        <f t="shared" ref="BO150:BO159" si="24">IFERROR(1/J150*(X150/H150),"0")</f>
        <v>0</v>
      </c>
      <c r="BP150" s="75">
        <f t="shared" ref="BP150:BP159" si="25">IFERROR(1/J150*(Y150/H150),"0")</f>
        <v>0</v>
      </c>
    </row>
    <row r="151" spans="1:68" ht="27" hidden="1" customHeight="1" x14ac:dyDescent="0.25">
      <c r="A151" s="60" t="s">
        <v>276</v>
      </c>
      <c r="B151" s="60" t="s">
        <v>277</v>
      </c>
      <c r="C151" s="34">
        <v>4301030963</v>
      </c>
      <c r="D151" s="590">
        <v>4607091382426</v>
      </c>
      <c r="E151" s="59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133</v>
      </c>
      <c r="L151" s="35" t="s">
        <v>46</v>
      </c>
      <c r="M151" s="36" t="s">
        <v>81</v>
      </c>
      <c r="N151" s="36"/>
      <c r="O151" s="35">
        <v>40</v>
      </c>
      <c r="P151" s="7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92"/>
      <c r="R151" s="592"/>
      <c r="S151" s="592"/>
      <c r="T151" s="59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21"/>
        <v>0</v>
      </c>
      <c r="Z151" s="39" t="str">
        <f>IFERROR(IF(Y151=0,"",ROUNDUP(Y151/H151,0)*0.01898),"")</f>
        <v/>
      </c>
      <c r="AA151" s="65" t="s">
        <v>46</v>
      </c>
      <c r="AB151" s="66" t="s">
        <v>46</v>
      </c>
      <c r="AC151" s="213" t="s">
        <v>278</v>
      </c>
      <c r="AG151" s="75"/>
      <c r="AJ151" s="79" t="s">
        <v>46</v>
      </c>
      <c r="AK151" s="79">
        <v>0</v>
      </c>
      <c r="BB151" s="214" t="s">
        <v>67</v>
      </c>
      <c r="BM151" s="75">
        <f t="shared" si="22"/>
        <v>0</v>
      </c>
      <c r="BN151" s="75">
        <f t="shared" si="23"/>
        <v>0</v>
      </c>
      <c r="BO151" s="75">
        <f t="shared" si="24"/>
        <v>0</v>
      </c>
      <c r="BP151" s="75">
        <f t="shared" si="25"/>
        <v>0</v>
      </c>
    </row>
    <row r="152" spans="1:68" ht="27" hidden="1" customHeight="1" x14ac:dyDescent="0.25">
      <c r="A152" s="60" t="s">
        <v>279</v>
      </c>
      <c r="B152" s="60" t="s">
        <v>280</v>
      </c>
      <c r="C152" s="34">
        <v>4301031498</v>
      </c>
      <c r="D152" s="590">
        <v>4680115887398</v>
      </c>
      <c r="E152" s="590"/>
      <c r="F152" s="59">
        <v>0.7</v>
      </c>
      <c r="G152" s="35">
        <v>5</v>
      </c>
      <c r="H152" s="59">
        <v>3.5</v>
      </c>
      <c r="I152" s="59">
        <v>3.69</v>
      </c>
      <c r="J152" s="35">
        <v>132</v>
      </c>
      <c r="K152" s="35" t="s">
        <v>140</v>
      </c>
      <c r="L152" s="35" t="s">
        <v>46</v>
      </c>
      <c r="M152" s="36" t="s">
        <v>81</v>
      </c>
      <c r="N152" s="36"/>
      <c r="O152" s="35">
        <v>40</v>
      </c>
      <c r="P152" s="78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92"/>
      <c r="R152" s="592"/>
      <c r="S152" s="592"/>
      <c r="T152" s="59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IFERROR(IF(Y152=0,"",ROUNDUP(Y152/H152,0)*0.00902),"")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4301031497</v>
      </c>
      <c r="D153" s="590">
        <v>4680115887336</v>
      </c>
      <c r="E153" s="590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9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3" s="592"/>
      <c r="R153" s="592"/>
      <c r="S153" s="592"/>
      <c r="T153" s="59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16.5" hidden="1" customHeight="1" x14ac:dyDescent="0.25">
      <c r="A154" s="60" t="s">
        <v>285</v>
      </c>
      <c r="B154" s="60" t="s">
        <v>286</v>
      </c>
      <c r="C154" s="34">
        <v>4301032049</v>
      </c>
      <c r="D154" s="590">
        <v>4680115887787</v>
      </c>
      <c r="E154" s="590"/>
      <c r="F154" s="59">
        <v>0.09</v>
      </c>
      <c r="G154" s="35">
        <v>10</v>
      </c>
      <c r="H154" s="59">
        <v>0.9</v>
      </c>
      <c r="I154" s="59">
        <v>1.1100000000000001</v>
      </c>
      <c r="J154" s="35">
        <v>336</v>
      </c>
      <c r="K154" s="35" t="s">
        <v>137</v>
      </c>
      <c r="L154" s="35" t="s">
        <v>46</v>
      </c>
      <c r="M154" s="36" t="s">
        <v>81</v>
      </c>
      <c r="N154" s="36"/>
      <c r="O154" s="35">
        <v>45</v>
      </c>
      <c r="P154" s="78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4" s="592"/>
      <c r="R154" s="592"/>
      <c r="S154" s="592"/>
      <c r="T154" s="59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IFERROR(IF(Y154=0,"",ROUNDUP(Y154/H154,0)*0.00417),"")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4301031448</v>
      </c>
      <c r="D155" s="590">
        <v>4680115887503</v>
      </c>
      <c r="E155" s="590"/>
      <c r="F155" s="59">
        <v>0.28000000000000003</v>
      </c>
      <c r="G155" s="35">
        <v>6</v>
      </c>
      <c r="H155" s="59">
        <v>1.68</v>
      </c>
      <c r="I155" s="59">
        <v>1.78</v>
      </c>
      <c r="J155" s="35">
        <v>234</v>
      </c>
      <c r="K155" s="35" t="s">
        <v>82</v>
      </c>
      <c r="L155" s="35" t="s">
        <v>46</v>
      </c>
      <c r="M155" s="36" t="s">
        <v>81</v>
      </c>
      <c r="N155" s="36"/>
      <c r="O155" s="35">
        <v>40</v>
      </c>
      <c r="P155" s="78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5" s="592"/>
      <c r="R155" s="592"/>
      <c r="S155" s="592"/>
      <c r="T155" s="59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IFERROR(IF(Y155=0,"",ROUNDUP(Y155/H155,0)*0.00502),"")</f>
        <v/>
      </c>
      <c r="AA155" s="65" t="s">
        <v>46</v>
      </c>
      <c r="AB155" s="66" t="s">
        <v>46</v>
      </c>
      <c r="AC155" s="221" t="s">
        <v>275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290</v>
      </c>
      <c r="B156" s="60" t="s">
        <v>291</v>
      </c>
      <c r="C156" s="34">
        <v>4301031389</v>
      </c>
      <c r="D156" s="590">
        <v>4680115887763</v>
      </c>
      <c r="E156" s="590"/>
      <c r="F156" s="59">
        <v>0.09</v>
      </c>
      <c r="G156" s="35">
        <v>10</v>
      </c>
      <c r="H156" s="59">
        <v>0.9</v>
      </c>
      <c r="I156" s="59">
        <v>1.1100000000000001</v>
      </c>
      <c r="J156" s="35">
        <v>336</v>
      </c>
      <c r="K156" s="35" t="s">
        <v>137</v>
      </c>
      <c r="L156" s="35" t="s">
        <v>46</v>
      </c>
      <c r="M156" s="36" t="s">
        <v>81</v>
      </c>
      <c r="N156" s="36"/>
      <c r="O156" s="35">
        <v>45</v>
      </c>
      <c r="P156" s="78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6" s="592"/>
      <c r="R156" s="592"/>
      <c r="S156" s="592"/>
      <c r="T156" s="59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IFERROR(IF(Y156=0,"",ROUNDUP(Y156/H156,0)*0.00417),"")</f>
        <v/>
      </c>
      <c r="AA156" s="65" t="s">
        <v>46</v>
      </c>
      <c r="AB156" s="66" t="s">
        <v>46</v>
      </c>
      <c r="AC156" s="223" t="s">
        <v>292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293</v>
      </c>
      <c r="B157" s="60" t="s">
        <v>294</v>
      </c>
      <c r="C157" s="34">
        <v>4301031454</v>
      </c>
      <c r="D157" s="590">
        <v>4680115887480</v>
      </c>
      <c r="E157" s="590"/>
      <c r="F157" s="59">
        <v>0.28000000000000003</v>
      </c>
      <c r="G157" s="35">
        <v>6</v>
      </c>
      <c r="H157" s="59">
        <v>1.68</v>
      </c>
      <c r="I157" s="59">
        <v>1.78</v>
      </c>
      <c r="J157" s="35">
        <v>234</v>
      </c>
      <c r="K157" s="35" t="s">
        <v>82</v>
      </c>
      <c r="L157" s="35" t="s">
        <v>46</v>
      </c>
      <c r="M157" s="36" t="s">
        <v>81</v>
      </c>
      <c r="N157" s="36"/>
      <c r="O157" s="35">
        <v>40</v>
      </c>
      <c r="P157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7" s="592"/>
      <c r="R157" s="592"/>
      <c r="S157" s="592"/>
      <c r="T157" s="59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IFERROR(IF(Y157=0,"",ROUNDUP(Y157/H157,0)*0.00502),"")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295</v>
      </c>
      <c r="B158" s="60" t="s">
        <v>296</v>
      </c>
      <c r="C158" s="34">
        <v>4301031434</v>
      </c>
      <c r="D158" s="590">
        <v>4680115888067</v>
      </c>
      <c r="E158" s="590"/>
      <c r="F158" s="59">
        <v>0.09</v>
      </c>
      <c r="G158" s="35">
        <v>10</v>
      </c>
      <c r="H158" s="59">
        <v>0.9</v>
      </c>
      <c r="I158" s="59">
        <v>1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58" s="592"/>
      <c r="R158" s="592"/>
      <c r="S158" s="592"/>
      <c r="T158" s="59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297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298</v>
      </c>
      <c r="B159" s="60" t="s">
        <v>299</v>
      </c>
      <c r="C159" s="34">
        <v>4301031451</v>
      </c>
      <c r="D159" s="590">
        <v>4680115887435</v>
      </c>
      <c r="E159" s="590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7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59" s="592"/>
      <c r="R159" s="592"/>
      <c r="S159" s="592"/>
      <c r="T159" s="59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284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idden="1" x14ac:dyDescent="0.2">
      <c r="A160" s="597"/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8"/>
      <c r="P160" s="594" t="s">
        <v>40</v>
      </c>
      <c r="Q160" s="595"/>
      <c r="R160" s="595"/>
      <c r="S160" s="595"/>
      <c r="T160" s="595"/>
      <c r="U160" s="595"/>
      <c r="V160" s="596"/>
      <c r="W160" s="40" t="s">
        <v>39</v>
      </c>
      <c r="X160" s="41">
        <f>IFERROR(X150/H150,"0")+IFERROR(X151/H151,"0")+IFERROR(X152/H152,"0")+IFERROR(X153/H153,"0")+IFERROR(X154/H154,"0")+IFERROR(X155/H155,"0")+IFERROR(X156/H156,"0")+IFERROR(X157/H157,"0")+IFERROR(X158/H158,"0")+IFERROR(X159/H159,"0")</f>
        <v>0</v>
      </c>
      <c r="Y160" s="41">
        <f>IFERROR(Y150/H150,"0")+IFERROR(Y151/H151,"0")+IFERROR(Y152/H152,"0")+IFERROR(Y153/H153,"0")+IFERROR(Y154/H154,"0")+IFERROR(Y155/H155,"0")+IFERROR(Y156/H156,"0")+IFERROR(Y157/H157,"0")+IFERROR(Y158/H158,"0")+IFERROR(Y159/H159,"0")</f>
        <v>0</v>
      </c>
      <c r="Z160" s="41">
        <f>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hidden="1" x14ac:dyDescent="0.2">
      <c r="A161" s="597"/>
      <c r="B161" s="597"/>
      <c r="C161" s="597"/>
      <c r="D161" s="597"/>
      <c r="E161" s="597"/>
      <c r="F161" s="597"/>
      <c r="G161" s="597"/>
      <c r="H161" s="597"/>
      <c r="I161" s="597"/>
      <c r="J161" s="597"/>
      <c r="K161" s="597"/>
      <c r="L161" s="597"/>
      <c r="M161" s="597"/>
      <c r="N161" s="597"/>
      <c r="O161" s="598"/>
      <c r="P161" s="594" t="s">
        <v>40</v>
      </c>
      <c r="Q161" s="595"/>
      <c r="R161" s="595"/>
      <c r="S161" s="595"/>
      <c r="T161" s="595"/>
      <c r="U161" s="595"/>
      <c r="V161" s="596"/>
      <c r="W161" s="40" t="s">
        <v>0</v>
      </c>
      <c r="X161" s="41">
        <f>IFERROR(SUM(X150:X159),"0")</f>
        <v>0</v>
      </c>
      <c r="Y161" s="41">
        <f>IFERROR(SUM(Y150:Y159),"0")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589" t="s">
        <v>86</v>
      </c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63"/>
      <c r="AB162" s="63"/>
      <c r="AC162" s="63"/>
    </row>
    <row r="163" spans="1:68" ht="16.5" hidden="1" customHeight="1" x14ac:dyDescent="0.25">
      <c r="A163" s="60" t="s">
        <v>300</v>
      </c>
      <c r="B163" s="60" t="s">
        <v>301</v>
      </c>
      <c r="C163" s="34">
        <v>4301052193</v>
      </c>
      <c r="D163" s="590">
        <v>4680115888395</v>
      </c>
      <c r="E163" s="590"/>
      <c r="F163" s="59">
        <v>0.42</v>
      </c>
      <c r="G163" s="35">
        <v>6</v>
      </c>
      <c r="H163" s="59">
        <v>2.52</v>
      </c>
      <c r="I163" s="59">
        <v>2.766</v>
      </c>
      <c r="J163" s="35">
        <v>182</v>
      </c>
      <c r="K163" s="35" t="s">
        <v>91</v>
      </c>
      <c r="L163" s="35" t="s">
        <v>46</v>
      </c>
      <c r="M163" s="36" t="s">
        <v>97</v>
      </c>
      <c r="N163" s="36"/>
      <c r="O163" s="35">
        <v>40</v>
      </c>
      <c r="P163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3" s="592"/>
      <c r="R163" s="592"/>
      <c r="S163" s="592"/>
      <c r="T163" s="593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31" t="s">
        <v>302</v>
      </c>
      <c r="AG163" s="75"/>
      <c r="AJ163" s="79" t="s">
        <v>46</v>
      </c>
      <c r="AK163" s="79">
        <v>0</v>
      </c>
      <c r="BB163" s="232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303</v>
      </c>
      <c r="B164" s="60" t="s">
        <v>304</v>
      </c>
      <c r="C164" s="34">
        <v>4301052191</v>
      </c>
      <c r="D164" s="590">
        <v>4680115888371</v>
      </c>
      <c r="E164" s="590"/>
      <c r="F164" s="59">
        <v>0.42</v>
      </c>
      <c r="G164" s="35">
        <v>6</v>
      </c>
      <c r="H164" s="59">
        <v>2.52</v>
      </c>
      <c r="I164" s="59">
        <v>2.766</v>
      </c>
      <c r="J164" s="35">
        <v>182</v>
      </c>
      <c r="K164" s="35" t="s">
        <v>91</v>
      </c>
      <c r="L164" s="35" t="s">
        <v>46</v>
      </c>
      <c r="M164" s="36" t="s">
        <v>97</v>
      </c>
      <c r="N164" s="36"/>
      <c r="O164" s="35">
        <v>40</v>
      </c>
      <c r="P164" s="78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4" s="592"/>
      <c r="R164" s="592"/>
      <c r="S164" s="592"/>
      <c r="T164" s="59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3" t="s">
        <v>305</v>
      </c>
      <c r="AG164" s="75"/>
      <c r="AJ164" s="79" t="s">
        <v>46</v>
      </c>
      <c r="AK164" s="79">
        <v>0</v>
      </c>
      <c r="BB164" s="234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306</v>
      </c>
      <c r="B165" s="60" t="s">
        <v>307</v>
      </c>
      <c r="C165" s="34">
        <v>4301052064</v>
      </c>
      <c r="D165" s="590">
        <v>4680115887459</v>
      </c>
      <c r="E165" s="590"/>
      <c r="F165" s="59">
        <v>0.3</v>
      </c>
      <c r="G165" s="35">
        <v>6</v>
      </c>
      <c r="H165" s="59">
        <v>1.8</v>
      </c>
      <c r="I165" s="59">
        <v>2.0579999999999998</v>
      </c>
      <c r="J165" s="35">
        <v>182</v>
      </c>
      <c r="K165" s="35" t="s">
        <v>91</v>
      </c>
      <c r="L165" s="35" t="s">
        <v>46</v>
      </c>
      <c r="M165" s="36" t="s">
        <v>90</v>
      </c>
      <c r="N165" s="36"/>
      <c r="O165" s="35">
        <v>45</v>
      </c>
      <c r="P165" s="7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5" s="592"/>
      <c r="R165" s="592"/>
      <c r="S165" s="592"/>
      <c r="T165" s="59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308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597"/>
      <c r="B166" s="597"/>
      <c r="C166" s="597"/>
      <c r="D166" s="597"/>
      <c r="E166" s="597"/>
      <c r="F166" s="597"/>
      <c r="G166" s="597"/>
      <c r="H166" s="597"/>
      <c r="I166" s="597"/>
      <c r="J166" s="597"/>
      <c r="K166" s="597"/>
      <c r="L166" s="597"/>
      <c r="M166" s="597"/>
      <c r="N166" s="597"/>
      <c r="O166" s="598"/>
      <c r="P166" s="594" t="s">
        <v>40</v>
      </c>
      <c r="Q166" s="595"/>
      <c r="R166" s="595"/>
      <c r="S166" s="595"/>
      <c r="T166" s="595"/>
      <c r="U166" s="595"/>
      <c r="V166" s="596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597"/>
      <c r="B167" s="597"/>
      <c r="C167" s="597"/>
      <c r="D167" s="597"/>
      <c r="E167" s="597"/>
      <c r="F167" s="597"/>
      <c r="G167" s="597"/>
      <c r="H167" s="597"/>
      <c r="I167" s="597"/>
      <c r="J167" s="597"/>
      <c r="K167" s="597"/>
      <c r="L167" s="597"/>
      <c r="M167" s="597"/>
      <c r="N167" s="597"/>
      <c r="O167" s="598"/>
      <c r="P167" s="594" t="s">
        <v>40</v>
      </c>
      <c r="Q167" s="595"/>
      <c r="R167" s="595"/>
      <c r="S167" s="595"/>
      <c r="T167" s="595"/>
      <c r="U167" s="595"/>
      <c r="V167" s="596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589" t="s">
        <v>107</v>
      </c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63"/>
      <c r="AB168" s="63"/>
      <c r="AC168" s="63"/>
    </row>
    <row r="169" spans="1:68" ht="16.5" hidden="1" customHeight="1" x14ac:dyDescent="0.25">
      <c r="A169" s="60" t="s">
        <v>309</v>
      </c>
      <c r="B169" s="60" t="s">
        <v>310</v>
      </c>
      <c r="C169" s="34">
        <v>4301032058</v>
      </c>
      <c r="D169" s="590">
        <v>4680115889026</v>
      </c>
      <c r="E169" s="590"/>
      <c r="F169" s="59">
        <v>0.06</v>
      </c>
      <c r="G169" s="35">
        <v>18</v>
      </c>
      <c r="H169" s="59">
        <v>1.08</v>
      </c>
      <c r="I169" s="59">
        <v>1.36</v>
      </c>
      <c r="J169" s="35">
        <v>216</v>
      </c>
      <c r="K169" s="35" t="s">
        <v>313</v>
      </c>
      <c r="L169" s="35" t="s">
        <v>46</v>
      </c>
      <c r="M169" s="36" t="s">
        <v>312</v>
      </c>
      <c r="N169" s="36"/>
      <c r="O169" s="35">
        <v>60</v>
      </c>
      <c r="P169" s="77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69" s="592"/>
      <c r="R169" s="592"/>
      <c r="S169" s="592"/>
      <c r="T169" s="59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IFERROR(IF(Y169=0,"",ROUNDUP(Y169/H169,0)*0.0059),"")</f>
        <v/>
      </c>
      <c r="AA169" s="65" t="s">
        <v>46</v>
      </c>
      <c r="AB169" s="66" t="s">
        <v>46</v>
      </c>
      <c r="AC169" s="237" t="s">
        <v>311</v>
      </c>
      <c r="AG169" s="75"/>
      <c r="AJ169" s="79" t="s">
        <v>46</v>
      </c>
      <c r="AK169" s="79">
        <v>0</v>
      </c>
      <c r="BB169" s="238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314</v>
      </c>
      <c r="B170" s="60" t="s">
        <v>315</v>
      </c>
      <c r="C170" s="34">
        <v>4301032057</v>
      </c>
      <c r="D170" s="590">
        <v>4680115889088</v>
      </c>
      <c r="E170" s="590"/>
      <c r="F170" s="59">
        <v>0.06</v>
      </c>
      <c r="G170" s="35">
        <v>18</v>
      </c>
      <c r="H170" s="59">
        <v>1.08</v>
      </c>
      <c r="I170" s="59">
        <v>1.36</v>
      </c>
      <c r="J170" s="35">
        <v>216</v>
      </c>
      <c r="K170" s="35" t="s">
        <v>313</v>
      </c>
      <c r="L170" s="35" t="s">
        <v>46</v>
      </c>
      <c r="M170" s="36" t="s">
        <v>312</v>
      </c>
      <c r="N170" s="36"/>
      <c r="O170" s="35">
        <v>45</v>
      </c>
      <c r="P170" s="77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0" s="592"/>
      <c r="R170" s="592"/>
      <c r="S170" s="592"/>
      <c r="T170" s="59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IFERROR(IF(Y170=0,"",ROUNDUP(Y170/H170,0)*0.0059),"")</f>
        <v/>
      </c>
      <c r="AA170" s="65" t="s">
        <v>46</v>
      </c>
      <c r="AB170" s="66" t="s">
        <v>46</v>
      </c>
      <c r="AC170" s="239" t="s">
        <v>316</v>
      </c>
      <c r="AG170" s="75"/>
      <c r="AJ170" s="79" t="s">
        <v>46</v>
      </c>
      <c r="AK170" s="79">
        <v>0</v>
      </c>
      <c r="BB170" s="240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597"/>
      <c r="B171" s="597"/>
      <c r="C171" s="597"/>
      <c r="D171" s="597"/>
      <c r="E171" s="597"/>
      <c r="F171" s="597"/>
      <c r="G171" s="597"/>
      <c r="H171" s="597"/>
      <c r="I171" s="597"/>
      <c r="J171" s="597"/>
      <c r="K171" s="597"/>
      <c r="L171" s="597"/>
      <c r="M171" s="597"/>
      <c r="N171" s="597"/>
      <c r="O171" s="598"/>
      <c r="P171" s="594" t="s">
        <v>40</v>
      </c>
      <c r="Q171" s="595"/>
      <c r="R171" s="595"/>
      <c r="S171" s="595"/>
      <c r="T171" s="595"/>
      <c r="U171" s="595"/>
      <c r="V171" s="596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597"/>
      <c r="B172" s="597"/>
      <c r="C172" s="597"/>
      <c r="D172" s="597"/>
      <c r="E172" s="597"/>
      <c r="F172" s="597"/>
      <c r="G172" s="597"/>
      <c r="H172" s="597"/>
      <c r="I172" s="597"/>
      <c r="J172" s="597"/>
      <c r="K172" s="597"/>
      <c r="L172" s="597"/>
      <c r="M172" s="597"/>
      <c r="N172" s="597"/>
      <c r="O172" s="598"/>
      <c r="P172" s="594" t="s">
        <v>40</v>
      </c>
      <c r="Q172" s="595"/>
      <c r="R172" s="595"/>
      <c r="S172" s="595"/>
      <c r="T172" s="595"/>
      <c r="U172" s="595"/>
      <c r="V172" s="596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589" t="s">
        <v>317</v>
      </c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63"/>
      <c r="AB173" s="63"/>
      <c r="AC173" s="63"/>
    </row>
    <row r="174" spans="1:68" ht="27" hidden="1" customHeight="1" x14ac:dyDescent="0.25">
      <c r="A174" s="60" t="s">
        <v>318</v>
      </c>
      <c r="B174" s="60" t="s">
        <v>319</v>
      </c>
      <c r="C174" s="34">
        <v>4301041009</v>
      </c>
      <c r="D174" s="590">
        <v>4680115889033</v>
      </c>
      <c r="E174" s="590"/>
      <c r="F174" s="59">
        <v>0.11</v>
      </c>
      <c r="G174" s="35">
        <v>15</v>
      </c>
      <c r="H174" s="59">
        <v>1.65</v>
      </c>
      <c r="I174" s="59">
        <v>1.9</v>
      </c>
      <c r="J174" s="35">
        <v>216</v>
      </c>
      <c r="K174" s="35" t="s">
        <v>313</v>
      </c>
      <c r="L174" s="35" t="s">
        <v>46</v>
      </c>
      <c r="M174" s="36" t="s">
        <v>312</v>
      </c>
      <c r="N174" s="36"/>
      <c r="O174" s="35">
        <v>60</v>
      </c>
      <c r="P174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4" s="592"/>
      <c r="R174" s="592"/>
      <c r="S174" s="592"/>
      <c r="T174" s="593"/>
      <c r="U174" s="37" t="s">
        <v>46</v>
      </c>
      <c r="V174" s="37" t="s">
        <v>46</v>
      </c>
      <c r="W174" s="38" t="s">
        <v>0</v>
      </c>
      <c r="X174" s="56">
        <v>0</v>
      </c>
      <c r="Y174" s="53">
        <f>IFERROR(IF(X174="",0,CEILING((X174/$H174),1)*$H174),"")</f>
        <v>0</v>
      </c>
      <c r="Z174" s="39" t="str">
        <f>IFERROR(IF(Y174=0,"",ROUNDUP(Y174/H174,0)*0.0059),"")</f>
        <v/>
      </c>
      <c r="AA174" s="65" t="s">
        <v>46</v>
      </c>
      <c r="AB174" s="66" t="s">
        <v>46</v>
      </c>
      <c r="AC174" s="241" t="s">
        <v>320</v>
      </c>
      <c r="AG174" s="75"/>
      <c r="AJ174" s="79" t="s">
        <v>46</v>
      </c>
      <c r="AK174" s="79">
        <v>0</v>
      </c>
      <c r="BB174" s="242" t="s">
        <v>67</v>
      </c>
      <c r="BM174" s="75">
        <f>IFERROR(X174*I174/H174,"0")</f>
        <v>0</v>
      </c>
      <c r="BN174" s="75">
        <f>IFERROR(Y174*I174/H174,"0")</f>
        <v>0</v>
      </c>
      <c r="BO174" s="75">
        <f>IFERROR(1/J174*(X174/H174),"0")</f>
        <v>0</v>
      </c>
      <c r="BP174" s="75">
        <f>IFERROR(1/J174*(Y174/H174),"0")</f>
        <v>0</v>
      </c>
    </row>
    <row r="175" spans="1:68" hidden="1" x14ac:dyDescent="0.2">
      <c r="A175" s="597"/>
      <c r="B175" s="597"/>
      <c r="C175" s="597"/>
      <c r="D175" s="597"/>
      <c r="E175" s="597"/>
      <c r="F175" s="597"/>
      <c r="G175" s="597"/>
      <c r="H175" s="597"/>
      <c r="I175" s="597"/>
      <c r="J175" s="597"/>
      <c r="K175" s="597"/>
      <c r="L175" s="597"/>
      <c r="M175" s="597"/>
      <c r="N175" s="597"/>
      <c r="O175" s="598"/>
      <c r="P175" s="594" t="s">
        <v>40</v>
      </c>
      <c r="Q175" s="595"/>
      <c r="R175" s="595"/>
      <c r="S175" s="595"/>
      <c r="T175" s="595"/>
      <c r="U175" s="595"/>
      <c r="V175" s="596"/>
      <c r="W175" s="40" t="s">
        <v>39</v>
      </c>
      <c r="X175" s="41">
        <f>IFERROR(X174/H174,"0")</f>
        <v>0</v>
      </c>
      <c r="Y175" s="41">
        <f>IFERROR(Y174/H174,"0")</f>
        <v>0</v>
      </c>
      <c r="Z175" s="41">
        <f>IFERROR(IF(Z174="",0,Z174),"0")</f>
        <v>0</v>
      </c>
      <c r="AA175" s="64"/>
      <c r="AB175" s="64"/>
      <c r="AC175" s="64"/>
    </row>
    <row r="176" spans="1:68" hidden="1" x14ac:dyDescent="0.2">
      <c r="A176" s="597"/>
      <c r="B176" s="597"/>
      <c r="C176" s="597"/>
      <c r="D176" s="597"/>
      <c r="E176" s="597"/>
      <c r="F176" s="597"/>
      <c r="G176" s="597"/>
      <c r="H176" s="597"/>
      <c r="I176" s="597"/>
      <c r="J176" s="597"/>
      <c r="K176" s="597"/>
      <c r="L176" s="597"/>
      <c r="M176" s="597"/>
      <c r="N176" s="597"/>
      <c r="O176" s="598"/>
      <c r="P176" s="594" t="s">
        <v>40</v>
      </c>
      <c r="Q176" s="595"/>
      <c r="R176" s="595"/>
      <c r="S176" s="595"/>
      <c r="T176" s="595"/>
      <c r="U176" s="595"/>
      <c r="V176" s="596"/>
      <c r="W176" s="40" t="s">
        <v>0</v>
      </c>
      <c r="X176" s="41">
        <f>IFERROR(SUM(X174:X174),"0")</f>
        <v>0</v>
      </c>
      <c r="Y176" s="41">
        <f>IFERROR(SUM(Y174:Y174),"0")</f>
        <v>0</v>
      </c>
      <c r="Z176" s="40"/>
      <c r="AA176" s="64"/>
      <c r="AB176" s="64"/>
      <c r="AC176" s="64"/>
    </row>
    <row r="177" spans="1:68" ht="27.75" hidden="1" customHeight="1" x14ac:dyDescent="0.2">
      <c r="A177" s="610" t="s">
        <v>321</v>
      </c>
      <c r="B177" s="610"/>
      <c r="C177" s="610"/>
      <c r="D177" s="610"/>
      <c r="E177" s="610"/>
      <c r="F177" s="610"/>
      <c r="G177" s="610"/>
      <c r="H177" s="610"/>
      <c r="I177" s="610"/>
      <c r="J177" s="610"/>
      <c r="K177" s="610"/>
      <c r="L177" s="610"/>
      <c r="M177" s="610"/>
      <c r="N177" s="610"/>
      <c r="O177" s="610"/>
      <c r="P177" s="610"/>
      <c r="Q177" s="610"/>
      <c r="R177" s="610"/>
      <c r="S177" s="610"/>
      <c r="T177" s="610"/>
      <c r="U177" s="610"/>
      <c r="V177" s="610"/>
      <c r="W177" s="610"/>
      <c r="X177" s="610"/>
      <c r="Y177" s="610"/>
      <c r="Z177" s="610"/>
      <c r="AA177" s="52"/>
      <c r="AB177" s="52"/>
      <c r="AC177" s="52"/>
    </row>
    <row r="178" spans="1:68" ht="16.5" hidden="1" customHeight="1" x14ac:dyDescent="0.25">
      <c r="A178" s="605" t="s">
        <v>322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2"/>
      <c r="AB178" s="62"/>
      <c r="AC178" s="62"/>
    </row>
    <row r="179" spans="1:68" ht="14.25" hidden="1" customHeight="1" x14ac:dyDescent="0.25">
      <c r="A179" s="589" t="s">
        <v>128</v>
      </c>
      <c r="B179" s="589"/>
      <c r="C179" s="589"/>
      <c r="D179" s="589"/>
      <c r="E179" s="589"/>
      <c r="F179" s="589"/>
      <c r="G179" s="589"/>
      <c r="H179" s="589"/>
      <c r="I179" s="589"/>
      <c r="J179" s="589"/>
      <c r="K179" s="589"/>
      <c r="L179" s="589"/>
      <c r="M179" s="589"/>
      <c r="N179" s="589"/>
      <c r="O179" s="589"/>
      <c r="P179" s="589"/>
      <c r="Q179" s="589"/>
      <c r="R179" s="589"/>
      <c r="S179" s="589"/>
      <c r="T179" s="589"/>
      <c r="U179" s="589"/>
      <c r="V179" s="589"/>
      <c r="W179" s="589"/>
      <c r="X179" s="589"/>
      <c r="Y179" s="589"/>
      <c r="Z179" s="589"/>
      <c r="AA179" s="63"/>
      <c r="AB179" s="63"/>
      <c r="AC179" s="63"/>
    </row>
    <row r="180" spans="1:68" ht="27" hidden="1" customHeight="1" x14ac:dyDescent="0.25">
      <c r="A180" s="60" t="s">
        <v>323</v>
      </c>
      <c r="B180" s="60" t="s">
        <v>324</v>
      </c>
      <c r="C180" s="34">
        <v>4301011223</v>
      </c>
      <c r="D180" s="590">
        <v>4607091383423</v>
      </c>
      <c r="E180" s="590"/>
      <c r="F180" s="59">
        <v>1.35</v>
      </c>
      <c r="G180" s="35">
        <v>8</v>
      </c>
      <c r="H180" s="59">
        <v>10.8</v>
      </c>
      <c r="I180" s="59">
        <v>11.305999999999999</v>
      </c>
      <c r="J180" s="35">
        <v>64</v>
      </c>
      <c r="K180" s="35" t="s">
        <v>133</v>
      </c>
      <c r="L180" s="35" t="s">
        <v>46</v>
      </c>
      <c r="M180" s="36" t="s">
        <v>90</v>
      </c>
      <c r="N180" s="36"/>
      <c r="O180" s="35">
        <v>35</v>
      </c>
      <c r="P180" s="77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0" s="592"/>
      <c r="R180" s="592"/>
      <c r="S180" s="592"/>
      <c r="T180" s="593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IFERROR(IF(Y180=0,"",ROUNDUP(Y180/H180,0)*0.01898),"")</f>
        <v/>
      </c>
      <c r="AA180" s="65" t="s">
        <v>46</v>
      </c>
      <c r="AB180" s="66" t="s">
        <v>46</v>
      </c>
      <c r="AC180" s="243" t="s">
        <v>131</v>
      </c>
      <c r="AG180" s="75"/>
      <c r="AJ180" s="79" t="s">
        <v>46</v>
      </c>
      <c r="AK180" s="79">
        <v>0</v>
      </c>
      <c r="BB180" s="244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37.5" hidden="1" customHeight="1" x14ac:dyDescent="0.25">
      <c r="A181" s="60" t="s">
        <v>325</v>
      </c>
      <c r="B181" s="60" t="s">
        <v>326</v>
      </c>
      <c r="C181" s="34">
        <v>4301012199</v>
      </c>
      <c r="D181" s="590">
        <v>4680115886957</v>
      </c>
      <c r="E181" s="590"/>
      <c r="F181" s="59">
        <v>1.35</v>
      </c>
      <c r="G181" s="35">
        <v>8</v>
      </c>
      <c r="H181" s="59">
        <v>10.8</v>
      </c>
      <c r="I181" s="59">
        <v>11.21</v>
      </c>
      <c r="J181" s="35">
        <v>64</v>
      </c>
      <c r="K181" s="35" t="s">
        <v>133</v>
      </c>
      <c r="L181" s="35" t="s">
        <v>46</v>
      </c>
      <c r="M181" s="36" t="s">
        <v>90</v>
      </c>
      <c r="N181" s="36"/>
      <c r="O181" s="35">
        <v>30</v>
      </c>
      <c r="P181" s="77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1" s="592"/>
      <c r="R181" s="592"/>
      <c r="S181" s="592"/>
      <c r="T181" s="593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IFERROR(IF(Y181=0,"",ROUNDUP(Y181/H181,0)*0.01898),"")</f>
        <v/>
      </c>
      <c r="AA181" s="65" t="s">
        <v>46</v>
      </c>
      <c r="AB181" s="66" t="s">
        <v>46</v>
      </c>
      <c r="AC181" s="245" t="s">
        <v>327</v>
      </c>
      <c r="AG181" s="75"/>
      <c r="AJ181" s="79" t="s">
        <v>46</v>
      </c>
      <c r="AK181" s="79">
        <v>0</v>
      </c>
      <c r="BB181" s="246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27" hidden="1" customHeight="1" x14ac:dyDescent="0.25">
      <c r="A182" s="60" t="s">
        <v>328</v>
      </c>
      <c r="B182" s="60" t="s">
        <v>329</v>
      </c>
      <c r="C182" s="34">
        <v>4301012098</v>
      </c>
      <c r="D182" s="590">
        <v>4680115885660</v>
      </c>
      <c r="E182" s="590"/>
      <c r="F182" s="59">
        <v>1.35</v>
      </c>
      <c r="G182" s="35">
        <v>8</v>
      </c>
      <c r="H182" s="59">
        <v>10.8</v>
      </c>
      <c r="I182" s="59">
        <v>11.21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2" s="592"/>
      <c r="R182" s="592"/>
      <c r="S182" s="592"/>
      <c r="T182" s="593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330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331</v>
      </c>
      <c r="B183" s="60" t="s">
        <v>332</v>
      </c>
      <c r="C183" s="34">
        <v>4301012176</v>
      </c>
      <c r="D183" s="590">
        <v>4680115886773</v>
      </c>
      <c r="E183" s="590"/>
      <c r="F183" s="59">
        <v>0.9</v>
      </c>
      <c r="G183" s="35">
        <v>10</v>
      </c>
      <c r="H183" s="59">
        <v>9</v>
      </c>
      <c r="I183" s="59">
        <v>9.41</v>
      </c>
      <c r="J183" s="35">
        <v>64</v>
      </c>
      <c r="K183" s="35" t="s">
        <v>133</v>
      </c>
      <c r="L183" s="35" t="s">
        <v>46</v>
      </c>
      <c r="M183" s="36" t="s">
        <v>132</v>
      </c>
      <c r="N183" s="36"/>
      <c r="O183" s="35">
        <v>31</v>
      </c>
      <c r="P183" s="77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83" s="592"/>
      <c r="R183" s="592"/>
      <c r="S183" s="592"/>
      <c r="T183" s="593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333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597"/>
      <c r="B184" s="597"/>
      <c r="C184" s="597"/>
      <c r="D184" s="597"/>
      <c r="E184" s="597"/>
      <c r="F184" s="597"/>
      <c r="G184" s="597"/>
      <c r="H184" s="597"/>
      <c r="I184" s="597"/>
      <c r="J184" s="597"/>
      <c r="K184" s="597"/>
      <c r="L184" s="597"/>
      <c r="M184" s="597"/>
      <c r="N184" s="597"/>
      <c r="O184" s="598"/>
      <c r="P184" s="594" t="s">
        <v>40</v>
      </c>
      <c r="Q184" s="595"/>
      <c r="R184" s="595"/>
      <c r="S184" s="595"/>
      <c r="T184" s="595"/>
      <c r="U184" s="595"/>
      <c r="V184" s="596"/>
      <c r="W184" s="40" t="s">
        <v>39</v>
      </c>
      <c r="X184" s="41">
        <f>IFERROR(X180/H180,"0")+IFERROR(X181/H181,"0")+IFERROR(X182/H182,"0")+IFERROR(X183/H183,"0")</f>
        <v>0</v>
      </c>
      <c r="Y184" s="41">
        <f>IFERROR(Y180/H180,"0")+IFERROR(Y181/H181,"0")+IFERROR(Y182/H182,"0")+IFERROR(Y183/H183,"0")</f>
        <v>0</v>
      </c>
      <c r="Z184" s="41">
        <f>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597"/>
      <c r="B185" s="597"/>
      <c r="C185" s="597"/>
      <c r="D185" s="597"/>
      <c r="E185" s="597"/>
      <c r="F185" s="597"/>
      <c r="G185" s="597"/>
      <c r="H185" s="597"/>
      <c r="I185" s="597"/>
      <c r="J185" s="597"/>
      <c r="K185" s="597"/>
      <c r="L185" s="597"/>
      <c r="M185" s="597"/>
      <c r="N185" s="597"/>
      <c r="O185" s="598"/>
      <c r="P185" s="594" t="s">
        <v>40</v>
      </c>
      <c r="Q185" s="595"/>
      <c r="R185" s="595"/>
      <c r="S185" s="595"/>
      <c r="T185" s="595"/>
      <c r="U185" s="595"/>
      <c r="V185" s="596"/>
      <c r="W185" s="40" t="s">
        <v>0</v>
      </c>
      <c r="X185" s="41">
        <f>IFERROR(SUM(X180:X183),"0")</f>
        <v>0</v>
      </c>
      <c r="Y185" s="41">
        <f>IFERROR(SUM(Y180:Y183),"0")</f>
        <v>0</v>
      </c>
      <c r="Z185" s="40"/>
      <c r="AA185" s="64"/>
      <c r="AB185" s="64"/>
      <c r="AC185" s="64"/>
    </row>
    <row r="186" spans="1:68" ht="16.5" hidden="1" customHeight="1" x14ac:dyDescent="0.25">
      <c r="A186" s="605" t="s">
        <v>334</v>
      </c>
      <c r="B186" s="605"/>
      <c r="C186" s="605"/>
      <c r="D186" s="605"/>
      <c r="E186" s="605"/>
      <c r="F186" s="605"/>
      <c r="G186" s="605"/>
      <c r="H186" s="605"/>
      <c r="I186" s="605"/>
      <c r="J186" s="605"/>
      <c r="K186" s="605"/>
      <c r="L186" s="605"/>
      <c r="M186" s="605"/>
      <c r="N186" s="605"/>
      <c r="O186" s="605"/>
      <c r="P186" s="605"/>
      <c r="Q186" s="605"/>
      <c r="R186" s="605"/>
      <c r="S186" s="605"/>
      <c r="T186" s="605"/>
      <c r="U186" s="605"/>
      <c r="V186" s="605"/>
      <c r="W186" s="605"/>
      <c r="X186" s="605"/>
      <c r="Y186" s="605"/>
      <c r="Z186" s="605"/>
      <c r="AA186" s="62"/>
      <c r="AB186" s="62"/>
      <c r="AC186" s="62"/>
    </row>
    <row r="187" spans="1:68" ht="14.25" hidden="1" customHeight="1" x14ac:dyDescent="0.25">
      <c r="A187" s="589" t="s">
        <v>163</v>
      </c>
      <c r="B187" s="589"/>
      <c r="C187" s="589"/>
      <c r="D187" s="589"/>
      <c r="E187" s="589"/>
      <c r="F187" s="589"/>
      <c r="G187" s="589"/>
      <c r="H187" s="589"/>
      <c r="I187" s="589"/>
      <c r="J187" s="589"/>
      <c r="K187" s="589"/>
      <c r="L187" s="589"/>
      <c r="M187" s="589"/>
      <c r="N187" s="589"/>
      <c r="O187" s="589"/>
      <c r="P187" s="589"/>
      <c r="Q187" s="589"/>
      <c r="R187" s="589"/>
      <c r="S187" s="589"/>
      <c r="T187" s="589"/>
      <c r="U187" s="589"/>
      <c r="V187" s="589"/>
      <c r="W187" s="589"/>
      <c r="X187" s="589"/>
      <c r="Y187" s="589"/>
      <c r="Z187" s="589"/>
      <c r="AA187" s="63"/>
      <c r="AB187" s="63"/>
      <c r="AC187" s="63"/>
    </row>
    <row r="188" spans="1:68" ht="27" hidden="1" customHeight="1" x14ac:dyDescent="0.25">
      <c r="A188" s="60" t="s">
        <v>335</v>
      </c>
      <c r="B188" s="60" t="s">
        <v>336</v>
      </c>
      <c r="C188" s="34">
        <v>4301020323</v>
      </c>
      <c r="D188" s="590">
        <v>4680115886223</v>
      </c>
      <c r="E188" s="590"/>
      <c r="F188" s="59">
        <v>0.33</v>
      </c>
      <c r="G188" s="35">
        <v>6</v>
      </c>
      <c r="H188" s="59">
        <v>1.98</v>
      </c>
      <c r="I188" s="59">
        <v>2.08</v>
      </c>
      <c r="J188" s="35">
        <v>234</v>
      </c>
      <c r="K188" s="35" t="s">
        <v>82</v>
      </c>
      <c r="L188" s="35" t="s">
        <v>46</v>
      </c>
      <c r="M188" s="36" t="s">
        <v>81</v>
      </c>
      <c r="N188" s="36"/>
      <c r="O188" s="35">
        <v>40</v>
      </c>
      <c r="P188" s="7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8" s="592"/>
      <c r="R188" s="592"/>
      <c r="S188" s="592"/>
      <c r="T188" s="593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IFERROR(IF(Y188=0,"",ROUNDUP(Y188/H188,0)*0.00502),"")</f>
        <v/>
      </c>
      <c r="AA188" s="65" t="s">
        <v>46</v>
      </c>
      <c r="AB188" s="66" t="s">
        <v>46</v>
      </c>
      <c r="AC188" s="251" t="s">
        <v>337</v>
      </c>
      <c r="AG188" s="75"/>
      <c r="AJ188" s="79" t="s">
        <v>46</v>
      </c>
      <c r="AK188" s="79">
        <v>0</v>
      </c>
      <c r="BB188" s="25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597"/>
      <c r="B189" s="597"/>
      <c r="C189" s="597"/>
      <c r="D189" s="597"/>
      <c r="E189" s="597"/>
      <c r="F189" s="597"/>
      <c r="G189" s="597"/>
      <c r="H189" s="597"/>
      <c r="I189" s="597"/>
      <c r="J189" s="597"/>
      <c r="K189" s="597"/>
      <c r="L189" s="597"/>
      <c r="M189" s="597"/>
      <c r="N189" s="597"/>
      <c r="O189" s="598"/>
      <c r="P189" s="594" t="s">
        <v>40</v>
      </c>
      <c r="Q189" s="595"/>
      <c r="R189" s="595"/>
      <c r="S189" s="595"/>
      <c r="T189" s="595"/>
      <c r="U189" s="595"/>
      <c r="V189" s="596"/>
      <c r="W189" s="40" t="s">
        <v>39</v>
      </c>
      <c r="X189" s="41">
        <f>IFERROR(X188/H188,"0")</f>
        <v>0</v>
      </c>
      <c r="Y189" s="41">
        <f>IFERROR(Y188/H188,"0")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597"/>
      <c r="B190" s="597"/>
      <c r="C190" s="597"/>
      <c r="D190" s="597"/>
      <c r="E190" s="597"/>
      <c r="F190" s="597"/>
      <c r="G190" s="597"/>
      <c r="H190" s="597"/>
      <c r="I190" s="597"/>
      <c r="J190" s="597"/>
      <c r="K190" s="597"/>
      <c r="L190" s="597"/>
      <c r="M190" s="597"/>
      <c r="N190" s="597"/>
      <c r="O190" s="598"/>
      <c r="P190" s="594" t="s">
        <v>40</v>
      </c>
      <c r="Q190" s="595"/>
      <c r="R190" s="595"/>
      <c r="S190" s="595"/>
      <c r="T190" s="595"/>
      <c r="U190" s="595"/>
      <c r="V190" s="596"/>
      <c r="W190" s="40" t="s">
        <v>0</v>
      </c>
      <c r="X190" s="41">
        <f>IFERROR(SUM(X188:X188),"0")</f>
        <v>0</v>
      </c>
      <c r="Y190" s="41">
        <f>IFERROR(SUM(Y188:Y188),"0")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589" t="s">
        <v>77</v>
      </c>
      <c r="B191" s="589"/>
      <c r="C191" s="589"/>
      <c r="D191" s="589"/>
      <c r="E191" s="589"/>
      <c r="F191" s="589"/>
      <c r="G191" s="589"/>
      <c r="H191" s="589"/>
      <c r="I191" s="589"/>
      <c r="J191" s="589"/>
      <c r="K191" s="589"/>
      <c r="L191" s="589"/>
      <c r="M191" s="589"/>
      <c r="N191" s="589"/>
      <c r="O191" s="589"/>
      <c r="P191" s="589"/>
      <c r="Q191" s="589"/>
      <c r="R191" s="589"/>
      <c r="S191" s="589"/>
      <c r="T191" s="589"/>
      <c r="U191" s="589"/>
      <c r="V191" s="589"/>
      <c r="W191" s="589"/>
      <c r="X191" s="589"/>
      <c r="Y191" s="589"/>
      <c r="Z191" s="589"/>
      <c r="AA191" s="63"/>
      <c r="AB191" s="63"/>
      <c r="AC191" s="63"/>
    </row>
    <row r="192" spans="1:68" ht="27" hidden="1" customHeight="1" x14ac:dyDescent="0.25">
      <c r="A192" s="60" t="s">
        <v>338</v>
      </c>
      <c r="B192" s="60" t="s">
        <v>339</v>
      </c>
      <c r="C192" s="34">
        <v>4301031191</v>
      </c>
      <c r="D192" s="590">
        <v>4680115880993</v>
      </c>
      <c r="E192" s="590"/>
      <c r="F192" s="59">
        <v>0.7</v>
      </c>
      <c r="G192" s="35">
        <v>6</v>
      </c>
      <c r="H192" s="59">
        <v>4.2</v>
      </c>
      <c r="I192" s="59">
        <v>4.45</v>
      </c>
      <c r="J192" s="35">
        <v>132</v>
      </c>
      <c r="K192" s="35" t="s">
        <v>140</v>
      </c>
      <c r="L192" s="35" t="s">
        <v>46</v>
      </c>
      <c r="M192" s="36" t="s">
        <v>81</v>
      </c>
      <c r="N192" s="36"/>
      <c r="O192" s="35">
        <v>40</v>
      </c>
      <c r="P192" s="7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2" s="592"/>
      <c r="R192" s="592"/>
      <c r="S192" s="592"/>
      <c r="T192" s="593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ref="Y192:Y205" si="26">IFERROR(IF(X192="",0,CEILING((X192/$H192),1)*$H192),"")</f>
        <v>0</v>
      </c>
      <c r="Z192" s="39" t="str">
        <f>IFERROR(IF(Y192=0,"",ROUNDUP(Y192/H192,0)*0.00902),"")</f>
        <v/>
      </c>
      <c r="AA192" s="65" t="s">
        <v>46</v>
      </c>
      <c r="AB192" s="66" t="s">
        <v>46</v>
      </c>
      <c r="AC192" s="253" t="s">
        <v>340</v>
      </c>
      <c r="AG192" s="75"/>
      <c r="AJ192" s="79" t="s">
        <v>46</v>
      </c>
      <c r="AK192" s="79">
        <v>0</v>
      </c>
      <c r="BB192" s="254" t="s">
        <v>67</v>
      </c>
      <c r="BM192" s="75">
        <f t="shared" ref="BM192:BM205" si="27">IFERROR(X192*I192/H192,"0")</f>
        <v>0</v>
      </c>
      <c r="BN192" s="75">
        <f t="shared" ref="BN192:BN205" si="28">IFERROR(Y192*I192/H192,"0")</f>
        <v>0</v>
      </c>
      <c r="BO192" s="75">
        <f t="shared" ref="BO192:BO205" si="29">IFERROR(1/J192*(X192/H192),"0")</f>
        <v>0</v>
      </c>
      <c r="BP192" s="75">
        <f t="shared" ref="BP192:BP205" si="30">IFERROR(1/J192*(Y192/H192),"0")</f>
        <v>0</v>
      </c>
    </row>
    <row r="193" spans="1:68" ht="27" hidden="1" customHeight="1" x14ac:dyDescent="0.25">
      <c r="A193" s="60" t="s">
        <v>341</v>
      </c>
      <c r="B193" s="60" t="s">
        <v>342</v>
      </c>
      <c r="C193" s="34">
        <v>4301031204</v>
      </c>
      <c r="D193" s="590">
        <v>4680115881761</v>
      </c>
      <c r="E193" s="590"/>
      <c r="F193" s="59">
        <v>0.7</v>
      </c>
      <c r="G193" s="35">
        <v>6</v>
      </c>
      <c r="H193" s="59">
        <v>4.2</v>
      </c>
      <c r="I193" s="59">
        <v>4.45</v>
      </c>
      <c r="J193" s="35">
        <v>132</v>
      </c>
      <c r="K193" s="35" t="s">
        <v>140</v>
      </c>
      <c r="L193" s="35" t="s">
        <v>46</v>
      </c>
      <c r="M193" s="36" t="s">
        <v>81</v>
      </c>
      <c r="N193" s="36"/>
      <c r="O193" s="35">
        <v>40</v>
      </c>
      <c r="P193" s="7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3" s="592"/>
      <c r="R193" s="592"/>
      <c r="S193" s="592"/>
      <c r="T193" s="593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6"/>
        <v>0</v>
      </c>
      <c r="Z193" s="39" t="str">
        <f>IFERROR(IF(Y193=0,"",ROUNDUP(Y193/H193,0)*0.00902),"")</f>
        <v/>
      </c>
      <c r="AA193" s="65" t="s">
        <v>46</v>
      </c>
      <c r="AB193" s="66" t="s">
        <v>46</v>
      </c>
      <c r="AC193" s="255" t="s">
        <v>343</v>
      </c>
      <c r="AG193" s="75"/>
      <c r="AJ193" s="79" t="s">
        <v>46</v>
      </c>
      <c r="AK193" s="79">
        <v>0</v>
      </c>
      <c r="BB193" s="256" t="s">
        <v>67</v>
      </c>
      <c r="BM193" s="75">
        <f t="shared" si="27"/>
        <v>0</v>
      </c>
      <c r="BN193" s="75">
        <f t="shared" si="28"/>
        <v>0</v>
      </c>
      <c r="BO193" s="75">
        <f t="shared" si="29"/>
        <v>0</v>
      </c>
      <c r="BP193" s="75">
        <f t="shared" si="30"/>
        <v>0</v>
      </c>
    </row>
    <row r="194" spans="1:68" ht="27" hidden="1" customHeight="1" x14ac:dyDescent="0.25">
      <c r="A194" s="60" t="s">
        <v>344</v>
      </c>
      <c r="B194" s="60" t="s">
        <v>345</v>
      </c>
      <c r="C194" s="34">
        <v>4301031201</v>
      </c>
      <c r="D194" s="590">
        <v>4680115881563</v>
      </c>
      <c r="E194" s="590"/>
      <c r="F194" s="59">
        <v>0.7</v>
      </c>
      <c r="G194" s="35">
        <v>6</v>
      </c>
      <c r="H194" s="59">
        <v>4.2</v>
      </c>
      <c r="I194" s="59">
        <v>4.3899999999999997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6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4" s="592"/>
      <c r="R194" s="592"/>
      <c r="S194" s="592"/>
      <c r="T194" s="593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6"/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346</v>
      </c>
      <c r="AG194" s="75"/>
      <c r="AJ194" s="79" t="s">
        <v>46</v>
      </c>
      <c r="AK194" s="79">
        <v>0</v>
      </c>
      <c r="BB194" s="258" t="s">
        <v>67</v>
      </c>
      <c r="BM194" s="75">
        <f t="shared" si="27"/>
        <v>0</v>
      </c>
      <c r="BN194" s="75">
        <f t="shared" si="28"/>
        <v>0</v>
      </c>
      <c r="BO194" s="75">
        <f t="shared" si="29"/>
        <v>0</v>
      </c>
      <c r="BP194" s="75">
        <f t="shared" si="30"/>
        <v>0</v>
      </c>
    </row>
    <row r="195" spans="1:68" ht="37.5" hidden="1" customHeight="1" x14ac:dyDescent="0.25">
      <c r="A195" s="60" t="s">
        <v>347</v>
      </c>
      <c r="B195" s="60" t="s">
        <v>348</v>
      </c>
      <c r="C195" s="34">
        <v>4301031447</v>
      </c>
      <c r="D195" s="590">
        <v>4680115887565</v>
      </c>
      <c r="E195" s="590"/>
      <c r="F195" s="59">
        <v>0.08</v>
      </c>
      <c r="G195" s="35">
        <v>10</v>
      </c>
      <c r="H195" s="59">
        <v>0.8</v>
      </c>
      <c r="I195" s="59">
        <v>0.93</v>
      </c>
      <c r="J195" s="35">
        <v>252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76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5" s="592"/>
      <c r="R195" s="592"/>
      <c r="S195" s="592"/>
      <c r="T195" s="593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IFERROR(IF(Y195=0,"",ROUNDUP(Y195/H195,0)*0.00556),"")</f>
        <v/>
      </c>
      <c r="AA195" s="65" t="s">
        <v>46</v>
      </c>
      <c r="AB195" s="66" t="s">
        <v>46</v>
      </c>
      <c r="AC195" s="259" t="s">
        <v>349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customHeight="1" x14ac:dyDescent="0.25">
      <c r="A196" s="60" t="s">
        <v>350</v>
      </c>
      <c r="B196" s="60" t="s">
        <v>351</v>
      </c>
      <c r="C196" s="34">
        <v>4301031199</v>
      </c>
      <c r="D196" s="590">
        <v>4680115880986</v>
      </c>
      <c r="E196" s="590"/>
      <c r="F196" s="59">
        <v>0.35</v>
      </c>
      <c r="G196" s="35">
        <v>6</v>
      </c>
      <c r="H196" s="59">
        <v>2.1</v>
      </c>
      <c r="I196" s="59">
        <v>2.23</v>
      </c>
      <c r="J196" s="35">
        <v>234</v>
      </c>
      <c r="K196" s="35" t="s">
        <v>82</v>
      </c>
      <c r="L196" s="35" t="s">
        <v>46</v>
      </c>
      <c r="M196" s="36" t="s">
        <v>81</v>
      </c>
      <c r="N196" s="36"/>
      <c r="O196" s="35">
        <v>40</v>
      </c>
      <c r="P196" s="76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6" s="592"/>
      <c r="R196" s="592"/>
      <c r="S196" s="592"/>
      <c r="T196" s="593"/>
      <c r="U196" s="37" t="s">
        <v>46</v>
      </c>
      <c r="V196" s="37" t="s">
        <v>46</v>
      </c>
      <c r="W196" s="38" t="s">
        <v>0</v>
      </c>
      <c r="X196" s="56">
        <v>4.2</v>
      </c>
      <c r="Y196" s="53">
        <f t="shared" si="26"/>
        <v>4.2</v>
      </c>
      <c r="Z196" s="39">
        <f t="shared" ref="Z196:Z201" si="31">IFERROR(IF(Y196=0,"",ROUNDUP(Y196/H196,0)*0.00502),"")</f>
        <v>1.004E-2</v>
      </c>
      <c r="AA196" s="65" t="s">
        <v>46</v>
      </c>
      <c r="AB196" s="66" t="s">
        <v>46</v>
      </c>
      <c r="AC196" s="261" t="s">
        <v>340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4.46</v>
      </c>
      <c r="BN196" s="75">
        <f t="shared" si="28"/>
        <v>4.46</v>
      </c>
      <c r="BO196" s="75">
        <f t="shared" si="29"/>
        <v>8.5470085470085479E-3</v>
      </c>
      <c r="BP196" s="75">
        <f t="shared" si="30"/>
        <v>8.5470085470085479E-3</v>
      </c>
    </row>
    <row r="197" spans="1:68" ht="27" hidden="1" customHeight="1" x14ac:dyDescent="0.25">
      <c r="A197" s="60" t="s">
        <v>352</v>
      </c>
      <c r="B197" s="60" t="s">
        <v>353</v>
      </c>
      <c r="C197" s="34">
        <v>4301031443</v>
      </c>
      <c r="D197" s="590">
        <v>4680115887213</v>
      </c>
      <c r="E197" s="590"/>
      <c r="F197" s="59">
        <v>0.3</v>
      </c>
      <c r="G197" s="35">
        <v>6</v>
      </c>
      <c r="H197" s="59">
        <v>1.8</v>
      </c>
      <c r="I197" s="59">
        <v>1.9</v>
      </c>
      <c r="J197" s="35">
        <v>234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7" s="592"/>
      <c r="R197" s="592"/>
      <c r="S197" s="592"/>
      <c r="T197" s="593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 t="shared" si="31"/>
        <v/>
      </c>
      <c r="AA197" s="65" t="s">
        <v>46</v>
      </c>
      <c r="AB197" s="66" t="s">
        <v>46</v>
      </c>
      <c r="AC197" s="263" t="s">
        <v>354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hidden="1" customHeight="1" x14ac:dyDescent="0.25">
      <c r="A198" s="60" t="s">
        <v>355</v>
      </c>
      <c r="B198" s="60" t="s">
        <v>356</v>
      </c>
      <c r="C198" s="34">
        <v>4301031205</v>
      </c>
      <c r="D198" s="590">
        <v>4680115881785</v>
      </c>
      <c r="E198" s="590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6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8" s="592"/>
      <c r="R198" s="592"/>
      <c r="S198" s="592"/>
      <c r="T198" s="593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 t="shared" si="31"/>
        <v/>
      </c>
      <c r="AA198" s="65" t="s">
        <v>46</v>
      </c>
      <c r="AB198" s="66" t="s">
        <v>46</v>
      </c>
      <c r="AC198" s="265" t="s">
        <v>343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357</v>
      </c>
      <c r="B199" s="60" t="s">
        <v>358</v>
      </c>
      <c r="C199" s="34">
        <v>4301031499</v>
      </c>
      <c r="D199" s="590">
        <v>4680115888432</v>
      </c>
      <c r="E199" s="590"/>
      <c r="F199" s="59">
        <v>0.3</v>
      </c>
      <c r="G199" s="35">
        <v>6</v>
      </c>
      <c r="H199" s="59">
        <v>1.8</v>
      </c>
      <c r="I199" s="59">
        <v>1.93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199" s="592"/>
      <c r="R199" s="592"/>
      <c r="S199" s="592"/>
      <c r="T199" s="593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359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360</v>
      </c>
      <c r="B200" s="60" t="s">
        <v>361</v>
      </c>
      <c r="C200" s="34">
        <v>4301031427</v>
      </c>
      <c r="D200" s="590">
        <v>4680115888104</v>
      </c>
      <c r="E200" s="590"/>
      <c r="F200" s="59">
        <v>0.35</v>
      </c>
      <c r="G200" s="35">
        <v>6</v>
      </c>
      <c r="H200" s="59">
        <v>2.1</v>
      </c>
      <c r="I200" s="59">
        <v>2.2000000000000002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5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0" s="592"/>
      <c r="R200" s="592"/>
      <c r="S200" s="592"/>
      <c r="T200" s="593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362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363</v>
      </c>
      <c r="B201" s="60" t="s">
        <v>364</v>
      </c>
      <c r="C201" s="34">
        <v>4301031399</v>
      </c>
      <c r="D201" s="590">
        <v>4680115886537</v>
      </c>
      <c r="E201" s="590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1" s="592"/>
      <c r="R201" s="592"/>
      <c r="S201" s="592"/>
      <c r="T201" s="593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365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366</v>
      </c>
      <c r="B202" s="60" t="s">
        <v>367</v>
      </c>
      <c r="C202" s="34">
        <v>4301031279</v>
      </c>
      <c r="D202" s="590">
        <v>4680115887596</v>
      </c>
      <c r="E202" s="590"/>
      <c r="F202" s="59">
        <v>0.08</v>
      </c>
      <c r="G202" s="35">
        <v>10</v>
      </c>
      <c r="H202" s="59">
        <v>0.8</v>
      </c>
      <c r="I202" s="59">
        <v>1.01</v>
      </c>
      <c r="J202" s="35">
        <v>336</v>
      </c>
      <c r="K202" s="35" t="s">
        <v>137</v>
      </c>
      <c r="L202" s="35" t="s">
        <v>46</v>
      </c>
      <c r="M202" s="36" t="s">
        <v>81</v>
      </c>
      <c r="N202" s="36"/>
      <c r="O202" s="35">
        <v>45</v>
      </c>
      <c r="P202" s="75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2" s="592"/>
      <c r="R202" s="592"/>
      <c r="S202" s="592"/>
      <c r="T202" s="593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IFERROR(IF(Y202=0,"",ROUNDUP(Y202/H202,0)*0.00417),"")</f>
        <v/>
      </c>
      <c r="AA202" s="65" t="s">
        <v>46</v>
      </c>
      <c r="AB202" s="66" t="s">
        <v>46</v>
      </c>
      <c r="AC202" s="273" t="s">
        <v>368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37.5" customHeight="1" x14ac:dyDescent="0.25">
      <c r="A203" s="60" t="s">
        <v>369</v>
      </c>
      <c r="B203" s="60" t="s">
        <v>370</v>
      </c>
      <c r="C203" s="34">
        <v>4301031202</v>
      </c>
      <c r="D203" s="590">
        <v>4680115881679</v>
      </c>
      <c r="E203" s="590"/>
      <c r="F203" s="59">
        <v>0.35</v>
      </c>
      <c r="G203" s="35">
        <v>6</v>
      </c>
      <c r="H203" s="59">
        <v>2.1</v>
      </c>
      <c r="I203" s="59">
        <v>2.2000000000000002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3" s="592"/>
      <c r="R203" s="592"/>
      <c r="S203" s="592"/>
      <c r="T203" s="593"/>
      <c r="U203" s="37" t="s">
        <v>46</v>
      </c>
      <c r="V203" s="37" t="s">
        <v>46</v>
      </c>
      <c r="W203" s="38" t="s">
        <v>0</v>
      </c>
      <c r="X203" s="56">
        <v>4.2</v>
      </c>
      <c r="Y203" s="53">
        <f t="shared" si="26"/>
        <v>4.2</v>
      </c>
      <c r="Z203" s="39">
        <f>IFERROR(IF(Y203=0,"",ROUNDUP(Y203/H203,0)*0.00502),"")</f>
        <v>1.004E-2</v>
      </c>
      <c r="AA203" s="65" t="s">
        <v>46</v>
      </c>
      <c r="AB203" s="66" t="s">
        <v>46</v>
      </c>
      <c r="AC203" s="275" t="s">
        <v>346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4.4000000000000004</v>
      </c>
      <c r="BN203" s="75">
        <f t="shared" si="28"/>
        <v>4.4000000000000004</v>
      </c>
      <c r="BO203" s="75">
        <f t="shared" si="29"/>
        <v>8.5470085470085479E-3</v>
      </c>
      <c r="BP203" s="75">
        <f t="shared" si="30"/>
        <v>8.5470085470085479E-3</v>
      </c>
    </row>
    <row r="204" spans="1:68" ht="27" hidden="1" customHeight="1" x14ac:dyDescent="0.25">
      <c r="A204" s="60" t="s">
        <v>371</v>
      </c>
      <c r="B204" s="60" t="s">
        <v>372</v>
      </c>
      <c r="C204" s="34">
        <v>4301031158</v>
      </c>
      <c r="D204" s="590">
        <v>4680115880191</v>
      </c>
      <c r="E204" s="590"/>
      <c r="F204" s="59">
        <v>0.4</v>
      </c>
      <c r="G204" s="35">
        <v>6</v>
      </c>
      <c r="H204" s="59">
        <v>2.4</v>
      </c>
      <c r="I204" s="59">
        <v>2.58</v>
      </c>
      <c r="J204" s="35">
        <v>182</v>
      </c>
      <c r="K204" s="35" t="s">
        <v>91</v>
      </c>
      <c r="L204" s="35" t="s">
        <v>46</v>
      </c>
      <c r="M204" s="36" t="s">
        <v>81</v>
      </c>
      <c r="N204" s="36"/>
      <c r="O204" s="35">
        <v>40</v>
      </c>
      <c r="P204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4" s="592"/>
      <c r="R204" s="592"/>
      <c r="S204" s="592"/>
      <c r="T204" s="593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IFERROR(IF(Y204=0,"",ROUNDUP(Y204/H204,0)*0.00651),"")</f>
        <v/>
      </c>
      <c r="AA204" s="65" t="s">
        <v>46</v>
      </c>
      <c r="AB204" s="66" t="s">
        <v>46</v>
      </c>
      <c r="AC204" s="277" t="s">
        <v>346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373</v>
      </c>
      <c r="B205" s="60" t="s">
        <v>374</v>
      </c>
      <c r="C205" s="34">
        <v>4301031245</v>
      </c>
      <c r="D205" s="590">
        <v>4680115883963</v>
      </c>
      <c r="E205" s="590"/>
      <c r="F205" s="59">
        <v>0.28000000000000003</v>
      </c>
      <c r="G205" s="35">
        <v>6</v>
      </c>
      <c r="H205" s="59">
        <v>1.68</v>
      </c>
      <c r="I205" s="59">
        <v>1.78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5" s="592"/>
      <c r="R205" s="592"/>
      <c r="S205" s="592"/>
      <c r="T205" s="593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79" t="s">
        <v>375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x14ac:dyDescent="0.2">
      <c r="A206" s="597"/>
      <c r="B206" s="597"/>
      <c r="C206" s="597"/>
      <c r="D206" s="597"/>
      <c r="E206" s="597"/>
      <c r="F206" s="597"/>
      <c r="G206" s="597"/>
      <c r="H206" s="597"/>
      <c r="I206" s="597"/>
      <c r="J206" s="597"/>
      <c r="K206" s="597"/>
      <c r="L206" s="597"/>
      <c r="M206" s="597"/>
      <c r="N206" s="597"/>
      <c r="O206" s="598"/>
      <c r="P206" s="594" t="s">
        <v>40</v>
      </c>
      <c r="Q206" s="595"/>
      <c r="R206" s="595"/>
      <c r="S206" s="595"/>
      <c r="T206" s="595"/>
      <c r="U206" s="595"/>
      <c r="V206" s="596"/>
      <c r="W206" s="40" t="s">
        <v>39</v>
      </c>
      <c r="X206" s="41">
        <f>IFERROR(X192/H192,"0")+IFERROR(X193/H193,"0")+IFERROR(X194/H194,"0")+IFERROR(X195/H195,"0")+IFERROR(X196/H196,"0")+IFERROR(X197/H197,"0")+IFERROR(X198/H198,"0")+IFERROR(X199/H199,"0")+IFERROR(X200/H200,"0")+IFERROR(X201/H201,"0")+IFERROR(X202/H202,"0")+IFERROR(X203/H203,"0")+IFERROR(X204/H204,"0")+IFERROR(X205/H205,"0")</f>
        <v>4</v>
      </c>
      <c r="Y206" s="41">
        <f>IFERROR(Y192/H192,"0")+IFERROR(Y193/H193,"0")+IFERROR(Y194/H194,"0")+IFERROR(Y195/H195,"0")+IFERROR(Y196/H196,"0")+IFERROR(Y197/H197,"0")+IFERROR(Y198/H198,"0")+IFERROR(Y199/H199,"0")+IFERROR(Y200/H200,"0")+IFERROR(Y201/H201,"0")+IFERROR(Y202/H202,"0")+IFERROR(Y203/H203,"0")+IFERROR(Y204/H204,"0")+IFERROR(Y205/H205,"0")</f>
        <v>4</v>
      </c>
      <c r="Z206" s="41">
        <f>IFERROR(IF(Z192="",0,Z192),"0")+IFERROR(IF(Z193="",0,Z193),"0")+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</f>
        <v>2.0080000000000001E-2</v>
      </c>
      <c r="AA206" s="64"/>
      <c r="AB206" s="64"/>
      <c r="AC206" s="64"/>
    </row>
    <row r="207" spans="1:68" x14ac:dyDescent="0.2">
      <c r="A207" s="597"/>
      <c r="B207" s="597"/>
      <c r="C207" s="597"/>
      <c r="D207" s="597"/>
      <c r="E207" s="597"/>
      <c r="F207" s="597"/>
      <c r="G207" s="597"/>
      <c r="H207" s="597"/>
      <c r="I207" s="597"/>
      <c r="J207" s="597"/>
      <c r="K207" s="597"/>
      <c r="L207" s="597"/>
      <c r="M207" s="597"/>
      <c r="N207" s="597"/>
      <c r="O207" s="598"/>
      <c r="P207" s="594" t="s">
        <v>40</v>
      </c>
      <c r="Q207" s="595"/>
      <c r="R207" s="595"/>
      <c r="S207" s="595"/>
      <c r="T207" s="595"/>
      <c r="U207" s="595"/>
      <c r="V207" s="596"/>
      <c r="W207" s="40" t="s">
        <v>0</v>
      </c>
      <c r="X207" s="41">
        <f>IFERROR(SUM(X192:X205),"0")</f>
        <v>8.4</v>
      </c>
      <c r="Y207" s="41">
        <f>IFERROR(SUM(Y192:Y205),"0")</f>
        <v>8.4</v>
      </c>
      <c r="Z207" s="40"/>
      <c r="AA207" s="64"/>
      <c r="AB207" s="64"/>
      <c r="AC207" s="64"/>
    </row>
    <row r="208" spans="1:68" ht="14.25" hidden="1" customHeight="1" x14ac:dyDescent="0.25">
      <c r="A208" s="589" t="s">
        <v>86</v>
      </c>
      <c r="B208" s="589"/>
      <c r="C208" s="589"/>
      <c r="D208" s="589"/>
      <c r="E208" s="589"/>
      <c r="F208" s="589"/>
      <c r="G208" s="589"/>
      <c r="H208" s="589"/>
      <c r="I208" s="589"/>
      <c r="J208" s="589"/>
      <c r="K208" s="589"/>
      <c r="L208" s="589"/>
      <c r="M208" s="589"/>
      <c r="N208" s="589"/>
      <c r="O208" s="589"/>
      <c r="P208" s="589"/>
      <c r="Q208" s="589"/>
      <c r="R208" s="589"/>
      <c r="S208" s="589"/>
      <c r="T208" s="589"/>
      <c r="U208" s="589"/>
      <c r="V208" s="589"/>
      <c r="W208" s="589"/>
      <c r="X208" s="589"/>
      <c r="Y208" s="589"/>
      <c r="Z208" s="589"/>
      <c r="AA208" s="63"/>
      <c r="AB208" s="63"/>
      <c r="AC208" s="63"/>
    </row>
    <row r="209" spans="1:68" ht="27" hidden="1" customHeight="1" x14ac:dyDescent="0.25">
      <c r="A209" s="60" t="s">
        <v>376</v>
      </c>
      <c r="B209" s="60" t="s">
        <v>377</v>
      </c>
      <c r="C209" s="34">
        <v>4301052177</v>
      </c>
      <c r="D209" s="590">
        <v>4680115888951</v>
      </c>
      <c r="E209" s="590"/>
      <c r="F209" s="59">
        <v>0.36</v>
      </c>
      <c r="G209" s="35">
        <v>6</v>
      </c>
      <c r="H209" s="59">
        <v>2.16</v>
      </c>
      <c r="I209" s="59">
        <v>2.4220000000000002</v>
      </c>
      <c r="J209" s="35">
        <v>132</v>
      </c>
      <c r="K209" s="35" t="s">
        <v>140</v>
      </c>
      <c r="L209" s="35" t="s">
        <v>46</v>
      </c>
      <c r="M209" s="36" t="s">
        <v>97</v>
      </c>
      <c r="N209" s="36"/>
      <c r="O209" s="35">
        <v>35</v>
      </c>
      <c r="P209" s="7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09" s="592"/>
      <c r="R209" s="592"/>
      <c r="S209" s="592"/>
      <c r="T209" s="593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81" t="s">
        <v>378</v>
      </c>
      <c r="AG209" s="75"/>
      <c r="AJ209" s="79" t="s">
        <v>46</v>
      </c>
      <c r="AK209" s="79">
        <v>0</v>
      </c>
      <c r="BB209" s="28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t="27" hidden="1" customHeight="1" x14ac:dyDescent="0.25">
      <c r="A210" s="60" t="s">
        <v>379</v>
      </c>
      <c r="B210" s="60" t="s">
        <v>380</v>
      </c>
      <c r="C210" s="34">
        <v>4301052176</v>
      </c>
      <c r="D210" s="590">
        <v>4680115888982</v>
      </c>
      <c r="E210" s="590"/>
      <c r="F210" s="59">
        <v>0.36</v>
      </c>
      <c r="G210" s="35">
        <v>6</v>
      </c>
      <c r="H210" s="59">
        <v>2.16</v>
      </c>
      <c r="I210" s="59">
        <v>2.4220000000000002</v>
      </c>
      <c r="J210" s="35">
        <v>132</v>
      </c>
      <c r="K210" s="35" t="s">
        <v>140</v>
      </c>
      <c r="L210" s="35" t="s">
        <v>46</v>
      </c>
      <c r="M210" s="36" t="s">
        <v>97</v>
      </c>
      <c r="N210" s="36"/>
      <c r="O210" s="35">
        <v>35</v>
      </c>
      <c r="P210" s="7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0" s="592"/>
      <c r="R210" s="592"/>
      <c r="S210" s="592"/>
      <c r="T210" s="593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83" t="s">
        <v>381</v>
      </c>
      <c r="AG210" s="75"/>
      <c r="AJ210" s="79" t="s">
        <v>46</v>
      </c>
      <c r="AK210" s="79">
        <v>0</v>
      </c>
      <c r="BB210" s="284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597"/>
      <c r="B211" s="597"/>
      <c r="C211" s="597"/>
      <c r="D211" s="597"/>
      <c r="E211" s="597"/>
      <c r="F211" s="597"/>
      <c r="G211" s="597"/>
      <c r="H211" s="597"/>
      <c r="I211" s="597"/>
      <c r="J211" s="597"/>
      <c r="K211" s="597"/>
      <c r="L211" s="597"/>
      <c r="M211" s="597"/>
      <c r="N211" s="597"/>
      <c r="O211" s="598"/>
      <c r="P211" s="594" t="s">
        <v>40</v>
      </c>
      <c r="Q211" s="595"/>
      <c r="R211" s="595"/>
      <c r="S211" s="595"/>
      <c r="T211" s="595"/>
      <c r="U211" s="595"/>
      <c r="V211" s="596"/>
      <c r="W211" s="40" t="s">
        <v>39</v>
      </c>
      <c r="X211" s="41">
        <f>IFERROR(X209/H209,"0")+IFERROR(X210/H210,"0")</f>
        <v>0</v>
      </c>
      <c r="Y211" s="41">
        <f>IFERROR(Y209/H209,"0")+IFERROR(Y210/H210,"0")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597"/>
      <c r="B212" s="597"/>
      <c r="C212" s="597"/>
      <c r="D212" s="597"/>
      <c r="E212" s="597"/>
      <c r="F212" s="597"/>
      <c r="G212" s="597"/>
      <c r="H212" s="597"/>
      <c r="I212" s="597"/>
      <c r="J212" s="597"/>
      <c r="K212" s="597"/>
      <c r="L212" s="597"/>
      <c r="M212" s="597"/>
      <c r="N212" s="597"/>
      <c r="O212" s="598"/>
      <c r="P212" s="594" t="s">
        <v>40</v>
      </c>
      <c r="Q212" s="595"/>
      <c r="R212" s="595"/>
      <c r="S212" s="595"/>
      <c r="T212" s="595"/>
      <c r="U212" s="595"/>
      <c r="V212" s="596"/>
      <c r="W212" s="40" t="s">
        <v>0</v>
      </c>
      <c r="X212" s="41">
        <f>IFERROR(SUM(X209:X210),"0")</f>
        <v>0</v>
      </c>
      <c r="Y212" s="41">
        <f>IFERROR(SUM(Y209:Y210),"0")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589" t="s">
        <v>107</v>
      </c>
      <c r="B213" s="589"/>
      <c r="C213" s="589"/>
      <c r="D213" s="589"/>
      <c r="E213" s="589"/>
      <c r="F213" s="589"/>
      <c r="G213" s="589"/>
      <c r="H213" s="589"/>
      <c r="I213" s="589"/>
      <c r="J213" s="589"/>
      <c r="K213" s="589"/>
      <c r="L213" s="589"/>
      <c r="M213" s="589"/>
      <c r="N213" s="589"/>
      <c r="O213" s="589"/>
      <c r="P213" s="589"/>
      <c r="Q213" s="589"/>
      <c r="R213" s="589"/>
      <c r="S213" s="589"/>
      <c r="T213" s="589"/>
      <c r="U213" s="589"/>
      <c r="V213" s="589"/>
      <c r="W213" s="589"/>
      <c r="X213" s="589"/>
      <c r="Y213" s="589"/>
      <c r="Z213" s="589"/>
      <c r="AA213" s="63"/>
      <c r="AB213" s="63"/>
      <c r="AC213" s="63"/>
    </row>
    <row r="214" spans="1:68" ht="27" hidden="1" customHeight="1" x14ac:dyDescent="0.25">
      <c r="A214" s="60" t="s">
        <v>382</v>
      </c>
      <c r="B214" s="60" t="s">
        <v>383</v>
      </c>
      <c r="C214" s="34">
        <v>4301032053</v>
      </c>
      <c r="D214" s="590">
        <v>4680115886780</v>
      </c>
      <c r="E214" s="590"/>
      <c r="F214" s="59">
        <v>7.0000000000000007E-2</v>
      </c>
      <c r="G214" s="35">
        <v>18</v>
      </c>
      <c r="H214" s="59">
        <v>1.26</v>
      </c>
      <c r="I214" s="59">
        <v>1.45</v>
      </c>
      <c r="J214" s="35">
        <v>216</v>
      </c>
      <c r="K214" s="35" t="s">
        <v>313</v>
      </c>
      <c r="L214" s="35" t="s">
        <v>46</v>
      </c>
      <c r="M214" s="36" t="s">
        <v>312</v>
      </c>
      <c r="N214" s="36"/>
      <c r="O214" s="35">
        <v>60</v>
      </c>
      <c r="P214" s="75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4" s="592"/>
      <c r="R214" s="592"/>
      <c r="S214" s="592"/>
      <c r="T214" s="593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IFERROR(IF(Y214=0,"",ROUNDUP(Y214/H214,0)*0.0059),"")</f>
        <v/>
      </c>
      <c r="AA214" s="65" t="s">
        <v>46</v>
      </c>
      <c r="AB214" s="66" t="s">
        <v>46</v>
      </c>
      <c r="AC214" s="285" t="s">
        <v>384</v>
      </c>
      <c r="AG214" s="75"/>
      <c r="AJ214" s="79" t="s">
        <v>46</v>
      </c>
      <c r="AK214" s="79">
        <v>0</v>
      </c>
      <c r="BB214" s="286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27" hidden="1" customHeight="1" x14ac:dyDescent="0.25">
      <c r="A215" s="60" t="s">
        <v>385</v>
      </c>
      <c r="B215" s="60" t="s">
        <v>386</v>
      </c>
      <c r="C215" s="34">
        <v>4301032051</v>
      </c>
      <c r="D215" s="590">
        <v>4680115886742</v>
      </c>
      <c r="E215" s="590"/>
      <c r="F215" s="59">
        <v>7.0000000000000007E-2</v>
      </c>
      <c r="G215" s="35">
        <v>18</v>
      </c>
      <c r="H215" s="59">
        <v>1.26</v>
      </c>
      <c r="I215" s="59">
        <v>1.45</v>
      </c>
      <c r="J215" s="35">
        <v>216</v>
      </c>
      <c r="K215" s="35" t="s">
        <v>313</v>
      </c>
      <c r="L215" s="35" t="s">
        <v>46</v>
      </c>
      <c r="M215" s="36" t="s">
        <v>312</v>
      </c>
      <c r="N215" s="36"/>
      <c r="O215" s="35">
        <v>90</v>
      </c>
      <c r="P215" s="75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5" s="592"/>
      <c r="R215" s="592"/>
      <c r="S215" s="592"/>
      <c r="T215" s="593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IFERROR(IF(Y215=0,"",ROUNDUP(Y215/H215,0)*0.0059),"")</f>
        <v/>
      </c>
      <c r="AA215" s="65" t="s">
        <v>46</v>
      </c>
      <c r="AB215" s="66" t="s">
        <v>46</v>
      </c>
      <c r="AC215" s="287" t="s">
        <v>387</v>
      </c>
      <c r="AG215" s="75"/>
      <c r="AJ215" s="79" t="s">
        <v>46</v>
      </c>
      <c r="AK215" s="79">
        <v>0</v>
      </c>
      <c r="BB215" s="288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388</v>
      </c>
      <c r="B216" s="60" t="s">
        <v>389</v>
      </c>
      <c r="C216" s="34">
        <v>4301032052</v>
      </c>
      <c r="D216" s="590">
        <v>4680115886766</v>
      </c>
      <c r="E216" s="590"/>
      <c r="F216" s="59">
        <v>7.0000000000000007E-2</v>
      </c>
      <c r="G216" s="35">
        <v>18</v>
      </c>
      <c r="H216" s="59">
        <v>1.26</v>
      </c>
      <c r="I216" s="59">
        <v>1.45</v>
      </c>
      <c r="J216" s="35">
        <v>216</v>
      </c>
      <c r="K216" s="35" t="s">
        <v>313</v>
      </c>
      <c r="L216" s="35" t="s">
        <v>46</v>
      </c>
      <c r="M216" s="36" t="s">
        <v>312</v>
      </c>
      <c r="N216" s="36"/>
      <c r="O216" s="35">
        <v>90</v>
      </c>
      <c r="P216" s="7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16" s="592"/>
      <c r="R216" s="592"/>
      <c r="S216" s="592"/>
      <c r="T216" s="593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IFERROR(IF(Y216=0,"",ROUNDUP(Y216/H216,0)*0.0059),"")</f>
        <v/>
      </c>
      <c r="AA216" s="65" t="s">
        <v>46</v>
      </c>
      <c r="AB216" s="66" t="s">
        <v>46</v>
      </c>
      <c r="AC216" s="289" t="s">
        <v>387</v>
      </c>
      <c r="AG216" s="75"/>
      <c r="AJ216" s="79" t="s">
        <v>46</v>
      </c>
      <c r="AK216" s="79">
        <v>0</v>
      </c>
      <c r="BB216" s="290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597"/>
      <c r="B217" s="597"/>
      <c r="C217" s="597"/>
      <c r="D217" s="597"/>
      <c r="E217" s="597"/>
      <c r="F217" s="597"/>
      <c r="G217" s="597"/>
      <c r="H217" s="597"/>
      <c r="I217" s="597"/>
      <c r="J217" s="597"/>
      <c r="K217" s="597"/>
      <c r="L217" s="597"/>
      <c r="M217" s="597"/>
      <c r="N217" s="597"/>
      <c r="O217" s="598"/>
      <c r="P217" s="594" t="s">
        <v>40</v>
      </c>
      <c r="Q217" s="595"/>
      <c r="R217" s="595"/>
      <c r="S217" s="595"/>
      <c r="T217" s="595"/>
      <c r="U217" s="595"/>
      <c r="V217" s="596"/>
      <c r="W217" s="40" t="s">
        <v>39</v>
      </c>
      <c r="X217" s="41">
        <f>IFERROR(X214/H214,"0")+IFERROR(X215/H215,"0")+IFERROR(X216/H216,"0")</f>
        <v>0</v>
      </c>
      <c r="Y217" s="41">
        <f>IFERROR(Y214/H214,"0")+IFERROR(Y215/H215,"0")+IFERROR(Y216/H216,"0")</f>
        <v>0</v>
      </c>
      <c r="Z217" s="41">
        <f>IFERROR(IF(Z214="",0,Z214),"0")+IFERROR(IF(Z215="",0,Z215),"0")+IFERROR(IF(Z216="",0,Z216),"0")</f>
        <v>0</v>
      </c>
      <c r="AA217" s="64"/>
      <c r="AB217" s="64"/>
      <c r="AC217" s="64"/>
    </row>
    <row r="218" spans="1:68" hidden="1" x14ac:dyDescent="0.2">
      <c r="A218" s="597"/>
      <c r="B218" s="597"/>
      <c r="C218" s="597"/>
      <c r="D218" s="597"/>
      <c r="E218" s="597"/>
      <c r="F218" s="597"/>
      <c r="G218" s="597"/>
      <c r="H218" s="597"/>
      <c r="I218" s="597"/>
      <c r="J218" s="597"/>
      <c r="K218" s="597"/>
      <c r="L218" s="597"/>
      <c r="M218" s="597"/>
      <c r="N218" s="597"/>
      <c r="O218" s="598"/>
      <c r="P218" s="594" t="s">
        <v>40</v>
      </c>
      <c r="Q218" s="595"/>
      <c r="R218" s="595"/>
      <c r="S218" s="595"/>
      <c r="T218" s="595"/>
      <c r="U218" s="595"/>
      <c r="V218" s="596"/>
      <c r="W218" s="40" t="s">
        <v>0</v>
      </c>
      <c r="X218" s="41">
        <f>IFERROR(SUM(X214:X216),"0")</f>
        <v>0</v>
      </c>
      <c r="Y218" s="41">
        <f>IFERROR(SUM(Y214:Y216),"0")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589" t="s">
        <v>390</v>
      </c>
      <c r="B219" s="589"/>
      <c r="C219" s="589"/>
      <c r="D219" s="589"/>
      <c r="E219" s="589"/>
      <c r="F219" s="589"/>
      <c r="G219" s="589"/>
      <c r="H219" s="589"/>
      <c r="I219" s="589"/>
      <c r="J219" s="589"/>
      <c r="K219" s="589"/>
      <c r="L219" s="589"/>
      <c r="M219" s="589"/>
      <c r="N219" s="589"/>
      <c r="O219" s="589"/>
      <c r="P219" s="589"/>
      <c r="Q219" s="589"/>
      <c r="R219" s="589"/>
      <c r="S219" s="589"/>
      <c r="T219" s="589"/>
      <c r="U219" s="589"/>
      <c r="V219" s="589"/>
      <c r="W219" s="589"/>
      <c r="X219" s="589"/>
      <c r="Y219" s="589"/>
      <c r="Z219" s="589"/>
      <c r="AA219" s="63"/>
      <c r="AB219" s="63"/>
      <c r="AC219" s="63"/>
    </row>
    <row r="220" spans="1:68" ht="27" hidden="1" customHeight="1" x14ac:dyDescent="0.25">
      <c r="A220" s="60" t="s">
        <v>391</v>
      </c>
      <c r="B220" s="60" t="s">
        <v>392</v>
      </c>
      <c r="C220" s="34">
        <v>4301170013</v>
      </c>
      <c r="D220" s="590">
        <v>4680115886797</v>
      </c>
      <c r="E220" s="590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313</v>
      </c>
      <c r="L220" s="35" t="s">
        <v>46</v>
      </c>
      <c r="M220" s="36" t="s">
        <v>312</v>
      </c>
      <c r="N220" s="36"/>
      <c r="O220" s="35">
        <v>90</v>
      </c>
      <c r="P22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0" s="592"/>
      <c r="R220" s="592"/>
      <c r="S220" s="592"/>
      <c r="T220" s="593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1" t="s">
        <v>387</v>
      </c>
      <c r="AG220" s="75"/>
      <c r="AJ220" s="79" t="s">
        <v>46</v>
      </c>
      <c r="AK220" s="79">
        <v>0</v>
      </c>
      <c r="BB220" s="292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597"/>
      <c r="B221" s="597"/>
      <c r="C221" s="597"/>
      <c r="D221" s="597"/>
      <c r="E221" s="597"/>
      <c r="F221" s="597"/>
      <c r="G221" s="597"/>
      <c r="H221" s="597"/>
      <c r="I221" s="597"/>
      <c r="J221" s="597"/>
      <c r="K221" s="597"/>
      <c r="L221" s="597"/>
      <c r="M221" s="597"/>
      <c r="N221" s="597"/>
      <c r="O221" s="598"/>
      <c r="P221" s="594" t="s">
        <v>40</v>
      </c>
      <c r="Q221" s="595"/>
      <c r="R221" s="595"/>
      <c r="S221" s="595"/>
      <c r="T221" s="595"/>
      <c r="U221" s="595"/>
      <c r="V221" s="596"/>
      <c r="W221" s="40" t="s">
        <v>39</v>
      </c>
      <c r="X221" s="41">
        <f>IFERROR(X220/H220,"0")</f>
        <v>0</v>
      </c>
      <c r="Y221" s="41">
        <f>IFERROR(Y220/H220,"0")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597"/>
      <c r="B222" s="597"/>
      <c r="C222" s="597"/>
      <c r="D222" s="597"/>
      <c r="E222" s="597"/>
      <c r="F222" s="597"/>
      <c r="G222" s="597"/>
      <c r="H222" s="597"/>
      <c r="I222" s="597"/>
      <c r="J222" s="597"/>
      <c r="K222" s="597"/>
      <c r="L222" s="597"/>
      <c r="M222" s="597"/>
      <c r="N222" s="597"/>
      <c r="O222" s="598"/>
      <c r="P222" s="594" t="s">
        <v>40</v>
      </c>
      <c r="Q222" s="595"/>
      <c r="R222" s="595"/>
      <c r="S222" s="595"/>
      <c r="T222" s="595"/>
      <c r="U222" s="595"/>
      <c r="V222" s="596"/>
      <c r="W222" s="40" t="s">
        <v>0</v>
      </c>
      <c r="X222" s="41">
        <f>IFERROR(SUM(X220:X220),"0")</f>
        <v>0</v>
      </c>
      <c r="Y222" s="41">
        <f>IFERROR(SUM(Y220:Y220),"0")</f>
        <v>0</v>
      </c>
      <c r="Z222" s="40"/>
      <c r="AA222" s="64"/>
      <c r="AB222" s="64"/>
      <c r="AC222" s="64"/>
    </row>
    <row r="223" spans="1:68" ht="16.5" hidden="1" customHeight="1" x14ac:dyDescent="0.25">
      <c r="A223" s="605" t="s">
        <v>393</v>
      </c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605"/>
      <c r="X223" s="605"/>
      <c r="Y223" s="605"/>
      <c r="Z223" s="605"/>
      <c r="AA223" s="62"/>
      <c r="AB223" s="62"/>
      <c r="AC223" s="62"/>
    </row>
    <row r="224" spans="1:68" ht="14.25" hidden="1" customHeight="1" x14ac:dyDescent="0.25">
      <c r="A224" s="589" t="s">
        <v>128</v>
      </c>
      <c r="B224" s="589"/>
      <c r="C224" s="589"/>
      <c r="D224" s="589"/>
      <c r="E224" s="589"/>
      <c r="F224" s="589"/>
      <c r="G224" s="589"/>
      <c r="H224" s="589"/>
      <c r="I224" s="589"/>
      <c r="J224" s="589"/>
      <c r="K224" s="589"/>
      <c r="L224" s="589"/>
      <c r="M224" s="589"/>
      <c r="N224" s="589"/>
      <c r="O224" s="589"/>
      <c r="P224" s="589"/>
      <c r="Q224" s="589"/>
      <c r="R224" s="589"/>
      <c r="S224" s="589"/>
      <c r="T224" s="589"/>
      <c r="U224" s="589"/>
      <c r="V224" s="589"/>
      <c r="W224" s="589"/>
      <c r="X224" s="589"/>
      <c r="Y224" s="589"/>
      <c r="Z224" s="589"/>
      <c r="AA224" s="63"/>
      <c r="AB224" s="63"/>
      <c r="AC224" s="63"/>
    </row>
    <row r="225" spans="1:68" ht="27" hidden="1" customHeight="1" x14ac:dyDescent="0.25">
      <c r="A225" s="60" t="s">
        <v>394</v>
      </c>
      <c r="B225" s="60" t="s">
        <v>395</v>
      </c>
      <c r="C225" s="34">
        <v>4301011450</v>
      </c>
      <c r="D225" s="590">
        <v>4680115881402</v>
      </c>
      <c r="E225" s="590"/>
      <c r="F225" s="59">
        <v>1.35</v>
      </c>
      <c r="G225" s="35">
        <v>8</v>
      </c>
      <c r="H225" s="59">
        <v>10.8</v>
      </c>
      <c r="I225" s="59">
        <v>11.21</v>
      </c>
      <c r="J225" s="35">
        <v>64</v>
      </c>
      <c r="K225" s="35" t="s">
        <v>133</v>
      </c>
      <c r="L225" s="35" t="s">
        <v>46</v>
      </c>
      <c r="M225" s="36" t="s">
        <v>132</v>
      </c>
      <c r="N225" s="36"/>
      <c r="O225" s="35">
        <v>55</v>
      </c>
      <c r="P225" s="7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5" s="592"/>
      <c r="R225" s="592"/>
      <c r="S225" s="592"/>
      <c r="T225" s="593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IFERROR(IF(Y225=0,"",ROUNDUP(Y225/H225,0)*0.01898),"")</f>
        <v/>
      </c>
      <c r="AA225" s="65" t="s">
        <v>46</v>
      </c>
      <c r="AB225" s="66" t="s">
        <v>46</v>
      </c>
      <c r="AC225" s="293" t="s">
        <v>396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4301011768</v>
      </c>
      <c r="D226" s="590">
        <v>4680115881396</v>
      </c>
      <c r="E226" s="590"/>
      <c r="F226" s="59">
        <v>0.45</v>
      </c>
      <c r="G226" s="35">
        <v>6</v>
      </c>
      <c r="H226" s="59">
        <v>2.7</v>
      </c>
      <c r="I226" s="59">
        <v>2.88</v>
      </c>
      <c r="J226" s="35">
        <v>182</v>
      </c>
      <c r="K226" s="35" t="s">
        <v>91</v>
      </c>
      <c r="L226" s="35" t="s">
        <v>46</v>
      </c>
      <c r="M226" s="36" t="s">
        <v>132</v>
      </c>
      <c r="N226" s="36"/>
      <c r="O226" s="35">
        <v>55</v>
      </c>
      <c r="P226" s="74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26" s="592"/>
      <c r="R226" s="592"/>
      <c r="S226" s="592"/>
      <c r="T226" s="593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IFERROR(IF(Y226=0,"",ROUNDUP(Y226/H226,0)*0.00651),"")</f>
        <v/>
      </c>
      <c r="AA226" s="65" t="s">
        <v>46</v>
      </c>
      <c r="AB226" s="66" t="s">
        <v>46</v>
      </c>
      <c r="AC226" s="295" t="s">
        <v>396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597"/>
      <c r="B227" s="597"/>
      <c r="C227" s="597"/>
      <c r="D227" s="597"/>
      <c r="E227" s="597"/>
      <c r="F227" s="597"/>
      <c r="G227" s="597"/>
      <c r="H227" s="597"/>
      <c r="I227" s="597"/>
      <c r="J227" s="597"/>
      <c r="K227" s="597"/>
      <c r="L227" s="597"/>
      <c r="M227" s="597"/>
      <c r="N227" s="597"/>
      <c r="O227" s="598"/>
      <c r="P227" s="594" t="s">
        <v>40</v>
      </c>
      <c r="Q227" s="595"/>
      <c r="R227" s="595"/>
      <c r="S227" s="595"/>
      <c r="T227" s="595"/>
      <c r="U227" s="595"/>
      <c r="V227" s="596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597"/>
      <c r="B228" s="597"/>
      <c r="C228" s="597"/>
      <c r="D228" s="597"/>
      <c r="E228" s="597"/>
      <c r="F228" s="597"/>
      <c r="G228" s="597"/>
      <c r="H228" s="597"/>
      <c r="I228" s="597"/>
      <c r="J228" s="597"/>
      <c r="K228" s="597"/>
      <c r="L228" s="597"/>
      <c r="M228" s="597"/>
      <c r="N228" s="597"/>
      <c r="O228" s="598"/>
      <c r="P228" s="594" t="s">
        <v>40</v>
      </c>
      <c r="Q228" s="595"/>
      <c r="R228" s="595"/>
      <c r="S228" s="595"/>
      <c r="T228" s="595"/>
      <c r="U228" s="595"/>
      <c r="V228" s="596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589" t="s">
        <v>163</v>
      </c>
      <c r="B229" s="589"/>
      <c r="C229" s="589"/>
      <c r="D229" s="589"/>
      <c r="E229" s="589"/>
      <c r="F229" s="589"/>
      <c r="G229" s="589"/>
      <c r="H229" s="589"/>
      <c r="I229" s="589"/>
      <c r="J229" s="589"/>
      <c r="K229" s="589"/>
      <c r="L229" s="589"/>
      <c r="M229" s="589"/>
      <c r="N229" s="589"/>
      <c r="O229" s="589"/>
      <c r="P229" s="589"/>
      <c r="Q229" s="589"/>
      <c r="R229" s="589"/>
      <c r="S229" s="589"/>
      <c r="T229" s="589"/>
      <c r="U229" s="589"/>
      <c r="V229" s="589"/>
      <c r="W229" s="589"/>
      <c r="X229" s="589"/>
      <c r="Y229" s="589"/>
      <c r="Z229" s="58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4301020261</v>
      </c>
      <c r="D230" s="590">
        <v>4680115882935</v>
      </c>
      <c r="E230" s="590"/>
      <c r="F230" s="59">
        <v>1.35</v>
      </c>
      <c r="G230" s="35">
        <v>8</v>
      </c>
      <c r="H230" s="59">
        <v>10.8</v>
      </c>
      <c r="I230" s="59">
        <v>11.21</v>
      </c>
      <c r="J230" s="35">
        <v>64</v>
      </c>
      <c r="K230" s="35" t="s">
        <v>133</v>
      </c>
      <c r="L230" s="35" t="s">
        <v>46</v>
      </c>
      <c r="M230" s="36" t="s">
        <v>132</v>
      </c>
      <c r="N230" s="36"/>
      <c r="O230" s="35">
        <v>50</v>
      </c>
      <c r="P230" s="7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0" s="592"/>
      <c r="R230" s="592"/>
      <c r="S230" s="592"/>
      <c r="T230" s="593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IFERROR(IF(Y230=0,"",ROUNDUP(Y230/H230,0)*0.01898),"")</f>
        <v/>
      </c>
      <c r="AA230" s="65" t="s">
        <v>46</v>
      </c>
      <c r="AB230" s="66" t="s">
        <v>46</v>
      </c>
      <c r="AC230" s="297" t="s">
        <v>401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402</v>
      </c>
      <c r="B231" s="60" t="s">
        <v>403</v>
      </c>
      <c r="C231" s="34">
        <v>4301020220</v>
      </c>
      <c r="D231" s="590">
        <v>4680115880764</v>
      </c>
      <c r="E231" s="590"/>
      <c r="F231" s="59">
        <v>0.35</v>
      </c>
      <c r="G231" s="35">
        <v>6</v>
      </c>
      <c r="H231" s="59">
        <v>2.1</v>
      </c>
      <c r="I231" s="59">
        <v>2.2799999999999998</v>
      </c>
      <c r="J231" s="35">
        <v>182</v>
      </c>
      <c r="K231" s="35" t="s">
        <v>91</v>
      </c>
      <c r="L231" s="35" t="s">
        <v>46</v>
      </c>
      <c r="M231" s="36" t="s">
        <v>132</v>
      </c>
      <c r="N231" s="36"/>
      <c r="O231" s="35">
        <v>50</v>
      </c>
      <c r="P231" s="7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1" s="592"/>
      <c r="R231" s="592"/>
      <c r="S231" s="592"/>
      <c r="T231" s="593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299" t="s">
        <v>401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idden="1" x14ac:dyDescent="0.2">
      <c r="A232" s="597"/>
      <c r="B232" s="597"/>
      <c r="C232" s="597"/>
      <c r="D232" s="597"/>
      <c r="E232" s="597"/>
      <c r="F232" s="597"/>
      <c r="G232" s="597"/>
      <c r="H232" s="597"/>
      <c r="I232" s="597"/>
      <c r="J232" s="597"/>
      <c r="K232" s="597"/>
      <c r="L232" s="597"/>
      <c r="M232" s="597"/>
      <c r="N232" s="597"/>
      <c r="O232" s="598"/>
      <c r="P232" s="594" t="s">
        <v>40</v>
      </c>
      <c r="Q232" s="595"/>
      <c r="R232" s="595"/>
      <c r="S232" s="595"/>
      <c r="T232" s="595"/>
      <c r="U232" s="595"/>
      <c r="V232" s="596"/>
      <c r="W232" s="40" t="s">
        <v>39</v>
      </c>
      <c r="X232" s="41">
        <f>IFERROR(X230/H230,"0")+IFERROR(X231/H231,"0")</f>
        <v>0</v>
      </c>
      <c r="Y232" s="41">
        <f>IFERROR(Y230/H230,"0")+IFERROR(Y231/H231,"0")</f>
        <v>0</v>
      </c>
      <c r="Z232" s="41">
        <f>IFERROR(IF(Z230="",0,Z230),"0")+IFERROR(IF(Z231="",0,Z231),"0")</f>
        <v>0</v>
      </c>
      <c r="AA232" s="64"/>
      <c r="AB232" s="64"/>
      <c r="AC232" s="64"/>
    </row>
    <row r="233" spans="1:68" hidden="1" x14ac:dyDescent="0.2">
      <c r="A233" s="597"/>
      <c r="B233" s="597"/>
      <c r="C233" s="597"/>
      <c r="D233" s="597"/>
      <c r="E233" s="597"/>
      <c r="F233" s="597"/>
      <c r="G233" s="597"/>
      <c r="H233" s="597"/>
      <c r="I233" s="597"/>
      <c r="J233" s="597"/>
      <c r="K233" s="597"/>
      <c r="L233" s="597"/>
      <c r="M233" s="597"/>
      <c r="N233" s="597"/>
      <c r="O233" s="598"/>
      <c r="P233" s="594" t="s">
        <v>40</v>
      </c>
      <c r="Q233" s="595"/>
      <c r="R233" s="595"/>
      <c r="S233" s="595"/>
      <c r="T233" s="595"/>
      <c r="U233" s="595"/>
      <c r="V233" s="596"/>
      <c r="W233" s="40" t="s">
        <v>0</v>
      </c>
      <c r="X233" s="41">
        <f>IFERROR(SUM(X230:X231),"0")</f>
        <v>0</v>
      </c>
      <c r="Y233" s="41">
        <f>IFERROR(SUM(Y230:Y231),"0")</f>
        <v>0</v>
      </c>
      <c r="Z233" s="40"/>
      <c r="AA233" s="64"/>
      <c r="AB233" s="64"/>
      <c r="AC233" s="64"/>
    </row>
    <row r="234" spans="1:68" ht="14.25" hidden="1" customHeight="1" x14ac:dyDescent="0.25">
      <c r="A234" s="589" t="s">
        <v>77</v>
      </c>
      <c r="B234" s="589"/>
      <c r="C234" s="589"/>
      <c r="D234" s="589"/>
      <c r="E234" s="589"/>
      <c r="F234" s="589"/>
      <c r="G234" s="589"/>
      <c r="H234" s="589"/>
      <c r="I234" s="589"/>
      <c r="J234" s="589"/>
      <c r="K234" s="589"/>
      <c r="L234" s="589"/>
      <c r="M234" s="589"/>
      <c r="N234" s="589"/>
      <c r="O234" s="589"/>
      <c r="P234" s="589"/>
      <c r="Q234" s="589"/>
      <c r="R234" s="589"/>
      <c r="S234" s="589"/>
      <c r="T234" s="589"/>
      <c r="U234" s="589"/>
      <c r="V234" s="589"/>
      <c r="W234" s="589"/>
      <c r="X234" s="589"/>
      <c r="Y234" s="589"/>
      <c r="Z234" s="589"/>
      <c r="AA234" s="63"/>
      <c r="AB234" s="63"/>
      <c r="AC234" s="63"/>
    </row>
    <row r="235" spans="1:68" ht="27" hidden="1" customHeight="1" x14ac:dyDescent="0.25">
      <c r="A235" s="60" t="s">
        <v>404</v>
      </c>
      <c r="B235" s="60" t="s">
        <v>405</v>
      </c>
      <c r="C235" s="34">
        <v>4301031224</v>
      </c>
      <c r="D235" s="590">
        <v>4680115882683</v>
      </c>
      <c r="E235" s="590"/>
      <c r="F235" s="59">
        <v>0.9</v>
      </c>
      <c r="G235" s="35">
        <v>6</v>
      </c>
      <c r="H235" s="59">
        <v>5.4</v>
      </c>
      <c r="I235" s="59">
        <v>5.59</v>
      </c>
      <c r="J235" s="35">
        <v>132</v>
      </c>
      <c r="K235" s="35" t="s">
        <v>140</v>
      </c>
      <c r="L235" s="35" t="s">
        <v>46</v>
      </c>
      <c r="M235" s="36" t="s">
        <v>81</v>
      </c>
      <c r="N235" s="36"/>
      <c r="O235" s="35">
        <v>40</v>
      </c>
      <c r="P235" s="7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5" s="592"/>
      <c r="R235" s="592"/>
      <c r="S235" s="592"/>
      <c r="T235" s="59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ref="Y235:Y242" si="32">IFERROR(IF(X235="",0,CEILING((X235/$H235),1)*$H235),"")</f>
        <v>0</v>
      </c>
      <c r="Z235" s="39" t="str">
        <f>IFERROR(IF(Y235=0,"",ROUNDUP(Y235/H235,0)*0.00902),"")</f>
        <v/>
      </c>
      <c r="AA235" s="65" t="s">
        <v>46</v>
      </c>
      <c r="AB235" s="66" t="s">
        <v>46</v>
      </c>
      <c r="AC235" s="301" t="s">
        <v>406</v>
      </c>
      <c r="AG235" s="75"/>
      <c r="AJ235" s="79" t="s">
        <v>46</v>
      </c>
      <c r="AK235" s="79">
        <v>0</v>
      </c>
      <c r="BB235" s="302" t="s">
        <v>67</v>
      </c>
      <c r="BM235" s="75">
        <f t="shared" ref="BM235:BM242" si="33">IFERROR(X235*I235/H235,"0")</f>
        <v>0</v>
      </c>
      <c r="BN235" s="75">
        <f t="shared" ref="BN235:BN242" si="34">IFERROR(Y235*I235/H235,"0")</f>
        <v>0</v>
      </c>
      <c r="BO235" s="75">
        <f t="shared" ref="BO235:BO242" si="35">IFERROR(1/J235*(X235/H235),"0")</f>
        <v>0</v>
      </c>
      <c r="BP235" s="75">
        <f t="shared" ref="BP235:BP242" si="36">IFERROR(1/J235*(Y235/H235),"0")</f>
        <v>0</v>
      </c>
    </row>
    <row r="236" spans="1:68" ht="27" hidden="1" customHeight="1" x14ac:dyDescent="0.25">
      <c r="A236" s="60" t="s">
        <v>407</v>
      </c>
      <c r="B236" s="60" t="s">
        <v>408</v>
      </c>
      <c r="C236" s="34">
        <v>4301031230</v>
      </c>
      <c r="D236" s="590">
        <v>4680115882690</v>
      </c>
      <c r="E236" s="590"/>
      <c r="F236" s="59">
        <v>0.9</v>
      </c>
      <c r="G236" s="35">
        <v>6</v>
      </c>
      <c r="H236" s="59">
        <v>5.4</v>
      </c>
      <c r="I236" s="59">
        <v>5.59</v>
      </c>
      <c r="J236" s="35">
        <v>132</v>
      </c>
      <c r="K236" s="35" t="s">
        <v>140</v>
      </c>
      <c r="L236" s="35" t="s">
        <v>46</v>
      </c>
      <c r="M236" s="36" t="s">
        <v>81</v>
      </c>
      <c r="N236" s="36"/>
      <c r="O236" s="35">
        <v>40</v>
      </c>
      <c r="P236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36" s="592"/>
      <c r="R236" s="592"/>
      <c r="S236" s="592"/>
      <c r="T236" s="59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2"/>
        <v>0</v>
      </c>
      <c r="Z236" s="39" t="str">
        <f>IFERROR(IF(Y236=0,"",ROUNDUP(Y236/H236,0)*0.00902),"")</f>
        <v/>
      </c>
      <c r="AA236" s="65" t="s">
        <v>46</v>
      </c>
      <c r="AB236" s="66" t="s">
        <v>46</v>
      </c>
      <c r="AC236" s="303" t="s">
        <v>409</v>
      </c>
      <c r="AG236" s="75"/>
      <c r="AJ236" s="79" t="s">
        <v>46</v>
      </c>
      <c r="AK236" s="79">
        <v>0</v>
      </c>
      <c r="BB236" s="304" t="s">
        <v>67</v>
      </c>
      <c r="BM236" s="75">
        <f t="shared" si="33"/>
        <v>0</v>
      </c>
      <c r="BN236" s="75">
        <f t="shared" si="34"/>
        <v>0</v>
      </c>
      <c r="BO236" s="75">
        <f t="shared" si="35"/>
        <v>0</v>
      </c>
      <c r="BP236" s="75">
        <f t="shared" si="36"/>
        <v>0</v>
      </c>
    </row>
    <row r="237" spans="1:68" ht="27" hidden="1" customHeight="1" x14ac:dyDescent="0.25">
      <c r="A237" s="60" t="s">
        <v>410</v>
      </c>
      <c r="B237" s="60" t="s">
        <v>411</v>
      </c>
      <c r="C237" s="34">
        <v>4301031220</v>
      </c>
      <c r="D237" s="590">
        <v>4680115882669</v>
      </c>
      <c r="E237" s="590"/>
      <c r="F237" s="59">
        <v>0.9</v>
      </c>
      <c r="G237" s="35">
        <v>6</v>
      </c>
      <c r="H237" s="59">
        <v>5.4</v>
      </c>
      <c r="I237" s="59">
        <v>5.59</v>
      </c>
      <c r="J237" s="35">
        <v>132</v>
      </c>
      <c r="K237" s="35" t="s">
        <v>140</v>
      </c>
      <c r="L237" s="35" t="s">
        <v>46</v>
      </c>
      <c r="M237" s="36" t="s">
        <v>81</v>
      </c>
      <c r="N237" s="36"/>
      <c r="O237" s="35">
        <v>40</v>
      </c>
      <c r="P237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37" s="592"/>
      <c r="R237" s="592"/>
      <c r="S237" s="592"/>
      <c r="T237" s="59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2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05" t="s">
        <v>412</v>
      </c>
      <c r="AG237" s="75"/>
      <c r="AJ237" s="79" t="s">
        <v>46</v>
      </c>
      <c r="AK237" s="79">
        <v>0</v>
      </c>
      <c r="BB237" s="306" t="s">
        <v>67</v>
      </c>
      <c r="BM237" s="75">
        <f t="shared" si="33"/>
        <v>0</v>
      </c>
      <c r="BN237" s="75">
        <f t="shared" si="34"/>
        <v>0</v>
      </c>
      <c r="BO237" s="75">
        <f t="shared" si="35"/>
        <v>0</v>
      </c>
      <c r="BP237" s="75">
        <f t="shared" si="36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4301031221</v>
      </c>
      <c r="D238" s="590">
        <v>4680115882676</v>
      </c>
      <c r="E238" s="590"/>
      <c r="F238" s="59">
        <v>0.9</v>
      </c>
      <c r="G238" s="35">
        <v>6</v>
      </c>
      <c r="H238" s="59">
        <v>5.4</v>
      </c>
      <c r="I238" s="59">
        <v>5.59</v>
      </c>
      <c r="J238" s="35">
        <v>132</v>
      </c>
      <c r="K238" s="35" t="s">
        <v>140</v>
      </c>
      <c r="L238" s="35" t="s">
        <v>46</v>
      </c>
      <c r="M238" s="36" t="s">
        <v>81</v>
      </c>
      <c r="N238" s="36"/>
      <c r="O238" s="35">
        <v>40</v>
      </c>
      <c r="P238" s="7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38" s="592"/>
      <c r="R238" s="592"/>
      <c r="S238" s="592"/>
      <c r="T238" s="59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2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07" t="s">
        <v>415</v>
      </c>
      <c r="AG238" s="75"/>
      <c r="AJ238" s="79" t="s">
        <v>46</v>
      </c>
      <c r="AK238" s="79">
        <v>0</v>
      </c>
      <c r="BB238" s="308" t="s">
        <v>67</v>
      </c>
      <c r="BM238" s="75">
        <f t="shared" si="33"/>
        <v>0</v>
      </c>
      <c r="BN238" s="75">
        <f t="shared" si="34"/>
        <v>0</v>
      </c>
      <c r="BO238" s="75">
        <f t="shared" si="35"/>
        <v>0</v>
      </c>
      <c r="BP238" s="75">
        <f t="shared" si="36"/>
        <v>0</v>
      </c>
    </row>
    <row r="239" spans="1:68" ht="27" customHeight="1" x14ac:dyDescent="0.25">
      <c r="A239" s="60" t="s">
        <v>416</v>
      </c>
      <c r="B239" s="60" t="s">
        <v>417</v>
      </c>
      <c r="C239" s="34">
        <v>4301031223</v>
      </c>
      <c r="D239" s="590">
        <v>4680115884014</v>
      </c>
      <c r="E239" s="590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39" s="592"/>
      <c r="R239" s="592"/>
      <c r="S239" s="592"/>
      <c r="T239" s="593"/>
      <c r="U239" s="37" t="s">
        <v>46</v>
      </c>
      <c r="V239" s="37" t="s">
        <v>46</v>
      </c>
      <c r="W239" s="38" t="s">
        <v>0</v>
      </c>
      <c r="X239" s="56">
        <v>9</v>
      </c>
      <c r="Y239" s="53">
        <f t="shared" si="32"/>
        <v>9</v>
      </c>
      <c r="Z239" s="39">
        <f>IFERROR(IF(Y239=0,"",ROUNDUP(Y239/H239,0)*0.00502),"")</f>
        <v>2.5100000000000001E-2</v>
      </c>
      <c r="AA239" s="65" t="s">
        <v>46</v>
      </c>
      <c r="AB239" s="66" t="s">
        <v>46</v>
      </c>
      <c r="AC239" s="309" t="s">
        <v>406</v>
      </c>
      <c r="AG239" s="75"/>
      <c r="AJ239" s="79" t="s">
        <v>46</v>
      </c>
      <c r="AK239" s="79">
        <v>0</v>
      </c>
      <c r="BB239" s="310" t="s">
        <v>67</v>
      </c>
      <c r="BM239" s="75">
        <f t="shared" si="33"/>
        <v>9.65</v>
      </c>
      <c r="BN239" s="75">
        <f t="shared" si="34"/>
        <v>9.65</v>
      </c>
      <c r="BO239" s="75">
        <f t="shared" si="35"/>
        <v>2.1367521367521368E-2</v>
      </c>
      <c r="BP239" s="75">
        <f t="shared" si="36"/>
        <v>2.1367521367521368E-2</v>
      </c>
    </row>
    <row r="240" spans="1:68" ht="27" customHeight="1" x14ac:dyDescent="0.25">
      <c r="A240" s="60" t="s">
        <v>418</v>
      </c>
      <c r="B240" s="60" t="s">
        <v>419</v>
      </c>
      <c r="C240" s="34">
        <v>4301031222</v>
      </c>
      <c r="D240" s="590">
        <v>4680115884007</v>
      </c>
      <c r="E240" s="590"/>
      <c r="F240" s="59">
        <v>0.3</v>
      </c>
      <c r="G240" s="35">
        <v>6</v>
      </c>
      <c r="H240" s="59">
        <v>1.8</v>
      </c>
      <c r="I240" s="59">
        <v>1.9</v>
      </c>
      <c r="J240" s="35">
        <v>234</v>
      </c>
      <c r="K240" s="35" t="s">
        <v>82</v>
      </c>
      <c r="L240" s="35" t="s">
        <v>46</v>
      </c>
      <c r="M240" s="36" t="s">
        <v>81</v>
      </c>
      <c r="N240" s="36"/>
      <c r="O240" s="35">
        <v>40</v>
      </c>
      <c r="P240" s="7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0" s="592"/>
      <c r="R240" s="592"/>
      <c r="S240" s="592"/>
      <c r="T240" s="593"/>
      <c r="U240" s="37" t="s">
        <v>46</v>
      </c>
      <c r="V240" s="37" t="s">
        <v>46</v>
      </c>
      <c r="W240" s="38" t="s">
        <v>0</v>
      </c>
      <c r="X240" s="56">
        <v>9</v>
      </c>
      <c r="Y240" s="53">
        <f t="shared" si="32"/>
        <v>9</v>
      </c>
      <c r="Z240" s="39">
        <f>IFERROR(IF(Y240=0,"",ROUNDUP(Y240/H240,0)*0.00502),"")</f>
        <v>2.5100000000000001E-2</v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9.4999999999999982</v>
      </c>
      <c r="BN240" s="75">
        <f t="shared" si="34"/>
        <v>9.4999999999999982</v>
      </c>
      <c r="BO240" s="75">
        <f t="shared" si="35"/>
        <v>2.1367521367521368E-2</v>
      </c>
      <c r="BP240" s="75">
        <f t="shared" si="36"/>
        <v>2.1367521367521368E-2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4301031229</v>
      </c>
      <c r="D241" s="590">
        <v>4680115884038</v>
      </c>
      <c r="E241" s="590"/>
      <c r="F241" s="59">
        <v>0.3</v>
      </c>
      <c r="G241" s="35">
        <v>6</v>
      </c>
      <c r="H241" s="59">
        <v>1.8</v>
      </c>
      <c r="I241" s="59">
        <v>1.9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73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1" s="592"/>
      <c r="R241" s="592"/>
      <c r="S241" s="592"/>
      <c r="T241" s="593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13" t="s">
        <v>412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4301031225</v>
      </c>
      <c r="D242" s="590">
        <v>4680115884021</v>
      </c>
      <c r="E242" s="590"/>
      <c r="F242" s="59">
        <v>0.3</v>
      </c>
      <c r="G242" s="35">
        <v>6</v>
      </c>
      <c r="H242" s="59">
        <v>1.8</v>
      </c>
      <c r="I242" s="59">
        <v>1.9</v>
      </c>
      <c r="J242" s="35">
        <v>234</v>
      </c>
      <c r="K242" s="35" t="s">
        <v>82</v>
      </c>
      <c r="L242" s="35" t="s">
        <v>46</v>
      </c>
      <c r="M242" s="36" t="s">
        <v>81</v>
      </c>
      <c r="N242" s="36"/>
      <c r="O242" s="35">
        <v>40</v>
      </c>
      <c r="P242" s="74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2" s="592"/>
      <c r="R242" s="592"/>
      <c r="S242" s="592"/>
      <c r="T242" s="593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IFERROR(IF(Y242=0,"",ROUNDUP(Y242/H242,0)*0.00502),"")</f>
        <v/>
      </c>
      <c r="AA242" s="65" t="s">
        <v>46</v>
      </c>
      <c r="AB242" s="66" t="s">
        <v>46</v>
      </c>
      <c r="AC242" s="315" t="s">
        <v>415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x14ac:dyDescent="0.2">
      <c r="A243" s="597"/>
      <c r="B243" s="597"/>
      <c r="C243" s="597"/>
      <c r="D243" s="597"/>
      <c r="E243" s="597"/>
      <c r="F243" s="597"/>
      <c r="G243" s="597"/>
      <c r="H243" s="597"/>
      <c r="I243" s="597"/>
      <c r="J243" s="597"/>
      <c r="K243" s="597"/>
      <c r="L243" s="597"/>
      <c r="M243" s="597"/>
      <c r="N243" s="597"/>
      <c r="O243" s="598"/>
      <c r="P243" s="594" t="s">
        <v>40</v>
      </c>
      <c r="Q243" s="595"/>
      <c r="R243" s="595"/>
      <c r="S243" s="595"/>
      <c r="T243" s="595"/>
      <c r="U243" s="595"/>
      <c r="V243" s="596"/>
      <c r="W243" s="40" t="s">
        <v>39</v>
      </c>
      <c r="X243" s="41">
        <f>IFERROR(X235/H235,"0")+IFERROR(X236/H236,"0")+IFERROR(X237/H237,"0")+IFERROR(X238/H238,"0")+IFERROR(X239/H239,"0")+IFERROR(X240/H240,"0")+IFERROR(X241/H241,"0")+IFERROR(X242/H242,"0")</f>
        <v>10</v>
      </c>
      <c r="Y243" s="41">
        <f>IFERROR(Y235/H235,"0")+IFERROR(Y236/H236,"0")+IFERROR(Y237/H237,"0")+IFERROR(Y238/H238,"0")+IFERROR(Y239/H239,"0")+IFERROR(Y240/H240,"0")+IFERROR(Y241/H241,"0")+IFERROR(Y242/H242,"0")</f>
        <v>10</v>
      </c>
      <c r="Z243" s="41">
        <f>IFERROR(IF(Z235="",0,Z235),"0")+IFERROR(IF(Z236="",0,Z236),"0")+IFERROR(IF(Z237="",0,Z237),"0")+IFERROR(IF(Z238="",0,Z238),"0")+IFERROR(IF(Z239="",0,Z239),"0")+IFERROR(IF(Z240="",0,Z240),"0")+IFERROR(IF(Z241="",0,Z241),"0")+IFERROR(IF(Z242="",0,Z242),"0")</f>
        <v>5.0200000000000002E-2</v>
      </c>
      <c r="AA243" s="64"/>
      <c r="AB243" s="64"/>
      <c r="AC243" s="64"/>
    </row>
    <row r="244" spans="1:68" x14ac:dyDescent="0.2">
      <c r="A244" s="597"/>
      <c r="B244" s="597"/>
      <c r="C244" s="597"/>
      <c r="D244" s="597"/>
      <c r="E244" s="597"/>
      <c r="F244" s="597"/>
      <c r="G244" s="597"/>
      <c r="H244" s="597"/>
      <c r="I244" s="597"/>
      <c r="J244" s="597"/>
      <c r="K244" s="597"/>
      <c r="L244" s="597"/>
      <c r="M244" s="597"/>
      <c r="N244" s="597"/>
      <c r="O244" s="598"/>
      <c r="P244" s="594" t="s">
        <v>40</v>
      </c>
      <c r="Q244" s="595"/>
      <c r="R244" s="595"/>
      <c r="S244" s="595"/>
      <c r="T244" s="595"/>
      <c r="U244" s="595"/>
      <c r="V244" s="596"/>
      <c r="W244" s="40" t="s">
        <v>0</v>
      </c>
      <c r="X244" s="41">
        <f>IFERROR(SUM(X235:X242),"0")</f>
        <v>18</v>
      </c>
      <c r="Y244" s="41">
        <f>IFERROR(SUM(Y235:Y242),"0")</f>
        <v>18</v>
      </c>
      <c r="Z244" s="40"/>
      <c r="AA244" s="64"/>
      <c r="AB244" s="64"/>
      <c r="AC244" s="64"/>
    </row>
    <row r="245" spans="1:68" ht="14.25" hidden="1" customHeight="1" x14ac:dyDescent="0.25">
      <c r="A245" s="589" t="s">
        <v>86</v>
      </c>
      <c r="B245" s="589"/>
      <c r="C245" s="589"/>
      <c r="D245" s="589"/>
      <c r="E245" s="589"/>
      <c r="F245" s="589"/>
      <c r="G245" s="589"/>
      <c r="H245" s="589"/>
      <c r="I245" s="589"/>
      <c r="J245" s="589"/>
      <c r="K245" s="589"/>
      <c r="L245" s="589"/>
      <c r="M245" s="589"/>
      <c r="N245" s="589"/>
      <c r="O245" s="589"/>
      <c r="P245" s="589"/>
      <c r="Q245" s="589"/>
      <c r="R245" s="589"/>
      <c r="S245" s="589"/>
      <c r="T245" s="589"/>
      <c r="U245" s="589"/>
      <c r="V245" s="589"/>
      <c r="W245" s="589"/>
      <c r="X245" s="589"/>
      <c r="Y245" s="589"/>
      <c r="Z245" s="589"/>
      <c r="AA245" s="63"/>
      <c r="AB245" s="63"/>
      <c r="AC245" s="63"/>
    </row>
    <row r="246" spans="1:68" ht="37.5" hidden="1" customHeight="1" x14ac:dyDescent="0.25">
      <c r="A246" s="60" t="s">
        <v>424</v>
      </c>
      <c r="B246" s="60" t="s">
        <v>425</v>
      </c>
      <c r="C246" s="34">
        <v>4301051408</v>
      </c>
      <c r="D246" s="590">
        <v>4680115881594</v>
      </c>
      <c r="E246" s="590"/>
      <c r="F246" s="59">
        <v>1.35</v>
      </c>
      <c r="G246" s="35">
        <v>6</v>
      </c>
      <c r="H246" s="59">
        <v>8.1</v>
      </c>
      <c r="I246" s="59">
        <v>8.5939999999999994</v>
      </c>
      <c r="J246" s="35">
        <v>64</v>
      </c>
      <c r="K246" s="35" t="s">
        <v>133</v>
      </c>
      <c r="L246" s="35" t="s">
        <v>46</v>
      </c>
      <c r="M246" s="36" t="s">
        <v>90</v>
      </c>
      <c r="N246" s="36"/>
      <c r="O246" s="35">
        <v>40</v>
      </c>
      <c r="P246" s="7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46" s="592"/>
      <c r="R246" s="592"/>
      <c r="S246" s="592"/>
      <c r="T246" s="59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ref="Y246:Y257" si="37"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17" t="s">
        <v>426</v>
      </c>
      <c r="AG246" s="75"/>
      <c r="AJ246" s="79" t="s">
        <v>46</v>
      </c>
      <c r="AK246" s="79">
        <v>0</v>
      </c>
      <c r="BB246" s="318" t="s">
        <v>67</v>
      </c>
      <c r="BM246" s="75">
        <f t="shared" ref="BM246:BM257" si="38">IFERROR(X246*I246/H246,"0")</f>
        <v>0</v>
      </c>
      <c r="BN246" s="75">
        <f t="shared" ref="BN246:BN257" si="39">IFERROR(Y246*I246/H246,"0")</f>
        <v>0</v>
      </c>
      <c r="BO246" s="75">
        <f t="shared" ref="BO246:BO257" si="40">IFERROR(1/J246*(X246/H246),"0")</f>
        <v>0</v>
      </c>
      <c r="BP246" s="75">
        <f t="shared" ref="BP246:BP257" si="41">IFERROR(1/J246*(Y246/H246),"0")</f>
        <v>0</v>
      </c>
    </row>
    <row r="247" spans="1:68" ht="37.5" hidden="1" customHeight="1" x14ac:dyDescent="0.25">
      <c r="A247" s="60" t="s">
        <v>427</v>
      </c>
      <c r="B247" s="60" t="s">
        <v>428</v>
      </c>
      <c r="C247" s="34">
        <v>4301051411</v>
      </c>
      <c r="D247" s="590">
        <v>4680115881617</v>
      </c>
      <c r="E247" s="590"/>
      <c r="F247" s="59">
        <v>1.35</v>
      </c>
      <c r="G247" s="35">
        <v>6</v>
      </c>
      <c r="H247" s="59">
        <v>8.1</v>
      </c>
      <c r="I247" s="59">
        <v>8.5760000000000005</v>
      </c>
      <c r="J247" s="35">
        <v>64</v>
      </c>
      <c r="K247" s="35" t="s">
        <v>133</v>
      </c>
      <c r="L247" s="35" t="s">
        <v>46</v>
      </c>
      <c r="M247" s="36" t="s">
        <v>90</v>
      </c>
      <c r="N247" s="36"/>
      <c r="O247" s="35">
        <v>40</v>
      </c>
      <c r="P247" s="7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47" s="592"/>
      <c r="R247" s="592"/>
      <c r="S247" s="592"/>
      <c r="T247" s="59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7"/>
        <v>0</v>
      </c>
      <c r="Z247" s="39" t="str">
        <f>IFERROR(IF(Y247=0,"",ROUNDUP(Y247/H247,0)*0.01898),"")</f>
        <v/>
      </c>
      <c r="AA247" s="65" t="s">
        <v>46</v>
      </c>
      <c r="AB247" s="66" t="s">
        <v>46</v>
      </c>
      <c r="AC247" s="319" t="s">
        <v>429</v>
      </c>
      <c r="AG247" s="75"/>
      <c r="AJ247" s="79" t="s">
        <v>46</v>
      </c>
      <c r="AK247" s="79">
        <v>0</v>
      </c>
      <c r="BB247" s="320" t="s">
        <v>67</v>
      </c>
      <c r="BM247" s="75">
        <f t="shared" si="38"/>
        <v>0</v>
      </c>
      <c r="BN247" s="75">
        <f t="shared" si="39"/>
        <v>0</v>
      </c>
      <c r="BO247" s="75">
        <f t="shared" si="40"/>
        <v>0</v>
      </c>
      <c r="BP247" s="75">
        <f t="shared" si="41"/>
        <v>0</v>
      </c>
    </row>
    <row r="248" spans="1:68" ht="27" hidden="1" customHeight="1" x14ac:dyDescent="0.25">
      <c r="A248" s="60" t="s">
        <v>430</v>
      </c>
      <c r="B248" s="60" t="s">
        <v>431</v>
      </c>
      <c r="C248" s="34">
        <v>4301051656</v>
      </c>
      <c r="D248" s="590">
        <v>4680115880573</v>
      </c>
      <c r="E248" s="590"/>
      <c r="F248" s="59">
        <v>1.45</v>
      </c>
      <c r="G248" s="35">
        <v>6</v>
      </c>
      <c r="H248" s="59">
        <v>8.6999999999999993</v>
      </c>
      <c r="I248" s="59">
        <v>9.1940000000000008</v>
      </c>
      <c r="J248" s="35">
        <v>64</v>
      </c>
      <c r="K248" s="35" t="s">
        <v>133</v>
      </c>
      <c r="L248" s="35" t="s">
        <v>46</v>
      </c>
      <c r="M248" s="36" t="s">
        <v>90</v>
      </c>
      <c r="N248" s="36"/>
      <c r="O248" s="35">
        <v>45</v>
      </c>
      <c r="P248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48" s="592"/>
      <c r="R248" s="592"/>
      <c r="S248" s="592"/>
      <c r="T248" s="593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7"/>
        <v>0</v>
      </c>
      <c r="Z248" s="39" t="str">
        <f>IFERROR(IF(Y248=0,"",ROUNDUP(Y248/H248,0)*0.01898),"")</f>
        <v/>
      </c>
      <c r="AA248" s="65" t="s">
        <v>46</v>
      </c>
      <c r="AB248" s="66" t="s">
        <v>46</v>
      </c>
      <c r="AC248" s="321" t="s">
        <v>432</v>
      </c>
      <c r="AG248" s="75"/>
      <c r="AJ248" s="79" t="s">
        <v>46</v>
      </c>
      <c r="AK248" s="79">
        <v>0</v>
      </c>
      <c r="BB248" s="322" t="s">
        <v>67</v>
      </c>
      <c r="BM248" s="75">
        <f t="shared" si="38"/>
        <v>0</v>
      </c>
      <c r="BN248" s="75">
        <f t="shared" si="39"/>
        <v>0</v>
      </c>
      <c r="BO248" s="75">
        <f t="shared" si="40"/>
        <v>0</v>
      </c>
      <c r="BP248" s="75">
        <f t="shared" si="41"/>
        <v>0</v>
      </c>
    </row>
    <row r="249" spans="1:68" ht="37.5" customHeight="1" x14ac:dyDescent="0.25">
      <c r="A249" s="60" t="s">
        <v>433</v>
      </c>
      <c r="B249" s="60" t="s">
        <v>434</v>
      </c>
      <c r="C249" s="34">
        <v>4301051407</v>
      </c>
      <c r="D249" s="590">
        <v>4680115882195</v>
      </c>
      <c r="E249" s="590"/>
      <c r="F249" s="59">
        <v>0.4</v>
      </c>
      <c r="G249" s="35">
        <v>6</v>
      </c>
      <c r="H249" s="59">
        <v>2.4</v>
      </c>
      <c r="I249" s="59">
        <v>2.67</v>
      </c>
      <c r="J249" s="35">
        <v>182</v>
      </c>
      <c r="K249" s="35" t="s">
        <v>91</v>
      </c>
      <c r="L249" s="35" t="s">
        <v>46</v>
      </c>
      <c r="M249" s="36" t="s">
        <v>90</v>
      </c>
      <c r="N249" s="36"/>
      <c r="O249" s="35">
        <v>40</v>
      </c>
      <c r="P249" s="73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49" s="592"/>
      <c r="R249" s="592"/>
      <c r="S249" s="592"/>
      <c r="T249" s="593"/>
      <c r="U249" s="37" t="s">
        <v>46</v>
      </c>
      <c r="V249" s="37" t="s">
        <v>46</v>
      </c>
      <c r="W249" s="38" t="s">
        <v>0</v>
      </c>
      <c r="X249" s="56">
        <v>12</v>
      </c>
      <c r="Y249" s="53">
        <f t="shared" si="37"/>
        <v>12</v>
      </c>
      <c r="Z249" s="39">
        <f>IFERROR(IF(Y249=0,"",ROUNDUP(Y249/H249,0)*0.00651),"")</f>
        <v>3.2550000000000003E-2</v>
      </c>
      <c r="AA249" s="65" t="s">
        <v>46</v>
      </c>
      <c r="AB249" s="66" t="s">
        <v>46</v>
      </c>
      <c r="AC249" s="323" t="s">
        <v>426</v>
      </c>
      <c r="AG249" s="75"/>
      <c r="AJ249" s="79" t="s">
        <v>46</v>
      </c>
      <c r="AK249" s="79">
        <v>0</v>
      </c>
      <c r="BB249" s="324" t="s">
        <v>67</v>
      </c>
      <c r="BM249" s="75">
        <f t="shared" si="38"/>
        <v>13.35</v>
      </c>
      <c r="BN249" s="75">
        <f t="shared" si="39"/>
        <v>13.35</v>
      </c>
      <c r="BO249" s="75">
        <f t="shared" si="40"/>
        <v>2.7472527472527476E-2</v>
      </c>
      <c r="BP249" s="75">
        <f t="shared" si="41"/>
        <v>2.7472527472527476E-2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4301051752</v>
      </c>
      <c r="D250" s="590">
        <v>4680115882607</v>
      </c>
      <c r="E250" s="590"/>
      <c r="F250" s="59">
        <v>0.3</v>
      </c>
      <c r="G250" s="35">
        <v>6</v>
      </c>
      <c r="H250" s="59">
        <v>1.8</v>
      </c>
      <c r="I250" s="59">
        <v>2.052</v>
      </c>
      <c r="J250" s="35">
        <v>182</v>
      </c>
      <c r="K250" s="35" t="s">
        <v>91</v>
      </c>
      <c r="L250" s="35" t="s">
        <v>46</v>
      </c>
      <c r="M250" s="36" t="s">
        <v>97</v>
      </c>
      <c r="N250" s="36"/>
      <c r="O250" s="35">
        <v>45</v>
      </c>
      <c r="P250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0" s="592"/>
      <c r="R250" s="592"/>
      <c r="S250" s="592"/>
      <c r="T250" s="593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7"/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5" t="s">
        <v>432</v>
      </c>
      <c r="AG250" s="75"/>
      <c r="AJ250" s="79" t="s">
        <v>46</v>
      </c>
      <c r="AK250" s="79">
        <v>0</v>
      </c>
      <c r="BB250" s="326" t="s">
        <v>67</v>
      </c>
      <c r="BM250" s="75">
        <f t="shared" si="38"/>
        <v>0</v>
      </c>
      <c r="BN250" s="75">
        <f t="shared" si="39"/>
        <v>0</v>
      </c>
      <c r="BO250" s="75">
        <f t="shared" si="40"/>
        <v>0</v>
      </c>
      <c r="BP250" s="75">
        <f t="shared" si="41"/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4301052143</v>
      </c>
      <c r="D251" s="590">
        <v>4680115882607</v>
      </c>
      <c r="E251" s="590"/>
      <c r="F251" s="59">
        <v>0.3</v>
      </c>
      <c r="G251" s="35">
        <v>6</v>
      </c>
      <c r="H251" s="59">
        <v>1.8</v>
      </c>
      <c r="I251" s="59">
        <v>2.0619999999999998</v>
      </c>
      <c r="J251" s="35">
        <v>132</v>
      </c>
      <c r="K251" s="35" t="s">
        <v>140</v>
      </c>
      <c r="L251" s="35" t="s">
        <v>46</v>
      </c>
      <c r="M251" s="36" t="s">
        <v>90</v>
      </c>
      <c r="N251" s="36"/>
      <c r="O251" s="35">
        <v>45</v>
      </c>
      <c r="P251" s="73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1" s="592"/>
      <c r="R251" s="592"/>
      <c r="S251" s="592"/>
      <c r="T251" s="593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customHeight="1" x14ac:dyDescent="0.25">
      <c r="A252" s="60" t="s">
        <v>440</v>
      </c>
      <c r="B252" s="60" t="s">
        <v>441</v>
      </c>
      <c r="C252" s="34">
        <v>4301051666</v>
      </c>
      <c r="D252" s="590">
        <v>4680115880092</v>
      </c>
      <c r="E252" s="590"/>
      <c r="F252" s="59">
        <v>0.4</v>
      </c>
      <c r="G252" s="35">
        <v>6</v>
      </c>
      <c r="H252" s="59">
        <v>2.4</v>
      </c>
      <c r="I252" s="59">
        <v>2.6520000000000001</v>
      </c>
      <c r="J252" s="35">
        <v>182</v>
      </c>
      <c r="K252" s="35" t="s">
        <v>91</v>
      </c>
      <c r="L252" s="35" t="s">
        <v>46</v>
      </c>
      <c r="M252" s="36" t="s">
        <v>90</v>
      </c>
      <c r="N252" s="36"/>
      <c r="O252" s="35">
        <v>45</v>
      </c>
      <c r="P25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2" s="592"/>
      <c r="R252" s="592"/>
      <c r="S252" s="592"/>
      <c r="T252" s="593"/>
      <c r="U252" s="37" t="s">
        <v>46</v>
      </c>
      <c r="V252" s="37" t="s">
        <v>46</v>
      </c>
      <c r="W252" s="38" t="s">
        <v>0</v>
      </c>
      <c r="X252" s="56">
        <v>32</v>
      </c>
      <c r="Y252" s="53">
        <f t="shared" si="37"/>
        <v>33.6</v>
      </c>
      <c r="Z252" s="39">
        <f>IFERROR(IF(Y252=0,"",ROUNDUP(Y252/H252,0)*0.00651),"")</f>
        <v>9.1139999999999999E-2</v>
      </c>
      <c r="AA252" s="65" t="s">
        <v>46</v>
      </c>
      <c r="AB252" s="66" t="s">
        <v>46</v>
      </c>
      <c r="AC252" s="329" t="s">
        <v>432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35.360000000000007</v>
      </c>
      <c r="BN252" s="75">
        <f t="shared" si="39"/>
        <v>37.128000000000007</v>
      </c>
      <c r="BO252" s="75">
        <f t="shared" si="40"/>
        <v>7.3260073260073263E-2</v>
      </c>
      <c r="BP252" s="75">
        <f t="shared" si="41"/>
        <v>7.6923076923076941E-2</v>
      </c>
    </row>
    <row r="253" spans="1:68" ht="27" hidden="1" customHeight="1" x14ac:dyDescent="0.25">
      <c r="A253" s="60" t="s">
        <v>442</v>
      </c>
      <c r="B253" s="60" t="s">
        <v>443</v>
      </c>
      <c r="C253" s="34">
        <v>4301052214</v>
      </c>
      <c r="D253" s="590">
        <v>4680115889064</v>
      </c>
      <c r="E253" s="590"/>
      <c r="F253" s="59">
        <v>0.7</v>
      </c>
      <c r="G253" s="35">
        <v>6</v>
      </c>
      <c r="H253" s="59">
        <v>4.2</v>
      </c>
      <c r="I253" s="59">
        <v>4.6159999999999997</v>
      </c>
      <c r="J253" s="35">
        <v>104</v>
      </c>
      <c r="K253" s="35" t="s">
        <v>133</v>
      </c>
      <c r="L253" s="35" t="s">
        <v>46</v>
      </c>
      <c r="M253" s="36" t="s">
        <v>90</v>
      </c>
      <c r="N253" s="36"/>
      <c r="O253" s="35">
        <v>45</v>
      </c>
      <c r="P253" s="73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3" s="592"/>
      <c r="R253" s="592"/>
      <c r="S253" s="592"/>
      <c r="T253" s="593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7"/>
        <v>0</v>
      </c>
      <c r="Z253" s="39" t="str">
        <f>IFERROR(IF(Y253=0,"",ROUNDUP(Y253/H253,0)*0.01196),"")</f>
        <v/>
      </c>
      <c r="AA253" s="65" t="s">
        <v>46</v>
      </c>
      <c r="AB253" s="66" t="s">
        <v>46</v>
      </c>
      <c r="AC253" s="331" t="s">
        <v>439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0</v>
      </c>
      <c r="BN253" s="75">
        <f t="shared" si="39"/>
        <v>0</v>
      </c>
      <c r="BO253" s="75">
        <f t="shared" si="40"/>
        <v>0</v>
      </c>
      <c r="BP253" s="75">
        <f t="shared" si="41"/>
        <v>0</v>
      </c>
    </row>
    <row r="254" spans="1:68" ht="27" hidden="1" customHeight="1" x14ac:dyDescent="0.25">
      <c r="A254" s="60" t="s">
        <v>444</v>
      </c>
      <c r="B254" s="60" t="s">
        <v>445</v>
      </c>
      <c r="C254" s="34">
        <v>4301051668</v>
      </c>
      <c r="D254" s="590">
        <v>4680115880221</v>
      </c>
      <c r="E254" s="590"/>
      <c r="F254" s="59">
        <v>0.4</v>
      </c>
      <c r="G254" s="35">
        <v>6</v>
      </c>
      <c r="H254" s="59">
        <v>2.4</v>
      </c>
      <c r="I254" s="59">
        <v>2.6520000000000001</v>
      </c>
      <c r="J254" s="35">
        <v>182</v>
      </c>
      <c r="K254" s="35" t="s">
        <v>91</v>
      </c>
      <c r="L254" s="35" t="s">
        <v>46</v>
      </c>
      <c r="M254" s="36" t="s">
        <v>90</v>
      </c>
      <c r="N254" s="36"/>
      <c r="O254" s="35">
        <v>45</v>
      </c>
      <c r="P254" s="7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4" s="592"/>
      <c r="R254" s="592"/>
      <c r="S254" s="592"/>
      <c r="T254" s="59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432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446</v>
      </c>
      <c r="B255" s="60" t="s">
        <v>447</v>
      </c>
      <c r="C255" s="34">
        <v>4301051945</v>
      </c>
      <c r="D255" s="590">
        <v>4680115880504</v>
      </c>
      <c r="E255" s="590"/>
      <c r="F255" s="59">
        <v>0.4</v>
      </c>
      <c r="G255" s="35">
        <v>6</v>
      </c>
      <c r="H255" s="59">
        <v>2.4</v>
      </c>
      <c r="I255" s="59">
        <v>2.6520000000000001</v>
      </c>
      <c r="J255" s="35">
        <v>182</v>
      </c>
      <c r="K255" s="35" t="s">
        <v>91</v>
      </c>
      <c r="L255" s="35" t="s">
        <v>46</v>
      </c>
      <c r="M255" s="36" t="s">
        <v>97</v>
      </c>
      <c r="N255" s="36"/>
      <c r="O255" s="35">
        <v>40</v>
      </c>
      <c r="P255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5" s="592"/>
      <c r="R255" s="592"/>
      <c r="S255" s="592"/>
      <c r="T255" s="59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35" t="s">
        <v>448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customHeight="1" x14ac:dyDescent="0.25">
      <c r="A256" s="60" t="s">
        <v>449</v>
      </c>
      <c r="B256" s="60" t="s">
        <v>450</v>
      </c>
      <c r="C256" s="34">
        <v>4301051410</v>
      </c>
      <c r="D256" s="590">
        <v>4680115882164</v>
      </c>
      <c r="E256" s="590"/>
      <c r="F256" s="59">
        <v>0.4</v>
      </c>
      <c r="G256" s="35">
        <v>6</v>
      </c>
      <c r="H256" s="59">
        <v>2.4</v>
      </c>
      <c r="I256" s="59">
        <v>2.6579999999999999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40</v>
      </c>
      <c r="P256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56" s="592"/>
      <c r="R256" s="592"/>
      <c r="S256" s="592"/>
      <c r="T256" s="593"/>
      <c r="U256" s="37" t="s">
        <v>46</v>
      </c>
      <c r="V256" s="37" t="s">
        <v>46</v>
      </c>
      <c r="W256" s="38" t="s">
        <v>0</v>
      </c>
      <c r="X256" s="56">
        <v>8</v>
      </c>
      <c r="Y256" s="53">
        <f t="shared" si="37"/>
        <v>9.6</v>
      </c>
      <c r="Z256" s="39">
        <f>IFERROR(IF(Y256=0,"",ROUNDUP(Y256/H256,0)*0.00651),"")</f>
        <v>2.6040000000000001E-2</v>
      </c>
      <c r="AA256" s="65" t="s">
        <v>46</v>
      </c>
      <c r="AB256" s="66" t="s">
        <v>46</v>
      </c>
      <c r="AC256" s="337" t="s">
        <v>451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8.86</v>
      </c>
      <c r="BN256" s="75">
        <f t="shared" si="39"/>
        <v>10.632</v>
      </c>
      <c r="BO256" s="75">
        <f t="shared" si="40"/>
        <v>1.8315018315018316E-2</v>
      </c>
      <c r="BP256" s="75">
        <f t="shared" si="41"/>
        <v>2.197802197802198E-2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4301052180</v>
      </c>
      <c r="D257" s="590">
        <v>4680115888340</v>
      </c>
      <c r="E257" s="590"/>
      <c r="F257" s="59">
        <v>0.4</v>
      </c>
      <c r="G257" s="35">
        <v>6</v>
      </c>
      <c r="H257" s="59">
        <v>2.4</v>
      </c>
      <c r="I257" s="59">
        <v>2.6520000000000001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45</v>
      </c>
      <c r="P257" s="72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57" s="592"/>
      <c r="R257" s="592"/>
      <c r="S257" s="592"/>
      <c r="T257" s="593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454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x14ac:dyDescent="0.2">
      <c r="A258" s="597"/>
      <c r="B258" s="597"/>
      <c r="C258" s="597"/>
      <c r="D258" s="597"/>
      <c r="E258" s="597"/>
      <c r="F258" s="597"/>
      <c r="G258" s="597"/>
      <c r="H258" s="597"/>
      <c r="I258" s="597"/>
      <c r="J258" s="597"/>
      <c r="K258" s="597"/>
      <c r="L258" s="597"/>
      <c r="M258" s="597"/>
      <c r="N258" s="597"/>
      <c r="O258" s="598"/>
      <c r="P258" s="594" t="s">
        <v>40</v>
      </c>
      <c r="Q258" s="595"/>
      <c r="R258" s="595"/>
      <c r="S258" s="595"/>
      <c r="T258" s="595"/>
      <c r="U258" s="595"/>
      <c r="V258" s="596"/>
      <c r="W258" s="40" t="s">
        <v>39</v>
      </c>
      <c r="X258" s="41">
        <f>IFERROR(X246/H246,"0")+IFERROR(X247/H247,"0")+IFERROR(X248/H248,"0")+IFERROR(X249/H249,"0")+IFERROR(X250/H250,"0")+IFERROR(X251/H251,"0")+IFERROR(X252/H252,"0")+IFERROR(X253/H253,"0")+IFERROR(X254/H254,"0")+IFERROR(X255/H255,"0")+IFERROR(X256/H256,"0")+IFERROR(X257/H257,"0")</f>
        <v>21.666666666666668</v>
      </c>
      <c r="Y258" s="41">
        <f>IFERROR(Y246/H246,"0")+IFERROR(Y247/H247,"0")+IFERROR(Y248/H248,"0")+IFERROR(Y249/H249,"0")+IFERROR(Y250/H250,"0")+IFERROR(Y251/H251,"0")+IFERROR(Y252/H252,"0")+IFERROR(Y253/H253,"0")+IFERROR(Y254/H254,"0")+IFERROR(Y255/H255,"0")+IFERROR(Y256/H256,"0")+IFERROR(Y257/H257,"0")</f>
        <v>23</v>
      </c>
      <c r="Z258" s="41">
        <f>IFERROR(IF(Z246="",0,Z246),"0")+IFERROR(IF(Z247="",0,Z247),"0")+IFERROR(IF(Z248="",0,Z248),"0")+IFERROR(IF(Z249="",0,Z249),"0")+IFERROR(IF(Z250="",0,Z250),"0")+IFERROR(IF(Z251="",0,Z251),"0")+IFERROR(IF(Z252="",0,Z252),"0")+IFERROR(IF(Z253="",0,Z253),"0")+IFERROR(IF(Z254="",0,Z254),"0")+IFERROR(IF(Z255="",0,Z255),"0")+IFERROR(IF(Z256="",0,Z256),"0")+IFERROR(IF(Z257="",0,Z257),"0")</f>
        <v>0.14973</v>
      </c>
      <c r="AA258" s="64"/>
      <c r="AB258" s="64"/>
      <c r="AC258" s="64"/>
    </row>
    <row r="259" spans="1:68" x14ac:dyDescent="0.2">
      <c r="A259" s="597"/>
      <c r="B259" s="597"/>
      <c r="C259" s="597"/>
      <c r="D259" s="597"/>
      <c r="E259" s="597"/>
      <c r="F259" s="597"/>
      <c r="G259" s="597"/>
      <c r="H259" s="597"/>
      <c r="I259" s="597"/>
      <c r="J259" s="597"/>
      <c r="K259" s="597"/>
      <c r="L259" s="597"/>
      <c r="M259" s="597"/>
      <c r="N259" s="597"/>
      <c r="O259" s="598"/>
      <c r="P259" s="594" t="s">
        <v>40</v>
      </c>
      <c r="Q259" s="595"/>
      <c r="R259" s="595"/>
      <c r="S259" s="595"/>
      <c r="T259" s="595"/>
      <c r="U259" s="595"/>
      <c r="V259" s="596"/>
      <c r="W259" s="40" t="s">
        <v>0</v>
      </c>
      <c r="X259" s="41">
        <f>IFERROR(SUM(X246:X257),"0")</f>
        <v>52</v>
      </c>
      <c r="Y259" s="41">
        <f>IFERROR(SUM(Y246:Y257),"0")</f>
        <v>55.2</v>
      </c>
      <c r="Z259" s="40"/>
      <c r="AA259" s="64"/>
      <c r="AB259" s="64"/>
      <c r="AC259" s="64"/>
    </row>
    <row r="260" spans="1:68" ht="14.25" hidden="1" customHeight="1" x14ac:dyDescent="0.25">
      <c r="A260" s="589" t="s">
        <v>180</v>
      </c>
      <c r="B260" s="589"/>
      <c r="C260" s="589"/>
      <c r="D260" s="589"/>
      <c r="E260" s="589"/>
      <c r="F260" s="589"/>
      <c r="G260" s="589"/>
      <c r="H260" s="589"/>
      <c r="I260" s="589"/>
      <c r="J260" s="589"/>
      <c r="K260" s="589"/>
      <c r="L260" s="589"/>
      <c r="M260" s="589"/>
      <c r="N260" s="589"/>
      <c r="O260" s="589"/>
      <c r="P260" s="589"/>
      <c r="Q260" s="589"/>
      <c r="R260" s="589"/>
      <c r="S260" s="589"/>
      <c r="T260" s="589"/>
      <c r="U260" s="589"/>
      <c r="V260" s="589"/>
      <c r="W260" s="589"/>
      <c r="X260" s="589"/>
      <c r="Y260" s="589"/>
      <c r="Z260" s="589"/>
      <c r="AA260" s="63"/>
      <c r="AB260" s="63"/>
      <c r="AC260" s="63"/>
    </row>
    <row r="261" spans="1:68" ht="27" hidden="1" customHeight="1" x14ac:dyDescent="0.25">
      <c r="A261" s="60" t="s">
        <v>455</v>
      </c>
      <c r="B261" s="60" t="s">
        <v>456</v>
      </c>
      <c r="C261" s="34">
        <v>4301060463</v>
      </c>
      <c r="D261" s="590">
        <v>4680115880818</v>
      </c>
      <c r="E261" s="590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97</v>
      </c>
      <c r="N261" s="36"/>
      <c r="O261" s="35">
        <v>40</v>
      </c>
      <c r="P261" s="7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1" s="592"/>
      <c r="R261" s="592"/>
      <c r="S261" s="592"/>
      <c r="T261" s="593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1" t="s">
        <v>457</v>
      </c>
      <c r="AG261" s="75"/>
      <c r="AJ261" s="79" t="s">
        <v>46</v>
      </c>
      <c r="AK261" s="79">
        <v>0</v>
      </c>
      <c r="BB261" s="342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37.5" hidden="1" customHeight="1" x14ac:dyDescent="0.25">
      <c r="A262" s="60" t="s">
        <v>458</v>
      </c>
      <c r="B262" s="60" t="s">
        <v>459</v>
      </c>
      <c r="C262" s="34">
        <v>4301060389</v>
      </c>
      <c r="D262" s="590">
        <v>4680115880801</v>
      </c>
      <c r="E262" s="590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40</v>
      </c>
      <c r="P262" s="7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2" s="592"/>
      <c r="R262" s="592"/>
      <c r="S262" s="592"/>
      <c r="T262" s="59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3" t="s">
        <v>460</v>
      </c>
      <c r="AG262" s="75"/>
      <c r="AJ262" s="79" t="s">
        <v>46</v>
      </c>
      <c r="AK262" s="79">
        <v>0</v>
      </c>
      <c r="BB262" s="344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597"/>
      <c r="B263" s="597"/>
      <c r="C263" s="597"/>
      <c r="D263" s="597"/>
      <c r="E263" s="597"/>
      <c r="F263" s="597"/>
      <c r="G263" s="597"/>
      <c r="H263" s="597"/>
      <c r="I263" s="597"/>
      <c r="J263" s="597"/>
      <c r="K263" s="597"/>
      <c r="L263" s="597"/>
      <c r="M263" s="597"/>
      <c r="N263" s="597"/>
      <c r="O263" s="598"/>
      <c r="P263" s="594" t="s">
        <v>40</v>
      </c>
      <c r="Q263" s="595"/>
      <c r="R263" s="595"/>
      <c r="S263" s="595"/>
      <c r="T263" s="595"/>
      <c r="U263" s="595"/>
      <c r="V263" s="596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597"/>
      <c r="B264" s="597"/>
      <c r="C264" s="597"/>
      <c r="D264" s="597"/>
      <c r="E264" s="597"/>
      <c r="F264" s="597"/>
      <c r="G264" s="597"/>
      <c r="H264" s="597"/>
      <c r="I264" s="597"/>
      <c r="J264" s="597"/>
      <c r="K264" s="597"/>
      <c r="L264" s="597"/>
      <c r="M264" s="597"/>
      <c r="N264" s="597"/>
      <c r="O264" s="598"/>
      <c r="P264" s="594" t="s">
        <v>40</v>
      </c>
      <c r="Q264" s="595"/>
      <c r="R264" s="595"/>
      <c r="S264" s="595"/>
      <c r="T264" s="595"/>
      <c r="U264" s="595"/>
      <c r="V264" s="596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6.5" hidden="1" customHeight="1" x14ac:dyDescent="0.25">
      <c r="A265" s="605" t="s">
        <v>461</v>
      </c>
      <c r="B265" s="605"/>
      <c r="C265" s="605"/>
      <c r="D265" s="605"/>
      <c r="E265" s="605"/>
      <c r="F265" s="605"/>
      <c r="G265" s="605"/>
      <c r="H265" s="605"/>
      <c r="I265" s="605"/>
      <c r="J265" s="605"/>
      <c r="K265" s="605"/>
      <c r="L265" s="605"/>
      <c r="M265" s="605"/>
      <c r="N265" s="605"/>
      <c r="O265" s="605"/>
      <c r="P265" s="605"/>
      <c r="Q265" s="605"/>
      <c r="R265" s="605"/>
      <c r="S265" s="605"/>
      <c r="T265" s="605"/>
      <c r="U265" s="605"/>
      <c r="V265" s="605"/>
      <c r="W265" s="605"/>
      <c r="X265" s="605"/>
      <c r="Y265" s="605"/>
      <c r="Z265" s="605"/>
      <c r="AA265" s="62"/>
      <c r="AB265" s="62"/>
      <c r="AC265" s="62"/>
    </row>
    <row r="266" spans="1:68" ht="14.25" hidden="1" customHeight="1" x14ac:dyDescent="0.25">
      <c r="A266" s="589" t="s">
        <v>128</v>
      </c>
      <c r="B266" s="589"/>
      <c r="C266" s="589"/>
      <c r="D266" s="589"/>
      <c r="E266" s="589"/>
      <c r="F266" s="589"/>
      <c r="G266" s="589"/>
      <c r="H266" s="589"/>
      <c r="I266" s="589"/>
      <c r="J266" s="589"/>
      <c r="K266" s="589"/>
      <c r="L266" s="589"/>
      <c r="M266" s="589"/>
      <c r="N266" s="589"/>
      <c r="O266" s="589"/>
      <c r="P266" s="589"/>
      <c r="Q266" s="589"/>
      <c r="R266" s="589"/>
      <c r="S266" s="589"/>
      <c r="T266" s="589"/>
      <c r="U266" s="589"/>
      <c r="V266" s="589"/>
      <c r="W266" s="589"/>
      <c r="X266" s="589"/>
      <c r="Y266" s="589"/>
      <c r="Z266" s="589"/>
      <c r="AA266" s="63"/>
      <c r="AB266" s="63"/>
      <c r="AC266" s="63"/>
    </row>
    <row r="267" spans="1:68" ht="27" hidden="1" customHeight="1" x14ac:dyDescent="0.25">
      <c r="A267" s="60" t="s">
        <v>462</v>
      </c>
      <c r="B267" s="60" t="s">
        <v>463</v>
      </c>
      <c r="C267" s="34">
        <v>4301011826</v>
      </c>
      <c r="D267" s="590">
        <v>4680115884137</v>
      </c>
      <c r="E267" s="590"/>
      <c r="F267" s="59">
        <v>1.45</v>
      </c>
      <c r="G267" s="35">
        <v>8</v>
      </c>
      <c r="H267" s="59">
        <v>11.6</v>
      </c>
      <c r="I267" s="59">
        <v>12.01</v>
      </c>
      <c r="J267" s="35">
        <v>64</v>
      </c>
      <c r="K267" s="35" t="s">
        <v>133</v>
      </c>
      <c r="L267" s="35" t="s">
        <v>46</v>
      </c>
      <c r="M267" s="36" t="s">
        <v>132</v>
      </c>
      <c r="N267" s="36"/>
      <c r="O267" s="35">
        <v>55</v>
      </c>
      <c r="P267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67" s="592"/>
      <c r="R267" s="592"/>
      <c r="S267" s="592"/>
      <c r="T267" s="59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3" si="42"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45" t="s">
        <v>464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3" si="43">IFERROR(X267*I267/H267,"0")</f>
        <v>0</v>
      </c>
      <c r="BN267" s="75">
        <f t="shared" ref="BN267:BN273" si="44">IFERROR(Y267*I267/H267,"0")</f>
        <v>0</v>
      </c>
      <c r="BO267" s="75">
        <f t="shared" ref="BO267:BO273" si="45">IFERROR(1/J267*(X267/H267),"0")</f>
        <v>0</v>
      </c>
      <c r="BP267" s="75">
        <f t="shared" ref="BP267:BP273" si="46">IFERROR(1/J267*(Y267/H267),"0")</f>
        <v>0</v>
      </c>
    </row>
    <row r="268" spans="1:68" ht="27" hidden="1" customHeight="1" x14ac:dyDescent="0.25">
      <c r="A268" s="60" t="s">
        <v>465</v>
      </c>
      <c r="B268" s="60" t="s">
        <v>466</v>
      </c>
      <c r="C268" s="34">
        <v>4301011724</v>
      </c>
      <c r="D268" s="590">
        <v>4680115884236</v>
      </c>
      <c r="E268" s="590"/>
      <c r="F268" s="59">
        <v>1.45</v>
      </c>
      <c r="G268" s="35">
        <v>8</v>
      </c>
      <c r="H268" s="59">
        <v>11.6</v>
      </c>
      <c r="I268" s="59">
        <v>12.01</v>
      </c>
      <c r="J268" s="35">
        <v>64</v>
      </c>
      <c r="K268" s="35" t="s">
        <v>133</v>
      </c>
      <c r="L268" s="35" t="s">
        <v>46</v>
      </c>
      <c r="M268" s="36" t="s">
        <v>132</v>
      </c>
      <c r="N268" s="36"/>
      <c r="O268" s="35">
        <v>55</v>
      </c>
      <c r="P268" s="7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68" s="592"/>
      <c r="R268" s="592"/>
      <c r="S268" s="592"/>
      <c r="T268" s="593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42"/>
        <v>0</v>
      </c>
      <c r="Z268" s="39" t="str">
        <f>IFERROR(IF(Y268=0,"",ROUNDUP(Y268/H268,0)*0.01898),"")</f>
        <v/>
      </c>
      <c r="AA268" s="65" t="s">
        <v>46</v>
      </c>
      <c r="AB268" s="66" t="s">
        <v>46</v>
      </c>
      <c r="AC268" s="347" t="s">
        <v>467</v>
      </c>
      <c r="AG268" s="75"/>
      <c r="AJ268" s="79" t="s">
        <v>46</v>
      </c>
      <c r="AK268" s="79">
        <v>0</v>
      </c>
      <c r="BB268" s="348" t="s">
        <v>67</v>
      </c>
      <c r="BM268" s="75">
        <f t="shared" si="43"/>
        <v>0</v>
      </c>
      <c r="BN268" s="75">
        <f t="shared" si="44"/>
        <v>0</v>
      </c>
      <c r="BO268" s="75">
        <f t="shared" si="45"/>
        <v>0</v>
      </c>
      <c r="BP268" s="75">
        <f t="shared" si="46"/>
        <v>0</v>
      </c>
    </row>
    <row r="269" spans="1:68" ht="27" hidden="1" customHeight="1" x14ac:dyDescent="0.25">
      <c r="A269" s="60" t="s">
        <v>468</v>
      </c>
      <c r="B269" s="60" t="s">
        <v>469</v>
      </c>
      <c r="C269" s="34">
        <v>4301011721</v>
      </c>
      <c r="D269" s="590">
        <v>4680115884175</v>
      </c>
      <c r="E269" s="590"/>
      <c r="F269" s="59">
        <v>1.45</v>
      </c>
      <c r="G269" s="35">
        <v>8</v>
      </c>
      <c r="H269" s="59">
        <v>11.6</v>
      </c>
      <c r="I269" s="59">
        <v>12.01</v>
      </c>
      <c r="J269" s="35">
        <v>64</v>
      </c>
      <c r="K269" s="35" t="s">
        <v>133</v>
      </c>
      <c r="L269" s="35" t="s">
        <v>46</v>
      </c>
      <c r="M269" s="36" t="s">
        <v>132</v>
      </c>
      <c r="N269" s="36"/>
      <c r="O269" s="35">
        <v>55</v>
      </c>
      <c r="P269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69" s="592"/>
      <c r="R269" s="592"/>
      <c r="S269" s="592"/>
      <c r="T269" s="59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42"/>
        <v>0</v>
      </c>
      <c r="Z269" s="39" t="str">
        <f>IFERROR(IF(Y269=0,"",ROUNDUP(Y269/H269,0)*0.01898),"")</f>
        <v/>
      </c>
      <c r="AA269" s="65" t="s">
        <v>46</v>
      </c>
      <c r="AB269" s="66" t="s">
        <v>46</v>
      </c>
      <c r="AC269" s="349" t="s">
        <v>330</v>
      </c>
      <c r="AG269" s="75"/>
      <c r="AJ269" s="79" t="s">
        <v>46</v>
      </c>
      <c r="AK269" s="79">
        <v>0</v>
      </c>
      <c r="BB269" s="350" t="s">
        <v>67</v>
      </c>
      <c r="BM269" s="75">
        <f t="shared" si="43"/>
        <v>0</v>
      </c>
      <c r="BN269" s="75">
        <f t="shared" si="44"/>
        <v>0</v>
      </c>
      <c r="BO269" s="75">
        <f t="shared" si="45"/>
        <v>0</v>
      </c>
      <c r="BP269" s="75">
        <f t="shared" si="46"/>
        <v>0</v>
      </c>
    </row>
    <row r="270" spans="1:68" ht="27" hidden="1" customHeight="1" x14ac:dyDescent="0.25">
      <c r="A270" s="60" t="s">
        <v>470</v>
      </c>
      <c r="B270" s="60" t="s">
        <v>471</v>
      </c>
      <c r="C270" s="34">
        <v>4301011824</v>
      </c>
      <c r="D270" s="590">
        <v>4680115884144</v>
      </c>
      <c r="E270" s="590"/>
      <c r="F270" s="59">
        <v>0.4</v>
      </c>
      <c r="G270" s="35">
        <v>10</v>
      </c>
      <c r="H270" s="59">
        <v>4</v>
      </c>
      <c r="I270" s="59">
        <v>4.1900000000000004</v>
      </c>
      <c r="J270" s="35">
        <v>132</v>
      </c>
      <c r="K270" s="35" t="s">
        <v>140</v>
      </c>
      <c r="L270" s="35" t="s">
        <v>46</v>
      </c>
      <c r="M270" s="36" t="s">
        <v>132</v>
      </c>
      <c r="N270" s="36"/>
      <c r="O270" s="35">
        <v>55</v>
      </c>
      <c r="P270" s="72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0" s="592"/>
      <c r="R270" s="592"/>
      <c r="S270" s="592"/>
      <c r="T270" s="59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2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43"/>
        <v>0</v>
      </c>
      <c r="BN270" s="75">
        <f t="shared" si="44"/>
        <v>0</v>
      </c>
      <c r="BO270" s="75">
        <f t="shared" si="45"/>
        <v>0</v>
      </c>
      <c r="BP270" s="75">
        <f t="shared" si="46"/>
        <v>0</v>
      </c>
    </row>
    <row r="271" spans="1:68" ht="27" hidden="1" customHeight="1" x14ac:dyDescent="0.25">
      <c r="A271" s="60" t="s">
        <v>472</v>
      </c>
      <c r="B271" s="60" t="s">
        <v>473</v>
      </c>
      <c r="C271" s="34">
        <v>4301012149</v>
      </c>
      <c r="D271" s="590">
        <v>4680115886551</v>
      </c>
      <c r="E271" s="590"/>
      <c r="F271" s="59">
        <v>0.4</v>
      </c>
      <c r="G271" s="35">
        <v>10</v>
      </c>
      <c r="H271" s="59">
        <v>4</v>
      </c>
      <c r="I271" s="59">
        <v>4.1900000000000004</v>
      </c>
      <c r="J271" s="35">
        <v>132</v>
      </c>
      <c r="K271" s="35" t="s">
        <v>140</v>
      </c>
      <c r="L271" s="35" t="s">
        <v>46</v>
      </c>
      <c r="M271" s="36" t="s">
        <v>132</v>
      </c>
      <c r="N271" s="36"/>
      <c r="O271" s="35">
        <v>55</v>
      </c>
      <c r="P271" s="7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1" s="592"/>
      <c r="R271" s="592"/>
      <c r="S271" s="592"/>
      <c r="T271" s="59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2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si="43"/>
        <v>0</v>
      </c>
      <c r="BN271" s="75">
        <f t="shared" si="44"/>
        <v>0</v>
      </c>
      <c r="BO271" s="75">
        <f t="shared" si="45"/>
        <v>0</v>
      </c>
      <c r="BP271" s="75">
        <f t="shared" si="46"/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4301012228</v>
      </c>
      <c r="D272" s="590">
        <v>4680115887282</v>
      </c>
      <c r="E272" s="590"/>
      <c r="F272" s="59">
        <v>0.4</v>
      </c>
      <c r="G272" s="35">
        <v>6</v>
      </c>
      <c r="H272" s="59">
        <v>2.4</v>
      </c>
      <c r="I272" s="59">
        <v>2.58</v>
      </c>
      <c r="J272" s="35">
        <v>182</v>
      </c>
      <c r="K272" s="35" t="s">
        <v>91</v>
      </c>
      <c r="L272" s="35" t="s">
        <v>46</v>
      </c>
      <c r="M272" s="36" t="s">
        <v>132</v>
      </c>
      <c r="N272" s="36"/>
      <c r="O272" s="35">
        <v>55</v>
      </c>
      <c r="P272" s="7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2" s="592"/>
      <c r="R272" s="592"/>
      <c r="S272" s="592"/>
      <c r="T272" s="59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4301011722</v>
      </c>
      <c r="D273" s="590">
        <v>4680115884205</v>
      </c>
      <c r="E273" s="590"/>
      <c r="F273" s="59">
        <v>0.4</v>
      </c>
      <c r="G273" s="35">
        <v>10</v>
      </c>
      <c r="H273" s="59">
        <v>4</v>
      </c>
      <c r="I273" s="59">
        <v>4.1900000000000004</v>
      </c>
      <c r="J273" s="35">
        <v>132</v>
      </c>
      <c r="K273" s="35" t="s">
        <v>140</v>
      </c>
      <c r="L273" s="35" t="s">
        <v>46</v>
      </c>
      <c r="M273" s="36" t="s">
        <v>132</v>
      </c>
      <c r="N273" s="36"/>
      <c r="O273" s="35">
        <v>55</v>
      </c>
      <c r="P273" s="7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3" s="592"/>
      <c r="R273" s="592"/>
      <c r="S273" s="592"/>
      <c r="T273" s="59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330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idden="1" x14ac:dyDescent="0.2">
      <c r="A274" s="597"/>
      <c r="B274" s="597"/>
      <c r="C274" s="597"/>
      <c r="D274" s="597"/>
      <c r="E274" s="597"/>
      <c r="F274" s="597"/>
      <c r="G274" s="597"/>
      <c r="H274" s="597"/>
      <c r="I274" s="597"/>
      <c r="J274" s="597"/>
      <c r="K274" s="597"/>
      <c r="L274" s="597"/>
      <c r="M274" s="597"/>
      <c r="N274" s="597"/>
      <c r="O274" s="598"/>
      <c r="P274" s="594" t="s">
        <v>40</v>
      </c>
      <c r="Q274" s="595"/>
      <c r="R274" s="595"/>
      <c r="S274" s="595"/>
      <c r="T274" s="595"/>
      <c r="U274" s="595"/>
      <c r="V274" s="596"/>
      <c r="W274" s="40" t="s">
        <v>39</v>
      </c>
      <c r="X274" s="41">
        <f>IFERROR(X267/H267,"0")+IFERROR(X268/H268,"0")+IFERROR(X269/H269,"0")+IFERROR(X270/H270,"0")+IFERROR(X271/H271,"0")+IFERROR(X272/H272,"0")+IFERROR(X273/H273,"0")</f>
        <v>0</v>
      </c>
      <c r="Y274" s="41">
        <f>IFERROR(Y267/H267,"0")+IFERROR(Y268/H268,"0")+IFERROR(Y269/H269,"0")+IFERROR(Y270/H270,"0")+IFERROR(Y271/H271,"0")+IFERROR(Y272/H272,"0")+IFERROR(Y273/H273,"0")</f>
        <v>0</v>
      </c>
      <c r="Z274" s="41">
        <f>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597"/>
      <c r="B275" s="597"/>
      <c r="C275" s="597"/>
      <c r="D275" s="597"/>
      <c r="E275" s="597"/>
      <c r="F275" s="597"/>
      <c r="G275" s="597"/>
      <c r="H275" s="597"/>
      <c r="I275" s="597"/>
      <c r="J275" s="597"/>
      <c r="K275" s="597"/>
      <c r="L275" s="597"/>
      <c r="M275" s="597"/>
      <c r="N275" s="597"/>
      <c r="O275" s="598"/>
      <c r="P275" s="594" t="s">
        <v>40</v>
      </c>
      <c r="Q275" s="595"/>
      <c r="R275" s="595"/>
      <c r="S275" s="595"/>
      <c r="T275" s="595"/>
      <c r="U275" s="595"/>
      <c r="V275" s="596"/>
      <c r="W275" s="40" t="s">
        <v>0</v>
      </c>
      <c r="X275" s="41">
        <f>IFERROR(SUM(X267:X273),"0")</f>
        <v>0</v>
      </c>
      <c r="Y275" s="41">
        <f>IFERROR(SUM(Y267:Y273),"0")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589" t="s">
        <v>163</v>
      </c>
      <c r="B276" s="589"/>
      <c r="C276" s="589"/>
      <c r="D276" s="589"/>
      <c r="E276" s="589"/>
      <c r="F276" s="589"/>
      <c r="G276" s="589"/>
      <c r="H276" s="589"/>
      <c r="I276" s="589"/>
      <c r="J276" s="589"/>
      <c r="K276" s="589"/>
      <c r="L276" s="589"/>
      <c r="M276" s="589"/>
      <c r="N276" s="589"/>
      <c r="O276" s="589"/>
      <c r="P276" s="589"/>
      <c r="Q276" s="589"/>
      <c r="R276" s="589"/>
      <c r="S276" s="589"/>
      <c r="T276" s="589"/>
      <c r="U276" s="589"/>
      <c r="V276" s="589"/>
      <c r="W276" s="589"/>
      <c r="X276" s="589"/>
      <c r="Y276" s="589"/>
      <c r="Z276" s="589"/>
      <c r="AA276" s="63"/>
      <c r="AB276" s="63"/>
      <c r="AC276" s="63"/>
    </row>
    <row r="277" spans="1:68" ht="27" hidden="1" customHeight="1" x14ac:dyDescent="0.25">
      <c r="A277" s="60" t="s">
        <v>480</v>
      </c>
      <c r="B277" s="60" t="s">
        <v>481</v>
      </c>
      <c r="C277" s="34">
        <v>4301020377</v>
      </c>
      <c r="D277" s="590">
        <v>4680115885981</v>
      </c>
      <c r="E277" s="590"/>
      <c r="F277" s="59">
        <v>0.33</v>
      </c>
      <c r="G277" s="35">
        <v>6</v>
      </c>
      <c r="H277" s="59">
        <v>1.98</v>
      </c>
      <c r="I277" s="59">
        <v>2.08</v>
      </c>
      <c r="J277" s="35">
        <v>234</v>
      </c>
      <c r="K277" s="35" t="s">
        <v>82</v>
      </c>
      <c r="L277" s="35" t="s">
        <v>46</v>
      </c>
      <c r="M277" s="36" t="s">
        <v>90</v>
      </c>
      <c r="N277" s="36"/>
      <c r="O277" s="35">
        <v>50</v>
      </c>
      <c r="P277" s="7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77" s="592"/>
      <c r="R277" s="592"/>
      <c r="S277" s="592"/>
      <c r="T277" s="593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59" t="s">
        <v>482</v>
      </c>
      <c r="AG277" s="75"/>
      <c r="AJ277" s="79" t="s">
        <v>46</v>
      </c>
      <c r="AK277" s="79">
        <v>0</v>
      </c>
      <c r="BB277" s="360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idden="1" x14ac:dyDescent="0.2">
      <c r="A278" s="597"/>
      <c r="B278" s="597"/>
      <c r="C278" s="597"/>
      <c r="D278" s="597"/>
      <c r="E278" s="597"/>
      <c r="F278" s="597"/>
      <c r="G278" s="597"/>
      <c r="H278" s="597"/>
      <c r="I278" s="597"/>
      <c r="J278" s="597"/>
      <c r="K278" s="597"/>
      <c r="L278" s="597"/>
      <c r="M278" s="597"/>
      <c r="N278" s="597"/>
      <c r="O278" s="598"/>
      <c r="P278" s="594" t="s">
        <v>40</v>
      </c>
      <c r="Q278" s="595"/>
      <c r="R278" s="595"/>
      <c r="S278" s="595"/>
      <c r="T278" s="595"/>
      <c r="U278" s="595"/>
      <c r="V278" s="596"/>
      <c r="W278" s="40" t="s">
        <v>39</v>
      </c>
      <c r="X278" s="41">
        <f>IFERROR(X277/H277,"0")</f>
        <v>0</v>
      </c>
      <c r="Y278" s="41">
        <f>IFERROR(Y277/H277,"0")</f>
        <v>0</v>
      </c>
      <c r="Z278" s="41">
        <f>IFERROR(IF(Z277="",0,Z277),"0")</f>
        <v>0</v>
      </c>
      <c r="AA278" s="64"/>
      <c r="AB278" s="64"/>
      <c r="AC278" s="64"/>
    </row>
    <row r="279" spans="1:68" hidden="1" x14ac:dyDescent="0.2">
      <c r="A279" s="597"/>
      <c r="B279" s="597"/>
      <c r="C279" s="597"/>
      <c r="D279" s="597"/>
      <c r="E279" s="597"/>
      <c r="F279" s="597"/>
      <c r="G279" s="597"/>
      <c r="H279" s="597"/>
      <c r="I279" s="597"/>
      <c r="J279" s="597"/>
      <c r="K279" s="597"/>
      <c r="L279" s="597"/>
      <c r="M279" s="597"/>
      <c r="N279" s="597"/>
      <c r="O279" s="598"/>
      <c r="P279" s="594" t="s">
        <v>40</v>
      </c>
      <c r="Q279" s="595"/>
      <c r="R279" s="595"/>
      <c r="S279" s="595"/>
      <c r="T279" s="595"/>
      <c r="U279" s="595"/>
      <c r="V279" s="596"/>
      <c r="W279" s="40" t="s">
        <v>0</v>
      </c>
      <c r="X279" s="41">
        <f>IFERROR(SUM(X277:X277),"0")</f>
        <v>0</v>
      </c>
      <c r="Y279" s="41">
        <f>IFERROR(SUM(Y277:Y277),"0")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589" t="s">
        <v>483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3"/>
      <c r="AB280" s="63"/>
      <c r="AC280" s="63"/>
    </row>
    <row r="281" spans="1:68" ht="27" hidden="1" customHeight="1" x14ac:dyDescent="0.25">
      <c r="A281" s="60" t="s">
        <v>484</v>
      </c>
      <c r="B281" s="60" t="s">
        <v>485</v>
      </c>
      <c r="C281" s="34">
        <v>4301040362</v>
      </c>
      <c r="D281" s="590">
        <v>4680115886803</v>
      </c>
      <c r="E281" s="590"/>
      <c r="F281" s="59">
        <v>0.12</v>
      </c>
      <c r="G281" s="35">
        <v>15</v>
      </c>
      <c r="H281" s="59">
        <v>1.8</v>
      </c>
      <c r="I281" s="59">
        <v>1.9750000000000001</v>
      </c>
      <c r="J281" s="35">
        <v>216</v>
      </c>
      <c r="K281" s="35" t="s">
        <v>313</v>
      </c>
      <c r="L281" s="35" t="s">
        <v>46</v>
      </c>
      <c r="M281" s="36" t="s">
        <v>312</v>
      </c>
      <c r="N281" s="36"/>
      <c r="O281" s="35">
        <v>45</v>
      </c>
      <c r="P281" s="7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1" s="592"/>
      <c r="R281" s="592"/>
      <c r="S281" s="592"/>
      <c r="T281" s="593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IFERROR(IF(Y281=0,"",ROUNDUP(Y281/H281,0)*0.0059),"")</f>
        <v/>
      </c>
      <c r="AA281" s="65" t="s">
        <v>46</v>
      </c>
      <c r="AB281" s="66" t="s">
        <v>46</v>
      </c>
      <c r="AC281" s="361" t="s">
        <v>486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597"/>
      <c r="B282" s="597"/>
      <c r="C282" s="597"/>
      <c r="D282" s="597"/>
      <c r="E282" s="597"/>
      <c r="F282" s="597"/>
      <c r="G282" s="597"/>
      <c r="H282" s="597"/>
      <c r="I282" s="597"/>
      <c r="J282" s="597"/>
      <c r="K282" s="597"/>
      <c r="L282" s="597"/>
      <c r="M282" s="597"/>
      <c r="N282" s="597"/>
      <c r="O282" s="598"/>
      <c r="P282" s="594" t="s">
        <v>40</v>
      </c>
      <c r="Q282" s="595"/>
      <c r="R282" s="595"/>
      <c r="S282" s="595"/>
      <c r="T282" s="595"/>
      <c r="U282" s="595"/>
      <c r="V282" s="596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597"/>
      <c r="B283" s="597"/>
      <c r="C283" s="597"/>
      <c r="D283" s="597"/>
      <c r="E283" s="597"/>
      <c r="F283" s="597"/>
      <c r="G283" s="597"/>
      <c r="H283" s="597"/>
      <c r="I283" s="597"/>
      <c r="J283" s="597"/>
      <c r="K283" s="597"/>
      <c r="L283" s="597"/>
      <c r="M283" s="597"/>
      <c r="N283" s="597"/>
      <c r="O283" s="598"/>
      <c r="P283" s="594" t="s">
        <v>40</v>
      </c>
      <c r="Q283" s="595"/>
      <c r="R283" s="595"/>
      <c r="S283" s="595"/>
      <c r="T283" s="595"/>
      <c r="U283" s="595"/>
      <c r="V283" s="596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589" t="s">
        <v>317</v>
      </c>
      <c r="B284" s="589"/>
      <c r="C284" s="589"/>
      <c r="D284" s="589"/>
      <c r="E284" s="589"/>
      <c r="F284" s="589"/>
      <c r="G284" s="589"/>
      <c r="H284" s="589"/>
      <c r="I284" s="589"/>
      <c r="J284" s="589"/>
      <c r="K284" s="589"/>
      <c r="L284" s="589"/>
      <c r="M284" s="589"/>
      <c r="N284" s="589"/>
      <c r="O284" s="589"/>
      <c r="P284" s="589"/>
      <c r="Q284" s="589"/>
      <c r="R284" s="589"/>
      <c r="S284" s="589"/>
      <c r="T284" s="589"/>
      <c r="U284" s="589"/>
      <c r="V284" s="589"/>
      <c r="W284" s="589"/>
      <c r="X284" s="589"/>
      <c r="Y284" s="589"/>
      <c r="Z284" s="589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4301041004</v>
      </c>
      <c r="D285" s="590">
        <v>4680115886704</v>
      </c>
      <c r="E285" s="590"/>
      <c r="F285" s="59">
        <v>5.5E-2</v>
      </c>
      <c r="G285" s="35">
        <v>18</v>
      </c>
      <c r="H285" s="59">
        <v>0.99</v>
      </c>
      <c r="I285" s="59">
        <v>1.18</v>
      </c>
      <c r="J285" s="35">
        <v>216</v>
      </c>
      <c r="K285" s="35" t="s">
        <v>313</v>
      </c>
      <c r="L285" s="35" t="s">
        <v>46</v>
      </c>
      <c r="M285" s="36" t="s">
        <v>312</v>
      </c>
      <c r="N285" s="36"/>
      <c r="O285" s="35">
        <v>90</v>
      </c>
      <c r="P28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5" s="592"/>
      <c r="R285" s="592"/>
      <c r="S285" s="592"/>
      <c r="T285" s="593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3" t="s">
        <v>489</v>
      </c>
      <c r="AG285" s="75"/>
      <c r="AJ285" s="79" t="s">
        <v>46</v>
      </c>
      <c r="AK285" s="79">
        <v>0</v>
      </c>
      <c r="BB285" s="364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4301041008</v>
      </c>
      <c r="D286" s="590">
        <v>4680115886681</v>
      </c>
      <c r="E286" s="590"/>
      <c r="F286" s="59">
        <v>0.12</v>
      </c>
      <c r="G286" s="35">
        <v>15</v>
      </c>
      <c r="H286" s="59">
        <v>1.8</v>
      </c>
      <c r="I286" s="59">
        <v>1.9750000000000001</v>
      </c>
      <c r="J286" s="35">
        <v>216</v>
      </c>
      <c r="K286" s="35" t="s">
        <v>313</v>
      </c>
      <c r="L286" s="35" t="s">
        <v>46</v>
      </c>
      <c r="M286" s="36" t="s">
        <v>312</v>
      </c>
      <c r="N286" s="36"/>
      <c r="O286" s="35">
        <v>90</v>
      </c>
      <c r="P286" s="7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86" s="592"/>
      <c r="R286" s="592"/>
      <c r="S286" s="592"/>
      <c r="T286" s="593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IFERROR(IF(Y286=0,"",ROUNDUP(Y286/H286,0)*0.0059),"")</f>
        <v/>
      </c>
      <c r="AA286" s="65" t="s">
        <v>46</v>
      </c>
      <c r="AB286" s="66" t="s">
        <v>46</v>
      </c>
      <c r="AC286" s="365" t="s">
        <v>489</v>
      </c>
      <c r="AG286" s="75"/>
      <c r="AJ286" s="79" t="s">
        <v>46</v>
      </c>
      <c r="AK286" s="79">
        <v>0</v>
      </c>
      <c r="BB286" s="366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492</v>
      </c>
      <c r="B287" s="60" t="s">
        <v>493</v>
      </c>
      <c r="C287" s="34">
        <v>4301041007</v>
      </c>
      <c r="D287" s="590">
        <v>4680115886735</v>
      </c>
      <c r="E287" s="590"/>
      <c r="F287" s="59">
        <v>0.05</v>
      </c>
      <c r="G287" s="35">
        <v>18</v>
      </c>
      <c r="H287" s="59">
        <v>0.9</v>
      </c>
      <c r="I287" s="59">
        <v>1.0900000000000001</v>
      </c>
      <c r="J287" s="35">
        <v>216</v>
      </c>
      <c r="K287" s="35" t="s">
        <v>313</v>
      </c>
      <c r="L287" s="35" t="s">
        <v>46</v>
      </c>
      <c r="M287" s="36" t="s">
        <v>312</v>
      </c>
      <c r="N287" s="36"/>
      <c r="O287" s="35">
        <v>90</v>
      </c>
      <c r="P287" s="7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87" s="592"/>
      <c r="R287" s="592"/>
      <c r="S287" s="592"/>
      <c r="T287" s="593"/>
      <c r="U287" s="37" t="s">
        <v>46</v>
      </c>
      <c r="V287" s="37" t="s">
        <v>46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IFERROR(IF(Y287=0,"",ROUNDUP(Y287/H287,0)*0.0059),"")</f>
        <v/>
      </c>
      <c r="AA287" s="65" t="s">
        <v>46</v>
      </c>
      <c r="AB287" s="66" t="s">
        <v>46</v>
      </c>
      <c r="AC287" s="367" t="s">
        <v>489</v>
      </c>
      <c r="AG287" s="75"/>
      <c r="AJ287" s="79" t="s">
        <v>46</v>
      </c>
      <c r="AK287" s="79">
        <v>0</v>
      </c>
      <c r="BB287" s="368" t="s">
        <v>67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27" hidden="1" customHeight="1" x14ac:dyDescent="0.25">
      <c r="A288" s="60" t="s">
        <v>495</v>
      </c>
      <c r="B288" s="60" t="s">
        <v>496</v>
      </c>
      <c r="C288" s="34">
        <v>4301041005</v>
      </c>
      <c r="D288" s="590">
        <v>4680115886711</v>
      </c>
      <c r="E288" s="590"/>
      <c r="F288" s="59">
        <v>5.5E-2</v>
      </c>
      <c r="G288" s="35">
        <v>18</v>
      </c>
      <c r="H288" s="59">
        <v>0.99</v>
      </c>
      <c r="I288" s="59">
        <v>1.18</v>
      </c>
      <c r="J288" s="35">
        <v>216</v>
      </c>
      <c r="K288" s="35" t="s">
        <v>313</v>
      </c>
      <c r="L288" s="35" t="s">
        <v>46</v>
      </c>
      <c r="M288" s="36" t="s">
        <v>312</v>
      </c>
      <c r="N288" s="36"/>
      <c r="O288" s="35">
        <v>90</v>
      </c>
      <c r="P288" s="71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88" s="592"/>
      <c r="R288" s="592"/>
      <c r="S288" s="592"/>
      <c r="T288" s="593"/>
      <c r="U288" s="37" t="s">
        <v>46</v>
      </c>
      <c r="V288" s="37" t="s">
        <v>494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IFERROR(IF(Y288=0,"",ROUNDUP(Y288/H288,0)*0.0059),"")</f>
        <v/>
      </c>
      <c r="AA288" s="65" t="s">
        <v>46</v>
      </c>
      <c r="AB288" s="66" t="s">
        <v>46</v>
      </c>
      <c r="AC288" s="369" t="s">
        <v>489</v>
      </c>
      <c r="AG288" s="75"/>
      <c r="AJ288" s="79" t="s">
        <v>46</v>
      </c>
      <c r="AK288" s="79">
        <v>0</v>
      </c>
      <c r="BB288" s="370" t="s">
        <v>67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idden="1" x14ac:dyDescent="0.2">
      <c r="A289" s="597"/>
      <c r="B289" s="597"/>
      <c r="C289" s="597"/>
      <c r="D289" s="597"/>
      <c r="E289" s="597"/>
      <c r="F289" s="597"/>
      <c r="G289" s="597"/>
      <c r="H289" s="597"/>
      <c r="I289" s="597"/>
      <c r="J289" s="597"/>
      <c r="K289" s="597"/>
      <c r="L289" s="597"/>
      <c r="M289" s="597"/>
      <c r="N289" s="597"/>
      <c r="O289" s="598"/>
      <c r="P289" s="594" t="s">
        <v>40</v>
      </c>
      <c r="Q289" s="595"/>
      <c r="R289" s="595"/>
      <c r="S289" s="595"/>
      <c r="T289" s="595"/>
      <c r="U289" s="595"/>
      <c r="V289" s="596"/>
      <c r="W289" s="40" t="s">
        <v>39</v>
      </c>
      <c r="X289" s="41">
        <f>IFERROR(X285/H285,"0")+IFERROR(X286/H286,"0")+IFERROR(X287/H287,"0")+IFERROR(X288/H288,"0")</f>
        <v>0</v>
      </c>
      <c r="Y289" s="41">
        <f>IFERROR(Y285/H285,"0")+IFERROR(Y286/H286,"0")+IFERROR(Y287/H287,"0")+IFERROR(Y288/H288,"0")</f>
        <v>0</v>
      </c>
      <c r="Z289" s="41">
        <f>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597"/>
      <c r="B290" s="597"/>
      <c r="C290" s="597"/>
      <c r="D290" s="597"/>
      <c r="E290" s="597"/>
      <c r="F290" s="597"/>
      <c r="G290" s="597"/>
      <c r="H290" s="597"/>
      <c r="I290" s="597"/>
      <c r="J290" s="597"/>
      <c r="K290" s="597"/>
      <c r="L290" s="597"/>
      <c r="M290" s="597"/>
      <c r="N290" s="597"/>
      <c r="O290" s="598"/>
      <c r="P290" s="594" t="s">
        <v>40</v>
      </c>
      <c r="Q290" s="595"/>
      <c r="R290" s="595"/>
      <c r="S290" s="595"/>
      <c r="T290" s="595"/>
      <c r="U290" s="595"/>
      <c r="V290" s="596"/>
      <c r="W290" s="40" t="s">
        <v>0</v>
      </c>
      <c r="X290" s="41">
        <f>IFERROR(SUM(X285:X288),"0")</f>
        <v>0</v>
      </c>
      <c r="Y290" s="41">
        <f>IFERROR(SUM(Y285:Y288),"0")</f>
        <v>0</v>
      </c>
      <c r="Z290" s="40"/>
      <c r="AA290" s="64"/>
      <c r="AB290" s="64"/>
      <c r="AC290" s="64"/>
    </row>
    <row r="291" spans="1:68" ht="16.5" hidden="1" customHeight="1" x14ac:dyDescent="0.25">
      <c r="A291" s="605" t="s">
        <v>497</v>
      </c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5"/>
      <c r="P291" s="605"/>
      <c r="Q291" s="605"/>
      <c r="R291" s="605"/>
      <c r="S291" s="605"/>
      <c r="T291" s="605"/>
      <c r="U291" s="605"/>
      <c r="V291" s="605"/>
      <c r="W291" s="605"/>
      <c r="X291" s="605"/>
      <c r="Y291" s="605"/>
      <c r="Z291" s="605"/>
      <c r="AA291" s="62"/>
      <c r="AB291" s="62"/>
      <c r="AC291" s="62"/>
    </row>
    <row r="292" spans="1:68" ht="14.25" hidden="1" customHeight="1" x14ac:dyDescent="0.25">
      <c r="A292" s="589" t="s">
        <v>128</v>
      </c>
      <c r="B292" s="589"/>
      <c r="C292" s="589"/>
      <c r="D292" s="589"/>
      <c r="E292" s="589"/>
      <c r="F292" s="589"/>
      <c r="G292" s="589"/>
      <c r="H292" s="589"/>
      <c r="I292" s="589"/>
      <c r="J292" s="589"/>
      <c r="K292" s="589"/>
      <c r="L292" s="589"/>
      <c r="M292" s="589"/>
      <c r="N292" s="589"/>
      <c r="O292" s="589"/>
      <c r="P292" s="589"/>
      <c r="Q292" s="589"/>
      <c r="R292" s="589"/>
      <c r="S292" s="589"/>
      <c r="T292" s="589"/>
      <c r="U292" s="589"/>
      <c r="V292" s="589"/>
      <c r="W292" s="589"/>
      <c r="X292" s="589"/>
      <c r="Y292" s="589"/>
      <c r="Z292" s="589"/>
      <c r="AA292" s="63"/>
      <c r="AB292" s="63"/>
      <c r="AC292" s="63"/>
    </row>
    <row r="293" spans="1:68" ht="27" hidden="1" customHeight="1" x14ac:dyDescent="0.25">
      <c r="A293" s="60" t="s">
        <v>498</v>
      </c>
      <c r="B293" s="60" t="s">
        <v>499</v>
      </c>
      <c r="C293" s="34">
        <v>4301011855</v>
      </c>
      <c r="D293" s="590">
        <v>4680115885837</v>
      </c>
      <c r="E293" s="590"/>
      <c r="F293" s="59">
        <v>1.35</v>
      </c>
      <c r="G293" s="35">
        <v>8</v>
      </c>
      <c r="H293" s="59">
        <v>10.8</v>
      </c>
      <c r="I293" s="59">
        <v>11.21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3" s="592"/>
      <c r="R293" s="592"/>
      <c r="S293" s="592"/>
      <c r="T293" s="59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1" t="s">
        <v>500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37.5" hidden="1" customHeight="1" x14ac:dyDescent="0.25">
      <c r="A294" s="60" t="s">
        <v>501</v>
      </c>
      <c r="B294" s="60" t="s">
        <v>502</v>
      </c>
      <c r="C294" s="34">
        <v>4301012234</v>
      </c>
      <c r="D294" s="590">
        <v>4680115887237</v>
      </c>
      <c r="E294" s="590"/>
      <c r="F294" s="59">
        <v>1.35</v>
      </c>
      <c r="G294" s="35">
        <v>8</v>
      </c>
      <c r="H294" s="59">
        <v>10.8</v>
      </c>
      <c r="I294" s="59">
        <v>11.21</v>
      </c>
      <c r="J294" s="35">
        <v>64</v>
      </c>
      <c r="K294" s="35" t="s">
        <v>133</v>
      </c>
      <c r="L294" s="35" t="s">
        <v>46</v>
      </c>
      <c r="M294" s="36" t="s">
        <v>132</v>
      </c>
      <c r="N294" s="36"/>
      <c r="O294" s="35">
        <v>55</v>
      </c>
      <c r="P294" s="7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4" s="592"/>
      <c r="R294" s="592"/>
      <c r="S294" s="592"/>
      <c r="T294" s="59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IFERROR(IF(Y294=0,"",ROUNDUP(Y294/H294,0)*0.01898),"")</f>
        <v/>
      </c>
      <c r="AA294" s="65" t="s">
        <v>46</v>
      </c>
      <c r="AB294" s="66" t="s">
        <v>46</v>
      </c>
      <c r="AC294" s="373" t="s">
        <v>503</v>
      </c>
      <c r="AG294" s="75"/>
      <c r="AJ294" s="79" t="s">
        <v>46</v>
      </c>
      <c r="AK294" s="79">
        <v>0</v>
      </c>
      <c r="BB294" s="374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4301011850</v>
      </c>
      <c r="D295" s="590">
        <v>4680115885806</v>
      </c>
      <c r="E295" s="590"/>
      <c r="F295" s="59">
        <v>1.35</v>
      </c>
      <c r="G295" s="35">
        <v>8</v>
      </c>
      <c r="H295" s="59">
        <v>10.8</v>
      </c>
      <c r="I295" s="59">
        <v>11.21</v>
      </c>
      <c r="J295" s="35">
        <v>64</v>
      </c>
      <c r="K295" s="35" t="s">
        <v>133</v>
      </c>
      <c r="L295" s="35" t="s">
        <v>46</v>
      </c>
      <c r="M295" s="36" t="s">
        <v>132</v>
      </c>
      <c r="N295" s="36"/>
      <c r="O295" s="35">
        <v>55</v>
      </c>
      <c r="P295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5" s="592"/>
      <c r="R295" s="592"/>
      <c r="S295" s="592"/>
      <c r="T295" s="593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506</v>
      </c>
      <c r="AG295" s="75"/>
      <c r="AJ295" s="79" t="s">
        <v>46</v>
      </c>
      <c r="AK295" s="79">
        <v>0</v>
      </c>
      <c r="BB295" s="376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4301011852</v>
      </c>
      <c r="D296" s="590">
        <v>4680115885844</v>
      </c>
      <c r="E296" s="590"/>
      <c r="F296" s="59">
        <v>0.4</v>
      </c>
      <c r="G296" s="35">
        <v>10</v>
      </c>
      <c r="H296" s="59">
        <v>4</v>
      </c>
      <c r="I296" s="59">
        <v>4.1900000000000004</v>
      </c>
      <c r="J296" s="35">
        <v>132</v>
      </c>
      <c r="K296" s="35" t="s">
        <v>140</v>
      </c>
      <c r="L296" s="35" t="s">
        <v>46</v>
      </c>
      <c r="M296" s="36" t="s">
        <v>132</v>
      </c>
      <c r="N296" s="36"/>
      <c r="O296" s="35">
        <v>55</v>
      </c>
      <c r="P296" s="7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6" s="592"/>
      <c r="R296" s="592"/>
      <c r="S296" s="592"/>
      <c r="T296" s="593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IFERROR(IF(Y296=0,"",ROUNDUP(Y296/H296,0)*0.00902),"")</f>
        <v/>
      </c>
      <c r="AA296" s="65" t="s">
        <v>46</v>
      </c>
      <c r="AB296" s="66" t="s">
        <v>46</v>
      </c>
      <c r="AC296" s="377" t="s">
        <v>509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510</v>
      </c>
      <c r="B297" s="60" t="s">
        <v>511</v>
      </c>
      <c r="C297" s="34">
        <v>4301011851</v>
      </c>
      <c r="D297" s="590">
        <v>4680115885820</v>
      </c>
      <c r="E297" s="590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70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97" s="592"/>
      <c r="R297" s="592"/>
      <c r="S297" s="592"/>
      <c r="T297" s="593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79" t="s">
        <v>512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597"/>
      <c r="B298" s="597"/>
      <c r="C298" s="597"/>
      <c r="D298" s="597"/>
      <c r="E298" s="597"/>
      <c r="F298" s="597"/>
      <c r="G298" s="597"/>
      <c r="H298" s="597"/>
      <c r="I298" s="597"/>
      <c r="J298" s="597"/>
      <c r="K298" s="597"/>
      <c r="L298" s="597"/>
      <c r="M298" s="597"/>
      <c r="N298" s="597"/>
      <c r="O298" s="598"/>
      <c r="P298" s="594" t="s">
        <v>40</v>
      </c>
      <c r="Q298" s="595"/>
      <c r="R298" s="595"/>
      <c r="S298" s="595"/>
      <c r="T298" s="595"/>
      <c r="U298" s="595"/>
      <c r="V298" s="596"/>
      <c r="W298" s="40" t="s">
        <v>39</v>
      </c>
      <c r="X298" s="41">
        <f>IFERROR(X293/H293,"0")+IFERROR(X294/H294,"0")+IFERROR(X295/H295,"0")+IFERROR(X296/H296,"0")+IFERROR(X297/H297,"0")</f>
        <v>0</v>
      </c>
      <c r="Y298" s="41">
        <f>IFERROR(Y293/H293,"0")+IFERROR(Y294/H294,"0")+IFERROR(Y295/H295,"0")+IFERROR(Y296/H296,"0")+IFERROR(Y297/H297,"0")</f>
        <v>0</v>
      </c>
      <c r="Z298" s="41">
        <f>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597"/>
      <c r="B299" s="597"/>
      <c r="C299" s="597"/>
      <c r="D299" s="597"/>
      <c r="E299" s="597"/>
      <c r="F299" s="597"/>
      <c r="G299" s="597"/>
      <c r="H299" s="597"/>
      <c r="I299" s="597"/>
      <c r="J299" s="597"/>
      <c r="K299" s="597"/>
      <c r="L299" s="597"/>
      <c r="M299" s="597"/>
      <c r="N299" s="597"/>
      <c r="O299" s="598"/>
      <c r="P299" s="594" t="s">
        <v>40</v>
      </c>
      <c r="Q299" s="595"/>
      <c r="R299" s="595"/>
      <c r="S299" s="595"/>
      <c r="T299" s="595"/>
      <c r="U299" s="595"/>
      <c r="V299" s="596"/>
      <c r="W299" s="40" t="s">
        <v>0</v>
      </c>
      <c r="X299" s="41">
        <f>IFERROR(SUM(X293:X297),"0")</f>
        <v>0</v>
      </c>
      <c r="Y299" s="41">
        <f>IFERROR(SUM(Y293:Y297),"0")</f>
        <v>0</v>
      </c>
      <c r="Z299" s="40"/>
      <c r="AA299" s="64"/>
      <c r="AB299" s="64"/>
      <c r="AC299" s="64"/>
    </row>
    <row r="300" spans="1:68" ht="16.5" hidden="1" customHeight="1" x14ac:dyDescent="0.25">
      <c r="A300" s="605" t="s">
        <v>513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2"/>
      <c r="AB300" s="62"/>
      <c r="AC300" s="62"/>
    </row>
    <row r="301" spans="1:68" ht="14.25" hidden="1" customHeight="1" x14ac:dyDescent="0.25">
      <c r="A301" s="589" t="s">
        <v>86</v>
      </c>
      <c r="B301" s="589"/>
      <c r="C301" s="589"/>
      <c r="D301" s="589"/>
      <c r="E301" s="589"/>
      <c r="F301" s="589"/>
      <c r="G301" s="589"/>
      <c r="H301" s="589"/>
      <c r="I301" s="589"/>
      <c r="J301" s="589"/>
      <c r="K301" s="589"/>
      <c r="L301" s="589"/>
      <c r="M301" s="589"/>
      <c r="N301" s="589"/>
      <c r="O301" s="589"/>
      <c r="P301" s="589"/>
      <c r="Q301" s="589"/>
      <c r="R301" s="589"/>
      <c r="S301" s="589"/>
      <c r="T301" s="589"/>
      <c r="U301" s="589"/>
      <c r="V301" s="589"/>
      <c r="W301" s="589"/>
      <c r="X301" s="589"/>
      <c r="Y301" s="589"/>
      <c r="Z301" s="589"/>
      <c r="AA301" s="63"/>
      <c r="AB301" s="63"/>
      <c r="AC301" s="63"/>
    </row>
    <row r="302" spans="1:68" ht="27" hidden="1" customHeight="1" x14ac:dyDescent="0.25">
      <c r="A302" s="60" t="s">
        <v>514</v>
      </c>
      <c r="B302" s="60" t="s">
        <v>515</v>
      </c>
      <c r="C302" s="34">
        <v>4301051893</v>
      </c>
      <c r="D302" s="590">
        <v>4680115886186</v>
      </c>
      <c r="E302" s="590"/>
      <c r="F302" s="59">
        <v>0.3</v>
      </c>
      <c r="G302" s="35">
        <v>6</v>
      </c>
      <c r="H302" s="59">
        <v>1.8</v>
      </c>
      <c r="I302" s="59">
        <v>1.98</v>
      </c>
      <c r="J302" s="35">
        <v>182</v>
      </c>
      <c r="K302" s="35" t="s">
        <v>91</v>
      </c>
      <c r="L302" s="35" t="s">
        <v>46</v>
      </c>
      <c r="M302" s="36" t="s">
        <v>90</v>
      </c>
      <c r="N302" s="36"/>
      <c r="O302" s="35">
        <v>45</v>
      </c>
      <c r="P30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2" s="592"/>
      <c r="R302" s="592"/>
      <c r="S302" s="592"/>
      <c r="T302" s="593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81" t="s">
        <v>516</v>
      </c>
      <c r="AG302" s="75"/>
      <c r="AJ302" s="79" t="s">
        <v>46</v>
      </c>
      <c r="AK302" s="79">
        <v>0</v>
      </c>
      <c r="BB302" s="382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517</v>
      </c>
      <c r="B303" s="60" t="s">
        <v>518</v>
      </c>
      <c r="C303" s="34">
        <v>4301051795</v>
      </c>
      <c r="D303" s="590">
        <v>4680115881228</v>
      </c>
      <c r="E303" s="590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97</v>
      </c>
      <c r="N303" s="36"/>
      <c r="O303" s="35">
        <v>40</v>
      </c>
      <c r="P303" s="7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3" s="592"/>
      <c r="R303" s="592"/>
      <c r="S303" s="592"/>
      <c r="T303" s="59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383" t="s">
        <v>519</v>
      </c>
      <c r="AG303" s="75"/>
      <c r="AJ303" s="79" t="s">
        <v>46</v>
      </c>
      <c r="AK303" s="79">
        <v>0</v>
      </c>
      <c r="BB303" s="384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520</v>
      </c>
      <c r="B304" s="60" t="s">
        <v>521</v>
      </c>
      <c r="C304" s="34">
        <v>4301051388</v>
      </c>
      <c r="D304" s="590">
        <v>4680115881211</v>
      </c>
      <c r="E304" s="590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90</v>
      </c>
      <c r="N304" s="36"/>
      <c r="O304" s="35">
        <v>45</v>
      </c>
      <c r="P304" s="7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4" s="592"/>
      <c r="R304" s="592"/>
      <c r="S304" s="592"/>
      <c r="T304" s="593"/>
      <c r="U304" s="37" t="s">
        <v>46</v>
      </c>
      <c r="V304" s="37" t="s">
        <v>46</v>
      </c>
      <c r="W304" s="38" t="s">
        <v>0</v>
      </c>
      <c r="X304" s="56">
        <v>9.6</v>
      </c>
      <c r="Y304" s="53">
        <f>IFERROR(IF(X304="",0,CEILING((X304/$H304),1)*$H304),"")</f>
        <v>9.6</v>
      </c>
      <c r="Z304" s="39">
        <f>IFERROR(IF(Y304=0,"",ROUNDUP(Y304/H304,0)*0.00651),"")</f>
        <v>2.6040000000000001E-2</v>
      </c>
      <c r="AA304" s="65" t="s">
        <v>46</v>
      </c>
      <c r="AB304" s="66" t="s">
        <v>46</v>
      </c>
      <c r="AC304" s="385" t="s">
        <v>516</v>
      </c>
      <c r="AG304" s="75"/>
      <c r="AJ304" s="79" t="s">
        <v>46</v>
      </c>
      <c r="AK304" s="79">
        <v>0</v>
      </c>
      <c r="BB304" s="386" t="s">
        <v>67</v>
      </c>
      <c r="BM304" s="75">
        <f>IFERROR(X304*I304/H304,"0")</f>
        <v>10.32</v>
      </c>
      <c r="BN304" s="75">
        <f>IFERROR(Y304*I304/H304,"0")</f>
        <v>10.32</v>
      </c>
      <c r="BO304" s="75">
        <f>IFERROR(1/J304*(X304/H304),"0")</f>
        <v>2.197802197802198E-2</v>
      </c>
      <c r="BP304" s="75">
        <f>IFERROR(1/J304*(Y304/H304),"0")</f>
        <v>2.197802197802198E-2</v>
      </c>
    </row>
    <row r="305" spans="1:68" x14ac:dyDescent="0.2">
      <c r="A305" s="597"/>
      <c r="B305" s="597"/>
      <c r="C305" s="597"/>
      <c r="D305" s="597"/>
      <c r="E305" s="597"/>
      <c r="F305" s="597"/>
      <c r="G305" s="597"/>
      <c r="H305" s="597"/>
      <c r="I305" s="597"/>
      <c r="J305" s="597"/>
      <c r="K305" s="597"/>
      <c r="L305" s="597"/>
      <c r="M305" s="597"/>
      <c r="N305" s="597"/>
      <c r="O305" s="598"/>
      <c r="P305" s="594" t="s">
        <v>40</v>
      </c>
      <c r="Q305" s="595"/>
      <c r="R305" s="595"/>
      <c r="S305" s="595"/>
      <c r="T305" s="595"/>
      <c r="U305" s="595"/>
      <c r="V305" s="596"/>
      <c r="W305" s="40" t="s">
        <v>39</v>
      </c>
      <c r="X305" s="41">
        <f>IFERROR(X302/H302,"0")+IFERROR(X303/H303,"0")+IFERROR(X304/H304,"0")</f>
        <v>4</v>
      </c>
      <c r="Y305" s="41">
        <f>IFERROR(Y302/H302,"0")+IFERROR(Y303/H303,"0")+IFERROR(Y304/H304,"0")</f>
        <v>4</v>
      </c>
      <c r="Z305" s="41">
        <f>IFERROR(IF(Z302="",0,Z302),"0")+IFERROR(IF(Z303="",0,Z303),"0")+IFERROR(IF(Z304="",0,Z304),"0")</f>
        <v>2.6040000000000001E-2</v>
      </c>
      <c r="AA305" s="64"/>
      <c r="AB305" s="64"/>
      <c r="AC305" s="64"/>
    </row>
    <row r="306" spans="1:68" x14ac:dyDescent="0.2">
      <c r="A306" s="597"/>
      <c r="B306" s="597"/>
      <c r="C306" s="597"/>
      <c r="D306" s="597"/>
      <c r="E306" s="597"/>
      <c r="F306" s="597"/>
      <c r="G306" s="597"/>
      <c r="H306" s="597"/>
      <c r="I306" s="597"/>
      <c r="J306" s="597"/>
      <c r="K306" s="597"/>
      <c r="L306" s="597"/>
      <c r="M306" s="597"/>
      <c r="N306" s="597"/>
      <c r="O306" s="598"/>
      <c r="P306" s="594" t="s">
        <v>40</v>
      </c>
      <c r="Q306" s="595"/>
      <c r="R306" s="595"/>
      <c r="S306" s="595"/>
      <c r="T306" s="595"/>
      <c r="U306" s="595"/>
      <c r="V306" s="596"/>
      <c r="W306" s="40" t="s">
        <v>0</v>
      </c>
      <c r="X306" s="41">
        <f>IFERROR(SUM(X302:X304),"0")</f>
        <v>9.6</v>
      </c>
      <c r="Y306" s="41">
        <f>IFERROR(SUM(Y302:Y304),"0")</f>
        <v>9.6</v>
      </c>
      <c r="Z306" s="40"/>
      <c r="AA306" s="64"/>
      <c r="AB306" s="64"/>
      <c r="AC306" s="64"/>
    </row>
    <row r="307" spans="1:68" ht="16.5" hidden="1" customHeight="1" x14ac:dyDescent="0.25">
      <c r="A307" s="605" t="s">
        <v>522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hidden="1" customHeight="1" x14ac:dyDescent="0.25">
      <c r="A308" s="589" t="s">
        <v>77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3"/>
      <c r="AB308" s="63"/>
      <c r="AC308" s="63"/>
    </row>
    <row r="309" spans="1:68" ht="27" hidden="1" customHeight="1" x14ac:dyDescent="0.25">
      <c r="A309" s="60" t="s">
        <v>523</v>
      </c>
      <c r="B309" s="60" t="s">
        <v>524</v>
      </c>
      <c r="C309" s="34">
        <v>4301031445</v>
      </c>
      <c r="D309" s="590">
        <v>4680115888319</v>
      </c>
      <c r="E309" s="590"/>
      <c r="F309" s="59">
        <v>0.35</v>
      </c>
      <c r="G309" s="35">
        <v>6</v>
      </c>
      <c r="H309" s="59">
        <v>2.1</v>
      </c>
      <c r="I309" s="59">
        <v>2.23</v>
      </c>
      <c r="J309" s="35">
        <v>234</v>
      </c>
      <c r="K309" s="35" t="s">
        <v>82</v>
      </c>
      <c r="L309" s="35" t="s">
        <v>46</v>
      </c>
      <c r="M309" s="36" t="s">
        <v>81</v>
      </c>
      <c r="N309" s="36"/>
      <c r="O309" s="35">
        <v>45</v>
      </c>
      <c r="P309" s="69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09" s="592"/>
      <c r="R309" s="592"/>
      <c r="S309" s="592"/>
      <c r="T309" s="59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387" t="s">
        <v>362</v>
      </c>
      <c r="AG309" s="75"/>
      <c r="AJ309" s="79" t="s">
        <v>46</v>
      </c>
      <c r="AK309" s="79">
        <v>0</v>
      </c>
      <c r="BB309" s="388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525</v>
      </c>
      <c r="B310" s="60" t="s">
        <v>526</v>
      </c>
      <c r="C310" s="34">
        <v>4301031502</v>
      </c>
      <c r="D310" s="590">
        <v>4680115884700</v>
      </c>
      <c r="E310" s="590"/>
      <c r="F310" s="59">
        <v>0.57999999999999996</v>
      </c>
      <c r="G310" s="35">
        <v>4</v>
      </c>
      <c r="H310" s="59">
        <v>2.3199999999999998</v>
      </c>
      <c r="I310" s="59">
        <v>2.42</v>
      </c>
      <c r="J310" s="35">
        <v>234</v>
      </c>
      <c r="K310" s="35" t="s">
        <v>82</v>
      </c>
      <c r="L310" s="35" t="s">
        <v>46</v>
      </c>
      <c r="M310" s="36" t="s">
        <v>81</v>
      </c>
      <c r="N310" s="36"/>
      <c r="O310" s="35">
        <v>40</v>
      </c>
      <c r="P310" s="7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0" s="592"/>
      <c r="R310" s="592"/>
      <c r="S310" s="592"/>
      <c r="T310" s="59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IFERROR(IF(Y310=0,"",ROUNDUP(Y310/H310,0)*0.00502),"")</f>
        <v/>
      </c>
      <c r="AA310" s="65" t="s">
        <v>46</v>
      </c>
      <c r="AB310" s="66" t="s">
        <v>46</v>
      </c>
      <c r="AC310" s="389" t="s">
        <v>527</v>
      </c>
      <c r="AG310" s="75"/>
      <c r="AJ310" s="79" t="s">
        <v>46</v>
      </c>
      <c r="AK310" s="79">
        <v>0</v>
      </c>
      <c r="BB310" s="390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528</v>
      </c>
      <c r="B311" s="60" t="s">
        <v>529</v>
      </c>
      <c r="C311" s="34">
        <v>4301031307</v>
      </c>
      <c r="D311" s="590">
        <v>4680115880344</v>
      </c>
      <c r="E311" s="590"/>
      <c r="F311" s="59">
        <v>0.28000000000000003</v>
      </c>
      <c r="G311" s="35">
        <v>6</v>
      </c>
      <c r="H311" s="59">
        <v>1.68</v>
      </c>
      <c r="I311" s="59">
        <v>1.78</v>
      </c>
      <c r="J311" s="35">
        <v>234</v>
      </c>
      <c r="K311" s="35" t="s">
        <v>82</v>
      </c>
      <c r="L311" s="35" t="s">
        <v>46</v>
      </c>
      <c r="M311" s="36" t="s">
        <v>81</v>
      </c>
      <c r="N311" s="36"/>
      <c r="O311" s="35">
        <v>40</v>
      </c>
      <c r="P311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1" s="592"/>
      <c r="R311" s="592"/>
      <c r="S311" s="592"/>
      <c r="T311" s="59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391" t="s">
        <v>530</v>
      </c>
      <c r="AG311" s="75"/>
      <c r="AJ311" s="79" t="s">
        <v>46</v>
      </c>
      <c r="AK311" s="79">
        <v>0</v>
      </c>
      <c r="BB311" s="39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531</v>
      </c>
      <c r="B312" s="60" t="s">
        <v>532</v>
      </c>
      <c r="C312" s="34">
        <v>4301031501</v>
      </c>
      <c r="D312" s="590">
        <v>4680115886919</v>
      </c>
      <c r="E312" s="590"/>
      <c r="F312" s="59">
        <v>0.4</v>
      </c>
      <c r="G312" s="35">
        <v>6</v>
      </c>
      <c r="H312" s="59">
        <v>2.4</v>
      </c>
      <c r="I312" s="59">
        <v>2.58</v>
      </c>
      <c r="J312" s="35">
        <v>182</v>
      </c>
      <c r="K312" s="35" t="s">
        <v>91</v>
      </c>
      <c r="L312" s="35" t="s">
        <v>46</v>
      </c>
      <c r="M312" s="36" t="s">
        <v>81</v>
      </c>
      <c r="N312" s="36"/>
      <c r="O312" s="35">
        <v>40</v>
      </c>
      <c r="P312" s="70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2" s="592"/>
      <c r="R312" s="592"/>
      <c r="S312" s="592"/>
      <c r="T312" s="593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IFERROR(IF(Y312=0,"",ROUNDUP(Y312/H312,0)*0.00651),"")</f>
        <v/>
      </c>
      <c r="AA312" s="65" t="s">
        <v>46</v>
      </c>
      <c r="AB312" s="66" t="s">
        <v>46</v>
      </c>
      <c r="AC312" s="393" t="s">
        <v>533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534</v>
      </c>
      <c r="B313" s="60" t="s">
        <v>535</v>
      </c>
      <c r="C313" s="34">
        <v>4301031246</v>
      </c>
      <c r="D313" s="590">
        <v>4680115883970</v>
      </c>
      <c r="E313" s="590"/>
      <c r="F313" s="59">
        <v>0.28000000000000003</v>
      </c>
      <c r="G313" s="35">
        <v>6</v>
      </c>
      <c r="H313" s="59">
        <v>1.68</v>
      </c>
      <c r="I313" s="59">
        <v>2.5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69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3" s="592"/>
      <c r="R313" s="592"/>
      <c r="S313" s="592"/>
      <c r="T313" s="59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536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597"/>
      <c r="B314" s="597"/>
      <c r="C314" s="597"/>
      <c r="D314" s="597"/>
      <c r="E314" s="597"/>
      <c r="F314" s="597"/>
      <c r="G314" s="597"/>
      <c r="H314" s="597"/>
      <c r="I314" s="597"/>
      <c r="J314" s="597"/>
      <c r="K314" s="597"/>
      <c r="L314" s="597"/>
      <c r="M314" s="597"/>
      <c r="N314" s="597"/>
      <c r="O314" s="598"/>
      <c r="P314" s="594" t="s">
        <v>40</v>
      </c>
      <c r="Q314" s="595"/>
      <c r="R314" s="595"/>
      <c r="S314" s="595"/>
      <c r="T314" s="595"/>
      <c r="U314" s="595"/>
      <c r="V314" s="596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597"/>
      <c r="B315" s="597"/>
      <c r="C315" s="597"/>
      <c r="D315" s="597"/>
      <c r="E315" s="597"/>
      <c r="F315" s="597"/>
      <c r="G315" s="597"/>
      <c r="H315" s="597"/>
      <c r="I315" s="597"/>
      <c r="J315" s="597"/>
      <c r="K315" s="597"/>
      <c r="L315" s="597"/>
      <c r="M315" s="597"/>
      <c r="N315" s="597"/>
      <c r="O315" s="598"/>
      <c r="P315" s="594" t="s">
        <v>40</v>
      </c>
      <c r="Q315" s="595"/>
      <c r="R315" s="595"/>
      <c r="S315" s="595"/>
      <c r="T315" s="595"/>
      <c r="U315" s="595"/>
      <c r="V315" s="596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589" t="s">
        <v>86</v>
      </c>
      <c r="B316" s="589"/>
      <c r="C316" s="589"/>
      <c r="D316" s="589"/>
      <c r="E316" s="589"/>
      <c r="F316" s="589"/>
      <c r="G316" s="589"/>
      <c r="H316" s="589"/>
      <c r="I316" s="589"/>
      <c r="J316" s="589"/>
      <c r="K316" s="589"/>
      <c r="L316" s="589"/>
      <c r="M316" s="589"/>
      <c r="N316" s="589"/>
      <c r="O316" s="589"/>
      <c r="P316" s="589"/>
      <c r="Q316" s="589"/>
      <c r="R316" s="589"/>
      <c r="S316" s="589"/>
      <c r="T316" s="589"/>
      <c r="U316" s="589"/>
      <c r="V316" s="589"/>
      <c r="W316" s="589"/>
      <c r="X316" s="589"/>
      <c r="Y316" s="589"/>
      <c r="Z316" s="589"/>
      <c r="AA316" s="63"/>
      <c r="AB316" s="63"/>
      <c r="AC316" s="63"/>
    </row>
    <row r="317" spans="1:68" ht="37.5" hidden="1" customHeight="1" x14ac:dyDescent="0.25">
      <c r="A317" s="60" t="s">
        <v>537</v>
      </c>
      <c r="B317" s="60" t="s">
        <v>538</v>
      </c>
      <c r="C317" s="34">
        <v>4301051782</v>
      </c>
      <c r="D317" s="590">
        <v>4680115884618</v>
      </c>
      <c r="E317" s="590"/>
      <c r="F317" s="59">
        <v>0.6</v>
      </c>
      <c r="G317" s="35">
        <v>6</v>
      </c>
      <c r="H317" s="59">
        <v>3.6</v>
      </c>
      <c r="I317" s="59">
        <v>3.79</v>
      </c>
      <c r="J317" s="35">
        <v>132</v>
      </c>
      <c r="K317" s="35" t="s">
        <v>140</v>
      </c>
      <c r="L317" s="35" t="s">
        <v>46</v>
      </c>
      <c r="M317" s="36" t="s">
        <v>90</v>
      </c>
      <c r="N317" s="36"/>
      <c r="O317" s="35">
        <v>45</v>
      </c>
      <c r="P317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17" s="592"/>
      <c r="R317" s="592"/>
      <c r="S317" s="592"/>
      <c r="T317" s="59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IFERROR(IF(Y317=0,"",ROUNDUP(Y317/H317,0)*0.00902),"")</f>
        <v/>
      </c>
      <c r="AA317" s="65" t="s">
        <v>46</v>
      </c>
      <c r="AB317" s="66" t="s">
        <v>46</v>
      </c>
      <c r="AC317" s="397" t="s">
        <v>539</v>
      </c>
      <c r="AG317" s="75"/>
      <c r="AJ317" s="79" t="s">
        <v>46</v>
      </c>
      <c r="AK317" s="79">
        <v>0</v>
      </c>
      <c r="BB317" s="39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540</v>
      </c>
      <c r="B318" s="60" t="s">
        <v>541</v>
      </c>
      <c r="C318" s="34">
        <v>4301052057</v>
      </c>
      <c r="D318" s="590">
        <v>4680115887114</v>
      </c>
      <c r="E318" s="590"/>
      <c r="F318" s="59">
        <v>0.55000000000000004</v>
      </c>
      <c r="G318" s="35">
        <v>6</v>
      </c>
      <c r="H318" s="59">
        <v>3.3</v>
      </c>
      <c r="I318" s="59">
        <v>3.49</v>
      </c>
      <c r="J318" s="35">
        <v>132</v>
      </c>
      <c r="K318" s="35" t="s">
        <v>140</v>
      </c>
      <c r="L318" s="35" t="s">
        <v>46</v>
      </c>
      <c r="M318" s="36" t="s">
        <v>90</v>
      </c>
      <c r="N318" s="36"/>
      <c r="O318" s="35">
        <v>45</v>
      </c>
      <c r="P318" s="69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18" s="592"/>
      <c r="R318" s="592"/>
      <c r="S318" s="592"/>
      <c r="T318" s="59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IFERROR(IF(Y318=0,"",ROUNDUP(Y318/H318,0)*0.00902),"")</f>
        <v/>
      </c>
      <c r="AA318" s="65" t="s">
        <v>46</v>
      </c>
      <c r="AB318" s="66" t="s">
        <v>46</v>
      </c>
      <c r="AC318" s="399" t="s">
        <v>542</v>
      </c>
      <c r="AG318" s="75"/>
      <c r="AJ318" s="79" t="s">
        <v>46</v>
      </c>
      <c r="AK318" s="79">
        <v>0</v>
      </c>
      <c r="BB318" s="40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97"/>
      <c r="B319" s="597"/>
      <c r="C319" s="597"/>
      <c r="D319" s="597"/>
      <c r="E319" s="597"/>
      <c r="F319" s="597"/>
      <c r="G319" s="597"/>
      <c r="H319" s="597"/>
      <c r="I319" s="597"/>
      <c r="J319" s="597"/>
      <c r="K319" s="597"/>
      <c r="L319" s="597"/>
      <c r="M319" s="597"/>
      <c r="N319" s="597"/>
      <c r="O319" s="598"/>
      <c r="P319" s="594" t="s">
        <v>40</v>
      </c>
      <c r="Q319" s="595"/>
      <c r="R319" s="595"/>
      <c r="S319" s="595"/>
      <c r="T319" s="595"/>
      <c r="U319" s="595"/>
      <c r="V319" s="596"/>
      <c r="W319" s="40" t="s">
        <v>39</v>
      </c>
      <c r="X319" s="41">
        <f>IFERROR(X317/H317,"0")+IFERROR(X318/H318,"0")</f>
        <v>0</v>
      </c>
      <c r="Y319" s="41">
        <f>IFERROR(Y317/H317,"0")+IFERROR(Y318/H318,"0")</f>
        <v>0</v>
      </c>
      <c r="Z319" s="41">
        <f>IFERROR(IF(Z317="",0,Z317),"0")+IFERROR(IF(Z318="",0,Z318),"0")</f>
        <v>0</v>
      </c>
      <c r="AA319" s="64"/>
      <c r="AB319" s="64"/>
      <c r="AC319" s="64"/>
    </row>
    <row r="320" spans="1:68" hidden="1" x14ac:dyDescent="0.2">
      <c r="A320" s="597"/>
      <c r="B320" s="597"/>
      <c r="C320" s="597"/>
      <c r="D320" s="597"/>
      <c r="E320" s="597"/>
      <c r="F320" s="597"/>
      <c r="G320" s="597"/>
      <c r="H320" s="597"/>
      <c r="I320" s="597"/>
      <c r="J320" s="597"/>
      <c r="K320" s="597"/>
      <c r="L320" s="597"/>
      <c r="M320" s="597"/>
      <c r="N320" s="597"/>
      <c r="O320" s="598"/>
      <c r="P320" s="594" t="s">
        <v>40</v>
      </c>
      <c r="Q320" s="595"/>
      <c r="R320" s="595"/>
      <c r="S320" s="595"/>
      <c r="T320" s="595"/>
      <c r="U320" s="595"/>
      <c r="V320" s="596"/>
      <c r="W320" s="40" t="s">
        <v>0</v>
      </c>
      <c r="X320" s="41">
        <f>IFERROR(SUM(X317:X318),"0")</f>
        <v>0</v>
      </c>
      <c r="Y320" s="41">
        <f>IFERROR(SUM(Y317:Y318),"0")</f>
        <v>0</v>
      </c>
      <c r="Z320" s="40"/>
      <c r="AA320" s="64"/>
      <c r="AB320" s="64"/>
      <c r="AC320" s="64"/>
    </row>
    <row r="321" spans="1:68" ht="16.5" hidden="1" customHeight="1" x14ac:dyDescent="0.25">
      <c r="A321" s="605" t="s">
        <v>543</v>
      </c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5"/>
      <c r="P321" s="605"/>
      <c r="Q321" s="605"/>
      <c r="R321" s="605"/>
      <c r="S321" s="605"/>
      <c r="T321" s="605"/>
      <c r="U321" s="605"/>
      <c r="V321" s="605"/>
      <c r="W321" s="605"/>
      <c r="X321" s="605"/>
      <c r="Y321" s="605"/>
      <c r="Z321" s="605"/>
      <c r="AA321" s="62"/>
      <c r="AB321" s="62"/>
      <c r="AC321" s="62"/>
    </row>
    <row r="322" spans="1:68" ht="14.25" hidden="1" customHeight="1" x14ac:dyDescent="0.25">
      <c r="A322" s="589" t="s">
        <v>128</v>
      </c>
      <c r="B322" s="589"/>
      <c r="C322" s="589"/>
      <c r="D322" s="589"/>
      <c r="E322" s="589"/>
      <c r="F322" s="589"/>
      <c r="G322" s="589"/>
      <c r="H322" s="589"/>
      <c r="I322" s="589"/>
      <c r="J322" s="589"/>
      <c r="K322" s="589"/>
      <c r="L322" s="589"/>
      <c r="M322" s="589"/>
      <c r="N322" s="589"/>
      <c r="O322" s="589"/>
      <c r="P322" s="589"/>
      <c r="Q322" s="589"/>
      <c r="R322" s="589"/>
      <c r="S322" s="589"/>
      <c r="T322" s="589"/>
      <c r="U322" s="589"/>
      <c r="V322" s="589"/>
      <c r="W322" s="589"/>
      <c r="X322" s="589"/>
      <c r="Y322" s="589"/>
      <c r="Z322" s="589"/>
      <c r="AA322" s="63"/>
      <c r="AB322" s="63"/>
      <c r="AC322" s="63"/>
    </row>
    <row r="323" spans="1:68" ht="27" hidden="1" customHeight="1" x14ac:dyDescent="0.25">
      <c r="A323" s="60" t="s">
        <v>544</v>
      </c>
      <c r="B323" s="60" t="s">
        <v>545</v>
      </c>
      <c r="C323" s="34">
        <v>4301012324</v>
      </c>
      <c r="D323" s="590">
        <v>4680115887947</v>
      </c>
      <c r="E323" s="590"/>
      <c r="F323" s="59">
        <v>1.3</v>
      </c>
      <c r="G323" s="35">
        <v>6</v>
      </c>
      <c r="H323" s="59">
        <v>7.8</v>
      </c>
      <c r="I323" s="59">
        <v>8.2100000000000009</v>
      </c>
      <c r="J323" s="35">
        <v>64</v>
      </c>
      <c r="K323" s="35" t="s">
        <v>133</v>
      </c>
      <c r="L323" s="35" t="s">
        <v>46</v>
      </c>
      <c r="M323" s="36" t="s">
        <v>90</v>
      </c>
      <c r="N323" s="36"/>
      <c r="O323" s="35">
        <v>60</v>
      </c>
      <c r="P323" s="6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3" s="592"/>
      <c r="R323" s="592"/>
      <c r="S323" s="592"/>
      <c r="T323" s="59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1" t="s">
        <v>546</v>
      </c>
      <c r="AG323" s="75"/>
      <c r="AJ323" s="79" t="s">
        <v>46</v>
      </c>
      <c r="AK323" s="79">
        <v>0</v>
      </c>
      <c r="BB323" s="40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4301012325</v>
      </c>
      <c r="D324" s="590">
        <v>4680115887978</v>
      </c>
      <c r="E324" s="590"/>
      <c r="F324" s="59">
        <v>1.3</v>
      </c>
      <c r="G324" s="35">
        <v>6</v>
      </c>
      <c r="H324" s="59">
        <v>7.8</v>
      </c>
      <c r="I324" s="59">
        <v>8.2100000000000009</v>
      </c>
      <c r="J324" s="35">
        <v>64</v>
      </c>
      <c r="K324" s="35" t="s">
        <v>133</v>
      </c>
      <c r="L324" s="35" t="s">
        <v>46</v>
      </c>
      <c r="M324" s="36" t="s">
        <v>90</v>
      </c>
      <c r="N324" s="36"/>
      <c r="O324" s="35">
        <v>60</v>
      </c>
      <c r="P324" s="69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4" s="592"/>
      <c r="R324" s="592"/>
      <c r="S324" s="592"/>
      <c r="T324" s="59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3" t="s">
        <v>549</v>
      </c>
      <c r="AG324" s="75"/>
      <c r="AJ324" s="79" t="s">
        <v>46</v>
      </c>
      <c r="AK324" s="79">
        <v>0</v>
      </c>
      <c r="BB324" s="40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550</v>
      </c>
      <c r="B325" s="60" t="s">
        <v>551</v>
      </c>
      <c r="C325" s="34">
        <v>4301012327</v>
      </c>
      <c r="D325" s="590">
        <v>4680115887992</v>
      </c>
      <c r="E325" s="590"/>
      <c r="F325" s="59">
        <v>1.3</v>
      </c>
      <c r="G325" s="35">
        <v>6</v>
      </c>
      <c r="H325" s="59">
        <v>7.8</v>
      </c>
      <c r="I325" s="59">
        <v>8.2100000000000009</v>
      </c>
      <c r="J325" s="35">
        <v>64</v>
      </c>
      <c r="K325" s="35" t="s">
        <v>133</v>
      </c>
      <c r="L325" s="35" t="s">
        <v>46</v>
      </c>
      <c r="M325" s="36" t="s">
        <v>90</v>
      </c>
      <c r="N325" s="36"/>
      <c r="O325" s="35">
        <v>60</v>
      </c>
      <c r="P325" s="69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5" s="592"/>
      <c r="R325" s="592"/>
      <c r="S325" s="592"/>
      <c r="T325" s="59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5" t="s">
        <v>552</v>
      </c>
      <c r="AG325" s="75"/>
      <c r="AJ325" s="79" t="s">
        <v>46</v>
      </c>
      <c r="AK325" s="79">
        <v>0</v>
      </c>
      <c r="BB325" s="40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597"/>
      <c r="B326" s="597"/>
      <c r="C326" s="597"/>
      <c r="D326" s="597"/>
      <c r="E326" s="597"/>
      <c r="F326" s="597"/>
      <c r="G326" s="597"/>
      <c r="H326" s="597"/>
      <c r="I326" s="597"/>
      <c r="J326" s="597"/>
      <c r="K326" s="597"/>
      <c r="L326" s="597"/>
      <c r="M326" s="597"/>
      <c r="N326" s="597"/>
      <c r="O326" s="598"/>
      <c r="P326" s="594" t="s">
        <v>40</v>
      </c>
      <c r="Q326" s="595"/>
      <c r="R326" s="595"/>
      <c r="S326" s="595"/>
      <c r="T326" s="595"/>
      <c r="U326" s="595"/>
      <c r="V326" s="596"/>
      <c r="W326" s="40" t="s">
        <v>39</v>
      </c>
      <c r="X326" s="41">
        <f>IFERROR(X323/H323,"0")+IFERROR(X324/H324,"0")+IFERROR(X325/H325,"0")</f>
        <v>0</v>
      </c>
      <c r="Y326" s="41">
        <f>IFERROR(Y323/H323,"0")+IFERROR(Y324/H324,"0")+IFERROR(Y325/H325,"0")</f>
        <v>0</v>
      </c>
      <c r="Z326" s="41">
        <f>IFERROR(IF(Z323="",0,Z323),"0")+IFERROR(IF(Z324="",0,Z324),"0")+IFERROR(IF(Z325="",0,Z325),"0")</f>
        <v>0</v>
      </c>
      <c r="AA326" s="64"/>
      <c r="AB326" s="64"/>
      <c r="AC326" s="64"/>
    </row>
    <row r="327" spans="1:68" hidden="1" x14ac:dyDescent="0.2">
      <c r="A327" s="597"/>
      <c r="B327" s="597"/>
      <c r="C327" s="597"/>
      <c r="D327" s="597"/>
      <c r="E327" s="597"/>
      <c r="F327" s="597"/>
      <c r="G327" s="597"/>
      <c r="H327" s="597"/>
      <c r="I327" s="597"/>
      <c r="J327" s="597"/>
      <c r="K327" s="597"/>
      <c r="L327" s="597"/>
      <c r="M327" s="597"/>
      <c r="N327" s="597"/>
      <c r="O327" s="598"/>
      <c r="P327" s="594" t="s">
        <v>40</v>
      </c>
      <c r="Q327" s="595"/>
      <c r="R327" s="595"/>
      <c r="S327" s="595"/>
      <c r="T327" s="595"/>
      <c r="U327" s="595"/>
      <c r="V327" s="596"/>
      <c r="W327" s="40" t="s">
        <v>0</v>
      </c>
      <c r="X327" s="41">
        <f>IFERROR(SUM(X323:X325),"0")</f>
        <v>0</v>
      </c>
      <c r="Y327" s="41">
        <f>IFERROR(SUM(Y323:Y325),"0")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05" t="s">
        <v>553</v>
      </c>
      <c r="B328" s="605"/>
      <c r="C328" s="605"/>
      <c r="D328" s="605"/>
      <c r="E328" s="605"/>
      <c r="F328" s="605"/>
      <c r="G328" s="605"/>
      <c r="H328" s="605"/>
      <c r="I328" s="605"/>
      <c r="J328" s="605"/>
      <c r="K328" s="605"/>
      <c r="L328" s="605"/>
      <c r="M328" s="605"/>
      <c r="N328" s="605"/>
      <c r="O328" s="605"/>
      <c r="P328" s="605"/>
      <c r="Q328" s="605"/>
      <c r="R328" s="605"/>
      <c r="S328" s="605"/>
      <c r="T328" s="605"/>
      <c r="U328" s="605"/>
      <c r="V328" s="605"/>
      <c r="W328" s="605"/>
      <c r="X328" s="605"/>
      <c r="Y328" s="605"/>
      <c r="Z328" s="605"/>
      <c r="AA328" s="62"/>
      <c r="AB328" s="62"/>
      <c r="AC328" s="62"/>
    </row>
    <row r="329" spans="1:68" ht="14.25" hidden="1" customHeight="1" x14ac:dyDescent="0.25">
      <c r="A329" s="589" t="s">
        <v>128</v>
      </c>
      <c r="B329" s="589"/>
      <c r="C329" s="589"/>
      <c r="D329" s="589"/>
      <c r="E329" s="589"/>
      <c r="F329" s="589"/>
      <c r="G329" s="589"/>
      <c r="H329" s="589"/>
      <c r="I329" s="589"/>
      <c r="J329" s="589"/>
      <c r="K329" s="589"/>
      <c r="L329" s="589"/>
      <c r="M329" s="589"/>
      <c r="N329" s="589"/>
      <c r="O329" s="589"/>
      <c r="P329" s="589"/>
      <c r="Q329" s="589"/>
      <c r="R329" s="589"/>
      <c r="S329" s="589"/>
      <c r="T329" s="589"/>
      <c r="U329" s="589"/>
      <c r="V329" s="589"/>
      <c r="W329" s="589"/>
      <c r="X329" s="589"/>
      <c r="Y329" s="589"/>
      <c r="Z329" s="589"/>
      <c r="AA329" s="63"/>
      <c r="AB329" s="63"/>
      <c r="AC329" s="63"/>
    </row>
    <row r="330" spans="1:68" ht="27" hidden="1" customHeight="1" x14ac:dyDescent="0.25">
      <c r="A330" s="60" t="s">
        <v>554</v>
      </c>
      <c r="B330" s="60" t="s">
        <v>555</v>
      </c>
      <c r="C330" s="34">
        <v>4301012126</v>
      </c>
      <c r="D330" s="590">
        <v>4607091386004</v>
      </c>
      <c r="E330" s="59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133</v>
      </c>
      <c r="L330" s="35" t="s">
        <v>46</v>
      </c>
      <c r="M330" s="36" t="s">
        <v>132</v>
      </c>
      <c r="N330" s="36"/>
      <c r="O330" s="35">
        <v>55</v>
      </c>
      <c r="P330" s="6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0" s="592"/>
      <c r="R330" s="592"/>
      <c r="S330" s="592"/>
      <c r="T330" s="593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ref="Y330:Y335" si="47"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07" t="s">
        <v>556</v>
      </c>
      <c r="AG330" s="75"/>
      <c r="AJ330" s="79" t="s">
        <v>46</v>
      </c>
      <c r="AK330" s="79">
        <v>0</v>
      </c>
      <c r="BB330" s="408" t="s">
        <v>67</v>
      </c>
      <c r="BM330" s="75">
        <f t="shared" ref="BM330:BM335" si="48">IFERROR(X330*I330/H330,"0")</f>
        <v>0</v>
      </c>
      <c r="BN330" s="75">
        <f t="shared" ref="BN330:BN335" si="49">IFERROR(Y330*I330/H330,"0")</f>
        <v>0</v>
      </c>
      <c r="BO330" s="75">
        <f t="shared" ref="BO330:BO335" si="50">IFERROR(1/J330*(X330/H330),"0")</f>
        <v>0</v>
      </c>
      <c r="BP330" s="75">
        <f t="shared" ref="BP330:BP335" si="51"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4301012235</v>
      </c>
      <c r="D331" s="590">
        <v>4680115887190</v>
      </c>
      <c r="E331" s="59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133</v>
      </c>
      <c r="L331" s="35" t="s">
        <v>46</v>
      </c>
      <c r="M331" s="36" t="s">
        <v>132</v>
      </c>
      <c r="N331" s="36"/>
      <c r="O331" s="35">
        <v>55</v>
      </c>
      <c r="P331" s="68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1" s="592"/>
      <c r="R331" s="592"/>
      <c r="S331" s="592"/>
      <c r="T331" s="593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47"/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09" t="s">
        <v>559</v>
      </c>
      <c r="AG331" s="75"/>
      <c r="AJ331" s="79" t="s">
        <v>46</v>
      </c>
      <c r="AK331" s="79">
        <v>0</v>
      </c>
      <c r="BB331" s="410" t="s">
        <v>67</v>
      </c>
      <c r="BM331" s="75">
        <f t="shared" si="48"/>
        <v>0</v>
      </c>
      <c r="BN331" s="75">
        <f t="shared" si="49"/>
        <v>0</v>
      </c>
      <c r="BO331" s="75">
        <f t="shared" si="50"/>
        <v>0</v>
      </c>
      <c r="BP331" s="75">
        <f t="shared" si="51"/>
        <v>0</v>
      </c>
    </row>
    <row r="332" spans="1:68" ht="37.5" hidden="1" customHeight="1" x14ac:dyDescent="0.25">
      <c r="A332" s="60" t="s">
        <v>560</v>
      </c>
      <c r="B332" s="60" t="s">
        <v>561</v>
      </c>
      <c r="C332" s="34">
        <v>4301012233</v>
      </c>
      <c r="D332" s="590">
        <v>4680115887138</v>
      </c>
      <c r="E332" s="590"/>
      <c r="F332" s="59">
        <v>1.35</v>
      </c>
      <c r="G332" s="35">
        <v>8</v>
      </c>
      <c r="H332" s="59">
        <v>10.8</v>
      </c>
      <c r="I332" s="59">
        <v>11.21</v>
      </c>
      <c r="J332" s="35">
        <v>64</v>
      </c>
      <c r="K332" s="35" t="s">
        <v>133</v>
      </c>
      <c r="L332" s="35" t="s">
        <v>46</v>
      </c>
      <c r="M332" s="36" t="s">
        <v>132</v>
      </c>
      <c r="N332" s="36"/>
      <c r="O332" s="35">
        <v>55</v>
      </c>
      <c r="P332" s="68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2" s="592"/>
      <c r="R332" s="592"/>
      <c r="S332" s="592"/>
      <c r="T332" s="593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47"/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1" t="s">
        <v>562</v>
      </c>
      <c r="AG332" s="75"/>
      <c r="AJ332" s="79" t="s">
        <v>46</v>
      </c>
      <c r="AK332" s="79">
        <v>0</v>
      </c>
      <c r="BB332" s="412" t="s">
        <v>67</v>
      </c>
      <c r="BM332" s="75">
        <f t="shared" si="48"/>
        <v>0</v>
      </c>
      <c r="BN332" s="75">
        <f t="shared" si="49"/>
        <v>0</v>
      </c>
      <c r="BO332" s="75">
        <f t="shared" si="50"/>
        <v>0</v>
      </c>
      <c r="BP332" s="75">
        <f t="shared" si="51"/>
        <v>0</v>
      </c>
    </row>
    <row r="333" spans="1:68" ht="27" hidden="1" customHeight="1" x14ac:dyDescent="0.25">
      <c r="A333" s="60" t="s">
        <v>563</v>
      </c>
      <c r="B333" s="60" t="s">
        <v>564</v>
      </c>
      <c r="C333" s="34">
        <v>4301012016</v>
      </c>
      <c r="D333" s="590">
        <v>4680115885554</v>
      </c>
      <c r="E333" s="590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90</v>
      </c>
      <c r="N333" s="36"/>
      <c r="O333" s="35">
        <v>55</v>
      </c>
      <c r="P333" s="68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3" s="592"/>
      <c r="R333" s="592"/>
      <c r="S333" s="592"/>
      <c r="T333" s="593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si="47"/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565</v>
      </c>
      <c r="AG333" s="75"/>
      <c r="AJ333" s="79" t="s">
        <v>46</v>
      </c>
      <c r="AK333" s="79">
        <v>0</v>
      </c>
      <c r="BB333" s="414" t="s">
        <v>67</v>
      </c>
      <c r="BM333" s="75">
        <f t="shared" si="48"/>
        <v>0</v>
      </c>
      <c r="BN333" s="75">
        <f t="shared" si="49"/>
        <v>0</v>
      </c>
      <c r="BO333" s="75">
        <f t="shared" si="50"/>
        <v>0</v>
      </c>
      <c r="BP333" s="75">
        <f t="shared" si="51"/>
        <v>0</v>
      </c>
    </row>
    <row r="334" spans="1:68" ht="27" hidden="1" customHeight="1" x14ac:dyDescent="0.25">
      <c r="A334" s="60" t="s">
        <v>566</v>
      </c>
      <c r="B334" s="60" t="s">
        <v>567</v>
      </c>
      <c r="C334" s="34">
        <v>4301012236</v>
      </c>
      <c r="D334" s="590">
        <v>4680115887220</v>
      </c>
      <c r="E334" s="590"/>
      <c r="F334" s="59">
        <v>0.4</v>
      </c>
      <c r="G334" s="35">
        <v>10</v>
      </c>
      <c r="H334" s="59">
        <v>4</v>
      </c>
      <c r="I334" s="59">
        <v>4.1900000000000004</v>
      </c>
      <c r="J334" s="35">
        <v>132</v>
      </c>
      <c r="K334" s="35" t="s">
        <v>140</v>
      </c>
      <c r="L334" s="35" t="s">
        <v>46</v>
      </c>
      <c r="M334" s="36" t="s">
        <v>132</v>
      </c>
      <c r="N334" s="36"/>
      <c r="O334" s="35">
        <v>55</v>
      </c>
      <c r="P334" s="69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4" s="592"/>
      <c r="R334" s="592"/>
      <c r="S334" s="592"/>
      <c r="T334" s="593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5" t="s">
        <v>559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27" hidden="1" customHeight="1" x14ac:dyDescent="0.25">
      <c r="A335" s="60" t="s">
        <v>568</v>
      </c>
      <c r="B335" s="60" t="s">
        <v>569</v>
      </c>
      <c r="C335" s="34">
        <v>4301011859</v>
      </c>
      <c r="D335" s="590">
        <v>4680115885608</v>
      </c>
      <c r="E335" s="590"/>
      <c r="F335" s="59">
        <v>0.4</v>
      </c>
      <c r="G335" s="35">
        <v>10</v>
      </c>
      <c r="H335" s="59">
        <v>4</v>
      </c>
      <c r="I335" s="59">
        <v>4.1900000000000004</v>
      </c>
      <c r="J335" s="35">
        <v>132</v>
      </c>
      <c r="K335" s="35" t="s">
        <v>140</v>
      </c>
      <c r="L335" s="35" t="s">
        <v>46</v>
      </c>
      <c r="M335" s="36" t="s">
        <v>132</v>
      </c>
      <c r="N335" s="36"/>
      <c r="O335" s="35">
        <v>55</v>
      </c>
      <c r="P335" s="6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5" s="592"/>
      <c r="R335" s="592"/>
      <c r="S335" s="592"/>
      <c r="T335" s="593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IFERROR(IF(Y335=0,"",ROUNDUP(Y335/H335,0)*0.00902),"")</f>
        <v/>
      </c>
      <c r="AA335" s="65" t="s">
        <v>46</v>
      </c>
      <c r="AB335" s="66" t="s">
        <v>46</v>
      </c>
      <c r="AC335" s="417" t="s">
        <v>570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idden="1" x14ac:dyDescent="0.2">
      <c r="A336" s="597"/>
      <c r="B336" s="597"/>
      <c r="C336" s="597"/>
      <c r="D336" s="597"/>
      <c r="E336" s="597"/>
      <c r="F336" s="597"/>
      <c r="G336" s="597"/>
      <c r="H336" s="597"/>
      <c r="I336" s="597"/>
      <c r="J336" s="597"/>
      <c r="K336" s="597"/>
      <c r="L336" s="597"/>
      <c r="M336" s="597"/>
      <c r="N336" s="597"/>
      <c r="O336" s="598"/>
      <c r="P336" s="594" t="s">
        <v>40</v>
      </c>
      <c r="Q336" s="595"/>
      <c r="R336" s="595"/>
      <c r="S336" s="595"/>
      <c r="T336" s="595"/>
      <c r="U336" s="595"/>
      <c r="V336" s="596"/>
      <c r="W336" s="40" t="s">
        <v>39</v>
      </c>
      <c r="X336" s="41">
        <f>IFERROR(X330/H330,"0")+IFERROR(X331/H331,"0")+IFERROR(X332/H332,"0")+IFERROR(X333/H333,"0")+IFERROR(X334/H334,"0")+IFERROR(X335/H335,"0")</f>
        <v>0</v>
      </c>
      <c r="Y336" s="41">
        <f>IFERROR(Y330/H330,"0")+IFERROR(Y331/H331,"0")+IFERROR(Y332/H332,"0")+IFERROR(Y333/H333,"0")+IFERROR(Y334/H334,"0")+IFERROR(Y335/H335,"0")</f>
        <v>0</v>
      </c>
      <c r="Z336" s="41">
        <f>IFERROR(IF(Z330="",0,Z330),"0")+IFERROR(IF(Z331="",0,Z331),"0")+IFERROR(IF(Z332="",0,Z332),"0")+IFERROR(IF(Z333="",0,Z333),"0")+IFERROR(IF(Z334="",0,Z334),"0")+IFERROR(IF(Z335="",0,Z335),"0")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597"/>
      <c r="B337" s="597"/>
      <c r="C337" s="597"/>
      <c r="D337" s="597"/>
      <c r="E337" s="597"/>
      <c r="F337" s="597"/>
      <c r="G337" s="597"/>
      <c r="H337" s="597"/>
      <c r="I337" s="597"/>
      <c r="J337" s="597"/>
      <c r="K337" s="597"/>
      <c r="L337" s="597"/>
      <c r="M337" s="597"/>
      <c r="N337" s="597"/>
      <c r="O337" s="598"/>
      <c r="P337" s="594" t="s">
        <v>40</v>
      </c>
      <c r="Q337" s="595"/>
      <c r="R337" s="595"/>
      <c r="S337" s="595"/>
      <c r="T337" s="595"/>
      <c r="U337" s="595"/>
      <c r="V337" s="596"/>
      <c r="W337" s="40" t="s">
        <v>0</v>
      </c>
      <c r="X337" s="41">
        <f>IFERROR(SUM(X330:X335),"0")</f>
        <v>0</v>
      </c>
      <c r="Y337" s="41">
        <f>IFERROR(SUM(Y330:Y335),"0")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589" t="s">
        <v>77</v>
      </c>
      <c r="B338" s="589"/>
      <c r="C338" s="589"/>
      <c r="D338" s="589"/>
      <c r="E338" s="589"/>
      <c r="F338" s="589"/>
      <c r="G338" s="589"/>
      <c r="H338" s="589"/>
      <c r="I338" s="589"/>
      <c r="J338" s="589"/>
      <c r="K338" s="589"/>
      <c r="L338" s="589"/>
      <c r="M338" s="589"/>
      <c r="N338" s="589"/>
      <c r="O338" s="589"/>
      <c r="P338" s="589"/>
      <c r="Q338" s="589"/>
      <c r="R338" s="589"/>
      <c r="S338" s="589"/>
      <c r="T338" s="589"/>
      <c r="U338" s="589"/>
      <c r="V338" s="589"/>
      <c r="W338" s="589"/>
      <c r="X338" s="589"/>
      <c r="Y338" s="589"/>
      <c r="Z338" s="589"/>
      <c r="AA338" s="63"/>
      <c r="AB338" s="63"/>
      <c r="AC338" s="63"/>
    </row>
    <row r="339" spans="1:68" ht="27" hidden="1" customHeight="1" x14ac:dyDescent="0.25">
      <c r="A339" s="60" t="s">
        <v>571</v>
      </c>
      <c r="B339" s="60" t="s">
        <v>572</v>
      </c>
      <c r="C339" s="34">
        <v>4301030878</v>
      </c>
      <c r="D339" s="590">
        <v>4607091387193</v>
      </c>
      <c r="E339" s="590"/>
      <c r="F339" s="59">
        <v>0.7</v>
      </c>
      <c r="G339" s="35">
        <v>6</v>
      </c>
      <c r="H339" s="59">
        <v>4.2</v>
      </c>
      <c r="I339" s="59">
        <v>4.45</v>
      </c>
      <c r="J339" s="35">
        <v>132</v>
      </c>
      <c r="K339" s="35" t="s">
        <v>140</v>
      </c>
      <c r="L339" s="35" t="s">
        <v>46</v>
      </c>
      <c r="M339" s="36" t="s">
        <v>81</v>
      </c>
      <c r="N339" s="36"/>
      <c r="O339" s="35">
        <v>35</v>
      </c>
      <c r="P339" s="6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9" s="592"/>
      <c r="R339" s="592"/>
      <c r="S339" s="592"/>
      <c r="T339" s="593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ref="Y339:Y345" si="52"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19" t="s">
        <v>573</v>
      </c>
      <c r="AG339" s="75"/>
      <c r="AJ339" s="79" t="s">
        <v>46</v>
      </c>
      <c r="AK339" s="79">
        <v>0</v>
      </c>
      <c r="BB339" s="420" t="s">
        <v>67</v>
      </c>
      <c r="BM339" s="75">
        <f t="shared" ref="BM339:BM345" si="53">IFERROR(X339*I339/H339,"0")</f>
        <v>0</v>
      </c>
      <c r="BN339" s="75">
        <f t="shared" ref="BN339:BN345" si="54">IFERROR(Y339*I339/H339,"0")</f>
        <v>0</v>
      </c>
      <c r="BO339" s="75">
        <f t="shared" ref="BO339:BO345" si="55">IFERROR(1/J339*(X339/H339),"0")</f>
        <v>0</v>
      </c>
      <c r="BP339" s="75">
        <f t="shared" ref="BP339:BP345" si="56">IFERROR(1/J339*(Y339/H339),"0")</f>
        <v>0</v>
      </c>
    </row>
    <row r="340" spans="1:68" ht="27" hidden="1" customHeight="1" x14ac:dyDescent="0.25">
      <c r="A340" s="60" t="s">
        <v>574</v>
      </c>
      <c r="B340" s="60" t="s">
        <v>575</v>
      </c>
      <c r="C340" s="34">
        <v>4301031153</v>
      </c>
      <c r="D340" s="590">
        <v>4607091387230</v>
      </c>
      <c r="E340" s="590"/>
      <c r="F340" s="59">
        <v>0.7</v>
      </c>
      <c r="G340" s="35">
        <v>6</v>
      </c>
      <c r="H340" s="59">
        <v>4.2</v>
      </c>
      <c r="I340" s="59">
        <v>4.45</v>
      </c>
      <c r="J340" s="35">
        <v>132</v>
      </c>
      <c r="K340" s="35" t="s">
        <v>140</v>
      </c>
      <c r="L340" s="35" t="s">
        <v>46</v>
      </c>
      <c r="M340" s="36" t="s">
        <v>81</v>
      </c>
      <c r="N340" s="36"/>
      <c r="O340" s="35">
        <v>40</v>
      </c>
      <c r="P340" s="6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0" s="592"/>
      <c r="R340" s="592"/>
      <c r="S340" s="592"/>
      <c r="T340" s="593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52"/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1" t="s">
        <v>576</v>
      </c>
      <c r="AG340" s="75"/>
      <c r="AJ340" s="79" t="s">
        <v>46</v>
      </c>
      <c r="AK340" s="79">
        <v>0</v>
      </c>
      <c r="BB340" s="422" t="s">
        <v>67</v>
      </c>
      <c r="BM340" s="75">
        <f t="shared" si="53"/>
        <v>0</v>
      </c>
      <c r="BN340" s="75">
        <f t="shared" si="54"/>
        <v>0</v>
      </c>
      <c r="BO340" s="75">
        <f t="shared" si="55"/>
        <v>0</v>
      </c>
      <c r="BP340" s="75">
        <f t="shared" si="56"/>
        <v>0</v>
      </c>
    </row>
    <row r="341" spans="1:68" ht="27" hidden="1" customHeight="1" x14ac:dyDescent="0.25">
      <c r="A341" s="60" t="s">
        <v>577</v>
      </c>
      <c r="B341" s="60" t="s">
        <v>578</v>
      </c>
      <c r="C341" s="34">
        <v>4301031154</v>
      </c>
      <c r="D341" s="590">
        <v>4607091387292</v>
      </c>
      <c r="E341" s="590"/>
      <c r="F341" s="59">
        <v>0.73</v>
      </c>
      <c r="G341" s="35">
        <v>6</v>
      </c>
      <c r="H341" s="59">
        <v>4.38</v>
      </c>
      <c r="I341" s="59">
        <v>4.63</v>
      </c>
      <c r="J341" s="35">
        <v>132</v>
      </c>
      <c r="K341" s="35" t="s">
        <v>140</v>
      </c>
      <c r="L341" s="35" t="s">
        <v>46</v>
      </c>
      <c r="M341" s="36" t="s">
        <v>81</v>
      </c>
      <c r="N341" s="36"/>
      <c r="O341" s="35">
        <v>45</v>
      </c>
      <c r="P341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1" s="592"/>
      <c r="R341" s="592"/>
      <c r="S341" s="592"/>
      <c r="T341" s="593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52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3" t="s">
        <v>579</v>
      </c>
      <c r="AG341" s="75"/>
      <c r="AJ341" s="79" t="s">
        <v>46</v>
      </c>
      <c r="AK341" s="79">
        <v>0</v>
      </c>
      <c r="BB341" s="424" t="s">
        <v>67</v>
      </c>
      <c r="BM341" s="75">
        <f t="shared" si="53"/>
        <v>0</v>
      </c>
      <c r="BN341" s="75">
        <f t="shared" si="54"/>
        <v>0</v>
      </c>
      <c r="BO341" s="75">
        <f t="shared" si="55"/>
        <v>0</v>
      </c>
      <c r="BP341" s="75">
        <f t="shared" si="56"/>
        <v>0</v>
      </c>
    </row>
    <row r="342" spans="1:68" ht="27" hidden="1" customHeight="1" x14ac:dyDescent="0.25">
      <c r="A342" s="60" t="s">
        <v>580</v>
      </c>
      <c r="B342" s="60" t="s">
        <v>581</v>
      </c>
      <c r="C342" s="34">
        <v>4301031152</v>
      </c>
      <c r="D342" s="590">
        <v>4607091387285</v>
      </c>
      <c r="E342" s="590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2" s="592"/>
      <c r="R342" s="592"/>
      <c r="S342" s="592"/>
      <c r="T342" s="593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52"/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5" t="s">
        <v>576</v>
      </c>
      <c r="AG342" s="75"/>
      <c r="AJ342" s="79" t="s">
        <v>46</v>
      </c>
      <c r="AK342" s="79">
        <v>0</v>
      </c>
      <c r="BB342" s="426" t="s">
        <v>67</v>
      </c>
      <c r="BM342" s="75">
        <f t="shared" si="53"/>
        <v>0</v>
      </c>
      <c r="BN342" s="75">
        <f t="shared" si="54"/>
        <v>0</v>
      </c>
      <c r="BO342" s="75">
        <f t="shared" si="55"/>
        <v>0</v>
      </c>
      <c r="BP342" s="75">
        <f t="shared" si="56"/>
        <v>0</v>
      </c>
    </row>
    <row r="343" spans="1:68" ht="27" customHeight="1" x14ac:dyDescent="0.25">
      <c r="A343" s="60" t="s">
        <v>582</v>
      </c>
      <c r="B343" s="60" t="s">
        <v>583</v>
      </c>
      <c r="C343" s="34">
        <v>4301031305</v>
      </c>
      <c r="D343" s="590">
        <v>4607091389845</v>
      </c>
      <c r="E343" s="590"/>
      <c r="F343" s="59">
        <v>0.35</v>
      </c>
      <c r="G343" s="35">
        <v>6</v>
      </c>
      <c r="H343" s="59">
        <v>2.1</v>
      </c>
      <c r="I343" s="59">
        <v>2.2000000000000002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3" s="592"/>
      <c r="R343" s="592"/>
      <c r="S343" s="592"/>
      <c r="T343" s="593"/>
      <c r="U343" s="37" t="s">
        <v>46</v>
      </c>
      <c r="V343" s="37" t="s">
        <v>46</v>
      </c>
      <c r="W343" s="38" t="s">
        <v>0</v>
      </c>
      <c r="X343" s="56">
        <v>19</v>
      </c>
      <c r="Y343" s="53">
        <f t="shared" si="52"/>
        <v>21</v>
      </c>
      <c r="Z343" s="39">
        <f>IFERROR(IF(Y343=0,"",ROUNDUP(Y343/H343,0)*0.00502),"")</f>
        <v>5.0200000000000002E-2</v>
      </c>
      <c r="AA343" s="65" t="s">
        <v>46</v>
      </c>
      <c r="AB343" s="66" t="s">
        <v>46</v>
      </c>
      <c r="AC343" s="427" t="s">
        <v>584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19.904761904761905</v>
      </c>
      <c r="BN343" s="75">
        <f t="shared" si="54"/>
        <v>22</v>
      </c>
      <c r="BO343" s="75">
        <f t="shared" si="55"/>
        <v>3.8665038665038669E-2</v>
      </c>
      <c r="BP343" s="75">
        <f t="shared" si="56"/>
        <v>4.2735042735042736E-2</v>
      </c>
    </row>
    <row r="344" spans="1:68" ht="27" hidden="1" customHeight="1" x14ac:dyDescent="0.25">
      <c r="A344" s="60" t="s">
        <v>585</v>
      </c>
      <c r="B344" s="60" t="s">
        <v>586</v>
      </c>
      <c r="C344" s="34">
        <v>4301031460</v>
      </c>
      <c r="D344" s="590">
        <v>4680115887442</v>
      </c>
      <c r="E344" s="590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6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4" s="592"/>
      <c r="R344" s="592"/>
      <c r="S344" s="592"/>
      <c r="T344" s="593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579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4301031066</v>
      </c>
      <c r="D345" s="590">
        <v>4607091383836</v>
      </c>
      <c r="E345" s="590"/>
      <c r="F345" s="59">
        <v>0.3</v>
      </c>
      <c r="G345" s="35">
        <v>6</v>
      </c>
      <c r="H345" s="59">
        <v>1.8</v>
      </c>
      <c r="I345" s="59">
        <v>2.028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6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5" s="592"/>
      <c r="R345" s="592"/>
      <c r="S345" s="592"/>
      <c r="T345" s="593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1" t="s">
        <v>589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x14ac:dyDescent="0.2">
      <c r="A346" s="597"/>
      <c r="B346" s="597"/>
      <c r="C346" s="597"/>
      <c r="D346" s="597"/>
      <c r="E346" s="597"/>
      <c r="F346" s="597"/>
      <c r="G346" s="597"/>
      <c r="H346" s="597"/>
      <c r="I346" s="597"/>
      <c r="J346" s="597"/>
      <c r="K346" s="597"/>
      <c r="L346" s="597"/>
      <c r="M346" s="597"/>
      <c r="N346" s="597"/>
      <c r="O346" s="598"/>
      <c r="P346" s="594" t="s">
        <v>40</v>
      </c>
      <c r="Q346" s="595"/>
      <c r="R346" s="595"/>
      <c r="S346" s="595"/>
      <c r="T346" s="595"/>
      <c r="U346" s="595"/>
      <c r="V346" s="596"/>
      <c r="W346" s="40" t="s">
        <v>39</v>
      </c>
      <c r="X346" s="41">
        <f>IFERROR(X339/H339,"0")+IFERROR(X340/H340,"0")+IFERROR(X341/H341,"0")+IFERROR(X342/H342,"0")+IFERROR(X343/H343,"0")+IFERROR(X344/H344,"0")+IFERROR(X345/H345,"0")</f>
        <v>9.0476190476190474</v>
      </c>
      <c r="Y346" s="41">
        <f>IFERROR(Y339/H339,"0")+IFERROR(Y340/H340,"0")+IFERROR(Y341/H341,"0")+IFERROR(Y342/H342,"0")+IFERROR(Y343/H343,"0")+IFERROR(Y344/H344,"0")+IFERROR(Y345/H345,"0")</f>
        <v>10</v>
      </c>
      <c r="Z346" s="41">
        <f>IFERROR(IF(Z339="",0,Z339),"0")+IFERROR(IF(Z340="",0,Z340),"0")+IFERROR(IF(Z341="",0,Z341),"0")+IFERROR(IF(Z342="",0,Z342),"0")+IFERROR(IF(Z343="",0,Z343),"0")+IFERROR(IF(Z344="",0,Z344),"0")+IFERROR(IF(Z345="",0,Z345),"0")</f>
        <v>5.0200000000000002E-2</v>
      </c>
      <c r="AA346" s="64"/>
      <c r="AB346" s="64"/>
      <c r="AC346" s="64"/>
    </row>
    <row r="347" spans="1:68" x14ac:dyDescent="0.2">
      <c r="A347" s="597"/>
      <c r="B347" s="597"/>
      <c r="C347" s="597"/>
      <c r="D347" s="597"/>
      <c r="E347" s="597"/>
      <c r="F347" s="597"/>
      <c r="G347" s="597"/>
      <c r="H347" s="597"/>
      <c r="I347" s="597"/>
      <c r="J347" s="597"/>
      <c r="K347" s="597"/>
      <c r="L347" s="597"/>
      <c r="M347" s="597"/>
      <c r="N347" s="597"/>
      <c r="O347" s="598"/>
      <c r="P347" s="594" t="s">
        <v>40</v>
      </c>
      <c r="Q347" s="595"/>
      <c r="R347" s="595"/>
      <c r="S347" s="595"/>
      <c r="T347" s="595"/>
      <c r="U347" s="595"/>
      <c r="V347" s="596"/>
      <c r="W347" s="40" t="s">
        <v>0</v>
      </c>
      <c r="X347" s="41">
        <f>IFERROR(SUM(X339:X345),"0")</f>
        <v>19</v>
      </c>
      <c r="Y347" s="41">
        <f>IFERROR(SUM(Y339:Y345),"0")</f>
        <v>21</v>
      </c>
      <c r="Z347" s="40"/>
      <c r="AA347" s="64"/>
      <c r="AB347" s="64"/>
      <c r="AC347" s="64"/>
    </row>
    <row r="348" spans="1:68" ht="14.25" hidden="1" customHeight="1" x14ac:dyDescent="0.25">
      <c r="A348" s="589" t="s">
        <v>86</v>
      </c>
      <c r="B348" s="589"/>
      <c r="C348" s="589"/>
      <c r="D348" s="589"/>
      <c r="E348" s="589"/>
      <c r="F348" s="589"/>
      <c r="G348" s="589"/>
      <c r="H348" s="589"/>
      <c r="I348" s="589"/>
      <c r="J348" s="589"/>
      <c r="K348" s="589"/>
      <c r="L348" s="589"/>
      <c r="M348" s="589"/>
      <c r="N348" s="589"/>
      <c r="O348" s="589"/>
      <c r="P348" s="589"/>
      <c r="Q348" s="589"/>
      <c r="R348" s="589"/>
      <c r="S348" s="589"/>
      <c r="T348" s="589"/>
      <c r="U348" s="589"/>
      <c r="V348" s="589"/>
      <c r="W348" s="589"/>
      <c r="X348" s="589"/>
      <c r="Y348" s="589"/>
      <c r="Z348" s="589"/>
      <c r="AA348" s="63"/>
      <c r="AB348" s="63"/>
      <c r="AC348" s="63"/>
    </row>
    <row r="349" spans="1:68" ht="27" hidden="1" customHeight="1" x14ac:dyDescent="0.25">
      <c r="A349" s="60" t="s">
        <v>590</v>
      </c>
      <c r="B349" s="60" t="s">
        <v>591</v>
      </c>
      <c r="C349" s="34">
        <v>4301051100</v>
      </c>
      <c r="D349" s="590">
        <v>4607091387766</v>
      </c>
      <c r="E349" s="590"/>
      <c r="F349" s="59">
        <v>1.3</v>
      </c>
      <c r="G349" s="35">
        <v>6</v>
      </c>
      <c r="H349" s="59">
        <v>7.8</v>
      </c>
      <c r="I349" s="59">
        <v>8.2880000000000003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40</v>
      </c>
      <c r="P349" s="6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9" s="592"/>
      <c r="R349" s="592"/>
      <c r="S349" s="592"/>
      <c r="T349" s="59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33" t="s">
        <v>592</v>
      </c>
      <c r="AG349" s="75"/>
      <c r="AJ349" s="79" t="s">
        <v>46</v>
      </c>
      <c r="AK349" s="79">
        <v>0</v>
      </c>
      <c r="BB349" s="434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593</v>
      </c>
      <c r="B350" s="60" t="s">
        <v>594</v>
      </c>
      <c r="C350" s="34">
        <v>4301051818</v>
      </c>
      <c r="D350" s="590">
        <v>4607091387957</v>
      </c>
      <c r="E350" s="590"/>
      <c r="F350" s="59">
        <v>1.3</v>
      </c>
      <c r="G350" s="35">
        <v>6</v>
      </c>
      <c r="H350" s="59">
        <v>7.8</v>
      </c>
      <c r="I350" s="59">
        <v>8.2940000000000005</v>
      </c>
      <c r="J350" s="35">
        <v>64</v>
      </c>
      <c r="K350" s="35" t="s">
        <v>133</v>
      </c>
      <c r="L350" s="35" t="s">
        <v>46</v>
      </c>
      <c r="M350" s="36" t="s">
        <v>90</v>
      </c>
      <c r="N350" s="36"/>
      <c r="O350" s="35">
        <v>40</v>
      </c>
      <c r="P350" s="6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0" s="592"/>
      <c r="R350" s="592"/>
      <c r="S350" s="592"/>
      <c r="T350" s="593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35" t="s">
        <v>595</v>
      </c>
      <c r="AG350" s="75"/>
      <c r="AJ350" s="79" t="s">
        <v>46</v>
      </c>
      <c r="AK350" s="79">
        <v>0</v>
      </c>
      <c r="BB350" s="436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37.5" hidden="1" customHeight="1" x14ac:dyDescent="0.25">
      <c r="A351" s="60" t="s">
        <v>596</v>
      </c>
      <c r="B351" s="60" t="s">
        <v>597</v>
      </c>
      <c r="C351" s="34">
        <v>4301051819</v>
      </c>
      <c r="D351" s="590">
        <v>4607091387964</v>
      </c>
      <c r="E351" s="590"/>
      <c r="F351" s="59">
        <v>1.35</v>
      </c>
      <c r="G351" s="35">
        <v>6</v>
      </c>
      <c r="H351" s="59">
        <v>8.1</v>
      </c>
      <c r="I351" s="59">
        <v>8.5760000000000005</v>
      </c>
      <c r="J351" s="35">
        <v>64</v>
      </c>
      <c r="K351" s="35" t="s">
        <v>133</v>
      </c>
      <c r="L351" s="35" t="s">
        <v>46</v>
      </c>
      <c r="M351" s="36" t="s">
        <v>90</v>
      </c>
      <c r="N351" s="36"/>
      <c r="O351" s="35">
        <v>40</v>
      </c>
      <c r="P351" s="6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1" s="592"/>
      <c r="R351" s="592"/>
      <c r="S351" s="592"/>
      <c r="T351" s="593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37" t="s">
        <v>598</v>
      </c>
      <c r="AG351" s="75"/>
      <c r="AJ351" s="79" t="s">
        <v>46</v>
      </c>
      <c r="AK351" s="79">
        <v>0</v>
      </c>
      <c r="BB351" s="438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599</v>
      </c>
      <c r="B352" s="60" t="s">
        <v>600</v>
      </c>
      <c r="C352" s="34">
        <v>4301051734</v>
      </c>
      <c r="D352" s="590">
        <v>4680115884588</v>
      </c>
      <c r="E352" s="590"/>
      <c r="F352" s="59">
        <v>0.5</v>
      </c>
      <c r="G352" s="35">
        <v>6</v>
      </c>
      <c r="H352" s="59">
        <v>3</v>
      </c>
      <c r="I352" s="59">
        <v>3.246</v>
      </c>
      <c r="J352" s="35">
        <v>182</v>
      </c>
      <c r="K352" s="35" t="s">
        <v>91</v>
      </c>
      <c r="L352" s="35" t="s">
        <v>46</v>
      </c>
      <c r="M352" s="36" t="s">
        <v>90</v>
      </c>
      <c r="N352" s="36"/>
      <c r="O352" s="35">
        <v>40</v>
      </c>
      <c r="P352" s="6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2" s="592"/>
      <c r="R352" s="592"/>
      <c r="S352" s="592"/>
      <c r="T352" s="593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39" t="s">
        <v>592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597"/>
      <c r="B353" s="597"/>
      <c r="C353" s="597"/>
      <c r="D353" s="597"/>
      <c r="E353" s="597"/>
      <c r="F353" s="597"/>
      <c r="G353" s="597"/>
      <c r="H353" s="597"/>
      <c r="I353" s="597"/>
      <c r="J353" s="597"/>
      <c r="K353" s="597"/>
      <c r="L353" s="597"/>
      <c r="M353" s="597"/>
      <c r="N353" s="597"/>
      <c r="O353" s="598"/>
      <c r="P353" s="594" t="s">
        <v>40</v>
      </c>
      <c r="Q353" s="595"/>
      <c r="R353" s="595"/>
      <c r="S353" s="595"/>
      <c r="T353" s="595"/>
      <c r="U353" s="595"/>
      <c r="V353" s="596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597"/>
      <c r="B354" s="597"/>
      <c r="C354" s="597"/>
      <c r="D354" s="597"/>
      <c r="E354" s="597"/>
      <c r="F354" s="597"/>
      <c r="G354" s="597"/>
      <c r="H354" s="597"/>
      <c r="I354" s="597"/>
      <c r="J354" s="597"/>
      <c r="K354" s="597"/>
      <c r="L354" s="597"/>
      <c r="M354" s="597"/>
      <c r="N354" s="597"/>
      <c r="O354" s="598"/>
      <c r="P354" s="594" t="s">
        <v>40</v>
      </c>
      <c r="Q354" s="595"/>
      <c r="R354" s="595"/>
      <c r="S354" s="595"/>
      <c r="T354" s="595"/>
      <c r="U354" s="595"/>
      <c r="V354" s="596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589" t="s">
        <v>180</v>
      </c>
      <c r="B355" s="589"/>
      <c r="C355" s="589"/>
      <c r="D355" s="589"/>
      <c r="E355" s="589"/>
      <c r="F355" s="589"/>
      <c r="G355" s="589"/>
      <c r="H355" s="589"/>
      <c r="I355" s="589"/>
      <c r="J355" s="589"/>
      <c r="K355" s="589"/>
      <c r="L355" s="589"/>
      <c r="M355" s="589"/>
      <c r="N355" s="589"/>
      <c r="O355" s="589"/>
      <c r="P355" s="589"/>
      <c r="Q355" s="589"/>
      <c r="R355" s="589"/>
      <c r="S355" s="589"/>
      <c r="T355" s="589"/>
      <c r="U355" s="589"/>
      <c r="V355" s="589"/>
      <c r="W355" s="589"/>
      <c r="X355" s="589"/>
      <c r="Y355" s="589"/>
      <c r="Z355" s="589"/>
      <c r="AA355" s="63"/>
      <c r="AB355" s="63"/>
      <c r="AC355" s="63"/>
    </row>
    <row r="356" spans="1:68" ht="27" hidden="1" customHeight="1" x14ac:dyDescent="0.25">
      <c r="A356" s="60" t="s">
        <v>601</v>
      </c>
      <c r="B356" s="60" t="s">
        <v>602</v>
      </c>
      <c r="C356" s="34">
        <v>4301060387</v>
      </c>
      <c r="D356" s="590">
        <v>4607091380880</v>
      </c>
      <c r="E356" s="590"/>
      <c r="F356" s="59">
        <v>1.4</v>
      </c>
      <c r="G356" s="35">
        <v>6</v>
      </c>
      <c r="H356" s="59">
        <v>8.4</v>
      </c>
      <c r="I356" s="59">
        <v>8.8940000000000001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30</v>
      </c>
      <c r="P35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6" s="592"/>
      <c r="R356" s="592"/>
      <c r="S356" s="592"/>
      <c r="T356" s="59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603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604</v>
      </c>
      <c r="B357" s="60" t="s">
        <v>605</v>
      </c>
      <c r="C357" s="34">
        <v>4301060406</v>
      </c>
      <c r="D357" s="590">
        <v>4607091384482</v>
      </c>
      <c r="E357" s="590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30</v>
      </c>
      <c r="P357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7" s="592"/>
      <c r="R357" s="592"/>
      <c r="S357" s="592"/>
      <c r="T357" s="593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606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16.5" hidden="1" customHeight="1" x14ac:dyDescent="0.25">
      <c r="A358" s="60" t="s">
        <v>607</v>
      </c>
      <c r="B358" s="60" t="s">
        <v>608</v>
      </c>
      <c r="C358" s="34">
        <v>4301060484</v>
      </c>
      <c r="D358" s="590">
        <v>4607091380897</v>
      </c>
      <c r="E358" s="590"/>
      <c r="F358" s="59">
        <v>1.4</v>
      </c>
      <c r="G358" s="35">
        <v>6</v>
      </c>
      <c r="H358" s="59">
        <v>8.4</v>
      </c>
      <c r="I358" s="59">
        <v>8.8940000000000001</v>
      </c>
      <c r="J358" s="35">
        <v>64</v>
      </c>
      <c r="K358" s="35" t="s">
        <v>133</v>
      </c>
      <c r="L358" s="35" t="s">
        <v>46</v>
      </c>
      <c r="M358" s="36" t="s">
        <v>97</v>
      </c>
      <c r="N358" s="36"/>
      <c r="O358" s="35">
        <v>30</v>
      </c>
      <c r="P358" s="6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8" s="592"/>
      <c r="R358" s="592"/>
      <c r="S358" s="592"/>
      <c r="T358" s="593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609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597"/>
      <c r="B359" s="597"/>
      <c r="C359" s="597"/>
      <c r="D359" s="597"/>
      <c r="E359" s="597"/>
      <c r="F359" s="597"/>
      <c r="G359" s="597"/>
      <c r="H359" s="597"/>
      <c r="I359" s="597"/>
      <c r="J359" s="597"/>
      <c r="K359" s="597"/>
      <c r="L359" s="597"/>
      <c r="M359" s="597"/>
      <c r="N359" s="597"/>
      <c r="O359" s="598"/>
      <c r="P359" s="594" t="s">
        <v>40</v>
      </c>
      <c r="Q359" s="595"/>
      <c r="R359" s="595"/>
      <c r="S359" s="595"/>
      <c r="T359" s="595"/>
      <c r="U359" s="595"/>
      <c r="V359" s="596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597"/>
      <c r="B360" s="597"/>
      <c r="C360" s="597"/>
      <c r="D360" s="597"/>
      <c r="E360" s="597"/>
      <c r="F360" s="597"/>
      <c r="G360" s="597"/>
      <c r="H360" s="597"/>
      <c r="I360" s="597"/>
      <c r="J360" s="597"/>
      <c r="K360" s="597"/>
      <c r="L360" s="597"/>
      <c r="M360" s="597"/>
      <c r="N360" s="597"/>
      <c r="O360" s="598"/>
      <c r="P360" s="594" t="s">
        <v>40</v>
      </c>
      <c r="Q360" s="595"/>
      <c r="R360" s="595"/>
      <c r="S360" s="595"/>
      <c r="T360" s="595"/>
      <c r="U360" s="595"/>
      <c r="V360" s="596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589" t="s">
        <v>107</v>
      </c>
      <c r="B361" s="589"/>
      <c r="C361" s="589"/>
      <c r="D361" s="589"/>
      <c r="E361" s="589"/>
      <c r="F361" s="589"/>
      <c r="G361" s="589"/>
      <c r="H361" s="589"/>
      <c r="I361" s="589"/>
      <c r="J361" s="589"/>
      <c r="K361" s="589"/>
      <c r="L361" s="589"/>
      <c r="M361" s="589"/>
      <c r="N361" s="589"/>
      <c r="O361" s="589"/>
      <c r="P361" s="589"/>
      <c r="Q361" s="589"/>
      <c r="R361" s="589"/>
      <c r="S361" s="589"/>
      <c r="T361" s="589"/>
      <c r="U361" s="589"/>
      <c r="V361" s="589"/>
      <c r="W361" s="589"/>
      <c r="X361" s="589"/>
      <c r="Y361" s="589"/>
      <c r="Z361" s="589"/>
      <c r="AA361" s="63"/>
      <c r="AB361" s="63"/>
      <c r="AC361" s="63"/>
    </row>
    <row r="362" spans="1:68" ht="27" hidden="1" customHeight="1" x14ac:dyDescent="0.25">
      <c r="A362" s="60" t="s">
        <v>610</v>
      </c>
      <c r="B362" s="60" t="s">
        <v>611</v>
      </c>
      <c r="C362" s="34">
        <v>4301030235</v>
      </c>
      <c r="D362" s="590">
        <v>4607091388381</v>
      </c>
      <c r="E362" s="590"/>
      <c r="F362" s="59">
        <v>0.38</v>
      </c>
      <c r="G362" s="35">
        <v>8</v>
      </c>
      <c r="H362" s="59">
        <v>3.04</v>
      </c>
      <c r="I362" s="59">
        <v>3.31</v>
      </c>
      <c r="J362" s="35">
        <v>132</v>
      </c>
      <c r="K362" s="35" t="s">
        <v>140</v>
      </c>
      <c r="L362" s="35" t="s">
        <v>46</v>
      </c>
      <c r="M362" s="36" t="s">
        <v>112</v>
      </c>
      <c r="N362" s="36"/>
      <c r="O362" s="35">
        <v>180</v>
      </c>
      <c r="P362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2" s="592"/>
      <c r="R362" s="592"/>
      <c r="S362" s="592"/>
      <c r="T362" s="593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7" t="s">
        <v>612</v>
      </c>
      <c r="AG362" s="75"/>
      <c r="AJ362" s="79" t="s">
        <v>46</v>
      </c>
      <c r="AK362" s="79">
        <v>0</v>
      </c>
      <c r="BB362" s="448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613</v>
      </c>
      <c r="B363" s="60" t="s">
        <v>614</v>
      </c>
      <c r="C363" s="34">
        <v>4301030232</v>
      </c>
      <c r="D363" s="590">
        <v>4607091388374</v>
      </c>
      <c r="E363" s="590"/>
      <c r="F363" s="59">
        <v>0.38</v>
      </c>
      <c r="G363" s="35">
        <v>8</v>
      </c>
      <c r="H363" s="59">
        <v>3.04</v>
      </c>
      <c r="I363" s="59">
        <v>3.27</v>
      </c>
      <c r="J363" s="35">
        <v>132</v>
      </c>
      <c r="K363" s="35" t="s">
        <v>140</v>
      </c>
      <c r="L363" s="35" t="s">
        <v>46</v>
      </c>
      <c r="M363" s="36" t="s">
        <v>112</v>
      </c>
      <c r="N363" s="36"/>
      <c r="O363" s="35">
        <v>180</v>
      </c>
      <c r="P363" s="6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3" s="592"/>
      <c r="R363" s="592"/>
      <c r="S363" s="592"/>
      <c r="T363" s="593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9" t="s">
        <v>612</v>
      </c>
      <c r="AG363" s="75"/>
      <c r="AJ363" s="79" t="s">
        <v>46</v>
      </c>
      <c r="AK363" s="79">
        <v>0</v>
      </c>
      <c r="BB363" s="450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615</v>
      </c>
      <c r="B364" s="60" t="s">
        <v>616</v>
      </c>
      <c r="C364" s="34">
        <v>4301032015</v>
      </c>
      <c r="D364" s="590">
        <v>4607091383102</v>
      </c>
      <c r="E364" s="590"/>
      <c r="F364" s="59">
        <v>0.17</v>
      </c>
      <c r="G364" s="35">
        <v>15</v>
      </c>
      <c r="H364" s="59">
        <v>2.5499999999999998</v>
      </c>
      <c r="I364" s="59">
        <v>2.9550000000000001</v>
      </c>
      <c r="J364" s="35">
        <v>182</v>
      </c>
      <c r="K364" s="35" t="s">
        <v>91</v>
      </c>
      <c r="L364" s="35" t="s">
        <v>46</v>
      </c>
      <c r="M364" s="36" t="s">
        <v>112</v>
      </c>
      <c r="N364" s="36"/>
      <c r="O364" s="35">
        <v>180</v>
      </c>
      <c r="P364" s="6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4" s="592"/>
      <c r="R364" s="592"/>
      <c r="S364" s="592"/>
      <c r="T364" s="59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IFERROR(IF(Y364=0,"",ROUNDUP(Y364/H364,0)*0.00651),"")</f>
        <v/>
      </c>
      <c r="AA364" s="65" t="s">
        <v>46</v>
      </c>
      <c r="AB364" s="66" t="s">
        <v>46</v>
      </c>
      <c r="AC364" s="451" t="s">
        <v>612</v>
      </c>
      <c r="AG364" s="75"/>
      <c r="AJ364" s="79" t="s">
        <v>46</v>
      </c>
      <c r="AK364" s="79">
        <v>0</v>
      </c>
      <c r="BB364" s="452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617</v>
      </c>
      <c r="B365" s="60" t="s">
        <v>618</v>
      </c>
      <c r="C365" s="34">
        <v>4301030233</v>
      </c>
      <c r="D365" s="590">
        <v>4607091388404</v>
      </c>
      <c r="E365" s="590"/>
      <c r="F365" s="59">
        <v>0.17</v>
      </c>
      <c r="G365" s="35">
        <v>15</v>
      </c>
      <c r="H365" s="59">
        <v>2.5499999999999998</v>
      </c>
      <c r="I365" s="59">
        <v>2.88</v>
      </c>
      <c r="J365" s="35">
        <v>182</v>
      </c>
      <c r="K365" s="35" t="s">
        <v>91</v>
      </c>
      <c r="L365" s="35" t="s">
        <v>46</v>
      </c>
      <c r="M365" s="36" t="s">
        <v>112</v>
      </c>
      <c r="N365" s="36"/>
      <c r="O365" s="35">
        <v>180</v>
      </c>
      <c r="P365" s="66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5" s="592"/>
      <c r="R365" s="592"/>
      <c r="S365" s="592"/>
      <c r="T365" s="59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IFERROR(IF(Y365=0,"",ROUNDUP(Y365/H365,0)*0.00651),"")</f>
        <v/>
      </c>
      <c r="AA365" s="65" t="s">
        <v>46</v>
      </c>
      <c r="AB365" s="66" t="s">
        <v>46</v>
      </c>
      <c r="AC365" s="453" t="s">
        <v>612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597"/>
      <c r="B366" s="597"/>
      <c r="C366" s="597"/>
      <c r="D366" s="597"/>
      <c r="E366" s="597"/>
      <c r="F366" s="597"/>
      <c r="G366" s="597"/>
      <c r="H366" s="597"/>
      <c r="I366" s="597"/>
      <c r="J366" s="597"/>
      <c r="K366" s="597"/>
      <c r="L366" s="597"/>
      <c r="M366" s="597"/>
      <c r="N366" s="597"/>
      <c r="O366" s="598"/>
      <c r="P366" s="594" t="s">
        <v>40</v>
      </c>
      <c r="Q366" s="595"/>
      <c r="R366" s="595"/>
      <c r="S366" s="595"/>
      <c r="T366" s="595"/>
      <c r="U366" s="595"/>
      <c r="V366" s="596"/>
      <c r="W366" s="40" t="s">
        <v>39</v>
      </c>
      <c r="X366" s="41">
        <f>IFERROR(X362/H362,"0")+IFERROR(X363/H363,"0")+IFERROR(X364/H364,"0")+IFERROR(X365/H365,"0")</f>
        <v>0</v>
      </c>
      <c r="Y366" s="41">
        <f>IFERROR(Y362/H362,"0")+IFERROR(Y363/H363,"0")+IFERROR(Y364/H364,"0")+IFERROR(Y365/H365,"0")</f>
        <v>0</v>
      </c>
      <c r="Z366" s="41">
        <f>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597"/>
      <c r="B367" s="597"/>
      <c r="C367" s="597"/>
      <c r="D367" s="597"/>
      <c r="E367" s="597"/>
      <c r="F367" s="597"/>
      <c r="G367" s="597"/>
      <c r="H367" s="597"/>
      <c r="I367" s="597"/>
      <c r="J367" s="597"/>
      <c r="K367" s="597"/>
      <c r="L367" s="597"/>
      <c r="M367" s="597"/>
      <c r="N367" s="597"/>
      <c r="O367" s="598"/>
      <c r="P367" s="594" t="s">
        <v>40</v>
      </c>
      <c r="Q367" s="595"/>
      <c r="R367" s="595"/>
      <c r="S367" s="595"/>
      <c r="T367" s="595"/>
      <c r="U367" s="595"/>
      <c r="V367" s="596"/>
      <c r="W367" s="40" t="s">
        <v>0</v>
      </c>
      <c r="X367" s="41">
        <f>IFERROR(SUM(X362:X365),"0")</f>
        <v>0</v>
      </c>
      <c r="Y367" s="41">
        <f>IFERROR(SUM(Y362:Y365),"0")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589" t="s">
        <v>619</v>
      </c>
      <c r="B368" s="589"/>
      <c r="C368" s="589"/>
      <c r="D368" s="589"/>
      <c r="E368" s="589"/>
      <c r="F368" s="589"/>
      <c r="G368" s="589"/>
      <c r="H368" s="589"/>
      <c r="I368" s="589"/>
      <c r="J368" s="589"/>
      <c r="K368" s="589"/>
      <c r="L368" s="589"/>
      <c r="M368" s="589"/>
      <c r="N368" s="589"/>
      <c r="O368" s="589"/>
      <c r="P368" s="589"/>
      <c r="Q368" s="589"/>
      <c r="R368" s="589"/>
      <c r="S368" s="589"/>
      <c r="T368" s="589"/>
      <c r="U368" s="589"/>
      <c r="V368" s="589"/>
      <c r="W368" s="589"/>
      <c r="X368" s="589"/>
      <c r="Y368" s="589"/>
      <c r="Z368" s="589"/>
      <c r="AA368" s="63"/>
      <c r="AB368" s="63"/>
      <c r="AC368" s="63"/>
    </row>
    <row r="369" spans="1:68" ht="16.5" hidden="1" customHeight="1" x14ac:dyDescent="0.25">
      <c r="A369" s="60" t="s">
        <v>620</v>
      </c>
      <c r="B369" s="60" t="s">
        <v>621</v>
      </c>
      <c r="C369" s="34">
        <v>4301180007</v>
      </c>
      <c r="D369" s="590">
        <v>4680115881808</v>
      </c>
      <c r="E369" s="590"/>
      <c r="F369" s="59">
        <v>0.1</v>
      </c>
      <c r="G369" s="35">
        <v>20</v>
      </c>
      <c r="H369" s="59">
        <v>2</v>
      </c>
      <c r="I369" s="59">
        <v>2.2400000000000002</v>
      </c>
      <c r="J369" s="35">
        <v>238</v>
      </c>
      <c r="K369" s="35" t="s">
        <v>91</v>
      </c>
      <c r="L369" s="35" t="s">
        <v>46</v>
      </c>
      <c r="M369" s="36" t="s">
        <v>623</v>
      </c>
      <c r="N369" s="36"/>
      <c r="O369" s="35">
        <v>731</v>
      </c>
      <c r="P369" s="6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9" s="592"/>
      <c r="R369" s="592"/>
      <c r="S369" s="592"/>
      <c r="T369" s="593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IFERROR(IF(Y369=0,"",ROUNDUP(Y369/H369,0)*0.00474),"")</f>
        <v/>
      </c>
      <c r="AA369" s="65" t="s">
        <v>46</v>
      </c>
      <c r="AB369" s="66" t="s">
        <v>46</v>
      </c>
      <c r="AC369" s="455" t="s">
        <v>622</v>
      </c>
      <c r="AG369" s="75"/>
      <c r="AJ369" s="79" t="s">
        <v>46</v>
      </c>
      <c r="AK369" s="79">
        <v>0</v>
      </c>
      <c r="BB369" s="45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624</v>
      </c>
      <c r="B370" s="60" t="s">
        <v>625</v>
      </c>
      <c r="C370" s="34">
        <v>4301180006</v>
      </c>
      <c r="D370" s="590">
        <v>4680115881822</v>
      </c>
      <c r="E370" s="590"/>
      <c r="F370" s="59">
        <v>0.1</v>
      </c>
      <c r="G370" s="35">
        <v>20</v>
      </c>
      <c r="H370" s="59">
        <v>2</v>
      </c>
      <c r="I370" s="59">
        <v>2.2400000000000002</v>
      </c>
      <c r="J370" s="35">
        <v>238</v>
      </c>
      <c r="K370" s="35" t="s">
        <v>91</v>
      </c>
      <c r="L370" s="35" t="s">
        <v>46</v>
      </c>
      <c r="M370" s="36" t="s">
        <v>623</v>
      </c>
      <c r="N370" s="36"/>
      <c r="O370" s="35">
        <v>731</v>
      </c>
      <c r="P370" s="6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0" s="592"/>
      <c r="R370" s="592"/>
      <c r="S370" s="592"/>
      <c r="T370" s="593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IFERROR(IF(Y370=0,"",ROUNDUP(Y370/H370,0)*0.00474),"")</f>
        <v/>
      </c>
      <c r="AA370" s="65" t="s">
        <v>46</v>
      </c>
      <c r="AB370" s="66" t="s">
        <v>46</v>
      </c>
      <c r="AC370" s="457" t="s">
        <v>622</v>
      </c>
      <c r="AG370" s="75"/>
      <c r="AJ370" s="79" t="s">
        <v>46</v>
      </c>
      <c r="AK370" s="79">
        <v>0</v>
      </c>
      <c r="BB370" s="45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626</v>
      </c>
      <c r="B371" s="60" t="s">
        <v>627</v>
      </c>
      <c r="C371" s="34">
        <v>4301180001</v>
      </c>
      <c r="D371" s="590">
        <v>4680115880016</v>
      </c>
      <c r="E371" s="590"/>
      <c r="F371" s="59">
        <v>0.1</v>
      </c>
      <c r="G371" s="35">
        <v>20</v>
      </c>
      <c r="H371" s="59">
        <v>2</v>
      </c>
      <c r="I371" s="59">
        <v>2.2400000000000002</v>
      </c>
      <c r="J371" s="35">
        <v>238</v>
      </c>
      <c r="K371" s="35" t="s">
        <v>91</v>
      </c>
      <c r="L371" s="35" t="s">
        <v>46</v>
      </c>
      <c r="M371" s="36" t="s">
        <v>623</v>
      </c>
      <c r="N371" s="36"/>
      <c r="O371" s="35">
        <v>731</v>
      </c>
      <c r="P371" s="6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1" s="592"/>
      <c r="R371" s="592"/>
      <c r="S371" s="592"/>
      <c r="T371" s="59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IFERROR(IF(Y371=0,"",ROUNDUP(Y371/H371,0)*0.00474),"")</f>
        <v/>
      </c>
      <c r="AA371" s="65" t="s">
        <v>46</v>
      </c>
      <c r="AB371" s="66" t="s">
        <v>46</v>
      </c>
      <c r="AC371" s="459" t="s">
        <v>622</v>
      </c>
      <c r="AG371" s="75"/>
      <c r="AJ371" s="79" t="s">
        <v>46</v>
      </c>
      <c r="AK371" s="79">
        <v>0</v>
      </c>
      <c r="BB371" s="460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597"/>
      <c r="B372" s="597"/>
      <c r="C372" s="597"/>
      <c r="D372" s="597"/>
      <c r="E372" s="597"/>
      <c r="F372" s="597"/>
      <c r="G372" s="597"/>
      <c r="H372" s="597"/>
      <c r="I372" s="597"/>
      <c r="J372" s="597"/>
      <c r="K372" s="597"/>
      <c r="L372" s="597"/>
      <c r="M372" s="597"/>
      <c r="N372" s="597"/>
      <c r="O372" s="598"/>
      <c r="P372" s="594" t="s">
        <v>40</v>
      </c>
      <c r="Q372" s="595"/>
      <c r="R372" s="595"/>
      <c r="S372" s="595"/>
      <c r="T372" s="595"/>
      <c r="U372" s="595"/>
      <c r="V372" s="596"/>
      <c r="W372" s="40" t="s">
        <v>39</v>
      </c>
      <c r="X372" s="41">
        <f>IFERROR(X369/H369,"0")+IFERROR(X370/H370,"0")+IFERROR(X371/H371,"0")</f>
        <v>0</v>
      </c>
      <c r="Y372" s="41">
        <f>IFERROR(Y369/H369,"0")+IFERROR(Y370/H370,"0")+IFERROR(Y371/H371,"0")</f>
        <v>0</v>
      </c>
      <c r="Z372" s="41">
        <f>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597"/>
      <c r="B373" s="597"/>
      <c r="C373" s="597"/>
      <c r="D373" s="597"/>
      <c r="E373" s="597"/>
      <c r="F373" s="597"/>
      <c r="G373" s="597"/>
      <c r="H373" s="597"/>
      <c r="I373" s="597"/>
      <c r="J373" s="597"/>
      <c r="K373" s="597"/>
      <c r="L373" s="597"/>
      <c r="M373" s="597"/>
      <c r="N373" s="597"/>
      <c r="O373" s="598"/>
      <c r="P373" s="594" t="s">
        <v>40</v>
      </c>
      <c r="Q373" s="595"/>
      <c r="R373" s="595"/>
      <c r="S373" s="595"/>
      <c r="T373" s="595"/>
      <c r="U373" s="595"/>
      <c r="V373" s="596"/>
      <c r="W373" s="40" t="s">
        <v>0</v>
      </c>
      <c r="X373" s="41">
        <f>IFERROR(SUM(X369:X371),"0")</f>
        <v>0</v>
      </c>
      <c r="Y373" s="41">
        <f>IFERROR(SUM(Y369:Y371),"0")</f>
        <v>0</v>
      </c>
      <c r="Z373" s="40"/>
      <c r="AA373" s="64"/>
      <c r="AB373" s="64"/>
      <c r="AC373" s="64"/>
    </row>
    <row r="374" spans="1:68" ht="16.5" hidden="1" customHeight="1" x14ac:dyDescent="0.25">
      <c r="A374" s="605" t="s">
        <v>628</v>
      </c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5"/>
      <c r="P374" s="605"/>
      <c r="Q374" s="605"/>
      <c r="R374" s="605"/>
      <c r="S374" s="605"/>
      <c r="T374" s="605"/>
      <c r="U374" s="605"/>
      <c r="V374" s="605"/>
      <c r="W374" s="605"/>
      <c r="X374" s="605"/>
      <c r="Y374" s="605"/>
      <c r="Z374" s="605"/>
      <c r="AA374" s="62"/>
      <c r="AB374" s="62"/>
      <c r="AC374" s="62"/>
    </row>
    <row r="375" spans="1:68" ht="14.25" hidden="1" customHeight="1" x14ac:dyDescent="0.25">
      <c r="A375" s="589" t="s">
        <v>86</v>
      </c>
      <c r="B375" s="589"/>
      <c r="C375" s="589"/>
      <c r="D375" s="589"/>
      <c r="E375" s="589"/>
      <c r="F375" s="589"/>
      <c r="G375" s="589"/>
      <c r="H375" s="589"/>
      <c r="I375" s="589"/>
      <c r="J375" s="589"/>
      <c r="K375" s="589"/>
      <c r="L375" s="589"/>
      <c r="M375" s="589"/>
      <c r="N375" s="589"/>
      <c r="O375" s="589"/>
      <c r="P375" s="589"/>
      <c r="Q375" s="589"/>
      <c r="R375" s="589"/>
      <c r="S375" s="589"/>
      <c r="T375" s="589"/>
      <c r="U375" s="589"/>
      <c r="V375" s="589"/>
      <c r="W375" s="589"/>
      <c r="X375" s="589"/>
      <c r="Y375" s="589"/>
      <c r="Z375" s="589"/>
      <c r="AA375" s="63"/>
      <c r="AB375" s="63"/>
      <c r="AC375" s="63"/>
    </row>
    <row r="376" spans="1:68" ht="37.5" hidden="1" customHeight="1" x14ac:dyDescent="0.25">
      <c r="A376" s="60" t="s">
        <v>629</v>
      </c>
      <c r="B376" s="60" t="s">
        <v>630</v>
      </c>
      <c r="C376" s="34">
        <v>4301051489</v>
      </c>
      <c r="D376" s="590">
        <v>4607091387919</v>
      </c>
      <c r="E376" s="590"/>
      <c r="F376" s="59">
        <v>1.35</v>
      </c>
      <c r="G376" s="35">
        <v>6</v>
      </c>
      <c r="H376" s="59">
        <v>8.1</v>
      </c>
      <c r="I376" s="59">
        <v>8.5939999999999994</v>
      </c>
      <c r="J376" s="35">
        <v>64</v>
      </c>
      <c r="K376" s="35" t="s">
        <v>133</v>
      </c>
      <c r="L376" s="35" t="s">
        <v>46</v>
      </c>
      <c r="M376" s="36" t="s">
        <v>97</v>
      </c>
      <c r="N376" s="36"/>
      <c r="O376" s="35">
        <v>45</v>
      </c>
      <c r="P376" s="6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6" s="592"/>
      <c r="R376" s="592"/>
      <c r="S376" s="592"/>
      <c r="T376" s="593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IFERROR(IF(Y376=0,"",ROUNDUP(Y376/H376,0)*0.01898),"")</f>
        <v/>
      </c>
      <c r="AA376" s="65" t="s">
        <v>46</v>
      </c>
      <c r="AB376" s="66" t="s">
        <v>46</v>
      </c>
      <c r="AC376" s="461" t="s">
        <v>631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37.5" customHeight="1" x14ac:dyDescent="0.25">
      <c r="A377" s="60" t="s">
        <v>632</v>
      </c>
      <c r="B377" s="60" t="s">
        <v>633</v>
      </c>
      <c r="C377" s="34">
        <v>4301051461</v>
      </c>
      <c r="D377" s="590">
        <v>4680115883604</v>
      </c>
      <c r="E377" s="590"/>
      <c r="F377" s="59">
        <v>0.35</v>
      </c>
      <c r="G377" s="35">
        <v>6</v>
      </c>
      <c r="H377" s="59">
        <v>2.1</v>
      </c>
      <c r="I377" s="59">
        <v>2.3519999999999999</v>
      </c>
      <c r="J377" s="35">
        <v>182</v>
      </c>
      <c r="K377" s="35" t="s">
        <v>91</v>
      </c>
      <c r="L377" s="35" t="s">
        <v>46</v>
      </c>
      <c r="M377" s="36" t="s">
        <v>90</v>
      </c>
      <c r="N377" s="36"/>
      <c r="O377" s="35">
        <v>45</v>
      </c>
      <c r="P377" s="6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7" s="592"/>
      <c r="R377" s="592"/>
      <c r="S377" s="592"/>
      <c r="T377" s="593"/>
      <c r="U377" s="37" t="s">
        <v>46</v>
      </c>
      <c r="V377" s="37" t="s">
        <v>46</v>
      </c>
      <c r="W377" s="38" t="s">
        <v>0</v>
      </c>
      <c r="X377" s="56">
        <v>11</v>
      </c>
      <c r="Y377" s="53">
        <f>IFERROR(IF(X377="",0,CEILING((X377/$H377),1)*$H377),"")</f>
        <v>12.600000000000001</v>
      </c>
      <c r="Z377" s="39">
        <f>IFERROR(IF(Y377=0,"",ROUNDUP(Y377/H377,0)*0.00651),"")</f>
        <v>3.9059999999999997E-2</v>
      </c>
      <c r="AA377" s="65" t="s">
        <v>46</v>
      </c>
      <c r="AB377" s="66" t="s">
        <v>46</v>
      </c>
      <c r="AC377" s="463" t="s">
        <v>634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12.32</v>
      </c>
      <c r="BN377" s="75">
        <f>IFERROR(Y377*I377/H377,"0")</f>
        <v>14.112</v>
      </c>
      <c r="BO377" s="75">
        <f>IFERROR(1/J377*(X377/H377),"0")</f>
        <v>2.8780743066457355E-2</v>
      </c>
      <c r="BP377" s="75">
        <f>IFERROR(1/J377*(Y377/H377),"0")</f>
        <v>3.2967032967032968E-2</v>
      </c>
    </row>
    <row r="378" spans="1:68" ht="27" hidden="1" customHeight="1" x14ac:dyDescent="0.25">
      <c r="A378" s="60" t="s">
        <v>635</v>
      </c>
      <c r="B378" s="60" t="s">
        <v>636</v>
      </c>
      <c r="C378" s="34">
        <v>4301051864</v>
      </c>
      <c r="D378" s="590">
        <v>4680115883567</v>
      </c>
      <c r="E378" s="590"/>
      <c r="F378" s="59">
        <v>0.35</v>
      </c>
      <c r="G378" s="35">
        <v>6</v>
      </c>
      <c r="H378" s="59">
        <v>2.1</v>
      </c>
      <c r="I378" s="59">
        <v>2.34</v>
      </c>
      <c r="J378" s="35">
        <v>182</v>
      </c>
      <c r="K378" s="35" t="s">
        <v>91</v>
      </c>
      <c r="L378" s="35" t="s">
        <v>46</v>
      </c>
      <c r="M378" s="36" t="s">
        <v>97</v>
      </c>
      <c r="N378" s="36"/>
      <c r="O378" s="35">
        <v>40</v>
      </c>
      <c r="P378" s="6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8" s="592"/>
      <c r="R378" s="592"/>
      <c r="S378" s="592"/>
      <c r="T378" s="59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65" t="s">
        <v>637</v>
      </c>
      <c r="AG378" s="75"/>
      <c r="AJ378" s="79" t="s">
        <v>46</v>
      </c>
      <c r="AK378" s="79">
        <v>0</v>
      </c>
      <c r="BB378" s="466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x14ac:dyDescent="0.2">
      <c r="A379" s="597"/>
      <c r="B379" s="597"/>
      <c r="C379" s="597"/>
      <c r="D379" s="597"/>
      <c r="E379" s="597"/>
      <c r="F379" s="597"/>
      <c r="G379" s="597"/>
      <c r="H379" s="597"/>
      <c r="I379" s="597"/>
      <c r="J379" s="597"/>
      <c r="K379" s="597"/>
      <c r="L379" s="597"/>
      <c r="M379" s="597"/>
      <c r="N379" s="597"/>
      <c r="O379" s="598"/>
      <c r="P379" s="594" t="s">
        <v>40</v>
      </c>
      <c r="Q379" s="595"/>
      <c r="R379" s="595"/>
      <c r="S379" s="595"/>
      <c r="T379" s="595"/>
      <c r="U379" s="595"/>
      <c r="V379" s="596"/>
      <c r="W379" s="40" t="s">
        <v>39</v>
      </c>
      <c r="X379" s="41">
        <f>IFERROR(X376/H376,"0")+IFERROR(X377/H377,"0")+IFERROR(X378/H378,"0")</f>
        <v>5.2380952380952381</v>
      </c>
      <c r="Y379" s="41">
        <f>IFERROR(Y376/H376,"0")+IFERROR(Y377/H377,"0")+IFERROR(Y378/H378,"0")</f>
        <v>6</v>
      </c>
      <c r="Z379" s="41">
        <f>IFERROR(IF(Z376="",0,Z376),"0")+IFERROR(IF(Z377="",0,Z377),"0")+IFERROR(IF(Z378="",0,Z378),"0")</f>
        <v>3.9059999999999997E-2</v>
      </c>
      <c r="AA379" s="64"/>
      <c r="AB379" s="64"/>
      <c r="AC379" s="64"/>
    </row>
    <row r="380" spans="1:68" x14ac:dyDescent="0.2">
      <c r="A380" s="597"/>
      <c r="B380" s="597"/>
      <c r="C380" s="597"/>
      <c r="D380" s="597"/>
      <c r="E380" s="597"/>
      <c r="F380" s="597"/>
      <c r="G380" s="597"/>
      <c r="H380" s="597"/>
      <c r="I380" s="597"/>
      <c r="J380" s="597"/>
      <c r="K380" s="597"/>
      <c r="L380" s="597"/>
      <c r="M380" s="597"/>
      <c r="N380" s="597"/>
      <c r="O380" s="598"/>
      <c r="P380" s="594" t="s">
        <v>40</v>
      </c>
      <c r="Q380" s="595"/>
      <c r="R380" s="595"/>
      <c r="S380" s="595"/>
      <c r="T380" s="595"/>
      <c r="U380" s="595"/>
      <c r="V380" s="596"/>
      <c r="W380" s="40" t="s">
        <v>0</v>
      </c>
      <c r="X380" s="41">
        <f>IFERROR(SUM(X376:X378),"0")</f>
        <v>11</v>
      </c>
      <c r="Y380" s="41">
        <f>IFERROR(SUM(Y376:Y378),"0")</f>
        <v>12.600000000000001</v>
      </c>
      <c r="Z380" s="40"/>
      <c r="AA380" s="64"/>
      <c r="AB380" s="64"/>
      <c r="AC380" s="64"/>
    </row>
    <row r="381" spans="1:68" ht="27.75" hidden="1" customHeight="1" x14ac:dyDescent="0.2">
      <c r="A381" s="610" t="s">
        <v>638</v>
      </c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0"/>
      <c r="P381" s="610"/>
      <c r="Q381" s="610"/>
      <c r="R381" s="610"/>
      <c r="S381" s="610"/>
      <c r="T381" s="610"/>
      <c r="U381" s="610"/>
      <c r="V381" s="610"/>
      <c r="W381" s="610"/>
      <c r="X381" s="610"/>
      <c r="Y381" s="610"/>
      <c r="Z381" s="610"/>
      <c r="AA381" s="52"/>
      <c r="AB381" s="52"/>
      <c r="AC381" s="52"/>
    </row>
    <row r="382" spans="1:68" ht="16.5" hidden="1" customHeight="1" x14ac:dyDescent="0.25">
      <c r="A382" s="605" t="s">
        <v>639</v>
      </c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5"/>
      <c r="P382" s="605"/>
      <c r="Q382" s="605"/>
      <c r="R382" s="605"/>
      <c r="S382" s="605"/>
      <c r="T382" s="605"/>
      <c r="U382" s="605"/>
      <c r="V382" s="605"/>
      <c r="W382" s="605"/>
      <c r="X382" s="605"/>
      <c r="Y382" s="605"/>
      <c r="Z382" s="605"/>
      <c r="AA382" s="62"/>
      <c r="AB382" s="62"/>
      <c r="AC382" s="62"/>
    </row>
    <row r="383" spans="1:68" ht="14.25" hidden="1" customHeight="1" x14ac:dyDescent="0.25">
      <c r="A383" s="589" t="s">
        <v>128</v>
      </c>
      <c r="B383" s="589"/>
      <c r="C383" s="589"/>
      <c r="D383" s="589"/>
      <c r="E383" s="589"/>
      <c r="F383" s="589"/>
      <c r="G383" s="589"/>
      <c r="H383" s="589"/>
      <c r="I383" s="589"/>
      <c r="J383" s="589"/>
      <c r="K383" s="589"/>
      <c r="L383" s="589"/>
      <c r="M383" s="589"/>
      <c r="N383" s="589"/>
      <c r="O383" s="589"/>
      <c r="P383" s="589"/>
      <c r="Q383" s="589"/>
      <c r="R383" s="589"/>
      <c r="S383" s="589"/>
      <c r="T383" s="589"/>
      <c r="U383" s="589"/>
      <c r="V383" s="589"/>
      <c r="W383" s="589"/>
      <c r="X383" s="589"/>
      <c r="Y383" s="589"/>
      <c r="Z383" s="589"/>
      <c r="AA383" s="63"/>
      <c r="AB383" s="63"/>
      <c r="AC383" s="63"/>
    </row>
    <row r="384" spans="1:68" ht="27" hidden="1" customHeight="1" x14ac:dyDescent="0.25">
      <c r="A384" s="60" t="s">
        <v>640</v>
      </c>
      <c r="B384" s="60" t="s">
        <v>641</v>
      </c>
      <c r="C384" s="34">
        <v>4301012332</v>
      </c>
      <c r="D384" s="590">
        <v>4680115888401</v>
      </c>
      <c r="E384" s="590"/>
      <c r="F384" s="59">
        <v>2.5</v>
      </c>
      <c r="G384" s="35">
        <v>6</v>
      </c>
      <c r="H384" s="59">
        <v>15</v>
      </c>
      <c r="I384" s="59">
        <v>15.47</v>
      </c>
      <c r="J384" s="35">
        <v>48</v>
      </c>
      <c r="K384" s="35" t="s">
        <v>133</v>
      </c>
      <c r="L384" s="35" t="s">
        <v>46</v>
      </c>
      <c r="M384" s="36" t="s">
        <v>97</v>
      </c>
      <c r="N384" s="36"/>
      <c r="O384" s="35">
        <v>60</v>
      </c>
      <c r="P384" s="6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4" s="592"/>
      <c r="R384" s="592"/>
      <c r="S384" s="592"/>
      <c r="T384" s="593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ref="Y384:Y391" si="57">IFERROR(IF(X384="",0,CEILING((X384/$H384),1)*$H384),"")</f>
        <v>0</v>
      </c>
      <c r="Z384" s="39" t="str">
        <f>IFERROR(IF(Y384=0,"",ROUNDUP(Y384/H384,0)*0.02175),"")</f>
        <v/>
      </c>
      <c r="AA384" s="65" t="s">
        <v>46</v>
      </c>
      <c r="AB384" s="66" t="s">
        <v>46</v>
      </c>
      <c r="AC384" s="467" t="s">
        <v>642</v>
      </c>
      <c r="AG384" s="75"/>
      <c r="AJ384" s="79" t="s">
        <v>46</v>
      </c>
      <c r="AK384" s="79">
        <v>0</v>
      </c>
      <c r="BB384" s="468" t="s">
        <v>67</v>
      </c>
      <c r="BM384" s="75">
        <f t="shared" ref="BM384:BM391" si="58">IFERROR(X384*I384/H384,"0")</f>
        <v>0</v>
      </c>
      <c r="BN384" s="75">
        <f t="shared" ref="BN384:BN391" si="59">IFERROR(Y384*I384/H384,"0")</f>
        <v>0</v>
      </c>
      <c r="BO384" s="75">
        <f t="shared" ref="BO384:BO391" si="60">IFERROR(1/J384*(X384/H384),"0")</f>
        <v>0</v>
      </c>
      <c r="BP384" s="75">
        <f t="shared" ref="BP384:BP391" si="61">IFERROR(1/J384*(Y384/H384),"0")</f>
        <v>0</v>
      </c>
    </row>
    <row r="385" spans="1:68" ht="37.5" hidden="1" customHeight="1" x14ac:dyDescent="0.25">
      <c r="A385" s="60" t="s">
        <v>643</v>
      </c>
      <c r="B385" s="60" t="s">
        <v>644</v>
      </c>
      <c r="C385" s="34">
        <v>4301011869</v>
      </c>
      <c r="D385" s="590">
        <v>4680115884847</v>
      </c>
      <c r="E385" s="590"/>
      <c r="F385" s="59">
        <v>2.5</v>
      </c>
      <c r="G385" s="35">
        <v>6</v>
      </c>
      <c r="H385" s="59">
        <v>15</v>
      </c>
      <c r="I385" s="59">
        <v>15.47</v>
      </c>
      <c r="J385" s="35">
        <v>48</v>
      </c>
      <c r="K385" s="35" t="s">
        <v>133</v>
      </c>
      <c r="L385" s="35" t="s">
        <v>46</v>
      </c>
      <c r="M385" s="36" t="s">
        <v>81</v>
      </c>
      <c r="N385" s="36"/>
      <c r="O385" s="35">
        <v>60</v>
      </c>
      <c r="P385" s="66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5" s="592"/>
      <c r="R385" s="592"/>
      <c r="S385" s="592"/>
      <c r="T385" s="593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57"/>
        <v>0</v>
      </c>
      <c r="Z385" s="39" t="str">
        <f>IFERROR(IF(Y385=0,"",ROUNDUP(Y385/H385,0)*0.02175),"")</f>
        <v/>
      </c>
      <c r="AA385" s="65" t="s">
        <v>46</v>
      </c>
      <c r="AB385" s="66" t="s">
        <v>46</v>
      </c>
      <c r="AC385" s="469" t="s">
        <v>645</v>
      </c>
      <c r="AG385" s="75"/>
      <c r="AJ385" s="79" t="s">
        <v>46</v>
      </c>
      <c r="AK385" s="79">
        <v>0</v>
      </c>
      <c r="BB385" s="470" t="s">
        <v>67</v>
      </c>
      <c r="BM385" s="75">
        <f t="shared" si="58"/>
        <v>0</v>
      </c>
      <c r="BN385" s="75">
        <f t="shared" si="59"/>
        <v>0</v>
      </c>
      <c r="BO385" s="75">
        <f t="shared" si="60"/>
        <v>0</v>
      </c>
      <c r="BP385" s="75">
        <f t="shared" si="61"/>
        <v>0</v>
      </c>
    </row>
    <row r="386" spans="1:68" ht="27" hidden="1" customHeight="1" x14ac:dyDescent="0.25">
      <c r="A386" s="60" t="s">
        <v>646</v>
      </c>
      <c r="B386" s="60" t="s">
        <v>647</v>
      </c>
      <c r="C386" s="34">
        <v>4301012083</v>
      </c>
      <c r="D386" s="590">
        <v>4680115884854</v>
      </c>
      <c r="E386" s="590"/>
      <c r="F386" s="59">
        <v>2.5</v>
      </c>
      <c r="G386" s="35">
        <v>6</v>
      </c>
      <c r="H386" s="59">
        <v>15</v>
      </c>
      <c r="I386" s="59">
        <v>15.47</v>
      </c>
      <c r="J386" s="35">
        <v>48</v>
      </c>
      <c r="K386" s="35" t="s">
        <v>133</v>
      </c>
      <c r="L386" s="35" t="s">
        <v>46</v>
      </c>
      <c r="M386" s="36" t="s">
        <v>132</v>
      </c>
      <c r="N386" s="36"/>
      <c r="O386" s="35">
        <v>60</v>
      </c>
      <c r="P386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592"/>
      <c r="R386" s="592"/>
      <c r="S386" s="592"/>
      <c r="T386" s="593"/>
      <c r="U386" s="37" t="s">
        <v>46</v>
      </c>
      <c r="V386" s="37" t="s">
        <v>46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46</v>
      </c>
      <c r="AB386" s="66" t="s">
        <v>46</v>
      </c>
      <c r="AC386" s="471" t="s">
        <v>648</v>
      </c>
      <c r="AG386" s="75"/>
      <c r="AJ386" s="79" t="s">
        <v>46</v>
      </c>
      <c r="AK386" s="79">
        <v>0</v>
      </c>
      <c r="BB386" s="472" t="s">
        <v>67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hidden="1" customHeight="1" x14ac:dyDescent="0.25">
      <c r="A387" s="60" t="s">
        <v>649</v>
      </c>
      <c r="B387" s="60" t="s">
        <v>650</v>
      </c>
      <c r="C387" s="34">
        <v>4301011867</v>
      </c>
      <c r="D387" s="590">
        <v>4680115884830</v>
      </c>
      <c r="E387" s="590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81</v>
      </c>
      <c r="N387" s="36"/>
      <c r="O387" s="35">
        <v>60</v>
      </c>
      <c r="P387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592"/>
      <c r="R387" s="592"/>
      <c r="S387" s="592"/>
      <c r="T387" s="593"/>
      <c r="U387" s="37" t="s">
        <v>46</v>
      </c>
      <c r="V387" s="37" t="s">
        <v>46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IFERROR(IF(Y387=0,"",ROUNDUP(Y387/H387,0)*0.02175),"")</f>
        <v/>
      </c>
      <c r="AA387" s="65" t="s">
        <v>46</v>
      </c>
      <c r="AB387" s="66" t="s">
        <v>46</v>
      </c>
      <c r="AC387" s="473" t="s">
        <v>651</v>
      </c>
      <c r="AG387" s="75"/>
      <c r="AJ387" s="79" t="s">
        <v>46</v>
      </c>
      <c r="AK387" s="79">
        <v>0</v>
      </c>
      <c r="BB387" s="474" t="s">
        <v>67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hidden="1" customHeight="1" x14ac:dyDescent="0.25">
      <c r="A388" s="60" t="s">
        <v>652</v>
      </c>
      <c r="B388" s="60" t="s">
        <v>653</v>
      </c>
      <c r="C388" s="34">
        <v>4301012356</v>
      </c>
      <c r="D388" s="590">
        <v>4680115889231</v>
      </c>
      <c r="E388" s="590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97</v>
      </c>
      <c r="N388" s="36"/>
      <c r="O388" s="35">
        <v>60</v>
      </c>
      <c r="P388" s="6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88" s="592"/>
      <c r="R388" s="592"/>
      <c r="S388" s="592"/>
      <c r="T388" s="593"/>
      <c r="U388" s="37" t="s">
        <v>46</v>
      </c>
      <c r="V388" s="37" t="s">
        <v>46</v>
      </c>
      <c r="W388" s="38" t="s">
        <v>0</v>
      </c>
      <c r="X388" s="56">
        <v>0</v>
      </c>
      <c r="Y388" s="53">
        <f t="shared" si="57"/>
        <v>0</v>
      </c>
      <c r="Z388" s="39" t="str">
        <f>IFERROR(IF(Y388=0,"",ROUNDUP(Y388/H388,0)*0.02175),"")</f>
        <v/>
      </c>
      <c r="AA388" s="65" t="s">
        <v>46</v>
      </c>
      <c r="AB388" s="66" t="s">
        <v>46</v>
      </c>
      <c r="AC388" s="475" t="s">
        <v>654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0</v>
      </c>
      <c r="BN388" s="75">
        <f t="shared" si="59"/>
        <v>0</v>
      </c>
      <c r="BO388" s="75">
        <f t="shared" si="60"/>
        <v>0</v>
      </c>
      <c r="BP388" s="75">
        <f t="shared" si="61"/>
        <v>0</v>
      </c>
    </row>
    <row r="389" spans="1:68" ht="27" hidden="1" customHeight="1" x14ac:dyDescent="0.25">
      <c r="A389" s="60" t="s">
        <v>655</v>
      </c>
      <c r="B389" s="60" t="s">
        <v>656</v>
      </c>
      <c r="C389" s="34">
        <v>4301011433</v>
      </c>
      <c r="D389" s="590">
        <v>4680115882638</v>
      </c>
      <c r="E389" s="590"/>
      <c r="F389" s="59">
        <v>0.4</v>
      </c>
      <c r="G389" s="35">
        <v>10</v>
      </c>
      <c r="H389" s="59">
        <v>4</v>
      </c>
      <c r="I389" s="59">
        <v>4.1900000000000004</v>
      </c>
      <c r="J389" s="35">
        <v>132</v>
      </c>
      <c r="K389" s="35" t="s">
        <v>140</v>
      </c>
      <c r="L389" s="35" t="s">
        <v>46</v>
      </c>
      <c r="M389" s="36" t="s">
        <v>132</v>
      </c>
      <c r="N389" s="36"/>
      <c r="O389" s="35">
        <v>90</v>
      </c>
      <c r="P389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9" s="592"/>
      <c r="R389" s="592"/>
      <c r="S389" s="592"/>
      <c r="T389" s="593"/>
      <c r="U389" s="37" t="s">
        <v>46</v>
      </c>
      <c r="V389" s="37" t="s">
        <v>46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IFERROR(IF(Y389=0,"",ROUNDUP(Y389/H389,0)*0.00902),"")</f>
        <v/>
      </c>
      <c r="AA389" s="65" t="s">
        <v>46</v>
      </c>
      <c r="AB389" s="66" t="s">
        <v>46</v>
      </c>
      <c r="AC389" s="477" t="s">
        <v>657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658</v>
      </c>
      <c r="B390" s="60" t="s">
        <v>659</v>
      </c>
      <c r="C390" s="34">
        <v>4301011952</v>
      </c>
      <c r="D390" s="590">
        <v>4680115884922</v>
      </c>
      <c r="E390" s="590"/>
      <c r="F390" s="59">
        <v>0.5</v>
      </c>
      <c r="G390" s="35">
        <v>10</v>
      </c>
      <c r="H390" s="59">
        <v>5</v>
      </c>
      <c r="I390" s="59">
        <v>5.19</v>
      </c>
      <c r="J390" s="35">
        <v>132</v>
      </c>
      <c r="K390" s="35" t="s">
        <v>140</v>
      </c>
      <c r="L390" s="35" t="s">
        <v>46</v>
      </c>
      <c r="M390" s="36" t="s">
        <v>81</v>
      </c>
      <c r="N390" s="36"/>
      <c r="O390" s="35">
        <v>60</v>
      </c>
      <c r="P390" s="6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0" s="592"/>
      <c r="R390" s="592"/>
      <c r="S390" s="592"/>
      <c r="T390" s="593"/>
      <c r="U390" s="37" t="s">
        <v>46</v>
      </c>
      <c r="V390" s="37" t="s">
        <v>46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79" t="s">
        <v>660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37.5" hidden="1" customHeight="1" x14ac:dyDescent="0.25">
      <c r="A391" s="60" t="s">
        <v>661</v>
      </c>
      <c r="B391" s="60" t="s">
        <v>662</v>
      </c>
      <c r="C391" s="34">
        <v>4301011868</v>
      </c>
      <c r="D391" s="590">
        <v>4680115884861</v>
      </c>
      <c r="E391" s="590"/>
      <c r="F391" s="59">
        <v>0.5</v>
      </c>
      <c r="G391" s="35">
        <v>10</v>
      </c>
      <c r="H391" s="59">
        <v>5</v>
      </c>
      <c r="I391" s="59">
        <v>5.19</v>
      </c>
      <c r="J391" s="35">
        <v>132</v>
      </c>
      <c r="K391" s="35" t="s">
        <v>140</v>
      </c>
      <c r="L391" s="35" t="s">
        <v>46</v>
      </c>
      <c r="M391" s="36" t="s">
        <v>81</v>
      </c>
      <c r="N391" s="36"/>
      <c r="O391" s="35">
        <v>60</v>
      </c>
      <c r="P391" s="6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1" s="592"/>
      <c r="R391" s="592"/>
      <c r="S391" s="592"/>
      <c r="T391" s="593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1" t="s">
        <v>663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idden="1" x14ac:dyDescent="0.2">
      <c r="A392" s="597"/>
      <c r="B392" s="597"/>
      <c r="C392" s="597"/>
      <c r="D392" s="597"/>
      <c r="E392" s="597"/>
      <c r="F392" s="597"/>
      <c r="G392" s="597"/>
      <c r="H392" s="597"/>
      <c r="I392" s="597"/>
      <c r="J392" s="597"/>
      <c r="K392" s="597"/>
      <c r="L392" s="597"/>
      <c r="M392" s="597"/>
      <c r="N392" s="597"/>
      <c r="O392" s="598"/>
      <c r="P392" s="594" t="s">
        <v>40</v>
      </c>
      <c r="Q392" s="595"/>
      <c r="R392" s="595"/>
      <c r="S392" s="595"/>
      <c r="T392" s="595"/>
      <c r="U392" s="595"/>
      <c r="V392" s="596"/>
      <c r="W392" s="40" t="s">
        <v>39</v>
      </c>
      <c r="X392" s="41">
        <f>IFERROR(X384/H384,"0")+IFERROR(X385/H385,"0")+IFERROR(X386/H386,"0")+IFERROR(X387/H387,"0")+IFERROR(X388/H388,"0")+IFERROR(X389/H389,"0")+IFERROR(X390/H390,"0")+IFERROR(X391/H391,"0")</f>
        <v>0</v>
      </c>
      <c r="Y392" s="41">
        <f>IFERROR(Y384/H384,"0")+IFERROR(Y385/H385,"0")+IFERROR(Y386/H386,"0")+IFERROR(Y387/H387,"0")+IFERROR(Y388/H388,"0")+IFERROR(Y389/H389,"0")+IFERROR(Y390/H390,"0")+IFERROR(Y391/H391,"0")</f>
        <v>0</v>
      </c>
      <c r="Z392" s="41">
        <f>IFERROR(IF(Z384="",0,Z384),"0")+IFERROR(IF(Z385="",0,Z385),"0")+IFERROR(IF(Z386="",0,Z386),"0")+IFERROR(IF(Z387="",0,Z387),"0")+IFERROR(IF(Z388="",0,Z388),"0")+IFERROR(IF(Z389="",0,Z389),"0")+IFERROR(IF(Z390="",0,Z390),"0")+IFERROR(IF(Z391="",0,Z391),"0")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597"/>
      <c r="B393" s="597"/>
      <c r="C393" s="597"/>
      <c r="D393" s="597"/>
      <c r="E393" s="597"/>
      <c r="F393" s="597"/>
      <c r="G393" s="597"/>
      <c r="H393" s="597"/>
      <c r="I393" s="597"/>
      <c r="J393" s="597"/>
      <c r="K393" s="597"/>
      <c r="L393" s="597"/>
      <c r="M393" s="597"/>
      <c r="N393" s="597"/>
      <c r="O393" s="598"/>
      <c r="P393" s="594" t="s">
        <v>40</v>
      </c>
      <c r="Q393" s="595"/>
      <c r="R393" s="595"/>
      <c r="S393" s="595"/>
      <c r="T393" s="595"/>
      <c r="U393" s="595"/>
      <c r="V393" s="596"/>
      <c r="W393" s="40" t="s">
        <v>0</v>
      </c>
      <c r="X393" s="41">
        <f>IFERROR(SUM(X384:X391),"0")</f>
        <v>0</v>
      </c>
      <c r="Y393" s="41">
        <f>IFERROR(SUM(Y384:Y391),"0")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589" t="s">
        <v>163</v>
      </c>
      <c r="B394" s="589"/>
      <c r="C394" s="589"/>
      <c r="D394" s="589"/>
      <c r="E394" s="589"/>
      <c r="F394" s="589"/>
      <c r="G394" s="589"/>
      <c r="H394" s="589"/>
      <c r="I394" s="589"/>
      <c r="J394" s="589"/>
      <c r="K394" s="589"/>
      <c r="L394" s="589"/>
      <c r="M394" s="589"/>
      <c r="N394" s="589"/>
      <c r="O394" s="589"/>
      <c r="P394" s="589"/>
      <c r="Q394" s="589"/>
      <c r="R394" s="589"/>
      <c r="S394" s="589"/>
      <c r="T394" s="589"/>
      <c r="U394" s="589"/>
      <c r="V394" s="589"/>
      <c r="W394" s="589"/>
      <c r="X394" s="589"/>
      <c r="Y394" s="589"/>
      <c r="Z394" s="589"/>
      <c r="AA394" s="63"/>
      <c r="AB394" s="63"/>
      <c r="AC394" s="63"/>
    </row>
    <row r="395" spans="1:68" ht="27" hidden="1" customHeight="1" x14ac:dyDescent="0.25">
      <c r="A395" s="60" t="s">
        <v>664</v>
      </c>
      <c r="B395" s="60" t="s">
        <v>665</v>
      </c>
      <c r="C395" s="34">
        <v>4301020178</v>
      </c>
      <c r="D395" s="590">
        <v>4607091383980</v>
      </c>
      <c r="E395" s="590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133</v>
      </c>
      <c r="L395" s="35" t="s">
        <v>46</v>
      </c>
      <c r="M395" s="36" t="s">
        <v>132</v>
      </c>
      <c r="N395" s="36"/>
      <c r="O395" s="35">
        <v>50</v>
      </c>
      <c r="P395" s="6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5" s="592"/>
      <c r="R395" s="592"/>
      <c r="S395" s="592"/>
      <c r="T395" s="593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3" t="s">
        <v>666</v>
      </c>
      <c r="AG395" s="75"/>
      <c r="AJ395" s="79" t="s">
        <v>46</v>
      </c>
      <c r="AK395" s="79">
        <v>0</v>
      </c>
      <c r="BB395" s="48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667</v>
      </c>
      <c r="B396" s="60" t="s">
        <v>668</v>
      </c>
      <c r="C396" s="34">
        <v>4301020355</v>
      </c>
      <c r="D396" s="590">
        <v>4680115888425</v>
      </c>
      <c r="E396" s="590"/>
      <c r="F396" s="59">
        <v>2.5</v>
      </c>
      <c r="G396" s="35">
        <v>6</v>
      </c>
      <c r="H396" s="59">
        <v>15</v>
      </c>
      <c r="I396" s="59">
        <v>15.47</v>
      </c>
      <c r="J396" s="35">
        <v>48</v>
      </c>
      <c r="K396" s="35" t="s">
        <v>133</v>
      </c>
      <c r="L396" s="35" t="s">
        <v>46</v>
      </c>
      <c r="M396" s="36" t="s">
        <v>132</v>
      </c>
      <c r="N396" s="36"/>
      <c r="O396" s="35">
        <v>50</v>
      </c>
      <c r="P396" s="6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6" s="592"/>
      <c r="R396" s="592"/>
      <c r="S396" s="592"/>
      <c r="T396" s="593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IFERROR(IF(Y396=0,"",ROUNDUP(Y396/H396,0)*0.02175),"")</f>
        <v/>
      </c>
      <c r="AA396" s="65" t="s">
        <v>46</v>
      </c>
      <c r="AB396" s="66" t="s">
        <v>46</v>
      </c>
      <c r="AC396" s="485" t="s">
        <v>669</v>
      </c>
      <c r="AG396" s="75"/>
      <c r="AJ396" s="79" t="s">
        <v>46</v>
      </c>
      <c r="AK396" s="79">
        <v>0</v>
      </c>
      <c r="BB396" s="48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670</v>
      </c>
      <c r="B397" s="60" t="s">
        <v>671</v>
      </c>
      <c r="C397" s="34">
        <v>4301020179</v>
      </c>
      <c r="D397" s="590">
        <v>4607091384178</v>
      </c>
      <c r="E397" s="590"/>
      <c r="F397" s="59">
        <v>0.4</v>
      </c>
      <c r="G397" s="35">
        <v>10</v>
      </c>
      <c r="H397" s="59">
        <v>4</v>
      </c>
      <c r="I397" s="59">
        <v>4.1900000000000004</v>
      </c>
      <c r="J397" s="35">
        <v>132</v>
      </c>
      <c r="K397" s="35" t="s">
        <v>140</v>
      </c>
      <c r="L397" s="35" t="s">
        <v>46</v>
      </c>
      <c r="M397" s="36" t="s">
        <v>132</v>
      </c>
      <c r="N397" s="36"/>
      <c r="O397" s="35">
        <v>50</v>
      </c>
      <c r="P397" s="6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592"/>
      <c r="R397" s="592"/>
      <c r="S397" s="592"/>
      <c r="T397" s="593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87" t="s">
        <v>672</v>
      </c>
      <c r="AG397" s="75"/>
      <c r="AJ397" s="79" t="s">
        <v>46</v>
      </c>
      <c r="AK397" s="79">
        <v>0</v>
      </c>
      <c r="BB397" s="48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597"/>
      <c r="B398" s="597"/>
      <c r="C398" s="597"/>
      <c r="D398" s="597"/>
      <c r="E398" s="597"/>
      <c r="F398" s="597"/>
      <c r="G398" s="597"/>
      <c r="H398" s="597"/>
      <c r="I398" s="597"/>
      <c r="J398" s="597"/>
      <c r="K398" s="597"/>
      <c r="L398" s="597"/>
      <c r="M398" s="597"/>
      <c r="N398" s="597"/>
      <c r="O398" s="598"/>
      <c r="P398" s="594" t="s">
        <v>40</v>
      </c>
      <c r="Q398" s="595"/>
      <c r="R398" s="595"/>
      <c r="S398" s="595"/>
      <c r="T398" s="595"/>
      <c r="U398" s="595"/>
      <c r="V398" s="596"/>
      <c r="W398" s="40" t="s">
        <v>39</v>
      </c>
      <c r="X398" s="41">
        <f>IFERROR(X395/H395,"0")+IFERROR(X396/H396,"0")+IFERROR(X397/H397,"0")</f>
        <v>0</v>
      </c>
      <c r="Y398" s="41">
        <f>IFERROR(Y395/H395,"0")+IFERROR(Y396/H396,"0")+IFERROR(Y397/H397,"0")</f>
        <v>0</v>
      </c>
      <c r="Z398" s="41">
        <f>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597"/>
      <c r="B399" s="597"/>
      <c r="C399" s="597"/>
      <c r="D399" s="597"/>
      <c r="E399" s="597"/>
      <c r="F399" s="597"/>
      <c r="G399" s="597"/>
      <c r="H399" s="597"/>
      <c r="I399" s="597"/>
      <c r="J399" s="597"/>
      <c r="K399" s="597"/>
      <c r="L399" s="597"/>
      <c r="M399" s="597"/>
      <c r="N399" s="597"/>
      <c r="O399" s="598"/>
      <c r="P399" s="594" t="s">
        <v>40</v>
      </c>
      <c r="Q399" s="595"/>
      <c r="R399" s="595"/>
      <c r="S399" s="595"/>
      <c r="T399" s="595"/>
      <c r="U399" s="595"/>
      <c r="V399" s="596"/>
      <c r="W399" s="40" t="s">
        <v>0</v>
      </c>
      <c r="X399" s="41">
        <f>IFERROR(SUM(X395:X397),"0")</f>
        <v>0</v>
      </c>
      <c r="Y399" s="41">
        <f>IFERROR(SUM(Y395:Y397),"0")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589" t="s">
        <v>86</v>
      </c>
      <c r="B400" s="589"/>
      <c r="C400" s="589"/>
      <c r="D400" s="589"/>
      <c r="E400" s="589"/>
      <c r="F400" s="589"/>
      <c r="G400" s="589"/>
      <c r="H400" s="589"/>
      <c r="I400" s="589"/>
      <c r="J400" s="589"/>
      <c r="K400" s="589"/>
      <c r="L400" s="589"/>
      <c r="M400" s="589"/>
      <c r="N400" s="589"/>
      <c r="O400" s="589"/>
      <c r="P400" s="589"/>
      <c r="Q400" s="589"/>
      <c r="R400" s="589"/>
      <c r="S400" s="589"/>
      <c r="T400" s="589"/>
      <c r="U400" s="589"/>
      <c r="V400" s="589"/>
      <c r="W400" s="589"/>
      <c r="X400" s="589"/>
      <c r="Y400" s="589"/>
      <c r="Z400" s="589"/>
      <c r="AA400" s="63"/>
      <c r="AB400" s="63"/>
      <c r="AC400" s="63"/>
    </row>
    <row r="401" spans="1:68" ht="27" hidden="1" customHeight="1" x14ac:dyDescent="0.25">
      <c r="A401" s="60" t="s">
        <v>673</v>
      </c>
      <c r="B401" s="60" t="s">
        <v>674</v>
      </c>
      <c r="C401" s="34">
        <v>4301051903</v>
      </c>
      <c r="D401" s="590">
        <v>4607091383928</v>
      </c>
      <c r="E401" s="590"/>
      <c r="F401" s="59">
        <v>1.5</v>
      </c>
      <c r="G401" s="35">
        <v>6</v>
      </c>
      <c r="H401" s="59">
        <v>9</v>
      </c>
      <c r="I401" s="59">
        <v>9.5</v>
      </c>
      <c r="J401" s="35">
        <v>64</v>
      </c>
      <c r="K401" s="35" t="s">
        <v>133</v>
      </c>
      <c r="L401" s="35" t="s">
        <v>46</v>
      </c>
      <c r="M401" s="36" t="s">
        <v>90</v>
      </c>
      <c r="N401" s="36"/>
      <c r="O401" s="35">
        <v>40</v>
      </c>
      <c r="P401" s="6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1" s="592"/>
      <c r="R401" s="592"/>
      <c r="S401" s="592"/>
      <c r="T401" s="59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46</v>
      </c>
      <c r="AB401" s="66" t="s">
        <v>46</v>
      </c>
      <c r="AC401" s="489" t="s">
        <v>675</v>
      </c>
      <c r="AG401" s="75"/>
      <c r="AJ401" s="79" t="s">
        <v>46</v>
      </c>
      <c r="AK401" s="79">
        <v>0</v>
      </c>
      <c r="BB401" s="49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676</v>
      </c>
      <c r="B402" s="60" t="s">
        <v>677</v>
      </c>
      <c r="C402" s="34">
        <v>4301051897</v>
      </c>
      <c r="D402" s="590">
        <v>4607091384260</v>
      </c>
      <c r="E402" s="590"/>
      <c r="F402" s="59">
        <v>1.5</v>
      </c>
      <c r="G402" s="35">
        <v>6</v>
      </c>
      <c r="H402" s="59">
        <v>9</v>
      </c>
      <c r="I402" s="59">
        <v>9.4939999999999998</v>
      </c>
      <c r="J402" s="35">
        <v>64</v>
      </c>
      <c r="K402" s="35" t="s">
        <v>133</v>
      </c>
      <c r="L402" s="35" t="s">
        <v>46</v>
      </c>
      <c r="M402" s="36" t="s">
        <v>90</v>
      </c>
      <c r="N402" s="36"/>
      <c r="O402" s="35">
        <v>40</v>
      </c>
      <c r="P402" s="6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2" s="592"/>
      <c r="R402" s="592"/>
      <c r="S402" s="592"/>
      <c r="T402" s="593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46</v>
      </c>
      <c r="AB402" s="66" t="s">
        <v>46</v>
      </c>
      <c r="AC402" s="491" t="s">
        <v>678</v>
      </c>
      <c r="AG402" s="75"/>
      <c r="AJ402" s="79" t="s">
        <v>46</v>
      </c>
      <c r="AK402" s="79">
        <v>0</v>
      </c>
      <c r="BB402" s="49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597"/>
      <c r="B403" s="597"/>
      <c r="C403" s="597"/>
      <c r="D403" s="597"/>
      <c r="E403" s="597"/>
      <c r="F403" s="597"/>
      <c r="G403" s="597"/>
      <c r="H403" s="597"/>
      <c r="I403" s="597"/>
      <c r="J403" s="597"/>
      <c r="K403" s="597"/>
      <c r="L403" s="597"/>
      <c r="M403" s="597"/>
      <c r="N403" s="597"/>
      <c r="O403" s="598"/>
      <c r="P403" s="594" t="s">
        <v>40</v>
      </c>
      <c r="Q403" s="595"/>
      <c r="R403" s="595"/>
      <c r="S403" s="595"/>
      <c r="T403" s="595"/>
      <c r="U403" s="595"/>
      <c r="V403" s="596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hidden="1" x14ac:dyDescent="0.2">
      <c r="A404" s="597"/>
      <c r="B404" s="597"/>
      <c r="C404" s="597"/>
      <c r="D404" s="597"/>
      <c r="E404" s="597"/>
      <c r="F404" s="597"/>
      <c r="G404" s="597"/>
      <c r="H404" s="597"/>
      <c r="I404" s="597"/>
      <c r="J404" s="597"/>
      <c r="K404" s="597"/>
      <c r="L404" s="597"/>
      <c r="M404" s="597"/>
      <c r="N404" s="597"/>
      <c r="O404" s="598"/>
      <c r="P404" s="594" t="s">
        <v>40</v>
      </c>
      <c r="Q404" s="595"/>
      <c r="R404" s="595"/>
      <c r="S404" s="595"/>
      <c r="T404" s="595"/>
      <c r="U404" s="595"/>
      <c r="V404" s="596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589" t="s">
        <v>180</v>
      </c>
      <c r="B405" s="589"/>
      <c r="C405" s="589"/>
      <c r="D405" s="589"/>
      <c r="E405" s="589"/>
      <c r="F405" s="589"/>
      <c r="G405" s="589"/>
      <c r="H405" s="589"/>
      <c r="I405" s="589"/>
      <c r="J405" s="589"/>
      <c r="K405" s="589"/>
      <c r="L405" s="589"/>
      <c r="M405" s="589"/>
      <c r="N405" s="589"/>
      <c r="O405" s="589"/>
      <c r="P405" s="589"/>
      <c r="Q405" s="589"/>
      <c r="R405" s="589"/>
      <c r="S405" s="589"/>
      <c r="T405" s="589"/>
      <c r="U405" s="589"/>
      <c r="V405" s="589"/>
      <c r="W405" s="589"/>
      <c r="X405" s="589"/>
      <c r="Y405" s="589"/>
      <c r="Z405" s="589"/>
      <c r="AA405" s="63"/>
      <c r="AB405" s="63"/>
      <c r="AC405" s="63"/>
    </row>
    <row r="406" spans="1:68" ht="16.5" hidden="1" customHeight="1" x14ac:dyDescent="0.25">
      <c r="A406" s="60" t="s">
        <v>679</v>
      </c>
      <c r="B406" s="60" t="s">
        <v>680</v>
      </c>
      <c r="C406" s="34">
        <v>4301060524</v>
      </c>
      <c r="D406" s="590">
        <v>4607091384673</v>
      </c>
      <c r="E406" s="590"/>
      <c r="F406" s="59">
        <v>1.5</v>
      </c>
      <c r="G406" s="35">
        <v>6</v>
      </c>
      <c r="H406" s="59">
        <v>9</v>
      </c>
      <c r="I406" s="59">
        <v>9.4939999999999998</v>
      </c>
      <c r="J406" s="35">
        <v>64</v>
      </c>
      <c r="K406" s="35" t="s">
        <v>133</v>
      </c>
      <c r="L406" s="35" t="s">
        <v>46</v>
      </c>
      <c r="M406" s="36" t="s">
        <v>90</v>
      </c>
      <c r="N406" s="36"/>
      <c r="O406" s="35">
        <v>40</v>
      </c>
      <c r="P406" s="6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6" s="592"/>
      <c r="R406" s="592"/>
      <c r="S406" s="592"/>
      <c r="T406" s="59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3" t="s">
        <v>681</v>
      </c>
      <c r="AG406" s="75"/>
      <c r="AJ406" s="79" t="s">
        <v>46</v>
      </c>
      <c r="AK406" s="79">
        <v>0</v>
      </c>
      <c r="BB406" s="49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597"/>
      <c r="B407" s="597"/>
      <c r="C407" s="597"/>
      <c r="D407" s="597"/>
      <c r="E407" s="597"/>
      <c r="F407" s="597"/>
      <c r="G407" s="597"/>
      <c r="H407" s="597"/>
      <c r="I407" s="597"/>
      <c r="J407" s="597"/>
      <c r="K407" s="597"/>
      <c r="L407" s="597"/>
      <c r="M407" s="597"/>
      <c r="N407" s="597"/>
      <c r="O407" s="598"/>
      <c r="P407" s="594" t="s">
        <v>40</v>
      </c>
      <c r="Q407" s="595"/>
      <c r="R407" s="595"/>
      <c r="S407" s="595"/>
      <c r="T407" s="595"/>
      <c r="U407" s="595"/>
      <c r="V407" s="596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hidden="1" x14ac:dyDescent="0.2">
      <c r="A408" s="597"/>
      <c r="B408" s="597"/>
      <c r="C408" s="597"/>
      <c r="D408" s="597"/>
      <c r="E408" s="597"/>
      <c r="F408" s="597"/>
      <c r="G408" s="597"/>
      <c r="H408" s="597"/>
      <c r="I408" s="597"/>
      <c r="J408" s="597"/>
      <c r="K408" s="597"/>
      <c r="L408" s="597"/>
      <c r="M408" s="597"/>
      <c r="N408" s="597"/>
      <c r="O408" s="598"/>
      <c r="P408" s="594" t="s">
        <v>40</v>
      </c>
      <c r="Q408" s="595"/>
      <c r="R408" s="595"/>
      <c r="S408" s="595"/>
      <c r="T408" s="595"/>
      <c r="U408" s="595"/>
      <c r="V408" s="596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hidden="1" customHeight="1" x14ac:dyDescent="0.25">
      <c r="A409" s="605" t="s">
        <v>682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2"/>
      <c r="AB409" s="62"/>
      <c r="AC409" s="62"/>
    </row>
    <row r="410" spans="1:68" ht="14.25" hidden="1" customHeight="1" x14ac:dyDescent="0.25">
      <c r="A410" s="589" t="s">
        <v>128</v>
      </c>
      <c r="B410" s="589"/>
      <c r="C410" s="589"/>
      <c r="D410" s="589"/>
      <c r="E410" s="589"/>
      <c r="F410" s="589"/>
      <c r="G410" s="589"/>
      <c r="H410" s="589"/>
      <c r="I410" s="589"/>
      <c r="J410" s="589"/>
      <c r="K410" s="589"/>
      <c r="L410" s="589"/>
      <c r="M410" s="589"/>
      <c r="N410" s="589"/>
      <c r="O410" s="589"/>
      <c r="P410" s="589"/>
      <c r="Q410" s="589"/>
      <c r="R410" s="589"/>
      <c r="S410" s="589"/>
      <c r="T410" s="589"/>
      <c r="U410" s="589"/>
      <c r="V410" s="589"/>
      <c r="W410" s="589"/>
      <c r="X410" s="589"/>
      <c r="Y410" s="589"/>
      <c r="Z410" s="589"/>
      <c r="AA410" s="63"/>
      <c r="AB410" s="63"/>
      <c r="AC410" s="63"/>
    </row>
    <row r="411" spans="1:68" ht="27" customHeight="1" x14ac:dyDescent="0.25">
      <c r="A411" s="60" t="s">
        <v>683</v>
      </c>
      <c r="B411" s="60" t="s">
        <v>684</v>
      </c>
      <c r="C411" s="34">
        <v>4301011875</v>
      </c>
      <c r="D411" s="590">
        <v>4680115884885</v>
      </c>
      <c r="E411" s="590"/>
      <c r="F411" s="59">
        <v>0.8</v>
      </c>
      <c r="G411" s="35">
        <v>15</v>
      </c>
      <c r="H411" s="59">
        <v>12</v>
      </c>
      <c r="I411" s="59">
        <v>12.41</v>
      </c>
      <c r="J411" s="35">
        <v>64</v>
      </c>
      <c r="K411" s="35" t="s">
        <v>133</v>
      </c>
      <c r="L411" s="35" t="s">
        <v>46</v>
      </c>
      <c r="M411" s="36" t="s">
        <v>81</v>
      </c>
      <c r="N411" s="36"/>
      <c r="O411" s="35">
        <v>60</v>
      </c>
      <c r="P411" s="6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1" s="592"/>
      <c r="R411" s="592"/>
      <c r="S411" s="592"/>
      <c r="T411" s="593"/>
      <c r="U411" s="37" t="s">
        <v>46</v>
      </c>
      <c r="V411" s="37" t="s">
        <v>46</v>
      </c>
      <c r="W411" s="38" t="s">
        <v>0</v>
      </c>
      <c r="X411" s="56">
        <v>60</v>
      </c>
      <c r="Y411" s="53">
        <f>IFERROR(IF(X411="",0,CEILING((X411/$H411),1)*$H411),"")</f>
        <v>60</v>
      </c>
      <c r="Z411" s="39">
        <f>IFERROR(IF(Y411=0,"",ROUNDUP(Y411/H411,0)*0.01898),"")</f>
        <v>9.4899999999999998E-2</v>
      </c>
      <c r="AA411" s="65" t="s">
        <v>46</v>
      </c>
      <c r="AB411" s="66" t="s">
        <v>46</v>
      </c>
      <c r="AC411" s="495" t="s">
        <v>685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62.050000000000004</v>
      </c>
      <c r="BN411" s="75">
        <f>IFERROR(Y411*I411/H411,"0")</f>
        <v>62.050000000000004</v>
      </c>
      <c r="BO411" s="75">
        <f>IFERROR(1/J411*(X411/H411),"0")</f>
        <v>7.8125E-2</v>
      </c>
      <c r="BP411" s="75">
        <f>IFERROR(1/J411*(Y411/H411),"0")</f>
        <v>7.8125E-2</v>
      </c>
    </row>
    <row r="412" spans="1:68" ht="37.5" hidden="1" customHeight="1" x14ac:dyDescent="0.25">
      <c r="A412" s="60" t="s">
        <v>686</v>
      </c>
      <c r="B412" s="60" t="s">
        <v>687</v>
      </c>
      <c r="C412" s="34">
        <v>4301011871</v>
      </c>
      <c r="D412" s="590">
        <v>4680115884908</v>
      </c>
      <c r="E412" s="590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81</v>
      </c>
      <c r="N412" s="36"/>
      <c r="O412" s="35">
        <v>60</v>
      </c>
      <c r="P412" s="6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2" s="592"/>
      <c r="R412" s="592"/>
      <c r="S412" s="592"/>
      <c r="T412" s="59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685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597"/>
      <c r="B413" s="597"/>
      <c r="C413" s="597"/>
      <c r="D413" s="597"/>
      <c r="E413" s="597"/>
      <c r="F413" s="597"/>
      <c r="G413" s="597"/>
      <c r="H413" s="597"/>
      <c r="I413" s="597"/>
      <c r="J413" s="597"/>
      <c r="K413" s="597"/>
      <c r="L413" s="597"/>
      <c r="M413" s="597"/>
      <c r="N413" s="597"/>
      <c r="O413" s="598"/>
      <c r="P413" s="594" t="s">
        <v>40</v>
      </c>
      <c r="Q413" s="595"/>
      <c r="R413" s="595"/>
      <c r="S413" s="595"/>
      <c r="T413" s="595"/>
      <c r="U413" s="595"/>
      <c r="V413" s="596"/>
      <c r="W413" s="40" t="s">
        <v>39</v>
      </c>
      <c r="X413" s="41">
        <f>IFERROR(X411/H411,"0")+IFERROR(X412/H412,"0")</f>
        <v>5</v>
      </c>
      <c r="Y413" s="41">
        <f>IFERROR(Y411/H411,"0")+IFERROR(Y412/H412,"0")</f>
        <v>5</v>
      </c>
      <c r="Z413" s="41">
        <f>IFERROR(IF(Z411="",0,Z411),"0")+IFERROR(IF(Z412="",0,Z412),"0")</f>
        <v>9.4899999999999998E-2</v>
      </c>
      <c r="AA413" s="64"/>
      <c r="AB413" s="64"/>
      <c r="AC413" s="64"/>
    </row>
    <row r="414" spans="1:68" x14ac:dyDescent="0.2">
      <c r="A414" s="597"/>
      <c r="B414" s="597"/>
      <c r="C414" s="597"/>
      <c r="D414" s="597"/>
      <c r="E414" s="597"/>
      <c r="F414" s="597"/>
      <c r="G414" s="597"/>
      <c r="H414" s="597"/>
      <c r="I414" s="597"/>
      <c r="J414" s="597"/>
      <c r="K414" s="597"/>
      <c r="L414" s="597"/>
      <c r="M414" s="597"/>
      <c r="N414" s="597"/>
      <c r="O414" s="598"/>
      <c r="P414" s="594" t="s">
        <v>40</v>
      </c>
      <c r="Q414" s="595"/>
      <c r="R414" s="595"/>
      <c r="S414" s="595"/>
      <c r="T414" s="595"/>
      <c r="U414" s="595"/>
      <c r="V414" s="596"/>
      <c r="W414" s="40" t="s">
        <v>0</v>
      </c>
      <c r="X414" s="41">
        <f>IFERROR(SUM(X411:X412),"0")</f>
        <v>60</v>
      </c>
      <c r="Y414" s="41">
        <f>IFERROR(SUM(Y411:Y412),"0")</f>
        <v>60</v>
      </c>
      <c r="Z414" s="40"/>
      <c r="AA414" s="64"/>
      <c r="AB414" s="64"/>
      <c r="AC414" s="64"/>
    </row>
    <row r="415" spans="1:68" ht="14.25" hidden="1" customHeight="1" x14ac:dyDescent="0.25">
      <c r="A415" s="589" t="s">
        <v>77</v>
      </c>
      <c r="B415" s="589"/>
      <c r="C415" s="589"/>
      <c r="D415" s="589"/>
      <c r="E415" s="589"/>
      <c r="F415" s="589"/>
      <c r="G415" s="589"/>
      <c r="H415" s="589"/>
      <c r="I415" s="589"/>
      <c r="J415" s="589"/>
      <c r="K415" s="589"/>
      <c r="L415" s="589"/>
      <c r="M415" s="589"/>
      <c r="N415" s="589"/>
      <c r="O415" s="589"/>
      <c r="P415" s="589"/>
      <c r="Q415" s="589"/>
      <c r="R415" s="589"/>
      <c r="S415" s="589"/>
      <c r="T415" s="589"/>
      <c r="U415" s="589"/>
      <c r="V415" s="589"/>
      <c r="W415" s="589"/>
      <c r="X415" s="589"/>
      <c r="Y415" s="589"/>
      <c r="Z415" s="589"/>
      <c r="AA415" s="63"/>
      <c r="AB415" s="63"/>
      <c r="AC415" s="63"/>
    </row>
    <row r="416" spans="1:68" ht="27" hidden="1" customHeight="1" x14ac:dyDescent="0.25">
      <c r="A416" s="60" t="s">
        <v>688</v>
      </c>
      <c r="B416" s="60" t="s">
        <v>689</v>
      </c>
      <c r="C416" s="34">
        <v>4301031457</v>
      </c>
      <c r="D416" s="590">
        <v>4607091384802</v>
      </c>
      <c r="E416" s="590"/>
      <c r="F416" s="59">
        <v>0.7</v>
      </c>
      <c r="G416" s="35">
        <v>6</v>
      </c>
      <c r="H416" s="59">
        <v>4.2</v>
      </c>
      <c r="I416" s="59">
        <v>4.45</v>
      </c>
      <c r="J416" s="35">
        <v>132</v>
      </c>
      <c r="K416" s="35" t="s">
        <v>140</v>
      </c>
      <c r="L416" s="35" t="s">
        <v>46</v>
      </c>
      <c r="M416" s="36" t="s">
        <v>81</v>
      </c>
      <c r="N416" s="36"/>
      <c r="O416" s="35">
        <v>50</v>
      </c>
      <c r="P416" s="64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6" s="592"/>
      <c r="R416" s="592"/>
      <c r="S416" s="592"/>
      <c r="T416" s="593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499" t="s">
        <v>690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97"/>
      <c r="B417" s="597"/>
      <c r="C417" s="597"/>
      <c r="D417" s="597"/>
      <c r="E417" s="597"/>
      <c r="F417" s="597"/>
      <c r="G417" s="597"/>
      <c r="H417" s="597"/>
      <c r="I417" s="597"/>
      <c r="J417" s="597"/>
      <c r="K417" s="597"/>
      <c r="L417" s="597"/>
      <c r="M417" s="597"/>
      <c r="N417" s="597"/>
      <c r="O417" s="598"/>
      <c r="P417" s="594" t="s">
        <v>40</v>
      </c>
      <c r="Q417" s="595"/>
      <c r="R417" s="595"/>
      <c r="S417" s="595"/>
      <c r="T417" s="595"/>
      <c r="U417" s="595"/>
      <c r="V417" s="596"/>
      <c r="W417" s="40" t="s">
        <v>39</v>
      </c>
      <c r="X417" s="41">
        <f>IFERROR(X416/H416,"0")</f>
        <v>0</v>
      </c>
      <c r="Y417" s="41">
        <f>IFERROR(Y416/H416,"0")</f>
        <v>0</v>
      </c>
      <c r="Z417" s="41">
        <f>IFERROR(IF(Z416="",0,Z416),"0")</f>
        <v>0</v>
      </c>
      <c r="AA417" s="64"/>
      <c r="AB417" s="64"/>
      <c r="AC417" s="64"/>
    </row>
    <row r="418" spans="1:68" hidden="1" x14ac:dyDescent="0.2">
      <c r="A418" s="597"/>
      <c r="B418" s="597"/>
      <c r="C418" s="597"/>
      <c r="D418" s="597"/>
      <c r="E418" s="597"/>
      <c r="F418" s="597"/>
      <c r="G418" s="597"/>
      <c r="H418" s="597"/>
      <c r="I418" s="597"/>
      <c r="J418" s="597"/>
      <c r="K418" s="597"/>
      <c r="L418" s="597"/>
      <c r="M418" s="597"/>
      <c r="N418" s="597"/>
      <c r="O418" s="598"/>
      <c r="P418" s="594" t="s">
        <v>40</v>
      </c>
      <c r="Q418" s="595"/>
      <c r="R418" s="595"/>
      <c r="S418" s="595"/>
      <c r="T418" s="595"/>
      <c r="U418" s="595"/>
      <c r="V418" s="596"/>
      <c r="W418" s="40" t="s">
        <v>0</v>
      </c>
      <c r="X418" s="41">
        <f>IFERROR(SUM(X416:X416),"0")</f>
        <v>0</v>
      </c>
      <c r="Y418" s="41">
        <f>IFERROR(SUM(Y416:Y416),"0")</f>
        <v>0</v>
      </c>
      <c r="Z418" s="40"/>
      <c r="AA418" s="64"/>
      <c r="AB418" s="64"/>
      <c r="AC418" s="64"/>
    </row>
    <row r="419" spans="1:68" ht="14.25" hidden="1" customHeight="1" x14ac:dyDescent="0.25">
      <c r="A419" s="589" t="s">
        <v>86</v>
      </c>
      <c r="B419" s="589"/>
      <c r="C419" s="589"/>
      <c r="D419" s="589"/>
      <c r="E419" s="589"/>
      <c r="F419" s="589"/>
      <c r="G419" s="589"/>
      <c r="H419" s="589"/>
      <c r="I419" s="589"/>
      <c r="J419" s="589"/>
      <c r="K419" s="589"/>
      <c r="L419" s="589"/>
      <c r="M419" s="589"/>
      <c r="N419" s="589"/>
      <c r="O419" s="589"/>
      <c r="P419" s="589"/>
      <c r="Q419" s="589"/>
      <c r="R419" s="589"/>
      <c r="S419" s="589"/>
      <c r="T419" s="589"/>
      <c r="U419" s="589"/>
      <c r="V419" s="589"/>
      <c r="W419" s="589"/>
      <c r="X419" s="589"/>
      <c r="Y419" s="589"/>
      <c r="Z419" s="589"/>
      <c r="AA419" s="63"/>
      <c r="AB419" s="63"/>
      <c r="AC419" s="63"/>
    </row>
    <row r="420" spans="1:68" ht="27" customHeight="1" x14ac:dyDescent="0.25">
      <c r="A420" s="60" t="s">
        <v>691</v>
      </c>
      <c r="B420" s="60" t="s">
        <v>692</v>
      </c>
      <c r="C420" s="34">
        <v>4301051899</v>
      </c>
      <c r="D420" s="590">
        <v>4607091384246</v>
      </c>
      <c r="E420" s="590"/>
      <c r="F420" s="59">
        <v>1.5</v>
      </c>
      <c r="G420" s="35">
        <v>6</v>
      </c>
      <c r="H420" s="59">
        <v>9</v>
      </c>
      <c r="I420" s="59">
        <v>9.4939999999999998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6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0" s="592"/>
      <c r="R420" s="592"/>
      <c r="S420" s="592"/>
      <c r="T420" s="593"/>
      <c r="U420" s="37" t="s">
        <v>46</v>
      </c>
      <c r="V420" s="37" t="s">
        <v>46</v>
      </c>
      <c r="W420" s="38" t="s">
        <v>0</v>
      </c>
      <c r="X420" s="56">
        <v>3800</v>
      </c>
      <c r="Y420" s="53">
        <f>IFERROR(IF(X420="",0,CEILING((X420/$H420),1)*$H420),"")</f>
        <v>3807</v>
      </c>
      <c r="Z420" s="39">
        <f>IFERROR(IF(Y420=0,"",ROUNDUP(Y420/H420,0)*0.01898),"")</f>
        <v>8.0285399999999996</v>
      </c>
      <c r="AA420" s="65" t="s">
        <v>46</v>
      </c>
      <c r="AB420" s="66" t="s">
        <v>46</v>
      </c>
      <c r="AC420" s="501" t="s">
        <v>693</v>
      </c>
      <c r="AG420" s="75"/>
      <c r="AJ420" s="79" t="s">
        <v>46</v>
      </c>
      <c r="AK420" s="79">
        <v>0</v>
      </c>
      <c r="BB420" s="502" t="s">
        <v>67</v>
      </c>
      <c r="BM420" s="75">
        <f>IFERROR(X420*I420/H420,"0")</f>
        <v>4008.5777777777776</v>
      </c>
      <c r="BN420" s="75">
        <f>IFERROR(Y420*I420/H420,"0")</f>
        <v>4015.9619999999995</v>
      </c>
      <c r="BO420" s="75">
        <f>IFERROR(1/J420*(X420/H420),"0")</f>
        <v>6.5972222222222223</v>
      </c>
      <c r="BP420" s="75">
        <f>IFERROR(1/J420*(Y420/H420),"0")</f>
        <v>6.609375</v>
      </c>
    </row>
    <row r="421" spans="1:68" ht="27" customHeight="1" x14ac:dyDescent="0.25">
      <c r="A421" s="60" t="s">
        <v>694</v>
      </c>
      <c r="B421" s="60" t="s">
        <v>695</v>
      </c>
      <c r="C421" s="34">
        <v>4301051660</v>
      </c>
      <c r="D421" s="590">
        <v>4607091384253</v>
      </c>
      <c r="E421" s="590"/>
      <c r="F421" s="59">
        <v>0.4</v>
      </c>
      <c r="G421" s="35">
        <v>6</v>
      </c>
      <c r="H421" s="59">
        <v>2.4</v>
      </c>
      <c r="I421" s="59">
        <v>2.6640000000000001</v>
      </c>
      <c r="J421" s="35">
        <v>182</v>
      </c>
      <c r="K421" s="35" t="s">
        <v>91</v>
      </c>
      <c r="L421" s="35" t="s">
        <v>46</v>
      </c>
      <c r="M421" s="36" t="s">
        <v>90</v>
      </c>
      <c r="N421" s="36"/>
      <c r="O421" s="35">
        <v>40</v>
      </c>
      <c r="P421" s="6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1" s="592"/>
      <c r="R421" s="592"/>
      <c r="S421" s="592"/>
      <c r="T421" s="593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600</v>
      </c>
      <c r="Z421" s="39">
        <f>IFERROR(IF(Y421=0,"",ROUNDUP(Y421/H421,0)*0.00651),"")</f>
        <v>1.6274999999999999</v>
      </c>
      <c r="AA421" s="65" t="s">
        <v>46</v>
      </c>
      <c r="AB421" s="66" t="s">
        <v>46</v>
      </c>
      <c r="AC421" s="503" t="s">
        <v>693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666.00000000000011</v>
      </c>
      <c r="BN421" s="75">
        <f>IFERROR(Y421*I421/H421,"0")</f>
        <v>666.00000000000011</v>
      </c>
      <c r="BO421" s="75">
        <f>IFERROR(1/J421*(X421/H421),"0")</f>
        <v>1.3736263736263736</v>
      </c>
      <c r="BP421" s="75">
        <f>IFERROR(1/J421*(Y421/H421),"0")</f>
        <v>1.3736263736263736</v>
      </c>
    </row>
    <row r="422" spans="1:68" ht="27" hidden="1" customHeight="1" x14ac:dyDescent="0.25">
      <c r="A422" s="60" t="s">
        <v>694</v>
      </c>
      <c r="B422" s="60" t="s">
        <v>696</v>
      </c>
      <c r="C422" s="34">
        <v>4301052069</v>
      </c>
      <c r="D422" s="590">
        <v>4607091384253</v>
      </c>
      <c r="E422" s="590"/>
      <c r="F422" s="59">
        <v>0.4</v>
      </c>
      <c r="G422" s="35">
        <v>6</v>
      </c>
      <c r="H422" s="59">
        <v>2.4</v>
      </c>
      <c r="I422" s="59">
        <v>2.6640000000000001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40</v>
      </c>
      <c r="P422" s="6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2" s="592"/>
      <c r="R422" s="592"/>
      <c r="S422" s="592"/>
      <c r="T422" s="593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05" t="s">
        <v>697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597"/>
      <c r="B423" s="597"/>
      <c r="C423" s="597"/>
      <c r="D423" s="597"/>
      <c r="E423" s="597"/>
      <c r="F423" s="597"/>
      <c r="G423" s="597"/>
      <c r="H423" s="597"/>
      <c r="I423" s="597"/>
      <c r="J423" s="597"/>
      <c r="K423" s="597"/>
      <c r="L423" s="597"/>
      <c r="M423" s="597"/>
      <c r="N423" s="597"/>
      <c r="O423" s="598"/>
      <c r="P423" s="594" t="s">
        <v>40</v>
      </c>
      <c r="Q423" s="595"/>
      <c r="R423" s="595"/>
      <c r="S423" s="595"/>
      <c r="T423" s="595"/>
      <c r="U423" s="595"/>
      <c r="V423" s="596"/>
      <c r="W423" s="40" t="s">
        <v>39</v>
      </c>
      <c r="X423" s="41">
        <f>IFERROR(X420/H420,"0")+IFERROR(X421/H421,"0")+IFERROR(X422/H422,"0")</f>
        <v>672.22222222222217</v>
      </c>
      <c r="Y423" s="41">
        <f>IFERROR(Y420/H420,"0")+IFERROR(Y421/H421,"0")+IFERROR(Y422/H422,"0")</f>
        <v>673</v>
      </c>
      <c r="Z423" s="41">
        <f>IFERROR(IF(Z420="",0,Z420),"0")+IFERROR(IF(Z421="",0,Z421),"0")+IFERROR(IF(Z422="",0,Z422),"0")</f>
        <v>9.6560399999999991</v>
      </c>
      <c r="AA423" s="64"/>
      <c r="AB423" s="64"/>
      <c r="AC423" s="64"/>
    </row>
    <row r="424" spans="1:68" x14ac:dyDescent="0.2">
      <c r="A424" s="597"/>
      <c r="B424" s="597"/>
      <c r="C424" s="597"/>
      <c r="D424" s="597"/>
      <c r="E424" s="597"/>
      <c r="F424" s="597"/>
      <c r="G424" s="597"/>
      <c r="H424" s="597"/>
      <c r="I424" s="597"/>
      <c r="J424" s="597"/>
      <c r="K424" s="597"/>
      <c r="L424" s="597"/>
      <c r="M424" s="597"/>
      <c r="N424" s="597"/>
      <c r="O424" s="598"/>
      <c r="P424" s="594" t="s">
        <v>40</v>
      </c>
      <c r="Q424" s="595"/>
      <c r="R424" s="595"/>
      <c r="S424" s="595"/>
      <c r="T424" s="595"/>
      <c r="U424" s="595"/>
      <c r="V424" s="596"/>
      <c r="W424" s="40" t="s">
        <v>0</v>
      </c>
      <c r="X424" s="41">
        <f>IFERROR(SUM(X420:X422),"0")</f>
        <v>4400</v>
      </c>
      <c r="Y424" s="41">
        <f>IFERROR(SUM(Y420:Y422),"0")</f>
        <v>4407</v>
      </c>
      <c r="Z424" s="40"/>
      <c r="AA424" s="64"/>
      <c r="AB424" s="64"/>
      <c r="AC424" s="64"/>
    </row>
    <row r="425" spans="1:68" ht="27.75" hidden="1" customHeight="1" x14ac:dyDescent="0.2">
      <c r="A425" s="610" t="s">
        <v>698</v>
      </c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0"/>
      <c r="P425" s="610"/>
      <c r="Q425" s="610"/>
      <c r="R425" s="610"/>
      <c r="S425" s="610"/>
      <c r="T425" s="610"/>
      <c r="U425" s="610"/>
      <c r="V425" s="610"/>
      <c r="W425" s="610"/>
      <c r="X425" s="610"/>
      <c r="Y425" s="610"/>
      <c r="Z425" s="610"/>
      <c r="AA425" s="52"/>
      <c r="AB425" s="52"/>
      <c r="AC425" s="52"/>
    </row>
    <row r="426" spans="1:68" ht="16.5" hidden="1" customHeight="1" x14ac:dyDescent="0.25">
      <c r="A426" s="605" t="s">
        <v>699</v>
      </c>
      <c r="B426" s="605"/>
      <c r="C426" s="605"/>
      <c r="D426" s="605"/>
      <c r="E426" s="605"/>
      <c r="F426" s="605"/>
      <c r="G426" s="605"/>
      <c r="H426" s="605"/>
      <c r="I426" s="605"/>
      <c r="J426" s="605"/>
      <c r="K426" s="605"/>
      <c r="L426" s="605"/>
      <c r="M426" s="605"/>
      <c r="N426" s="605"/>
      <c r="O426" s="605"/>
      <c r="P426" s="605"/>
      <c r="Q426" s="605"/>
      <c r="R426" s="605"/>
      <c r="S426" s="605"/>
      <c r="T426" s="605"/>
      <c r="U426" s="605"/>
      <c r="V426" s="605"/>
      <c r="W426" s="605"/>
      <c r="X426" s="605"/>
      <c r="Y426" s="605"/>
      <c r="Z426" s="605"/>
      <c r="AA426" s="62"/>
      <c r="AB426" s="62"/>
      <c r="AC426" s="62"/>
    </row>
    <row r="427" spans="1:68" ht="14.25" hidden="1" customHeight="1" x14ac:dyDescent="0.25">
      <c r="A427" s="589" t="s">
        <v>77</v>
      </c>
      <c r="B427" s="589"/>
      <c r="C427" s="589"/>
      <c r="D427" s="589"/>
      <c r="E427" s="589"/>
      <c r="F427" s="589"/>
      <c r="G427" s="589"/>
      <c r="H427" s="589"/>
      <c r="I427" s="589"/>
      <c r="J427" s="589"/>
      <c r="K427" s="589"/>
      <c r="L427" s="589"/>
      <c r="M427" s="589"/>
      <c r="N427" s="589"/>
      <c r="O427" s="589"/>
      <c r="P427" s="589"/>
      <c r="Q427" s="589"/>
      <c r="R427" s="589"/>
      <c r="S427" s="589"/>
      <c r="T427" s="589"/>
      <c r="U427" s="589"/>
      <c r="V427" s="589"/>
      <c r="W427" s="589"/>
      <c r="X427" s="589"/>
      <c r="Y427" s="589"/>
      <c r="Z427" s="589"/>
      <c r="AA427" s="63"/>
      <c r="AB427" s="63"/>
      <c r="AC427" s="63"/>
    </row>
    <row r="428" spans="1:68" ht="27" hidden="1" customHeight="1" x14ac:dyDescent="0.25">
      <c r="A428" s="60" t="s">
        <v>700</v>
      </c>
      <c r="B428" s="60" t="s">
        <v>701</v>
      </c>
      <c r="C428" s="34">
        <v>4301031405</v>
      </c>
      <c r="D428" s="590">
        <v>4680115886100</v>
      </c>
      <c r="E428" s="590"/>
      <c r="F428" s="59">
        <v>0.9</v>
      </c>
      <c r="G428" s="35">
        <v>6</v>
      </c>
      <c r="H428" s="59">
        <v>5.4</v>
      </c>
      <c r="I428" s="59">
        <v>5.59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50</v>
      </c>
      <c r="P428" s="64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28" s="592"/>
      <c r="R428" s="592"/>
      <c r="S428" s="592"/>
      <c r="T428" s="593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ref="Y428:Y433" si="62"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7" t="s">
        <v>702</v>
      </c>
      <c r="AG428" s="75"/>
      <c r="AJ428" s="79" t="s">
        <v>46</v>
      </c>
      <c r="AK428" s="79">
        <v>0</v>
      </c>
      <c r="BB428" s="508" t="s">
        <v>67</v>
      </c>
      <c r="BM428" s="75">
        <f t="shared" ref="BM428:BM433" si="63">IFERROR(X428*I428/H428,"0")</f>
        <v>0</v>
      </c>
      <c r="BN428" s="75">
        <f t="shared" ref="BN428:BN433" si="64">IFERROR(Y428*I428/H428,"0")</f>
        <v>0</v>
      </c>
      <c r="BO428" s="75">
        <f t="shared" ref="BO428:BO433" si="65">IFERROR(1/J428*(X428/H428),"0")</f>
        <v>0</v>
      </c>
      <c r="BP428" s="75">
        <f t="shared" ref="BP428:BP433" si="66">IFERROR(1/J428*(Y428/H428),"0")</f>
        <v>0</v>
      </c>
    </row>
    <row r="429" spans="1:68" ht="27" hidden="1" customHeight="1" x14ac:dyDescent="0.25">
      <c r="A429" s="60" t="s">
        <v>703</v>
      </c>
      <c r="B429" s="60" t="s">
        <v>704</v>
      </c>
      <c r="C429" s="34">
        <v>4301031402</v>
      </c>
      <c r="D429" s="590">
        <v>4680115886124</v>
      </c>
      <c r="E429" s="590"/>
      <c r="F429" s="59">
        <v>0.9</v>
      </c>
      <c r="G429" s="35">
        <v>6</v>
      </c>
      <c r="H429" s="59">
        <v>5.4</v>
      </c>
      <c r="I429" s="59">
        <v>5.59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50</v>
      </c>
      <c r="P429" s="64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9" s="592"/>
      <c r="R429" s="592"/>
      <c r="S429" s="592"/>
      <c r="T429" s="593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09" t="s">
        <v>705</v>
      </c>
      <c r="AG429" s="75"/>
      <c r="AJ429" s="79" t="s">
        <v>46</v>
      </c>
      <c r="AK429" s="79">
        <v>0</v>
      </c>
      <c r="BB429" s="510" t="s">
        <v>67</v>
      </c>
      <c r="BM429" s="75">
        <f t="shared" si="63"/>
        <v>0</v>
      </c>
      <c r="BN429" s="75">
        <f t="shared" si="64"/>
        <v>0</v>
      </c>
      <c r="BO429" s="75">
        <f t="shared" si="65"/>
        <v>0</v>
      </c>
      <c r="BP429" s="75">
        <f t="shared" si="66"/>
        <v>0</v>
      </c>
    </row>
    <row r="430" spans="1:68" ht="27" hidden="1" customHeight="1" x14ac:dyDescent="0.25">
      <c r="A430" s="60" t="s">
        <v>706</v>
      </c>
      <c r="B430" s="60" t="s">
        <v>707</v>
      </c>
      <c r="C430" s="34">
        <v>4301031362</v>
      </c>
      <c r="D430" s="590">
        <v>4607091384338</v>
      </c>
      <c r="E430" s="590"/>
      <c r="F430" s="59">
        <v>0.35</v>
      </c>
      <c r="G430" s="35">
        <v>6</v>
      </c>
      <c r="H430" s="59">
        <v>2.1</v>
      </c>
      <c r="I430" s="59">
        <v>2.23</v>
      </c>
      <c r="J430" s="35">
        <v>234</v>
      </c>
      <c r="K430" s="35" t="s">
        <v>82</v>
      </c>
      <c r="L430" s="35" t="s">
        <v>46</v>
      </c>
      <c r="M430" s="36" t="s">
        <v>81</v>
      </c>
      <c r="N430" s="36"/>
      <c r="O430" s="35">
        <v>50</v>
      </c>
      <c r="P430" s="6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0" s="592"/>
      <c r="R430" s="592"/>
      <c r="S430" s="592"/>
      <c r="T430" s="593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2"/>
        <v>0</v>
      </c>
      <c r="Z430" s="39" t="str">
        <f>IFERROR(IF(Y430=0,"",ROUNDUP(Y430/H430,0)*0.00502),"")</f>
        <v/>
      </c>
      <c r="AA430" s="65" t="s">
        <v>46</v>
      </c>
      <c r="AB430" s="66" t="s">
        <v>46</v>
      </c>
      <c r="AC430" s="511" t="s">
        <v>702</v>
      </c>
      <c r="AG430" s="75"/>
      <c r="AJ430" s="79" t="s">
        <v>46</v>
      </c>
      <c r="AK430" s="79">
        <v>0</v>
      </c>
      <c r="BB430" s="512" t="s">
        <v>67</v>
      </c>
      <c r="BM430" s="75">
        <f t="shared" si="63"/>
        <v>0</v>
      </c>
      <c r="BN430" s="75">
        <f t="shared" si="64"/>
        <v>0</v>
      </c>
      <c r="BO430" s="75">
        <f t="shared" si="65"/>
        <v>0</v>
      </c>
      <c r="BP430" s="75">
        <f t="shared" si="66"/>
        <v>0</v>
      </c>
    </row>
    <row r="431" spans="1:68" ht="27" hidden="1" customHeight="1" x14ac:dyDescent="0.25">
      <c r="A431" s="60" t="s">
        <v>708</v>
      </c>
      <c r="B431" s="60" t="s">
        <v>709</v>
      </c>
      <c r="C431" s="34">
        <v>4301031364</v>
      </c>
      <c r="D431" s="590">
        <v>4680115883161</v>
      </c>
      <c r="E431" s="590"/>
      <c r="F431" s="59">
        <v>0.28000000000000003</v>
      </c>
      <c r="G431" s="35">
        <v>6</v>
      </c>
      <c r="H431" s="59">
        <v>1.68</v>
      </c>
      <c r="I431" s="59">
        <v>1.81</v>
      </c>
      <c r="J431" s="35">
        <v>234</v>
      </c>
      <c r="K431" s="35" t="s">
        <v>82</v>
      </c>
      <c r="L431" s="35" t="s">
        <v>46</v>
      </c>
      <c r="M431" s="36" t="s">
        <v>81</v>
      </c>
      <c r="N431" s="36"/>
      <c r="O431" s="35">
        <v>50</v>
      </c>
      <c r="P431" s="6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1" s="592"/>
      <c r="R431" s="592"/>
      <c r="S431" s="592"/>
      <c r="T431" s="593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2"/>
        <v>0</v>
      </c>
      <c r="Z431" s="39" t="str">
        <f>IFERROR(IF(Y431=0,"",ROUNDUP(Y431/H431,0)*0.00502),"")</f>
        <v/>
      </c>
      <c r="AA431" s="65" t="s">
        <v>46</v>
      </c>
      <c r="AB431" s="66" t="s">
        <v>46</v>
      </c>
      <c r="AC431" s="513" t="s">
        <v>710</v>
      </c>
      <c r="AG431" s="75"/>
      <c r="AJ431" s="79" t="s">
        <v>46</v>
      </c>
      <c r="AK431" s="79">
        <v>0</v>
      </c>
      <c r="BB431" s="514" t="s">
        <v>67</v>
      </c>
      <c r="BM431" s="75">
        <f t="shared" si="63"/>
        <v>0</v>
      </c>
      <c r="BN431" s="75">
        <f t="shared" si="64"/>
        <v>0</v>
      </c>
      <c r="BO431" s="75">
        <f t="shared" si="65"/>
        <v>0</v>
      </c>
      <c r="BP431" s="75">
        <f t="shared" si="66"/>
        <v>0</v>
      </c>
    </row>
    <row r="432" spans="1:68" ht="27" hidden="1" customHeight="1" x14ac:dyDescent="0.25">
      <c r="A432" s="60" t="s">
        <v>711</v>
      </c>
      <c r="B432" s="60" t="s">
        <v>712</v>
      </c>
      <c r="C432" s="34">
        <v>4301031358</v>
      </c>
      <c r="D432" s="590">
        <v>4607091389531</v>
      </c>
      <c r="E432" s="590"/>
      <c r="F432" s="59">
        <v>0.35</v>
      </c>
      <c r="G432" s="35">
        <v>6</v>
      </c>
      <c r="H432" s="59">
        <v>2.1</v>
      </c>
      <c r="I432" s="59">
        <v>2.23</v>
      </c>
      <c r="J432" s="35">
        <v>234</v>
      </c>
      <c r="K432" s="35" t="s">
        <v>82</v>
      </c>
      <c r="L432" s="35" t="s">
        <v>46</v>
      </c>
      <c r="M432" s="36" t="s">
        <v>81</v>
      </c>
      <c r="N432" s="36"/>
      <c r="O432" s="35">
        <v>50</v>
      </c>
      <c r="P432" s="63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2" s="592"/>
      <c r="R432" s="592"/>
      <c r="S432" s="592"/>
      <c r="T432" s="59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IFERROR(IF(Y432=0,"",ROUNDUP(Y432/H432,0)*0.00502),"")</f>
        <v/>
      </c>
      <c r="AA432" s="65" t="s">
        <v>46</v>
      </c>
      <c r="AB432" s="66" t="s">
        <v>46</v>
      </c>
      <c r="AC432" s="515" t="s">
        <v>713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37.5" hidden="1" customHeight="1" x14ac:dyDescent="0.25">
      <c r="A433" s="60" t="s">
        <v>714</v>
      </c>
      <c r="B433" s="60" t="s">
        <v>715</v>
      </c>
      <c r="C433" s="34">
        <v>4301031360</v>
      </c>
      <c r="D433" s="590">
        <v>4607091384345</v>
      </c>
      <c r="E433" s="590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6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3" s="592"/>
      <c r="R433" s="592"/>
      <c r="S433" s="592"/>
      <c r="T433" s="59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710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idden="1" x14ac:dyDescent="0.2">
      <c r="A434" s="597"/>
      <c r="B434" s="597"/>
      <c r="C434" s="597"/>
      <c r="D434" s="597"/>
      <c r="E434" s="597"/>
      <c r="F434" s="597"/>
      <c r="G434" s="597"/>
      <c r="H434" s="597"/>
      <c r="I434" s="597"/>
      <c r="J434" s="597"/>
      <c r="K434" s="597"/>
      <c r="L434" s="597"/>
      <c r="M434" s="597"/>
      <c r="N434" s="597"/>
      <c r="O434" s="598"/>
      <c r="P434" s="594" t="s">
        <v>40</v>
      </c>
      <c r="Q434" s="595"/>
      <c r="R434" s="595"/>
      <c r="S434" s="595"/>
      <c r="T434" s="595"/>
      <c r="U434" s="595"/>
      <c r="V434" s="596"/>
      <c r="W434" s="40" t="s">
        <v>39</v>
      </c>
      <c r="X434" s="41">
        <f>IFERROR(X428/H428,"0")+IFERROR(X429/H429,"0")+IFERROR(X430/H430,"0")+IFERROR(X431/H431,"0")+IFERROR(X432/H432,"0")+IFERROR(X433/H433,"0")</f>
        <v>0</v>
      </c>
      <c r="Y434" s="41">
        <f>IFERROR(Y428/H428,"0")+IFERROR(Y429/H429,"0")+IFERROR(Y430/H430,"0")+IFERROR(Y431/H431,"0")+IFERROR(Y432/H432,"0")+IFERROR(Y433/H433,"0")</f>
        <v>0</v>
      </c>
      <c r="Z434" s="41">
        <f>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597"/>
      <c r="B435" s="597"/>
      <c r="C435" s="597"/>
      <c r="D435" s="597"/>
      <c r="E435" s="597"/>
      <c r="F435" s="597"/>
      <c r="G435" s="597"/>
      <c r="H435" s="597"/>
      <c r="I435" s="597"/>
      <c r="J435" s="597"/>
      <c r="K435" s="597"/>
      <c r="L435" s="597"/>
      <c r="M435" s="597"/>
      <c r="N435" s="597"/>
      <c r="O435" s="598"/>
      <c r="P435" s="594" t="s">
        <v>40</v>
      </c>
      <c r="Q435" s="595"/>
      <c r="R435" s="595"/>
      <c r="S435" s="595"/>
      <c r="T435" s="595"/>
      <c r="U435" s="595"/>
      <c r="V435" s="596"/>
      <c r="W435" s="40" t="s">
        <v>0</v>
      </c>
      <c r="X435" s="41">
        <f>IFERROR(SUM(X428:X433),"0")</f>
        <v>0</v>
      </c>
      <c r="Y435" s="41">
        <f>IFERROR(SUM(Y428:Y433),"0")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589" t="s">
        <v>86</v>
      </c>
      <c r="B436" s="589"/>
      <c r="C436" s="589"/>
      <c r="D436" s="589"/>
      <c r="E436" s="589"/>
      <c r="F436" s="589"/>
      <c r="G436" s="589"/>
      <c r="H436" s="589"/>
      <c r="I436" s="589"/>
      <c r="J436" s="589"/>
      <c r="K436" s="589"/>
      <c r="L436" s="589"/>
      <c r="M436" s="589"/>
      <c r="N436" s="589"/>
      <c r="O436" s="589"/>
      <c r="P436" s="589"/>
      <c r="Q436" s="589"/>
      <c r="R436" s="589"/>
      <c r="S436" s="589"/>
      <c r="T436" s="589"/>
      <c r="U436" s="589"/>
      <c r="V436" s="589"/>
      <c r="W436" s="589"/>
      <c r="X436" s="589"/>
      <c r="Y436" s="589"/>
      <c r="Z436" s="589"/>
      <c r="AA436" s="63"/>
      <c r="AB436" s="63"/>
      <c r="AC436" s="63"/>
    </row>
    <row r="437" spans="1:68" ht="27" hidden="1" customHeight="1" x14ac:dyDescent="0.25">
      <c r="A437" s="60" t="s">
        <v>716</v>
      </c>
      <c r="B437" s="60" t="s">
        <v>717</v>
      </c>
      <c r="C437" s="34">
        <v>4301051284</v>
      </c>
      <c r="D437" s="590">
        <v>4607091384352</v>
      </c>
      <c r="E437" s="590"/>
      <c r="F437" s="59">
        <v>0.6</v>
      </c>
      <c r="G437" s="35">
        <v>4</v>
      </c>
      <c r="H437" s="59">
        <v>2.4</v>
      </c>
      <c r="I437" s="59">
        <v>2.6259999999999999</v>
      </c>
      <c r="J437" s="35">
        <v>132</v>
      </c>
      <c r="K437" s="35" t="s">
        <v>140</v>
      </c>
      <c r="L437" s="35" t="s">
        <v>46</v>
      </c>
      <c r="M437" s="36" t="s">
        <v>90</v>
      </c>
      <c r="N437" s="36"/>
      <c r="O437" s="35">
        <v>45</v>
      </c>
      <c r="P437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7" s="592"/>
      <c r="R437" s="592"/>
      <c r="S437" s="592"/>
      <c r="T437" s="593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19" t="s">
        <v>718</v>
      </c>
      <c r="AG437" s="75"/>
      <c r="AJ437" s="79" t="s">
        <v>46</v>
      </c>
      <c r="AK437" s="79">
        <v>0</v>
      </c>
      <c r="BB437" s="52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719</v>
      </c>
      <c r="B438" s="60" t="s">
        <v>720</v>
      </c>
      <c r="C438" s="34">
        <v>4301051431</v>
      </c>
      <c r="D438" s="590">
        <v>4607091389654</v>
      </c>
      <c r="E438" s="590"/>
      <c r="F438" s="59">
        <v>0.33</v>
      </c>
      <c r="G438" s="35">
        <v>6</v>
      </c>
      <c r="H438" s="59">
        <v>1.98</v>
      </c>
      <c r="I438" s="59">
        <v>2.238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45</v>
      </c>
      <c r="P438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8" s="592"/>
      <c r="R438" s="592"/>
      <c r="S438" s="592"/>
      <c r="T438" s="593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21" t="s">
        <v>721</v>
      </c>
      <c r="AG438" s="75"/>
      <c r="AJ438" s="79" t="s">
        <v>46</v>
      </c>
      <c r="AK438" s="79">
        <v>0</v>
      </c>
      <c r="BB438" s="52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597"/>
      <c r="B439" s="597"/>
      <c r="C439" s="597"/>
      <c r="D439" s="597"/>
      <c r="E439" s="597"/>
      <c r="F439" s="597"/>
      <c r="G439" s="597"/>
      <c r="H439" s="597"/>
      <c r="I439" s="597"/>
      <c r="J439" s="597"/>
      <c r="K439" s="597"/>
      <c r="L439" s="597"/>
      <c r="M439" s="597"/>
      <c r="N439" s="597"/>
      <c r="O439" s="598"/>
      <c r="P439" s="594" t="s">
        <v>40</v>
      </c>
      <c r="Q439" s="595"/>
      <c r="R439" s="595"/>
      <c r="S439" s="595"/>
      <c r="T439" s="595"/>
      <c r="U439" s="595"/>
      <c r="V439" s="596"/>
      <c r="W439" s="40" t="s">
        <v>39</v>
      </c>
      <c r="X439" s="41">
        <f>IFERROR(X437/H437,"0")+IFERROR(X438/H438,"0")</f>
        <v>0</v>
      </c>
      <c r="Y439" s="41">
        <f>IFERROR(Y437/H437,"0")+IFERROR(Y438/H438,"0")</f>
        <v>0</v>
      </c>
      <c r="Z439" s="41">
        <f>IFERROR(IF(Z437="",0,Z437),"0")+IFERROR(IF(Z438="",0,Z438),"0")</f>
        <v>0</v>
      </c>
      <c r="AA439" s="64"/>
      <c r="AB439" s="64"/>
      <c r="AC439" s="64"/>
    </row>
    <row r="440" spans="1:68" hidden="1" x14ac:dyDescent="0.2">
      <c r="A440" s="597"/>
      <c r="B440" s="597"/>
      <c r="C440" s="597"/>
      <c r="D440" s="597"/>
      <c r="E440" s="597"/>
      <c r="F440" s="597"/>
      <c r="G440" s="597"/>
      <c r="H440" s="597"/>
      <c r="I440" s="597"/>
      <c r="J440" s="597"/>
      <c r="K440" s="597"/>
      <c r="L440" s="597"/>
      <c r="M440" s="597"/>
      <c r="N440" s="597"/>
      <c r="O440" s="598"/>
      <c r="P440" s="594" t="s">
        <v>40</v>
      </c>
      <c r="Q440" s="595"/>
      <c r="R440" s="595"/>
      <c r="S440" s="595"/>
      <c r="T440" s="595"/>
      <c r="U440" s="595"/>
      <c r="V440" s="596"/>
      <c r="W440" s="40" t="s">
        <v>0</v>
      </c>
      <c r="X440" s="41">
        <f>IFERROR(SUM(X437:X438),"0")</f>
        <v>0</v>
      </c>
      <c r="Y440" s="41">
        <f>IFERROR(SUM(Y437:Y438),"0")</f>
        <v>0</v>
      </c>
      <c r="Z440" s="40"/>
      <c r="AA440" s="64"/>
      <c r="AB440" s="64"/>
      <c r="AC440" s="64"/>
    </row>
    <row r="441" spans="1:68" ht="16.5" hidden="1" customHeight="1" x14ac:dyDescent="0.25">
      <c r="A441" s="605" t="s">
        <v>722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hidden="1" customHeight="1" x14ac:dyDescent="0.25">
      <c r="A442" s="589" t="s">
        <v>163</v>
      </c>
      <c r="B442" s="589"/>
      <c r="C442" s="589"/>
      <c r="D442" s="589"/>
      <c r="E442" s="589"/>
      <c r="F442" s="589"/>
      <c r="G442" s="589"/>
      <c r="H442" s="589"/>
      <c r="I442" s="589"/>
      <c r="J442" s="589"/>
      <c r="K442" s="589"/>
      <c r="L442" s="589"/>
      <c r="M442" s="589"/>
      <c r="N442" s="589"/>
      <c r="O442" s="589"/>
      <c r="P442" s="589"/>
      <c r="Q442" s="589"/>
      <c r="R442" s="589"/>
      <c r="S442" s="589"/>
      <c r="T442" s="589"/>
      <c r="U442" s="589"/>
      <c r="V442" s="589"/>
      <c r="W442" s="589"/>
      <c r="X442" s="589"/>
      <c r="Y442" s="589"/>
      <c r="Z442" s="589"/>
      <c r="AA442" s="63"/>
      <c r="AB442" s="63"/>
      <c r="AC442" s="63"/>
    </row>
    <row r="443" spans="1:68" ht="27" hidden="1" customHeight="1" x14ac:dyDescent="0.25">
      <c r="A443" s="60" t="s">
        <v>723</v>
      </c>
      <c r="B443" s="60" t="s">
        <v>724</v>
      </c>
      <c r="C443" s="34">
        <v>4301020416</v>
      </c>
      <c r="D443" s="590">
        <v>4680115885240</v>
      </c>
      <c r="E443" s="590"/>
      <c r="F443" s="59">
        <v>0.35</v>
      </c>
      <c r="G443" s="35">
        <v>6</v>
      </c>
      <c r="H443" s="59">
        <v>2.1</v>
      </c>
      <c r="I443" s="59">
        <v>2.31</v>
      </c>
      <c r="J443" s="35">
        <v>182</v>
      </c>
      <c r="K443" s="35" t="s">
        <v>91</v>
      </c>
      <c r="L443" s="35" t="s">
        <v>46</v>
      </c>
      <c r="M443" s="36" t="s">
        <v>81</v>
      </c>
      <c r="N443" s="36"/>
      <c r="O443" s="35">
        <v>40</v>
      </c>
      <c r="P443" s="6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3" s="592"/>
      <c r="R443" s="592"/>
      <c r="S443" s="592"/>
      <c r="T443" s="59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46</v>
      </c>
      <c r="AB443" s="66" t="s">
        <v>46</v>
      </c>
      <c r="AC443" s="523" t="s">
        <v>725</v>
      </c>
      <c r="AG443" s="75"/>
      <c r="AJ443" s="79" t="s">
        <v>46</v>
      </c>
      <c r="AK443" s="79">
        <v>0</v>
      </c>
      <c r="BB443" s="52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597"/>
      <c r="B444" s="597"/>
      <c r="C444" s="597"/>
      <c r="D444" s="597"/>
      <c r="E444" s="597"/>
      <c r="F444" s="597"/>
      <c r="G444" s="597"/>
      <c r="H444" s="597"/>
      <c r="I444" s="597"/>
      <c r="J444" s="597"/>
      <c r="K444" s="597"/>
      <c r="L444" s="597"/>
      <c r="M444" s="597"/>
      <c r="N444" s="597"/>
      <c r="O444" s="598"/>
      <c r="P444" s="594" t="s">
        <v>40</v>
      </c>
      <c r="Q444" s="595"/>
      <c r="R444" s="595"/>
      <c r="S444" s="595"/>
      <c r="T444" s="595"/>
      <c r="U444" s="595"/>
      <c r="V444" s="596"/>
      <c r="W444" s="40" t="s">
        <v>39</v>
      </c>
      <c r="X444" s="41">
        <f>IFERROR(X443/H443,"0")</f>
        <v>0</v>
      </c>
      <c r="Y444" s="41">
        <f>IFERROR(Y443/H443,"0")</f>
        <v>0</v>
      </c>
      <c r="Z444" s="41">
        <f>IFERROR(IF(Z443="",0,Z443),"0")</f>
        <v>0</v>
      </c>
      <c r="AA444" s="64"/>
      <c r="AB444" s="64"/>
      <c r="AC444" s="64"/>
    </row>
    <row r="445" spans="1:68" hidden="1" x14ac:dyDescent="0.2">
      <c r="A445" s="597"/>
      <c r="B445" s="597"/>
      <c r="C445" s="597"/>
      <c r="D445" s="597"/>
      <c r="E445" s="597"/>
      <c r="F445" s="597"/>
      <c r="G445" s="597"/>
      <c r="H445" s="597"/>
      <c r="I445" s="597"/>
      <c r="J445" s="597"/>
      <c r="K445" s="597"/>
      <c r="L445" s="597"/>
      <c r="M445" s="597"/>
      <c r="N445" s="597"/>
      <c r="O445" s="598"/>
      <c r="P445" s="594" t="s">
        <v>40</v>
      </c>
      <c r="Q445" s="595"/>
      <c r="R445" s="595"/>
      <c r="S445" s="595"/>
      <c r="T445" s="595"/>
      <c r="U445" s="595"/>
      <c r="V445" s="596"/>
      <c r="W445" s="40" t="s">
        <v>0</v>
      </c>
      <c r="X445" s="41">
        <f>IFERROR(SUM(X443:X443),"0")</f>
        <v>0</v>
      </c>
      <c r="Y445" s="41">
        <f>IFERROR(SUM(Y443:Y443),"0")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589" t="s">
        <v>77</v>
      </c>
      <c r="B446" s="589"/>
      <c r="C446" s="589"/>
      <c r="D446" s="589"/>
      <c r="E446" s="589"/>
      <c r="F446" s="589"/>
      <c r="G446" s="589"/>
      <c r="H446" s="589"/>
      <c r="I446" s="589"/>
      <c r="J446" s="589"/>
      <c r="K446" s="589"/>
      <c r="L446" s="589"/>
      <c r="M446" s="589"/>
      <c r="N446" s="589"/>
      <c r="O446" s="589"/>
      <c r="P446" s="589"/>
      <c r="Q446" s="589"/>
      <c r="R446" s="589"/>
      <c r="S446" s="589"/>
      <c r="T446" s="589"/>
      <c r="U446" s="589"/>
      <c r="V446" s="589"/>
      <c r="W446" s="589"/>
      <c r="X446" s="589"/>
      <c r="Y446" s="589"/>
      <c r="Z446" s="589"/>
      <c r="AA446" s="63"/>
      <c r="AB446" s="63"/>
      <c r="AC446" s="63"/>
    </row>
    <row r="447" spans="1:68" ht="27" hidden="1" customHeight="1" x14ac:dyDescent="0.25">
      <c r="A447" s="60" t="s">
        <v>726</v>
      </c>
      <c r="B447" s="60" t="s">
        <v>727</v>
      </c>
      <c r="C447" s="34">
        <v>4301031407</v>
      </c>
      <c r="D447" s="590">
        <v>4680115886094</v>
      </c>
      <c r="E447" s="590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6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7" s="592"/>
      <c r="R447" s="592"/>
      <c r="S447" s="592"/>
      <c r="T447" s="593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728</v>
      </c>
      <c r="AG447" s="75"/>
      <c r="AJ447" s="79" t="s">
        <v>46</v>
      </c>
      <c r="AK447" s="79">
        <v>0</v>
      </c>
      <c r="BB447" s="52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729</v>
      </c>
      <c r="B448" s="60" t="s">
        <v>730</v>
      </c>
      <c r="C448" s="34">
        <v>4301031373</v>
      </c>
      <c r="D448" s="590">
        <v>4680115880771</v>
      </c>
      <c r="E448" s="590"/>
      <c r="F448" s="59">
        <v>0.28000000000000003</v>
      </c>
      <c r="G448" s="35">
        <v>6</v>
      </c>
      <c r="H448" s="59">
        <v>1.68</v>
      </c>
      <c r="I448" s="59">
        <v>1.81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8" s="592"/>
      <c r="R448" s="592"/>
      <c r="S448" s="592"/>
      <c r="T448" s="593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731</v>
      </c>
      <c r="AG448" s="75"/>
      <c r="AJ448" s="79" t="s">
        <v>46</v>
      </c>
      <c r="AK448" s="79">
        <v>0</v>
      </c>
      <c r="BB448" s="528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732</v>
      </c>
      <c r="B449" s="60" t="s">
        <v>733</v>
      </c>
      <c r="C449" s="34">
        <v>4301031359</v>
      </c>
      <c r="D449" s="590">
        <v>4607091389500</v>
      </c>
      <c r="E449" s="590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9" s="592"/>
      <c r="R449" s="592"/>
      <c r="S449" s="592"/>
      <c r="T449" s="59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731</v>
      </c>
      <c r="AG449" s="75"/>
      <c r="AJ449" s="79" t="s">
        <v>46</v>
      </c>
      <c r="AK449" s="79">
        <v>0</v>
      </c>
      <c r="BB449" s="530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idden="1" x14ac:dyDescent="0.2">
      <c r="A450" s="597"/>
      <c r="B450" s="597"/>
      <c r="C450" s="597"/>
      <c r="D450" s="597"/>
      <c r="E450" s="597"/>
      <c r="F450" s="597"/>
      <c r="G450" s="597"/>
      <c r="H450" s="597"/>
      <c r="I450" s="597"/>
      <c r="J450" s="597"/>
      <c r="K450" s="597"/>
      <c r="L450" s="597"/>
      <c r="M450" s="597"/>
      <c r="N450" s="597"/>
      <c r="O450" s="598"/>
      <c r="P450" s="594" t="s">
        <v>40</v>
      </c>
      <c r="Q450" s="595"/>
      <c r="R450" s="595"/>
      <c r="S450" s="595"/>
      <c r="T450" s="595"/>
      <c r="U450" s="595"/>
      <c r="V450" s="596"/>
      <c r="W450" s="40" t="s">
        <v>39</v>
      </c>
      <c r="X450" s="41">
        <f>IFERROR(X447/H447,"0")+IFERROR(X448/H448,"0")+IFERROR(X449/H449,"0")</f>
        <v>0</v>
      </c>
      <c r="Y450" s="41">
        <f>IFERROR(Y447/H447,"0")+IFERROR(Y448/H448,"0")+IFERROR(Y449/H449,"0")</f>
        <v>0</v>
      </c>
      <c r="Z450" s="41">
        <f>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597"/>
      <c r="B451" s="597"/>
      <c r="C451" s="597"/>
      <c r="D451" s="597"/>
      <c r="E451" s="597"/>
      <c r="F451" s="597"/>
      <c r="G451" s="597"/>
      <c r="H451" s="597"/>
      <c r="I451" s="597"/>
      <c r="J451" s="597"/>
      <c r="K451" s="597"/>
      <c r="L451" s="597"/>
      <c r="M451" s="597"/>
      <c r="N451" s="597"/>
      <c r="O451" s="598"/>
      <c r="P451" s="594" t="s">
        <v>40</v>
      </c>
      <c r="Q451" s="595"/>
      <c r="R451" s="595"/>
      <c r="S451" s="595"/>
      <c r="T451" s="595"/>
      <c r="U451" s="595"/>
      <c r="V451" s="596"/>
      <c r="W451" s="40" t="s">
        <v>0</v>
      </c>
      <c r="X451" s="41">
        <f>IFERROR(SUM(X447:X449),"0")</f>
        <v>0</v>
      </c>
      <c r="Y451" s="41">
        <f>IFERROR(SUM(Y447:Y449),"0")</f>
        <v>0</v>
      </c>
      <c r="Z451" s="40"/>
      <c r="AA451" s="64"/>
      <c r="AB451" s="64"/>
      <c r="AC451" s="64"/>
    </row>
    <row r="452" spans="1:68" ht="27.75" hidden="1" customHeight="1" x14ac:dyDescent="0.2">
      <c r="A452" s="610" t="s">
        <v>734</v>
      </c>
      <c r="B452" s="610"/>
      <c r="C452" s="610"/>
      <c r="D452" s="610"/>
      <c r="E452" s="610"/>
      <c r="F452" s="610"/>
      <c r="G452" s="610"/>
      <c r="H452" s="610"/>
      <c r="I452" s="610"/>
      <c r="J452" s="610"/>
      <c r="K452" s="610"/>
      <c r="L452" s="610"/>
      <c r="M452" s="610"/>
      <c r="N452" s="610"/>
      <c r="O452" s="610"/>
      <c r="P452" s="610"/>
      <c r="Q452" s="610"/>
      <c r="R452" s="610"/>
      <c r="S452" s="610"/>
      <c r="T452" s="610"/>
      <c r="U452" s="610"/>
      <c r="V452" s="610"/>
      <c r="W452" s="610"/>
      <c r="X452" s="610"/>
      <c r="Y452" s="610"/>
      <c r="Z452" s="610"/>
      <c r="AA452" s="52"/>
      <c r="AB452" s="52"/>
      <c r="AC452" s="52"/>
    </row>
    <row r="453" spans="1:68" ht="16.5" hidden="1" customHeight="1" x14ac:dyDescent="0.25">
      <c r="A453" s="605" t="s">
        <v>734</v>
      </c>
      <c r="B453" s="605"/>
      <c r="C453" s="605"/>
      <c r="D453" s="605"/>
      <c r="E453" s="605"/>
      <c r="F453" s="605"/>
      <c r="G453" s="605"/>
      <c r="H453" s="605"/>
      <c r="I453" s="605"/>
      <c r="J453" s="605"/>
      <c r="K453" s="605"/>
      <c r="L453" s="605"/>
      <c r="M453" s="605"/>
      <c r="N453" s="605"/>
      <c r="O453" s="605"/>
      <c r="P453" s="605"/>
      <c r="Q453" s="605"/>
      <c r="R453" s="605"/>
      <c r="S453" s="605"/>
      <c r="T453" s="605"/>
      <c r="U453" s="605"/>
      <c r="V453" s="605"/>
      <c r="W453" s="605"/>
      <c r="X453" s="605"/>
      <c r="Y453" s="605"/>
      <c r="Z453" s="605"/>
      <c r="AA453" s="62"/>
      <c r="AB453" s="62"/>
      <c r="AC453" s="62"/>
    </row>
    <row r="454" spans="1:68" ht="14.25" hidden="1" customHeight="1" x14ac:dyDescent="0.25">
      <c r="A454" s="589" t="s">
        <v>128</v>
      </c>
      <c r="B454" s="589"/>
      <c r="C454" s="589"/>
      <c r="D454" s="589"/>
      <c r="E454" s="589"/>
      <c r="F454" s="589"/>
      <c r="G454" s="589"/>
      <c r="H454" s="589"/>
      <c r="I454" s="589"/>
      <c r="J454" s="589"/>
      <c r="K454" s="589"/>
      <c r="L454" s="589"/>
      <c r="M454" s="589"/>
      <c r="N454" s="589"/>
      <c r="O454" s="589"/>
      <c r="P454" s="589"/>
      <c r="Q454" s="589"/>
      <c r="R454" s="589"/>
      <c r="S454" s="589"/>
      <c r="T454" s="589"/>
      <c r="U454" s="589"/>
      <c r="V454" s="589"/>
      <c r="W454" s="589"/>
      <c r="X454" s="589"/>
      <c r="Y454" s="589"/>
      <c r="Z454" s="589"/>
      <c r="AA454" s="63"/>
      <c r="AB454" s="63"/>
      <c r="AC454" s="63"/>
    </row>
    <row r="455" spans="1:68" ht="27" hidden="1" customHeight="1" x14ac:dyDescent="0.25">
      <c r="A455" s="60" t="s">
        <v>735</v>
      </c>
      <c r="B455" s="60" t="s">
        <v>736</v>
      </c>
      <c r="C455" s="34">
        <v>4301011769</v>
      </c>
      <c r="D455" s="590">
        <v>4607091389067</v>
      </c>
      <c r="E455" s="590"/>
      <c r="F455" s="59">
        <v>0.88</v>
      </c>
      <c r="G455" s="35">
        <v>6</v>
      </c>
      <c r="H455" s="59">
        <v>5.28</v>
      </c>
      <c r="I455" s="59">
        <v>5.63</v>
      </c>
      <c r="J455" s="35">
        <v>104</v>
      </c>
      <c r="K455" s="35" t="s">
        <v>133</v>
      </c>
      <c r="L455" s="35" t="s">
        <v>46</v>
      </c>
      <c r="M455" s="36" t="s">
        <v>90</v>
      </c>
      <c r="N455" s="36"/>
      <c r="O455" s="35">
        <v>60</v>
      </c>
      <c r="P455" s="6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5" s="592"/>
      <c r="R455" s="592"/>
      <c r="S455" s="592"/>
      <c r="T455" s="593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ref="Y455:Y463" si="67">IFERROR(IF(X455="",0,CEILING((X455/$H455),1)*$H455),"")</f>
        <v>0</v>
      </c>
      <c r="Z455" s="39" t="str">
        <f t="shared" ref="Z455:Z460" si="68">IFERROR(IF(Y455=0,"",ROUNDUP(Y455/H455,0)*0.01196),"")</f>
        <v/>
      </c>
      <c r="AA455" s="65" t="s">
        <v>46</v>
      </c>
      <c r="AB455" s="66" t="s">
        <v>46</v>
      </c>
      <c r="AC455" s="531" t="s">
        <v>131</v>
      </c>
      <c r="AG455" s="75"/>
      <c r="AJ455" s="79" t="s">
        <v>46</v>
      </c>
      <c r="AK455" s="79">
        <v>0</v>
      </c>
      <c r="BB455" s="532" t="s">
        <v>67</v>
      </c>
      <c r="BM455" s="75">
        <f t="shared" ref="BM455:BM463" si="69">IFERROR(X455*I455/H455,"0")</f>
        <v>0</v>
      </c>
      <c r="BN455" s="75">
        <f t="shared" ref="BN455:BN463" si="70">IFERROR(Y455*I455/H455,"0")</f>
        <v>0</v>
      </c>
      <c r="BO455" s="75">
        <f t="shared" ref="BO455:BO463" si="71">IFERROR(1/J455*(X455/H455),"0")</f>
        <v>0</v>
      </c>
      <c r="BP455" s="75">
        <f t="shared" ref="BP455:BP463" si="72">IFERROR(1/J455*(Y455/H455),"0")</f>
        <v>0</v>
      </c>
    </row>
    <row r="456" spans="1:68" ht="27" hidden="1" customHeight="1" x14ac:dyDescent="0.25">
      <c r="A456" s="60" t="s">
        <v>737</v>
      </c>
      <c r="B456" s="60" t="s">
        <v>738</v>
      </c>
      <c r="C456" s="34">
        <v>4301012210</v>
      </c>
      <c r="D456" s="590">
        <v>4607091383522</v>
      </c>
      <c r="E456" s="590"/>
      <c r="F456" s="59">
        <v>0.88</v>
      </c>
      <c r="G456" s="35">
        <v>6</v>
      </c>
      <c r="H456" s="59">
        <v>5.28</v>
      </c>
      <c r="I456" s="59">
        <v>5.63</v>
      </c>
      <c r="J456" s="35">
        <v>104</v>
      </c>
      <c r="K456" s="35" t="s">
        <v>133</v>
      </c>
      <c r="L456" s="35" t="s">
        <v>46</v>
      </c>
      <c r="M456" s="36" t="s">
        <v>132</v>
      </c>
      <c r="N456" s="36"/>
      <c r="O456" s="35">
        <v>60</v>
      </c>
      <c r="P456" s="62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6" s="592"/>
      <c r="R456" s="592"/>
      <c r="S456" s="592"/>
      <c r="T456" s="593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7"/>
        <v>0</v>
      </c>
      <c r="Z456" s="39" t="str">
        <f t="shared" si="68"/>
        <v/>
      </c>
      <c r="AA456" s="65" t="s">
        <v>46</v>
      </c>
      <c r="AB456" s="66" t="s">
        <v>46</v>
      </c>
      <c r="AC456" s="533" t="s">
        <v>739</v>
      </c>
      <c r="AG456" s="75"/>
      <c r="AJ456" s="79" t="s">
        <v>46</v>
      </c>
      <c r="AK456" s="79">
        <v>0</v>
      </c>
      <c r="BB456" s="534" t="s">
        <v>67</v>
      </c>
      <c r="BM456" s="75">
        <f t="shared" si="69"/>
        <v>0</v>
      </c>
      <c r="BN456" s="75">
        <f t="shared" si="70"/>
        <v>0</v>
      </c>
      <c r="BO456" s="75">
        <f t="shared" si="71"/>
        <v>0</v>
      </c>
      <c r="BP456" s="75">
        <f t="shared" si="72"/>
        <v>0</v>
      </c>
    </row>
    <row r="457" spans="1:68" ht="27" hidden="1" customHeight="1" x14ac:dyDescent="0.25">
      <c r="A457" s="60" t="s">
        <v>740</v>
      </c>
      <c r="B457" s="60" t="s">
        <v>741</v>
      </c>
      <c r="C457" s="34">
        <v>4301011961</v>
      </c>
      <c r="D457" s="590">
        <v>4680115885271</v>
      </c>
      <c r="E457" s="590"/>
      <c r="F457" s="59">
        <v>0.88</v>
      </c>
      <c r="G457" s="35">
        <v>6</v>
      </c>
      <c r="H457" s="59">
        <v>5.28</v>
      </c>
      <c r="I457" s="59">
        <v>5.63</v>
      </c>
      <c r="J457" s="35">
        <v>104</v>
      </c>
      <c r="K457" s="35" t="s">
        <v>133</v>
      </c>
      <c r="L457" s="35" t="s">
        <v>46</v>
      </c>
      <c r="M457" s="36" t="s">
        <v>132</v>
      </c>
      <c r="N457" s="36"/>
      <c r="O457" s="35">
        <v>60</v>
      </c>
      <c r="P457" s="62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57" s="592"/>
      <c r="R457" s="592"/>
      <c r="S457" s="592"/>
      <c r="T457" s="593"/>
      <c r="U457" s="37" t="s">
        <v>46</v>
      </c>
      <c r="V457" s="37" t="s">
        <v>46</v>
      </c>
      <c r="W457" s="38" t="s">
        <v>0</v>
      </c>
      <c r="X457" s="56">
        <v>0</v>
      </c>
      <c r="Y457" s="53">
        <f t="shared" si="67"/>
        <v>0</v>
      </c>
      <c r="Z457" s="39" t="str">
        <f t="shared" si="68"/>
        <v/>
      </c>
      <c r="AA457" s="65" t="s">
        <v>46</v>
      </c>
      <c r="AB457" s="66" t="s">
        <v>46</v>
      </c>
      <c r="AC457" s="535" t="s">
        <v>742</v>
      </c>
      <c r="AG457" s="75"/>
      <c r="AJ457" s="79" t="s">
        <v>46</v>
      </c>
      <c r="AK457" s="79">
        <v>0</v>
      </c>
      <c r="BB457" s="536" t="s">
        <v>67</v>
      </c>
      <c r="BM457" s="75">
        <f t="shared" si="69"/>
        <v>0</v>
      </c>
      <c r="BN457" s="75">
        <f t="shared" si="70"/>
        <v>0</v>
      </c>
      <c r="BO457" s="75">
        <f t="shared" si="71"/>
        <v>0</v>
      </c>
      <c r="BP457" s="75">
        <f t="shared" si="72"/>
        <v>0</v>
      </c>
    </row>
    <row r="458" spans="1:68" ht="27" hidden="1" customHeight="1" x14ac:dyDescent="0.25">
      <c r="A458" s="60" t="s">
        <v>743</v>
      </c>
      <c r="B458" s="60" t="s">
        <v>744</v>
      </c>
      <c r="C458" s="34">
        <v>4301011369</v>
      </c>
      <c r="D458" s="590">
        <v>4680115885226</v>
      </c>
      <c r="E458" s="590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132</v>
      </c>
      <c r="N458" s="36"/>
      <c r="O458" s="35">
        <v>60</v>
      </c>
      <c r="P458" s="63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8" s="592"/>
      <c r="R458" s="592"/>
      <c r="S458" s="592"/>
      <c r="T458" s="593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si="67"/>
        <v>0</v>
      </c>
      <c r="Z458" s="39" t="str">
        <f t="shared" si="68"/>
        <v/>
      </c>
      <c r="AA458" s="65" t="s">
        <v>46</v>
      </c>
      <c r="AB458" s="66" t="s">
        <v>46</v>
      </c>
      <c r="AC458" s="537" t="s">
        <v>745</v>
      </c>
      <c r="AG458" s="75"/>
      <c r="AJ458" s="79" t="s">
        <v>46</v>
      </c>
      <c r="AK458" s="79">
        <v>0</v>
      </c>
      <c r="BB458" s="538" t="s">
        <v>67</v>
      </c>
      <c r="BM458" s="75">
        <f t="shared" si="69"/>
        <v>0</v>
      </c>
      <c r="BN458" s="75">
        <f t="shared" si="70"/>
        <v>0</v>
      </c>
      <c r="BO458" s="75">
        <f t="shared" si="71"/>
        <v>0</v>
      </c>
      <c r="BP458" s="75">
        <f t="shared" si="72"/>
        <v>0</v>
      </c>
    </row>
    <row r="459" spans="1:68" ht="16.5" hidden="1" customHeight="1" x14ac:dyDescent="0.25">
      <c r="A459" s="60" t="s">
        <v>746</v>
      </c>
      <c r="B459" s="60" t="s">
        <v>747</v>
      </c>
      <c r="C459" s="34">
        <v>4301011797</v>
      </c>
      <c r="D459" s="590">
        <v>4680115884502</v>
      </c>
      <c r="E459" s="590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90</v>
      </c>
      <c r="N459" s="36"/>
      <c r="O459" s="35">
        <v>60</v>
      </c>
      <c r="P459" s="6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9" s="592"/>
      <c r="R459" s="592"/>
      <c r="S459" s="592"/>
      <c r="T459" s="593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748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749</v>
      </c>
      <c r="B460" s="60" t="s">
        <v>750</v>
      </c>
      <c r="C460" s="34">
        <v>4301011771</v>
      </c>
      <c r="D460" s="590">
        <v>4607091389104</v>
      </c>
      <c r="E460" s="590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6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0" s="592"/>
      <c r="R460" s="592"/>
      <c r="S460" s="592"/>
      <c r="T460" s="593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751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752</v>
      </c>
      <c r="B461" s="60" t="s">
        <v>753</v>
      </c>
      <c r="C461" s="34">
        <v>4301012125</v>
      </c>
      <c r="D461" s="590">
        <v>4680115886391</v>
      </c>
      <c r="E461" s="590"/>
      <c r="F461" s="59">
        <v>0.4</v>
      </c>
      <c r="G461" s="35">
        <v>6</v>
      </c>
      <c r="H461" s="59">
        <v>2.4</v>
      </c>
      <c r="I461" s="59">
        <v>2.58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60</v>
      </c>
      <c r="P461" s="62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1" s="592"/>
      <c r="R461" s="592"/>
      <c r="S461" s="592"/>
      <c r="T461" s="593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3" t="s">
        <v>131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27" hidden="1" customHeight="1" x14ac:dyDescent="0.25">
      <c r="A462" s="60" t="s">
        <v>754</v>
      </c>
      <c r="B462" s="60" t="s">
        <v>755</v>
      </c>
      <c r="C462" s="34">
        <v>4301012048</v>
      </c>
      <c r="D462" s="590">
        <v>4680115880603</v>
      </c>
      <c r="E462" s="590"/>
      <c r="F462" s="59">
        <v>0.6</v>
      </c>
      <c r="G462" s="35">
        <v>8</v>
      </c>
      <c r="H462" s="59">
        <v>4.8</v>
      </c>
      <c r="I462" s="59">
        <v>6.91</v>
      </c>
      <c r="J462" s="35">
        <v>132</v>
      </c>
      <c r="K462" s="35" t="s">
        <v>140</v>
      </c>
      <c r="L462" s="35" t="s">
        <v>46</v>
      </c>
      <c r="M462" s="36" t="s">
        <v>90</v>
      </c>
      <c r="N462" s="36"/>
      <c r="O462" s="35">
        <v>60</v>
      </c>
      <c r="P462" s="6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2" s="592"/>
      <c r="R462" s="592"/>
      <c r="S462" s="592"/>
      <c r="T462" s="593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45" t="s">
        <v>131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4301012034</v>
      </c>
      <c r="D463" s="590">
        <v>4607091389982</v>
      </c>
      <c r="E463" s="590"/>
      <c r="F463" s="59">
        <v>0.6</v>
      </c>
      <c r="G463" s="35">
        <v>8</v>
      </c>
      <c r="H463" s="59">
        <v>4.8</v>
      </c>
      <c r="I463" s="59">
        <v>6.91</v>
      </c>
      <c r="J463" s="35">
        <v>132</v>
      </c>
      <c r="K463" s="35" t="s">
        <v>140</v>
      </c>
      <c r="L463" s="35" t="s">
        <v>46</v>
      </c>
      <c r="M463" s="36" t="s">
        <v>132</v>
      </c>
      <c r="N463" s="36"/>
      <c r="O463" s="35">
        <v>60</v>
      </c>
      <c r="P463" s="6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3" s="592"/>
      <c r="R463" s="592"/>
      <c r="S463" s="592"/>
      <c r="T463" s="593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47" t="s">
        <v>751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idden="1" x14ac:dyDescent="0.2">
      <c r="A464" s="597"/>
      <c r="B464" s="597"/>
      <c r="C464" s="597"/>
      <c r="D464" s="597"/>
      <c r="E464" s="597"/>
      <c r="F464" s="597"/>
      <c r="G464" s="597"/>
      <c r="H464" s="597"/>
      <c r="I464" s="597"/>
      <c r="J464" s="597"/>
      <c r="K464" s="597"/>
      <c r="L464" s="597"/>
      <c r="M464" s="597"/>
      <c r="N464" s="597"/>
      <c r="O464" s="598"/>
      <c r="P464" s="594" t="s">
        <v>40</v>
      </c>
      <c r="Q464" s="595"/>
      <c r="R464" s="595"/>
      <c r="S464" s="595"/>
      <c r="T464" s="595"/>
      <c r="U464" s="595"/>
      <c r="V464" s="596"/>
      <c r="W464" s="40" t="s">
        <v>39</v>
      </c>
      <c r="X464" s="41">
        <f>IFERROR(X455/H455,"0")+IFERROR(X456/H456,"0")+IFERROR(X457/H457,"0")+IFERROR(X458/H458,"0")+IFERROR(X459/H459,"0")+IFERROR(X460/H460,"0")+IFERROR(X461/H461,"0")+IFERROR(X462/H462,"0")+IFERROR(X463/H463,"0")</f>
        <v>0</v>
      </c>
      <c r="Y464" s="41">
        <f>IFERROR(Y455/H455,"0")+IFERROR(Y456/H456,"0")+IFERROR(Y457/H457,"0")+IFERROR(Y458/H458,"0")+IFERROR(Y459/H459,"0")+IFERROR(Y460/H460,"0")+IFERROR(Y461/H461,"0")+IFERROR(Y462/H462,"0")+IFERROR(Y463/H463,"0")</f>
        <v>0</v>
      </c>
      <c r="Z464" s="41">
        <f>IFERROR(IF(Z455="",0,Z455),"0")+IFERROR(IF(Z456="",0,Z456),"0")+IFERROR(IF(Z457="",0,Z457),"0")+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97"/>
      <c r="B465" s="597"/>
      <c r="C465" s="597"/>
      <c r="D465" s="597"/>
      <c r="E465" s="597"/>
      <c r="F465" s="597"/>
      <c r="G465" s="597"/>
      <c r="H465" s="597"/>
      <c r="I465" s="597"/>
      <c r="J465" s="597"/>
      <c r="K465" s="597"/>
      <c r="L465" s="597"/>
      <c r="M465" s="597"/>
      <c r="N465" s="597"/>
      <c r="O465" s="598"/>
      <c r="P465" s="594" t="s">
        <v>40</v>
      </c>
      <c r="Q465" s="595"/>
      <c r="R465" s="595"/>
      <c r="S465" s="595"/>
      <c r="T465" s="595"/>
      <c r="U465" s="595"/>
      <c r="V465" s="596"/>
      <c r="W465" s="40" t="s">
        <v>0</v>
      </c>
      <c r="X465" s="41">
        <f>IFERROR(SUM(X455:X463),"0")</f>
        <v>0</v>
      </c>
      <c r="Y465" s="41">
        <f>IFERROR(SUM(Y455:Y463),"0")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89" t="s">
        <v>163</v>
      </c>
      <c r="B466" s="589"/>
      <c r="C466" s="589"/>
      <c r="D466" s="589"/>
      <c r="E466" s="589"/>
      <c r="F466" s="589"/>
      <c r="G466" s="589"/>
      <c r="H466" s="589"/>
      <c r="I466" s="589"/>
      <c r="J466" s="589"/>
      <c r="K466" s="589"/>
      <c r="L466" s="589"/>
      <c r="M466" s="589"/>
      <c r="N466" s="589"/>
      <c r="O466" s="589"/>
      <c r="P466" s="589"/>
      <c r="Q466" s="589"/>
      <c r="R466" s="589"/>
      <c r="S466" s="589"/>
      <c r="T466" s="589"/>
      <c r="U466" s="589"/>
      <c r="V466" s="589"/>
      <c r="W466" s="589"/>
      <c r="X466" s="589"/>
      <c r="Y466" s="589"/>
      <c r="Z466" s="589"/>
      <c r="AA466" s="63"/>
      <c r="AB466" s="63"/>
      <c r="AC466" s="63"/>
    </row>
    <row r="467" spans="1:68" ht="16.5" hidden="1" customHeight="1" x14ac:dyDescent="0.25">
      <c r="A467" s="60" t="s">
        <v>758</v>
      </c>
      <c r="B467" s="60" t="s">
        <v>759</v>
      </c>
      <c r="C467" s="34">
        <v>4301020334</v>
      </c>
      <c r="D467" s="590">
        <v>4607091388930</v>
      </c>
      <c r="E467" s="590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133</v>
      </c>
      <c r="L467" s="35" t="s">
        <v>46</v>
      </c>
      <c r="M467" s="36" t="s">
        <v>90</v>
      </c>
      <c r="N467" s="36"/>
      <c r="O467" s="35">
        <v>70</v>
      </c>
      <c r="P467" s="6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7" s="592"/>
      <c r="R467" s="592"/>
      <c r="S467" s="592"/>
      <c r="T467" s="593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IFERROR(IF(Y467=0,"",ROUNDUP(Y467/H467,0)*0.01196),"")</f>
        <v/>
      </c>
      <c r="AA467" s="65" t="s">
        <v>46</v>
      </c>
      <c r="AB467" s="66" t="s">
        <v>46</v>
      </c>
      <c r="AC467" s="549" t="s">
        <v>760</v>
      </c>
      <c r="AG467" s="75"/>
      <c r="AJ467" s="79" t="s">
        <v>46</v>
      </c>
      <c r="AK467" s="79">
        <v>0</v>
      </c>
      <c r="BB467" s="550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16.5" hidden="1" customHeight="1" x14ac:dyDescent="0.25">
      <c r="A468" s="60" t="s">
        <v>761</v>
      </c>
      <c r="B468" s="60" t="s">
        <v>762</v>
      </c>
      <c r="C468" s="34">
        <v>4301020374</v>
      </c>
      <c r="D468" s="590">
        <v>4680115886407</v>
      </c>
      <c r="E468" s="590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132</v>
      </c>
      <c r="N468" s="36"/>
      <c r="O468" s="35">
        <v>70</v>
      </c>
      <c r="P468" s="6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8" s="592"/>
      <c r="R468" s="592"/>
      <c r="S468" s="592"/>
      <c r="T468" s="593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1" t="s">
        <v>760</v>
      </c>
      <c r="AG468" s="75"/>
      <c r="AJ468" s="79" t="s">
        <v>46</v>
      </c>
      <c r="AK468" s="79">
        <v>0</v>
      </c>
      <c r="BB468" s="552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16.5" hidden="1" customHeight="1" x14ac:dyDescent="0.25">
      <c r="A469" s="60" t="s">
        <v>763</v>
      </c>
      <c r="B469" s="60" t="s">
        <v>764</v>
      </c>
      <c r="C469" s="34">
        <v>4301020385</v>
      </c>
      <c r="D469" s="590">
        <v>4680115880054</v>
      </c>
      <c r="E469" s="590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140</v>
      </c>
      <c r="L469" s="35" t="s">
        <v>46</v>
      </c>
      <c r="M469" s="36" t="s">
        <v>132</v>
      </c>
      <c r="N469" s="36"/>
      <c r="O469" s="35">
        <v>70</v>
      </c>
      <c r="P469" s="6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9" s="592"/>
      <c r="R469" s="592"/>
      <c r="S469" s="592"/>
      <c r="T469" s="593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3" t="s">
        <v>760</v>
      </c>
      <c r="AG469" s="75"/>
      <c r="AJ469" s="79" t="s">
        <v>46</v>
      </c>
      <c r="AK469" s="79">
        <v>0</v>
      </c>
      <c r="BB469" s="554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597"/>
      <c r="B470" s="597"/>
      <c r="C470" s="597"/>
      <c r="D470" s="597"/>
      <c r="E470" s="597"/>
      <c r="F470" s="597"/>
      <c r="G470" s="597"/>
      <c r="H470" s="597"/>
      <c r="I470" s="597"/>
      <c r="J470" s="597"/>
      <c r="K470" s="597"/>
      <c r="L470" s="597"/>
      <c r="M470" s="597"/>
      <c r="N470" s="597"/>
      <c r="O470" s="598"/>
      <c r="P470" s="594" t="s">
        <v>40</v>
      </c>
      <c r="Q470" s="595"/>
      <c r="R470" s="595"/>
      <c r="S470" s="595"/>
      <c r="T470" s="595"/>
      <c r="U470" s="595"/>
      <c r="V470" s="596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597"/>
      <c r="B471" s="597"/>
      <c r="C471" s="597"/>
      <c r="D471" s="597"/>
      <c r="E471" s="597"/>
      <c r="F471" s="597"/>
      <c r="G471" s="597"/>
      <c r="H471" s="597"/>
      <c r="I471" s="597"/>
      <c r="J471" s="597"/>
      <c r="K471" s="597"/>
      <c r="L471" s="597"/>
      <c r="M471" s="597"/>
      <c r="N471" s="597"/>
      <c r="O471" s="598"/>
      <c r="P471" s="594" t="s">
        <v>40</v>
      </c>
      <c r="Q471" s="595"/>
      <c r="R471" s="595"/>
      <c r="S471" s="595"/>
      <c r="T471" s="595"/>
      <c r="U471" s="595"/>
      <c r="V471" s="596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589" t="s">
        <v>77</v>
      </c>
      <c r="B472" s="589"/>
      <c r="C472" s="589"/>
      <c r="D472" s="589"/>
      <c r="E472" s="589"/>
      <c r="F472" s="589"/>
      <c r="G472" s="589"/>
      <c r="H472" s="589"/>
      <c r="I472" s="589"/>
      <c r="J472" s="589"/>
      <c r="K472" s="589"/>
      <c r="L472" s="589"/>
      <c r="M472" s="589"/>
      <c r="N472" s="589"/>
      <c r="O472" s="589"/>
      <c r="P472" s="589"/>
      <c r="Q472" s="589"/>
      <c r="R472" s="589"/>
      <c r="S472" s="589"/>
      <c r="T472" s="589"/>
      <c r="U472" s="589"/>
      <c r="V472" s="589"/>
      <c r="W472" s="589"/>
      <c r="X472" s="589"/>
      <c r="Y472" s="589"/>
      <c r="Z472" s="589"/>
      <c r="AA472" s="63"/>
      <c r="AB472" s="63"/>
      <c r="AC472" s="63"/>
    </row>
    <row r="473" spans="1:68" ht="27" hidden="1" customHeight="1" x14ac:dyDescent="0.25">
      <c r="A473" s="60" t="s">
        <v>765</v>
      </c>
      <c r="B473" s="60" t="s">
        <v>766</v>
      </c>
      <c r="C473" s="34">
        <v>4301031349</v>
      </c>
      <c r="D473" s="590">
        <v>4680115883116</v>
      </c>
      <c r="E473" s="590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70</v>
      </c>
      <c r="P473" s="6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3" s="592"/>
      <c r="R473" s="592"/>
      <c r="S473" s="592"/>
      <c r="T473" s="593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9" si="73">IFERROR(IF(X473="",0,CEILING((X473/$H473),1)*$H473),"")</f>
        <v>0</v>
      </c>
      <c r="Z473" s="39" t="str">
        <f>IFERROR(IF(Y473=0,"",ROUNDUP(Y473/H473,0)*0.01196),"")</f>
        <v/>
      </c>
      <c r="AA473" s="65" t="s">
        <v>46</v>
      </c>
      <c r="AB473" s="66" t="s">
        <v>46</v>
      </c>
      <c r="AC473" s="555" t="s">
        <v>767</v>
      </c>
      <c r="AG473" s="75"/>
      <c r="AJ473" s="79" t="s">
        <v>46</v>
      </c>
      <c r="AK473" s="79">
        <v>0</v>
      </c>
      <c r="BB473" s="556" t="s">
        <v>67</v>
      </c>
      <c r="BM473" s="75">
        <f t="shared" ref="BM473:BM479" si="74">IFERROR(X473*I473/H473,"0")</f>
        <v>0</v>
      </c>
      <c r="BN473" s="75">
        <f t="shared" ref="BN473:BN479" si="75">IFERROR(Y473*I473/H473,"0")</f>
        <v>0</v>
      </c>
      <c r="BO473" s="75">
        <f t="shared" ref="BO473:BO479" si="76">IFERROR(1/J473*(X473/H473),"0")</f>
        <v>0</v>
      </c>
      <c r="BP473" s="75">
        <f t="shared" ref="BP473:BP479" si="77">IFERROR(1/J473*(Y473/H473),"0")</f>
        <v>0</v>
      </c>
    </row>
    <row r="474" spans="1:68" ht="27" hidden="1" customHeight="1" x14ac:dyDescent="0.25">
      <c r="A474" s="60" t="s">
        <v>768</v>
      </c>
      <c r="B474" s="60" t="s">
        <v>769</v>
      </c>
      <c r="C474" s="34">
        <v>4301031350</v>
      </c>
      <c r="D474" s="590">
        <v>4680115883093</v>
      </c>
      <c r="E474" s="59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81</v>
      </c>
      <c r="N474" s="36"/>
      <c r="O474" s="35">
        <v>70</v>
      </c>
      <c r="P474" s="6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4" s="592"/>
      <c r="R474" s="592"/>
      <c r="S474" s="592"/>
      <c r="T474" s="59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57" t="s">
        <v>770</v>
      </c>
      <c r="AG474" s="75"/>
      <c r="AJ474" s="79" t="s">
        <v>46</v>
      </c>
      <c r="AK474" s="79">
        <v>0</v>
      </c>
      <c r="BB474" s="558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771</v>
      </c>
      <c r="B475" s="60" t="s">
        <v>772</v>
      </c>
      <c r="C475" s="34">
        <v>4301031353</v>
      </c>
      <c r="D475" s="590">
        <v>4680115883109</v>
      </c>
      <c r="E475" s="590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81</v>
      </c>
      <c r="N475" s="36"/>
      <c r="O475" s="35">
        <v>70</v>
      </c>
      <c r="P475" s="6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5" s="592"/>
      <c r="R475" s="592"/>
      <c r="S475" s="592"/>
      <c r="T475" s="59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IFERROR(IF(Y475=0,"",ROUNDUP(Y475/H475,0)*0.01196),"")</f>
        <v/>
      </c>
      <c r="AA475" s="65" t="s">
        <v>46</v>
      </c>
      <c r="AB475" s="66" t="s">
        <v>46</v>
      </c>
      <c r="AC475" s="559" t="s">
        <v>773</v>
      </c>
      <c r="AG475" s="75"/>
      <c r="AJ475" s="79" t="s">
        <v>46</v>
      </c>
      <c r="AK475" s="79">
        <v>0</v>
      </c>
      <c r="BB475" s="560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customHeight="1" x14ac:dyDescent="0.25">
      <c r="A476" s="60" t="s">
        <v>774</v>
      </c>
      <c r="B476" s="60" t="s">
        <v>775</v>
      </c>
      <c r="C476" s="34">
        <v>4301031419</v>
      </c>
      <c r="D476" s="590">
        <v>4680115882072</v>
      </c>
      <c r="E476" s="590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140</v>
      </c>
      <c r="L476" s="35" t="s">
        <v>46</v>
      </c>
      <c r="M476" s="36" t="s">
        <v>132</v>
      </c>
      <c r="N476" s="36"/>
      <c r="O476" s="35">
        <v>70</v>
      </c>
      <c r="P476" s="6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6" s="592"/>
      <c r="R476" s="592"/>
      <c r="S476" s="592"/>
      <c r="T476" s="593"/>
      <c r="U476" s="37" t="s">
        <v>46</v>
      </c>
      <c r="V476" s="37" t="s">
        <v>46</v>
      </c>
      <c r="W476" s="38" t="s">
        <v>0</v>
      </c>
      <c r="X476" s="56">
        <v>14.4</v>
      </c>
      <c r="Y476" s="53">
        <f t="shared" si="73"/>
        <v>14.399999999999999</v>
      </c>
      <c r="Z476" s="39">
        <f>IFERROR(IF(Y476=0,"",ROUNDUP(Y476/H476,0)*0.00902),"")</f>
        <v>2.7060000000000001E-2</v>
      </c>
      <c r="AA476" s="65" t="s">
        <v>46</v>
      </c>
      <c r="AB476" s="66" t="s">
        <v>46</v>
      </c>
      <c r="AC476" s="561" t="s">
        <v>767</v>
      </c>
      <c r="AG476" s="75"/>
      <c r="AJ476" s="79" t="s">
        <v>46</v>
      </c>
      <c r="AK476" s="79">
        <v>0</v>
      </c>
      <c r="BB476" s="562" t="s">
        <v>67</v>
      </c>
      <c r="BM476" s="75">
        <f t="shared" si="74"/>
        <v>20.73</v>
      </c>
      <c r="BN476" s="75">
        <f t="shared" si="75"/>
        <v>20.73</v>
      </c>
      <c r="BO476" s="75">
        <f t="shared" si="76"/>
        <v>2.2727272727272728E-2</v>
      </c>
      <c r="BP476" s="75">
        <f t="shared" si="77"/>
        <v>2.2727272727272728E-2</v>
      </c>
    </row>
    <row r="477" spans="1:68" ht="27" hidden="1" customHeight="1" x14ac:dyDescent="0.25">
      <c r="A477" s="60" t="s">
        <v>776</v>
      </c>
      <c r="B477" s="60" t="s">
        <v>777</v>
      </c>
      <c r="C477" s="34">
        <v>4301031352</v>
      </c>
      <c r="D477" s="590">
        <v>4680115882102</v>
      </c>
      <c r="E477" s="590"/>
      <c r="F477" s="59">
        <v>0.6</v>
      </c>
      <c r="G477" s="35">
        <v>6</v>
      </c>
      <c r="H477" s="59">
        <v>3.6</v>
      </c>
      <c r="I477" s="59">
        <v>3.79</v>
      </c>
      <c r="J477" s="35">
        <v>132</v>
      </c>
      <c r="K477" s="35" t="s">
        <v>140</v>
      </c>
      <c r="L477" s="35" t="s">
        <v>46</v>
      </c>
      <c r="M477" s="36" t="s">
        <v>81</v>
      </c>
      <c r="N477" s="36"/>
      <c r="O477" s="35">
        <v>70</v>
      </c>
      <c r="P477" s="6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7" s="592"/>
      <c r="R477" s="592"/>
      <c r="S477" s="592"/>
      <c r="T477" s="59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3" t="s">
        <v>770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customHeight="1" x14ac:dyDescent="0.25">
      <c r="A478" s="60" t="s">
        <v>776</v>
      </c>
      <c r="B478" s="60" t="s">
        <v>778</v>
      </c>
      <c r="C478" s="34">
        <v>4301031418</v>
      </c>
      <c r="D478" s="590">
        <v>4680115882102</v>
      </c>
      <c r="E478" s="590"/>
      <c r="F478" s="59">
        <v>0.6</v>
      </c>
      <c r="G478" s="35">
        <v>8</v>
      </c>
      <c r="H478" s="59">
        <v>4.8</v>
      </c>
      <c r="I478" s="59">
        <v>6.67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70</v>
      </c>
      <c r="P478" s="61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8" s="592"/>
      <c r="R478" s="592"/>
      <c r="S478" s="592"/>
      <c r="T478" s="593"/>
      <c r="U478" s="37" t="s">
        <v>46</v>
      </c>
      <c r="V478" s="37" t="s">
        <v>46</v>
      </c>
      <c r="W478" s="38" t="s">
        <v>0</v>
      </c>
      <c r="X478" s="56">
        <v>7.2</v>
      </c>
      <c r="Y478" s="53">
        <f t="shared" si="73"/>
        <v>9.6</v>
      </c>
      <c r="Z478" s="39">
        <f>IFERROR(IF(Y478=0,"",ROUNDUP(Y478/H478,0)*0.00902),"")</f>
        <v>1.804E-2</v>
      </c>
      <c r="AA478" s="65" t="s">
        <v>46</v>
      </c>
      <c r="AB478" s="66" t="s">
        <v>46</v>
      </c>
      <c r="AC478" s="565" t="s">
        <v>770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10.005000000000001</v>
      </c>
      <c r="BN478" s="75">
        <f t="shared" si="75"/>
        <v>13.34</v>
      </c>
      <c r="BO478" s="75">
        <f t="shared" si="76"/>
        <v>1.1363636363636364E-2</v>
      </c>
      <c r="BP478" s="75">
        <f t="shared" si="77"/>
        <v>1.5151515151515152E-2</v>
      </c>
    </row>
    <row r="479" spans="1:68" ht="27" hidden="1" customHeight="1" x14ac:dyDescent="0.25">
      <c r="A479" s="60" t="s">
        <v>779</v>
      </c>
      <c r="B479" s="60" t="s">
        <v>780</v>
      </c>
      <c r="C479" s="34">
        <v>4301031417</v>
      </c>
      <c r="D479" s="590">
        <v>4680115882096</v>
      </c>
      <c r="E479" s="590"/>
      <c r="F479" s="59">
        <v>0.6</v>
      </c>
      <c r="G479" s="35">
        <v>8</v>
      </c>
      <c r="H479" s="59">
        <v>4.8</v>
      </c>
      <c r="I479" s="59">
        <v>6.67</v>
      </c>
      <c r="J479" s="35">
        <v>132</v>
      </c>
      <c r="K479" s="35" t="s">
        <v>140</v>
      </c>
      <c r="L479" s="35" t="s">
        <v>46</v>
      </c>
      <c r="M479" s="36" t="s">
        <v>81</v>
      </c>
      <c r="N479" s="36"/>
      <c r="O479" s="35">
        <v>70</v>
      </c>
      <c r="P479" s="61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9" s="592"/>
      <c r="R479" s="592"/>
      <c r="S479" s="592"/>
      <c r="T479" s="59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773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x14ac:dyDescent="0.2">
      <c r="A480" s="597"/>
      <c r="B480" s="597"/>
      <c r="C480" s="597"/>
      <c r="D480" s="597"/>
      <c r="E480" s="597"/>
      <c r="F480" s="597"/>
      <c r="G480" s="597"/>
      <c r="H480" s="597"/>
      <c r="I480" s="597"/>
      <c r="J480" s="597"/>
      <c r="K480" s="597"/>
      <c r="L480" s="597"/>
      <c r="M480" s="597"/>
      <c r="N480" s="597"/>
      <c r="O480" s="598"/>
      <c r="P480" s="594" t="s">
        <v>40</v>
      </c>
      <c r="Q480" s="595"/>
      <c r="R480" s="595"/>
      <c r="S480" s="595"/>
      <c r="T480" s="595"/>
      <c r="U480" s="595"/>
      <c r="V480" s="596"/>
      <c r="W480" s="40" t="s">
        <v>39</v>
      </c>
      <c r="X480" s="41">
        <f>IFERROR(X473/H473,"0")+IFERROR(X474/H474,"0")+IFERROR(X475/H475,"0")+IFERROR(X476/H476,"0")+IFERROR(X477/H477,"0")+IFERROR(X478/H478,"0")+IFERROR(X479/H479,"0")</f>
        <v>4.5</v>
      </c>
      <c r="Y480" s="41">
        <f>IFERROR(Y473/H473,"0")+IFERROR(Y474/H474,"0")+IFERROR(Y475/H475,"0")+IFERROR(Y476/H476,"0")+IFERROR(Y477/H477,"0")+IFERROR(Y478/H478,"0")+IFERROR(Y479/H479,"0")</f>
        <v>5</v>
      </c>
      <c r="Z480" s="41">
        <f>IFERROR(IF(Z473="",0,Z473),"0")+IFERROR(IF(Z474="",0,Z474),"0")+IFERROR(IF(Z475="",0,Z475),"0")+IFERROR(IF(Z476="",0,Z476),"0")+IFERROR(IF(Z477="",0,Z477),"0")+IFERROR(IF(Z478="",0,Z478),"0")+IFERROR(IF(Z479="",0,Z479),"0")</f>
        <v>4.5100000000000001E-2</v>
      </c>
      <c r="AA480" s="64"/>
      <c r="AB480" s="64"/>
      <c r="AC480" s="64"/>
    </row>
    <row r="481" spans="1:68" x14ac:dyDescent="0.2">
      <c r="A481" s="597"/>
      <c r="B481" s="597"/>
      <c r="C481" s="597"/>
      <c r="D481" s="597"/>
      <c r="E481" s="597"/>
      <c r="F481" s="597"/>
      <c r="G481" s="597"/>
      <c r="H481" s="597"/>
      <c r="I481" s="597"/>
      <c r="J481" s="597"/>
      <c r="K481" s="597"/>
      <c r="L481" s="597"/>
      <c r="M481" s="597"/>
      <c r="N481" s="597"/>
      <c r="O481" s="598"/>
      <c r="P481" s="594" t="s">
        <v>40</v>
      </c>
      <c r="Q481" s="595"/>
      <c r="R481" s="595"/>
      <c r="S481" s="595"/>
      <c r="T481" s="595"/>
      <c r="U481" s="595"/>
      <c r="V481" s="596"/>
      <c r="W481" s="40" t="s">
        <v>0</v>
      </c>
      <c r="X481" s="41">
        <f>IFERROR(SUM(X473:X479),"0")</f>
        <v>21.6</v>
      </c>
      <c r="Y481" s="41">
        <f>IFERROR(SUM(Y473:Y479),"0")</f>
        <v>24</v>
      </c>
      <c r="Z481" s="40"/>
      <c r="AA481" s="64"/>
      <c r="AB481" s="64"/>
      <c r="AC481" s="64"/>
    </row>
    <row r="482" spans="1:68" ht="27.75" hidden="1" customHeight="1" x14ac:dyDescent="0.2">
      <c r="A482" s="610" t="s">
        <v>781</v>
      </c>
      <c r="B482" s="610"/>
      <c r="C482" s="610"/>
      <c r="D482" s="610"/>
      <c r="E482" s="610"/>
      <c r="F482" s="610"/>
      <c r="G482" s="610"/>
      <c r="H482" s="610"/>
      <c r="I482" s="610"/>
      <c r="J482" s="610"/>
      <c r="K482" s="610"/>
      <c r="L482" s="610"/>
      <c r="M482" s="610"/>
      <c r="N482" s="610"/>
      <c r="O482" s="610"/>
      <c r="P482" s="610"/>
      <c r="Q482" s="610"/>
      <c r="R482" s="610"/>
      <c r="S482" s="610"/>
      <c r="T482" s="610"/>
      <c r="U482" s="610"/>
      <c r="V482" s="610"/>
      <c r="W482" s="610"/>
      <c r="X482" s="610"/>
      <c r="Y482" s="610"/>
      <c r="Z482" s="610"/>
      <c r="AA482" s="52"/>
      <c r="AB482" s="52"/>
      <c r="AC482" s="52"/>
    </row>
    <row r="483" spans="1:68" ht="16.5" hidden="1" customHeight="1" x14ac:dyDescent="0.25">
      <c r="A483" s="605" t="s">
        <v>781</v>
      </c>
      <c r="B483" s="605"/>
      <c r="C483" s="605"/>
      <c r="D483" s="605"/>
      <c r="E483" s="605"/>
      <c r="F483" s="605"/>
      <c r="G483" s="605"/>
      <c r="H483" s="605"/>
      <c r="I483" s="605"/>
      <c r="J483" s="605"/>
      <c r="K483" s="605"/>
      <c r="L483" s="605"/>
      <c r="M483" s="605"/>
      <c r="N483" s="605"/>
      <c r="O483" s="605"/>
      <c r="P483" s="605"/>
      <c r="Q483" s="605"/>
      <c r="R483" s="605"/>
      <c r="S483" s="605"/>
      <c r="T483" s="605"/>
      <c r="U483" s="605"/>
      <c r="V483" s="605"/>
      <c r="W483" s="605"/>
      <c r="X483" s="605"/>
      <c r="Y483" s="605"/>
      <c r="Z483" s="605"/>
      <c r="AA483" s="62"/>
      <c r="AB483" s="62"/>
      <c r="AC483" s="62"/>
    </row>
    <row r="484" spans="1:68" ht="14.25" hidden="1" customHeight="1" x14ac:dyDescent="0.25">
      <c r="A484" s="589" t="s">
        <v>128</v>
      </c>
      <c r="B484" s="589"/>
      <c r="C484" s="589"/>
      <c r="D484" s="589"/>
      <c r="E484" s="589"/>
      <c r="F484" s="589"/>
      <c r="G484" s="589"/>
      <c r="H484" s="589"/>
      <c r="I484" s="589"/>
      <c r="J484" s="589"/>
      <c r="K484" s="589"/>
      <c r="L484" s="589"/>
      <c r="M484" s="589"/>
      <c r="N484" s="589"/>
      <c r="O484" s="589"/>
      <c r="P484" s="589"/>
      <c r="Q484" s="589"/>
      <c r="R484" s="589"/>
      <c r="S484" s="589"/>
      <c r="T484" s="589"/>
      <c r="U484" s="589"/>
      <c r="V484" s="589"/>
      <c r="W484" s="589"/>
      <c r="X484" s="589"/>
      <c r="Y484" s="589"/>
      <c r="Z484" s="589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4301011584</v>
      </c>
      <c r="D485" s="590">
        <v>4640242180564</v>
      </c>
      <c r="E485" s="59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133</v>
      </c>
      <c r="L485" s="35" t="s">
        <v>46</v>
      </c>
      <c r="M485" s="36" t="s">
        <v>132</v>
      </c>
      <c r="N485" s="36"/>
      <c r="O485" s="35">
        <v>50</v>
      </c>
      <c r="P485" s="6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5" s="592"/>
      <c r="R485" s="592"/>
      <c r="S485" s="592"/>
      <c r="T485" s="593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46</v>
      </c>
      <c r="AB485" s="66" t="s">
        <v>46</v>
      </c>
      <c r="AC485" s="569" t="s">
        <v>784</v>
      </c>
      <c r="AG485" s="75"/>
      <c r="AJ485" s="79" t="s">
        <v>46</v>
      </c>
      <c r="AK485" s="79">
        <v>0</v>
      </c>
      <c r="BB485" s="570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97"/>
      <c r="B486" s="597"/>
      <c r="C486" s="597"/>
      <c r="D486" s="597"/>
      <c r="E486" s="597"/>
      <c r="F486" s="597"/>
      <c r="G486" s="597"/>
      <c r="H486" s="597"/>
      <c r="I486" s="597"/>
      <c r="J486" s="597"/>
      <c r="K486" s="597"/>
      <c r="L486" s="597"/>
      <c r="M486" s="597"/>
      <c r="N486" s="597"/>
      <c r="O486" s="598"/>
      <c r="P486" s="594" t="s">
        <v>40</v>
      </c>
      <c r="Q486" s="595"/>
      <c r="R486" s="595"/>
      <c r="S486" s="595"/>
      <c r="T486" s="595"/>
      <c r="U486" s="595"/>
      <c r="V486" s="596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97"/>
      <c r="B487" s="597"/>
      <c r="C487" s="597"/>
      <c r="D487" s="597"/>
      <c r="E487" s="597"/>
      <c r="F487" s="597"/>
      <c r="G487" s="597"/>
      <c r="H487" s="597"/>
      <c r="I487" s="597"/>
      <c r="J487" s="597"/>
      <c r="K487" s="597"/>
      <c r="L487" s="597"/>
      <c r="M487" s="597"/>
      <c r="N487" s="597"/>
      <c r="O487" s="598"/>
      <c r="P487" s="594" t="s">
        <v>40</v>
      </c>
      <c r="Q487" s="595"/>
      <c r="R487" s="595"/>
      <c r="S487" s="595"/>
      <c r="T487" s="595"/>
      <c r="U487" s="595"/>
      <c r="V487" s="596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589" t="s">
        <v>163</v>
      </c>
      <c r="B488" s="589"/>
      <c r="C488" s="589"/>
      <c r="D488" s="589"/>
      <c r="E488" s="589"/>
      <c r="F488" s="589"/>
      <c r="G488" s="589"/>
      <c r="H488" s="589"/>
      <c r="I488" s="589"/>
      <c r="J488" s="589"/>
      <c r="K488" s="589"/>
      <c r="L488" s="589"/>
      <c r="M488" s="589"/>
      <c r="N488" s="589"/>
      <c r="O488" s="589"/>
      <c r="P488" s="589"/>
      <c r="Q488" s="589"/>
      <c r="R488" s="589"/>
      <c r="S488" s="589"/>
      <c r="T488" s="589"/>
      <c r="U488" s="589"/>
      <c r="V488" s="589"/>
      <c r="W488" s="589"/>
      <c r="X488" s="589"/>
      <c r="Y488" s="589"/>
      <c r="Z488" s="589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4301020400</v>
      </c>
      <c r="D489" s="590">
        <v>4640242180519</v>
      </c>
      <c r="E489" s="590"/>
      <c r="F489" s="59">
        <v>1.5</v>
      </c>
      <c r="G489" s="35">
        <v>8</v>
      </c>
      <c r="H489" s="59">
        <v>12</v>
      </c>
      <c r="I489" s="59">
        <v>12.41</v>
      </c>
      <c r="J489" s="35">
        <v>64</v>
      </c>
      <c r="K489" s="35" t="s">
        <v>133</v>
      </c>
      <c r="L489" s="35" t="s">
        <v>46</v>
      </c>
      <c r="M489" s="36" t="s">
        <v>132</v>
      </c>
      <c r="N489" s="36"/>
      <c r="O489" s="35">
        <v>50</v>
      </c>
      <c r="P489" s="60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9" s="592"/>
      <c r="R489" s="592"/>
      <c r="S489" s="592"/>
      <c r="T489" s="593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IFERROR(IF(Y489=0,"",ROUNDUP(Y489/H489,0)*0.01898),"")</f>
        <v/>
      </c>
      <c r="AA489" s="65" t="s">
        <v>46</v>
      </c>
      <c r="AB489" s="66" t="s">
        <v>46</v>
      </c>
      <c r="AC489" s="571" t="s">
        <v>787</v>
      </c>
      <c r="AG489" s="75"/>
      <c r="AJ489" s="79" t="s">
        <v>46</v>
      </c>
      <c r="AK489" s="79">
        <v>0</v>
      </c>
      <c r="BB489" s="572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597"/>
      <c r="B490" s="597"/>
      <c r="C490" s="597"/>
      <c r="D490" s="597"/>
      <c r="E490" s="597"/>
      <c r="F490" s="597"/>
      <c r="G490" s="597"/>
      <c r="H490" s="597"/>
      <c r="I490" s="597"/>
      <c r="J490" s="597"/>
      <c r="K490" s="597"/>
      <c r="L490" s="597"/>
      <c r="M490" s="597"/>
      <c r="N490" s="597"/>
      <c r="O490" s="598"/>
      <c r="P490" s="594" t="s">
        <v>40</v>
      </c>
      <c r="Q490" s="595"/>
      <c r="R490" s="595"/>
      <c r="S490" s="595"/>
      <c r="T490" s="595"/>
      <c r="U490" s="595"/>
      <c r="V490" s="596"/>
      <c r="W490" s="40" t="s">
        <v>39</v>
      </c>
      <c r="X490" s="41">
        <f>IFERROR(X489/H489,"0")</f>
        <v>0</v>
      </c>
      <c r="Y490" s="41">
        <f>IFERROR(Y489/H489,"0")</f>
        <v>0</v>
      </c>
      <c r="Z490" s="41">
        <f>IFERROR(IF(Z489="",0,Z489),"0")</f>
        <v>0</v>
      </c>
      <c r="AA490" s="64"/>
      <c r="AB490" s="64"/>
      <c r="AC490" s="64"/>
    </row>
    <row r="491" spans="1:68" hidden="1" x14ac:dyDescent="0.2">
      <c r="A491" s="597"/>
      <c r="B491" s="597"/>
      <c r="C491" s="597"/>
      <c r="D491" s="597"/>
      <c r="E491" s="597"/>
      <c r="F491" s="597"/>
      <c r="G491" s="597"/>
      <c r="H491" s="597"/>
      <c r="I491" s="597"/>
      <c r="J491" s="597"/>
      <c r="K491" s="597"/>
      <c r="L491" s="597"/>
      <c r="M491" s="597"/>
      <c r="N491" s="597"/>
      <c r="O491" s="598"/>
      <c r="P491" s="594" t="s">
        <v>40</v>
      </c>
      <c r="Q491" s="595"/>
      <c r="R491" s="595"/>
      <c r="S491" s="595"/>
      <c r="T491" s="595"/>
      <c r="U491" s="595"/>
      <c r="V491" s="596"/>
      <c r="W491" s="40" t="s">
        <v>0</v>
      </c>
      <c r="X491" s="41">
        <f>IFERROR(SUM(X489:X489),"0")</f>
        <v>0</v>
      </c>
      <c r="Y491" s="41">
        <f>IFERROR(SUM(Y489:Y489),"0")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589" t="s">
        <v>77</v>
      </c>
      <c r="B492" s="589"/>
      <c r="C492" s="589"/>
      <c r="D492" s="589"/>
      <c r="E492" s="589"/>
      <c r="F492" s="589"/>
      <c r="G492" s="589"/>
      <c r="H492" s="589"/>
      <c r="I492" s="589"/>
      <c r="J492" s="589"/>
      <c r="K492" s="589"/>
      <c r="L492" s="589"/>
      <c r="M492" s="589"/>
      <c r="N492" s="589"/>
      <c r="O492" s="589"/>
      <c r="P492" s="589"/>
      <c r="Q492" s="589"/>
      <c r="R492" s="589"/>
      <c r="S492" s="589"/>
      <c r="T492" s="589"/>
      <c r="U492" s="589"/>
      <c r="V492" s="589"/>
      <c r="W492" s="589"/>
      <c r="X492" s="589"/>
      <c r="Y492" s="589"/>
      <c r="Z492" s="589"/>
      <c r="AA492" s="63"/>
      <c r="AB492" s="63"/>
      <c r="AC492" s="63"/>
    </row>
    <row r="493" spans="1:68" ht="27" hidden="1" customHeight="1" x14ac:dyDescent="0.25">
      <c r="A493" s="60" t="s">
        <v>788</v>
      </c>
      <c r="B493" s="60" t="s">
        <v>789</v>
      </c>
      <c r="C493" s="34">
        <v>4301031467</v>
      </c>
      <c r="D493" s="590">
        <v>4640242180595</v>
      </c>
      <c r="E493" s="590"/>
      <c r="F493" s="59">
        <v>0.8</v>
      </c>
      <c r="G493" s="35">
        <v>6</v>
      </c>
      <c r="H493" s="59">
        <v>4.8</v>
      </c>
      <c r="I493" s="59">
        <v>5.05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40</v>
      </c>
      <c r="P493" s="60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3" s="592"/>
      <c r="R493" s="592"/>
      <c r="S493" s="592"/>
      <c r="T493" s="59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3" t="s">
        <v>790</v>
      </c>
      <c r="AG493" s="75"/>
      <c r="AJ493" s="79" t="s">
        <v>46</v>
      </c>
      <c r="AK493" s="79">
        <v>0</v>
      </c>
      <c r="BB493" s="57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788</v>
      </c>
      <c r="B494" s="60" t="s">
        <v>791</v>
      </c>
      <c r="C494" s="34">
        <v>4301031500</v>
      </c>
      <c r="D494" s="590">
        <v>4640242180595</v>
      </c>
      <c r="E494" s="590"/>
      <c r="F494" s="59">
        <v>0.7</v>
      </c>
      <c r="G494" s="35">
        <v>6</v>
      </c>
      <c r="H494" s="59">
        <v>4.2</v>
      </c>
      <c r="I494" s="59">
        <v>4.45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40</v>
      </c>
      <c r="P494" s="6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4" s="592"/>
      <c r="R494" s="592"/>
      <c r="S494" s="592"/>
      <c r="T494" s="593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5" t="s">
        <v>792</v>
      </c>
      <c r="AG494" s="75"/>
      <c r="AJ494" s="79" t="s">
        <v>46</v>
      </c>
      <c r="AK494" s="79">
        <v>0</v>
      </c>
      <c r="BB494" s="57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597"/>
      <c r="B495" s="597"/>
      <c r="C495" s="597"/>
      <c r="D495" s="597"/>
      <c r="E495" s="597"/>
      <c r="F495" s="597"/>
      <c r="G495" s="597"/>
      <c r="H495" s="597"/>
      <c r="I495" s="597"/>
      <c r="J495" s="597"/>
      <c r="K495" s="597"/>
      <c r="L495" s="597"/>
      <c r="M495" s="597"/>
      <c r="N495" s="597"/>
      <c r="O495" s="598"/>
      <c r="P495" s="594" t="s">
        <v>40</v>
      </c>
      <c r="Q495" s="595"/>
      <c r="R495" s="595"/>
      <c r="S495" s="595"/>
      <c r="T495" s="595"/>
      <c r="U495" s="595"/>
      <c r="V495" s="596"/>
      <c r="W495" s="40" t="s">
        <v>39</v>
      </c>
      <c r="X495" s="41">
        <f>IFERROR(X493/H493,"0")+IFERROR(X494/H494,"0")</f>
        <v>0</v>
      </c>
      <c r="Y495" s="41">
        <f>IFERROR(Y493/H493,"0")+IFERROR(Y494/H494,"0")</f>
        <v>0</v>
      </c>
      <c r="Z495" s="41">
        <f>IFERROR(IF(Z493="",0,Z493),"0")+IFERROR(IF(Z494="",0,Z494),"0")</f>
        <v>0</v>
      </c>
      <c r="AA495" s="64"/>
      <c r="AB495" s="64"/>
      <c r="AC495" s="64"/>
    </row>
    <row r="496" spans="1:68" hidden="1" x14ac:dyDescent="0.2">
      <c r="A496" s="597"/>
      <c r="B496" s="597"/>
      <c r="C496" s="597"/>
      <c r="D496" s="597"/>
      <c r="E496" s="597"/>
      <c r="F496" s="597"/>
      <c r="G496" s="597"/>
      <c r="H496" s="597"/>
      <c r="I496" s="597"/>
      <c r="J496" s="597"/>
      <c r="K496" s="597"/>
      <c r="L496" s="597"/>
      <c r="M496" s="597"/>
      <c r="N496" s="597"/>
      <c r="O496" s="598"/>
      <c r="P496" s="594" t="s">
        <v>40</v>
      </c>
      <c r="Q496" s="595"/>
      <c r="R496" s="595"/>
      <c r="S496" s="595"/>
      <c r="T496" s="595"/>
      <c r="U496" s="595"/>
      <c r="V496" s="596"/>
      <c r="W496" s="40" t="s">
        <v>0</v>
      </c>
      <c r="X496" s="41">
        <f>IFERROR(SUM(X493:X494),"0")</f>
        <v>0</v>
      </c>
      <c r="Y496" s="41">
        <f>IFERROR(SUM(Y493:Y494),"0")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589" t="s">
        <v>86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3"/>
      <c r="AB497" s="63"/>
      <c r="AC497" s="63"/>
    </row>
    <row r="498" spans="1:68" ht="27" hidden="1" customHeight="1" x14ac:dyDescent="0.25">
      <c r="A498" s="60" t="s">
        <v>793</v>
      </c>
      <c r="B498" s="60" t="s">
        <v>794</v>
      </c>
      <c r="C498" s="34">
        <v>4301052046</v>
      </c>
      <c r="D498" s="590">
        <v>4640242180533</v>
      </c>
      <c r="E498" s="590"/>
      <c r="F498" s="59">
        <v>1.5</v>
      </c>
      <c r="G498" s="35">
        <v>6</v>
      </c>
      <c r="H498" s="59">
        <v>9</v>
      </c>
      <c r="I498" s="59">
        <v>9.4939999999999998</v>
      </c>
      <c r="J498" s="35">
        <v>64</v>
      </c>
      <c r="K498" s="35" t="s">
        <v>133</v>
      </c>
      <c r="L498" s="35" t="s">
        <v>46</v>
      </c>
      <c r="M498" s="36" t="s">
        <v>97</v>
      </c>
      <c r="N498" s="36"/>
      <c r="O498" s="35">
        <v>45</v>
      </c>
      <c r="P498" s="6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8" s="592"/>
      <c r="R498" s="592"/>
      <c r="S498" s="592"/>
      <c r="T498" s="59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IFERROR(IF(Y498=0,"",ROUNDUP(Y498/H498,0)*0.01898),"")</f>
        <v/>
      </c>
      <c r="AA498" s="65" t="s">
        <v>46</v>
      </c>
      <c r="AB498" s="66" t="s">
        <v>46</v>
      </c>
      <c r="AC498" s="577" t="s">
        <v>795</v>
      </c>
      <c r="AG498" s="75"/>
      <c r="AJ498" s="79" t="s">
        <v>46</v>
      </c>
      <c r="AK498" s="79">
        <v>0</v>
      </c>
      <c r="BB498" s="578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597"/>
      <c r="B499" s="597"/>
      <c r="C499" s="597"/>
      <c r="D499" s="597"/>
      <c r="E499" s="597"/>
      <c r="F499" s="597"/>
      <c r="G499" s="597"/>
      <c r="H499" s="597"/>
      <c r="I499" s="597"/>
      <c r="J499" s="597"/>
      <c r="K499" s="597"/>
      <c r="L499" s="597"/>
      <c r="M499" s="597"/>
      <c r="N499" s="597"/>
      <c r="O499" s="598"/>
      <c r="P499" s="594" t="s">
        <v>40</v>
      </c>
      <c r="Q499" s="595"/>
      <c r="R499" s="595"/>
      <c r="S499" s="595"/>
      <c r="T499" s="595"/>
      <c r="U499" s="595"/>
      <c r="V499" s="596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597"/>
      <c r="B500" s="597"/>
      <c r="C500" s="597"/>
      <c r="D500" s="597"/>
      <c r="E500" s="597"/>
      <c r="F500" s="597"/>
      <c r="G500" s="597"/>
      <c r="H500" s="597"/>
      <c r="I500" s="597"/>
      <c r="J500" s="597"/>
      <c r="K500" s="597"/>
      <c r="L500" s="597"/>
      <c r="M500" s="597"/>
      <c r="N500" s="597"/>
      <c r="O500" s="598"/>
      <c r="P500" s="594" t="s">
        <v>40</v>
      </c>
      <c r="Q500" s="595"/>
      <c r="R500" s="595"/>
      <c r="S500" s="595"/>
      <c r="T500" s="595"/>
      <c r="U500" s="595"/>
      <c r="V500" s="596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589" t="s">
        <v>180</v>
      </c>
      <c r="B501" s="589"/>
      <c r="C501" s="589"/>
      <c r="D501" s="589"/>
      <c r="E501" s="589"/>
      <c r="F501" s="589"/>
      <c r="G501" s="589"/>
      <c r="H501" s="589"/>
      <c r="I501" s="589"/>
      <c r="J501" s="589"/>
      <c r="K501" s="589"/>
      <c r="L501" s="589"/>
      <c r="M501" s="589"/>
      <c r="N501" s="589"/>
      <c r="O501" s="589"/>
      <c r="P501" s="589"/>
      <c r="Q501" s="589"/>
      <c r="R501" s="589"/>
      <c r="S501" s="589"/>
      <c r="T501" s="589"/>
      <c r="U501" s="589"/>
      <c r="V501" s="589"/>
      <c r="W501" s="589"/>
      <c r="X501" s="589"/>
      <c r="Y501" s="589"/>
      <c r="Z501" s="589"/>
      <c r="AA501" s="63"/>
      <c r="AB501" s="63"/>
      <c r="AC501" s="63"/>
    </row>
    <row r="502" spans="1:68" ht="27" hidden="1" customHeight="1" x14ac:dyDescent="0.25">
      <c r="A502" s="60" t="s">
        <v>796</v>
      </c>
      <c r="B502" s="60" t="s">
        <v>797</v>
      </c>
      <c r="C502" s="34">
        <v>4301060535</v>
      </c>
      <c r="D502" s="590">
        <v>4640242180120</v>
      </c>
      <c r="E502" s="590"/>
      <c r="F502" s="59">
        <v>1.5</v>
      </c>
      <c r="G502" s="35">
        <v>6</v>
      </c>
      <c r="H502" s="59">
        <v>9</v>
      </c>
      <c r="I502" s="59">
        <v>9.41</v>
      </c>
      <c r="J502" s="35">
        <v>64</v>
      </c>
      <c r="K502" s="35" t="s">
        <v>133</v>
      </c>
      <c r="L502" s="35" t="s">
        <v>46</v>
      </c>
      <c r="M502" s="36" t="s">
        <v>90</v>
      </c>
      <c r="N502" s="36"/>
      <c r="O502" s="35">
        <v>40</v>
      </c>
      <c r="P502" s="60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2" s="592"/>
      <c r="R502" s="592"/>
      <c r="S502" s="592"/>
      <c r="T502" s="593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IFERROR(IF(Y502=0,"",ROUNDUP(Y502/H502,0)*0.01898),"")</f>
        <v/>
      </c>
      <c r="AA502" s="65" t="s">
        <v>46</v>
      </c>
      <c r="AB502" s="66" t="s">
        <v>46</v>
      </c>
      <c r="AC502" s="579" t="s">
        <v>798</v>
      </c>
      <c r="AG502" s="75"/>
      <c r="AJ502" s="79" t="s">
        <v>46</v>
      </c>
      <c r="AK502" s="79">
        <v>0</v>
      </c>
      <c r="BB502" s="580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799</v>
      </c>
      <c r="B503" s="60" t="s">
        <v>800</v>
      </c>
      <c r="C503" s="34">
        <v>4301060536</v>
      </c>
      <c r="D503" s="590">
        <v>4640242180137</v>
      </c>
      <c r="E503" s="590"/>
      <c r="F503" s="59">
        <v>1.5</v>
      </c>
      <c r="G503" s="35">
        <v>6</v>
      </c>
      <c r="H503" s="59">
        <v>9</v>
      </c>
      <c r="I503" s="59">
        <v>9.41</v>
      </c>
      <c r="J503" s="35">
        <v>64</v>
      </c>
      <c r="K503" s="35" t="s">
        <v>133</v>
      </c>
      <c r="L503" s="35" t="s">
        <v>46</v>
      </c>
      <c r="M503" s="36" t="s">
        <v>90</v>
      </c>
      <c r="N503" s="36"/>
      <c r="O503" s="35">
        <v>40</v>
      </c>
      <c r="P503" s="60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3" s="592"/>
      <c r="R503" s="592"/>
      <c r="S503" s="592"/>
      <c r="T503" s="593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IFERROR(IF(Y503=0,"",ROUNDUP(Y503/H503,0)*0.01898),"")</f>
        <v/>
      </c>
      <c r="AA503" s="65" t="s">
        <v>46</v>
      </c>
      <c r="AB503" s="66" t="s">
        <v>46</v>
      </c>
      <c r="AC503" s="581" t="s">
        <v>801</v>
      </c>
      <c r="AG503" s="75"/>
      <c r="AJ503" s="79" t="s">
        <v>46</v>
      </c>
      <c r="AK503" s="79">
        <v>0</v>
      </c>
      <c r="BB503" s="582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597"/>
      <c r="B504" s="597"/>
      <c r="C504" s="597"/>
      <c r="D504" s="597"/>
      <c r="E504" s="597"/>
      <c r="F504" s="597"/>
      <c r="G504" s="597"/>
      <c r="H504" s="597"/>
      <c r="I504" s="597"/>
      <c r="J504" s="597"/>
      <c r="K504" s="597"/>
      <c r="L504" s="597"/>
      <c r="M504" s="597"/>
      <c r="N504" s="597"/>
      <c r="O504" s="598"/>
      <c r="P504" s="594" t="s">
        <v>40</v>
      </c>
      <c r="Q504" s="595"/>
      <c r="R504" s="595"/>
      <c r="S504" s="595"/>
      <c r="T504" s="595"/>
      <c r="U504" s="595"/>
      <c r="V504" s="596"/>
      <c r="W504" s="40" t="s">
        <v>39</v>
      </c>
      <c r="X504" s="41">
        <f>IFERROR(X502/H502,"0")+IFERROR(X503/H503,"0")</f>
        <v>0</v>
      </c>
      <c r="Y504" s="41">
        <f>IFERROR(Y502/H502,"0")+IFERROR(Y503/H503,"0")</f>
        <v>0</v>
      </c>
      <c r="Z504" s="41">
        <f>IFERROR(IF(Z502="",0,Z502),"0")+IFERROR(IF(Z503="",0,Z503),"0")</f>
        <v>0</v>
      </c>
      <c r="AA504" s="64"/>
      <c r="AB504" s="64"/>
      <c r="AC504" s="64"/>
    </row>
    <row r="505" spans="1:68" hidden="1" x14ac:dyDescent="0.2">
      <c r="A505" s="597"/>
      <c r="B505" s="597"/>
      <c r="C505" s="597"/>
      <c r="D505" s="597"/>
      <c r="E505" s="597"/>
      <c r="F505" s="597"/>
      <c r="G505" s="597"/>
      <c r="H505" s="597"/>
      <c r="I505" s="597"/>
      <c r="J505" s="597"/>
      <c r="K505" s="597"/>
      <c r="L505" s="597"/>
      <c r="M505" s="597"/>
      <c r="N505" s="597"/>
      <c r="O505" s="598"/>
      <c r="P505" s="594" t="s">
        <v>40</v>
      </c>
      <c r="Q505" s="595"/>
      <c r="R505" s="595"/>
      <c r="S505" s="595"/>
      <c r="T505" s="595"/>
      <c r="U505" s="595"/>
      <c r="V505" s="596"/>
      <c r="W505" s="40" t="s">
        <v>0</v>
      </c>
      <c r="X505" s="41">
        <f>IFERROR(SUM(X502:X503),"0")</f>
        <v>0</v>
      </c>
      <c r="Y505" s="41">
        <f>IFERROR(SUM(Y502:Y503),"0")</f>
        <v>0</v>
      </c>
      <c r="Z505" s="40"/>
      <c r="AA505" s="64"/>
      <c r="AB505" s="64"/>
      <c r="AC505" s="64"/>
    </row>
    <row r="506" spans="1:68" ht="16.5" hidden="1" customHeight="1" x14ac:dyDescent="0.25">
      <c r="A506" s="605" t="s">
        <v>802</v>
      </c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5"/>
      <c r="P506" s="605"/>
      <c r="Q506" s="605"/>
      <c r="R506" s="605"/>
      <c r="S506" s="605"/>
      <c r="T506" s="605"/>
      <c r="U506" s="605"/>
      <c r="V506" s="605"/>
      <c r="W506" s="605"/>
      <c r="X506" s="605"/>
      <c r="Y506" s="605"/>
      <c r="Z506" s="605"/>
      <c r="AA506" s="62"/>
      <c r="AB506" s="62"/>
      <c r="AC506" s="62"/>
    </row>
    <row r="507" spans="1:68" ht="14.25" hidden="1" customHeight="1" x14ac:dyDescent="0.25">
      <c r="A507" s="589" t="s">
        <v>163</v>
      </c>
      <c r="B507" s="589"/>
      <c r="C507" s="589"/>
      <c r="D507" s="589"/>
      <c r="E507" s="589"/>
      <c r="F507" s="589"/>
      <c r="G507" s="589"/>
      <c r="H507" s="589"/>
      <c r="I507" s="589"/>
      <c r="J507" s="589"/>
      <c r="K507" s="589"/>
      <c r="L507" s="589"/>
      <c r="M507" s="589"/>
      <c r="N507" s="589"/>
      <c r="O507" s="589"/>
      <c r="P507" s="589"/>
      <c r="Q507" s="589"/>
      <c r="R507" s="589"/>
      <c r="S507" s="589"/>
      <c r="T507" s="589"/>
      <c r="U507" s="589"/>
      <c r="V507" s="589"/>
      <c r="W507" s="589"/>
      <c r="X507" s="589"/>
      <c r="Y507" s="589"/>
      <c r="Z507" s="589"/>
      <c r="AA507" s="63"/>
      <c r="AB507" s="63"/>
      <c r="AC507" s="63"/>
    </row>
    <row r="508" spans="1:68" ht="27" hidden="1" customHeight="1" x14ac:dyDescent="0.25">
      <c r="A508" s="60" t="s">
        <v>803</v>
      </c>
      <c r="B508" s="60" t="s">
        <v>804</v>
      </c>
      <c r="C508" s="34">
        <v>4301020428</v>
      </c>
      <c r="D508" s="590">
        <v>4640242180090</v>
      </c>
      <c r="E508" s="590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59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08" s="592"/>
      <c r="R508" s="592"/>
      <c r="S508" s="592"/>
      <c r="T508" s="593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3" t="s">
        <v>805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597"/>
      <c r="B509" s="597"/>
      <c r="C509" s="597"/>
      <c r="D509" s="597"/>
      <c r="E509" s="597"/>
      <c r="F509" s="597"/>
      <c r="G509" s="597"/>
      <c r="H509" s="597"/>
      <c r="I509" s="597"/>
      <c r="J509" s="597"/>
      <c r="K509" s="597"/>
      <c r="L509" s="597"/>
      <c r="M509" s="597"/>
      <c r="N509" s="597"/>
      <c r="O509" s="598"/>
      <c r="P509" s="594" t="s">
        <v>40</v>
      </c>
      <c r="Q509" s="595"/>
      <c r="R509" s="595"/>
      <c r="S509" s="595"/>
      <c r="T509" s="595"/>
      <c r="U509" s="595"/>
      <c r="V509" s="596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597"/>
      <c r="B510" s="597"/>
      <c r="C510" s="597"/>
      <c r="D510" s="597"/>
      <c r="E510" s="597"/>
      <c r="F510" s="597"/>
      <c r="G510" s="597"/>
      <c r="H510" s="597"/>
      <c r="I510" s="597"/>
      <c r="J510" s="597"/>
      <c r="K510" s="597"/>
      <c r="L510" s="597"/>
      <c r="M510" s="597"/>
      <c r="N510" s="597"/>
      <c r="O510" s="598"/>
      <c r="P510" s="594" t="s">
        <v>40</v>
      </c>
      <c r="Q510" s="595"/>
      <c r="R510" s="595"/>
      <c r="S510" s="595"/>
      <c r="T510" s="595"/>
      <c r="U510" s="595"/>
      <c r="V510" s="596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5" customHeight="1" x14ac:dyDescent="0.2">
      <c r="A511" s="597"/>
      <c r="B511" s="597"/>
      <c r="C511" s="597"/>
      <c r="D511" s="597"/>
      <c r="E511" s="597"/>
      <c r="F511" s="597"/>
      <c r="G511" s="597"/>
      <c r="H511" s="597"/>
      <c r="I511" s="597"/>
      <c r="J511" s="597"/>
      <c r="K511" s="597"/>
      <c r="L511" s="597"/>
      <c r="M511" s="597"/>
      <c r="N511" s="597"/>
      <c r="O511" s="602"/>
      <c r="P511" s="599" t="s">
        <v>33</v>
      </c>
      <c r="Q511" s="600"/>
      <c r="R511" s="600"/>
      <c r="S511" s="600"/>
      <c r="T511" s="600"/>
      <c r="U511" s="600"/>
      <c r="V511" s="601"/>
      <c r="W511" s="40" t="s">
        <v>0</v>
      </c>
      <c r="X511" s="41">
        <f>IFERROR(X25+X34+X38+X47+X56+X67+X74+X79+X84+X92+X99+X110+X119+X126+X130+X138+X144+X148+X161+X167+X172+X176+X185+X190+X207+X212+X218+X222+X228+X233+X244+X259+X264+X275+X279+X283+X290+X299+X306+X315+X320+X327+X337+X347+X354+X360+X367+X373+X380+X393+X399+X404+X408+X414+X418+X424+X435+X440+X445+X451+X465+X471+X481+X487+X491+X496+X500+X505+X510,"0")</f>
        <v>4599.6000000000004</v>
      </c>
      <c r="Y511" s="41">
        <f>IFERROR(Y25+Y34+Y38+Y47+Y56+Y67+Y74+Y79+Y84+Y92+Y99+Y110+Y119+Y126+Y130+Y138+Y144+Y148+Y161+Y167+Y172+Y176+Y185+Y190+Y207+Y212+Y218+Y222+Y228+Y233+Y244+Y259+Y264+Y275+Y279+Y283+Y290+Y299+Y306+Y315+Y320+Y327+Y337+Y347+Y354+Y360+Y367+Y373+Y380+Y393+Y399+Y404+Y408+Y414+Y418+Y424+Y435+Y440+Y445+Y451+Y465+Y471+Y481+Y487+Y491+Y496+Y500+Y505+Y510,"0")</f>
        <v>4615.8</v>
      </c>
      <c r="Z511" s="40"/>
      <c r="AA511" s="64"/>
      <c r="AB511" s="64"/>
      <c r="AC511" s="64"/>
    </row>
    <row r="512" spans="1:68" x14ac:dyDescent="0.2">
      <c r="A512" s="597"/>
      <c r="B512" s="597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602"/>
      <c r="P512" s="599" t="s">
        <v>34</v>
      </c>
      <c r="Q512" s="600"/>
      <c r="R512" s="600"/>
      <c r="S512" s="600"/>
      <c r="T512" s="600"/>
      <c r="U512" s="600"/>
      <c r="V512" s="601"/>
      <c r="W512" s="40" t="s">
        <v>0</v>
      </c>
      <c r="X512" s="41">
        <f>IFERROR(SUM(BM22:BM508),"0")</f>
        <v>4895.4875396825391</v>
      </c>
      <c r="Y512" s="41">
        <f>IFERROR(SUM(BN22:BN508),"0")</f>
        <v>4913.6339999999991</v>
      </c>
      <c r="Z512" s="40"/>
      <c r="AA512" s="64"/>
      <c r="AB512" s="64"/>
      <c r="AC512" s="64"/>
    </row>
    <row r="513" spans="1:32" x14ac:dyDescent="0.2">
      <c r="A513" s="597"/>
      <c r="B513" s="597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602"/>
      <c r="P513" s="599" t="s">
        <v>35</v>
      </c>
      <c r="Q513" s="600"/>
      <c r="R513" s="600"/>
      <c r="S513" s="600"/>
      <c r="T513" s="600"/>
      <c r="U513" s="600"/>
      <c r="V513" s="601"/>
      <c r="W513" s="40" t="s">
        <v>20</v>
      </c>
      <c r="X513" s="42">
        <f>ROUNDUP(SUM(BO22:BO508),0)</f>
        <v>9</v>
      </c>
      <c r="Y513" s="42">
        <f>ROUNDUP(SUM(BP22:BP508),0)</f>
        <v>9</v>
      </c>
      <c r="Z513" s="40"/>
      <c r="AA513" s="64"/>
      <c r="AB513" s="64"/>
      <c r="AC513" s="64"/>
    </row>
    <row r="514" spans="1:32" x14ac:dyDescent="0.2">
      <c r="A514" s="597"/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602"/>
      <c r="P514" s="599" t="s">
        <v>36</v>
      </c>
      <c r="Q514" s="600"/>
      <c r="R514" s="600"/>
      <c r="S514" s="600"/>
      <c r="T514" s="600"/>
      <c r="U514" s="600"/>
      <c r="V514" s="601"/>
      <c r="W514" s="40" t="s">
        <v>0</v>
      </c>
      <c r="X514" s="41">
        <f>GrossWeightTotal+PalletQtyTotal*25</f>
        <v>5120.4875396825391</v>
      </c>
      <c r="Y514" s="41">
        <f>GrossWeightTotalR+PalletQtyTotalR*25</f>
        <v>5138.6339999999991</v>
      </c>
      <c r="Z514" s="40"/>
      <c r="AA514" s="64"/>
      <c r="AB514" s="64"/>
      <c r="AC514" s="64"/>
    </row>
    <row r="515" spans="1:32" x14ac:dyDescent="0.2">
      <c r="A515" s="597"/>
      <c r="B515" s="597"/>
      <c r="C515" s="597"/>
      <c r="D515" s="597"/>
      <c r="E515" s="597"/>
      <c r="F515" s="597"/>
      <c r="G515" s="597"/>
      <c r="H515" s="597"/>
      <c r="I515" s="597"/>
      <c r="J515" s="597"/>
      <c r="K515" s="597"/>
      <c r="L515" s="597"/>
      <c r="M515" s="597"/>
      <c r="N515" s="597"/>
      <c r="O515" s="602"/>
      <c r="P515" s="599" t="s">
        <v>37</v>
      </c>
      <c r="Q515" s="600"/>
      <c r="R515" s="600"/>
      <c r="S515" s="600"/>
      <c r="T515" s="600"/>
      <c r="U515" s="600"/>
      <c r="V515" s="601"/>
      <c r="W515" s="40" t="s">
        <v>20</v>
      </c>
      <c r="X515" s="41">
        <f>IFERROR(X24+X33+X37+X46+X55+X66+X73+X78+X83+X91+X98+X109+X118+X125+X129+X137+X143+X147+X160+X166+X171+X175+X184+X189+X206+X211+X217+X221+X227+X232+X243+X258+X263+X274+X278+X282+X289+X298+X305+X314+X319+X326+X336+X346+X353+X359+X366+X372+X379+X392+X398+X403+X407+X413+X417+X423+X434+X439+X444+X450+X464+X470+X480+X486+X490+X495+X499+X504+X509,"0")</f>
        <v>735.67460317460313</v>
      </c>
      <c r="Y515" s="41">
        <f>IFERROR(Y24+Y33+Y37+Y46+Y55+Y66+Y73+Y78+Y83+Y91+Y98+Y109+Y118+Y125+Y129+Y137+Y143+Y147+Y160+Y166+Y171+Y175+Y184+Y189+Y206+Y211+Y217+Y221+Y227+Y232+Y243+Y258+Y263+Y274+Y278+Y282+Y289+Y298+Y305+Y314+Y319+Y326+Y336+Y346+Y353+Y359+Y366+Y372+Y379+Y392+Y398+Y403+Y407+Y413+Y417+Y423+Y434+Y439+Y444+Y450+Y464+Y470+Y480+Y486+Y490+Y495+Y499+Y504+Y509,"0")</f>
        <v>740</v>
      </c>
      <c r="Z515" s="40"/>
      <c r="AA515" s="64"/>
      <c r="AB515" s="64"/>
      <c r="AC515" s="64"/>
    </row>
    <row r="516" spans="1:32" ht="14.25" hidden="1" x14ac:dyDescent="0.2">
      <c r="A516" s="597"/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602"/>
      <c r="P516" s="599" t="s">
        <v>38</v>
      </c>
      <c r="Q516" s="600"/>
      <c r="R516" s="600"/>
      <c r="S516" s="600"/>
      <c r="T516" s="600"/>
      <c r="U516" s="600"/>
      <c r="V516" s="601"/>
      <c r="W516" s="43" t="s">
        <v>52</v>
      </c>
      <c r="X516" s="40"/>
      <c r="Y516" s="40"/>
      <c r="Z516" s="40">
        <f>IFERROR(Z24+Z33+Z37+Z46+Z55+Z66+Z73+Z78+Z83+Z91+Z98+Z109+Z118+Z125+Z129+Z137+Z143+Z147+Z160+Z166+Z171+Z175+Z184+Z189+Z206+Z211+Z217+Z221+Z227+Z232+Z243+Z258+Z263+Z274+Z278+Z282+Z289+Z298+Z305+Z314+Z319+Z326+Z336+Z346+Z353+Z359+Z366+Z372+Z379+Z392+Z398+Z403+Z407+Z413+Z417+Z423+Z434+Z439+Z444+Z450+Z464+Z470+Z480+Z486+Z490+Z495+Z499+Z504+Z509,"0")</f>
        <v>10.131349999999999</v>
      </c>
      <c r="AA516" s="64"/>
      <c r="AB516" s="64"/>
      <c r="AC516" s="64"/>
    </row>
    <row r="517" spans="1:32" ht="13.5" thickBot="1" x14ac:dyDescent="0.25"/>
    <row r="518" spans="1:32" ht="27" thickTop="1" thickBot="1" x14ac:dyDescent="0.25">
      <c r="A518" s="44" t="s">
        <v>9</v>
      </c>
      <c r="B518" s="80" t="s">
        <v>76</v>
      </c>
      <c r="C518" s="80" t="s">
        <v>45</v>
      </c>
      <c r="D518" s="585" t="s">
        <v>126</v>
      </c>
      <c r="E518" s="585" t="s">
        <v>126</v>
      </c>
      <c r="F518" s="585" t="s">
        <v>126</v>
      </c>
      <c r="G518" s="585" t="s">
        <v>126</v>
      </c>
      <c r="H518" s="585" t="s">
        <v>126</v>
      </c>
      <c r="I518" s="585" t="s">
        <v>126</v>
      </c>
      <c r="J518" s="585" t="s">
        <v>321</v>
      </c>
      <c r="K518" s="585" t="s">
        <v>321</v>
      </c>
      <c r="L518" s="585" t="s">
        <v>321</v>
      </c>
      <c r="M518" s="585" t="s">
        <v>321</v>
      </c>
      <c r="N518" s="586"/>
      <c r="O518" s="585" t="s">
        <v>321</v>
      </c>
      <c r="P518" s="585" t="s">
        <v>321</v>
      </c>
      <c r="Q518" s="585" t="s">
        <v>321</v>
      </c>
      <c r="R518" s="585" t="s">
        <v>321</v>
      </c>
      <c r="S518" s="585" t="s">
        <v>321</v>
      </c>
      <c r="T518" s="585" t="s">
        <v>321</v>
      </c>
      <c r="U518" s="585" t="s">
        <v>638</v>
      </c>
      <c r="V518" s="585" t="s">
        <v>638</v>
      </c>
      <c r="W518" s="585" t="s">
        <v>698</v>
      </c>
      <c r="X518" s="585" t="s">
        <v>698</v>
      </c>
      <c r="Y518" s="80" t="s">
        <v>734</v>
      </c>
      <c r="Z518" s="585" t="s">
        <v>781</v>
      </c>
      <c r="AA518" s="585" t="s">
        <v>781</v>
      </c>
      <c r="AB518" s="9"/>
      <c r="AC518" s="9"/>
      <c r="AF518" s="1"/>
    </row>
    <row r="519" spans="1:32" ht="14.25" customHeight="1" thickTop="1" x14ac:dyDescent="0.2">
      <c r="A519" s="587" t="s">
        <v>10</v>
      </c>
      <c r="B519" s="585" t="s">
        <v>76</v>
      </c>
      <c r="C519" s="585" t="s">
        <v>113</v>
      </c>
      <c r="D519" s="585" t="s">
        <v>127</v>
      </c>
      <c r="E519" s="585" t="s">
        <v>143</v>
      </c>
      <c r="F519" s="585" t="s">
        <v>187</v>
      </c>
      <c r="G519" s="585" t="s">
        <v>208</v>
      </c>
      <c r="H519" s="585" t="s">
        <v>251</v>
      </c>
      <c r="I519" s="585" t="s">
        <v>126</v>
      </c>
      <c r="J519" s="585" t="s">
        <v>322</v>
      </c>
      <c r="K519" s="585" t="s">
        <v>334</v>
      </c>
      <c r="L519" s="585" t="s">
        <v>393</v>
      </c>
      <c r="M519" s="585" t="s">
        <v>461</v>
      </c>
      <c r="N519" s="1"/>
      <c r="O519" s="585" t="s">
        <v>497</v>
      </c>
      <c r="P519" s="585" t="s">
        <v>513</v>
      </c>
      <c r="Q519" s="585" t="s">
        <v>522</v>
      </c>
      <c r="R519" s="585" t="s">
        <v>543</v>
      </c>
      <c r="S519" s="585" t="s">
        <v>553</v>
      </c>
      <c r="T519" s="585" t="s">
        <v>628</v>
      </c>
      <c r="U519" s="585" t="s">
        <v>639</v>
      </c>
      <c r="V519" s="585" t="s">
        <v>682</v>
      </c>
      <c r="W519" s="585" t="s">
        <v>699</v>
      </c>
      <c r="X519" s="585" t="s">
        <v>722</v>
      </c>
      <c r="Y519" s="585" t="s">
        <v>734</v>
      </c>
      <c r="Z519" s="585" t="s">
        <v>781</v>
      </c>
      <c r="AA519" s="585" t="s">
        <v>802</v>
      </c>
      <c r="AB519" s="9"/>
      <c r="AC519" s="9"/>
      <c r="AF519" s="1"/>
    </row>
    <row r="520" spans="1:32" ht="13.5" thickBot="1" x14ac:dyDescent="0.25">
      <c r="A520" s="588"/>
      <c r="B520" s="585"/>
      <c r="C520" s="585"/>
      <c r="D520" s="585"/>
      <c r="E520" s="585"/>
      <c r="F520" s="585"/>
      <c r="G520" s="585"/>
      <c r="H520" s="585"/>
      <c r="I520" s="585"/>
      <c r="J520" s="585"/>
      <c r="K520" s="585"/>
      <c r="L520" s="585"/>
      <c r="M520" s="585"/>
      <c r="N520" s="1"/>
      <c r="O520" s="585"/>
      <c r="P520" s="585"/>
      <c r="Q520" s="585"/>
      <c r="R520" s="585"/>
      <c r="S520" s="585"/>
      <c r="T520" s="585"/>
      <c r="U520" s="585"/>
      <c r="V520" s="585"/>
      <c r="W520" s="585"/>
      <c r="X520" s="585"/>
      <c r="Y520" s="585"/>
      <c r="Z520" s="585"/>
      <c r="AA520" s="585"/>
      <c r="AB520" s="9"/>
      <c r="AC520" s="9"/>
      <c r="AF520" s="1"/>
    </row>
    <row r="521" spans="1:32" ht="18" thickTop="1" thickBot="1" x14ac:dyDescent="0.25">
      <c r="A521" s="44" t="s">
        <v>13</v>
      </c>
      <c r="B521" s="50">
        <f>IFERROR(Y22*1,"0")+IFERROR(Y23*1,"0")+IFERROR(Y27*1,"0")+IFERROR(Y28*1,"0")+IFERROR(Y29*1,"0")+IFERROR(Y30*1,"0")+IFERROR(Y31*1,"0")+IFERROR(Y32*1,"0")+IFERROR(Y36*1,"0")</f>
        <v>0</v>
      </c>
      <c r="C521" s="50">
        <f>IFERROR(Y42*1,"0")+IFERROR(Y43*1,"0")+IFERROR(Y44*1,"0")+IFERROR(Y45*1,"0")</f>
        <v>0</v>
      </c>
      <c r="D521" s="50">
        <f>IFERROR(Y51*1,"0")+IFERROR(Y52*1,"0")+IFERROR(Y53*1,"0")+IFERROR(Y54*1,"0")</f>
        <v>0</v>
      </c>
      <c r="E521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1" s="50">
        <f>IFERROR(Y87*1,"0")+IFERROR(Y88*1,"0")+IFERROR(Y89*1,"0")+IFERROR(Y90*1,"0")+IFERROR(Y94*1,"0")+IFERROR(Y95*1,"0")+IFERROR(Y96*1,"0")+IFERROR(Y97*1,"0")</f>
        <v>0</v>
      </c>
      <c r="G521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21" s="50">
        <f>IFERROR(Y133*1,"0")+IFERROR(Y134*1,"0")+IFERROR(Y135*1,"0")+IFERROR(Y136*1,"0")</f>
        <v>0</v>
      </c>
      <c r="I521" s="50">
        <f>IFERROR(Y141*1,"0")+IFERROR(Y142*1,"0")+IFERROR(Y146*1,"0")+IFERROR(Y150*1,"0")+IFERROR(Y151*1,"0")+IFERROR(Y152*1,"0")+IFERROR(Y153*1,"0")+IFERROR(Y154*1,"0")+IFERROR(Y155*1,"0")+IFERROR(Y156*1,"0")+IFERROR(Y157*1,"0")+IFERROR(Y158*1,"0")+IFERROR(Y159*1,"0")+IFERROR(Y163*1,"0")+IFERROR(Y164*1,"0")+IFERROR(Y165*1,"0")+IFERROR(Y169*1,"0")+IFERROR(Y170*1,"0")+IFERROR(Y174*1,"0")</f>
        <v>0</v>
      </c>
      <c r="J521" s="50">
        <f>IFERROR(Y180*1,"0")+IFERROR(Y181*1,"0")+IFERROR(Y182*1,"0")+IFERROR(Y183*1,"0")</f>
        <v>0</v>
      </c>
      <c r="K521" s="50">
        <f>IFERROR(Y188*1,"0")+IFERROR(Y192*1,"0")+IFERROR(Y193*1,"0")+IFERROR(Y194*1,"0")+IFERROR(Y195*1,"0")+IFERROR(Y196*1,"0")+IFERROR(Y197*1,"0")+IFERROR(Y198*1,"0")+IFERROR(Y199*1,"0")+IFERROR(Y200*1,"0")+IFERROR(Y201*1,"0")+IFERROR(Y202*1,"0")+IFERROR(Y203*1,"0")+IFERROR(Y204*1,"0")+IFERROR(Y205*1,"0")+IFERROR(Y209*1,"0")+IFERROR(Y210*1,"0")+IFERROR(Y214*1,"0")+IFERROR(Y215*1,"0")+IFERROR(Y216*1,"0")+IFERROR(Y220*1,"0")</f>
        <v>8.4</v>
      </c>
      <c r="L521" s="50">
        <f>IFERROR(Y225*1,"0")+IFERROR(Y226*1,"0")+IFERROR(Y230*1,"0")+IFERROR(Y231*1,"0")+IFERROR(Y235*1,"0")+IFERROR(Y236*1,"0")+IFERROR(Y237*1,"0")+IFERROR(Y238*1,"0")+IFERROR(Y239*1,"0")+IFERROR(Y240*1,"0")+IFERROR(Y241*1,"0")+IFERROR(Y242*1,"0")+IFERROR(Y246*1,"0")+IFERROR(Y247*1,"0")+IFERROR(Y248*1,"0")+IFERROR(Y249*1,"0")+IFERROR(Y250*1,"0")+IFERROR(Y251*1,"0")+IFERROR(Y252*1,"0")+IFERROR(Y253*1,"0")+IFERROR(Y254*1,"0")+IFERROR(Y255*1,"0")+IFERROR(Y256*1,"0")+IFERROR(Y257*1,"0")+IFERROR(Y261*1,"0")+IFERROR(Y262*1,"0")</f>
        <v>73.2</v>
      </c>
      <c r="M521" s="50">
        <f>IFERROR(Y267*1,"0")+IFERROR(Y268*1,"0")+IFERROR(Y269*1,"0")+IFERROR(Y270*1,"0")+IFERROR(Y271*1,"0")+IFERROR(Y272*1,"0")+IFERROR(Y273*1,"0")+IFERROR(Y277*1,"0")+IFERROR(Y281*1,"0")+IFERROR(Y285*1,"0")+IFERROR(Y286*1,"0")+IFERROR(Y287*1,"0")+IFERROR(Y288*1,"0")</f>
        <v>0</v>
      </c>
      <c r="N521" s="1"/>
      <c r="O521" s="50">
        <f>IFERROR(Y293*1,"0")+IFERROR(Y294*1,"0")+IFERROR(Y295*1,"0")+IFERROR(Y296*1,"0")+IFERROR(Y297*1,"0")</f>
        <v>0</v>
      </c>
      <c r="P521" s="50">
        <f>IFERROR(Y302*1,"0")+IFERROR(Y303*1,"0")+IFERROR(Y304*1,"0")</f>
        <v>9.6</v>
      </c>
      <c r="Q521" s="50">
        <f>IFERROR(Y309*1,"0")+IFERROR(Y310*1,"0")+IFERROR(Y311*1,"0")+IFERROR(Y312*1,"0")+IFERROR(Y313*1,"0")+IFERROR(Y317*1,"0")+IFERROR(Y318*1,"0")</f>
        <v>0</v>
      </c>
      <c r="R521" s="50">
        <f>IFERROR(Y323*1,"0")+IFERROR(Y324*1,"0")+IFERROR(Y325*1,"0")</f>
        <v>0</v>
      </c>
      <c r="S521" s="50">
        <f>IFERROR(Y330*1,"0")+IFERROR(Y331*1,"0")+IFERROR(Y332*1,"0")+IFERROR(Y333*1,"0")+IFERROR(Y334*1,"0")+IFERROR(Y335*1,"0")+IFERROR(Y339*1,"0")+IFERROR(Y340*1,"0")+IFERROR(Y341*1,"0")+IFERROR(Y342*1,"0")+IFERROR(Y343*1,"0")+IFERROR(Y344*1,"0")+IFERROR(Y345*1,"0")+IFERROR(Y349*1,"0")+IFERROR(Y350*1,"0")+IFERROR(Y351*1,"0")+IFERROR(Y352*1,"0")+IFERROR(Y356*1,"0")+IFERROR(Y357*1,"0")+IFERROR(Y358*1,"0")+IFERROR(Y362*1,"0")+IFERROR(Y363*1,"0")+IFERROR(Y364*1,"0")+IFERROR(Y365*1,"0")+IFERROR(Y369*1,"0")+IFERROR(Y370*1,"0")+IFERROR(Y371*1,"0")</f>
        <v>21</v>
      </c>
      <c r="T521" s="50">
        <f>IFERROR(Y376*1,"0")+IFERROR(Y377*1,"0")+IFERROR(Y378*1,"0")</f>
        <v>12.600000000000001</v>
      </c>
      <c r="U521" s="50">
        <f>IFERROR(Y384*1,"0")+IFERROR(Y385*1,"0")+IFERROR(Y386*1,"0")+IFERROR(Y387*1,"0")+IFERROR(Y388*1,"0")+IFERROR(Y389*1,"0")+IFERROR(Y390*1,"0")+IFERROR(Y391*1,"0")+IFERROR(Y395*1,"0")+IFERROR(Y396*1,"0")+IFERROR(Y397*1,"0")+IFERROR(Y401*1,"0")+IFERROR(Y402*1,"0")+IFERROR(Y406*1,"0")</f>
        <v>0</v>
      </c>
      <c r="V521" s="50">
        <f>IFERROR(Y411*1,"0")+IFERROR(Y412*1,"0")+IFERROR(Y416*1,"0")+IFERROR(Y420*1,"0")+IFERROR(Y421*1,"0")+IFERROR(Y422*1,"0")</f>
        <v>4467</v>
      </c>
      <c r="W521" s="50">
        <f>IFERROR(Y428*1,"0")+IFERROR(Y429*1,"0")+IFERROR(Y430*1,"0")+IFERROR(Y431*1,"0")+IFERROR(Y432*1,"0")+IFERROR(Y433*1,"0")+IFERROR(Y437*1,"0")+IFERROR(Y438*1,"0")</f>
        <v>0</v>
      </c>
      <c r="X521" s="50">
        <f>IFERROR(Y443*1,"0")+IFERROR(Y447*1,"0")+IFERROR(Y448*1,"0")+IFERROR(Y449*1,"0")</f>
        <v>0</v>
      </c>
      <c r="Y521" s="50">
        <f>IFERROR(Y455*1,"0")+IFERROR(Y456*1,"0")+IFERROR(Y457*1,"0")+IFERROR(Y458*1,"0")+IFERROR(Y459*1,"0")+IFERROR(Y460*1,"0")+IFERROR(Y461*1,"0")+IFERROR(Y462*1,"0")+IFERROR(Y463*1,"0")+IFERROR(Y467*1,"0")+IFERROR(Y468*1,"0")+IFERROR(Y469*1,"0")+IFERROR(Y473*1,"0")+IFERROR(Y474*1,"0")+IFERROR(Y475*1,"0")+IFERROR(Y476*1,"0")+IFERROR(Y477*1,"0")+IFERROR(Y478*1,"0")+IFERROR(Y479*1,"0")</f>
        <v>24</v>
      </c>
      <c r="Z521" s="50">
        <f>IFERROR(Y485*1,"0")+IFERROR(Y489*1,"0")+IFERROR(Y493*1,"0")+IFERROR(Y494*1,"0")+IFERROR(Y498*1,"0")+IFERROR(Y502*1,"0")+IFERROR(Y503*1,"0")</f>
        <v>0</v>
      </c>
      <c r="AA521" s="50">
        <f>IFERROR(Y508*1,"0")</f>
        <v>0</v>
      </c>
      <c r="AB521" s="9"/>
      <c r="AC521" s="9"/>
      <c r="AF521" s="1"/>
    </row>
  </sheetData>
  <sheetProtection algorithmName="SHA-512" hashValue="XO4pe3upACXBsmus4WskRB+ioT3P5Y9TQhjmIN5HpPZuSR/7aFx2S5p1k9EnJKzP4RiGeR7qD5LqkvbfJaim+w==" saltValue="u4v3fyK+SMHXzOk1/oPt+w==" spinCount="100000" sheet="1" objects="1" scenarios="1" sort="0" autoFilter="0" pivotTables="0"/>
  <autoFilter ref="A18:AF51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1,00"/>
        <filter val="12,00"/>
        <filter val="14,40"/>
        <filter val="18,00"/>
        <filter val="19,00"/>
        <filter val="21,60"/>
        <filter val="21,67"/>
        <filter val="3 800,00"/>
        <filter val="32,00"/>
        <filter val="4 400,00"/>
        <filter val="4 599,60"/>
        <filter val="4 895,49"/>
        <filter val="4,00"/>
        <filter val="4,20"/>
        <filter val="4,50"/>
        <filter val="5 120,49"/>
        <filter val="5,00"/>
        <filter val="5,24"/>
        <filter val="52,00"/>
        <filter val="60,00"/>
        <filter val="600,00"/>
        <filter val="672,22"/>
        <filter val="7,20"/>
        <filter val="735,67"/>
        <filter val="8,00"/>
        <filter val="8,40"/>
        <filter val="9"/>
        <filter val="9,00"/>
        <filter val="9,05"/>
        <filter val="9,60"/>
      </filters>
    </filterColumn>
    <filterColumn colId="29" showButton="0"/>
    <filterColumn colId="30" showButton="0"/>
  </autoFilter>
  <dataConsolidate/>
  <mergeCells count="91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A292:Z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A301:Z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A454:Z454"/>
    <mergeCell ref="D455:E455"/>
    <mergeCell ref="P455:T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D508:E508"/>
    <mergeCell ref="P508:T508"/>
    <mergeCell ref="P509:V509"/>
    <mergeCell ref="A509:O510"/>
    <mergeCell ref="P510:V510"/>
    <mergeCell ref="P511:V511"/>
    <mergeCell ref="A511:O516"/>
    <mergeCell ref="P512:V512"/>
    <mergeCell ref="P513:V513"/>
    <mergeCell ref="P514:V514"/>
    <mergeCell ref="P515:V515"/>
    <mergeCell ref="P516:V516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U519:U520"/>
    <mergeCell ref="V519:V520"/>
    <mergeCell ref="W519:W520"/>
    <mergeCell ref="X519:X520"/>
    <mergeCell ref="Y519:Y520"/>
    <mergeCell ref="Z519:Z520"/>
    <mergeCell ref="AA519:AA520"/>
    <mergeCell ref="D518:I518"/>
    <mergeCell ref="J518:T518"/>
    <mergeCell ref="U518:V518"/>
    <mergeCell ref="W518:X518"/>
    <mergeCell ref="Z518:AA518"/>
    <mergeCell ref="J519:J520"/>
    <mergeCell ref="K519:K520"/>
    <mergeCell ref="L519:L520"/>
    <mergeCell ref="M519:M520"/>
    <mergeCell ref="O519:O520"/>
    <mergeCell ref="P519:P520"/>
    <mergeCell ref="Q519:Q520"/>
    <mergeCell ref="R519:R520"/>
    <mergeCell ref="S519:S520"/>
    <mergeCell ref="T519:T520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806</v>
      </c>
      <c r="H1" s="9"/>
    </row>
    <row r="3" spans="2:8" x14ac:dyDescent="0.2">
      <c r="B3" s="51" t="s">
        <v>807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808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809</v>
      </c>
      <c r="C6" s="51" t="s">
        <v>810</v>
      </c>
      <c r="D6" s="51" t="s">
        <v>811</v>
      </c>
      <c r="E6" s="51" t="s">
        <v>46</v>
      </c>
    </row>
    <row r="7" spans="2:8" x14ac:dyDescent="0.2">
      <c r="B7" s="51" t="s">
        <v>812</v>
      </c>
      <c r="C7" s="51" t="s">
        <v>813</v>
      </c>
      <c r="D7" s="51" t="s">
        <v>814</v>
      </c>
      <c r="E7" s="51" t="s">
        <v>46</v>
      </c>
    </row>
    <row r="9" spans="2:8" x14ac:dyDescent="0.2">
      <c r="B9" s="51" t="s">
        <v>815</v>
      </c>
      <c r="C9" s="51" t="s">
        <v>810</v>
      </c>
      <c r="D9" s="51" t="s">
        <v>46</v>
      </c>
      <c r="E9" s="51" t="s">
        <v>46</v>
      </c>
    </row>
    <row r="11" spans="2:8" x14ac:dyDescent="0.2">
      <c r="B11" s="51" t="s">
        <v>816</v>
      </c>
      <c r="C11" s="51" t="s">
        <v>813</v>
      </c>
      <c r="D11" s="51" t="s">
        <v>46</v>
      </c>
      <c r="E11" s="51" t="s">
        <v>46</v>
      </c>
    </row>
    <row r="13" spans="2:8" x14ac:dyDescent="0.2">
      <c r="B13" s="51" t="s">
        <v>817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818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819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823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824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825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826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827</v>
      </c>
      <c r="C23" s="51" t="s">
        <v>46</v>
      </c>
      <c r="D23" s="51" t="s">
        <v>46</v>
      </c>
      <c r="E23" s="51" t="s">
        <v>46</v>
      </c>
    </row>
  </sheetData>
  <sheetProtection algorithmName="SHA-512" hashValue="VtUnyQg+ijx7HnDJVMGVw7KFC3/oWxrDqUfb/VBb2wup2r/kc6h14Z/ajivKdjTpuEz+pF2V80H1D5+EXSG6Ow==" saltValue="pAAoWMtr5dsT0DiY8CUw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bb0b2827-4eb3-461f-8866-28597c48f47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1051</vt:i4>
      </vt:variant>
    </vt:vector>
  </HeadingPairs>
  <TitlesOfParts>
    <vt:vector size="10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