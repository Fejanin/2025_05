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886860D-B251-4013-B6A4-6C89344DF00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Y433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P386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P350" i="2"/>
  <c r="BO350" i="2"/>
  <c r="BN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M262" i="2"/>
  <c r="Y262" i="2"/>
  <c r="BP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Y244" i="2" s="1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Z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N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BP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Z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P139" i="2" l="1"/>
  <c r="BN453" i="2"/>
  <c r="BP162" i="2"/>
  <c r="BP252" i="2"/>
  <c r="Z185" i="2"/>
  <c r="BN339" i="2"/>
  <c r="Y164" i="2"/>
  <c r="Z438" i="2"/>
  <c r="BN185" i="2"/>
  <c r="BP266" i="2"/>
  <c r="BN386" i="2"/>
  <c r="BN262" i="2"/>
  <c r="Z269" i="2"/>
  <c r="BN197" i="2"/>
  <c r="BP328" i="2"/>
  <c r="Z262" i="2"/>
  <c r="BP339" i="2"/>
  <c r="Z445" i="2"/>
  <c r="Y419" i="2"/>
  <c r="Z283" i="2"/>
  <c r="BN252" i="2"/>
  <c r="BP297" i="2"/>
  <c r="BP394" i="2"/>
  <c r="Y130" i="2"/>
  <c r="BP271" i="2"/>
  <c r="BN264" i="2"/>
  <c r="BN373" i="2"/>
  <c r="BP373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N361" i="2"/>
  <c r="BP358" i="2"/>
  <c r="Z356" i="2"/>
  <c r="Z349" i="2"/>
  <c r="BN349" i="2"/>
  <c r="BN334" i="2"/>
  <c r="Y335" i="2"/>
  <c r="Z335" i="2"/>
  <c r="Z328" i="2"/>
  <c r="Z318" i="2"/>
  <c r="BP318" i="2"/>
  <c r="Z313" i="2"/>
  <c r="BN313" i="2"/>
  <c r="Z304" i="2"/>
  <c r="BN304" i="2"/>
  <c r="BP301" i="2"/>
  <c r="Z297" i="2"/>
  <c r="Z298" i="2" s="1"/>
  <c r="BN297" i="2"/>
  <c r="BP289" i="2"/>
  <c r="Z287" i="2"/>
  <c r="BN283" i="2"/>
  <c r="Z271" i="2"/>
  <c r="Z266" i="2"/>
  <c r="Z264" i="2"/>
  <c r="Z256" i="2"/>
  <c r="BN256" i="2"/>
  <c r="Z254" i="2"/>
  <c r="BN254" i="2"/>
  <c r="Z226" i="2"/>
  <c r="BN221" i="2"/>
  <c r="BP221" i="2"/>
  <c r="Z220" i="2"/>
  <c r="BN220" i="2"/>
  <c r="Z219" i="2"/>
  <c r="Z217" i="2"/>
  <c r="BN217" i="2"/>
  <c r="BP215" i="2"/>
  <c r="Z211" i="2"/>
  <c r="Z209" i="2"/>
  <c r="BN209" i="2"/>
  <c r="Z197" i="2"/>
  <c r="BP180" i="2"/>
  <c r="Z174" i="2"/>
  <c r="Z173" i="2"/>
  <c r="BP173" i="2"/>
  <c r="Z171" i="2"/>
  <c r="BP170" i="2"/>
  <c r="Z168" i="2"/>
  <c r="BP168" i="2"/>
  <c r="Z162" i="2"/>
  <c r="Z163" i="2" s="1"/>
  <c r="Y159" i="2"/>
  <c r="Z139" i="2"/>
  <c r="Z138" i="2"/>
  <c r="Z133" i="2"/>
  <c r="BN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7" i="2"/>
  <c r="Z106" i="2"/>
  <c r="BP106" i="2"/>
  <c r="Z105" i="2"/>
  <c r="G537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BP30" i="2"/>
  <c r="Z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BN157" i="2"/>
  <c r="Z18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Z233" i="2" s="1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BP102" i="2"/>
  <c r="BP112" i="2"/>
  <c r="Z143" i="2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6" i="2" s="1"/>
  <c r="Z69" i="2"/>
  <c r="BN81" i="2"/>
  <c r="Z103" i="2"/>
  <c r="Z113" i="2"/>
  <c r="Z123" i="2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429" i="2" l="1"/>
  <c r="Z78" i="2"/>
  <c r="Z140" i="2"/>
  <c r="Z248" i="2"/>
  <c r="Z91" i="2"/>
  <c r="Z125" i="2"/>
  <c r="Z55" i="2"/>
  <c r="Z511" i="2"/>
  <c r="Z480" i="2"/>
  <c r="Z466" i="2"/>
  <c r="Z455" i="2"/>
  <c r="Z395" i="2"/>
  <c r="Z382" i="2"/>
  <c r="Z352" i="2"/>
  <c r="Z321" i="2"/>
  <c r="Z145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<sst xmlns="http://schemas.openxmlformats.org/spreadsheetml/2006/main" count="3949" uniqueCount="840">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</sst>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32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23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1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31" t="s">
        <v>26</v>
      </c>
      <c r="E1" s="931"/>
      <c r="F1" s="931"/>
      <c r="G1" s="14" t="s">
        <v>67</v>
      </c>
      <c r="H1" s="931" t="s">
        <v>47</v>
      </c>
      <c r="I1" s="931"/>
      <c r="J1" s="931"/>
      <c r="K1" s="931"/>
      <c r="L1" s="931"/>
      <c r="M1" s="931"/>
      <c r="N1" s="931"/>
      <c r="O1" s="931"/>
      <c r="P1" s="931"/>
      <c r="Q1" s="931"/>
      <c r="R1" s="932" t="s">
        <v>68</v>
      </c>
      <c r="S1" s="933"/>
      <c r="T1" s="93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4"/>
      <c r="R2" s="934"/>
      <c r="S2" s="934"/>
      <c r="T2" s="934"/>
      <c r="U2" s="934"/>
      <c r="V2" s="934"/>
      <c r="W2" s="93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34"/>
      <c r="Q3" s="934"/>
      <c r="R3" s="934"/>
      <c r="S3" s="934"/>
      <c r="T3" s="934"/>
      <c r="U3" s="934"/>
      <c r="V3" s="934"/>
      <c r="W3" s="93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13" t="s">
        <v>8</v>
      </c>
      <c r="B5" s="913"/>
      <c r="C5" s="913"/>
      <c r="D5" s="935"/>
      <c r="E5" s="935"/>
      <c r="F5" s="936" t="s">
        <v>14</v>
      </c>
      <c r="G5" s="936"/>
      <c r="H5" s="935" t="s">
        <v>839</v>
      </c>
      <c r="I5" s="935"/>
      <c r="J5" s="935"/>
      <c r="K5" s="935"/>
      <c r="L5" s="935"/>
      <c r="M5" s="935"/>
      <c r="N5" s="69"/>
      <c r="P5" s="26" t="s">
        <v>4</v>
      </c>
      <c r="Q5" s="937">
        <v>46202</v>
      </c>
      <c r="R5" s="937"/>
      <c r="T5" s="938" t="s">
        <v>3</v>
      </c>
      <c r="U5" s="939"/>
      <c r="V5" s="940" t="s">
        <v>820</v>
      </c>
      <c r="W5" s="941"/>
      <c r="AB5" s="57"/>
      <c r="AC5" s="57"/>
      <c r="AD5" s="57"/>
      <c r="AE5" s="57"/>
    </row>
    <row r="6" spans="1:32" s="17" customFormat="1" ht="24" customHeight="1" x14ac:dyDescent="0.2">
      <c r="A6" s="913" t="s">
        <v>1</v>
      </c>
      <c r="B6" s="913"/>
      <c r="C6" s="913"/>
      <c r="D6" s="914" t="s">
        <v>821</v>
      </c>
      <c r="E6" s="914"/>
      <c r="F6" s="914"/>
      <c r="G6" s="914"/>
      <c r="H6" s="914"/>
      <c r="I6" s="914"/>
      <c r="J6" s="914"/>
      <c r="K6" s="914"/>
      <c r="L6" s="914"/>
      <c r="M6" s="914"/>
      <c r="N6" s="70"/>
      <c r="P6" s="26" t="s">
        <v>27</v>
      </c>
      <c r="Q6" s="915" t="str">
        <f>IF(Q5=0," ",CHOOSE(WEEKDAY(Q5,2),"Понедельник","Вторник","Среда","Четверг","Пятница","Суббота","Воскресенье"))</f>
        <v>Понедельник</v>
      </c>
      <c r="R6" s="915"/>
      <c r="T6" s="916" t="s">
        <v>5</v>
      </c>
      <c r="U6" s="917"/>
      <c r="V6" s="918" t="s">
        <v>70</v>
      </c>
      <c r="W6" s="91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24" t="str">
        <f>IFERROR(VLOOKUP(DeliveryAddress,Table,3,0),1)</f>
        <v>1</v>
      </c>
      <c r="E7" s="925"/>
      <c r="F7" s="925"/>
      <c r="G7" s="925"/>
      <c r="H7" s="925"/>
      <c r="I7" s="925"/>
      <c r="J7" s="925"/>
      <c r="K7" s="925"/>
      <c r="L7" s="925"/>
      <c r="M7" s="926"/>
      <c r="N7" s="71"/>
      <c r="P7" s="26"/>
      <c r="Q7" s="46"/>
      <c r="R7" s="46"/>
      <c r="T7" s="916"/>
      <c r="U7" s="917"/>
      <c r="V7" s="920"/>
      <c r="W7" s="921"/>
      <c r="AB7" s="57"/>
      <c r="AC7" s="57"/>
      <c r="AD7" s="57"/>
      <c r="AE7" s="57"/>
    </row>
    <row r="8" spans="1:32" s="17" customFormat="1" ht="25.5" customHeight="1" x14ac:dyDescent="0.2">
      <c r="A8" s="927" t="s">
        <v>58</v>
      </c>
      <c r="B8" s="927"/>
      <c r="C8" s="927"/>
      <c r="D8" s="928"/>
      <c r="E8" s="928"/>
      <c r="F8" s="928"/>
      <c r="G8" s="928"/>
      <c r="H8" s="928"/>
      <c r="I8" s="928"/>
      <c r="J8" s="928"/>
      <c r="K8" s="928"/>
      <c r="L8" s="928"/>
      <c r="M8" s="928"/>
      <c r="N8" s="72"/>
      <c r="P8" s="26" t="s">
        <v>11</v>
      </c>
      <c r="Q8" s="911">
        <v>0.375</v>
      </c>
      <c r="R8" s="911"/>
      <c r="T8" s="916"/>
      <c r="U8" s="917"/>
      <c r="V8" s="920"/>
      <c r="W8" s="921"/>
      <c r="AB8" s="57"/>
      <c r="AC8" s="57"/>
      <c r="AD8" s="57"/>
      <c r="AE8" s="57"/>
    </row>
    <row r="9" spans="1:32" s="17" customFormat="1" ht="39.950000000000003" customHeight="1" x14ac:dyDescent="0.2">
      <c r="A9" s="9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03"/>
      <c r="C9" s="903"/>
      <c r="D9" s="904" t="s">
        <v>46</v>
      </c>
      <c r="E9" s="905"/>
      <c r="F9" s="9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03"/>
      <c r="H9" s="929" t="str">
        <f>IF(AND($A$9="Тип доверенности/получателя при получении в адресе перегруза:",$D$9="Разовая доверенность"),"Введите ФИО","")</f>
        <v/>
      </c>
      <c r="I9" s="929"/>
      <c r="J9" s="92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9"/>
      <c r="L9" s="929"/>
      <c r="M9" s="929"/>
      <c r="N9" s="67"/>
      <c r="P9" s="29" t="s">
        <v>15</v>
      </c>
      <c r="Q9" s="930"/>
      <c r="R9" s="930"/>
      <c r="T9" s="916"/>
      <c r="U9" s="917"/>
      <c r="V9" s="922"/>
      <c r="W9" s="92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03"/>
      <c r="C10" s="903"/>
      <c r="D10" s="904"/>
      <c r="E10" s="905"/>
      <c r="F10" s="9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03"/>
      <c r="H10" s="906" t="str">
        <f>IFERROR(VLOOKUP($D$10,Proxy,2,FALSE),"")</f>
        <v/>
      </c>
      <c r="I10" s="906"/>
      <c r="J10" s="906"/>
      <c r="K10" s="906"/>
      <c r="L10" s="906"/>
      <c r="M10" s="906"/>
      <c r="N10" s="68"/>
      <c r="P10" s="29" t="s">
        <v>32</v>
      </c>
      <c r="Q10" s="907"/>
      <c r="R10" s="907"/>
      <c r="U10" s="26" t="s">
        <v>12</v>
      </c>
      <c r="V10" s="908" t="s">
        <v>71</v>
      </c>
      <c r="W10" s="90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10"/>
      <c r="R11" s="910"/>
      <c r="U11" s="26" t="s">
        <v>28</v>
      </c>
      <c r="V11" s="889" t="s">
        <v>55</v>
      </c>
      <c r="W11" s="88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8" t="s">
        <v>72</v>
      </c>
      <c r="B12" s="888"/>
      <c r="C12" s="888"/>
      <c r="D12" s="888"/>
      <c r="E12" s="888"/>
      <c r="F12" s="888"/>
      <c r="G12" s="888"/>
      <c r="H12" s="888"/>
      <c r="I12" s="888"/>
      <c r="J12" s="888"/>
      <c r="K12" s="888"/>
      <c r="L12" s="888"/>
      <c r="M12" s="888"/>
      <c r="N12" s="73"/>
      <c r="P12" s="26" t="s">
        <v>30</v>
      </c>
      <c r="Q12" s="911"/>
      <c r="R12" s="911"/>
      <c r="S12" s="27"/>
      <c r="T12"/>
      <c r="U12" s="26" t="s">
        <v>46</v>
      </c>
      <c r="V12" s="912"/>
      <c r="W12" s="912"/>
      <c r="X12"/>
      <c r="AB12" s="57"/>
      <c r="AC12" s="57"/>
      <c r="AD12" s="57"/>
      <c r="AE12" s="57"/>
    </row>
    <row r="13" spans="1:32" s="17" customFormat="1" ht="23.25" customHeight="1" x14ac:dyDescent="0.2">
      <c r="A13" s="888" t="s">
        <v>73</v>
      </c>
      <c r="B13" s="888"/>
      <c r="C13" s="888"/>
      <c r="D13" s="888"/>
      <c r="E13" s="888"/>
      <c r="F13" s="888"/>
      <c r="G13" s="888"/>
      <c r="H13" s="888"/>
      <c r="I13" s="888"/>
      <c r="J13" s="888"/>
      <c r="K13" s="888"/>
      <c r="L13" s="888"/>
      <c r="M13" s="888"/>
      <c r="N13" s="73"/>
      <c r="O13" s="29"/>
      <c r="P13" s="29" t="s">
        <v>31</v>
      </c>
      <c r="Q13" s="889"/>
      <c r="R13" s="88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8" t="s">
        <v>74</v>
      </c>
      <c r="B14" s="888"/>
      <c r="C14" s="888"/>
      <c r="D14" s="888"/>
      <c r="E14" s="888"/>
      <c r="F14" s="888"/>
      <c r="G14" s="888"/>
      <c r="H14" s="888"/>
      <c r="I14" s="888"/>
      <c r="J14" s="888"/>
      <c r="K14" s="888"/>
      <c r="L14" s="888"/>
      <c r="M14" s="8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90" t="s">
        <v>75</v>
      </c>
      <c r="B15" s="890"/>
      <c r="C15" s="890"/>
      <c r="D15" s="890"/>
      <c r="E15" s="890"/>
      <c r="F15" s="890"/>
      <c r="G15" s="890"/>
      <c r="H15" s="890"/>
      <c r="I15" s="890"/>
      <c r="J15" s="890"/>
      <c r="K15" s="890"/>
      <c r="L15" s="890"/>
      <c r="M15" s="890"/>
      <c r="N15" s="74"/>
      <c r="O15"/>
      <c r="P15" s="891" t="s">
        <v>61</v>
      </c>
      <c r="Q15" s="891"/>
      <c r="R15" s="891"/>
      <c r="S15" s="891"/>
      <c r="T15" s="8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92"/>
      <c r="Q16" s="892"/>
      <c r="R16" s="892"/>
      <c r="S16" s="892"/>
      <c r="T16" s="8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74" t="s">
        <v>59</v>
      </c>
      <c r="B17" s="874" t="s">
        <v>49</v>
      </c>
      <c r="C17" s="895" t="s">
        <v>48</v>
      </c>
      <c r="D17" s="897" t="s">
        <v>50</v>
      </c>
      <c r="E17" s="898"/>
      <c r="F17" s="874" t="s">
        <v>21</v>
      </c>
      <c r="G17" s="874" t="s">
        <v>24</v>
      </c>
      <c r="H17" s="874" t="s">
        <v>22</v>
      </c>
      <c r="I17" s="874" t="s">
        <v>23</v>
      </c>
      <c r="J17" s="874" t="s">
        <v>16</v>
      </c>
      <c r="K17" s="874" t="s">
        <v>66</v>
      </c>
      <c r="L17" s="874" t="s">
        <v>64</v>
      </c>
      <c r="M17" s="874" t="s">
        <v>2</v>
      </c>
      <c r="N17" s="874" t="s">
        <v>63</v>
      </c>
      <c r="O17" s="874" t="s">
        <v>25</v>
      </c>
      <c r="P17" s="897" t="s">
        <v>17</v>
      </c>
      <c r="Q17" s="901"/>
      <c r="R17" s="901"/>
      <c r="S17" s="901"/>
      <c r="T17" s="898"/>
      <c r="U17" s="893" t="s">
        <v>56</v>
      </c>
      <c r="V17" s="894"/>
      <c r="W17" s="874" t="s">
        <v>6</v>
      </c>
      <c r="X17" s="874" t="s">
        <v>41</v>
      </c>
      <c r="Y17" s="876" t="s">
        <v>54</v>
      </c>
      <c r="Z17" s="878" t="s">
        <v>18</v>
      </c>
      <c r="AA17" s="880" t="s">
        <v>60</v>
      </c>
      <c r="AB17" s="880" t="s">
        <v>19</v>
      </c>
      <c r="AC17" s="880" t="s">
        <v>65</v>
      </c>
      <c r="AD17" s="882" t="s">
        <v>57</v>
      </c>
      <c r="AE17" s="883"/>
      <c r="AF17" s="884"/>
      <c r="AG17" s="77"/>
      <c r="BD17" s="76" t="s">
        <v>62</v>
      </c>
    </row>
    <row r="18" spans="1:68" ht="14.25" customHeight="1" x14ac:dyDescent="0.2">
      <c r="A18" s="875"/>
      <c r="B18" s="875"/>
      <c r="C18" s="896"/>
      <c r="D18" s="899"/>
      <c r="E18" s="900"/>
      <c r="F18" s="875"/>
      <c r="G18" s="875"/>
      <c r="H18" s="875"/>
      <c r="I18" s="875"/>
      <c r="J18" s="875"/>
      <c r="K18" s="875"/>
      <c r="L18" s="875"/>
      <c r="M18" s="875"/>
      <c r="N18" s="875"/>
      <c r="O18" s="875"/>
      <c r="P18" s="899"/>
      <c r="Q18" s="902"/>
      <c r="R18" s="902"/>
      <c r="S18" s="902"/>
      <c r="T18" s="900"/>
      <c r="U18" s="78" t="s">
        <v>44</v>
      </c>
      <c r="V18" s="78" t="s">
        <v>43</v>
      </c>
      <c r="W18" s="875"/>
      <c r="X18" s="875"/>
      <c r="Y18" s="877"/>
      <c r="Z18" s="879"/>
      <c r="AA18" s="881"/>
      <c r="AB18" s="881"/>
      <c r="AC18" s="881"/>
      <c r="AD18" s="885"/>
      <c r="AE18" s="886"/>
      <c r="AF18" s="887"/>
      <c r="AG18" s="77"/>
      <c r="BD18" s="76"/>
    </row>
    <row r="19" spans="1:68" ht="27.75" hidden="1" customHeight="1" x14ac:dyDescent="0.2">
      <c r="A19" s="622" t="s">
        <v>76</v>
      </c>
      <c r="B19" s="622"/>
      <c r="C19" s="622"/>
      <c r="D19" s="622"/>
      <c r="E19" s="622"/>
      <c r="F19" s="622"/>
      <c r="G19" s="622"/>
      <c r="H19" s="622"/>
      <c r="I19" s="622"/>
      <c r="J19" s="622"/>
      <c r="K19" s="622"/>
      <c r="L19" s="622"/>
      <c r="M19" s="622"/>
      <c r="N19" s="622"/>
      <c r="O19" s="622"/>
      <c r="P19" s="622"/>
      <c r="Q19" s="622"/>
      <c r="R19" s="622"/>
      <c r="S19" s="622"/>
      <c r="T19" s="622"/>
      <c r="U19" s="622"/>
      <c r="V19" s="622"/>
      <c r="W19" s="622"/>
      <c r="X19" s="622"/>
      <c r="Y19" s="622"/>
      <c r="Z19" s="622"/>
      <c r="AA19" s="52"/>
      <c r="AB19" s="52"/>
      <c r="AC19" s="52"/>
    </row>
    <row r="20" spans="1:68" ht="16.5" hidden="1" customHeight="1" x14ac:dyDescent="0.25">
      <c r="A20" s="617" t="s">
        <v>76</v>
      </c>
      <c r="B20" s="617"/>
      <c r="C20" s="617"/>
      <c r="D20" s="617"/>
      <c r="E20" s="617"/>
      <c r="F20" s="617"/>
      <c r="G20" s="617"/>
      <c r="H20" s="617"/>
      <c r="I20" s="617"/>
      <c r="J20" s="617"/>
      <c r="K20" s="617"/>
      <c r="L20" s="617"/>
      <c r="M20" s="617"/>
      <c r="N20" s="617"/>
      <c r="O20" s="617"/>
      <c r="P20" s="617"/>
      <c r="Q20" s="617"/>
      <c r="R20" s="617"/>
      <c r="S20" s="617"/>
      <c r="T20" s="617"/>
      <c r="U20" s="617"/>
      <c r="V20" s="617"/>
      <c r="W20" s="617"/>
      <c r="X20" s="617"/>
      <c r="Y20" s="617"/>
      <c r="Z20" s="617"/>
      <c r="AA20" s="62"/>
      <c r="AB20" s="62"/>
      <c r="AC20" s="62"/>
    </row>
    <row r="21" spans="1:68" ht="14.25" hidden="1" customHeight="1" x14ac:dyDescent="0.25">
      <c r="A21" s="601" t="s">
        <v>77</v>
      </c>
      <c r="B21" s="601"/>
      <c r="C21" s="601"/>
      <c r="D21" s="601"/>
      <c r="E21" s="601"/>
      <c r="F21" s="601"/>
      <c r="G21" s="601"/>
      <c r="H21" s="601"/>
      <c r="I21" s="601"/>
      <c r="J21" s="601"/>
      <c r="K21" s="601"/>
      <c r="L21" s="601"/>
      <c r="M21" s="601"/>
      <c r="N21" s="601"/>
      <c r="O21" s="601"/>
      <c r="P21" s="601"/>
      <c r="Q21" s="601"/>
      <c r="R21" s="601"/>
      <c r="S21" s="601"/>
      <c r="T21" s="601"/>
      <c r="U21" s="601"/>
      <c r="V21" s="601"/>
      <c r="W21" s="601"/>
      <c r="X21" s="601"/>
      <c r="Y21" s="601"/>
      <c r="Z21" s="60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02">
        <v>4680115886643</v>
      </c>
      <c r="E22" s="60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8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4"/>
      <c r="R22" s="604"/>
      <c r="S22" s="604"/>
      <c r="T22" s="60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02">
        <v>4680115889071</v>
      </c>
      <c r="E23" s="60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8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4"/>
      <c r="R23" s="604"/>
      <c r="S23" s="604"/>
      <c r="T23" s="60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09"/>
      <c r="B24" s="609"/>
      <c r="C24" s="609"/>
      <c r="D24" s="609"/>
      <c r="E24" s="609"/>
      <c r="F24" s="609"/>
      <c r="G24" s="609"/>
      <c r="H24" s="609"/>
      <c r="I24" s="609"/>
      <c r="J24" s="609"/>
      <c r="K24" s="609"/>
      <c r="L24" s="609"/>
      <c r="M24" s="609"/>
      <c r="N24" s="609"/>
      <c r="O24" s="610"/>
      <c r="P24" s="606" t="s">
        <v>40</v>
      </c>
      <c r="Q24" s="607"/>
      <c r="R24" s="607"/>
      <c r="S24" s="607"/>
      <c r="T24" s="607"/>
      <c r="U24" s="607"/>
      <c r="V24" s="60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09"/>
      <c r="B25" s="609"/>
      <c r="C25" s="609"/>
      <c r="D25" s="609"/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10"/>
      <c r="P25" s="606" t="s">
        <v>40</v>
      </c>
      <c r="Q25" s="607"/>
      <c r="R25" s="607"/>
      <c r="S25" s="607"/>
      <c r="T25" s="607"/>
      <c r="U25" s="607"/>
      <c r="V25" s="60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01" t="s">
        <v>86</v>
      </c>
      <c r="B26" s="601"/>
      <c r="C26" s="601"/>
      <c r="D26" s="601"/>
      <c r="E26" s="601"/>
      <c r="F26" s="601"/>
      <c r="G26" s="601"/>
      <c r="H26" s="601"/>
      <c r="I26" s="601"/>
      <c r="J26" s="601"/>
      <c r="K26" s="601"/>
      <c r="L26" s="601"/>
      <c r="M26" s="601"/>
      <c r="N26" s="601"/>
      <c r="O26" s="601"/>
      <c r="P26" s="601"/>
      <c r="Q26" s="601"/>
      <c r="R26" s="601"/>
      <c r="S26" s="601"/>
      <c r="T26" s="601"/>
      <c r="U26" s="601"/>
      <c r="V26" s="601"/>
      <c r="W26" s="601"/>
      <c r="X26" s="601"/>
      <c r="Y26" s="601"/>
      <c r="Z26" s="60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02">
        <v>4680115885912</v>
      </c>
      <c r="E27" s="60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86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4"/>
      <c r="R27" s="604"/>
      <c r="S27" s="604"/>
      <c r="T27" s="605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02">
        <v>4607091388237</v>
      </c>
      <c r="E28" s="60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86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4"/>
      <c r="R28" s="604"/>
      <c r="S28" s="604"/>
      <c r="T28" s="605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02">
        <v>4680115887350</v>
      </c>
      <c r="E29" s="60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87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4"/>
      <c r="R29" s="604"/>
      <c r="S29" s="604"/>
      <c r="T29" s="605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02">
        <v>4680115885905</v>
      </c>
      <c r="E30" s="60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87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4"/>
      <c r="R30" s="604"/>
      <c r="S30" s="604"/>
      <c r="T30" s="605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02">
        <v>4680115887657</v>
      </c>
      <c r="E31" s="60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86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4"/>
      <c r="R31" s="604"/>
      <c r="S31" s="604"/>
      <c r="T31" s="605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02">
        <v>4680115887619</v>
      </c>
      <c r="E32" s="602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8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4"/>
      <c r="R32" s="604"/>
      <c r="S32" s="604"/>
      <c r="T32" s="605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09"/>
      <c r="B33" s="609"/>
      <c r="C33" s="609"/>
      <c r="D33" s="609"/>
      <c r="E33" s="609"/>
      <c r="F33" s="609"/>
      <c r="G33" s="609"/>
      <c r="H33" s="609"/>
      <c r="I33" s="609"/>
      <c r="J33" s="609"/>
      <c r="K33" s="609"/>
      <c r="L33" s="609"/>
      <c r="M33" s="609"/>
      <c r="N33" s="609"/>
      <c r="O33" s="610"/>
      <c r="P33" s="606" t="s">
        <v>40</v>
      </c>
      <c r="Q33" s="607"/>
      <c r="R33" s="607"/>
      <c r="S33" s="607"/>
      <c r="T33" s="607"/>
      <c r="U33" s="607"/>
      <c r="V33" s="60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09"/>
      <c r="B34" s="609"/>
      <c r="C34" s="609"/>
      <c r="D34" s="609"/>
      <c r="E34" s="609"/>
      <c r="F34" s="609"/>
      <c r="G34" s="609"/>
      <c r="H34" s="609"/>
      <c r="I34" s="609"/>
      <c r="J34" s="609"/>
      <c r="K34" s="609"/>
      <c r="L34" s="609"/>
      <c r="M34" s="609"/>
      <c r="N34" s="609"/>
      <c r="O34" s="610"/>
      <c r="P34" s="606" t="s">
        <v>40</v>
      </c>
      <c r="Q34" s="607"/>
      <c r="R34" s="607"/>
      <c r="S34" s="607"/>
      <c r="T34" s="607"/>
      <c r="U34" s="607"/>
      <c r="V34" s="60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01" t="s">
        <v>107</v>
      </c>
      <c r="B35" s="601"/>
      <c r="C35" s="601"/>
      <c r="D35" s="601"/>
      <c r="E35" s="601"/>
      <c r="F35" s="601"/>
      <c r="G35" s="601"/>
      <c r="H35" s="601"/>
      <c r="I35" s="601"/>
      <c r="J35" s="601"/>
      <c r="K35" s="601"/>
      <c r="L35" s="601"/>
      <c r="M35" s="601"/>
      <c r="N35" s="601"/>
      <c r="O35" s="601"/>
      <c r="P35" s="601"/>
      <c r="Q35" s="601"/>
      <c r="R35" s="601"/>
      <c r="S35" s="601"/>
      <c r="T35" s="601"/>
      <c r="U35" s="601"/>
      <c r="V35" s="601"/>
      <c r="W35" s="601"/>
      <c r="X35" s="601"/>
      <c r="Y35" s="601"/>
      <c r="Z35" s="601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02">
        <v>4607091388503</v>
      </c>
      <c r="E36" s="602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86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4"/>
      <c r="R36" s="604"/>
      <c r="S36" s="604"/>
      <c r="T36" s="605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09"/>
      <c r="B37" s="609"/>
      <c r="C37" s="609"/>
      <c r="D37" s="609"/>
      <c r="E37" s="609"/>
      <c r="F37" s="609"/>
      <c r="G37" s="609"/>
      <c r="H37" s="609"/>
      <c r="I37" s="609"/>
      <c r="J37" s="609"/>
      <c r="K37" s="609"/>
      <c r="L37" s="609"/>
      <c r="M37" s="609"/>
      <c r="N37" s="609"/>
      <c r="O37" s="610"/>
      <c r="P37" s="606" t="s">
        <v>40</v>
      </c>
      <c r="Q37" s="607"/>
      <c r="R37" s="607"/>
      <c r="S37" s="607"/>
      <c r="T37" s="607"/>
      <c r="U37" s="607"/>
      <c r="V37" s="60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09"/>
      <c r="B38" s="609"/>
      <c r="C38" s="609"/>
      <c r="D38" s="609"/>
      <c r="E38" s="609"/>
      <c r="F38" s="609"/>
      <c r="G38" s="609"/>
      <c r="H38" s="609"/>
      <c r="I38" s="609"/>
      <c r="J38" s="609"/>
      <c r="K38" s="609"/>
      <c r="L38" s="609"/>
      <c r="M38" s="609"/>
      <c r="N38" s="609"/>
      <c r="O38" s="610"/>
      <c r="P38" s="606" t="s">
        <v>40</v>
      </c>
      <c r="Q38" s="607"/>
      <c r="R38" s="607"/>
      <c r="S38" s="607"/>
      <c r="T38" s="607"/>
      <c r="U38" s="607"/>
      <c r="V38" s="60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22" t="s">
        <v>45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52"/>
      <c r="AB39" s="52"/>
      <c r="AC39" s="52"/>
    </row>
    <row r="40" spans="1:68" ht="16.5" hidden="1" customHeight="1" x14ac:dyDescent="0.25">
      <c r="A40" s="617" t="s">
        <v>113</v>
      </c>
      <c r="B40" s="617"/>
      <c r="C40" s="617"/>
      <c r="D40" s="617"/>
      <c r="E40" s="617"/>
      <c r="F40" s="617"/>
      <c r="G40" s="617"/>
      <c r="H40" s="617"/>
      <c r="I40" s="617"/>
      <c r="J40" s="617"/>
      <c r="K40" s="617"/>
      <c r="L40" s="617"/>
      <c r="M40" s="617"/>
      <c r="N40" s="617"/>
      <c r="O40" s="617"/>
      <c r="P40" s="617"/>
      <c r="Q40" s="617"/>
      <c r="R40" s="617"/>
      <c r="S40" s="617"/>
      <c r="T40" s="617"/>
      <c r="U40" s="617"/>
      <c r="V40" s="617"/>
      <c r="W40" s="617"/>
      <c r="X40" s="617"/>
      <c r="Y40" s="617"/>
      <c r="Z40" s="617"/>
      <c r="AA40" s="62"/>
      <c r="AB40" s="62"/>
      <c r="AC40" s="62"/>
    </row>
    <row r="41" spans="1:68" ht="14.25" hidden="1" customHeight="1" x14ac:dyDescent="0.25">
      <c r="A41" s="601" t="s">
        <v>86</v>
      </c>
      <c r="B41" s="601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1"/>
      <c r="S41" s="601"/>
      <c r="T41" s="601"/>
      <c r="U41" s="601"/>
      <c r="V41" s="601"/>
      <c r="W41" s="601"/>
      <c r="X41" s="601"/>
      <c r="Y41" s="601"/>
      <c r="Z41" s="601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02">
        <v>4680115888463</v>
      </c>
      <c r="E42" s="60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86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4"/>
      <c r="R42" s="604"/>
      <c r="S42" s="604"/>
      <c r="T42" s="60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02">
        <v>4680115888494</v>
      </c>
      <c r="E43" s="60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86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4"/>
      <c r="R43" s="604"/>
      <c r="S43" s="604"/>
      <c r="T43" s="60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02">
        <v>4680115888272</v>
      </c>
      <c r="E44" s="60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86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4"/>
      <c r="R44" s="604"/>
      <c r="S44" s="604"/>
      <c r="T44" s="605"/>
      <c r="U44" s="37" t="s">
        <v>46</v>
      </c>
      <c r="V44" s="37" t="s">
        <v>46</v>
      </c>
      <c r="W44" s="38" t="s">
        <v>0</v>
      </c>
      <c r="X44" s="56">
        <v>25.6</v>
      </c>
      <c r="Y44" s="53">
        <f>IFERROR(IF(X44="",0,CEILING((X44/$H44),1)*$H44),"")</f>
        <v>26.88</v>
      </c>
      <c r="Z44" s="39">
        <f>IFERROR(IF(Y44=0,"",ROUNDUP(Y44/H44,0)*0.00651),"")</f>
        <v>9.1139999999999999E-2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28.000000000000004</v>
      </c>
      <c r="BN44" s="75">
        <f>IFERROR(Y44*I44/H44,"0")</f>
        <v>29.400000000000002</v>
      </c>
      <c r="BO44" s="75">
        <f>IFERROR(1/J44*(X44/H44),"0")</f>
        <v>7.3260073260073263E-2</v>
      </c>
      <c r="BP44" s="75">
        <f>IFERROR(1/J44*(Y44/H44),"0")</f>
        <v>7.6923076923076927E-2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02">
        <v>4680115888364</v>
      </c>
      <c r="E45" s="60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86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4"/>
      <c r="R45" s="604"/>
      <c r="S45" s="604"/>
      <c r="T45" s="60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09"/>
      <c r="B46" s="609"/>
      <c r="C46" s="609"/>
      <c r="D46" s="609"/>
      <c r="E46" s="609"/>
      <c r="F46" s="609"/>
      <c r="G46" s="609"/>
      <c r="H46" s="609"/>
      <c r="I46" s="609"/>
      <c r="J46" s="609"/>
      <c r="K46" s="609"/>
      <c r="L46" s="609"/>
      <c r="M46" s="609"/>
      <c r="N46" s="609"/>
      <c r="O46" s="610"/>
      <c r="P46" s="606" t="s">
        <v>40</v>
      </c>
      <c r="Q46" s="607"/>
      <c r="R46" s="607"/>
      <c r="S46" s="607"/>
      <c r="T46" s="607"/>
      <c r="U46" s="607"/>
      <c r="V46" s="608"/>
      <c r="W46" s="40" t="s">
        <v>39</v>
      </c>
      <c r="X46" s="41">
        <f>IFERROR(X42/H42,"0")+IFERROR(X43/H43,"0")+IFERROR(X44/H44,"0")+IFERROR(X45/H45,"0")</f>
        <v>13.333333333333334</v>
      </c>
      <c r="Y46" s="41">
        <f>IFERROR(Y42/H42,"0")+IFERROR(Y43/H43,"0")+IFERROR(Y44/H44,"0")+IFERROR(Y45/H45,"0")</f>
        <v>14</v>
      </c>
      <c r="Z46" s="41">
        <f>IFERROR(IF(Z42="",0,Z42),"0")+IFERROR(IF(Z43="",0,Z43),"0")+IFERROR(IF(Z44="",0,Z44),"0")+IFERROR(IF(Z45="",0,Z45),"0")</f>
        <v>9.1139999999999999E-2</v>
      </c>
      <c r="AA46" s="64"/>
      <c r="AB46" s="64"/>
      <c r="AC46" s="64"/>
    </row>
    <row r="47" spans="1:68" x14ac:dyDescent="0.2">
      <c r="A47" s="609"/>
      <c r="B47" s="609"/>
      <c r="C47" s="609"/>
      <c r="D47" s="609"/>
      <c r="E47" s="609"/>
      <c r="F47" s="609"/>
      <c r="G47" s="609"/>
      <c r="H47" s="609"/>
      <c r="I47" s="609"/>
      <c r="J47" s="609"/>
      <c r="K47" s="609"/>
      <c r="L47" s="609"/>
      <c r="M47" s="609"/>
      <c r="N47" s="609"/>
      <c r="O47" s="610"/>
      <c r="P47" s="606" t="s">
        <v>40</v>
      </c>
      <c r="Q47" s="607"/>
      <c r="R47" s="607"/>
      <c r="S47" s="607"/>
      <c r="T47" s="607"/>
      <c r="U47" s="607"/>
      <c r="V47" s="608"/>
      <c r="W47" s="40" t="s">
        <v>0</v>
      </c>
      <c r="X47" s="41">
        <f>IFERROR(SUM(X42:X45),"0")</f>
        <v>25.6</v>
      </c>
      <c r="Y47" s="41">
        <f>IFERROR(SUM(Y42:Y45),"0")</f>
        <v>26.88</v>
      </c>
      <c r="Z47" s="40"/>
      <c r="AA47" s="64"/>
      <c r="AB47" s="64"/>
      <c r="AC47" s="64"/>
    </row>
    <row r="48" spans="1:68" ht="27.75" hidden="1" customHeight="1" x14ac:dyDescent="0.2">
      <c r="A48" s="622" t="s">
        <v>126</v>
      </c>
      <c r="B48" s="622"/>
      <c r="C48" s="622"/>
      <c r="D48" s="622"/>
      <c r="E48" s="622"/>
      <c r="F48" s="622"/>
      <c r="G48" s="622"/>
      <c r="H48" s="622"/>
      <c r="I48" s="622"/>
      <c r="J48" s="622"/>
      <c r="K48" s="622"/>
      <c r="L48" s="622"/>
      <c r="M48" s="622"/>
      <c r="N48" s="622"/>
      <c r="O48" s="622"/>
      <c r="P48" s="622"/>
      <c r="Q48" s="622"/>
      <c r="R48" s="622"/>
      <c r="S48" s="622"/>
      <c r="T48" s="622"/>
      <c r="U48" s="622"/>
      <c r="V48" s="622"/>
      <c r="W48" s="622"/>
      <c r="X48" s="622"/>
      <c r="Y48" s="622"/>
      <c r="Z48" s="622"/>
      <c r="AA48" s="52"/>
      <c r="AB48" s="52"/>
      <c r="AC48" s="52"/>
    </row>
    <row r="49" spans="1:68" ht="16.5" hidden="1" customHeight="1" x14ac:dyDescent="0.25">
      <c r="A49" s="617" t="s">
        <v>127</v>
      </c>
      <c r="B49" s="617"/>
      <c r="C49" s="617"/>
      <c r="D49" s="617"/>
      <c r="E49" s="617"/>
      <c r="F49" s="617"/>
      <c r="G49" s="617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7"/>
      <c r="S49" s="617"/>
      <c r="T49" s="617"/>
      <c r="U49" s="617"/>
      <c r="V49" s="617"/>
      <c r="W49" s="617"/>
      <c r="X49" s="617"/>
      <c r="Y49" s="617"/>
      <c r="Z49" s="617"/>
      <c r="AA49" s="62"/>
      <c r="AB49" s="62"/>
      <c r="AC49" s="62"/>
    </row>
    <row r="50" spans="1:68" ht="14.25" hidden="1" customHeight="1" x14ac:dyDescent="0.25">
      <c r="A50" s="601" t="s">
        <v>128</v>
      </c>
      <c r="B50" s="601"/>
      <c r="C50" s="601"/>
      <c r="D50" s="601"/>
      <c r="E50" s="601"/>
      <c r="F50" s="601"/>
      <c r="G50" s="601"/>
      <c r="H50" s="601"/>
      <c r="I50" s="601"/>
      <c r="J50" s="601"/>
      <c r="K50" s="601"/>
      <c r="L50" s="601"/>
      <c r="M50" s="601"/>
      <c r="N50" s="601"/>
      <c r="O50" s="601"/>
      <c r="P50" s="601"/>
      <c r="Q50" s="601"/>
      <c r="R50" s="601"/>
      <c r="S50" s="601"/>
      <c r="T50" s="601"/>
      <c r="U50" s="601"/>
      <c r="V50" s="601"/>
      <c r="W50" s="601"/>
      <c r="X50" s="601"/>
      <c r="Y50" s="601"/>
      <c r="Z50" s="60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02">
        <v>4607091385670</v>
      </c>
      <c r="E51" s="60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8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4"/>
      <c r="R51" s="604"/>
      <c r="S51" s="604"/>
      <c r="T51" s="605"/>
      <c r="U51" s="37" t="s">
        <v>46</v>
      </c>
      <c r="V51" s="37" t="s">
        <v>46</v>
      </c>
      <c r="W51" s="38" t="s">
        <v>0</v>
      </c>
      <c r="X51" s="56">
        <v>450</v>
      </c>
      <c r="Y51" s="53">
        <f>IFERROR(IF(X51="",0,CEILING((X51/$H51),1)*$H51),"")</f>
        <v>453.6</v>
      </c>
      <c r="Z51" s="39">
        <f>IFERROR(IF(Y51=0,"",ROUNDUP(Y51/H51,0)*0.01898),"")</f>
        <v>0.79715999999999998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467.08333333333331</v>
      </c>
      <c r="BN51" s="75">
        <f>IFERROR(Y51*I51/H51,"0")</f>
        <v>470.82000000000005</v>
      </c>
      <c r="BO51" s="75">
        <f>IFERROR(1/J51*(X51/H51),"0")</f>
        <v>0.65104166666666663</v>
      </c>
      <c r="BP51" s="75">
        <f>IFERROR(1/J51*(Y51/H51),"0")</f>
        <v>0.65625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02">
        <v>4680115887725</v>
      </c>
      <c r="E52" s="60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85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4"/>
      <c r="R52" s="604"/>
      <c r="S52" s="604"/>
      <c r="T52" s="60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02">
        <v>4607091385687</v>
      </c>
      <c r="E53" s="60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85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4"/>
      <c r="R53" s="604"/>
      <c r="S53" s="604"/>
      <c r="T53" s="605"/>
      <c r="U53" s="37" t="s">
        <v>46</v>
      </c>
      <c r="V53" s="37" t="s">
        <v>46</v>
      </c>
      <c r="W53" s="38" t="s">
        <v>0</v>
      </c>
      <c r="X53" s="56">
        <v>280</v>
      </c>
      <c r="Y53" s="53">
        <f>IFERROR(IF(X53="",0,CEILING((X53/$H53),1)*$H53),"")</f>
        <v>280</v>
      </c>
      <c r="Z53" s="39">
        <f>IFERROR(IF(Y53=0,"",ROUNDUP(Y53/H53,0)*0.00902),"")</f>
        <v>0.63139999999999996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293.3</v>
      </c>
      <c r="BN53" s="75">
        <f>IFERROR(Y53*I53/H53,"0")</f>
        <v>293.3</v>
      </c>
      <c r="BO53" s="75">
        <f>IFERROR(1/J53*(X53/H53),"0")</f>
        <v>0.53030303030303028</v>
      </c>
      <c r="BP53" s="75">
        <f>IFERROR(1/J53*(Y53/H53),"0")</f>
        <v>0.53030303030303028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02">
        <v>4680115882539</v>
      </c>
      <c r="E54" s="60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86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4"/>
      <c r="R54" s="604"/>
      <c r="S54" s="604"/>
      <c r="T54" s="60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10"/>
      <c r="P55" s="606" t="s">
        <v>40</v>
      </c>
      <c r="Q55" s="607"/>
      <c r="R55" s="607"/>
      <c r="S55" s="607"/>
      <c r="T55" s="607"/>
      <c r="U55" s="607"/>
      <c r="V55" s="608"/>
      <c r="W55" s="40" t="s">
        <v>39</v>
      </c>
      <c r="X55" s="41">
        <f>IFERROR(X51/H51,"0")+IFERROR(X52/H52,"0")+IFERROR(X53/H53,"0")+IFERROR(X54/H54,"0")</f>
        <v>111.66666666666666</v>
      </c>
      <c r="Y55" s="41">
        <f>IFERROR(Y51/H51,"0")+IFERROR(Y52/H52,"0")+IFERROR(Y53/H53,"0")+IFERROR(Y54/H54,"0")</f>
        <v>112</v>
      </c>
      <c r="Z55" s="41">
        <f>IFERROR(IF(Z51="",0,Z51),"0")+IFERROR(IF(Z52="",0,Z52),"0")+IFERROR(IF(Z53="",0,Z53),"0")+IFERROR(IF(Z54="",0,Z54),"0")</f>
        <v>1.4285600000000001</v>
      </c>
      <c r="AA55" s="64"/>
      <c r="AB55" s="64"/>
      <c r="AC55" s="64"/>
    </row>
    <row r="56" spans="1:68" x14ac:dyDescent="0.2">
      <c r="A56" s="609"/>
      <c r="B56" s="609"/>
      <c r="C56" s="609"/>
      <c r="D56" s="609"/>
      <c r="E56" s="609"/>
      <c r="F56" s="609"/>
      <c r="G56" s="609"/>
      <c r="H56" s="609"/>
      <c r="I56" s="609"/>
      <c r="J56" s="609"/>
      <c r="K56" s="609"/>
      <c r="L56" s="609"/>
      <c r="M56" s="609"/>
      <c r="N56" s="609"/>
      <c r="O56" s="610"/>
      <c r="P56" s="606" t="s">
        <v>40</v>
      </c>
      <c r="Q56" s="607"/>
      <c r="R56" s="607"/>
      <c r="S56" s="607"/>
      <c r="T56" s="607"/>
      <c r="U56" s="607"/>
      <c r="V56" s="608"/>
      <c r="W56" s="40" t="s">
        <v>0</v>
      </c>
      <c r="X56" s="41">
        <f>IFERROR(SUM(X51:X54),"0")</f>
        <v>730</v>
      </c>
      <c r="Y56" s="41">
        <f>IFERROR(SUM(Y51:Y54),"0")</f>
        <v>733.6</v>
      </c>
      <c r="Z56" s="40"/>
      <c r="AA56" s="64"/>
      <c r="AB56" s="64"/>
      <c r="AC56" s="64"/>
    </row>
    <row r="57" spans="1:68" ht="16.5" hidden="1" customHeight="1" x14ac:dyDescent="0.25">
      <c r="A57" s="617" t="s">
        <v>143</v>
      </c>
      <c r="B57" s="617"/>
      <c r="C57" s="617"/>
      <c r="D57" s="617"/>
      <c r="E57" s="617"/>
      <c r="F57" s="617"/>
      <c r="G57" s="617"/>
      <c r="H57" s="617"/>
      <c r="I57" s="617"/>
      <c r="J57" s="617"/>
      <c r="K57" s="617"/>
      <c r="L57" s="617"/>
      <c r="M57" s="617"/>
      <c r="N57" s="617"/>
      <c r="O57" s="617"/>
      <c r="P57" s="617"/>
      <c r="Q57" s="617"/>
      <c r="R57" s="617"/>
      <c r="S57" s="617"/>
      <c r="T57" s="617"/>
      <c r="U57" s="617"/>
      <c r="V57" s="617"/>
      <c r="W57" s="617"/>
      <c r="X57" s="617"/>
      <c r="Y57" s="617"/>
      <c r="Z57" s="617"/>
      <c r="AA57" s="62"/>
      <c r="AB57" s="62"/>
      <c r="AC57" s="62"/>
    </row>
    <row r="58" spans="1:68" ht="14.25" hidden="1" customHeight="1" x14ac:dyDescent="0.25">
      <c r="A58" s="601" t="s">
        <v>128</v>
      </c>
      <c r="B58" s="601"/>
      <c r="C58" s="601"/>
      <c r="D58" s="601"/>
      <c r="E58" s="601"/>
      <c r="F58" s="601"/>
      <c r="G58" s="601"/>
      <c r="H58" s="601"/>
      <c r="I58" s="601"/>
      <c r="J58" s="601"/>
      <c r="K58" s="601"/>
      <c r="L58" s="601"/>
      <c r="M58" s="601"/>
      <c r="N58" s="601"/>
      <c r="O58" s="601"/>
      <c r="P58" s="601"/>
      <c r="Q58" s="601"/>
      <c r="R58" s="601"/>
      <c r="S58" s="601"/>
      <c r="T58" s="601"/>
      <c r="U58" s="601"/>
      <c r="V58" s="601"/>
      <c r="W58" s="601"/>
      <c r="X58" s="601"/>
      <c r="Y58" s="601"/>
      <c r="Z58" s="60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02">
        <v>4680115885882</v>
      </c>
      <c r="E59" s="60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8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4"/>
      <c r="R59" s="604"/>
      <c r="S59" s="604"/>
      <c r="T59" s="60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02">
        <v>4680115885882</v>
      </c>
      <c r="E60" s="60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8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4"/>
      <c r="R60" s="604"/>
      <c r="S60" s="604"/>
      <c r="T60" s="60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02">
        <v>4680115881426</v>
      </c>
      <c r="E61" s="60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8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4"/>
      <c r="R61" s="604"/>
      <c r="S61" s="604"/>
      <c r="T61" s="605"/>
      <c r="U61" s="37" t="s">
        <v>46</v>
      </c>
      <c r="V61" s="37" t="s">
        <v>46</v>
      </c>
      <c r="W61" s="38" t="s">
        <v>0</v>
      </c>
      <c r="X61" s="56">
        <v>150</v>
      </c>
      <c r="Y61" s="53">
        <f t="shared" si="6"/>
        <v>151.20000000000002</v>
      </c>
      <c r="Z61" s="39">
        <f>IFERROR(IF(Y61=0,"",ROUNDUP(Y61/H61,0)*0.01898),"")</f>
        <v>0.26572000000000001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155.69444444444446</v>
      </c>
      <c r="BN61" s="75">
        <f t="shared" si="8"/>
        <v>156.94</v>
      </c>
      <c r="BO61" s="75">
        <f t="shared" si="9"/>
        <v>0.21701388888888887</v>
      </c>
      <c r="BP61" s="75">
        <f t="shared" si="10"/>
        <v>0.21875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02">
        <v>4680115880283</v>
      </c>
      <c r="E62" s="60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4"/>
      <c r="R62" s="604"/>
      <c r="S62" s="604"/>
      <c r="T62" s="60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02">
        <v>4680115881525</v>
      </c>
      <c r="E63" s="602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8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4"/>
      <c r="R63" s="604"/>
      <c r="S63" s="604"/>
      <c r="T63" s="60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02">
        <v>4680115885899</v>
      </c>
      <c r="E64" s="602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8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4"/>
      <c r="R64" s="604"/>
      <c r="S64" s="604"/>
      <c r="T64" s="60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customHeight="1" x14ac:dyDescent="0.25">
      <c r="A65" s="60" t="s">
        <v>160</v>
      </c>
      <c r="B65" s="60" t="s">
        <v>161</v>
      </c>
      <c r="C65" s="34">
        <v>4301011801</v>
      </c>
      <c r="D65" s="602">
        <v>4680115881419</v>
      </c>
      <c r="E65" s="602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8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4"/>
      <c r="R65" s="604"/>
      <c r="S65" s="604"/>
      <c r="T65" s="605"/>
      <c r="U65" s="37" t="s">
        <v>46</v>
      </c>
      <c r="V65" s="37" t="s">
        <v>46</v>
      </c>
      <c r="W65" s="38" t="s">
        <v>0</v>
      </c>
      <c r="X65" s="56">
        <v>450</v>
      </c>
      <c r="Y65" s="53">
        <f t="shared" si="6"/>
        <v>450</v>
      </c>
      <c r="Z65" s="39">
        <f>IFERROR(IF(Y65=0,"",ROUNDUP(Y65/H65,0)*0.00902),"")</f>
        <v>0.90200000000000002</v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469</v>
      </c>
      <c r="BN65" s="75">
        <f t="shared" si="8"/>
        <v>469</v>
      </c>
      <c r="BO65" s="75">
        <f t="shared" si="9"/>
        <v>0.75757575757575757</v>
      </c>
      <c r="BP65" s="75">
        <f t="shared" si="10"/>
        <v>0.75757575757575757</v>
      </c>
    </row>
    <row r="66" spans="1:68" x14ac:dyDescent="0.2">
      <c r="A66" s="609"/>
      <c r="B66" s="609"/>
      <c r="C66" s="609"/>
      <c r="D66" s="609"/>
      <c r="E66" s="609"/>
      <c r="F66" s="609"/>
      <c r="G66" s="609"/>
      <c r="H66" s="609"/>
      <c r="I66" s="609"/>
      <c r="J66" s="609"/>
      <c r="K66" s="609"/>
      <c r="L66" s="609"/>
      <c r="M66" s="609"/>
      <c r="N66" s="609"/>
      <c r="O66" s="610"/>
      <c r="P66" s="606" t="s">
        <v>40</v>
      </c>
      <c r="Q66" s="607"/>
      <c r="R66" s="607"/>
      <c r="S66" s="607"/>
      <c r="T66" s="607"/>
      <c r="U66" s="607"/>
      <c r="V66" s="608"/>
      <c r="W66" s="40" t="s">
        <v>39</v>
      </c>
      <c r="X66" s="41">
        <f>IFERROR(X59/H59,"0")+IFERROR(X60/H60,"0")+IFERROR(X61/H61,"0")+IFERROR(X62/H62,"0")+IFERROR(X63/H63,"0")+IFERROR(X64/H64,"0")+IFERROR(X65/H65,"0")</f>
        <v>113.88888888888889</v>
      </c>
      <c r="Y66" s="41">
        <f>IFERROR(Y59/H59,"0")+IFERROR(Y60/H60,"0")+IFERROR(Y61/H61,"0")+IFERROR(Y62/H62,"0")+IFERROR(Y63/H63,"0")+IFERROR(Y64/H64,"0")+IFERROR(Y65/H65,"0")</f>
        <v>114</v>
      </c>
      <c r="Z66" s="41">
        <f>IFERROR(IF(Z59="",0,Z59),"0")+IFERROR(IF(Z60="",0,Z60),"0")+IFERROR(IF(Z61="",0,Z61),"0")+IFERROR(IF(Z62="",0,Z62),"0")+IFERROR(IF(Z63="",0,Z63),"0")+IFERROR(IF(Z64="",0,Z64),"0")+IFERROR(IF(Z65="",0,Z65),"0")</f>
        <v>1.1677200000000001</v>
      </c>
      <c r="AA66" s="64"/>
      <c r="AB66" s="64"/>
      <c r="AC66" s="64"/>
    </row>
    <row r="67" spans="1:68" x14ac:dyDescent="0.2">
      <c r="A67" s="609"/>
      <c r="B67" s="609"/>
      <c r="C67" s="609"/>
      <c r="D67" s="609"/>
      <c r="E67" s="609"/>
      <c r="F67" s="609"/>
      <c r="G67" s="609"/>
      <c r="H67" s="609"/>
      <c r="I67" s="609"/>
      <c r="J67" s="609"/>
      <c r="K67" s="609"/>
      <c r="L67" s="609"/>
      <c r="M67" s="609"/>
      <c r="N67" s="609"/>
      <c r="O67" s="610"/>
      <c r="P67" s="606" t="s">
        <v>40</v>
      </c>
      <c r="Q67" s="607"/>
      <c r="R67" s="607"/>
      <c r="S67" s="607"/>
      <c r="T67" s="607"/>
      <c r="U67" s="607"/>
      <c r="V67" s="608"/>
      <c r="W67" s="40" t="s">
        <v>0</v>
      </c>
      <c r="X67" s="41">
        <f>IFERROR(SUM(X59:X65),"0")</f>
        <v>600</v>
      </c>
      <c r="Y67" s="41">
        <f>IFERROR(SUM(Y59:Y65),"0")</f>
        <v>601.20000000000005</v>
      </c>
      <c r="Z67" s="40"/>
      <c r="AA67" s="64"/>
      <c r="AB67" s="64"/>
      <c r="AC67" s="64"/>
    </row>
    <row r="68" spans="1:68" ht="14.25" hidden="1" customHeight="1" x14ac:dyDescent="0.25">
      <c r="A68" s="601" t="s">
        <v>163</v>
      </c>
      <c r="B68" s="601"/>
      <c r="C68" s="601"/>
      <c r="D68" s="601"/>
      <c r="E68" s="601"/>
      <c r="F68" s="601"/>
      <c r="G68" s="601"/>
      <c r="H68" s="601"/>
      <c r="I68" s="601"/>
      <c r="J68" s="601"/>
      <c r="K68" s="601"/>
      <c r="L68" s="601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1"/>
      <c r="X68" s="601"/>
      <c r="Y68" s="601"/>
      <c r="Z68" s="601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02">
        <v>4680115881440</v>
      </c>
      <c r="E69" s="602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8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4"/>
      <c r="R69" s="604"/>
      <c r="S69" s="604"/>
      <c r="T69" s="605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02">
        <v>4680115885950</v>
      </c>
      <c r="E70" s="602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8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4"/>
      <c r="R70" s="604"/>
      <c r="S70" s="604"/>
      <c r="T70" s="60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02">
        <v>4680115887688</v>
      </c>
      <c r="E71" s="602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8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4"/>
      <c r="R71" s="604"/>
      <c r="S71" s="604"/>
      <c r="T71" s="60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customHeight="1" x14ac:dyDescent="0.25">
      <c r="A72" s="60" t="s">
        <v>172</v>
      </c>
      <c r="B72" s="60" t="s">
        <v>173</v>
      </c>
      <c r="C72" s="34">
        <v>4301020296</v>
      </c>
      <c r="D72" s="602">
        <v>4680115881433</v>
      </c>
      <c r="E72" s="602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84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4"/>
      <c r="R72" s="604"/>
      <c r="S72" s="604"/>
      <c r="T72" s="605"/>
      <c r="U72" s="37" t="s">
        <v>46</v>
      </c>
      <c r="V72" s="37" t="s">
        <v>46</v>
      </c>
      <c r="W72" s="38" t="s">
        <v>0</v>
      </c>
      <c r="X72" s="56">
        <v>90</v>
      </c>
      <c r="Y72" s="53">
        <f>IFERROR(IF(X72="",0,CEILING((X72/$H72),1)*$H72),"")</f>
        <v>91.800000000000011</v>
      </c>
      <c r="Z72" s="39">
        <f>IFERROR(IF(Y72=0,"",ROUNDUP(Y72/H72,0)*0.00651),"")</f>
        <v>0.22134000000000001</v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95.999999999999986</v>
      </c>
      <c r="BN72" s="75">
        <f>IFERROR(Y72*I72/H72,"0")</f>
        <v>97.92</v>
      </c>
      <c r="BO72" s="75">
        <f>IFERROR(1/J72*(X72/H72),"0")</f>
        <v>0.18315018315018314</v>
      </c>
      <c r="BP72" s="75">
        <f>IFERROR(1/J72*(Y72/H72),"0")</f>
        <v>0.18681318681318682</v>
      </c>
    </row>
    <row r="73" spans="1:68" x14ac:dyDescent="0.2">
      <c r="A73" s="609"/>
      <c r="B73" s="609"/>
      <c r="C73" s="609"/>
      <c r="D73" s="609"/>
      <c r="E73" s="609"/>
      <c r="F73" s="609"/>
      <c r="G73" s="609"/>
      <c r="H73" s="609"/>
      <c r="I73" s="609"/>
      <c r="J73" s="609"/>
      <c r="K73" s="609"/>
      <c r="L73" s="609"/>
      <c r="M73" s="609"/>
      <c r="N73" s="609"/>
      <c r="O73" s="610"/>
      <c r="P73" s="606" t="s">
        <v>40</v>
      </c>
      <c r="Q73" s="607"/>
      <c r="R73" s="607"/>
      <c r="S73" s="607"/>
      <c r="T73" s="607"/>
      <c r="U73" s="607"/>
      <c r="V73" s="608"/>
      <c r="W73" s="40" t="s">
        <v>39</v>
      </c>
      <c r="X73" s="41">
        <f>IFERROR(X69/H69,"0")+IFERROR(X70/H70,"0")+IFERROR(X71/H71,"0")+IFERROR(X72/H72,"0")</f>
        <v>33.333333333333329</v>
      </c>
      <c r="Y73" s="41">
        <f>IFERROR(Y69/H69,"0")+IFERROR(Y70/H70,"0")+IFERROR(Y71/H71,"0")+IFERROR(Y72/H72,"0")</f>
        <v>34</v>
      </c>
      <c r="Z73" s="41">
        <f>IFERROR(IF(Z69="",0,Z69),"0")+IFERROR(IF(Z70="",0,Z70),"0")+IFERROR(IF(Z71="",0,Z71),"0")+IFERROR(IF(Z72="",0,Z72),"0")</f>
        <v>0.22134000000000001</v>
      </c>
      <c r="AA73" s="64"/>
      <c r="AB73" s="64"/>
      <c r="AC73" s="64"/>
    </row>
    <row r="74" spans="1:68" x14ac:dyDescent="0.2">
      <c r="A74" s="609"/>
      <c r="B74" s="609"/>
      <c r="C74" s="609"/>
      <c r="D74" s="609"/>
      <c r="E74" s="609"/>
      <c r="F74" s="609"/>
      <c r="G74" s="609"/>
      <c r="H74" s="609"/>
      <c r="I74" s="609"/>
      <c r="J74" s="609"/>
      <c r="K74" s="609"/>
      <c r="L74" s="609"/>
      <c r="M74" s="609"/>
      <c r="N74" s="609"/>
      <c r="O74" s="610"/>
      <c r="P74" s="606" t="s">
        <v>40</v>
      </c>
      <c r="Q74" s="607"/>
      <c r="R74" s="607"/>
      <c r="S74" s="607"/>
      <c r="T74" s="607"/>
      <c r="U74" s="607"/>
      <c r="V74" s="608"/>
      <c r="W74" s="40" t="s">
        <v>0</v>
      </c>
      <c r="X74" s="41">
        <f>IFERROR(SUM(X69:X72),"0")</f>
        <v>90</v>
      </c>
      <c r="Y74" s="41">
        <f>IFERROR(SUM(Y69:Y72),"0")</f>
        <v>91.800000000000011</v>
      </c>
      <c r="Z74" s="40"/>
      <c r="AA74" s="64"/>
      <c r="AB74" s="64"/>
      <c r="AC74" s="64"/>
    </row>
    <row r="75" spans="1:68" ht="14.25" hidden="1" customHeight="1" x14ac:dyDescent="0.25">
      <c r="A75" s="601" t="s">
        <v>86</v>
      </c>
      <c r="B75" s="601"/>
      <c r="C75" s="601"/>
      <c r="D75" s="601"/>
      <c r="E75" s="601"/>
      <c r="F75" s="601"/>
      <c r="G75" s="601"/>
      <c r="H75" s="601"/>
      <c r="I75" s="601"/>
      <c r="J75" s="601"/>
      <c r="K75" s="601"/>
      <c r="L75" s="601"/>
      <c r="M75" s="601"/>
      <c r="N75" s="601"/>
      <c r="O75" s="601"/>
      <c r="P75" s="601"/>
      <c r="Q75" s="601"/>
      <c r="R75" s="601"/>
      <c r="S75" s="601"/>
      <c r="T75" s="601"/>
      <c r="U75" s="601"/>
      <c r="V75" s="601"/>
      <c r="W75" s="601"/>
      <c r="X75" s="601"/>
      <c r="Y75" s="601"/>
      <c r="Z75" s="601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02">
        <v>4680115884311</v>
      </c>
      <c r="E76" s="602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4"/>
      <c r="R76" s="604"/>
      <c r="S76" s="604"/>
      <c r="T76" s="605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02">
        <v>4680115884403</v>
      </c>
      <c r="E77" s="602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4"/>
      <c r="R77" s="604"/>
      <c r="S77" s="604"/>
      <c r="T77" s="60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09"/>
      <c r="B78" s="609"/>
      <c r="C78" s="609"/>
      <c r="D78" s="609"/>
      <c r="E78" s="609"/>
      <c r="F78" s="609"/>
      <c r="G78" s="609"/>
      <c r="H78" s="609"/>
      <c r="I78" s="609"/>
      <c r="J78" s="609"/>
      <c r="K78" s="609"/>
      <c r="L78" s="609"/>
      <c r="M78" s="609"/>
      <c r="N78" s="609"/>
      <c r="O78" s="610"/>
      <c r="P78" s="606" t="s">
        <v>40</v>
      </c>
      <c r="Q78" s="607"/>
      <c r="R78" s="607"/>
      <c r="S78" s="607"/>
      <c r="T78" s="607"/>
      <c r="U78" s="607"/>
      <c r="V78" s="608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09"/>
      <c r="B79" s="609"/>
      <c r="C79" s="609"/>
      <c r="D79" s="609"/>
      <c r="E79" s="609"/>
      <c r="F79" s="609"/>
      <c r="G79" s="609"/>
      <c r="H79" s="609"/>
      <c r="I79" s="609"/>
      <c r="J79" s="609"/>
      <c r="K79" s="609"/>
      <c r="L79" s="609"/>
      <c r="M79" s="609"/>
      <c r="N79" s="609"/>
      <c r="O79" s="610"/>
      <c r="P79" s="606" t="s">
        <v>40</v>
      </c>
      <c r="Q79" s="607"/>
      <c r="R79" s="607"/>
      <c r="S79" s="607"/>
      <c r="T79" s="607"/>
      <c r="U79" s="607"/>
      <c r="V79" s="608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01" t="s">
        <v>180</v>
      </c>
      <c r="B80" s="601"/>
      <c r="C80" s="601"/>
      <c r="D80" s="601"/>
      <c r="E80" s="601"/>
      <c r="F80" s="601"/>
      <c r="G80" s="601"/>
      <c r="H80" s="601"/>
      <c r="I80" s="601"/>
      <c r="J80" s="601"/>
      <c r="K80" s="601"/>
      <c r="L80" s="601"/>
      <c r="M80" s="601"/>
      <c r="N80" s="601"/>
      <c r="O80" s="601"/>
      <c r="P80" s="601"/>
      <c r="Q80" s="601"/>
      <c r="R80" s="601"/>
      <c r="S80" s="601"/>
      <c r="T80" s="601"/>
      <c r="U80" s="601"/>
      <c r="V80" s="601"/>
      <c r="W80" s="601"/>
      <c r="X80" s="601"/>
      <c r="Y80" s="601"/>
      <c r="Z80" s="601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02">
        <v>4680115881532</v>
      </c>
      <c r="E81" s="602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8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4"/>
      <c r="R81" s="604"/>
      <c r="S81" s="604"/>
      <c r="T81" s="605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02">
        <v>4680115881464</v>
      </c>
      <c r="E82" s="602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84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4"/>
      <c r="R82" s="604"/>
      <c r="S82" s="604"/>
      <c r="T82" s="60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09"/>
      <c r="B83" s="609"/>
      <c r="C83" s="609"/>
      <c r="D83" s="609"/>
      <c r="E83" s="609"/>
      <c r="F83" s="609"/>
      <c r="G83" s="609"/>
      <c r="H83" s="609"/>
      <c r="I83" s="609"/>
      <c r="J83" s="609"/>
      <c r="K83" s="609"/>
      <c r="L83" s="609"/>
      <c r="M83" s="609"/>
      <c r="N83" s="609"/>
      <c r="O83" s="610"/>
      <c r="P83" s="606" t="s">
        <v>40</v>
      </c>
      <c r="Q83" s="607"/>
      <c r="R83" s="607"/>
      <c r="S83" s="607"/>
      <c r="T83" s="607"/>
      <c r="U83" s="607"/>
      <c r="V83" s="608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09"/>
      <c r="B84" s="609"/>
      <c r="C84" s="609"/>
      <c r="D84" s="609"/>
      <c r="E84" s="609"/>
      <c r="F84" s="609"/>
      <c r="G84" s="609"/>
      <c r="H84" s="609"/>
      <c r="I84" s="609"/>
      <c r="J84" s="609"/>
      <c r="K84" s="609"/>
      <c r="L84" s="609"/>
      <c r="M84" s="609"/>
      <c r="N84" s="609"/>
      <c r="O84" s="610"/>
      <c r="P84" s="606" t="s">
        <v>40</v>
      </c>
      <c r="Q84" s="607"/>
      <c r="R84" s="607"/>
      <c r="S84" s="607"/>
      <c r="T84" s="607"/>
      <c r="U84" s="607"/>
      <c r="V84" s="608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17" t="s">
        <v>187</v>
      </c>
      <c r="B85" s="617"/>
      <c r="C85" s="617"/>
      <c r="D85" s="617"/>
      <c r="E85" s="617"/>
      <c r="F85" s="617"/>
      <c r="G85" s="617"/>
      <c r="H85" s="617"/>
      <c r="I85" s="617"/>
      <c r="J85" s="617"/>
      <c r="K85" s="617"/>
      <c r="L85" s="617"/>
      <c r="M85" s="617"/>
      <c r="N85" s="617"/>
      <c r="O85" s="617"/>
      <c r="P85" s="617"/>
      <c r="Q85" s="617"/>
      <c r="R85" s="617"/>
      <c r="S85" s="617"/>
      <c r="T85" s="617"/>
      <c r="U85" s="617"/>
      <c r="V85" s="617"/>
      <c r="W85" s="617"/>
      <c r="X85" s="617"/>
      <c r="Y85" s="617"/>
      <c r="Z85" s="617"/>
      <c r="AA85" s="62"/>
      <c r="AB85" s="62"/>
      <c r="AC85" s="62"/>
    </row>
    <row r="86" spans="1:68" ht="14.25" hidden="1" customHeight="1" x14ac:dyDescent="0.25">
      <c r="A86" s="601" t="s">
        <v>128</v>
      </c>
      <c r="B86" s="601"/>
      <c r="C86" s="601"/>
      <c r="D86" s="601"/>
      <c r="E86" s="601"/>
      <c r="F86" s="601"/>
      <c r="G86" s="601"/>
      <c r="H86" s="601"/>
      <c r="I86" s="601"/>
      <c r="J86" s="601"/>
      <c r="K86" s="601"/>
      <c r="L86" s="601"/>
      <c r="M86" s="601"/>
      <c r="N86" s="601"/>
      <c r="O86" s="601"/>
      <c r="P86" s="601"/>
      <c r="Q86" s="601"/>
      <c r="R86" s="601"/>
      <c r="S86" s="601"/>
      <c r="T86" s="601"/>
      <c r="U86" s="601"/>
      <c r="V86" s="601"/>
      <c r="W86" s="601"/>
      <c r="X86" s="601"/>
      <c r="Y86" s="601"/>
      <c r="Z86" s="601"/>
      <c r="AA86" s="63"/>
      <c r="AB86" s="63"/>
      <c r="AC86" s="63"/>
    </row>
    <row r="87" spans="1:68" ht="27" customHeight="1" x14ac:dyDescent="0.25">
      <c r="A87" s="60" t="s">
        <v>188</v>
      </c>
      <c r="B87" s="60" t="s">
        <v>189</v>
      </c>
      <c r="C87" s="34">
        <v>4301011468</v>
      </c>
      <c r="D87" s="602">
        <v>4680115881327</v>
      </c>
      <c r="E87" s="602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8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4"/>
      <c r="R87" s="604"/>
      <c r="S87" s="604"/>
      <c r="T87" s="605"/>
      <c r="U87" s="37" t="s">
        <v>46</v>
      </c>
      <c r="V87" s="37" t="s">
        <v>46</v>
      </c>
      <c r="W87" s="38" t="s">
        <v>0</v>
      </c>
      <c r="X87" s="56">
        <v>300</v>
      </c>
      <c r="Y87" s="53">
        <f>IFERROR(IF(X87="",0,CEILING((X87/$H87),1)*$H87),"")</f>
        <v>302.40000000000003</v>
      </c>
      <c r="Z87" s="39">
        <f>IFERROR(IF(Y87=0,"",ROUNDUP(Y87/H87,0)*0.01898),"")</f>
        <v>0.53144000000000002</v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311.38888888888891</v>
      </c>
      <c r="BN87" s="75">
        <f>IFERROR(Y87*I87/H87,"0")</f>
        <v>313.88</v>
      </c>
      <c r="BO87" s="75">
        <f>IFERROR(1/J87*(X87/H87),"0")</f>
        <v>0.43402777777777773</v>
      </c>
      <c r="BP87" s="75">
        <f>IFERROR(1/J87*(Y87/H87),"0")</f>
        <v>0.4375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02">
        <v>4680115887732</v>
      </c>
      <c r="E88" s="602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8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4"/>
      <c r="R88" s="604"/>
      <c r="S88" s="604"/>
      <c r="T88" s="60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02">
        <v>4680115881518</v>
      </c>
      <c r="E89" s="602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8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4"/>
      <c r="R89" s="604"/>
      <c r="S89" s="604"/>
      <c r="T89" s="60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196</v>
      </c>
      <c r="B90" s="60" t="s">
        <v>197</v>
      </c>
      <c r="C90" s="34">
        <v>4301011443</v>
      </c>
      <c r="D90" s="602">
        <v>4680115881303</v>
      </c>
      <c r="E90" s="602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8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4"/>
      <c r="R90" s="604"/>
      <c r="S90" s="604"/>
      <c r="T90" s="605"/>
      <c r="U90" s="37" t="s">
        <v>46</v>
      </c>
      <c r="V90" s="37" t="s">
        <v>46</v>
      </c>
      <c r="W90" s="38" t="s">
        <v>0</v>
      </c>
      <c r="X90" s="56">
        <v>450</v>
      </c>
      <c r="Y90" s="53">
        <f>IFERROR(IF(X90="",0,CEILING((X90/$H90),1)*$H90),"")</f>
        <v>450</v>
      </c>
      <c r="Z90" s="39">
        <f>IFERROR(IF(Y90=0,"",ROUNDUP(Y90/H90,0)*0.00902),"")</f>
        <v>0.90200000000000002</v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469</v>
      </c>
      <c r="BN90" s="75">
        <f>IFERROR(Y90*I90/H90,"0")</f>
        <v>469</v>
      </c>
      <c r="BO90" s="75">
        <f>IFERROR(1/J90*(X90/H90),"0")</f>
        <v>0.75757575757575757</v>
      </c>
      <c r="BP90" s="75">
        <f>IFERROR(1/J90*(Y90/H90),"0")</f>
        <v>0.75757575757575757</v>
      </c>
    </row>
    <row r="91" spans="1:68" x14ac:dyDescent="0.2">
      <c r="A91" s="609"/>
      <c r="B91" s="609"/>
      <c r="C91" s="609"/>
      <c r="D91" s="609"/>
      <c r="E91" s="609"/>
      <c r="F91" s="609"/>
      <c r="G91" s="609"/>
      <c r="H91" s="609"/>
      <c r="I91" s="609"/>
      <c r="J91" s="609"/>
      <c r="K91" s="609"/>
      <c r="L91" s="609"/>
      <c r="M91" s="609"/>
      <c r="N91" s="609"/>
      <c r="O91" s="610"/>
      <c r="P91" s="606" t="s">
        <v>40</v>
      </c>
      <c r="Q91" s="607"/>
      <c r="R91" s="607"/>
      <c r="S91" s="607"/>
      <c r="T91" s="607"/>
      <c r="U91" s="607"/>
      <c r="V91" s="608"/>
      <c r="W91" s="40" t="s">
        <v>39</v>
      </c>
      <c r="X91" s="41">
        <f>IFERROR(X87/H87,"0")+IFERROR(X88/H88,"0")+IFERROR(X89/H89,"0")+IFERROR(X90/H90,"0")</f>
        <v>127.77777777777777</v>
      </c>
      <c r="Y91" s="41">
        <f>IFERROR(Y87/H87,"0")+IFERROR(Y88/H88,"0")+IFERROR(Y89/H89,"0")+IFERROR(Y90/H90,"0")</f>
        <v>128</v>
      </c>
      <c r="Z91" s="41">
        <f>IFERROR(IF(Z87="",0,Z87),"0")+IFERROR(IF(Z88="",0,Z88),"0")+IFERROR(IF(Z89="",0,Z89),"0")+IFERROR(IF(Z90="",0,Z90),"0")</f>
        <v>1.43344</v>
      </c>
      <c r="AA91" s="64"/>
      <c r="AB91" s="64"/>
      <c r="AC91" s="64"/>
    </row>
    <row r="92" spans="1:68" x14ac:dyDescent="0.2">
      <c r="A92" s="609"/>
      <c r="B92" s="609"/>
      <c r="C92" s="609"/>
      <c r="D92" s="609"/>
      <c r="E92" s="609"/>
      <c r="F92" s="609"/>
      <c r="G92" s="609"/>
      <c r="H92" s="609"/>
      <c r="I92" s="609"/>
      <c r="J92" s="609"/>
      <c r="K92" s="609"/>
      <c r="L92" s="609"/>
      <c r="M92" s="609"/>
      <c r="N92" s="609"/>
      <c r="O92" s="610"/>
      <c r="P92" s="606" t="s">
        <v>40</v>
      </c>
      <c r="Q92" s="607"/>
      <c r="R92" s="607"/>
      <c r="S92" s="607"/>
      <c r="T92" s="607"/>
      <c r="U92" s="607"/>
      <c r="V92" s="608"/>
      <c r="W92" s="40" t="s">
        <v>0</v>
      </c>
      <c r="X92" s="41">
        <f>IFERROR(SUM(X87:X90),"0")</f>
        <v>750</v>
      </c>
      <c r="Y92" s="41">
        <f>IFERROR(SUM(Y87:Y90),"0")</f>
        <v>752.40000000000009</v>
      </c>
      <c r="Z92" s="40"/>
      <c r="AA92" s="64"/>
      <c r="AB92" s="64"/>
      <c r="AC92" s="64"/>
    </row>
    <row r="93" spans="1:68" ht="14.25" hidden="1" customHeight="1" x14ac:dyDescent="0.25">
      <c r="A93" s="601" t="s">
        <v>86</v>
      </c>
      <c r="B93" s="601"/>
      <c r="C93" s="601"/>
      <c r="D93" s="601"/>
      <c r="E93" s="601"/>
      <c r="F93" s="601"/>
      <c r="G93" s="601"/>
      <c r="H93" s="601"/>
      <c r="I93" s="601"/>
      <c r="J93" s="601"/>
      <c r="K93" s="601"/>
      <c r="L93" s="601"/>
      <c r="M93" s="601"/>
      <c r="N93" s="601"/>
      <c r="O93" s="601"/>
      <c r="P93" s="601"/>
      <c r="Q93" s="601"/>
      <c r="R93" s="601"/>
      <c r="S93" s="601"/>
      <c r="T93" s="601"/>
      <c r="U93" s="601"/>
      <c r="V93" s="601"/>
      <c r="W93" s="601"/>
      <c r="X93" s="601"/>
      <c r="Y93" s="601"/>
      <c r="Z93" s="601"/>
      <c r="AA93" s="63"/>
      <c r="AB93" s="63"/>
      <c r="AC93" s="63"/>
    </row>
    <row r="94" spans="1:68" ht="27" customHeight="1" x14ac:dyDescent="0.25">
      <c r="A94" s="60" t="s">
        <v>198</v>
      </c>
      <c r="B94" s="60" t="s">
        <v>199</v>
      </c>
      <c r="C94" s="34">
        <v>4301051712</v>
      </c>
      <c r="D94" s="602">
        <v>4607091386967</v>
      </c>
      <c r="E94" s="602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8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4"/>
      <c r="R94" s="604"/>
      <c r="S94" s="604"/>
      <c r="T94" s="605"/>
      <c r="U94" s="37" t="s">
        <v>46</v>
      </c>
      <c r="V94" s="37" t="s">
        <v>46</v>
      </c>
      <c r="W94" s="38" t="s">
        <v>0</v>
      </c>
      <c r="X94" s="56">
        <v>300.29616666666675</v>
      </c>
      <c r="Y94" s="53">
        <f>IFERROR(IF(X94="",0,CEILING((X94/$H94),1)*$H94),"")</f>
        <v>307.8</v>
      </c>
      <c r="Z94" s="39">
        <f>IFERROR(IF(Y94=0,"",ROUNDUP(Y94/H94,0)*0.01898),"")</f>
        <v>0.72123999999999999</v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318.61052547325113</v>
      </c>
      <c r="BN94" s="75">
        <f>IFERROR(Y94*I94/H94,"0")</f>
        <v>326.572</v>
      </c>
      <c r="BO94" s="75">
        <f>IFERROR(1/J94*(X94/H94),"0")</f>
        <v>0.57927501286008254</v>
      </c>
      <c r="BP94" s="75">
        <f>IFERROR(1/J94*(Y94/H94),"0")</f>
        <v>0.59375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02">
        <v>4680115884953</v>
      </c>
      <c r="E95" s="602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83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4"/>
      <c r="R95" s="604"/>
      <c r="S95" s="604"/>
      <c r="T95" s="60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203</v>
      </c>
      <c r="B96" s="60" t="s">
        <v>204</v>
      </c>
      <c r="C96" s="34">
        <v>4301051718</v>
      </c>
      <c r="D96" s="602">
        <v>4607091385731</v>
      </c>
      <c r="E96" s="602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83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4"/>
      <c r="R96" s="604"/>
      <c r="S96" s="604"/>
      <c r="T96" s="605"/>
      <c r="U96" s="37" t="s">
        <v>46</v>
      </c>
      <c r="V96" s="37" t="s">
        <v>46</v>
      </c>
      <c r="W96" s="38" t="s">
        <v>0</v>
      </c>
      <c r="X96" s="56">
        <v>540</v>
      </c>
      <c r="Y96" s="53">
        <f>IFERROR(IF(X96="",0,CEILING((X96/$H96),1)*$H96),"")</f>
        <v>540</v>
      </c>
      <c r="Z96" s="39">
        <f>IFERROR(IF(Y96=0,"",ROUNDUP(Y96/H96,0)*0.00651),"")</f>
        <v>1.302</v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590.4</v>
      </c>
      <c r="BN96" s="75">
        <f>IFERROR(Y96*I96/H96,"0")</f>
        <v>590.4</v>
      </c>
      <c r="BO96" s="75">
        <f>IFERROR(1/J96*(X96/H96),"0")</f>
        <v>1.098901098901099</v>
      </c>
      <c r="BP96" s="75">
        <f>IFERROR(1/J96*(Y96/H96),"0")</f>
        <v>1.098901098901099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02">
        <v>4680115880894</v>
      </c>
      <c r="E97" s="602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83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4"/>
      <c r="R97" s="604"/>
      <c r="S97" s="604"/>
      <c r="T97" s="60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x14ac:dyDescent="0.2">
      <c r="A98" s="609"/>
      <c r="B98" s="609"/>
      <c r="C98" s="609"/>
      <c r="D98" s="609"/>
      <c r="E98" s="609"/>
      <c r="F98" s="609"/>
      <c r="G98" s="609"/>
      <c r="H98" s="609"/>
      <c r="I98" s="609"/>
      <c r="J98" s="609"/>
      <c r="K98" s="609"/>
      <c r="L98" s="609"/>
      <c r="M98" s="609"/>
      <c r="N98" s="609"/>
      <c r="O98" s="610"/>
      <c r="P98" s="606" t="s">
        <v>40</v>
      </c>
      <c r="Q98" s="607"/>
      <c r="R98" s="607"/>
      <c r="S98" s="607"/>
      <c r="T98" s="607"/>
      <c r="U98" s="607"/>
      <c r="V98" s="608"/>
      <c r="W98" s="40" t="s">
        <v>39</v>
      </c>
      <c r="X98" s="41">
        <f>IFERROR(X94/H94,"0")+IFERROR(X95/H95,"0")+IFERROR(X96/H96,"0")+IFERROR(X97/H97,"0")</f>
        <v>237.0736008230453</v>
      </c>
      <c r="Y98" s="41">
        <f>IFERROR(Y94/H94,"0")+IFERROR(Y95/H95,"0")+IFERROR(Y96/H96,"0")+IFERROR(Y97/H97,"0")</f>
        <v>238</v>
      </c>
      <c r="Z98" s="41">
        <f>IFERROR(IF(Z94="",0,Z94),"0")+IFERROR(IF(Z95="",0,Z95),"0")+IFERROR(IF(Z96="",0,Z96),"0")+IFERROR(IF(Z97="",0,Z97),"0")</f>
        <v>2.0232399999999999</v>
      </c>
      <c r="AA98" s="64"/>
      <c r="AB98" s="64"/>
      <c r="AC98" s="64"/>
    </row>
    <row r="99" spans="1:68" x14ac:dyDescent="0.2">
      <c r="A99" s="609"/>
      <c r="B99" s="609"/>
      <c r="C99" s="609"/>
      <c r="D99" s="609"/>
      <c r="E99" s="609"/>
      <c r="F99" s="609"/>
      <c r="G99" s="609"/>
      <c r="H99" s="609"/>
      <c r="I99" s="609"/>
      <c r="J99" s="609"/>
      <c r="K99" s="609"/>
      <c r="L99" s="609"/>
      <c r="M99" s="609"/>
      <c r="N99" s="609"/>
      <c r="O99" s="610"/>
      <c r="P99" s="606" t="s">
        <v>40</v>
      </c>
      <c r="Q99" s="607"/>
      <c r="R99" s="607"/>
      <c r="S99" s="607"/>
      <c r="T99" s="607"/>
      <c r="U99" s="607"/>
      <c r="V99" s="608"/>
      <c r="W99" s="40" t="s">
        <v>0</v>
      </c>
      <c r="X99" s="41">
        <f>IFERROR(SUM(X94:X97),"0")</f>
        <v>840.29616666666675</v>
      </c>
      <c r="Y99" s="41">
        <f>IFERROR(SUM(Y94:Y97),"0")</f>
        <v>847.8</v>
      </c>
      <c r="Z99" s="40"/>
      <c r="AA99" s="64"/>
      <c r="AB99" s="64"/>
      <c r="AC99" s="64"/>
    </row>
    <row r="100" spans="1:68" ht="16.5" hidden="1" customHeight="1" x14ac:dyDescent="0.25">
      <c r="A100" s="617" t="s">
        <v>208</v>
      </c>
      <c r="B100" s="617"/>
      <c r="C100" s="617"/>
      <c r="D100" s="617"/>
      <c r="E100" s="617"/>
      <c r="F100" s="617"/>
      <c r="G100" s="617"/>
      <c r="H100" s="617"/>
      <c r="I100" s="617"/>
      <c r="J100" s="617"/>
      <c r="K100" s="617"/>
      <c r="L100" s="617"/>
      <c r="M100" s="617"/>
      <c r="N100" s="617"/>
      <c r="O100" s="617"/>
      <c r="P100" s="617"/>
      <c r="Q100" s="617"/>
      <c r="R100" s="617"/>
      <c r="S100" s="617"/>
      <c r="T100" s="617"/>
      <c r="U100" s="617"/>
      <c r="V100" s="617"/>
      <c r="W100" s="617"/>
      <c r="X100" s="617"/>
      <c r="Y100" s="617"/>
      <c r="Z100" s="617"/>
      <c r="AA100" s="62"/>
      <c r="AB100" s="62"/>
      <c r="AC100" s="62"/>
    </row>
    <row r="101" spans="1:68" ht="14.25" hidden="1" customHeight="1" x14ac:dyDescent="0.25">
      <c r="A101" s="601" t="s">
        <v>128</v>
      </c>
      <c r="B101" s="601"/>
      <c r="C101" s="601"/>
      <c r="D101" s="601"/>
      <c r="E101" s="601"/>
      <c r="F101" s="601"/>
      <c r="G101" s="601"/>
      <c r="H101" s="601"/>
      <c r="I101" s="601"/>
      <c r="J101" s="601"/>
      <c r="K101" s="601"/>
      <c r="L101" s="601"/>
      <c r="M101" s="601"/>
      <c r="N101" s="601"/>
      <c r="O101" s="601"/>
      <c r="P101" s="601"/>
      <c r="Q101" s="601"/>
      <c r="R101" s="601"/>
      <c r="S101" s="601"/>
      <c r="T101" s="601"/>
      <c r="U101" s="601"/>
      <c r="V101" s="601"/>
      <c r="W101" s="601"/>
      <c r="X101" s="601"/>
      <c r="Y101" s="601"/>
      <c r="Z101" s="601"/>
      <c r="AA101" s="63"/>
      <c r="AB101" s="63"/>
      <c r="AC101" s="63"/>
    </row>
    <row r="102" spans="1:68" ht="37.5" customHeight="1" x14ac:dyDescent="0.25">
      <c r="A102" s="60" t="s">
        <v>209</v>
      </c>
      <c r="B102" s="60" t="s">
        <v>210</v>
      </c>
      <c r="C102" s="34">
        <v>4301011514</v>
      </c>
      <c r="D102" s="602">
        <v>4680115882133</v>
      </c>
      <c r="E102" s="602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4"/>
      <c r="R102" s="604"/>
      <c r="S102" s="604"/>
      <c r="T102" s="605"/>
      <c r="U102" s="37" t="s">
        <v>46</v>
      </c>
      <c r="V102" s="37" t="s">
        <v>46</v>
      </c>
      <c r="W102" s="38" t="s">
        <v>0</v>
      </c>
      <c r="X102" s="56">
        <v>40</v>
      </c>
      <c r="Y102" s="53">
        <f t="shared" ref="Y102:Y108" si="11">IFERROR(IF(X102="",0,CEILING((X102/$H102),1)*$H102),"")</f>
        <v>43.2</v>
      </c>
      <c r="Z102" s="39">
        <f>IFERROR(IF(Y102=0,"",ROUNDUP(Y102/H102,0)*0.01898),"")</f>
        <v>7.5920000000000001E-2</v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41.518518518518519</v>
      </c>
      <c r="BN102" s="75">
        <f t="shared" ref="BN102:BN108" si="13">IFERROR(Y102*I102/H102,"0")</f>
        <v>44.84</v>
      </c>
      <c r="BO102" s="75">
        <f t="shared" ref="BO102:BO108" si="14">IFERROR(1/J102*(X102/H102),"0")</f>
        <v>5.7870370370370364E-2</v>
      </c>
      <c r="BP102" s="75">
        <f t="shared" ref="BP102:BP108" si="15">IFERROR(1/J102*(Y102/H102),"0")</f>
        <v>6.25E-2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02">
        <v>4680115887718</v>
      </c>
      <c r="E103" s="602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82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4"/>
      <c r="R103" s="604"/>
      <c r="S103" s="604"/>
      <c r="T103" s="60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02">
        <v>4680115887718</v>
      </c>
      <c r="E104" s="602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2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4"/>
      <c r="R104" s="604"/>
      <c r="S104" s="604"/>
      <c r="T104" s="60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02">
        <v>4680115887749</v>
      </c>
      <c r="E105" s="602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30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4"/>
      <c r="R105" s="604"/>
      <c r="S105" s="604"/>
      <c r="T105" s="60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02">
        <v>4680115880269</v>
      </c>
      <c r="E106" s="60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4"/>
      <c r="R106" s="604"/>
      <c r="S106" s="604"/>
      <c r="T106" s="60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customHeight="1" x14ac:dyDescent="0.25">
      <c r="A107" s="60" t="s">
        <v>220</v>
      </c>
      <c r="B107" s="60" t="s">
        <v>221</v>
      </c>
      <c r="C107" s="34">
        <v>4301011415</v>
      </c>
      <c r="D107" s="602">
        <v>4680115880429</v>
      </c>
      <c r="E107" s="60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4"/>
      <c r="R107" s="604"/>
      <c r="S107" s="604"/>
      <c r="T107" s="605"/>
      <c r="U107" s="37" t="s">
        <v>46</v>
      </c>
      <c r="V107" s="37" t="s">
        <v>46</v>
      </c>
      <c r="W107" s="38" t="s">
        <v>0</v>
      </c>
      <c r="X107" s="56">
        <v>450</v>
      </c>
      <c r="Y107" s="53">
        <f t="shared" si="11"/>
        <v>450</v>
      </c>
      <c r="Z107" s="39">
        <f>IFERROR(IF(Y107=0,"",ROUNDUP(Y107/H107,0)*0.00902),"")</f>
        <v>0.90200000000000002</v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469</v>
      </c>
      <c r="BN107" s="75">
        <f t="shared" si="13"/>
        <v>469</v>
      </c>
      <c r="BO107" s="75">
        <f t="shared" si="14"/>
        <v>0.75757575757575757</v>
      </c>
      <c r="BP107" s="75">
        <f t="shared" si="15"/>
        <v>0.75757575757575757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02">
        <v>4680115881457</v>
      </c>
      <c r="E108" s="60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2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4"/>
      <c r="R108" s="604"/>
      <c r="S108" s="604"/>
      <c r="T108" s="60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x14ac:dyDescent="0.2">
      <c r="A109" s="609"/>
      <c r="B109" s="609"/>
      <c r="C109" s="609"/>
      <c r="D109" s="609"/>
      <c r="E109" s="609"/>
      <c r="F109" s="609"/>
      <c r="G109" s="609"/>
      <c r="H109" s="609"/>
      <c r="I109" s="609"/>
      <c r="J109" s="609"/>
      <c r="K109" s="609"/>
      <c r="L109" s="609"/>
      <c r="M109" s="609"/>
      <c r="N109" s="609"/>
      <c r="O109" s="610"/>
      <c r="P109" s="606" t="s">
        <v>40</v>
      </c>
      <c r="Q109" s="607"/>
      <c r="R109" s="607"/>
      <c r="S109" s="607"/>
      <c r="T109" s="607"/>
      <c r="U109" s="607"/>
      <c r="V109" s="608"/>
      <c r="W109" s="40" t="s">
        <v>39</v>
      </c>
      <c r="X109" s="41">
        <f>IFERROR(X102/H102,"0")+IFERROR(X103/H103,"0")+IFERROR(X104/H104,"0")+IFERROR(X105/H105,"0")+IFERROR(X106/H106,"0")+IFERROR(X107/H107,"0")+IFERROR(X108/H108,"0")</f>
        <v>103.70370370370371</v>
      </c>
      <c r="Y109" s="41">
        <f>IFERROR(Y102/H102,"0")+IFERROR(Y103/H103,"0")+IFERROR(Y104/H104,"0")+IFERROR(Y105/H105,"0")+IFERROR(Y106/H106,"0")+IFERROR(Y107/H107,"0")+IFERROR(Y108/H108,"0")</f>
        <v>104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0.97792000000000001</v>
      </c>
      <c r="AA109" s="64"/>
      <c r="AB109" s="64"/>
      <c r="AC109" s="64"/>
    </row>
    <row r="110" spans="1:68" x14ac:dyDescent="0.2">
      <c r="A110" s="609"/>
      <c r="B110" s="609"/>
      <c r="C110" s="609"/>
      <c r="D110" s="609"/>
      <c r="E110" s="609"/>
      <c r="F110" s="609"/>
      <c r="G110" s="609"/>
      <c r="H110" s="609"/>
      <c r="I110" s="609"/>
      <c r="J110" s="609"/>
      <c r="K110" s="609"/>
      <c r="L110" s="609"/>
      <c r="M110" s="609"/>
      <c r="N110" s="609"/>
      <c r="O110" s="610"/>
      <c r="P110" s="606" t="s">
        <v>40</v>
      </c>
      <c r="Q110" s="607"/>
      <c r="R110" s="607"/>
      <c r="S110" s="607"/>
      <c r="T110" s="607"/>
      <c r="U110" s="607"/>
      <c r="V110" s="608"/>
      <c r="W110" s="40" t="s">
        <v>0</v>
      </c>
      <c r="X110" s="41">
        <f>IFERROR(SUM(X102:X108),"0")</f>
        <v>490</v>
      </c>
      <c r="Y110" s="41">
        <f>IFERROR(SUM(Y102:Y108),"0")</f>
        <v>493.2</v>
      </c>
      <c r="Z110" s="40"/>
      <c r="AA110" s="64"/>
      <c r="AB110" s="64"/>
      <c r="AC110" s="64"/>
    </row>
    <row r="111" spans="1:68" ht="14.25" hidden="1" customHeight="1" x14ac:dyDescent="0.25">
      <c r="A111" s="601" t="s">
        <v>163</v>
      </c>
      <c r="B111" s="601"/>
      <c r="C111" s="601"/>
      <c r="D111" s="601"/>
      <c r="E111" s="601"/>
      <c r="F111" s="601"/>
      <c r="G111" s="601"/>
      <c r="H111" s="601"/>
      <c r="I111" s="601"/>
      <c r="J111" s="601"/>
      <c r="K111" s="601"/>
      <c r="L111" s="601"/>
      <c r="M111" s="601"/>
      <c r="N111" s="601"/>
      <c r="O111" s="601"/>
      <c r="P111" s="601"/>
      <c r="Q111" s="601"/>
      <c r="R111" s="601"/>
      <c r="S111" s="601"/>
      <c r="T111" s="601"/>
      <c r="U111" s="601"/>
      <c r="V111" s="601"/>
      <c r="W111" s="601"/>
      <c r="X111" s="601"/>
      <c r="Y111" s="601"/>
      <c r="Z111" s="601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02">
        <v>4680115881488</v>
      </c>
      <c r="E112" s="60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26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4"/>
      <c r="R112" s="604"/>
      <c r="S112" s="604"/>
      <c r="T112" s="605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02">
        <v>4680115881488</v>
      </c>
      <c r="E113" s="602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82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4"/>
      <c r="R113" s="604"/>
      <c r="S113" s="604"/>
      <c r="T113" s="605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02">
        <v>4680115887664</v>
      </c>
      <c r="E114" s="602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82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4"/>
      <c r="R114" s="604"/>
      <c r="S114" s="604"/>
      <c r="T114" s="605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02">
        <v>4680115887664</v>
      </c>
      <c r="E115" s="602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82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4"/>
      <c r="R115" s="604"/>
      <c r="S115" s="604"/>
      <c r="T115" s="605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02">
        <v>4680115882775</v>
      </c>
      <c r="E116" s="602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82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4"/>
      <c r="R116" s="604"/>
      <c r="S116" s="604"/>
      <c r="T116" s="605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02">
        <v>4680115880658</v>
      </c>
      <c r="E117" s="602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8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4"/>
      <c r="R117" s="604"/>
      <c r="S117" s="604"/>
      <c r="T117" s="605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09"/>
      <c r="B118" s="609"/>
      <c r="C118" s="609"/>
      <c r="D118" s="609"/>
      <c r="E118" s="609"/>
      <c r="F118" s="609"/>
      <c r="G118" s="609"/>
      <c r="H118" s="609"/>
      <c r="I118" s="609"/>
      <c r="J118" s="609"/>
      <c r="K118" s="609"/>
      <c r="L118" s="609"/>
      <c r="M118" s="609"/>
      <c r="N118" s="609"/>
      <c r="O118" s="610"/>
      <c r="P118" s="606" t="s">
        <v>40</v>
      </c>
      <c r="Q118" s="607"/>
      <c r="R118" s="607"/>
      <c r="S118" s="607"/>
      <c r="T118" s="607"/>
      <c r="U118" s="607"/>
      <c r="V118" s="608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09"/>
      <c r="B119" s="609"/>
      <c r="C119" s="609"/>
      <c r="D119" s="609"/>
      <c r="E119" s="609"/>
      <c r="F119" s="609"/>
      <c r="G119" s="609"/>
      <c r="H119" s="609"/>
      <c r="I119" s="609"/>
      <c r="J119" s="609"/>
      <c r="K119" s="609"/>
      <c r="L119" s="609"/>
      <c r="M119" s="609"/>
      <c r="N119" s="609"/>
      <c r="O119" s="610"/>
      <c r="P119" s="606" t="s">
        <v>40</v>
      </c>
      <c r="Q119" s="607"/>
      <c r="R119" s="607"/>
      <c r="S119" s="607"/>
      <c r="T119" s="607"/>
      <c r="U119" s="607"/>
      <c r="V119" s="608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01" t="s">
        <v>86</v>
      </c>
      <c r="B120" s="601"/>
      <c r="C120" s="601"/>
      <c r="D120" s="601"/>
      <c r="E120" s="601"/>
      <c r="F120" s="601"/>
      <c r="G120" s="601"/>
      <c r="H120" s="601"/>
      <c r="I120" s="601"/>
      <c r="J120" s="601"/>
      <c r="K120" s="601"/>
      <c r="L120" s="601"/>
      <c r="M120" s="601"/>
      <c r="N120" s="601"/>
      <c r="O120" s="601"/>
      <c r="P120" s="601"/>
      <c r="Q120" s="601"/>
      <c r="R120" s="601"/>
      <c r="S120" s="601"/>
      <c r="T120" s="601"/>
      <c r="U120" s="601"/>
      <c r="V120" s="601"/>
      <c r="W120" s="601"/>
      <c r="X120" s="601"/>
      <c r="Y120" s="601"/>
      <c r="Z120" s="601"/>
      <c r="AA120" s="63"/>
      <c r="AB120" s="63"/>
      <c r="AC120" s="63"/>
    </row>
    <row r="121" spans="1:68" ht="27" customHeight="1" x14ac:dyDescent="0.25">
      <c r="A121" s="60" t="s">
        <v>238</v>
      </c>
      <c r="B121" s="60" t="s">
        <v>239</v>
      </c>
      <c r="C121" s="34">
        <v>4301051724</v>
      </c>
      <c r="D121" s="602">
        <v>4607091385168</v>
      </c>
      <c r="E121" s="602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81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4"/>
      <c r="R121" s="604"/>
      <c r="S121" s="604"/>
      <c r="T121" s="605"/>
      <c r="U121" s="37" t="s">
        <v>46</v>
      </c>
      <c r="V121" s="37" t="s">
        <v>46</v>
      </c>
      <c r="W121" s="38" t="s">
        <v>0</v>
      </c>
      <c r="X121" s="56">
        <v>800</v>
      </c>
      <c r="Y121" s="53">
        <f>IFERROR(IF(X121="",0,CEILING((X121/$H121),1)*$H121),"")</f>
        <v>801.9</v>
      </c>
      <c r="Z121" s="39">
        <f>IFERROR(IF(Y121=0,"",ROUNDUP(Y121/H121,0)*0.01898),"")</f>
        <v>1.8790200000000001</v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848.19753086419757</v>
      </c>
      <c r="BN121" s="75">
        <f>IFERROR(Y121*I121/H121,"0")</f>
        <v>850.21199999999988</v>
      </c>
      <c r="BO121" s="75">
        <f>IFERROR(1/J121*(X121/H121),"0")</f>
        <v>1.5432098765432098</v>
      </c>
      <c r="BP121" s="75">
        <f>IFERROR(1/J121*(Y121/H121),"0")</f>
        <v>1.546875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02">
        <v>4607091383256</v>
      </c>
      <c r="E122" s="602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1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4"/>
      <c r="R122" s="604"/>
      <c r="S122" s="604"/>
      <c r="T122" s="60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243</v>
      </c>
      <c r="B123" s="60" t="s">
        <v>244</v>
      </c>
      <c r="C123" s="34">
        <v>4301051721</v>
      </c>
      <c r="D123" s="602">
        <v>4607091385748</v>
      </c>
      <c r="E123" s="602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81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4"/>
      <c r="R123" s="604"/>
      <c r="S123" s="604"/>
      <c r="T123" s="605"/>
      <c r="U123" s="37" t="s">
        <v>46</v>
      </c>
      <c r="V123" s="37" t="s">
        <v>46</v>
      </c>
      <c r="W123" s="38" t="s">
        <v>0</v>
      </c>
      <c r="X123" s="56">
        <v>540</v>
      </c>
      <c r="Y123" s="53">
        <f>IFERROR(IF(X123="",0,CEILING((X123/$H123),1)*$H123),"")</f>
        <v>540</v>
      </c>
      <c r="Z123" s="39">
        <f>IFERROR(IF(Y123=0,"",ROUNDUP(Y123/H123,0)*0.00651),"")</f>
        <v>1.302</v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590.4</v>
      </c>
      <c r="BN123" s="75">
        <f>IFERROR(Y123*I123/H123,"0")</f>
        <v>590.4</v>
      </c>
      <c r="BO123" s="75">
        <f>IFERROR(1/J123*(X123/H123),"0")</f>
        <v>1.098901098901099</v>
      </c>
      <c r="BP123" s="75">
        <f>IFERROR(1/J123*(Y123/H123),"0")</f>
        <v>1.098901098901099</v>
      </c>
    </row>
    <row r="124" spans="1:68" ht="16.5" customHeight="1" x14ac:dyDescent="0.25">
      <c r="A124" s="60" t="s">
        <v>245</v>
      </c>
      <c r="B124" s="60" t="s">
        <v>246</v>
      </c>
      <c r="C124" s="34">
        <v>4301051740</v>
      </c>
      <c r="D124" s="602">
        <v>4680115884533</v>
      </c>
      <c r="E124" s="602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8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4"/>
      <c r="R124" s="604"/>
      <c r="S124" s="604"/>
      <c r="T124" s="605"/>
      <c r="U124" s="37" t="s">
        <v>46</v>
      </c>
      <c r="V124" s="37" t="s">
        <v>46</v>
      </c>
      <c r="W124" s="38" t="s">
        <v>0</v>
      </c>
      <c r="X124" s="56">
        <v>60</v>
      </c>
      <c r="Y124" s="53">
        <f>IFERROR(IF(X124="",0,CEILING((X124/$H124),1)*$H124),"")</f>
        <v>61.2</v>
      </c>
      <c r="Z124" s="39">
        <f>IFERROR(IF(Y124=0,"",ROUNDUP(Y124/H124,0)*0.00651),"")</f>
        <v>0.22134000000000001</v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66</v>
      </c>
      <c r="BN124" s="75">
        <f>IFERROR(Y124*I124/H124,"0")</f>
        <v>67.319999999999993</v>
      </c>
      <c r="BO124" s="75">
        <f>IFERROR(1/J124*(X124/H124),"0")</f>
        <v>0.18315018315018317</v>
      </c>
      <c r="BP124" s="75">
        <f>IFERROR(1/J124*(Y124/H124),"0")</f>
        <v>0.18681318681318682</v>
      </c>
    </row>
    <row r="125" spans="1:68" x14ac:dyDescent="0.2">
      <c r="A125" s="609"/>
      <c r="B125" s="609"/>
      <c r="C125" s="609"/>
      <c r="D125" s="609"/>
      <c r="E125" s="609"/>
      <c r="F125" s="609"/>
      <c r="G125" s="609"/>
      <c r="H125" s="609"/>
      <c r="I125" s="609"/>
      <c r="J125" s="609"/>
      <c r="K125" s="609"/>
      <c r="L125" s="609"/>
      <c r="M125" s="609"/>
      <c r="N125" s="609"/>
      <c r="O125" s="610"/>
      <c r="P125" s="606" t="s">
        <v>40</v>
      </c>
      <c r="Q125" s="607"/>
      <c r="R125" s="607"/>
      <c r="S125" s="607"/>
      <c r="T125" s="607"/>
      <c r="U125" s="607"/>
      <c r="V125" s="608"/>
      <c r="W125" s="40" t="s">
        <v>39</v>
      </c>
      <c r="X125" s="41">
        <f>IFERROR(X121/H121,"0")+IFERROR(X122/H122,"0")+IFERROR(X123/H123,"0")+IFERROR(X124/H124,"0")</f>
        <v>332.09876543209873</v>
      </c>
      <c r="Y125" s="41">
        <f>IFERROR(Y121/H121,"0")+IFERROR(Y122/H122,"0")+IFERROR(Y123/H123,"0")+IFERROR(Y124/H124,"0")</f>
        <v>333</v>
      </c>
      <c r="Z125" s="41">
        <f>IFERROR(IF(Z121="",0,Z121),"0")+IFERROR(IF(Z122="",0,Z122),"0")+IFERROR(IF(Z123="",0,Z123),"0")+IFERROR(IF(Z124="",0,Z124),"0")</f>
        <v>3.4023600000000003</v>
      </c>
      <c r="AA125" s="64"/>
      <c r="AB125" s="64"/>
      <c r="AC125" s="64"/>
    </row>
    <row r="126" spans="1:68" x14ac:dyDescent="0.2">
      <c r="A126" s="609"/>
      <c r="B126" s="609"/>
      <c r="C126" s="609"/>
      <c r="D126" s="609"/>
      <c r="E126" s="609"/>
      <c r="F126" s="609"/>
      <c r="G126" s="609"/>
      <c r="H126" s="609"/>
      <c r="I126" s="609"/>
      <c r="J126" s="609"/>
      <c r="K126" s="609"/>
      <c r="L126" s="609"/>
      <c r="M126" s="609"/>
      <c r="N126" s="609"/>
      <c r="O126" s="610"/>
      <c r="P126" s="606" t="s">
        <v>40</v>
      </c>
      <c r="Q126" s="607"/>
      <c r="R126" s="607"/>
      <c r="S126" s="607"/>
      <c r="T126" s="607"/>
      <c r="U126" s="607"/>
      <c r="V126" s="608"/>
      <c r="W126" s="40" t="s">
        <v>0</v>
      </c>
      <c r="X126" s="41">
        <f>IFERROR(SUM(X121:X124),"0")</f>
        <v>1400</v>
      </c>
      <c r="Y126" s="41">
        <f>IFERROR(SUM(Y121:Y124),"0")</f>
        <v>1403.1000000000001</v>
      </c>
      <c r="Z126" s="40"/>
      <c r="AA126" s="64"/>
      <c r="AB126" s="64"/>
      <c r="AC126" s="64"/>
    </row>
    <row r="127" spans="1:68" ht="14.25" hidden="1" customHeight="1" x14ac:dyDescent="0.25">
      <c r="A127" s="601" t="s">
        <v>180</v>
      </c>
      <c r="B127" s="601"/>
      <c r="C127" s="601"/>
      <c r="D127" s="601"/>
      <c r="E127" s="601"/>
      <c r="F127" s="601"/>
      <c r="G127" s="601"/>
      <c r="H127" s="601"/>
      <c r="I127" s="601"/>
      <c r="J127" s="601"/>
      <c r="K127" s="601"/>
      <c r="L127" s="601"/>
      <c r="M127" s="601"/>
      <c r="N127" s="601"/>
      <c r="O127" s="601"/>
      <c r="P127" s="601"/>
      <c r="Q127" s="601"/>
      <c r="R127" s="601"/>
      <c r="S127" s="601"/>
      <c r="T127" s="601"/>
      <c r="U127" s="601"/>
      <c r="V127" s="601"/>
      <c r="W127" s="601"/>
      <c r="X127" s="601"/>
      <c r="Y127" s="601"/>
      <c r="Z127" s="601"/>
      <c r="AA127" s="63"/>
      <c r="AB127" s="63"/>
      <c r="AC127" s="63"/>
    </row>
    <row r="128" spans="1:68" ht="16.5" customHeight="1" x14ac:dyDescent="0.25">
      <c r="A128" s="60" t="s">
        <v>248</v>
      </c>
      <c r="B128" s="60" t="s">
        <v>249</v>
      </c>
      <c r="C128" s="34">
        <v>4301060317</v>
      </c>
      <c r="D128" s="602">
        <v>4680115880238</v>
      </c>
      <c r="E128" s="602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8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4"/>
      <c r="R128" s="604"/>
      <c r="S128" s="604"/>
      <c r="T128" s="605"/>
      <c r="U128" s="37" t="s">
        <v>46</v>
      </c>
      <c r="V128" s="37" t="s">
        <v>46</v>
      </c>
      <c r="W128" s="38" t="s">
        <v>0</v>
      </c>
      <c r="X128" s="56">
        <v>66</v>
      </c>
      <c r="Y128" s="53">
        <f>IFERROR(IF(X128="",0,CEILING((X128/$H128),1)*$H128),"")</f>
        <v>67.319999999999993</v>
      </c>
      <c r="Z128" s="39">
        <f>IFERROR(IF(Y128=0,"",ROUNDUP(Y128/H128,0)*0.00651),"")</f>
        <v>0.22134000000000001</v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74.599999999999994</v>
      </c>
      <c r="BN128" s="75">
        <f>IFERROR(Y128*I128/H128,"0")</f>
        <v>76.091999999999985</v>
      </c>
      <c r="BO128" s="75">
        <f>IFERROR(1/J128*(X128/H128),"0")</f>
        <v>0.18315018315018317</v>
      </c>
      <c r="BP128" s="75">
        <f>IFERROR(1/J128*(Y128/H128),"0")</f>
        <v>0.18681318681318682</v>
      </c>
    </row>
    <row r="129" spans="1:68" x14ac:dyDescent="0.2">
      <c r="A129" s="609"/>
      <c r="B129" s="609"/>
      <c r="C129" s="609"/>
      <c r="D129" s="609"/>
      <c r="E129" s="609"/>
      <c r="F129" s="609"/>
      <c r="G129" s="609"/>
      <c r="H129" s="609"/>
      <c r="I129" s="609"/>
      <c r="J129" s="609"/>
      <c r="K129" s="609"/>
      <c r="L129" s="609"/>
      <c r="M129" s="609"/>
      <c r="N129" s="609"/>
      <c r="O129" s="610"/>
      <c r="P129" s="606" t="s">
        <v>40</v>
      </c>
      <c r="Q129" s="607"/>
      <c r="R129" s="607"/>
      <c r="S129" s="607"/>
      <c r="T129" s="607"/>
      <c r="U129" s="607"/>
      <c r="V129" s="608"/>
      <c r="W129" s="40" t="s">
        <v>39</v>
      </c>
      <c r="X129" s="41">
        <f>IFERROR(X128/H128,"0")</f>
        <v>33.333333333333336</v>
      </c>
      <c r="Y129" s="41">
        <f>IFERROR(Y128/H128,"0")</f>
        <v>34</v>
      </c>
      <c r="Z129" s="41">
        <f>IFERROR(IF(Z128="",0,Z128),"0")</f>
        <v>0.22134000000000001</v>
      </c>
      <c r="AA129" s="64"/>
      <c r="AB129" s="64"/>
      <c r="AC129" s="64"/>
    </row>
    <row r="130" spans="1:68" x14ac:dyDescent="0.2">
      <c r="A130" s="609"/>
      <c r="B130" s="609"/>
      <c r="C130" s="609"/>
      <c r="D130" s="609"/>
      <c r="E130" s="609"/>
      <c r="F130" s="609"/>
      <c r="G130" s="609"/>
      <c r="H130" s="609"/>
      <c r="I130" s="609"/>
      <c r="J130" s="609"/>
      <c r="K130" s="609"/>
      <c r="L130" s="609"/>
      <c r="M130" s="609"/>
      <c r="N130" s="609"/>
      <c r="O130" s="610"/>
      <c r="P130" s="606" t="s">
        <v>40</v>
      </c>
      <c r="Q130" s="607"/>
      <c r="R130" s="607"/>
      <c r="S130" s="607"/>
      <c r="T130" s="607"/>
      <c r="U130" s="607"/>
      <c r="V130" s="608"/>
      <c r="W130" s="40" t="s">
        <v>0</v>
      </c>
      <c r="X130" s="41">
        <f>IFERROR(SUM(X128:X128),"0")</f>
        <v>66</v>
      </c>
      <c r="Y130" s="41">
        <f>IFERROR(SUM(Y128:Y128),"0")</f>
        <v>67.319999999999993</v>
      </c>
      <c r="Z130" s="40"/>
      <c r="AA130" s="64"/>
      <c r="AB130" s="64"/>
      <c r="AC130" s="64"/>
    </row>
    <row r="131" spans="1:68" ht="16.5" hidden="1" customHeight="1" x14ac:dyDescent="0.25">
      <c r="A131" s="617" t="s">
        <v>251</v>
      </c>
      <c r="B131" s="617"/>
      <c r="C131" s="617"/>
      <c r="D131" s="617"/>
      <c r="E131" s="617"/>
      <c r="F131" s="617"/>
      <c r="G131" s="617"/>
      <c r="H131" s="617"/>
      <c r="I131" s="617"/>
      <c r="J131" s="617"/>
      <c r="K131" s="617"/>
      <c r="L131" s="617"/>
      <c r="M131" s="617"/>
      <c r="N131" s="617"/>
      <c r="O131" s="617"/>
      <c r="P131" s="617"/>
      <c r="Q131" s="617"/>
      <c r="R131" s="617"/>
      <c r="S131" s="617"/>
      <c r="T131" s="617"/>
      <c r="U131" s="617"/>
      <c r="V131" s="617"/>
      <c r="W131" s="617"/>
      <c r="X131" s="617"/>
      <c r="Y131" s="617"/>
      <c r="Z131" s="617"/>
      <c r="AA131" s="62"/>
      <c r="AB131" s="62"/>
      <c r="AC131" s="62"/>
    </row>
    <row r="132" spans="1:68" ht="14.25" hidden="1" customHeight="1" x14ac:dyDescent="0.25">
      <c r="A132" s="601" t="s">
        <v>128</v>
      </c>
      <c r="B132" s="601"/>
      <c r="C132" s="601"/>
      <c r="D132" s="601"/>
      <c r="E132" s="601"/>
      <c r="F132" s="601"/>
      <c r="G132" s="601"/>
      <c r="H132" s="601"/>
      <c r="I132" s="601"/>
      <c r="J132" s="601"/>
      <c r="K132" s="601"/>
      <c r="L132" s="601"/>
      <c r="M132" s="601"/>
      <c r="N132" s="601"/>
      <c r="O132" s="601"/>
      <c r="P132" s="601"/>
      <c r="Q132" s="601"/>
      <c r="R132" s="601"/>
      <c r="S132" s="601"/>
      <c r="T132" s="601"/>
      <c r="U132" s="601"/>
      <c r="V132" s="601"/>
      <c r="W132" s="601"/>
      <c r="X132" s="601"/>
      <c r="Y132" s="601"/>
      <c r="Z132" s="601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02">
        <v>4680115882577</v>
      </c>
      <c r="E133" s="60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81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4"/>
      <c r="R133" s="604"/>
      <c r="S133" s="604"/>
      <c r="T133" s="60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252</v>
      </c>
      <c r="B134" s="60" t="s">
        <v>255</v>
      </c>
      <c r="C134" s="34">
        <v>4301011564</v>
      </c>
      <c r="D134" s="602">
        <v>4680115882577</v>
      </c>
      <c r="E134" s="602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8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4"/>
      <c r="R134" s="604"/>
      <c r="S134" s="604"/>
      <c r="T134" s="605"/>
      <c r="U134" s="37" t="s">
        <v>46</v>
      </c>
      <c r="V134" s="37" t="s">
        <v>46</v>
      </c>
      <c r="W134" s="38" t="s">
        <v>0</v>
      </c>
      <c r="X134" s="56">
        <v>120</v>
      </c>
      <c r="Y134" s="53">
        <f>IFERROR(IF(X134="",0,CEILING((X134/$H134),1)*$H134),"")</f>
        <v>121.60000000000001</v>
      </c>
      <c r="Z134" s="39">
        <f>IFERROR(IF(Y134=0,"",ROUNDUP(Y134/H134,0)*0.00651),"")</f>
        <v>0.24738000000000002</v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126.74999999999999</v>
      </c>
      <c r="BN134" s="75">
        <f>IFERROR(Y134*I134/H134,"0")</f>
        <v>128.44</v>
      </c>
      <c r="BO134" s="75">
        <f>IFERROR(1/J134*(X134/H134),"0")</f>
        <v>0.20604395604395606</v>
      </c>
      <c r="BP134" s="75">
        <f>IFERROR(1/J134*(Y134/H134),"0")</f>
        <v>0.2087912087912088</v>
      </c>
    </row>
    <row r="135" spans="1:68" x14ac:dyDescent="0.2">
      <c r="A135" s="609"/>
      <c r="B135" s="609"/>
      <c r="C135" s="609"/>
      <c r="D135" s="609"/>
      <c r="E135" s="609"/>
      <c r="F135" s="609"/>
      <c r="G135" s="609"/>
      <c r="H135" s="609"/>
      <c r="I135" s="609"/>
      <c r="J135" s="609"/>
      <c r="K135" s="609"/>
      <c r="L135" s="609"/>
      <c r="M135" s="609"/>
      <c r="N135" s="609"/>
      <c r="O135" s="610"/>
      <c r="P135" s="606" t="s">
        <v>40</v>
      </c>
      <c r="Q135" s="607"/>
      <c r="R135" s="607"/>
      <c r="S135" s="607"/>
      <c r="T135" s="607"/>
      <c r="U135" s="607"/>
      <c r="V135" s="608"/>
      <c r="W135" s="40" t="s">
        <v>39</v>
      </c>
      <c r="X135" s="41">
        <f>IFERROR(X133/H133,"0")+IFERROR(X134/H134,"0")</f>
        <v>37.5</v>
      </c>
      <c r="Y135" s="41">
        <f>IFERROR(Y133/H133,"0")+IFERROR(Y134/H134,"0")</f>
        <v>38</v>
      </c>
      <c r="Z135" s="41">
        <f>IFERROR(IF(Z133="",0,Z133),"0")+IFERROR(IF(Z134="",0,Z134),"0")</f>
        <v>0.24738000000000002</v>
      </c>
      <c r="AA135" s="64"/>
      <c r="AB135" s="64"/>
      <c r="AC135" s="64"/>
    </row>
    <row r="136" spans="1:68" x14ac:dyDescent="0.2">
      <c r="A136" s="609"/>
      <c r="B136" s="609"/>
      <c r="C136" s="609"/>
      <c r="D136" s="609"/>
      <c r="E136" s="609"/>
      <c r="F136" s="609"/>
      <c r="G136" s="609"/>
      <c r="H136" s="609"/>
      <c r="I136" s="609"/>
      <c r="J136" s="609"/>
      <c r="K136" s="609"/>
      <c r="L136" s="609"/>
      <c r="M136" s="609"/>
      <c r="N136" s="609"/>
      <c r="O136" s="610"/>
      <c r="P136" s="606" t="s">
        <v>40</v>
      </c>
      <c r="Q136" s="607"/>
      <c r="R136" s="607"/>
      <c r="S136" s="607"/>
      <c r="T136" s="607"/>
      <c r="U136" s="607"/>
      <c r="V136" s="608"/>
      <c r="W136" s="40" t="s">
        <v>0</v>
      </c>
      <c r="X136" s="41">
        <f>IFERROR(SUM(X133:X134),"0")</f>
        <v>120</v>
      </c>
      <c r="Y136" s="41">
        <f>IFERROR(SUM(Y133:Y134),"0")</f>
        <v>121.60000000000001</v>
      </c>
      <c r="Z136" s="40"/>
      <c r="AA136" s="64"/>
      <c r="AB136" s="64"/>
      <c r="AC136" s="64"/>
    </row>
    <row r="137" spans="1:68" ht="14.25" hidden="1" customHeight="1" x14ac:dyDescent="0.25">
      <c r="A137" s="601" t="s">
        <v>77</v>
      </c>
      <c r="B137" s="601"/>
      <c r="C137" s="601"/>
      <c r="D137" s="601"/>
      <c r="E137" s="601"/>
      <c r="F137" s="601"/>
      <c r="G137" s="601"/>
      <c r="H137" s="601"/>
      <c r="I137" s="601"/>
      <c r="J137" s="601"/>
      <c r="K137" s="601"/>
      <c r="L137" s="601"/>
      <c r="M137" s="601"/>
      <c r="N137" s="601"/>
      <c r="O137" s="601"/>
      <c r="P137" s="601"/>
      <c r="Q137" s="601"/>
      <c r="R137" s="601"/>
      <c r="S137" s="601"/>
      <c r="T137" s="601"/>
      <c r="U137" s="601"/>
      <c r="V137" s="601"/>
      <c r="W137" s="601"/>
      <c r="X137" s="601"/>
      <c r="Y137" s="601"/>
      <c r="Z137" s="601"/>
      <c r="AA137" s="63"/>
      <c r="AB137" s="63"/>
      <c r="AC137" s="63"/>
    </row>
    <row r="138" spans="1:68" ht="27" customHeight="1" x14ac:dyDescent="0.25">
      <c r="A138" s="60" t="s">
        <v>256</v>
      </c>
      <c r="B138" s="60" t="s">
        <v>257</v>
      </c>
      <c r="C138" s="34">
        <v>4301031234</v>
      </c>
      <c r="D138" s="602">
        <v>4680115883444</v>
      </c>
      <c r="E138" s="60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4"/>
      <c r="R138" s="604"/>
      <c r="S138" s="604"/>
      <c r="T138" s="605"/>
      <c r="U138" s="37" t="s">
        <v>46</v>
      </c>
      <c r="V138" s="37" t="s">
        <v>46</v>
      </c>
      <c r="W138" s="38" t="s">
        <v>0</v>
      </c>
      <c r="X138" s="56">
        <v>42</v>
      </c>
      <c r="Y138" s="53">
        <f>IFERROR(IF(X138="",0,CEILING((X138/$H138),1)*$H138),"")</f>
        <v>42</v>
      </c>
      <c r="Z138" s="39">
        <f>IFERROR(IF(Y138=0,"",ROUNDUP(Y138/H138,0)*0.00651),"")</f>
        <v>9.7650000000000001E-2</v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46.02</v>
      </c>
      <c r="BN138" s="75">
        <f>IFERROR(Y138*I138/H138,"0")</f>
        <v>46.02</v>
      </c>
      <c r="BO138" s="75">
        <f>IFERROR(1/J138*(X138/H138),"0")</f>
        <v>8.241758241758243E-2</v>
      </c>
      <c r="BP138" s="75">
        <f>IFERROR(1/J138*(Y138/H138),"0")</f>
        <v>8.241758241758243E-2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02">
        <v>4680115883444</v>
      </c>
      <c r="E139" s="602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4"/>
      <c r="R139" s="604"/>
      <c r="S139" s="604"/>
      <c r="T139" s="605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609"/>
      <c r="B140" s="609"/>
      <c r="C140" s="609"/>
      <c r="D140" s="609"/>
      <c r="E140" s="609"/>
      <c r="F140" s="609"/>
      <c r="G140" s="609"/>
      <c r="H140" s="609"/>
      <c r="I140" s="609"/>
      <c r="J140" s="609"/>
      <c r="K140" s="609"/>
      <c r="L140" s="609"/>
      <c r="M140" s="609"/>
      <c r="N140" s="609"/>
      <c r="O140" s="610"/>
      <c r="P140" s="606" t="s">
        <v>40</v>
      </c>
      <c r="Q140" s="607"/>
      <c r="R140" s="607"/>
      <c r="S140" s="607"/>
      <c r="T140" s="607"/>
      <c r="U140" s="607"/>
      <c r="V140" s="608"/>
      <c r="W140" s="40" t="s">
        <v>39</v>
      </c>
      <c r="X140" s="41">
        <f>IFERROR(X138/H138,"0")+IFERROR(X139/H139,"0")</f>
        <v>15.000000000000002</v>
      </c>
      <c r="Y140" s="41">
        <f>IFERROR(Y138/H138,"0")+IFERROR(Y139/H139,"0")</f>
        <v>15.000000000000002</v>
      </c>
      <c r="Z140" s="41">
        <f>IFERROR(IF(Z138="",0,Z138),"0")+IFERROR(IF(Z139="",0,Z139),"0")</f>
        <v>9.7650000000000001E-2</v>
      </c>
      <c r="AA140" s="64"/>
      <c r="AB140" s="64"/>
      <c r="AC140" s="64"/>
    </row>
    <row r="141" spans="1:68" x14ac:dyDescent="0.2">
      <c r="A141" s="609"/>
      <c r="B141" s="609"/>
      <c r="C141" s="609"/>
      <c r="D141" s="609"/>
      <c r="E141" s="609"/>
      <c r="F141" s="609"/>
      <c r="G141" s="609"/>
      <c r="H141" s="609"/>
      <c r="I141" s="609"/>
      <c r="J141" s="609"/>
      <c r="K141" s="609"/>
      <c r="L141" s="609"/>
      <c r="M141" s="609"/>
      <c r="N141" s="609"/>
      <c r="O141" s="610"/>
      <c r="P141" s="606" t="s">
        <v>40</v>
      </c>
      <c r="Q141" s="607"/>
      <c r="R141" s="607"/>
      <c r="S141" s="607"/>
      <c r="T141" s="607"/>
      <c r="U141" s="607"/>
      <c r="V141" s="608"/>
      <c r="W141" s="40" t="s">
        <v>0</v>
      </c>
      <c r="X141" s="41">
        <f>IFERROR(SUM(X138:X139),"0")</f>
        <v>42</v>
      </c>
      <c r="Y141" s="41">
        <f>IFERROR(SUM(Y138:Y139),"0")</f>
        <v>42</v>
      </c>
      <c r="Z141" s="40"/>
      <c r="AA141" s="64"/>
      <c r="AB141" s="64"/>
      <c r="AC141" s="64"/>
    </row>
    <row r="142" spans="1:68" ht="14.25" hidden="1" customHeight="1" x14ac:dyDescent="0.25">
      <c r="A142" s="601" t="s">
        <v>86</v>
      </c>
      <c r="B142" s="601"/>
      <c r="C142" s="601"/>
      <c r="D142" s="601"/>
      <c r="E142" s="601"/>
      <c r="F142" s="601"/>
      <c r="G142" s="601"/>
      <c r="H142" s="601"/>
      <c r="I142" s="601"/>
      <c r="J142" s="601"/>
      <c r="K142" s="601"/>
      <c r="L142" s="601"/>
      <c r="M142" s="601"/>
      <c r="N142" s="601"/>
      <c r="O142" s="601"/>
      <c r="P142" s="601"/>
      <c r="Q142" s="601"/>
      <c r="R142" s="601"/>
      <c r="S142" s="601"/>
      <c r="T142" s="601"/>
      <c r="U142" s="601"/>
      <c r="V142" s="601"/>
      <c r="W142" s="601"/>
      <c r="X142" s="601"/>
      <c r="Y142" s="601"/>
      <c r="Z142" s="601"/>
      <c r="AA142" s="63"/>
      <c r="AB142" s="63"/>
      <c r="AC142" s="63"/>
    </row>
    <row r="143" spans="1:68" ht="16.5" customHeight="1" x14ac:dyDescent="0.25">
      <c r="A143" s="60" t="s">
        <v>260</v>
      </c>
      <c r="B143" s="60" t="s">
        <v>261</v>
      </c>
      <c r="C143" s="34">
        <v>4301051476</v>
      </c>
      <c r="D143" s="602">
        <v>4680115882584</v>
      </c>
      <c r="E143" s="60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8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4"/>
      <c r="R143" s="604"/>
      <c r="S143" s="604"/>
      <c r="T143" s="605"/>
      <c r="U143" s="37" t="s">
        <v>46</v>
      </c>
      <c r="V143" s="37" t="s">
        <v>46</v>
      </c>
      <c r="W143" s="38" t="s">
        <v>0</v>
      </c>
      <c r="X143" s="56">
        <v>99</v>
      </c>
      <c r="Y143" s="53">
        <f>IFERROR(IF(X143="",0,CEILING((X143/$H143),1)*$H143),"")</f>
        <v>100.32000000000001</v>
      </c>
      <c r="Z143" s="39">
        <f>IFERROR(IF(Y143=0,"",ROUNDUP(Y143/H143,0)*0.00651),"")</f>
        <v>0.24738000000000002</v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109.05</v>
      </c>
      <c r="BN143" s="75">
        <f>IFERROR(Y143*I143/H143,"0")</f>
        <v>110.504</v>
      </c>
      <c r="BO143" s="75">
        <f>IFERROR(1/J143*(X143/H143),"0")</f>
        <v>0.20604395604395606</v>
      </c>
      <c r="BP143" s="75">
        <f>IFERROR(1/J143*(Y143/H143),"0")</f>
        <v>0.2087912087912088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02">
        <v>4680115882584</v>
      </c>
      <c r="E144" s="602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8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4"/>
      <c r="R144" s="604"/>
      <c r="S144" s="604"/>
      <c r="T144" s="605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609"/>
      <c r="B145" s="609"/>
      <c r="C145" s="609"/>
      <c r="D145" s="609"/>
      <c r="E145" s="609"/>
      <c r="F145" s="609"/>
      <c r="G145" s="609"/>
      <c r="H145" s="609"/>
      <c r="I145" s="609"/>
      <c r="J145" s="609"/>
      <c r="K145" s="609"/>
      <c r="L145" s="609"/>
      <c r="M145" s="609"/>
      <c r="N145" s="609"/>
      <c r="O145" s="610"/>
      <c r="P145" s="606" t="s">
        <v>40</v>
      </c>
      <c r="Q145" s="607"/>
      <c r="R145" s="607"/>
      <c r="S145" s="607"/>
      <c r="T145" s="607"/>
      <c r="U145" s="607"/>
      <c r="V145" s="608"/>
      <c r="W145" s="40" t="s">
        <v>39</v>
      </c>
      <c r="X145" s="41">
        <f>IFERROR(X143/H143,"0")+IFERROR(X144/H144,"0")</f>
        <v>37.5</v>
      </c>
      <c r="Y145" s="41">
        <f>IFERROR(Y143/H143,"0")+IFERROR(Y144/H144,"0")</f>
        <v>38</v>
      </c>
      <c r="Z145" s="41">
        <f>IFERROR(IF(Z143="",0,Z143),"0")+IFERROR(IF(Z144="",0,Z144),"0")</f>
        <v>0.24738000000000002</v>
      </c>
      <c r="AA145" s="64"/>
      <c r="AB145" s="64"/>
      <c r="AC145" s="64"/>
    </row>
    <row r="146" spans="1:68" x14ac:dyDescent="0.2">
      <c r="A146" s="609"/>
      <c r="B146" s="609"/>
      <c r="C146" s="609"/>
      <c r="D146" s="609"/>
      <c r="E146" s="609"/>
      <c r="F146" s="609"/>
      <c r="G146" s="609"/>
      <c r="H146" s="609"/>
      <c r="I146" s="609"/>
      <c r="J146" s="609"/>
      <c r="K146" s="609"/>
      <c r="L146" s="609"/>
      <c r="M146" s="609"/>
      <c r="N146" s="609"/>
      <c r="O146" s="610"/>
      <c r="P146" s="606" t="s">
        <v>40</v>
      </c>
      <c r="Q146" s="607"/>
      <c r="R146" s="607"/>
      <c r="S146" s="607"/>
      <c r="T146" s="607"/>
      <c r="U146" s="607"/>
      <c r="V146" s="608"/>
      <c r="W146" s="40" t="s">
        <v>0</v>
      </c>
      <c r="X146" s="41">
        <f>IFERROR(SUM(X143:X144),"0")</f>
        <v>99</v>
      </c>
      <c r="Y146" s="41">
        <f>IFERROR(SUM(Y143:Y144),"0")</f>
        <v>100.32000000000001</v>
      </c>
      <c r="Z146" s="40"/>
      <c r="AA146" s="64"/>
      <c r="AB146" s="64"/>
      <c r="AC146" s="64"/>
    </row>
    <row r="147" spans="1:68" ht="16.5" hidden="1" customHeight="1" x14ac:dyDescent="0.25">
      <c r="A147" s="617" t="s">
        <v>263</v>
      </c>
      <c r="B147" s="617"/>
      <c r="C147" s="617"/>
      <c r="D147" s="617"/>
      <c r="E147" s="617"/>
      <c r="F147" s="617"/>
      <c r="G147" s="617"/>
      <c r="H147" s="617"/>
      <c r="I147" s="617"/>
      <c r="J147" s="617"/>
      <c r="K147" s="617"/>
      <c r="L147" s="617"/>
      <c r="M147" s="617"/>
      <c r="N147" s="617"/>
      <c r="O147" s="617"/>
      <c r="P147" s="617"/>
      <c r="Q147" s="617"/>
      <c r="R147" s="617"/>
      <c r="S147" s="617"/>
      <c r="T147" s="617"/>
      <c r="U147" s="617"/>
      <c r="V147" s="617"/>
      <c r="W147" s="617"/>
      <c r="X147" s="617"/>
      <c r="Y147" s="617"/>
      <c r="Z147" s="617"/>
      <c r="AA147" s="62"/>
      <c r="AB147" s="62"/>
      <c r="AC147" s="62"/>
    </row>
    <row r="148" spans="1:68" ht="14.25" hidden="1" customHeight="1" x14ac:dyDescent="0.25">
      <c r="A148" s="601" t="s">
        <v>86</v>
      </c>
      <c r="B148" s="601"/>
      <c r="C148" s="601"/>
      <c r="D148" s="601"/>
      <c r="E148" s="601"/>
      <c r="F148" s="601"/>
      <c r="G148" s="601"/>
      <c r="H148" s="601"/>
      <c r="I148" s="601"/>
      <c r="J148" s="601"/>
      <c r="K148" s="601"/>
      <c r="L148" s="601"/>
      <c r="M148" s="601"/>
      <c r="N148" s="601"/>
      <c r="O148" s="601"/>
      <c r="P148" s="601"/>
      <c r="Q148" s="601"/>
      <c r="R148" s="601"/>
      <c r="S148" s="601"/>
      <c r="T148" s="601"/>
      <c r="U148" s="601"/>
      <c r="V148" s="601"/>
      <c r="W148" s="601"/>
      <c r="X148" s="601"/>
      <c r="Y148" s="601"/>
      <c r="Z148" s="601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02">
        <v>4680115888203</v>
      </c>
      <c r="E149" s="60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06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4"/>
      <c r="R149" s="604"/>
      <c r="S149" s="604"/>
      <c r="T149" s="60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02">
        <v>4680115888180</v>
      </c>
      <c r="E150" s="60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0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4"/>
      <c r="R150" s="604"/>
      <c r="S150" s="604"/>
      <c r="T150" s="60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02">
        <v>4680115888197</v>
      </c>
      <c r="E151" s="60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4"/>
      <c r="R151" s="604"/>
      <c r="S151" s="604"/>
      <c r="T151" s="60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02">
        <v>4680115888210</v>
      </c>
      <c r="E152" s="602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4"/>
      <c r="R152" s="604"/>
      <c r="S152" s="604"/>
      <c r="T152" s="605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09"/>
      <c r="B153" s="609"/>
      <c r="C153" s="609"/>
      <c r="D153" s="609"/>
      <c r="E153" s="609"/>
      <c r="F153" s="609"/>
      <c r="G153" s="609"/>
      <c r="H153" s="609"/>
      <c r="I153" s="609"/>
      <c r="J153" s="609"/>
      <c r="K153" s="609"/>
      <c r="L153" s="609"/>
      <c r="M153" s="609"/>
      <c r="N153" s="609"/>
      <c r="O153" s="610"/>
      <c r="P153" s="606" t="s">
        <v>40</v>
      </c>
      <c r="Q153" s="607"/>
      <c r="R153" s="607"/>
      <c r="S153" s="607"/>
      <c r="T153" s="607"/>
      <c r="U153" s="607"/>
      <c r="V153" s="608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09"/>
      <c r="B154" s="609"/>
      <c r="C154" s="609"/>
      <c r="D154" s="609"/>
      <c r="E154" s="609"/>
      <c r="F154" s="609"/>
      <c r="G154" s="609"/>
      <c r="H154" s="609"/>
      <c r="I154" s="609"/>
      <c r="J154" s="609"/>
      <c r="K154" s="609"/>
      <c r="L154" s="609"/>
      <c r="M154" s="609"/>
      <c r="N154" s="609"/>
      <c r="O154" s="610"/>
      <c r="P154" s="606" t="s">
        <v>40</v>
      </c>
      <c r="Q154" s="607"/>
      <c r="R154" s="607"/>
      <c r="S154" s="607"/>
      <c r="T154" s="607"/>
      <c r="U154" s="607"/>
      <c r="V154" s="608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17" t="s">
        <v>126</v>
      </c>
      <c r="B155" s="617"/>
      <c r="C155" s="617"/>
      <c r="D155" s="617"/>
      <c r="E155" s="617"/>
      <c r="F155" s="617"/>
      <c r="G155" s="617"/>
      <c r="H155" s="617"/>
      <c r="I155" s="617"/>
      <c r="J155" s="617"/>
      <c r="K155" s="617"/>
      <c r="L155" s="617"/>
      <c r="M155" s="617"/>
      <c r="N155" s="617"/>
      <c r="O155" s="617"/>
      <c r="P155" s="617"/>
      <c r="Q155" s="617"/>
      <c r="R155" s="617"/>
      <c r="S155" s="617"/>
      <c r="T155" s="617"/>
      <c r="U155" s="617"/>
      <c r="V155" s="617"/>
      <c r="W155" s="617"/>
      <c r="X155" s="617"/>
      <c r="Y155" s="617"/>
      <c r="Z155" s="617"/>
      <c r="AA155" s="62"/>
      <c r="AB155" s="62"/>
      <c r="AC155" s="62"/>
    </row>
    <row r="156" spans="1:68" ht="14.25" hidden="1" customHeight="1" x14ac:dyDescent="0.25">
      <c r="A156" s="601" t="s">
        <v>128</v>
      </c>
      <c r="B156" s="601"/>
      <c r="C156" s="601"/>
      <c r="D156" s="601"/>
      <c r="E156" s="601"/>
      <c r="F156" s="601"/>
      <c r="G156" s="601"/>
      <c r="H156" s="601"/>
      <c r="I156" s="601"/>
      <c r="J156" s="601"/>
      <c r="K156" s="601"/>
      <c r="L156" s="601"/>
      <c r="M156" s="601"/>
      <c r="N156" s="601"/>
      <c r="O156" s="601"/>
      <c r="P156" s="601"/>
      <c r="Q156" s="601"/>
      <c r="R156" s="601"/>
      <c r="S156" s="601"/>
      <c r="T156" s="601"/>
      <c r="U156" s="601"/>
      <c r="V156" s="601"/>
      <c r="W156" s="601"/>
      <c r="X156" s="601"/>
      <c r="Y156" s="601"/>
      <c r="Z156" s="601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02">
        <v>4680115887374</v>
      </c>
      <c r="E157" s="60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8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4"/>
      <c r="R157" s="604"/>
      <c r="S157" s="604"/>
      <c r="T157" s="60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02">
        <v>4607091384604</v>
      </c>
      <c r="E158" s="60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8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4"/>
      <c r="R158" s="604"/>
      <c r="S158" s="604"/>
      <c r="T158" s="60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09"/>
      <c r="B159" s="609"/>
      <c r="C159" s="609"/>
      <c r="D159" s="609"/>
      <c r="E159" s="609"/>
      <c r="F159" s="609"/>
      <c r="G159" s="609"/>
      <c r="H159" s="609"/>
      <c r="I159" s="609"/>
      <c r="J159" s="609"/>
      <c r="K159" s="609"/>
      <c r="L159" s="609"/>
      <c r="M159" s="609"/>
      <c r="N159" s="609"/>
      <c r="O159" s="610"/>
      <c r="P159" s="606" t="s">
        <v>40</v>
      </c>
      <c r="Q159" s="607"/>
      <c r="R159" s="607"/>
      <c r="S159" s="607"/>
      <c r="T159" s="607"/>
      <c r="U159" s="607"/>
      <c r="V159" s="608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09"/>
      <c r="B160" s="609"/>
      <c r="C160" s="609"/>
      <c r="D160" s="609"/>
      <c r="E160" s="609"/>
      <c r="F160" s="609"/>
      <c r="G160" s="609"/>
      <c r="H160" s="609"/>
      <c r="I160" s="609"/>
      <c r="J160" s="609"/>
      <c r="K160" s="609"/>
      <c r="L160" s="609"/>
      <c r="M160" s="609"/>
      <c r="N160" s="609"/>
      <c r="O160" s="610"/>
      <c r="P160" s="606" t="s">
        <v>40</v>
      </c>
      <c r="Q160" s="607"/>
      <c r="R160" s="607"/>
      <c r="S160" s="607"/>
      <c r="T160" s="607"/>
      <c r="U160" s="607"/>
      <c r="V160" s="608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01" t="s">
        <v>163</v>
      </c>
      <c r="B161" s="601"/>
      <c r="C161" s="601"/>
      <c r="D161" s="601"/>
      <c r="E161" s="601"/>
      <c r="F161" s="601"/>
      <c r="G161" s="601"/>
      <c r="H161" s="601"/>
      <c r="I161" s="601"/>
      <c r="J161" s="601"/>
      <c r="K161" s="601"/>
      <c r="L161" s="601"/>
      <c r="M161" s="601"/>
      <c r="N161" s="601"/>
      <c r="O161" s="601"/>
      <c r="P161" s="601"/>
      <c r="Q161" s="601"/>
      <c r="R161" s="601"/>
      <c r="S161" s="601"/>
      <c r="T161" s="601"/>
      <c r="U161" s="601"/>
      <c r="V161" s="601"/>
      <c r="W161" s="601"/>
      <c r="X161" s="601"/>
      <c r="Y161" s="601"/>
      <c r="Z161" s="60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02">
        <v>4680115887695</v>
      </c>
      <c r="E162" s="60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80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4"/>
      <c r="R162" s="604"/>
      <c r="S162" s="604"/>
      <c r="T162" s="60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09"/>
      <c r="B163" s="609"/>
      <c r="C163" s="609"/>
      <c r="D163" s="609"/>
      <c r="E163" s="609"/>
      <c r="F163" s="609"/>
      <c r="G163" s="609"/>
      <c r="H163" s="609"/>
      <c r="I163" s="609"/>
      <c r="J163" s="609"/>
      <c r="K163" s="609"/>
      <c r="L163" s="609"/>
      <c r="M163" s="609"/>
      <c r="N163" s="609"/>
      <c r="O163" s="610"/>
      <c r="P163" s="606" t="s">
        <v>40</v>
      </c>
      <c r="Q163" s="607"/>
      <c r="R163" s="607"/>
      <c r="S163" s="607"/>
      <c r="T163" s="607"/>
      <c r="U163" s="607"/>
      <c r="V163" s="608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09"/>
      <c r="B164" s="609"/>
      <c r="C164" s="609"/>
      <c r="D164" s="609"/>
      <c r="E164" s="609"/>
      <c r="F164" s="609"/>
      <c r="G164" s="609"/>
      <c r="H164" s="609"/>
      <c r="I164" s="609"/>
      <c r="J164" s="609"/>
      <c r="K164" s="609"/>
      <c r="L164" s="609"/>
      <c r="M164" s="609"/>
      <c r="N164" s="609"/>
      <c r="O164" s="610"/>
      <c r="P164" s="606" t="s">
        <v>40</v>
      </c>
      <c r="Q164" s="607"/>
      <c r="R164" s="607"/>
      <c r="S164" s="607"/>
      <c r="T164" s="607"/>
      <c r="U164" s="607"/>
      <c r="V164" s="608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01" t="s">
        <v>77</v>
      </c>
      <c r="B165" s="601"/>
      <c r="C165" s="601"/>
      <c r="D165" s="601"/>
      <c r="E165" s="601"/>
      <c r="F165" s="601"/>
      <c r="G165" s="601"/>
      <c r="H165" s="601"/>
      <c r="I165" s="601"/>
      <c r="J165" s="601"/>
      <c r="K165" s="601"/>
      <c r="L165" s="601"/>
      <c r="M165" s="601"/>
      <c r="N165" s="601"/>
      <c r="O165" s="601"/>
      <c r="P165" s="601"/>
      <c r="Q165" s="601"/>
      <c r="R165" s="601"/>
      <c r="S165" s="601"/>
      <c r="T165" s="601"/>
      <c r="U165" s="601"/>
      <c r="V165" s="601"/>
      <c r="W165" s="601"/>
      <c r="X165" s="601"/>
      <c r="Y165" s="601"/>
      <c r="Z165" s="601"/>
      <c r="AA165" s="63"/>
      <c r="AB165" s="63"/>
      <c r="AC165" s="63"/>
    </row>
    <row r="166" spans="1:68" ht="27" customHeight="1" x14ac:dyDescent="0.25">
      <c r="A166" s="60" t="s">
        <v>285</v>
      </c>
      <c r="B166" s="60" t="s">
        <v>286</v>
      </c>
      <c r="C166" s="34">
        <v>4301031496</v>
      </c>
      <c r="D166" s="602">
        <v>4680115887428</v>
      </c>
      <c r="E166" s="60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4"/>
      <c r="R166" s="604"/>
      <c r="S166" s="604"/>
      <c r="T166" s="605"/>
      <c r="U166" s="37" t="s">
        <v>46</v>
      </c>
      <c r="V166" s="37" t="s">
        <v>46</v>
      </c>
      <c r="W166" s="38" t="s">
        <v>0</v>
      </c>
      <c r="X166" s="56">
        <v>180</v>
      </c>
      <c r="Y166" s="53">
        <f t="shared" ref="Y166:Y175" si="21">IFERROR(IF(X166="",0,CEILING((X166/$H166),1)*$H166),"")</f>
        <v>182</v>
      </c>
      <c r="Z166" s="39">
        <f>IFERROR(IF(Y166=0,"",ROUNDUP(Y166/H166,0)*0.00902),"")</f>
        <v>0.46904000000000001</v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189.77142857142857</v>
      </c>
      <c r="BN166" s="75">
        <f t="shared" ref="BN166:BN175" si="23">IFERROR(Y166*I166/H166,"0")</f>
        <v>191.88000000000002</v>
      </c>
      <c r="BO166" s="75">
        <f t="shared" ref="BO166:BO175" si="24">IFERROR(1/J166*(X166/H166),"0")</f>
        <v>0.38961038961038963</v>
      </c>
      <c r="BP166" s="75">
        <f t="shared" ref="BP166:BP175" si="25">IFERROR(1/J166*(Y166/H166),"0")</f>
        <v>0.39393939393939392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02">
        <v>4607091382426</v>
      </c>
      <c r="E167" s="60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9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4"/>
      <c r="R167" s="604"/>
      <c r="S167" s="604"/>
      <c r="T167" s="60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customHeight="1" x14ac:dyDescent="0.25">
      <c r="A168" s="60" t="s">
        <v>291</v>
      </c>
      <c r="B168" s="60" t="s">
        <v>292</v>
      </c>
      <c r="C168" s="34">
        <v>4301031498</v>
      </c>
      <c r="D168" s="602">
        <v>4680115887398</v>
      </c>
      <c r="E168" s="602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4"/>
      <c r="R168" s="604"/>
      <c r="S168" s="604"/>
      <c r="T168" s="605"/>
      <c r="U168" s="37" t="s">
        <v>46</v>
      </c>
      <c r="V168" s="37" t="s">
        <v>46</v>
      </c>
      <c r="W168" s="38" t="s">
        <v>0</v>
      </c>
      <c r="X168" s="56">
        <v>200</v>
      </c>
      <c r="Y168" s="53">
        <f t="shared" si="21"/>
        <v>203</v>
      </c>
      <c r="Z168" s="39">
        <f>IFERROR(IF(Y168=0,"",ROUNDUP(Y168/H168,0)*0.00902),"")</f>
        <v>0.52316000000000007</v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210.85714285714286</v>
      </c>
      <c r="BN168" s="75">
        <f t="shared" si="23"/>
        <v>214.01999999999998</v>
      </c>
      <c r="BO168" s="75">
        <f t="shared" si="24"/>
        <v>0.43290043290043295</v>
      </c>
      <c r="BP168" s="75">
        <f t="shared" si="25"/>
        <v>0.43939393939393939</v>
      </c>
    </row>
    <row r="169" spans="1:68" ht="27" customHeight="1" x14ac:dyDescent="0.25">
      <c r="A169" s="60" t="s">
        <v>294</v>
      </c>
      <c r="B169" s="60" t="s">
        <v>295</v>
      </c>
      <c r="C169" s="34">
        <v>4301031497</v>
      </c>
      <c r="D169" s="602">
        <v>4680115887336</v>
      </c>
      <c r="E169" s="60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4"/>
      <c r="R169" s="604"/>
      <c r="S169" s="604"/>
      <c r="T169" s="605"/>
      <c r="U169" s="37" t="s">
        <v>46</v>
      </c>
      <c r="V169" s="37" t="s">
        <v>46</v>
      </c>
      <c r="W169" s="38" t="s">
        <v>0</v>
      </c>
      <c r="X169" s="56">
        <v>170</v>
      </c>
      <c r="Y169" s="53">
        <f t="shared" si="21"/>
        <v>171.5</v>
      </c>
      <c r="Z169" s="39">
        <f>IFERROR(IF(Y169=0,"",ROUNDUP(Y169/H169,0)*0.00902),"")</f>
        <v>0.44198000000000004</v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179.22857142857143</v>
      </c>
      <c r="BN169" s="75">
        <f t="shared" si="23"/>
        <v>180.81</v>
      </c>
      <c r="BO169" s="75">
        <f t="shared" si="24"/>
        <v>0.36796536796536794</v>
      </c>
      <c r="BP169" s="75">
        <f t="shared" si="25"/>
        <v>0.37121212121212122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02">
        <v>4680115887787</v>
      </c>
      <c r="E170" s="602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4"/>
      <c r="R170" s="604"/>
      <c r="S170" s="604"/>
      <c r="T170" s="60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customHeight="1" x14ac:dyDescent="0.25">
      <c r="A171" s="60" t="s">
        <v>300</v>
      </c>
      <c r="B171" s="60" t="s">
        <v>301</v>
      </c>
      <c r="C171" s="34">
        <v>4301031448</v>
      </c>
      <c r="D171" s="602">
        <v>4680115887503</v>
      </c>
      <c r="E171" s="602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4"/>
      <c r="R171" s="604"/>
      <c r="S171" s="604"/>
      <c r="T171" s="605"/>
      <c r="U171" s="37" t="s">
        <v>46</v>
      </c>
      <c r="V171" s="37" t="s">
        <v>46</v>
      </c>
      <c r="W171" s="38" t="s">
        <v>0</v>
      </c>
      <c r="X171" s="56">
        <v>140</v>
      </c>
      <c r="Y171" s="53">
        <f t="shared" si="21"/>
        <v>141.12</v>
      </c>
      <c r="Z171" s="39">
        <f>IFERROR(IF(Y171=0,"",ROUNDUP(Y171/H171,0)*0.00502),"")</f>
        <v>0.42168</v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148.33333333333334</v>
      </c>
      <c r="BN171" s="75">
        <f t="shared" si="23"/>
        <v>149.52000000000001</v>
      </c>
      <c r="BO171" s="75">
        <f t="shared" si="24"/>
        <v>0.35612535612535623</v>
      </c>
      <c r="BP171" s="75">
        <f t="shared" si="25"/>
        <v>0.35897435897435903</v>
      </c>
    </row>
    <row r="172" spans="1:68" ht="27" customHeight="1" x14ac:dyDescent="0.25">
      <c r="A172" s="60" t="s">
        <v>302</v>
      </c>
      <c r="B172" s="60" t="s">
        <v>303</v>
      </c>
      <c r="C172" s="34">
        <v>4301031389</v>
      </c>
      <c r="D172" s="602">
        <v>4680115887763</v>
      </c>
      <c r="E172" s="602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9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4"/>
      <c r="R172" s="604"/>
      <c r="S172" s="604"/>
      <c r="T172" s="605"/>
      <c r="U172" s="37" t="s">
        <v>46</v>
      </c>
      <c r="V172" s="37" t="s">
        <v>46</v>
      </c>
      <c r="W172" s="38" t="s">
        <v>0</v>
      </c>
      <c r="X172" s="56">
        <v>1.7999999999999998</v>
      </c>
      <c r="Y172" s="53">
        <f t="shared" si="21"/>
        <v>1.8</v>
      </c>
      <c r="Z172" s="39">
        <f>IFERROR(IF(Y172=0,"",ROUNDUP(Y172/H172,0)*0.00417),"")</f>
        <v>8.3400000000000002E-3</v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2.2199999999999998</v>
      </c>
      <c r="BN172" s="75">
        <f t="shared" si="23"/>
        <v>2.2200000000000002</v>
      </c>
      <c r="BO172" s="75">
        <f t="shared" si="24"/>
        <v>5.9523809523809512E-3</v>
      </c>
      <c r="BP172" s="75">
        <f t="shared" si="25"/>
        <v>5.9523809523809521E-3</v>
      </c>
    </row>
    <row r="173" spans="1:68" ht="27" customHeight="1" x14ac:dyDescent="0.25">
      <c r="A173" s="60" t="s">
        <v>305</v>
      </c>
      <c r="B173" s="60" t="s">
        <v>306</v>
      </c>
      <c r="C173" s="34">
        <v>4301031454</v>
      </c>
      <c r="D173" s="602">
        <v>4680115887480</v>
      </c>
      <c r="E173" s="602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9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4"/>
      <c r="R173" s="604"/>
      <c r="S173" s="604"/>
      <c r="T173" s="605"/>
      <c r="U173" s="37" t="s">
        <v>46</v>
      </c>
      <c r="V173" s="37" t="s">
        <v>46</v>
      </c>
      <c r="W173" s="38" t="s">
        <v>0</v>
      </c>
      <c r="X173" s="56">
        <v>56.000000000000007</v>
      </c>
      <c r="Y173" s="53">
        <f t="shared" si="21"/>
        <v>57.12</v>
      </c>
      <c r="Z173" s="39">
        <f>IFERROR(IF(Y173=0,"",ROUNDUP(Y173/H173,0)*0.00502),"")</f>
        <v>0.17068</v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59.33333333333335</v>
      </c>
      <c r="BN173" s="75">
        <f t="shared" si="23"/>
        <v>60.519999999999996</v>
      </c>
      <c r="BO173" s="75">
        <f t="shared" si="24"/>
        <v>0.14245014245014248</v>
      </c>
      <c r="BP173" s="75">
        <f t="shared" si="25"/>
        <v>0.14529914529914531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02">
        <v>4680115888067</v>
      </c>
      <c r="E174" s="602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9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4"/>
      <c r="R174" s="604"/>
      <c r="S174" s="604"/>
      <c r="T174" s="60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customHeight="1" x14ac:dyDescent="0.25">
      <c r="A175" s="60" t="s">
        <v>310</v>
      </c>
      <c r="B175" s="60" t="s">
        <v>311</v>
      </c>
      <c r="C175" s="34">
        <v>4301031451</v>
      </c>
      <c r="D175" s="602">
        <v>4680115887435</v>
      </c>
      <c r="E175" s="60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9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4"/>
      <c r="R175" s="604"/>
      <c r="S175" s="604"/>
      <c r="T175" s="605"/>
      <c r="U175" s="37" t="s">
        <v>46</v>
      </c>
      <c r="V175" s="37" t="s">
        <v>46</v>
      </c>
      <c r="W175" s="38" t="s">
        <v>0</v>
      </c>
      <c r="X175" s="56">
        <v>112.00000000000001</v>
      </c>
      <c r="Y175" s="53">
        <f t="shared" si="21"/>
        <v>112.56</v>
      </c>
      <c r="Z175" s="39">
        <f>IFERROR(IF(Y175=0,"",ROUNDUP(Y175/H175,0)*0.00502),"")</f>
        <v>0.33634000000000003</v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118.6666666666667</v>
      </c>
      <c r="BN175" s="75">
        <f t="shared" si="23"/>
        <v>119.26000000000002</v>
      </c>
      <c r="BO175" s="75">
        <f t="shared" si="24"/>
        <v>0.28490028490028496</v>
      </c>
      <c r="BP175" s="75">
        <f t="shared" si="25"/>
        <v>0.28632478632478636</v>
      </c>
    </row>
    <row r="176" spans="1:68" x14ac:dyDescent="0.2">
      <c r="A176" s="609"/>
      <c r="B176" s="609"/>
      <c r="C176" s="609"/>
      <c r="D176" s="609"/>
      <c r="E176" s="609"/>
      <c r="F176" s="609"/>
      <c r="G176" s="609"/>
      <c r="H176" s="609"/>
      <c r="I176" s="609"/>
      <c r="J176" s="609"/>
      <c r="K176" s="609"/>
      <c r="L176" s="609"/>
      <c r="M176" s="609"/>
      <c r="N176" s="609"/>
      <c r="O176" s="610"/>
      <c r="P176" s="606" t="s">
        <v>40</v>
      </c>
      <c r="Q176" s="607"/>
      <c r="R176" s="607"/>
      <c r="S176" s="607"/>
      <c r="T176" s="607"/>
      <c r="U176" s="607"/>
      <c r="V176" s="608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342.47619047619054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346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2.3712200000000001</v>
      </c>
      <c r="AA176" s="64"/>
      <c r="AB176" s="64"/>
      <c r="AC176" s="64"/>
    </row>
    <row r="177" spans="1:68" x14ac:dyDescent="0.2">
      <c r="A177" s="609"/>
      <c r="B177" s="609"/>
      <c r="C177" s="609"/>
      <c r="D177" s="609"/>
      <c r="E177" s="609"/>
      <c r="F177" s="609"/>
      <c r="G177" s="609"/>
      <c r="H177" s="609"/>
      <c r="I177" s="609"/>
      <c r="J177" s="609"/>
      <c r="K177" s="609"/>
      <c r="L177" s="609"/>
      <c r="M177" s="609"/>
      <c r="N177" s="609"/>
      <c r="O177" s="610"/>
      <c r="P177" s="606" t="s">
        <v>40</v>
      </c>
      <c r="Q177" s="607"/>
      <c r="R177" s="607"/>
      <c r="S177" s="607"/>
      <c r="T177" s="607"/>
      <c r="U177" s="607"/>
      <c r="V177" s="608"/>
      <c r="W177" s="40" t="s">
        <v>0</v>
      </c>
      <c r="X177" s="41">
        <f>IFERROR(SUM(X166:X175),"0")</f>
        <v>859.8</v>
      </c>
      <c r="Y177" s="41">
        <f>IFERROR(SUM(Y166:Y175),"0")</f>
        <v>869.09999999999991</v>
      </c>
      <c r="Z177" s="40"/>
      <c r="AA177" s="64"/>
      <c r="AB177" s="64"/>
      <c r="AC177" s="64"/>
    </row>
    <row r="178" spans="1:68" ht="14.25" hidden="1" customHeight="1" x14ac:dyDescent="0.25">
      <c r="A178" s="601" t="s">
        <v>86</v>
      </c>
      <c r="B178" s="601"/>
      <c r="C178" s="601"/>
      <c r="D178" s="601"/>
      <c r="E178" s="601"/>
      <c r="F178" s="601"/>
      <c r="G178" s="601"/>
      <c r="H178" s="601"/>
      <c r="I178" s="601"/>
      <c r="J178" s="601"/>
      <c r="K178" s="601"/>
      <c r="L178" s="601"/>
      <c r="M178" s="601"/>
      <c r="N178" s="601"/>
      <c r="O178" s="601"/>
      <c r="P178" s="601"/>
      <c r="Q178" s="601"/>
      <c r="R178" s="601"/>
      <c r="S178" s="601"/>
      <c r="T178" s="601"/>
      <c r="U178" s="601"/>
      <c r="V178" s="601"/>
      <c r="W178" s="601"/>
      <c r="X178" s="601"/>
      <c r="Y178" s="601"/>
      <c r="Z178" s="601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02">
        <v>4680115888395</v>
      </c>
      <c r="E179" s="602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9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4"/>
      <c r="R179" s="604"/>
      <c r="S179" s="604"/>
      <c r="T179" s="605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02">
        <v>4680115888371</v>
      </c>
      <c r="E180" s="602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9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4"/>
      <c r="R180" s="604"/>
      <c r="S180" s="604"/>
      <c r="T180" s="605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02">
        <v>4680115887459</v>
      </c>
      <c r="E181" s="602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9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4"/>
      <c r="R181" s="604"/>
      <c r="S181" s="604"/>
      <c r="T181" s="60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09"/>
      <c r="B182" s="609"/>
      <c r="C182" s="609"/>
      <c r="D182" s="609"/>
      <c r="E182" s="609"/>
      <c r="F182" s="609"/>
      <c r="G182" s="609"/>
      <c r="H182" s="609"/>
      <c r="I182" s="609"/>
      <c r="J182" s="609"/>
      <c r="K182" s="609"/>
      <c r="L182" s="609"/>
      <c r="M182" s="609"/>
      <c r="N182" s="609"/>
      <c r="O182" s="610"/>
      <c r="P182" s="606" t="s">
        <v>40</v>
      </c>
      <c r="Q182" s="607"/>
      <c r="R182" s="607"/>
      <c r="S182" s="607"/>
      <c r="T182" s="607"/>
      <c r="U182" s="607"/>
      <c r="V182" s="608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09"/>
      <c r="B183" s="609"/>
      <c r="C183" s="609"/>
      <c r="D183" s="609"/>
      <c r="E183" s="609"/>
      <c r="F183" s="609"/>
      <c r="G183" s="609"/>
      <c r="H183" s="609"/>
      <c r="I183" s="609"/>
      <c r="J183" s="609"/>
      <c r="K183" s="609"/>
      <c r="L183" s="609"/>
      <c r="M183" s="609"/>
      <c r="N183" s="609"/>
      <c r="O183" s="610"/>
      <c r="P183" s="606" t="s">
        <v>40</v>
      </c>
      <c r="Q183" s="607"/>
      <c r="R183" s="607"/>
      <c r="S183" s="607"/>
      <c r="T183" s="607"/>
      <c r="U183" s="607"/>
      <c r="V183" s="608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01" t="s">
        <v>107</v>
      </c>
      <c r="B184" s="601"/>
      <c r="C184" s="601"/>
      <c r="D184" s="601"/>
      <c r="E184" s="601"/>
      <c r="F184" s="601"/>
      <c r="G184" s="601"/>
      <c r="H184" s="601"/>
      <c r="I184" s="601"/>
      <c r="J184" s="601"/>
      <c r="K184" s="601"/>
      <c r="L184" s="601"/>
      <c r="M184" s="601"/>
      <c r="N184" s="601"/>
      <c r="O184" s="601"/>
      <c r="P184" s="601"/>
      <c r="Q184" s="601"/>
      <c r="R184" s="601"/>
      <c r="S184" s="601"/>
      <c r="T184" s="601"/>
      <c r="U184" s="601"/>
      <c r="V184" s="601"/>
      <c r="W184" s="601"/>
      <c r="X184" s="601"/>
      <c r="Y184" s="601"/>
      <c r="Z184" s="601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02">
        <v>4680115889026</v>
      </c>
      <c r="E185" s="602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8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4"/>
      <c r="R185" s="604"/>
      <c r="S185" s="604"/>
      <c r="T185" s="605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02">
        <v>4680115889088</v>
      </c>
      <c r="E186" s="602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8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4"/>
      <c r="R186" s="604"/>
      <c r="S186" s="604"/>
      <c r="T186" s="605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09"/>
      <c r="B187" s="609"/>
      <c r="C187" s="609"/>
      <c r="D187" s="609"/>
      <c r="E187" s="609"/>
      <c r="F187" s="609"/>
      <c r="G187" s="609"/>
      <c r="H187" s="609"/>
      <c r="I187" s="609"/>
      <c r="J187" s="609"/>
      <c r="K187" s="609"/>
      <c r="L187" s="609"/>
      <c r="M187" s="609"/>
      <c r="N187" s="609"/>
      <c r="O187" s="610"/>
      <c r="P187" s="606" t="s">
        <v>40</v>
      </c>
      <c r="Q187" s="607"/>
      <c r="R187" s="607"/>
      <c r="S187" s="607"/>
      <c r="T187" s="607"/>
      <c r="U187" s="607"/>
      <c r="V187" s="608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09"/>
      <c r="B188" s="609"/>
      <c r="C188" s="609"/>
      <c r="D188" s="609"/>
      <c r="E188" s="609"/>
      <c r="F188" s="609"/>
      <c r="G188" s="609"/>
      <c r="H188" s="609"/>
      <c r="I188" s="609"/>
      <c r="J188" s="609"/>
      <c r="K188" s="609"/>
      <c r="L188" s="609"/>
      <c r="M188" s="609"/>
      <c r="N188" s="609"/>
      <c r="O188" s="610"/>
      <c r="P188" s="606" t="s">
        <v>40</v>
      </c>
      <c r="Q188" s="607"/>
      <c r="R188" s="607"/>
      <c r="S188" s="607"/>
      <c r="T188" s="607"/>
      <c r="U188" s="607"/>
      <c r="V188" s="608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01" t="s">
        <v>329</v>
      </c>
      <c r="B189" s="601"/>
      <c r="C189" s="601"/>
      <c r="D189" s="601"/>
      <c r="E189" s="601"/>
      <c r="F189" s="601"/>
      <c r="G189" s="601"/>
      <c r="H189" s="601"/>
      <c r="I189" s="601"/>
      <c r="J189" s="601"/>
      <c r="K189" s="601"/>
      <c r="L189" s="601"/>
      <c r="M189" s="601"/>
      <c r="N189" s="601"/>
      <c r="O189" s="601"/>
      <c r="P189" s="601"/>
      <c r="Q189" s="601"/>
      <c r="R189" s="601"/>
      <c r="S189" s="601"/>
      <c r="T189" s="601"/>
      <c r="U189" s="601"/>
      <c r="V189" s="601"/>
      <c r="W189" s="601"/>
      <c r="X189" s="601"/>
      <c r="Y189" s="601"/>
      <c r="Z189" s="601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02">
        <v>4680115889033</v>
      </c>
      <c r="E190" s="602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8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4"/>
      <c r="R190" s="604"/>
      <c r="S190" s="604"/>
      <c r="T190" s="605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09"/>
      <c r="B191" s="609"/>
      <c r="C191" s="609"/>
      <c r="D191" s="609"/>
      <c r="E191" s="609"/>
      <c r="F191" s="609"/>
      <c r="G191" s="609"/>
      <c r="H191" s="609"/>
      <c r="I191" s="609"/>
      <c r="J191" s="609"/>
      <c r="K191" s="609"/>
      <c r="L191" s="609"/>
      <c r="M191" s="609"/>
      <c r="N191" s="609"/>
      <c r="O191" s="610"/>
      <c r="P191" s="606" t="s">
        <v>40</v>
      </c>
      <c r="Q191" s="607"/>
      <c r="R191" s="607"/>
      <c r="S191" s="607"/>
      <c r="T191" s="607"/>
      <c r="U191" s="607"/>
      <c r="V191" s="608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09"/>
      <c r="B192" s="609"/>
      <c r="C192" s="609"/>
      <c r="D192" s="609"/>
      <c r="E192" s="609"/>
      <c r="F192" s="609"/>
      <c r="G192" s="609"/>
      <c r="H192" s="609"/>
      <c r="I192" s="609"/>
      <c r="J192" s="609"/>
      <c r="K192" s="609"/>
      <c r="L192" s="609"/>
      <c r="M192" s="609"/>
      <c r="N192" s="609"/>
      <c r="O192" s="610"/>
      <c r="P192" s="606" t="s">
        <v>40</v>
      </c>
      <c r="Q192" s="607"/>
      <c r="R192" s="607"/>
      <c r="S192" s="607"/>
      <c r="T192" s="607"/>
      <c r="U192" s="607"/>
      <c r="V192" s="608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22" t="s">
        <v>333</v>
      </c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  <c r="Y193" s="622"/>
      <c r="Z193" s="622"/>
      <c r="AA193" s="52"/>
      <c r="AB193" s="52"/>
      <c r="AC193" s="52"/>
    </row>
    <row r="194" spans="1:68" ht="16.5" hidden="1" customHeight="1" x14ac:dyDescent="0.25">
      <c r="A194" s="617" t="s">
        <v>334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62"/>
      <c r="AB194" s="62"/>
      <c r="AC194" s="62"/>
    </row>
    <row r="195" spans="1:68" ht="14.25" hidden="1" customHeight="1" x14ac:dyDescent="0.25">
      <c r="A195" s="601" t="s">
        <v>128</v>
      </c>
      <c r="B195" s="601"/>
      <c r="C195" s="601"/>
      <c r="D195" s="601"/>
      <c r="E195" s="601"/>
      <c r="F195" s="601"/>
      <c r="G195" s="601"/>
      <c r="H195" s="601"/>
      <c r="I195" s="601"/>
      <c r="J195" s="601"/>
      <c r="K195" s="601"/>
      <c r="L195" s="601"/>
      <c r="M195" s="601"/>
      <c r="N195" s="601"/>
      <c r="O195" s="601"/>
      <c r="P195" s="601"/>
      <c r="Q195" s="601"/>
      <c r="R195" s="601"/>
      <c r="S195" s="601"/>
      <c r="T195" s="601"/>
      <c r="U195" s="601"/>
      <c r="V195" s="601"/>
      <c r="W195" s="601"/>
      <c r="X195" s="601"/>
      <c r="Y195" s="601"/>
      <c r="Z195" s="601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02">
        <v>4607091383423</v>
      </c>
      <c r="E196" s="602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4"/>
      <c r="R196" s="604"/>
      <c r="S196" s="604"/>
      <c r="T196" s="605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02">
        <v>4680115886957</v>
      </c>
      <c r="E197" s="602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83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4"/>
      <c r="R197" s="604"/>
      <c r="S197" s="604"/>
      <c r="T197" s="605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02">
        <v>4680115885660</v>
      </c>
      <c r="E198" s="602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8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4"/>
      <c r="R198" s="604"/>
      <c r="S198" s="604"/>
      <c r="T198" s="605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02">
        <v>4680115886773</v>
      </c>
      <c r="E199" s="602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85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4"/>
      <c r="R199" s="604"/>
      <c r="S199" s="604"/>
      <c r="T199" s="605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09"/>
      <c r="B200" s="609"/>
      <c r="C200" s="609"/>
      <c r="D200" s="609"/>
      <c r="E200" s="609"/>
      <c r="F200" s="609"/>
      <c r="G200" s="609"/>
      <c r="H200" s="609"/>
      <c r="I200" s="609"/>
      <c r="J200" s="609"/>
      <c r="K200" s="609"/>
      <c r="L200" s="609"/>
      <c r="M200" s="609"/>
      <c r="N200" s="609"/>
      <c r="O200" s="610"/>
      <c r="P200" s="606" t="s">
        <v>40</v>
      </c>
      <c r="Q200" s="607"/>
      <c r="R200" s="607"/>
      <c r="S200" s="607"/>
      <c r="T200" s="607"/>
      <c r="U200" s="607"/>
      <c r="V200" s="608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09"/>
      <c r="B201" s="609"/>
      <c r="C201" s="609"/>
      <c r="D201" s="609"/>
      <c r="E201" s="609"/>
      <c r="F201" s="609"/>
      <c r="G201" s="609"/>
      <c r="H201" s="609"/>
      <c r="I201" s="609"/>
      <c r="J201" s="609"/>
      <c r="K201" s="609"/>
      <c r="L201" s="609"/>
      <c r="M201" s="609"/>
      <c r="N201" s="609"/>
      <c r="O201" s="610"/>
      <c r="P201" s="606" t="s">
        <v>40</v>
      </c>
      <c r="Q201" s="607"/>
      <c r="R201" s="607"/>
      <c r="S201" s="607"/>
      <c r="T201" s="607"/>
      <c r="U201" s="607"/>
      <c r="V201" s="608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17" t="s">
        <v>346</v>
      </c>
      <c r="B202" s="617"/>
      <c r="C202" s="617"/>
      <c r="D202" s="617"/>
      <c r="E202" s="617"/>
      <c r="F202" s="617"/>
      <c r="G202" s="617"/>
      <c r="H202" s="617"/>
      <c r="I202" s="617"/>
      <c r="J202" s="617"/>
      <c r="K202" s="617"/>
      <c r="L202" s="617"/>
      <c r="M202" s="617"/>
      <c r="N202" s="617"/>
      <c r="O202" s="617"/>
      <c r="P202" s="617"/>
      <c r="Q202" s="617"/>
      <c r="R202" s="617"/>
      <c r="S202" s="617"/>
      <c r="T202" s="617"/>
      <c r="U202" s="617"/>
      <c r="V202" s="617"/>
      <c r="W202" s="617"/>
      <c r="X202" s="617"/>
      <c r="Y202" s="617"/>
      <c r="Z202" s="617"/>
      <c r="AA202" s="62"/>
      <c r="AB202" s="62"/>
      <c r="AC202" s="62"/>
    </row>
    <row r="203" spans="1:68" ht="14.25" hidden="1" customHeight="1" x14ac:dyDescent="0.25">
      <c r="A203" s="601" t="s">
        <v>163</v>
      </c>
      <c r="B203" s="601"/>
      <c r="C203" s="601"/>
      <c r="D203" s="601"/>
      <c r="E203" s="601"/>
      <c r="F203" s="601"/>
      <c r="G203" s="601"/>
      <c r="H203" s="601"/>
      <c r="I203" s="601"/>
      <c r="J203" s="601"/>
      <c r="K203" s="601"/>
      <c r="L203" s="601"/>
      <c r="M203" s="601"/>
      <c r="N203" s="601"/>
      <c r="O203" s="601"/>
      <c r="P203" s="601"/>
      <c r="Q203" s="601"/>
      <c r="R203" s="601"/>
      <c r="S203" s="601"/>
      <c r="T203" s="601"/>
      <c r="U203" s="601"/>
      <c r="V203" s="601"/>
      <c r="W203" s="601"/>
      <c r="X203" s="601"/>
      <c r="Y203" s="601"/>
      <c r="Z203" s="601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02">
        <v>4680115886223</v>
      </c>
      <c r="E204" s="602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4"/>
      <c r="R204" s="604"/>
      <c r="S204" s="604"/>
      <c r="T204" s="605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09"/>
      <c r="B205" s="609"/>
      <c r="C205" s="609"/>
      <c r="D205" s="609"/>
      <c r="E205" s="609"/>
      <c r="F205" s="609"/>
      <c r="G205" s="609"/>
      <c r="H205" s="609"/>
      <c r="I205" s="609"/>
      <c r="J205" s="609"/>
      <c r="K205" s="609"/>
      <c r="L205" s="609"/>
      <c r="M205" s="609"/>
      <c r="N205" s="609"/>
      <c r="O205" s="610"/>
      <c r="P205" s="606" t="s">
        <v>40</v>
      </c>
      <c r="Q205" s="607"/>
      <c r="R205" s="607"/>
      <c r="S205" s="607"/>
      <c r="T205" s="607"/>
      <c r="U205" s="607"/>
      <c r="V205" s="608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09"/>
      <c r="B206" s="609"/>
      <c r="C206" s="609"/>
      <c r="D206" s="609"/>
      <c r="E206" s="609"/>
      <c r="F206" s="609"/>
      <c r="G206" s="609"/>
      <c r="H206" s="609"/>
      <c r="I206" s="609"/>
      <c r="J206" s="609"/>
      <c r="K206" s="609"/>
      <c r="L206" s="609"/>
      <c r="M206" s="609"/>
      <c r="N206" s="609"/>
      <c r="O206" s="610"/>
      <c r="P206" s="606" t="s">
        <v>40</v>
      </c>
      <c r="Q206" s="607"/>
      <c r="R206" s="607"/>
      <c r="S206" s="607"/>
      <c r="T206" s="607"/>
      <c r="U206" s="607"/>
      <c r="V206" s="608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01" t="s">
        <v>77</v>
      </c>
      <c r="B207" s="601"/>
      <c r="C207" s="601"/>
      <c r="D207" s="601"/>
      <c r="E207" s="601"/>
      <c r="F207" s="601"/>
      <c r="G207" s="601"/>
      <c r="H207" s="601"/>
      <c r="I207" s="601"/>
      <c r="J207" s="601"/>
      <c r="K207" s="601"/>
      <c r="L207" s="601"/>
      <c r="M207" s="601"/>
      <c r="N207" s="601"/>
      <c r="O207" s="601"/>
      <c r="P207" s="601"/>
      <c r="Q207" s="601"/>
      <c r="R207" s="601"/>
      <c r="S207" s="601"/>
      <c r="T207" s="601"/>
      <c r="U207" s="601"/>
      <c r="V207" s="601"/>
      <c r="W207" s="601"/>
      <c r="X207" s="601"/>
      <c r="Y207" s="601"/>
      <c r="Z207" s="601"/>
      <c r="AA207" s="63"/>
      <c r="AB207" s="63"/>
      <c r="AC207" s="63"/>
    </row>
    <row r="208" spans="1:68" ht="27" customHeight="1" x14ac:dyDescent="0.25">
      <c r="A208" s="60" t="s">
        <v>350</v>
      </c>
      <c r="B208" s="60" t="s">
        <v>351</v>
      </c>
      <c r="C208" s="34">
        <v>4301031191</v>
      </c>
      <c r="D208" s="602">
        <v>4680115880993</v>
      </c>
      <c r="E208" s="602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4"/>
      <c r="R208" s="604"/>
      <c r="S208" s="604"/>
      <c r="T208" s="605"/>
      <c r="U208" s="37" t="s">
        <v>46</v>
      </c>
      <c r="V208" s="37" t="s">
        <v>46</v>
      </c>
      <c r="W208" s="38" t="s">
        <v>0</v>
      </c>
      <c r="X208" s="56">
        <v>100</v>
      </c>
      <c r="Y208" s="53">
        <f t="shared" ref="Y208:Y221" si="26">IFERROR(IF(X208="",0,CEILING((X208/$H208),1)*$H208),"")</f>
        <v>100.80000000000001</v>
      </c>
      <c r="Z208" s="39">
        <f>IFERROR(IF(Y208=0,"",ROUNDUP(Y208/H208,0)*0.00902),"")</f>
        <v>0.21648000000000001</v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105.95238095238095</v>
      </c>
      <c r="BN208" s="75">
        <f t="shared" ref="BN208:BN221" si="28">IFERROR(Y208*I208/H208,"0")</f>
        <v>106.80000000000001</v>
      </c>
      <c r="BO208" s="75">
        <f t="shared" ref="BO208:BO221" si="29">IFERROR(1/J208*(X208/H208),"0")</f>
        <v>0.18037518037518038</v>
      </c>
      <c r="BP208" s="75">
        <f t="shared" ref="BP208:BP221" si="30">IFERROR(1/J208*(Y208/H208),"0")</f>
        <v>0.18181818181818182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02">
        <v>4680115881761</v>
      </c>
      <c r="E209" s="602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4"/>
      <c r="R209" s="604"/>
      <c r="S209" s="604"/>
      <c r="T209" s="605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02">
        <v>4680115881563</v>
      </c>
      <c r="E210" s="602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4"/>
      <c r="R210" s="604"/>
      <c r="S210" s="604"/>
      <c r="T210" s="605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02">
        <v>4680115887565</v>
      </c>
      <c r="E211" s="602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4"/>
      <c r="R211" s="604"/>
      <c r="S211" s="604"/>
      <c r="T211" s="605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customHeight="1" x14ac:dyDescent="0.25">
      <c r="A212" s="60" t="s">
        <v>362</v>
      </c>
      <c r="B212" s="60" t="s">
        <v>363</v>
      </c>
      <c r="C212" s="34">
        <v>4301031199</v>
      </c>
      <c r="D212" s="602">
        <v>4680115880986</v>
      </c>
      <c r="E212" s="602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4"/>
      <c r="R212" s="604"/>
      <c r="S212" s="604"/>
      <c r="T212" s="605"/>
      <c r="U212" s="37" t="s">
        <v>46</v>
      </c>
      <c r="V212" s="37" t="s">
        <v>46</v>
      </c>
      <c r="W212" s="38" t="s">
        <v>0</v>
      </c>
      <c r="X212" s="56">
        <v>59.499999999999993</v>
      </c>
      <c r="Y212" s="53">
        <f t="shared" si="26"/>
        <v>60.900000000000006</v>
      </c>
      <c r="Z212" s="39">
        <f t="shared" ref="Z212:Z217" si="31">IFERROR(IF(Y212=0,"",ROUNDUP(Y212/H212,0)*0.00502),"")</f>
        <v>0.14558000000000001</v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63.183333333333316</v>
      </c>
      <c r="BN212" s="75">
        <f t="shared" si="28"/>
        <v>64.67</v>
      </c>
      <c r="BO212" s="75">
        <f t="shared" si="29"/>
        <v>0.12108262108262108</v>
      </c>
      <c r="BP212" s="75">
        <f t="shared" si="30"/>
        <v>0.12393162393162395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02">
        <v>4680115887213</v>
      </c>
      <c r="E213" s="602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4"/>
      <c r="R213" s="604"/>
      <c r="S213" s="604"/>
      <c r="T213" s="60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customHeight="1" x14ac:dyDescent="0.25">
      <c r="A214" s="60" t="s">
        <v>367</v>
      </c>
      <c r="B214" s="60" t="s">
        <v>368</v>
      </c>
      <c r="C214" s="34">
        <v>4301031205</v>
      </c>
      <c r="D214" s="602">
        <v>4680115881785</v>
      </c>
      <c r="E214" s="602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4"/>
      <c r="R214" s="604"/>
      <c r="S214" s="604"/>
      <c r="T214" s="605"/>
      <c r="U214" s="37" t="s">
        <v>46</v>
      </c>
      <c r="V214" s="37" t="s">
        <v>46</v>
      </c>
      <c r="W214" s="38" t="s">
        <v>0</v>
      </c>
      <c r="X214" s="56">
        <v>52.5</v>
      </c>
      <c r="Y214" s="53">
        <f t="shared" si="26"/>
        <v>52.5</v>
      </c>
      <c r="Z214" s="39">
        <f t="shared" si="31"/>
        <v>0.1255</v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55.75</v>
      </c>
      <c r="BN214" s="75">
        <f t="shared" si="28"/>
        <v>55.75</v>
      </c>
      <c r="BO214" s="75">
        <f t="shared" si="29"/>
        <v>0.10683760683760685</v>
      </c>
      <c r="BP214" s="75">
        <f t="shared" si="30"/>
        <v>0.10683760683760685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02">
        <v>4680115888432</v>
      </c>
      <c r="E215" s="602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4"/>
      <c r="R215" s="604"/>
      <c r="S215" s="604"/>
      <c r="T215" s="60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02">
        <v>4680115888104</v>
      </c>
      <c r="E216" s="602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4"/>
      <c r="R216" s="604"/>
      <c r="S216" s="604"/>
      <c r="T216" s="60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02">
        <v>4680115886537</v>
      </c>
      <c r="E217" s="602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4"/>
      <c r="R217" s="604"/>
      <c r="S217" s="604"/>
      <c r="T217" s="60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customHeight="1" x14ac:dyDescent="0.25">
      <c r="A218" s="60" t="s">
        <v>378</v>
      </c>
      <c r="B218" s="60" t="s">
        <v>379</v>
      </c>
      <c r="C218" s="34">
        <v>4301031279</v>
      </c>
      <c r="D218" s="602">
        <v>4680115887596</v>
      </c>
      <c r="E218" s="602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4"/>
      <c r="R218" s="604"/>
      <c r="S218" s="604"/>
      <c r="T218" s="605"/>
      <c r="U218" s="37" t="s">
        <v>46</v>
      </c>
      <c r="V218" s="37" t="s">
        <v>46</v>
      </c>
      <c r="W218" s="38" t="s">
        <v>0</v>
      </c>
      <c r="X218" s="56">
        <v>2.4</v>
      </c>
      <c r="Y218" s="53">
        <f t="shared" si="26"/>
        <v>2.4000000000000004</v>
      </c>
      <c r="Z218" s="39">
        <f>IFERROR(IF(Y218=0,"",ROUNDUP(Y218/H218,0)*0.00417),"")</f>
        <v>1.251E-2</v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3.03</v>
      </c>
      <c r="BN218" s="75">
        <f t="shared" si="28"/>
        <v>3.0300000000000002</v>
      </c>
      <c r="BO218" s="75">
        <f t="shared" si="29"/>
        <v>8.9285714285714263E-3</v>
      </c>
      <c r="BP218" s="75">
        <f t="shared" si="30"/>
        <v>8.9285714285714298E-3</v>
      </c>
    </row>
    <row r="219" spans="1:68" ht="37.5" customHeight="1" x14ac:dyDescent="0.25">
      <c r="A219" s="60" t="s">
        <v>381</v>
      </c>
      <c r="B219" s="60" t="s">
        <v>382</v>
      </c>
      <c r="C219" s="34">
        <v>4301031202</v>
      </c>
      <c r="D219" s="602">
        <v>4680115881679</v>
      </c>
      <c r="E219" s="602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4"/>
      <c r="R219" s="604"/>
      <c r="S219" s="604"/>
      <c r="T219" s="605"/>
      <c r="U219" s="37" t="s">
        <v>46</v>
      </c>
      <c r="V219" s="37" t="s">
        <v>46</v>
      </c>
      <c r="W219" s="38" t="s">
        <v>0</v>
      </c>
      <c r="X219" s="56">
        <v>140</v>
      </c>
      <c r="Y219" s="53">
        <f t="shared" si="26"/>
        <v>140.70000000000002</v>
      </c>
      <c r="Z219" s="39">
        <f>IFERROR(IF(Y219=0,"",ROUNDUP(Y219/H219,0)*0.00502),"")</f>
        <v>0.33634000000000003</v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146.66666666666666</v>
      </c>
      <c r="BN219" s="75">
        <f t="shared" si="28"/>
        <v>147.40000000000003</v>
      </c>
      <c r="BO219" s="75">
        <f t="shared" si="29"/>
        <v>0.28490028490028491</v>
      </c>
      <c r="BP219" s="75">
        <f t="shared" si="30"/>
        <v>0.28632478632478636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02">
        <v>4680115880191</v>
      </c>
      <c r="E220" s="602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6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4"/>
      <c r="R220" s="604"/>
      <c r="S220" s="604"/>
      <c r="T220" s="60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02">
        <v>4680115883963</v>
      </c>
      <c r="E221" s="602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4"/>
      <c r="R221" s="604"/>
      <c r="S221" s="604"/>
      <c r="T221" s="60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x14ac:dyDescent="0.2">
      <c r="A222" s="609"/>
      <c r="B222" s="609"/>
      <c r="C222" s="609"/>
      <c r="D222" s="609"/>
      <c r="E222" s="609"/>
      <c r="F222" s="609"/>
      <c r="G222" s="609"/>
      <c r="H222" s="609"/>
      <c r="I222" s="609"/>
      <c r="J222" s="609"/>
      <c r="K222" s="609"/>
      <c r="L222" s="609"/>
      <c r="M222" s="609"/>
      <c r="N222" s="609"/>
      <c r="O222" s="610"/>
      <c r="P222" s="606" t="s">
        <v>40</v>
      </c>
      <c r="Q222" s="607"/>
      <c r="R222" s="607"/>
      <c r="S222" s="607"/>
      <c r="T222" s="607"/>
      <c r="U222" s="607"/>
      <c r="V222" s="608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146.8095238095238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148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0.8364100000000001</v>
      </c>
      <c r="AA222" s="64"/>
      <c r="AB222" s="64"/>
      <c r="AC222" s="64"/>
    </row>
    <row r="223" spans="1:68" x14ac:dyDescent="0.2">
      <c r="A223" s="609"/>
      <c r="B223" s="609"/>
      <c r="C223" s="609"/>
      <c r="D223" s="609"/>
      <c r="E223" s="609"/>
      <c r="F223" s="609"/>
      <c r="G223" s="609"/>
      <c r="H223" s="609"/>
      <c r="I223" s="609"/>
      <c r="J223" s="609"/>
      <c r="K223" s="609"/>
      <c r="L223" s="609"/>
      <c r="M223" s="609"/>
      <c r="N223" s="609"/>
      <c r="O223" s="610"/>
      <c r="P223" s="606" t="s">
        <v>40</v>
      </c>
      <c r="Q223" s="607"/>
      <c r="R223" s="607"/>
      <c r="S223" s="607"/>
      <c r="T223" s="607"/>
      <c r="U223" s="607"/>
      <c r="V223" s="608"/>
      <c r="W223" s="40" t="s">
        <v>0</v>
      </c>
      <c r="X223" s="41">
        <f>IFERROR(SUM(X208:X221),"0")</f>
        <v>354.4</v>
      </c>
      <c r="Y223" s="41">
        <f>IFERROR(SUM(Y208:Y221),"0")</f>
        <v>357.30000000000007</v>
      </c>
      <c r="Z223" s="40"/>
      <c r="AA223" s="64"/>
      <c r="AB223" s="64"/>
      <c r="AC223" s="64"/>
    </row>
    <row r="224" spans="1:68" ht="14.25" hidden="1" customHeight="1" x14ac:dyDescent="0.25">
      <c r="A224" s="601" t="s">
        <v>86</v>
      </c>
      <c r="B224" s="601"/>
      <c r="C224" s="601"/>
      <c r="D224" s="601"/>
      <c r="E224" s="601"/>
      <c r="F224" s="601"/>
      <c r="G224" s="601"/>
      <c r="H224" s="601"/>
      <c r="I224" s="601"/>
      <c r="J224" s="601"/>
      <c r="K224" s="601"/>
      <c r="L224" s="601"/>
      <c r="M224" s="601"/>
      <c r="N224" s="601"/>
      <c r="O224" s="601"/>
      <c r="P224" s="601"/>
      <c r="Q224" s="601"/>
      <c r="R224" s="601"/>
      <c r="S224" s="601"/>
      <c r="T224" s="601"/>
      <c r="U224" s="601"/>
      <c r="V224" s="601"/>
      <c r="W224" s="601"/>
      <c r="X224" s="601"/>
      <c r="Y224" s="601"/>
      <c r="Z224" s="601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02">
        <v>4680115888951</v>
      </c>
      <c r="E225" s="602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4"/>
      <c r="R225" s="604"/>
      <c r="S225" s="604"/>
      <c r="T225" s="605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02">
        <v>4680115888982</v>
      </c>
      <c r="E226" s="602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6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4"/>
      <c r="R226" s="604"/>
      <c r="S226" s="604"/>
      <c r="T226" s="605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9"/>
      <c r="B227" s="609"/>
      <c r="C227" s="609"/>
      <c r="D227" s="609"/>
      <c r="E227" s="609"/>
      <c r="F227" s="609"/>
      <c r="G227" s="609"/>
      <c r="H227" s="609"/>
      <c r="I227" s="609"/>
      <c r="J227" s="609"/>
      <c r="K227" s="609"/>
      <c r="L227" s="609"/>
      <c r="M227" s="609"/>
      <c r="N227" s="609"/>
      <c r="O227" s="610"/>
      <c r="P227" s="606" t="s">
        <v>40</v>
      </c>
      <c r="Q227" s="607"/>
      <c r="R227" s="607"/>
      <c r="S227" s="607"/>
      <c r="T227" s="607"/>
      <c r="U227" s="607"/>
      <c r="V227" s="608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09"/>
      <c r="B228" s="609"/>
      <c r="C228" s="609"/>
      <c r="D228" s="609"/>
      <c r="E228" s="609"/>
      <c r="F228" s="609"/>
      <c r="G228" s="609"/>
      <c r="H228" s="609"/>
      <c r="I228" s="609"/>
      <c r="J228" s="609"/>
      <c r="K228" s="609"/>
      <c r="L228" s="609"/>
      <c r="M228" s="609"/>
      <c r="N228" s="609"/>
      <c r="O228" s="610"/>
      <c r="P228" s="606" t="s">
        <v>40</v>
      </c>
      <c r="Q228" s="607"/>
      <c r="R228" s="607"/>
      <c r="S228" s="607"/>
      <c r="T228" s="607"/>
      <c r="U228" s="607"/>
      <c r="V228" s="608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01" t="s">
        <v>107</v>
      </c>
      <c r="B229" s="601"/>
      <c r="C229" s="601"/>
      <c r="D229" s="601"/>
      <c r="E229" s="601"/>
      <c r="F229" s="601"/>
      <c r="G229" s="601"/>
      <c r="H229" s="601"/>
      <c r="I229" s="601"/>
      <c r="J229" s="601"/>
      <c r="K229" s="601"/>
      <c r="L229" s="601"/>
      <c r="M229" s="601"/>
      <c r="N229" s="601"/>
      <c r="O229" s="601"/>
      <c r="P229" s="601"/>
      <c r="Q229" s="601"/>
      <c r="R229" s="601"/>
      <c r="S229" s="601"/>
      <c r="T229" s="601"/>
      <c r="U229" s="601"/>
      <c r="V229" s="601"/>
      <c r="W229" s="601"/>
      <c r="X229" s="601"/>
      <c r="Y229" s="601"/>
      <c r="Z229" s="601"/>
      <c r="AA229" s="63"/>
      <c r="AB229" s="63"/>
      <c r="AC229" s="63"/>
    </row>
    <row r="230" spans="1:68" ht="27" customHeight="1" x14ac:dyDescent="0.25">
      <c r="A230" s="60" t="s">
        <v>394</v>
      </c>
      <c r="B230" s="60" t="s">
        <v>395</v>
      </c>
      <c r="C230" s="34">
        <v>4301032053</v>
      </c>
      <c r="D230" s="602">
        <v>4680115886780</v>
      </c>
      <c r="E230" s="602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6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4"/>
      <c r="R230" s="604"/>
      <c r="S230" s="604"/>
      <c r="T230" s="605"/>
      <c r="U230" s="37" t="s">
        <v>46</v>
      </c>
      <c r="V230" s="37" t="s">
        <v>46</v>
      </c>
      <c r="W230" s="38" t="s">
        <v>0</v>
      </c>
      <c r="X230" s="56">
        <v>3.5000000000000004</v>
      </c>
      <c r="Y230" s="53">
        <f>IFERROR(IF(X230="",0,CEILING((X230/$H230),1)*$H230),"")</f>
        <v>3.7800000000000002</v>
      </c>
      <c r="Z230" s="39">
        <f>IFERROR(IF(Y230=0,"",ROUNDUP(Y230/H230,0)*0.0059),"")</f>
        <v>1.77E-2</v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4.0277777777777777</v>
      </c>
      <c r="BN230" s="75">
        <f>IFERROR(Y230*I230/H230,"0")</f>
        <v>4.3499999999999996</v>
      </c>
      <c r="BO230" s="75">
        <f>IFERROR(1/J230*(X230/H230),"0")</f>
        <v>1.2860082304526749E-2</v>
      </c>
      <c r="BP230" s="75">
        <f>IFERROR(1/J230*(Y230/H230),"0")</f>
        <v>1.3888888888888888E-2</v>
      </c>
    </row>
    <row r="231" spans="1:68" ht="27" customHeight="1" x14ac:dyDescent="0.25">
      <c r="A231" s="60" t="s">
        <v>397</v>
      </c>
      <c r="B231" s="60" t="s">
        <v>398</v>
      </c>
      <c r="C231" s="34">
        <v>4301032051</v>
      </c>
      <c r="D231" s="602">
        <v>4680115886742</v>
      </c>
      <c r="E231" s="602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4"/>
      <c r="R231" s="604"/>
      <c r="S231" s="604"/>
      <c r="T231" s="605"/>
      <c r="U231" s="37" t="s">
        <v>46</v>
      </c>
      <c r="V231" s="37" t="s">
        <v>46</v>
      </c>
      <c r="W231" s="38" t="s">
        <v>0</v>
      </c>
      <c r="X231" s="56">
        <v>7.0000000000000009</v>
      </c>
      <c r="Y231" s="53">
        <f>IFERROR(IF(X231="",0,CEILING((X231/$H231),1)*$H231),"")</f>
        <v>7.5600000000000005</v>
      </c>
      <c r="Z231" s="39">
        <f>IFERROR(IF(Y231=0,"",ROUNDUP(Y231/H231,0)*0.0059),"")</f>
        <v>3.5400000000000001E-2</v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8.0555555555555554</v>
      </c>
      <c r="BN231" s="75">
        <f>IFERROR(Y231*I231/H231,"0")</f>
        <v>8.6999999999999993</v>
      </c>
      <c r="BO231" s="75">
        <f>IFERROR(1/J231*(X231/H231),"0")</f>
        <v>2.5720164609053499E-2</v>
      </c>
      <c r="BP231" s="75">
        <f>IFERROR(1/J231*(Y231/H231),"0")</f>
        <v>2.7777777777777776E-2</v>
      </c>
    </row>
    <row r="232" spans="1:68" ht="27" customHeight="1" x14ac:dyDescent="0.25">
      <c r="A232" s="60" t="s">
        <v>400</v>
      </c>
      <c r="B232" s="60" t="s">
        <v>401</v>
      </c>
      <c r="C232" s="34">
        <v>4301032052</v>
      </c>
      <c r="D232" s="602">
        <v>4680115886766</v>
      </c>
      <c r="E232" s="602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6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4"/>
      <c r="R232" s="604"/>
      <c r="S232" s="604"/>
      <c r="T232" s="605"/>
      <c r="U232" s="37" t="s">
        <v>46</v>
      </c>
      <c r="V232" s="37" t="s">
        <v>46</v>
      </c>
      <c r="W232" s="38" t="s">
        <v>0</v>
      </c>
      <c r="X232" s="56">
        <v>7.0000000000000009</v>
      </c>
      <c r="Y232" s="53">
        <f>IFERROR(IF(X232="",0,CEILING((X232/$H232),1)*$H232),"")</f>
        <v>7.5600000000000005</v>
      </c>
      <c r="Z232" s="39">
        <f>IFERROR(IF(Y232=0,"",ROUNDUP(Y232/H232,0)*0.0059),"")</f>
        <v>3.5400000000000001E-2</v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8.0555555555555554</v>
      </c>
      <c r="BN232" s="75">
        <f>IFERROR(Y232*I232/H232,"0")</f>
        <v>8.6999999999999993</v>
      </c>
      <c r="BO232" s="75">
        <f>IFERROR(1/J232*(X232/H232),"0")</f>
        <v>2.5720164609053499E-2</v>
      </c>
      <c r="BP232" s="75">
        <f>IFERROR(1/J232*(Y232/H232),"0")</f>
        <v>2.7777777777777776E-2</v>
      </c>
    </row>
    <row r="233" spans="1:68" x14ac:dyDescent="0.2">
      <c r="A233" s="609"/>
      <c r="B233" s="609"/>
      <c r="C233" s="609"/>
      <c r="D233" s="609"/>
      <c r="E233" s="609"/>
      <c r="F233" s="609"/>
      <c r="G233" s="609"/>
      <c r="H233" s="609"/>
      <c r="I233" s="609"/>
      <c r="J233" s="609"/>
      <c r="K233" s="609"/>
      <c r="L233" s="609"/>
      <c r="M233" s="609"/>
      <c r="N233" s="609"/>
      <c r="O233" s="610"/>
      <c r="P233" s="606" t="s">
        <v>40</v>
      </c>
      <c r="Q233" s="607"/>
      <c r="R233" s="607"/>
      <c r="S233" s="607"/>
      <c r="T233" s="607"/>
      <c r="U233" s="607"/>
      <c r="V233" s="608"/>
      <c r="W233" s="40" t="s">
        <v>39</v>
      </c>
      <c r="X233" s="41">
        <f>IFERROR(X230/H230,"0")+IFERROR(X231/H231,"0")+IFERROR(X232/H232,"0")</f>
        <v>13.888888888888889</v>
      </c>
      <c r="Y233" s="41">
        <f>IFERROR(Y230/H230,"0")+IFERROR(Y231/H231,"0")+IFERROR(Y232/H232,"0")</f>
        <v>15</v>
      </c>
      <c r="Z233" s="41">
        <f>IFERROR(IF(Z230="",0,Z230),"0")+IFERROR(IF(Z231="",0,Z231),"0")+IFERROR(IF(Z232="",0,Z232),"0")</f>
        <v>8.8499999999999995E-2</v>
      </c>
      <c r="AA233" s="64"/>
      <c r="AB233" s="64"/>
      <c r="AC233" s="64"/>
    </row>
    <row r="234" spans="1:68" x14ac:dyDescent="0.2">
      <c r="A234" s="609"/>
      <c r="B234" s="609"/>
      <c r="C234" s="609"/>
      <c r="D234" s="609"/>
      <c r="E234" s="609"/>
      <c r="F234" s="609"/>
      <c r="G234" s="609"/>
      <c r="H234" s="609"/>
      <c r="I234" s="609"/>
      <c r="J234" s="609"/>
      <c r="K234" s="609"/>
      <c r="L234" s="609"/>
      <c r="M234" s="609"/>
      <c r="N234" s="609"/>
      <c r="O234" s="610"/>
      <c r="P234" s="606" t="s">
        <v>40</v>
      </c>
      <c r="Q234" s="607"/>
      <c r="R234" s="607"/>
      <c r="S234" s="607"/>
      <c r="T234" s="607"/>
      <c r="U234" s="607"/>
      <c r="V234" s="608"/>
      <c r="W234" s="40" t="s">
        <v>0</v>
      </c>
      <c r="X234" s="41">
        <f>IFERROR(SUM(X230:X232),"0")</f>
        <v>17.500000000000004</v>
      </c>
      <c r="Y234" s="41">
        <f>IFERROR(SUM(Y230:Y232),"0")</f>
        <v>18.899999999999999</v>
      </c>
      <c r="Z234" s="40"/>
      <c r="AA234" s="64"/>
      <c r="AB234" s="64"/>
      <c r="AC234" s="64"/>
    </row>
    <row r="235" spans="1:68" ht="14.25" hidden="1" customHeight="1" x14ac:dyDescent="0.25">
      <c r="A235" s="601" t="s">
        <v>402</v>
      </c>
      <c r="B235" s="601"/>
      <c r="C235" s="601"/>
      <c r="D235" s="601"/>
      <c r="E235" s="601"/>
      <c r="F235" s="601"/>
      <c r="G235" s="601"/>
      <c r="H235" s="601"/>
      <c r="I235" s="601"/>
      <c r="J235" s="601"/>
      <c r="K235" s="601"/>
      <c r="L235" s="601"/>
      <c r="M235" s="601"/>
      <c r="N235" s="601"/>
      <c r="O235" s="601"/>
      <c r="P235" s="601"/>
      <c r="Q235" s="601"/>
      <c r="R235" s="601"/>
      <c r="S235" s="601"/>
      <c r="T235" s="601"/>
      <c r="U235" s="601"/>
      <c r="V235" s="601"/>
      <c r="W235" s="601"/>
      <c r="X235" s="601"/>
      <c r="Y235" s="601"/>
      <c r="Z235" s="601"/>
      <c r="AA235" s="63"/>
      <c r="AB235" s="63"/>
      <c r="AC235" s="63"/>
    </row>
    <row r="236" spans="1:68" ht="27" customHeight="1" x14ac:dyDescent="0.25">
      <c r="A236" s="60" t="s">
        <v>403</v>
      </c>
      <c r="B236" s="60" t="s">
        <v>404</v>
      </c>
      <c r="C236" s="34">
        <v>4301170013</v>
      </c>
      <c r="D236" s="602">
        <v>4680115886797</v>
      </c>
      <c r="E236" s="602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6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4"/>
      <c r="R236" s="604"/>
      <c r="S236" s="604"/>
      <c r="T236" s="605"/>
      <c r="U236" s="37" t="s">
        <v>46</v>
      </c>
      <c r="V236" s="37" t="s">
        <v>46</v>
      </c>
      <c r="W236" s="38" t="s">
        <v>0</v>
      </c>
      <c r="X236" s="56">
        <v>7.0000000000000009</v>
      </c>
      <c r="Y236" s="53">
        <f>IFERROR(IF(X236="",0,CEILING((X236/$H236),1)*$H236),"")</f>
        <v>7.5600000000000005</v>
      </c>
      <c r="Z236" s="39">
        <f>IFERROR(IF(Y236=0,"",ROUNDUP(Y236/H236,0)*0.0059),"")</f>
        <v>3.5400000000000001E-2</v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8.0555555555555554</v>
      </c>
      <c r="BN236" s="75">
        <f>IFERROR(Y236*I236/H236,"0")</f>
        <v>8.6999999999999993</v>
      </c>
      <c r="BO236" s="75">
        <f>IFERROR(1/J236*(X236/H236),"0")</f>
        <v>2.5720164609053499E-2</v>
      </c>
      <c r="BP236" s="75">
        <f>IFERROR(1/J236*(Y236/H236),"0")</f>
        <v>2.7777777777777776E-2</v>
      </c>
    </row>
    <row r="237" spans="1:68" x14ac:dyDescent="0.2">
      <c r="A237" s="609"/>
      <c r="B237" s="609"/>
      <c r="C237" s="609"/>
      <c r="D237" s="609"/>
      <c r="E237" s="609"/>
      <c r="F237" s="609"/>
      <c r="G237" s="609"/>
      <c r="H237" s="609"/>
      <c r="I237" s="609"/>
      <c r="J237" s="609"/>
      <c r="K237" s="609"/>
      <c r="L237" s="609"/>
      <c r="M237" s="609"/>
      <c r="N237" s="609"/>
      <c r="O237" s="610"/>
      <c r="P237" s="606" t="s">
        <v>40</v>
      </c>
      <c r="Q237" s="607"/>
      <c r="R237" s="607"/>
      <c r="S237" s="607"/>
      <c r="T237" s="607"/>
      <c r="U237" s="607"/>
      <c r="V237" s="608"/>
      <c r="W237" s="40" t="s">
        <v>39</v>
      </c>
      <c r="X237" s="41">
        <f>IFERROR(X236/H236,"0")</f>
        <v>5.5555555555555562</v>
      </c>
      <c r="Y237" s="41">
        <f>IFERROR(Y236/H236,"0")</f>
        <v>6</v>
      </c>
      <c r="Z237" s="41">
        <f>IFERROR(IF(Z236="",0,Z236),"0")</f>
        <v>3.5400000000000001E-2</v>
      </c>
      <c r="AA237" s="64"/>
      <c r="AB237" s="64"/>
      <c r="AC237" s="64"/>
    </row>
    <row r="238" spans="1:68" x14ac:dyDescent="0.2">
      <c r="A238" s="609"/>
      <c r="B238" s="609"/>
      <c r="C238" s="609"/>
      <c r="D238" s="609"/>
      <c r="E238" s="609"/>
      <c r="F238" s="609"/>
      <c r="G238" s="609"/>
      <c r="H238" s="609"/>
      <c r="I238" s="609"/>
      <c r="J238" s="609"/>
      <c r="K238" s="609"/>
      <c r="L238" s="609"/>
      <c r="M238" s="609"/>
      <c r="N238" s="609"/>
      <c r="O238" s="610"/>
      <c r="P238" s="606" t="s">
        <v>40</v>
      </c>
      <c r="Q238" s="607"/>
      <c r="R238" s="607"/>
      <c r="S238" s="607"/>
      <c r="T238" s="607"/>
      <c r="U238" s="607"/>
      <c r="V238" s="608"/>
      <c r="W238" s="40" t="s">
        <v>0</v>
      </c>
      <c r="X238" s="41">
        <f>IFERROR(SUM(X236:X236),"0")</f>
        <v>7.0000000000000009</v>
      </c>
      <c r="Y238" s="41">
        <f>IFERROR(SUM(Y236:Y236),"0")</f>
        <v>7.5600000000000005</v>
      </c>
      <c r="Z238" s="40"/>
      <c r="AA238" s="64"/>
      <c r="AB238" s="64"/>
      <c r="AC238" s="64"/>
    </row>
    <row r="239" spans="1:68" ht="16.5" hidden="1" customHeight="1" x14ac:dyDescent="0.25">
      <c r="A239" s="617" t="s">
        <v>405</v>
      </c>
      <c r="B239" s="617"/>
      <c r="C239" s="617"/>
      <c r="D239" s="617"/>
      <c r="E239" s="617"/>
      <c r="F239" s="617"/>
      <c r="G239" s="617"/>
      <c r="H239" s="617"/>
      <c r="I239" s="617"/>
      <c r="J239" s="617"/>
      <c r="K239" s="617"/>
      <c r="L239" s="617"/>
      <c r="M239" s="617"/>
      <c r="N239" s="617"/>
      <c r="O239" s="617"/>
      <c r="P239" s="617"/>
      <c r="Q239" s="617"/>
      <c r="R239" s="617"/>
      <c r="S239" s="617"/>
      <c r="T239" s="617"/>
      <c r="U239" s="617"/>
      <c r="V239" s="617"/>
      <c r="W239" s="617"/>
      <c r="X239" s="617"/>
      <c r="Y239" s="617"/>
      <c r="Z239" s="617"/>
      <c r="AA239" s="62"/>
      <c r="AB239" s="62"/>
      <c r="AC239" s="62"/>
    </row>
    <row r="240" spans="1:68" ht="14.25" hidden="1" customHeight="1" x14ac:dyDescent="0.25">
      <c r="A240" s="601" t="s">
        <v>128</v>
      </c>
      <c r="B240" s="601"/>
      <c r="C240" s="601"/>
      <c r="D240" s="601"/>
      <c r="E240" s="601"/>
      <c r="F240" s="601"/>
      <c r="G240" s="601"/>
      <c r="H240" s="601"/>
      <c r="I240" s="601"/>
      <c r="J240" s="601"/>
      <c r="K240" s="601"/>
      <c r="L240" s="601"/>
      <c r="M240" s="601"/>
      <c r="N240" s="601"/>
      <c r="O240" s="601"/>
      <c r="P240" s="601"/>
      <c r="Q240" s="601"/>
      <c r="R240" s="601"/>
      <c r="S240" s="601"/>
      <c r="T240" s="601"/>
      <c r="U240" s="601"/>
      <c r="V240" s="601"/>
      <c r="W240" s="601"/>
      <c r="X240" s="601"/>
      <c r="Y240" s="601"/>
      <c r="Z240" s="601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02">
        <v>4680115881402</v>
      </c>
      <c r="E241" s="602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6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4"/>
      <c r="R241" s="604"/>
      <c r="S241" s="604"/>
      <c r="T241" s="605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02">
        <v>4680115881396</v>
      </c>
      <c r="E242" s="602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4"/>
      <c r="R242" s="604"/>
      <c r="S242" s="604"/>
      <c r="T242" s="605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9"/>
      <c r="B243" s="609"/>
      <c r="C243" s="609"/>
      <c r="D243" s="609"/>
      <c r="E243" s="609"/>
      <c r="F243" s="609"/>
      <c r="G243" s="609"/>
      <c r="H243" s="609"/>
      <c r="I243" s="609"/>
      <c r="J243" s="609"/>
      <c r="K243" s="609"/>
      <c r="L243" s="609"/>
      <c r="M243" s="609"/>
      <c r="N243" s="609"/>
      <c r="O243" s="610"/>
      <c r="P243" s="606" t="s">
        <v>40</v>
      </c>
      <c r="Q243" s="607"/>
      <c r="R243" s="607"/>
      <c r="S243" s="607"/>
      <c r="T243" s="607"/>
      <c r="U243" s="607"/>
      <c r="V243" s="608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9"/>
      <c r="B244" s="609"/>
      <c r="C244" s="609"/>
      <c r="D244" s="609"/>
      <c r="E244" s="609"/>
      <c r="F244" s="609"/>
      <c r="G244" s="609"/>
      <c r="H244" s="609"/>
      <c r="I244" s="609"/>
      <c r="J244" s="609"/>
      <c r="K244" s="609"/>
      <c r="L244" s="609"/>
      <c r="M244" s="609"/>
      <c r="N244" s="609"/>
      <c r="O244" s="610"/>
      <c r="P244" s="606" t="s">
        <v>40</v>
      </c>
      <c r="Q244" s="607"/>
      <c r="R244" s="607"/>
      <c r="S244" s="607"/>
      <c r="T244" s="607"/>
      <c r="U244" s="607"/>
      <c r="V244" s="608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01" t="s">
        <v>163</v>
      </c>
      <c r="B245" s="601"/>
      <c r="C245" s="601"/>
      <c r="D245" s="601"/>
      <c r="E245" s="601"/>
      <c r="F245" s="601"/>
      <c r="G245" s="601"/>
      <c r="H245" s="601"/>
      <c r="I245" s="601"/>
      <c r="J245" s="601"/>
      <c r="K245" s="601"/>
      <c r="L245" s="601"/>
      <c r="M245" s="601"/>
      <c r="N245" s="601"/>
      <c r="O245" s="601"/>
      <c r="P245" s="601"/>
      <c r="Q245" s="601"/>
      <c r="R245" s="601"/>
      <c r="S245" s="601"/>
      <c r="T245" s="601"/>
      <c r="U245" s="601"/>
      <c r="V245" s="601"/>
      <c r="W245" s="601"/>
      <c r="X245" s="601"/>
      <c r="Y245" s="601"/>
      <c r="Z245" s="601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02">
        <v>4680115882935</v>
      </c>
      <c r="E246" s="602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4"/>
      <c r="R246" s="604"/>
      <c r="S246" s="604"/>
      <c r="T246" s="605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02">
        <v>4680115880764</v>
      </c>
      <c r="E247" s="602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4"/>
      <c r="R247" s="604"/>
      <c r="S247" s="604"/>
      <c r="T247" s="605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9"/>
      <c r="B248" s="609"/>
      <c r="C248" s="609"/>
      <c r="D248" s="609"/>
      <c r="E248" s="609"/>
      <c r="F248" s="609"/>
      <c r="G248" s="609"/>
      <c r="H248" s="609"/>
      <c r="I248" s="609"/>
      <c r="J248" s="609"/>
      <c r="K248" s="609"/>
      <c r="L248" s="609"/>
      <c r="M248" s="609"/>
      <c r="N248" s="609"/>
      <c r="O248" s="610"/>
      <c r="P248" s="606" t="s">
        <v>40</v>
      </c>
      <c r="Q248" s="607"/>
      <c r="R248" s="607"/>
      <c r="S248" s="607"/>
      <c r="T248" s="607"/>
      <c r="U248" s="607"/>
      <c r="V248" s="608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9"/>
      <c r="B249" s="609"/>
      <c r="C249" s="609"/>
      <c r="D249" s="609"/>
      <c r="E249" s="609"/>
      <c r="F249" s="609"/>
      <c r="G249" s="609"/>
      <c r="H249" s="609"/>
      <c r="I249" s="609"/>
      <c r="J249" s="609"/>
      <c r="K249" s="609"/>
      <c r="L249" s="609"/>
      <c r="M249" s="609"/>
      <c r="N249" s="609"/>
      <c r="O249" s="610"/>
      <c r="P249" s="606" t="s">
        <v>40</v>
      </c>
      <c r="Q249" s="607"/>
      <c r="R249" s="607"/>
      <c r="S249" s="607"/>
      <c r="T249" s="607"/>
      <c r="U249" s="607"/>
      <c r="V249" s="608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01" t="s">
        <v>77</v>
      </c>
      <c r="B250" s="601"/>
      <c r="C250" s="601"/>
      <c r="D250" s="601"/>
      <c r="E250" s="601"/>
      <c r="F250" s="601"/>
      <c r="G250" s="601"/>
      <c r="H250" s="601"/>
      <c r="I250" s="601"/>
      <c r="J250" s="601"/>
      <c r="K250" s="601"/>
      <c r="L250" s="601"/>
      <c r="M250" s="601"/>
      <c r="N250" s="601"/>
      <c r="O250" s="601"/>
      <c r="P250" s="601"/>
      <c r="Q250" s="601"/>
      <c r="R250" s="601"/>
      <c r="S250" s="601"/>
      <c r="T250" s="601"/>
      <c r="U250" s="601"/>
      <c r="V250" s="601"/>
      <c r="W250" s="601"/>
      <c r="X250" s="601"/>
      <c r="Y250" s="601"/>
      <c r="Z250" s="601"/>
      <c r="AA250" s="63"/>
      <c r="AB250" s="63"/>
      <c r="AC250" s="63"/>
    </row>
    <row r="251" spans="1:68" ht="27" customHeight="1" x14ac:dyDescent="0.25">
      <c r="A251" s="60" t="s">
        <v>416</v>
      </c>
      <c r="B251" s="60" t="s">
        <v>417</v>
      </c>
      <c r="C251" s="34">
        <v>4301031224</v>
      </c>
      <c r="D251" s="602">
        <v>4680115882683</v>
      </c>
      <c r="E251" s="602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4"/>
      <c r="R251" s="604"/>
      <c r="S251" s="604"/>
      <c r="T251" s="605"/>
      <c r="U251" s="37" t="s">
        <v>46</v>
      </c>
      <c r="V251" s="37" t="s">
        <v>46</v>
      </c>
      <c r="W251" s="38" t="s">
        <v>0</v>
      </c>
      <c r="X251" s="56">
        <v>360</v>
      </c>
      <c r="Y251" s="53">
        <f t="shared" ref="Y251:Y258" si="32">IFERROR(IF(X251="",0,CEILING((X251/$H251),1)*$H251),"")</f>
        <v>361.8</v>
      </c>
      <c r="Z251" s="39">
        <f>IFERROR(IF(Y251=0,"",ROUNDUP(Y251/H251,0)*0.00902),"")</f>
        <v>0.60433999999999999</v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372.66666666666663</v>
      </c>
      <c r="BN251" s="75">
        <f t="shared" ref="BN251:BN258" si="34">IFERROR(Y251*I251/H251,"0")</f>
        <v>374.53</v>
      </c>
      <c r="BO251" s="75">
        <f t="shared" ref="BO251:BO258" si="35">IFERROR(1/J251*(X251/H251),"0")</f>
        <v>0.50505050505050497</v>
      </c>
      <c r="BP251" s="75">
        <f t="shared" ref="BP251:BP258" si="36">IFERROR(1/J251*(Y251/H251),"0")</f>
        <v>0.50757575757575757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02">
        <v>4680115882690</v>
      </c>
      <c r="E252" s="602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4"/>
      <c r="R252" s="604"/>
      <c r="S252" s="604"/>
      <c r="T252" s="605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02">
        <v>4680115882669</v>
      </c>
      <c r="E253" s="602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4"/>
      <c r="R253" s="604"/>
      <c r="S253" s="604"/>
      <c r="T253" s="605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customHeight="1" x14ac:dyDescent="0.25">
      <c r="A254" s="60" t="s">
        <v>425</v>
      </c>
      <c r="B254" s="60" t="s">
        <v>426</v>
      </c>
      <c r="C254" s="34">
        <v>4301031221</v>
      </c>
      <c r="D254" s="602">
        <v>4680115882676</v>
      </c>
      <c r="E254" s="602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4"/>
      <c r="R254" s="604"/>
      <c r="S254" s="604"/>
      <c r="T254" s="605"/>
      <c r="U254" s="37" t="s">
        <v>46</v>
      </c>
      <c r="V254" s="37" t="s">
        <v>46</v>
      </c>
      <c r="W254" s="38" t="s">
        <v>0</v>
      </c>
      <c r="X254" s="56">
        <v>50</v>
      </c>
      <c r="Y254" s="53">
        <f t="shared" si="32"/>
        <v>54</v>
      </c>
      <c r="Z254" s="39">
        <f>IFERROR(IF(Y254=0,"",ROUNDUP(Y254/H254,0)*0.00902),"")</f>
        <v>9.0200000000000002E-2</v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51.759259259259252</v>
      </c>
      <c r="BN254" s="75">
        <f t="shared" si="34"/>
        <v>55.9</v>
      </c>
      <c r="BO254" s="75">
        <f t="shared" si="35"/>
        <v>7.0145903479236812E-2</v>
      </c>
      <c r="BP254" s="75">
        <f t="shared" si="36"/>
        <v>7.575757575757576E-2</v>
      </c>
    </row>
    <row r="255" spans="1:68" ht="27" customHeight="1" x14ac:dyDescent="0.25">
      <c r="A255" s="60" t="s">
        <v>428</v>
      </c>
      <c r="B255" s="60" t="s">
        <v>429</v>
      </c>
      <c r="C255" s="34">
        <v>4301031223</v>
      </c>
      <c r="D255" s="602">
        <v>4680115884014</v>
      </c>
      <c r="E255" s="602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4"/>
      <c r="R255" s="604"/>
      <c r="S255" s="604"/>
      <c r="T255" s="605"/>
      <c r="U255" s="37" t="s">
        <v>46</v>
      </c>
      <c r="V255" s="37" t="s">
        <v>46</v>
      </c>
      <c r="W255" s="38" t="s">
        <v>0</v>
      </c>
      <c r="X255" s="56">
        <v>69</v>
      </c>
      <c r="Y255" s="53">
        <f t="shared" si="32"/>
        <v>70.2</v>
      </c>
      <c r="Z255" s="39">
        <f>IFERROR(IF(Y255=0,"",ROUNDUP(Y255/H255,0)*0.00502),"")</f>
        <v>0.19578000000000001</v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73.98333333333332</v>
      </c>
      <c r="BN255" s="75">
        <f t="shared" si="34"/>
        <v>75.27</v>
      </c>
      <c r="BO255" s="75">
        <f t="shared" si="35"/>
        <v>0.16381766381766386</v>
      </c>
      <c r="BP255" s="75">
        <f t="shared" si="36"/>
        <v>0.16666666666666669</v>
      </c>
    </row>
    <row r="256" spans="1:68" ht="27" customHeight="1" x14ac:dyDescent="0.25">
      <c r="A256" s="60" t="s">
        <v>430</v>
      </c>
      <c r="B256" s="60" t="s">
        <v>431</v>
      </c>
      <c r="C256" s="34">
        <v>4301031222</v>
      </c>
      <c r="D256" s="602">
        <v>4680115884007</v>
      </c>
      <c r="E256" s="602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5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4"/>
      <c r="R256" s="604"/>
      <c r="S256" s="604"/>
      <c r="T256" s="605"/>
      <c r="U256" s="37" t="s">
        <v>46</v>
      </c>
      <c r="V256" s="37" t="s">
        <v>46</v>
      </c>
      <c r="W256" s="38" t="s">
        <v>0</v>
      </c>
      <c r="X256" s="56">
        <v>30</v>
      </c>
      <c r="Y256" s="53">
        <f t="shared" si="32"/>
        <v>30.6</v>
      </c>
      <c r="Z256" s="39">
        <f>IFERROR(IF(Y256=0,"",ROUNDUP(Y256/H256,0)*0.00502),"")</f>
        <v>8.5339999999999999E-2</v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31.666666666666664</v>
      </c>
      <c r="BN256" s="75">
        <f t="shared" si="34"/>
        <v>32.299999999999997</v>
      </c>
      <c r="BO256" s="75">
        <f t="shared" si="35"/>
        <v>7.122507122507124E-2</v>
      </c>
      <c r="BP256" s="75">
        <f t="shared" si="36"/>
        <v>7.2649572649572655E-2</v>
      </c>
    </row>
    <row r="257" spans="1:68" ht="27" customHeight="1" x14ac:dyDescent="0.25">
      <c r="A257" s="60" t="s">
        <v>432</v>
      </c>
      <c r="B257" s="60" t="s">
        <v>433</v>
      </c>
      <c r="C257" s="34">
        <v>4301031229</v>
      </c>
      <c r="D257" s="602">
        <v>4680115884038</v>
      </c>
      <c r="E257" s="602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5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4"/>
      <c r="R257" s="604"/>
      <c r="S257" s="604"/>
      <c r="T257" s="605"/>
      <c r="U257" s="37" t="s">
        <v>46</v>
      </c>
      <c r="V257" s="37" t="s">
        <v>46</v>
      </c>
      <c r="W257" s="38" t="s">
        <v>0</v>
      </c>
      <c r="X257" s="56">
        <v>72</v>
      </c>
      <c r="Y257" s="53">
        <f t="shared" si="32"/>
        <v>72</v>
      </c>
      <c r="Z257" s="39">
        <f>IFERROR(IF(Y257=0,"",ROUNDUP(Y257/H257,0)*0.00502),"")</f>
        <v>0.20080000000000001</v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75.999999999999986</v>
      </c>
      <c r="BN257" s="75">
        <f t="shared" si="34"/>
        <v>75.999999999999986</v>
      </c>
      <c r="BO257" s="75">
        <f t="shared" si="35"/>
        <v>0.17094017094017094</v>
      </c>
      <c r="BP257" s="75">
        <f t="shared" si="36"/>
        <v>0.17094017094017094</v>
      </c>
    </row>
    <row r="258" spans="1:68" ht="27" customHeight="1" x14ac:dyDescent="0.25">
      <c r="A258" s="60" t="s">
        <v>434</v>
      </c>
      <c r="B258" s="60" t="s">
        <v>435</v>
      </c>
      <c r="C258" s="34">
        <v>4301031225</v>
      </c>
      <c r="D258" s="602">
        <v>4680115884021</v>
      </c>
      <c r="E258" s="602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5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4"/>
      <c r="R258" s="604"/>
      <c r="S258" s="604"/>
      <c r="T258" s="605"/>
      <c r="U258" s="37" t="s">
        <v>46</v>
      </c>
      <c r="V258" s="37" t="s">
        <v>46</v>
      </c>
      <c r="W258" s="38" t="s">
        <v>0</v>
      </c>
      <c r="X258" s="56">
        <v>30</v>
      </c>
      <c r="Y258" s="53">
        <f t="shared" si="32"/>
        <v>30.6</v>
      </c>
      <c r="Z258" s="39">
        <f>IFERROR(IF(Y258=0,"",ROUNDUP(Y258/H258,0)*0.00502),"")</f>
        <v>8.5339999999999999E-2</v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31.666666666666664</v>
      </c>
      <c r="BN258" s="75">
        <f t="shared" si="34"/>
        <v>32.299999999999997</v>
      </c>
      <c r="BO258" s="75">
        <f t="shared" si="35"/>
        <v>7.122507122507124E-2</v>
      </c>
      <c r="BP258" s="75">
        <f t="shared" si="36"/>
        <v>7.2649572649572655E-2</v>
      </c>
    </row>
    <row r="259" spans="1:68" x14ac:dyDescent="0.2">
      <c r="A259" s="609"/>
      <c r="B259" s="609"/>
      <c r="C259" s="609"/>
      <c r="D259" s="609"/>
      <c r="E259" s="609"/>
      <c r="F259" s="609"/>
      <c r="G259" s="609"/>
      <c r="H259" s="609"/>
      <c r="I259" s="609"/>
      <c r="J259" s="609"/>
      <c r="K259" s="609"/>
      <c r="L259" s="609"/>
      <c r="M259" s="609"/>
      <c r="N259" s="609"/>
      <c r="O259" s="610"/>
      <c r="P259" s="606" t="s">
        <v>40</v>
      </c>
      <c r="Q259" s="607"/>
      <c r="R259" s="607"/>
      <c r="S259" s="607"/>
      <c r="T259" s="607"/>
      <c r="U259" s="607"/>
      <c r="V259" s="608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187.59259259259258</v>
      </c>
      <c r="Y259" s="41">
        <f>IFERROR(Y251/H251,"0")+IFERROR(Y252/H252,"0")+IFERROR(Y253/H253,"0")+IFERROR(Y254/H254,"0")+IFERROR(Y255/H255,"0")+IFERROR(Y256/H256,"0")+IFERROR(Y257/H257,"0")+IFERROR(Y258/H258,"0")</f>
        <v>190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1.2618</v>
      </c>
      <c r="AA259" s="64"/>
      <c r="AB259" s="64"/>
      <c r="AC259" s="64"/>
    </row>
    <row r="260" spans="1:68" x14ac:dyDescent="0.2">
      <c r="A260" s="609"/>
      <c r="B260" s="609"/>
      <c r="C260" s="609"/>
      <c r="D260" s="609"/>
      <c r="E260" s="609"/>
      <c r="F260" s="609"/>
      <c r="G260" s="609"/>
      <c r="H260" s="609"/>
      <c r="I260" s="609"/>
      <c r="J260" s="609"/>
      <c r="K260" s="609"/>
      <c r="L260" s="609"/>
      <c r="M260" s="609"/>
      <c r="N260" s="609"/>
      <c r="O260" s="610"/>
      <c r="P260" s="606" t="s">
        <v>40</v>
      </c>
      <c r="Q260" s="607"/>
      <c r="R260" s="607"/>
      <c r="S260" s="607"/>
      <c r="T260" s="607"/>
      <c r="U260" s="607"/>
      <c r="V260" s="608"/>
      <c r="W260" s="40" t="s">
        <v>0</v>
      </c>
      <c r="X260" s="41">
        <f>IFERROR(SUM(X251:X258),"0")</f>
        <v>611</v>
      </c>
      <c r="Y260" s="41">
        <f>IFERROR(SUM(Y251:Y258),"0")</f>
        <v>619.20000000000005</v>
      </c>
      <c r="Z260" s="40"/>
      <c r="AA260" s="64"/>
      <c r="AB260" s="64"/>
      <c r="AC260" s="64"/>
    </row>
    <row r="261" spans="1:68" ht="14.25" hidden="1" customHeight="1" x14ac:dyDescent="0.25">
      <c r="A261" s="601" t="s">
        <v>86</v>
      </c>
      <c r="B261" s="601"/>
      <c r="C261" s="601"/>
      <c r="D261" s="601"/>
      <c r="E261" s="601"/>
      <c r="F261" s="601"/>
      <c r="G261" s="601"/>
      <c r="H261" s="601"/>
      <c r="I261" s="601"/>
      <c r="J261" s="601"/>
      <c r="K261" s="601"/>
      <c r="L261" s="601"/>
      <c r="M261" s="601"/>
      <c r="N261" s="601"/>
      <c r="O261" s="601"/>
      <c r="P261" s="601"/>
      <c r="Q261" s="601"/>
      <c r="R261" s="601"/>
      <c r="S261" s="601"/>
      <c r="T261" s="601"/>
      <c r="U261" s="601"/>
      <c r="V261" s="601"/>
      <c r="W261" s="601"/>
      <c r="X261" s="601"/>
      <c r="Y261" s="601"/>
      <c r="Z261" s="601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02">
        <v>4680115881594</v>
      </c>
      <c r="E262" s="602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74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4"/>
      <c r="R262" s="604"/>
      <c r="S262" s="604"/>
      <c r="T262" s="60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02">
        <v>4680115881617</v>
      </c>
      <c r="E263" s="602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7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4"/>
      <c r="R263" s="604"/>
      <c r="S263" s="604"/>
      <c r="T263" s="60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customHeight="1" x14ac:dyDescent="0.25">
      <c r="A264" s="60" t="s">
        <v>442</v>
      </c>
      <c r="B264" s="60" t="s">
        <v>443</v>
      </c>
      <c r="C264" s="34">
        <v>4301051656</v>
      </c>
      <c r="D264" s="602">
        <v>4680115880573</v>
      </c>
      <c r="E264" s="602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4"/>
      <c r="R264" s="604"/>
      <c r="S264" s="604"/>
      <c r="T264" s="605"/>
      <c r="U264" s="37" t="s">
        <v>46</v>
      </c>
      <c r="V264" s="37" t="s">
        <v>46</v>
      </c>
      <c r="W264" s="38" t="s">
        <v>0</v>
      </c>
      <c r="X264" s="56">
        <v>300</v>
      </c>
      <c r="Y264" s="53">
        <f t="shared" si="37"/>
        <v>304.5</v>
      </c>
      <c r="Z264" s="39">
        <f>IFERROR(IF(Y264=0,"",ROUNDUP(Y264/H264,0)*0.01898),"")</f>
        <v>0.6643</v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317.03448275862075</v>
      </c>
      <c r="BN264" s="75">
        <f t="shared" si="39"/>
        <v>321.79000000000008</v>
      </c>
      <c r="BO264" s="75">
        <f t="shared" si="40"/>
        <v>0.53879310344827591</v>
      </c>
      <c r="BP264" s="75">
        <f t="shared" si="41"/>
        <v>0.546875</v>
      </c>
    </row>
    <row r="265" spans="1:68" ht="37.5" customHeight="1" x14ac:dyDescent="0.25">
      <c r="A265" s="60" t="s">
        <v>445</v>
      </c>
      <c r="B265" s="60" t="s">
        <v>446</v>
      </c>
      <c r="C265" s="34">
        <v>4301051407</v>
      </c>
      <c r="D265" s="602">
        <v>4680115882195</v>
      </c>
      <c r="E265" s="602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7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4"/>
      <c r="R265" s="604"/>
      <c r="S265" s="604"/>
      <c r="T265" s="605"/>
      <c r="U265" s="37" t="s">
        <v>46</v>
      </c>
      <c r="V265" s="37" t="s">
        <v>46</v>
      </c>
      <c r="W265" s="38" t="s">
        <v>0</v>
      </c>
      <c r="X265" s="56">
        <v>480</v>
      </c>
      <c r="Y265" s="53">
        <f t="shared" si="37"/>
        <v>480</v>
      </c>
      <c r="Z265" s="39">
        <f>IFERROR(IF(Y265=0,"",ROUNDUP(Y265/H265,0)*0.00651),"")</f>
        <v>1.302</v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534</v>
      </c>
      <c r="BN265" s="75">
        <f t="shared" si="39"/>
        <v>534</v>
      </c>
      <c r="BO265" s="75">
        <f t="shared" si="40"/>
        <v>1.098901098901099</v>
      </c>
      <c r="BP265" s="75">
        <f t="shared" si="41"/>
        <v>1.098901098901099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02">
        <v>4680115882607</v>
      </c>
      <c r="E266" s="602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74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4"/>
      <c r="R266" s="604"/>
      <c r="S266" s="604"/>
      <c r="T266" s="60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02">
        <v>4680115882607</v>
      </c>
      <c r="E267" s="602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74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4"/>
      <c r="R267" s="604"/>
      <c r="S267" s="604"/>
      <c r="T267" s="605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customHeight="1" x14ac:dyDescent="0.25">
      <c r="A268" s="60" t="s">
        <v>452</v>
      </c>
      <c r="B268" s="60" t="s">
        <v>453</v>
      </c>
      <c r="C268" s="34">
        <v>4301051666</v>
      </c>
      <c r="D268" s="602">
        <v>4680115880092</v>
      </c>
      <c r="E268" s="602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4"/>
      <c r="R268" s="604"/>
      <c r="S268" s="604"/>
      <c r="T268" s="605"/>
      <c r="U268" s="37" t="s">
        <v>46</v>
      </c>
      <c r="V268" s="37" t="s">
        <v>46</v>
      </c>
      <c r="W268" s="38" t="s">
        <v>0</v>
      </c>
      <c r="X268" s="56">
        <v>120</v>
      </c>
      <c r="Y268" s="53">
        <f t="shared" si="37"/>
        <v>120</v>
      </c>
      <c r="Z268" s="39">
        <f>IFERROR(IF(Y268=0,"",ROUNDUP(Y268/H268,0)*0.00651),"")</f>
        <v>0.32550000000000001</v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132.60000000000002</v>
      </c>
      <c r="BN268" s="75">
        <f t="shared" si="39"/>
        <v>132.60000000000002</v>
      </c>
      <c r="BO268" s="75">
        <f t="shared" si="40"/>
        <v>0.27472527472527475</v>
      </c>
      <c r="BP268" s="75">
        <f t="shared" si="41"/>
        <v>0.27472527472527475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02">
        <v>4680115889064</v>
      </c>
      <c r="E269" s="602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74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4"/>
      <c r="R269" s="604"/>
      <c r="S269" s="604"/>
      <c r="T269" s="605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02">
        <v>4680115880221</v>
      </c>
      <c r="E270" s="602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4"/>
      <c r="R270" s="604"/>
      <c r="S270" s="604"/>
      <c r="T270" s="60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customHeight="1" x14ac:dyDescent="0.25">
      <c r="A271" s="60" t="s">
        <v>458</v>
      </c>
      <c r="B271" s="60" t="s">
        <v>459</v>
      </c>
      <c r="C271" s="34">
        <v>4301051945</v>
      </c>
      <c r="D271" s="602">
        <v>4680115880504</v>
      </c>
      <c r="E271" s="602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7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4"/>
      <c r="R271" s="604"/>
      <c r="S271" s="604"/>
      <c r="T271" s="605"/>
      <c r="U271" s="37" t="s">
        <v>46</v>
      </c>
      <c r="V271" s="37" t="s">
        <v>46</v>
      </c>
      <c r="W271" s="38" t="s">
        <v>0</v>
      </c>
      <c r="X271" s="56">
        <v>80</v>
      </c>
      <c r="Y271" s="53">
        <f t="shared" si="37"/>
        <v>81.599999999999994</v>
      </c>
      <c r="Z271" s="39">
        <f>IFERROR(IF(Y271=0,"",ROUNDUP(Y271/H271,0)*0.00651),"")</f>
        <v>0.22134000000000001</v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88.40000000000002</v>
      </c>
      <c r="BN271" s="75">
        <f t="shared" si="39"/>
        <v>90.168000000000006</v>
      </c>
      <c r="BO271" s="75">
        <f t="shared" si="40"/>
        <v>0.18315018315018317</v>
      </c>
      <c r="BP271" s="75">
        <f t="shared" si="41"/>
        <v>0.18681318681318682</v>
      </c>
    </row>
    <row r="272" spans="1:68" ht="27" customHeight="1" x14ac:dyDescent="0.25">
      <c r="A272" s="60" t="s">
        <v>461</v>
      </c>
      <c r="B272" s="60" t="s">
        <v>462</v>
      </c>
      <c r="C272" s="34">
        <v>4301051410</v>
      </c>
      <c r="D272" s="602">
        <v>4680115882164</v>
      </c>
      <c r="E272" s="602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74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4"/>
      <c r="R272" s="604"/>
      <c r="S272" s="604"/>
      <c r="T272" s="605"/>
      <c r="U272" s="37" t="s">
        <v>46</v>
      </c>
      <c r="V272" s="37" t="s">
        <v>46</v>
      </c>
      <c r="W272" s="38" t="s">
        <v>0</v>
      </c>
      <c r="X272" s="56">
        <v>120</v>
      </c>
      <c r="Y272" s="53">
        <f t="shared" si="37"/>
        <v>120</v>
      </c>
      <c r="Z272" s="39">
        <f>IFERROR(IF(Y272=0,"",ROUNDUP(Y272/H272,0)*0.00651),"")</f>
        <v>0.32550000000000001</v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132.9</v>
      </c>
      <c r="BN272" s="75">
        <f t="shared" si="39"/>
        <v>132.9</v>
      </c>
      <c r="BO272" s="75">
        <f t="shared" si="40"/>
        <v>0.27472527472527475</v>
      </c>
      <c r="BP272" s="75">
        <f t="shared" si="41"/>
        <v>0.27472527472527475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02">
        <v>4680115888340</v>
      </c>
      <c r="E273" s="602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74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4"/>
      <c r="R273" s="604"/>
      <c r="S273" s="604"/>
      <c r="T273" s="60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x14ac:dyDescent="0.2">
      <c r="A274" s="609"/>
      <c r="B274" s="609"/>
      <c r="C274" s="609"/>
      <c r="D274" s="609"/>
      <c r="E274" s="609"/>
      <c r="F274" s="609"/>
      <c r="G274" s="609"/>
      <c r="H274" s="609"/>
      <c r="I274" s="609"/>
      <c r="J274" s="609"/>
      <c r="K274" s="609"/>
      <c r="L274" s="609"/>
      <c r="M274" s="609"/>
      <c r="N274" s="609"/>
      <c r="O274" s="610"/>
      <c r="P274" s="606" t="s">
        <v>40</v>
      </c>
      <c r="Q274" s="607"/>
      <c r="R274" s="607"/>
      <c r="S274" s="607"/>
      <c r="T274" s="607"/>
      <c r="U274" s="607"/>
      <c r="V274" s="608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367.81609195402297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369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2.8386399999999998</v>
      </c>
      <c r="AA274" s="64"/>
      <c r="AB274" s="64"/>
      <c r="AC274" s="64"/>
    </row>
    <row r="275" spans="1:68" x14ac:dyDescent="0.2">
      <c r="A275" s="609"/>
      <c r="B275" s="609"/>
      <c r="C275" s="609"/>
      <c r="D275" s="609"/>
      <c r="E275" s="609"/>
      <c r="F275" s="609"/>
      <c r="G275" s="609"/>
      <c r="H275" s="609"/>
      <c r="I275" s="609"/>
      <c r="J275" s="609"/>
      <c r="K275" s="609"/>
      <c r="L275" s="609"/>
      <c r="M275" s="609"/>
      <c r="N275" s="609"/>
      <c r="O275" s="610"/>
      <c r="P275" s="606" t="s">
        <v>40</v>
      </c>
      <c r="Q275" s="607"/>
      <c r="R275" s="607"/>
      <c r="S275" s="607"/>
      <c r="T275" s="607"/>
      <c r="U275" s="607"/>
      <c r="V275" s="608"/>
      <c r="W275" s="40" t="s">
        <v>0</v>
      </c>
      <c r="X275" s="41">
        <f>IFERROR(SUM(X262:X273),"0")</f>
        <v>1100</v>
      </c>
      <c r="Y275" s="41">
        <f>IFERROR(SUM(Y262:Y273),"0")</f>
        <v>1106.0999999999999</v>
      </c>
      <c r="Z275" s="40"/>
      <c r="AA275" s="64"/>
      <c r="AB275" s="64"/>
      <c r="AC275" s="64"/>
    </row>
    <row r="276" spans="1:68" ht="14.25" hidden="1" customHeight="1" x14ac:dyDescent="0.25">
      <c r="A276" s="601" t="s">
        <v>180</v>
      </c>
      <c r="B276" s="601"/>
      <c r="C276" s="601"/>
      <c r="D276" s="601"/>
      <c r="E276" s="601"/>
      <c r="F276" s="601"/>
      <c r="G276" s="601"/>
      <c r="H276" s="601"/>
      <c r="I276" s="601"/>
      <c r="J276" s="601"/>
      <c r="K276" s="601"/>
      <c r="L276" s="601"/>
      <c r="M276" s="601"/>
      <c r="N276" s="601"/>
      <c r="O276" s="601"/>
      <c r="P276" s="601"/>
      <c r="Q276" s="601"/>
      <c r="R276" s="601"/>
      <c r="S276" s="601"/>
      <c r="T276" s="601"/>
      <c r="U276" s="601"/>
      <c r="V276" s="601"/>
      <c r="W276" s="601"/>
      <c r="X276" s="601"/>
      <c r="Y276" s="601"/>
      <c r="Z276" s="601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02">
        <v>4680115880818</v>
      </c>
      <c r="E277" s="602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4"/>
      <c r="R277" s="604"/>
      <c r="S277" s="604"/>
      <c r="T277" s="605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customHeight="1" x14ac:dyDescent="0.25">
      <c r="A278" s="60" t="s">
        <v>470</v>
      </c>
      <c r="B278" s="60" t="s">
        <v>471</v>
      </c>
      <c r="C278" s="34">
        <v>4301060389</v>
      </c>
      <c r="D278" s="602">
        <v>4680115880801</v>
      </c>
      <c r="E278" s="60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4"/>
      <c r="R278" s="604"/>
      <c r="S278" s="604"/>
      <c r="T278" s="605"/>
      <c r="U278" s="37" t="s">
        <v>46</v>
      </c>
      <c r="V278" s="37" t="s">
        <v>46</v>
      </c>
      <c r="W278" s="38" t="s">
        <v>0</v>
      </c>
      <c r="X278" s="56">
        <v>140</v>
      </c>
      <c r="Y278" s="53">
        <f>IFERROR(IF(X278="",0,CEILING((X278/$H278),1)*$H278),"")</f>
        <v>141.6</v>
      </c>
      <c r="Z278" s="39">
        <f>IFERROR(IF(Y278=0,"",ROUNDUP(Y278/H278,0)*0.00651),"")</f>
        <v>0.38408999999999999</v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154.70000000000002</v>
      </c>
      <c r="BN278" s="75">
        <f>IFERROR(Y278*I278/H278,"0")</f>
        <v>156.46800000000002</v>
      </c>
      <c r="BO278" s="75">
        <f>IFERROR(1/J278*(X278/H278),"0")</f>
        <v>0.32051282051282054</v>
      </c>
      <c r="BP278" s="75">
        <f>IFERROR(1/J278*(Y278/H278),"0")</f>
        <v>0.32417582417582419</v>
      </c>
    </row>
    <row r="279" spans="1:68" x14ac:dyDescent="0.2">
      <c r="A279" s="609"/>
      <c r="B279" s="609"/>
      <c r="C279" s="609"/>
      <c r="D279" s="609"/>
      <c r="E279" s="609"/>
      <c r="F279" s="609"/>
      <c r="G279" s="609"/>
      <c r="H279" s="609"/>
      <c r="I279" s="609"/>
      <c r="J279" s="609"/>
      <c r="K279" s="609"/>
      <c r="L279" s="609"/>
      <c r="M279" s="609"/>
      <c r="N279" s="609"/>
      <c r="O279" s="610"/>
      <c r="P279" s="606" t="s">
        <v>40</v>
      </c>
      <c r="Q279" s="607"/>
      <c r="R279" s="607"/>
      <c r="S279" s="607"/>
      <c r="T279" s="607"/>
      <c r="U279" s="607"/>
      <c r="V279" s="608"/>
      <c r="W279" s="40" t="s">
        <v>39</v>
      </c>
      <c r="X279" s="41">
        <f>IFERROR(X277/H277,"0")+IFERROR(X278/H278,"0")</f>
        <v>58.333333333333336</v>
      </c>
      <c r="Y279" s="41">
        <f>IFERROR(Y277/H277,"0")+IFERROR(Y278/H278,"0")</f>
        <v>59</v>
      </c>
      <c r="Z279" s="41">
        <f>IFERROR(IF(Z277="",0,Z277),"0")+IFERROR(IF(Z278="",0,Z278),"0")</f>
        <v>0.38408999999999999</v>
      </c>
      <c r="AA279" s="64"/>
      <c r="AB279" s="64"/>
      <c r="AC279" s="64"/>
    </row>
    <row r="280" spans="1:68" x14ac:dyDescent="0.2">
      <c r="A280" s="609"/>
      <c r="B280" s="609"/>
      <c r="C280" s="609"/>
      <c r="D280" s="609"/>
      <c r="E280" s="609"/>
      <c r="F280" s="609"/>
      <c r="G280" s="609"/>
      <c r="H280" s="609"/>
      <c r="I280" s="609"/>
      <c r="J280" s="609"/>
      <c r="K280" s="609"/>
      <c r="L280" s="609"/>
      <c r="M280" s="609"/>
      <c r="N280" s="609"/>
      <c r="O280" s="610"/>
      <c r="P280" s="606" t="s">
        <v>40</v>
      </c>
      <c r="Q280" s="607"/>
      <c r="R280" s="607"/>
      <c r="S280" s="607"/>
      <c r="T280" s="607"/>
      <c r="U280" s="607"/>
      <c r="V280" s="608"/>
      <c r="W280" s="40" t="s">
        <v>0</v>
      </c>
      <c r="X280" s="41">
        <f>IFERROR(SUM(X277:X278),"0")</f>
        <v>140</v>
      </c>
      <c r="Y280" s="41">
        <f>IFERROR(SUM(Y277:Y278),"0")</f>
        <v>141.6</v>
      </c>
      <c r="Z280" s="40"/>
      <c r="AA280" s="64"/>
      <c r="AB280" s="64"/>
      <c r="AC280" s="64"/>
    </row>
    <row r="281" spans="1:68" ht="16.5" hidden="1" customHeight="1" x14ac:dyDescent="0.25">
      <c r="A281" s="617" t="s">
        <v>473</v>
      </c>
      <c r="B281" s="617"/>
      <c r="C281" s="617"/>
      <c r="D281" s="617"/>
      <c r="E281" s="617"/>
      <c r="F281" s="617"/>
      <c r="G281" s="617"/>
      <c r="H281" s="617"/>
      <c r="I281" s="617"/>
      <c r="J281" s="617"/>
      <c r="K281" s="617"/>
      <c r="L281" s="617"/>
      <c r="M281" s="617"/>
      <c r="N281" s="617"/>
      <c r="O281" s="617"/>
      <c r="P281" s="617"/>
      <c r="Q281" s="617"/>
      <c r="R281" s="617"/>
      <c r="S281" s="617"/>
      <c r="T281" s="617"/>
      <c r="U281" s="617"/>
      <c r="V281" s="617"/>
      <c r="W281" s="617"/>
      <c r="X281" s="617"/>
      <c r="Y281" s="617"/>
      <c r="Z281" s="617"/>
      <c r="AA281" s="62"/>
      <c r="AB281" s="62"/>
      <c r="AC281" s="62"/>
    </row>
    <row r="282" spans="1:68" ht="14.25" hidden="1" customHeight="1" x14ac:dyDescent="0.25">
      <c r="A282" s="601" t="s">
        <v>128</v>
      </c>
      <c r="B282" s="601"/>
      <c r="C282" s="601"/>
      <c r="D282" s="601"/>
      <c r="E282" s="601"/>
      <c r="F282" s="601"/>
      <c r="G282" s="601"/>
      <c r="H282" s="601"/>
      <c r="I282" s="601"/>
      <c r="J282" s="601"/>
      <c r="K282" s="601"/>
      <c r="L282" s="601"/>
      <c r="M282" s="601"/>
      <c r="N282" s="601"/>
      <c r="O282" s="601"/>
      <c r="P282" s="601"/>
      <c r="Q282" s="601"/>
      <c r="R282" s="601"/>
      <c r="S282" s="601"/>
      <c r="T282" s="601"/>
      <c r="U282" s="601"/>
      <c r="V282" s="601"/>
      <c r="W282" s="601"/>
      <c r="X282" s="601"/>
      <c r="Y282" s="601"/>
      <c r="Z282" s="601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02">
        <v>4680115884137</v>
      </c>
      <c r="E283" s="602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73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4"/>
      <c r="R283" s="604"/>
      <c r="S283" s="604"/>
      <c r="T283" s="605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02">
        <v>4680115884236</v>
      </c>
      <c r="E284" s="602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7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4"/>
      <c r="R284" s="604"/>
      <c r="S284" s="604"/>
      <c r="T284" s="605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02">
        <v>4680115884175</v>
      </c>
      <c r="E285" s="602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73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4"/>
      <c r="R285" s="604"/>
      <c r="S285" s="604"/>
      <c r="T285" s="605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customHeight="1" x14ac:dyDescent="0.25">
      <c r="A286" s="60" t="s">
        <v>482</v>
      </c>
      <c r="B286" s="60" t="s">
        <v>483</v>
      </c>
      <c r="C286" s="34">
        <v>4301011824</v>
      </c>
      <c r="D286" s="602">
        <v>4680115884144</v>
      </c>
      <c r="E286" s="602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73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4"/>
      <c r="R286" s="604"/>
      <c r="S286" s="604"/>
      <c r="T286" s="605"/>
      <c r="U286" s="37" t="s">
        <v>46</v>
      </c>
      <c r="V286" s="37" t="s">
        <v>46</v>
      </c>
      <c r="W286" s="38" t="s">
        <v>0</v>
      </c>
      <c r="X286" s="56">
        <v>24</v>
      </c>
      <c r="Y286" s="53">
        <f t="shared" si="42"/>
        <v>24</v>
      </c>
      <c r="Z286" s="39">
        <f>IFERROR(IF(Y286=0,"",ROUNDUP(Y286/H286,0)*0.00902),"")</f>
        <v>5.4120000000000001E-2</v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25.14</v>
      </c>
      <c r="BN286" s="75">
        <f t="shared" si="44"/>
        <v>25.14</v>
      </c>
      <c r="BO286" s="75">
        <f t="shared" si="45"/>
        <v>4.5454545454545456E-2</v>
      </c>
      <c r="BP286" s="75">
        <f t="shared" si="46"/>
        <v>4.5454545454545456E-2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02">
        <v>4680115886551</v>
      </c>
      <c r="E287" s="602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4"/>
      <c r="R287" s="604"/>
      <c r="S287" s="604"/>
      <c r="T287" s="605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02">
        <v>4680115887282</v>
      </c>
      <c r="E288" s="602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4"/>
      <c r="R288" s="604"/>
      <c r="S288" s="604"/>
      <c r="T288" s="605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customHeight="1" x14ac:dyDescent="0.25">
      <c r="A289" s="60" t="s">
        <v>490</v>
      </c>
      <c r="B289" s="60" t="s">
        <v>491</v>
      </c>
      <c r="C289" s="34">
        <v>4301011722</v>
      </c>
      <c r="D289" s="602">
        <v>4680115884205</v>
      </c>
      <c r="E289" s="602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4"/>
      <c r="R289" s="604"/>
      <c r="S289" s="604"/>
      <c r="T289" s="605"/>
      <c r="U289" s="37" t="s">
        <v>46</v>
      </c>
      <c r="V289" s="37" t="s">
        <v>46</v>
      </c>
      <c r="W289" s="38" t="s">
        <v>0</v>
      </c>
      <c r="X289" s="56">
        <v>80</v>
      </c>
      <c r="Y289" s="53">
        <f t="shared" si="42"/>
        <v>80</v>
      </c>
      <c r="Z289" s="39">
        <f>IFERROR(IF(Y289=0,"",ROUNDUP(Y289/H289,0)*0.00902),"")</f>
        <v>0.1804</v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83.800000000000011</v>
      </c>
      <c r="BN289" s="75">
        <f t="shared" si="44"/>
        <v>83.800000000000011</v>
      </c>
      <c r="BO289" s="75">
        <f t="shared" si="45"/>
        <v>0.15151515151515152</v>
      </c>
      <c r="BP289" s="75">
        <f t="shared" si="46"/>
        <v>0.15151515151515152</v>
      </c>
    </row>
    <row r="290" spans="1:68" x14ac:dyDescent="0.2">
      <c r="A290" s="609"/>
      <c r="B290" s="609"/>
      <c r="C290" s="609"/>
      <c r="D290" s="609"/>
      <c r="E290" s="609"/>
      <c r="F290" s="609"/>
      <c r="G290" s="609"/>
      <c r="H290" s="609"/>
      <c r="I290" s="609"/>
      <c r="J290" s="609"/>
      <c r="K290" s="609"/>
      <c r="L290" s="609"/>
      <c r="M290" s="609"/>
      <c r="N290" s="609"/>
      <c r="O290" s="610"/>
      <c r="P290" s="606" t="s">
        <v>40</v>
      </c>
      <c r="Q290" s="607"/>
      <c r="R290" s="607"/>
      <c r="S290" s="607"/>
      <c r="T290" s="607"/>
      <c r="U290" s="607"/>
      <c r="V290" s="608"/>
      <c r="W290" s="40" t="s">
        <v>39</v>
      </c>
      <c r="X290" s="41">
        <f>IFERROR(X283/H283,"0")+IFERROR(X284/H284,"0")+IFERROR(X285/H285,"0")+IFERROR(X286/H286,"0")+IFERROR(X287/H287,"0")+IFERROR(X288/H288,"0")+IFERROR(X289/H289,"0")</f>
        <v>26</v>
      </c>
      <c r="Y290" s="41">
        <f>IFERROR(Y283/H283,"0")+IFERROR(Y284/H284,"0")+IFERROR(Y285/H285,"0")+IFERROR(Y286/H286,"0")+IFERROR(Y287/H287,"0")+IFERROR(Y288/H288,"0")+IFERROR(Y289/H289,"0")</f>
        <v>26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0.23452000000000001</v>
      </c>
      <c r="AA290" s="64"/>
      <c r="AB290" s="64"/>
      <c r="AC290" s="64"/>
    </row>
    <row r="291" spans="1:68" x14ac:dyDescent="0.2">
      <c r="A291" s="609"/>
      <c r="B291" s="609"/>
      <c r="C291" s="609"/>
      <c r="D291" s="609"/>
      <c r="E291" s="609"/>
      <c r="F291" s="609"/>
      <c r="G291" s="609"/>
      <c r="H291" s="609"/>
      <c r="I291" s="609"/>
      <c r="J291" s="609"/>
      <c r="K291" s="609"/>
      <c r="L291" s="609"/>
      <c r="M291" s="609"/>
      <c r="N291" s="609"/>
      <c r="O291" s="610"/>
      <c r="P291" s="606" t="s">
        <v>40</v>
      </c>
      <c r="Q291" s="607"/>
      <c r="R291" s="607"/>
      <c r="S291" s="607"/>
      <c r="T291" s="607"/>
      <c r="U291" s="607"/>
      <c r="V291" s="608"/>
      <c r="W291" s="40" t="s">
        <v>0</v>
      </c>
      <c r="X291" s="41">
        <f>IFERROR(SUM(X283:X289),"0")</f>
        <v>104</v>
      </c>
      <c r="Y291" s="41">
        <f>IFERROR(SUM(Y283:Y289),"0")</f>
        <v>104</v>
      </c>
      <c r="Z291" s="40"/>
      <c r="AA291" s="64"/>
      <c r="AB291" s="64"/>
      <c r="AC291" s="64"/>
    </row>
    <row r="292" spans="1:68" ht="14.25" hidden="1" customHeight="1" x14ac:dyDescent="0.25">
      <c r="A292" s="601" t="s">
        <v>163</v>
      </c>
      <c r="B292" s="601"/>
      <c r="C292" s="601"/>
      <c r="D292" s="601"/>
      <c r="E292" s="601"/>
      <c r="F292" s="601"/>
      <c r="G292" s="601"/>
      <c r="H292" s="601"/>
      <c r="I292" s="601"/>
      <c r="J292" s="601"/>
      <c r="K292" s="601"/>
      <c r="L292" s="601"/>
      <c r="M292" s="601"/>
      <c r="N292" s="601"/>
      <c r="O292" s="601"/>
      <c r="P292" s="601"/>
      <c r="Q292" s="601"/>
      <c r="R292" s="601"/>
      <c r="S292" s="601"/>
      <c r="T292" s="601"/>
      <c r="U292" s="601"/>
      <c r="V292" s="601"/>
      <c r="W292" s="601"/>
      <c r="X292" s="601"/>
      <c r="Y292" s="601"/>
      <c r="Z292" s="601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02">
        <v>4680115885981</v>
      </c>
      <c r="E293" s="602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7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4"/>
      <c r="R293" s="604"/>
      <c r="S293" s="604"/>
      <c r="T293" s="605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09"/>
      <c r="B294" s="609"/>
      <c r="C294" s="609"/>
      <c r="D294" s="609"/>
      <c r="E294" s="609"/>
      <c r="F294" s="609"/>
      <c r="G294" s="609"/>
      <c r="H294" s="609"/>
      <c r="I294" s="609"/>
      <c r="J294" s="609"/>
      <c r="K294" s="609"/>
      <c r="L294" s="609"/>
      <c r="M294" s="609"/>
      <c r="N294" s="609"/>
      <c r="O294" s="610"/>
      <c r="P294" s="606" t="s">
        <v>40</v>
      </c>
      <c r="Q294" s="607"/>
      <c r="R294" s="607"/>
      <c r="S294" s="607"/>
      <c r="T294" s="607"/>
      <c r="U294" s="607"/>
      <c r="V294" s="608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09"/>
      <c r="B295" s="609"/>
      <c r="C295" s="609"/>
      <c r="D295" s="609"/>
      <c r="E295" s="609"/>
      <c r="F295" s="609"/>
      <c r="G295" s="609"/>
      <c r="H295" s="609"/>
      <c r="I295" s="609"/>
      <c r="J295" s="609"/>
      <c r="K295" s="609"/>
      <c r="L295" s="609"/>
      <c r="M295" s="609"/>
      <c r="N295" s="609"/>
      <c r="O295" s="610"/>
      <c r="P295" s="606" t="s">
        <v>40</v>
      </c>
      <c r="Q295" s="607"/>
      <c r="R295" s="607"/>
      <c r="S295" s="607"/>
      <c r="T295" s="607"/>
      <c r="U295" s="607"/>
      <c r="V295" s="608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01" t="s">
        <v>495</v>
      </c>
      <c r="B296" s="601"/>
      <c r="C296" s="601"/>
      <c r="D296" s="601"/>
      <c r="E296" s="601"/>
      <c r="F296" s="601"/>
      <c r="G296" s="601"/>
      <c r="H296" s="601"/>
      <c r="I296" s="601"/>
      <c r="J296" s="601"/>
      <c r="K296" s="601"/>
      <c r="L296" s="601"/>
      <c r="M296" s="601"/>
      <c r="N296" s="601"/>
      <c r="O296" s="601"/>
      <c r="P296" s="601"/>
      <c r="Q296" s="601"/>
      <c r="R296" s="601"/>
      <c r="S296" s="601"/>
      <c r="T296" s="601"/>
      <c r="U296" s="601"/>
      <c r="V296" s="601"/>
      <c r="W296" s="601"/>
      <c r="X296" s="601"/>
      <c r="Y296" s="601"/>
      <c r="Z296" s="601"/>
      <c r="AA296" s="63"/>
      <c r="AB296" s="63"/>
      <c r="AC296" s="63"/>
    </row>
    <row r="297" spans="1:68" ht="27" customHeight="1" x14ac:dyDescent="0.25">
      <c r="A297" s="60" t="s">
        <v>496</v>
      </c>
      <c r="B297" s="60" t="s">
        <v>497</v>
      </c>
      <c r="C297" s="34">
        <v>4301040362</v>
      </c>
      <c r="D297" s="602">
        <v>4680115886803</v>
      </c>
      <c r="E297" s="602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72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4"/>
      <c r="R297" s="604"/>
      <c r="S297" s="604"/>
      <c r="T297" s="605"/>
      <c r="U297" s="37" t="s">
        <v>46</v>
      </c>
      <c r="V297" s="37" t="s">
        <v>46</v>
      </c>
      <c r="W297" s="38" t="s">
        <v>0</v>
      </c>
      <c r="X297" s="56">
        <v>3.5999999999999996</v>
      </c>
      <c r="Y297" s="53">
        <f>IFERROR(IF(X297="",0,CEILING((X297/$H297),1)*$H297),"")</f>
        <v>3.6</v>
      </c>
      <c r="Z297" s="39">
        <f>IFERROR(IF(Y297=0,"",ROUNDUP(Y297/H297,0)*0.0059),"")</f>
        <v>1.18E-2</v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3.9499999999999997</v>
      </c>
      <c r="BN297" s="75">
        <f>IFERROR(Y297*I297/H297,"0")</f>
        <v>3.95</v>
      </c>
      <c r="BO297" s="75">
        <f>IFERROR(1/J297*(X297/H297),"0")</f>
        <v>9.259259259259257E-3</v>
      </c>
      <c r="BP297" s="75">
        <f>IFERROR(1/J297*(Y297/H297),"0")</f>
        <v>9.2592592592592587E-3</v>
      </c>
    </row>
    <row r="298" spans="1:68" x14ac:dyDescent="0.2">
      <c r="A298" s="609"/>
      <c r="B298" s="609"/>
      <c r="C298" s="609"/>
      <c r="D298" s="609"/>
      <c r="E298" s="609"/>
      <c r="F298" s="609"/>
      <c r="G298" s="609"/>
      <c r="H298" s="609"/>
      <c r="I298" s="609"/>
      <c r="J298" s="609"/>
      <c r="K298" s="609"/>
      <c r="L298" s="609"/>
      <c r="M298" s="609"/>
      <c r="N298" s="609"/>
      <c r="O298" s="610"/>
      <c r="P298" s="606" t="s">
        <v>40</v>
      </c>
      <c r="Q298" s="607"/>
      <c r="R298" s="607"/>
      <c r="S298" s="607"/>
      <c r="T298" s="607"/>
      <c r="U298" s="607"/>
      <c r="V298" s="608"/>
      <c r="W298" s="40" t="s">
        <v>39</v>
      </c>
      <c r="X298" s="41">
        <f>IFERROR(X297/H297,"0")</f>
        <v>1.9999999999999998</v>
      </c>
      <c r="Y298" s="41">
        <f>IFERROR(Y297/H297,"0")</f>
        <v>2</v>
      </c>
      <c r="Z298" s="41">
        <f>IFERROR(IF(Z297="",0,Z297),"0")</f>
        <v>1.18E-2</v>
      </c>
      <c r="AA298" s="64"/>
      <c r="AB298" s="64"/>
      <c r="AC298" s="64"/>
    </row>
    <row r="299" spans="1:68" x14ac:dyDescent="0.2">
      <c r="A299" s="609"/>
      <c r="B299" s="609"/>
      <c r="C299" s="609"/>
      <c r="D299" s="609"/>
      <c r="E299" s="609"/>
      <c r="F299" s="609"/>
      <c r="G299" s="609"/>
      <c r="H299" s="609"/>
      <c r="I299" s="609"/>
      <c r="J299" s="609"/>
      <c r="K299" s="609"/>
      <c r="L299" s="609"/>
      <c r="M299" s="609"/>
      <c r="N299" s="609"/>
      <c r="O299" s="610"/>
      <c r="P299" s="606" t="s">
        <v>40</v>
      </c>
      <c r="Q299" s="607"/>
      <c r="R299" s="607"/>
      <c r="S299" s="607"/>
      <c r="T299" s="607"/>
      <c r="U299" s="607"/>
      <c r="V299" s="608"/>
      <c r="W299" s="40" t="s">
        <v>0</v>
      </c>
      <c r="X299" s="41">
        <f>IFERROR(SUM(X297:X297),"0")</f>
        <v>3.5999999999999996</v>
      </c>
      <c r="Y299" s="41">
        <f>IFERROR(SUM(Y297:Y297),"0")</f>
        <v>3.6</v>
      </c>
      <c r="Z299" s="40"/>
      <c r="AA299" s="64"/>
      <c r="AB299" s="64"/>
      <c r="AC299" s="64"/>
    </row>
    <row r="300" spans="1:68" ht="14.25" hidden="1" customHeight="1" x14ac:dyDescent="0.25">
      <c r="A300" s="601" t="s">
        <v>329</v>
      </c>
      <c r="B300" s="601"/>
      <c r="C300" s="601"/>
      <c r="D300" s="601"/>
      <c r="E300" s="601"/>
      <c r="F300" s="601"/>
      <c r="G300" s="601"/>
      <c r="H300" s="601"/>
      <c r="I300" s="601"/>
      <c r="J300" s="601"/>
      <c r="K300" s="601"/>
      <c r="L300" s="601"/>
      <c r="M300" s="601"/>
      <c r="N300" s="601"/>
      <c r="O300" s="601"/>
      <c r="P300" s="601"/>
      <c r="Q300" s="601"/>
      <c r="R300" s="601"/>
      <c r="S300" s="601"/>
      <c r="T300" s="601"/>
      <c r="U300" s="601"/>
      <c r="V300" s="601"/>
      <c r="W300" s="601"/>
      <c r="X300" s="601"/>
      <c r="Y300" s="601"/>
      <c r="Z300" s="601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02">
        <v>4680115886704</v>
      </c>
      <c r="E301" s="602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4"/>
      <c r="R301" s="604"/>
      <c r="S301" s="604"/>
      <c r="T301" s="60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502</v>
      </c>
      <c r="B302" s="60" t="s">
        <v>503</v>
      </c>
      <c r="C302" s="34">
        <v>4301041008</v>
      </c>
      <c r="D302" s="602">
        <v>4680115886681</v>
      </c>
      <c r="E302" s="602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72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4"/>
      <c r="R302" s="604"/>
      <c r="S302" s="604"/>
      <c r="T302" s="605"/>
      <c r="U302" s="37" t="s">
        <v>46</v>
      </c>
      <c r="V302" s="37" t="s">
        <v>46</v>
      </c>
      <c r="W302" s="38" t="s">
        <v>0</v>
      </c>
      <c r="X302" s="56">
        <v>12</v>
      </c>
      <c r="Y302" s="53">
        <f>IFERROR(IF(X302="",0,CEILING((X302/$H302),1)*$H302),"")</f>
        <v>12.6</v>
      </c>
      <c r="Z302" s="39">
        <f>IFERROR(IF(Y302=0,"",ROUNDUP(Y302/H302,0)*0.0059),"")</f>
        <v>4.1299999999999996E-2</v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13.166666666666668</v>
      </c>
      <c r="BN302" s="75">
        <f>IFERROR(Y302*I302/H302,"0")</f>
        <v>13.825000000000001</v>
      </c>
      <c r="BO302" s="75">
        <f>IFERROR(1/J302*(X302/H302),"0")</f>
        <v>3.0864197530864192E-2</v>
      </c>
      <c r="BP302" s="75">
        <f>IFERROR(1/J302*(Y302/H302),"0")</f>
        <v>3.2407407407407406E-2</v>
      </c>
    </row>
    <row r="303" spans="1:68" ht="27" customHeight="1" x14ac:dyDescent="0.25">
      <c r="A303" s="60" t="s">
        <v>504</v>
      </c>
      <c r="B303" s="60" t="s">
        <v>505</v>
      </c>
      <c r="C303" s="34">
        <v>4301041007</v>
      </c>
      <c r="D303" s="602">
        <v>4680115886735</v>
      </c>
      <c r="E303" s="602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72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4"/>
      <c r="R303" s="604"/>
      <c r="S303" s="604"/>
      <c r="T303" s="605"/>
      <c r="U303" s="37" t="s">
        <v>46</v>
      </c>
      <c r="V303" s="37" t="s">
        <v>46</v>
      </c>
      <c r="W303" s="38" t="s">
        <v>0</v>
      </c>
      <c r="X303" s="56">
        <v>4</v>
      </c>
      <c r="Y303" s="53">
        <f>IFERROR(IF(X303="",0,CEILING((X303/$H303),1)*$H303),"")</f>
        <v>4.5</v>
      </c>
      <c r="Z303" s="39">
        <f>IFERROR(IF(Y303=0,"",ROUNDUP(Y303/H303,0)*0.0059),"")</f>
        <v>2.9499999999999998E-2</v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4.844444444444445</v>
      </c>
      <c r="BN303" s="75">
        <f>IFERROR(Y303*I303/H303,"0")</f>
        <v>5.45</v>
      </c>
      <c r="BO303" s="75">
        <f>IFERROR(1/J303*(X303/H303),"0")</f>
        <v>2.0576131687242798E-2</v>
      </c>
      <c r="BP303" s="75">
        <f>IFERROR(1/J303*(Y303/H303),"0")</f>
        <v>2.3148148148148147E-2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02">
        <v>4680115886711</v>
      </c>
      <c r="E304" s="602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72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4"/>
      <c r="R304" s="604"/>
      <c r="S304" s="604"/>
      <c r="T304" s="605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09"/>
      <c r="B305" s="609"/>
      <c r="C305" s="609"/>
      <c r="D305" s="609"/>
      <c r="E305" s="609"/>
      <c r="F305" s="609"/>
      <c r="G305" s="609"/>
      <c r="H305" s="609"/>
      <c r="I305" s="609"/>
      <c r="J305" s="609"/>
      <c r="K305" s="609"/>
      <c r="L305" s="609"/>
      <c r="M305" s="609"/>
      <c r="N305" s="609"/>
      <c r="O305" s="610"/>
      <c r="P305" s="606" t="s">
        <v>40</v>
      </c>
      <c r="Q305" s="607"/>
      <c r="R305" s="607"/>
      <c r="S305" s="607"/>
      <c r="T305" s="607"/>
      <c r="U305" s="607"/>
      <c r="V305" s="608"/>
      <c r="W305" s="40" t="s">
        <v>39</v>
      </c>
      <c r="X305" s="41">
        <f>IFERROR(X301/H301,"0")+IFERROR(X302/H302,"0")+IFERROR(X303/H303,"0")+IFERROR(X304/H304,"0")</f>
        <v>11.111111111111111</v>
      </c>
      <c r="Y305" s="41">
        <f>IFERROR(Y301/H301,"0")+IFERROR(Y302/H302,"0")+IFERROR(Y303/H303,"0")+IFERROR(Y304/H304,"0")</f>
        <v>12</v>
      </c>
      <c r="Z305" s="41">
        <f>IFERROR(IF(Z301="",0,Z301),"0")+IFERROR(IF(Z302="",0,Z302),"0")+IFERROR(IF(Z303="",0,Z303),"0")+IFERROR(IF(Z304="",0,Z304),"0")</f>
        <v>7.0800000000000002E-2</v>
      </c>
      <c r="AA305" s="64"/>
      <c r="AB305" s="64"/>
      <c r="AC305" s="64"/>
    </row>
    <row r="306" spans="1:68" x14ac:dyDescent="0.2">
      <c r="A306" s="609"/>
      <c r="B306" s="609"/>
      <c r="C306" s="609"/>
      <c r="D306" s="609"/>
      <c r="E306" s="609"/>
      <c r="F306" s="609"/>
      <c r="G306" s="609"/>
      <c r="H306" s="609"/>
      <c r="I306" s="609"/>
      <c r="J306" s="609"/>
      <c r="K306" s="609"/>
      <c r="L306" s="609"/>
      <c r="M306" s="609"/>
      <c r="N306" s="609"/>
      <c r="O306" s="610"/>
      <c r="P306" s="606" t="s">
        <v>40</v>
      </c>
      <c r="Q306" s="607"/>
      <c r="R306" s="607"/>
      <c r="S306" s="607"/>
      <c r="T306" s="607"/>
      <c r="U306" s="607"/>
      <c r="V306" s="608"/>
      <c r="W306" s="40" t="s">
        <v>0</v>
      </c>
      <c r="X306" s="41">
        <f>IFERROR(SUM(X301:X304),"0")</f>
        <v>16</v>
      </c>
      <c r="Y306" s="41">
        <f>IFERROR(SUM(Y301:Y304),"0")</f>
        <v>17.100000000000001</v>
      </c>
      <c r="Z306" s="40"/>
      <c r="AA306" s="64"/>
      <c r="AB306" s="64"/>
      <c r="AC306" s="64"/>
    </row>
    <row r="307" spans="1:68" ht="16.5" hidden="1" customHeight="1" x14ac:dyDescent="0.25">
      <c r="A307" s="617" t="s">
        <v>509</v>
      </c>
      <c r="B307" s="617"/>
      <c r="C307" s="617"/>
      <c r="D307" s="617"/>
      <c r="E307" s="617"/>
      <c r="F307" s="617"/>
      <c r="G307" s="617"/>
      <c r="H307" s="617"/>
      <c r="I307" s="617"/>
      <c r="J307" s="617"/>
      <c r="K307" s="617"/>
      <c r="L307" s="617"/>
      <c r="M307" s="617"/>
      <c r="N307" s="617"/>
      <c r="O307" s="617"/>
      <c r="P307" s="617"/>
      <c r="Q307" s="617"/>
      <c r="R307" s="617"/>
      <c r="S307" s="617"/>
      <c r="T307" s="617"/>
      <c r="U307" s="617"/>
      <c r="V307" s="617"/>
      <c r="W307" s="617"/>
      <c r="X307" s="617"/>
      <c r="Y307" s="617"/>
      <c r="Z307" s="617"/>
      <c r="AA307" s="62"/>
      <c r="AB307" s="62"/>
      <c r="AC307" s="62"/>
    </row>
    <row r="308" spans="1:68" ht="14.25" hidden="1" customHeight="1" x14ac:dyDescent="0.25">
      <c r="A308" s="601" t="s">
        <v>128</v>
      </c>
      <c r="B308" s="601"/>
      <c r="C308" s="601"/>
      <c r="D308" s="601"/>
      <c r="E308" s="601"/>
      <c r="F308" s="601"/>
      <c r="G308" s="601"/>
      <c r="H308" s="601"/>
      <c r="I308" s="601"/>
      <c r="J308" s="601"/>
      <c r="K308" s="601"/>
      <c r="L308" s="601"/>
      <c r="M308" s="601"/>
      <c r="N308" s="601"/>
      <c r="O308" s="601"/>
      <c r="P308" s="601"/>
      <c r="Q308" s="601"/>
      <c r="R308" s="601"/>
      <c r="S308" s="601"/>
      <c r="T308" s="601"/>
      <c r="U308" s="601"/>
      <c r="V308" s="601"/>
      <c r="W308" s="601"/>
      <c r="X308" s="601"/>
      <c r="Y308" s="601"/>
      <c r="Z308" s="601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02">
        <v>4680115885837</v>
      </c>
      <c r="E309" s="602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7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4"/>
      <c r="R309" s="604"/>
      <c r="S309" s="604"/>
      <c r="T309" s="60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02">
        <v>4680115887237</v>
      </c>
      <c r="E310" s="602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7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4"/>
      <c r="R310" s="604"/>
      <c r="S310" s="604"/>
      <c r="T310" s="60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02">
        <v>4680115885806</v>
      </c>
      <c r="E311" s="602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7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4"/>
      <c r="R311" s="604"/>
      <c r="S311" s="604"/>
      <c r="T311" s="60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02">
        <v>4680115885844</v>
      </c>
      <c r="E312" s="602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7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4"/>
      <c r="R312" s="604"/>
      <c r="S312" s="604"/>
      <c r="T312" s="605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02">
        <v>4680115885820</v>
      </c>
      <c r="E313" s="602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7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4"/>
      <c r="R313" s="604"/>
      <c r="S313" s="604"/>
      <c r="T313" s="605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09"/>
      <c r="B314" s="609"/>
      <c r="C314" s="609"/>
      <c r="D314" s="609"/>
      <c r="E314" s="609"/>
      <c r="F314" s="609"/>
      <c r="G314" s="609"/>
      <c r="H314" s="609"/>
      <c r="I314" s="609"/>
      <c r="J314" s="609"/>
      <c r="K314" s="609"/>
      <c r="L314" s="609"/>
      <c r="M314" s="609"/>
      <c r="N314" s="609"/>
      <c r="O314" s="610"/>
      <c r="P314" s="606" t="s">
        <v>40</v>
      </c>
      <c r="Q314" s="607"/>
      <c r="R314" s="607"/>
      <c r="S314" s="607"/>
      <c r="T314" s="607"/>
      <c r="U314" s="607"/>
      <c r="V314" s="608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09"/>
      <c r="B315" s="609"/>
      <c r="C315" s="609"/>
      <c r="D315" s="609"/>
      <c r="E315" s="609"/>
      <c r="F315" s="609"/>
      <c r="G315" s="609"/>
      <c r="H315" s="609"/>
      <c r="I315" s="609"/>
      <c r="J315" s="609"/>
      <c r="K315" s="609"/>
      <c r="L315" s="609"/>
      <c r="M315" s="609"/>
      <c r="N315" s="609"/>
      <c r="O315" s="610"/>
      <c r="P315" s="606" t="s">
        <v>40</v>
      </c>
      <c r="Q315" s="607"/>
      <c r="R315" s="607"/>
      <c r="S315" s="607"/>
      <c r="T315" s="607"/>
      <c r="U315" s="607"/>
      <c r="V315" s="608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17" t="s">
        <v>525</v>
      </c>
      <c r="B316" s="617"/>
      <c r="C316" s="617"/>
      <c r="D316" s="617"/>
      <c r="E316" s="617"/>
      <c r="F316" s="617"/>
      <c r="G316" s="617"/>
      <c r="H316" s="617"/>
      <c r="I316" s="617"/>
      <c r="J316" s="617"/>
      <c r="K316" s="617"/>
      <c r="L316" s="617"/>
      <c r="M316" s="617"/>
      <c r="N316" s="617"/>
      <c r="O316" s="617"/>
      <c r="P316" s="617"/>
      <c r="Q316" s="617"/>
      <c r="R316" s="617"/>
      <c r="S316" s="617"/>
      <c r="T316" s="617"/>
      <c r="U316" s="617"/>
      <c r="V316" s="617"/>
      <c r="W316" s="617"/>
      <c r="X316" s="617"/>
      <c r="Y316" s="617"/>
      <c r="Z316" s="617"/>
      <c r="AA316" s="62"/>
      <c r="AB316" s="62"/>
      <c r="AC316" s="62"/>
    </row>
    <row r="317" spans="1:68" ht="14.25" hidden="1" customHeight="1" x14ac:dyDescent="0.25">
      <c r="A317" s="601" t="s">
        <v>86</v>
      </c>
      <c r="B317" s="601"/>
      <c r="C317" s="601"/>
      <c r="D317" s="601"/>
      <c r="E317" s="601"/>
      <c r="F317" s="601"/>
      <c r="G317" s="601"/>
      <c r="H317" s="601"/>
      <c r="I317" s="601"/>
      <c r="J317" s="601"/>
      <c r="K317" s="601"/>
      <c r="L317" s="601"/>
      <c r="M317" s="601"/>
      <c r="N317" s="601"/>
      <c r="O317" s="601"/>
      <c r="P317" s="601"/>
      <c r="Q317" s="601"/>
      <c r="R317" s="601"/>
      <c r="S317" s="601"/>
      <c r="T317" s="601"/>
      <c r="U317" s="601"/>
      <c r="V317" s="601"/>
      <c r="W317" s="601"/>
      <c r="X317" s="601"/>
      <c r="Y317" s="601"/>
      <c r="Z317" s="601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02">
        <v>4680115886186</v>
      </c>
      <c r="E318" s="602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71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4"/>
      <c r="R318" s="604"/>
      <c r="S318" s="604"/>
      <c r="T318" s="60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529</v>
      </c>
      <c r="B319" s="60" t="s">
        <v>530</v>
      </c>
      <c r="C319" s="34">
        <v>4301051795</v>
      </c>
      <c r="D319" s="602">
        <v>4680115881228</v>
      </c>
      <c r="E319" s="602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7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4"/>
      <c r="R319" s="604"/>
      <c r="S319" s="604"/>
      <c r="T319" s="605"/>
      <c r="U319" s="37" t="s">
        <v>46</v>
      </c>
      <c r="V319" s="37" t="s">
        <v>46</v>
      </c>
      <c r="W319" s="38" t="s">
        <v>0</v>
      </c>
      <c r="X319" s="56">
        <v>40</v>
      </c>
      <c r="Y319" s="53">
        <f>IFERROR(IF(X319="",0,CEILING((X319/$H319),1)*$H319),"")</f>
        <v>40.799999999999997</v>
      </c>
      <c r="Z319" s="39">
        <f>IFERROR(IF(Y319=0,"",ROUNDUP(Y319/H319,0)*0.00651),"")</f>
        <v>0.11067</v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44.20000000000001</v>
      </c>
      <c r="BN319" s="75">
        <f>IFERROR(Y319*I319/H319,"0")</f>
        <v>45.084000000000003</v>
      </c>
      <c r="BO319" s="75">
        <f>IFERROR(1/J319*(X319/H319),"0")</f>
        <v>9.1575091575091583E-2</v>
      </c>
      <c r="BP319" s="75">
        <f>IFERROR(1/J319*(Y319/H319),"0")</f>
        <v>9.3406593406593408E-2</v>
      </c>
    </row>
    <row r="320" spans="1:68" ht="27" customHeight="1" x14ac:dyDescent="0.25">
      <c r="A320" s="60" t="s">
        <v>532</v>
      </c>
      <c r="B320" s="60" t="s">
        <v>533</v>
      </c>
      <c r="C320" s="34">
        <v>4301051388</v>
      </c>
      <c r="D320" s="602">
        <v>4680115881211</v>
      </c>
      <c r="E320" s="602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71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4"/>
      <c r="R320" s="604"/>
      <c r="S320" s="604"/>
      <c r="T320" s="605"/>
      <c r="U320" s="37" t="s">
        <v>46</v>
      </c>
      <c r="V320" s="37" t="s">
        <v>46</v>
      </c>
      <c r="W320" s="38" t="s">
        <v>0</v>
      </c>
      <c r="X320" s="56">
        <v>600</v>
      </c>
      <c r="Y320" s="53">
        <f>IFERROR(IF(X320="",0,CEILING((X320/$H320),1)*$H320),"")</f>
        <v>600</v>
      </c>
      <c r="Z320" s="39">
        <f>IFERROR(IF(Y320=0,"",ROUNDUP(Y320/H320,0)*0.00651),"")</f>
        <v>1.6274999999999999</v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645</v>
      </c>
      <c r="BN320" s="75">
        <f>IFERROR(Y320*I320/H320,"0")</f>
        <v>645</v>
      </c>
      <c r="BO320" s="75">
        <f>IFERROR(1/J320*(X320/H320),"0")</f>
        <v>1.3736263736263736</v>
      </c>
      <c r="BP320" s="75">
        <f>IFERROR(1/J320*(Y320/H320),"0")</f>
        <v>1.3736263736263736</v>
      </c>
    </row>
    <row r="321" spans="1:68" x14ac:dyDescent="0.2">
      <c r="A321" s="609"/>
      <c r="B321" s="609"/>
      <c r="C321" s="609"/>
      <c r="D321" s="609"/>
      <c r="E321" s="609"/>
      <c r="F321" s="609"/>
      <c r="G321" s="609"/>
      <c r="H321" s="609"/>
      <c r="I321" s="609"/>
      <c r="J321" s="609"/>
      <c r="K321" s="609"/>
      <c r="L321" s="609"/>
      <c r="M321" s="609"/>
      <c r="N321" s="609"/>
      <c r="O321" s="610"/>
      <c r="P321" s="606" t="s">
        <v>40</v>
      </c>
      <c r="Q321" s="607"/>
      <c r="R321" s="607"/>
      <c r="S321" s="607"/>
      <c r="T321" s="607"/>
      <c r="U321" s="607"/>
      <c r="V321" s="608"/>
      <c r="W321" s="40" t="s">
        <v>39</v>
      </c>
      <c r="X321" s="41">
        <f>IFERROR(X318/H318,"0")+IFERROR(X319/H319,"0")+IFERROR(X320/H320,"0")</f>
        <v>266.66666666666669</v>
      </c>
      <c r="Y321" s="41">
        <f>IFERROR(Y318/H318,"0")+IFERROR(Y319/H319,"0")+IFERROR(Y320/H320,"0")</f>
        <v>267</v>
      </c>
      <c r="Z321" s="41">
        <f>IFERROR(IF(Z318="",0,Z318),"0")+IFERROR(IF(Z319="",0,Z319),"0")+IFERROR(IF(Z320="",0,Z320),"0")</f>
        <v>1.73817</v>
      </c>
      <c r="AA321" s="64"/>
      <c r="AB321" s="64"/>
      <c r="AC321" s="64"/>
    </row>
    <row r="322" spans="1:68" x14ac:dyDescent="0.2">
      <c r="A322" s="609"/>
      <c r="B322" s="609"/>
      <c r="C322" s="609"/>
      <c r="D322" s="609"/>
      <c r="E322" s="609"/>
      <c r="F322" s="609"/>
      <c r="G322" s="609"/>
      <c r="H322" s="609"/>
      <c r="I322" s="609"/>
      <c r="J322" s="609"/>
      <c r="K322" s="609"/>
      <c r="L322" s="609"/>
      <c r="M322" s="609"/>
      <c r="N322" s="609"/>
      <c r="O322" s="610"/>
      <c r="P322" s="606" t="s">
        <v>40</v>
      </c>
      <c r="Q322" s="607"/>
      <c r="R322" s="607"/>
      <c r="S322" s="607"/>
      <c r="T322" s="607"/>
      <c r="U322" s="607"/>
      <c r="V322" s="608"/>
      <c r="W322" s="40" t="s">
        <v>0</v>
      </c>
      <c r="X322" s="41">
        <f>IFERROR(SUM(X318:X320),"0")</f>
        <v>640</v>
      </c>
      <c r="Y322" s="41">
        <f>IFERROR(SUM(Y318:Y320),"0")</f>
        <v>640.79999999999995</v>
      </c>
      <c r="Z322" s="40"/>
      <c r="AA322" s="64"/>
      <c r="AB322" s="64"/>
      <c r="AC322" s="64"/>
    </row>
    <row r="323" spans="1:68" ht="16.5" hidden="1" customHeight="1" x14ac:dyDescent="0.25">
      <c r="A323" s="617" t="s">
        <v>534</v>
      </c>
      <c r="B323" s="617"/>
      <c r="C323" s="617"/>
      <c r="D323" s="617"/>
      <c r="E323" s="617"/>
      <c r="F323" s="617"/>
      <c r="G323" s="617"/>
      <c r="H323" s="617"/>
      <c r="I323" s="617"/>
      <c r="J323" s="617"/>
      <c r="K323" s="617"/>
      <c r="L323" s="617"/>
      <c r="M323" s="617"/>
      <c r="N323" s="617"/>
      <c r="O323" s="617"/>
      <c r="P323" s="617"/>
      <c r="Q323" s="617"/>
      <c r="R323" s="617"/>
      <c r="S323" s="617"/>
      <c r="T323" s="617"/>
      <c r="U323" s="617"/>
      <c r="V323" s="617"/>
      <c r="W323" s="617"/>
      <c r="X323" s="617"/>
      <c r="Y323" s="617"/>
      <c r="Z323" s="617"/>
      <c r="AA323" s="62"/>
      <c r="AB323" s="62"/>
      <c r="AC323" s="62"/>
    </row>
    <row r="324" spans="1:68" ht="14.25" hidden="1" customHeight="1" x14ac:dyDescent="0.25">
      <c r="A324" s="601" t="s">
        <v>77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02">
        <v>4680115888319</v>
      </c>
      <c r="E325" s="602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71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4"/>
      <c r="R325" s="604"/>
      <c r="S325" s="604"/>
      <c r="T325" s="60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02">
        <v>4680115884700</v>
      </c>
      <c r="E326" s="602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71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4"/>
      <c r="R326" s="604"/>
      <c r="S326" s="604"/>
      <c r="T326" s="60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02">
        <v>4680115880344</v>
      </c>
      <c r="E327" s="602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7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4"/>
      <c r="R327" s="604"/>
      <c r="S327" s="604"/>
      <c r="T327" s="60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02">
        <v>4680115886919</v>
      </c>
      <c r="E328" s="602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71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4"/>
      <c r="R328" s="604"/>
      <c r="S328" s="604"/>
      <c r="T328" s="605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02">
        <v>4680115883970</v>
      </c>
      <c r="E329" s="602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70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4"/>
      <c r="R329" s="604"/>
      <c r="S329" s="604"/>
      <c r="T329" s="605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09"/>
      <c r="B330" s="609"/>
      <c r="C330" s="609"/>
      <c r="D330" s="609"/>
      <c r="E330" s="609"/>
      <c r="F330" s="609"/>
      <c r="G330" s="609"/>
      <c r="H330" s="609"/>
      <c r="I330" s="609"/>
      <c r="J330" s="609"/>
      <c r="K330" s="609"/>
      <c r="L330" s="609"/>
      <c r="M330" s="609"/>
      <c r="N330" s="609"/>
      <c r="O330" s="610"/>
      <c r="P330" s="606" t="s">
        <v>40</v>
      </c>
      <c r="Q330" s="607"/>
      <c r="R330" s="607"/>
      <c r="S330" s="607"/>
      <c r="T330" s="607"/>
      <c r="U330" s="607"/>
      <c r="V330" s="608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09"/>
      <c r="B331" s="609"/>
      <c r="C331" s="609"/>
      <c r="D331" s="609"/>
      <c r="E331" s="609"/>
      <c r="F331" s="609"/>
      <c r="G331" s="609"/>
      <c r="H331" s="609"/>
      <c r="I331" s="609"/>
      <c r="J331" s="609"/>
      <c r="K331" s="609"/>
      <c r="L331" s="609"/>
      <c r="M331" s="609"/>
      <c r="N331" s="609"/>
      <c r="O331" s="610"/>
      <c r="P331" s="606" t="s">
        <v>40</v>
      </c>
      <c r="Q331" s="607"/>
      <c r="R331" s="607"/>
      <c r="S331" s="607"/>
      <c r="T331" s="607"/>
      <c r="U331" s="607"/>
      <c r="V331" s="608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01" t="s">
        <v>86</v>
      </c>
      <c r="B332" s="601"/>
      <c r="C332" s="601"/>
      <c r="D332" s="601"/>
      <c r="E332" s="601"/>
      <c r="F332" s="601"/>
      <c r="G332" s="601"/>
      <c r="H332" s="601"/>
      <c r="I332" s="601"/>
      <c r="J332" s="601"/>
      <c r="K332" s="601"/>
      <c r="L332" s="601"/>
      <c r="M332" s="601"/>
      <c r="N332" s="601"/>
      <c r="O332" s="601"/>
      <c r="P332" s="601"/>
      <c r="Q332" s="601"/>
      <c r="R332" s="601"/>
      <c r="S332" s="601"/>
      <c r="T332" s="601"/>
      <c r="U332" s="601"/>
      <c r="V332" s="601"/>
      <c r="W332" s="601"/>
      <c r="X332" s="601"/>
      <c r="Y332" s="601"/>
      <c r="Z332" s="601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02">
        <v>4680115884618</v>
      </c>
      <c r="E333" s="602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7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4"/>
      <c r="R333" s="604"/>
      <c r="S333" s="604"/>
      <c r="T333" s="60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02">
        <v>4680115887114</v>
      </c>
      <c r="E334" s="602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71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4"/>
      <c r="R334" s="604"/>
      <c r="S334" s="604"/>
      <c r="T334" s="60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09"/>
      <c r="B335" s="609"/>
      <c r="C335" s="609"/>
      <c r="D335" s="609"/>
      <c r="E335" s="609"/>
      <c r="F335" s="609"/>
      <c r="G335" s="609"/>
      <c r="H335" s="609"/>
      <c r="I335" s="609"/>
      <c r="J335" s="609"/>
      <c r="K335" s="609"/>
      <c r="L335" s="609"/>
      <c r="M335" s="609"/>
      <c r="N335" s="609"/>
      <c r="O335" s="610"/>
      <c r="P335" s="606" t="s">
        <v>40</v>
      </c>
      <c r="Q335" s="607"/>
      <c r="R335" s="607"/>
      <c r="S335" s="607"/>
      <c r="T335" s="607"/>
      <c r="U335" s="607"/>
      <c r="V335" s="608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09"/>
      <c r="B336" s="609"/>
      <c r="C336" s="609"/>
      <c r="D336" s="609"/>
      <c r="E336" s="609"/>
      <c r="F336" s="609"/>
      <c r="G336" s="609"/>
      <c r="H336" s="609"/>
      <c r="I336" s="609"/>
      <c r="J336" s="609"/>
      <c r="K336" s="609"/>
      <c r="L336" s="609"/>
      <c r="M336" s="609"/>
      <c r="N336" s="609"/>
      <c r="O336" s="610"/>
      <c r="P336" s="606" t="s">
        <v>40</v>
      </c>
      <c r="Q336" s="607"/>
      <c r="R336" s="607"/>
      <c r="S336" s="607"/>
      <c r="T336" s="607"/>
      <c r="U336" s="607"/>
      <c r="V336" s="608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17" t="s">
        <v>555</v>
      </c>
      <c r="B337" s="617"/>
      <c r="C337" s="617"/>
      <c r="D337" s="617"/>
      <c r="E337" s="617"/>
      <c r="F337" s="617"/>
      <c r="G337" s="617"/>
      <c r="H337" s="617"/>
      <c r="I337" s="617"/>
      <c r="J337" s="617"/>
      <c r="K337" s="617"/>
      <c r="L337" s="617"/>
      <c r="M337" s="617"/>
      <c r="N337" s="617"/>
      <c r="O337" s="617"/>
      <c r="P337" s="617"/>
      <c r="Q337" s="617"/>
      <c r="R337" s="617"/>
      <c r="S337" s="617"/>
      <c r="T337" s="617"/>
      <c r="U337" s="617"/>
      <c r="V337" s="617"/>
      <c r="W337" s="617"/>
      <c r="X337" s="617"/>
      <c r="Y337" s="617"/>
      <c r="Z337" s="617"/>
      <c r="AA337" s="62"/>
      <c r="AB337" s="62"/>
      <c r="AC337" s="62"/>
    </row>
    <row r="338" spans="1:68" ht="14.25" hidden="1" customHeight="1" x14ac:dyDescent="0.25">
      <c r="A338" s="601" t="s">
        <v>128</v>
      </c>
      <c r="B338" s="601"/>
      <c r="C338" s="601"/>
      <c r="D338" s="601"/>
      <c r="E338" s="601"/>
      <c r="F338" s="601"/>
      <c r="G338" s="601"/>
      <c r="H338" s="601"/>
      <c r="I338" s="601"/>
      <c r="J338" s="601"/>
      <c r="K338" s="601"/>
      <c r="L338" s="601"/>
      <c r="M338" s="601"/>
      <c r="N338" s="601"/>
      <c r="O338" s="601"/>
      <c r="P338" s="601"/>
      <c r="Q338" s="601"/>
      <c r="R338" s="601"/>
      <c r="S338" s="601"/>
      <c r="T338" s="601"/>
      <c r="U338" s="601"/>
      <c r="V338" s="601"/>
      <c r="W338" s="601"/>
      <c r="X338" s="601"/>
      <c r="Y338" s="601"/>
      <c r="Z338" s="601"/>
      <c r="AA338" s="63"/>
      <c r="AB338" s="63"/>
      <c r="AC338" s="63"/>
    </row>
    <row r="339" spans="1:68" ht="27" customHeight="1" x14ac:dyDescent="0.25">
      <c r="A339" s="60" t="s">
        <v>556</v>
      </c>
      <c r="B339" s="60" t="s">
        <v>557</v>
      </c>
      <c r="C339" s="34">
        <v>4301012324</v>
      </c>
      <c r="D339" s="602">
        <v>4680115887947</v>
      </c>
      <c r="E339" s="602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7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4"/>
      <c r="R339" s="604"/>
      <c r="S339" s="604"/>
      <c r="T339" s="605"/>
      <c r="U339" s="37" t="s">
        <v>46</v>
      </c>
      <c r="V339" s="37" t="s">
        <v>46</v>
      </c>
      <c r="W339" s="38" t="s">
        <v>0</v>
      </c>
      <c r="X339" s="56">
        <v>110</v>
      </c>
      <c r="Y339" s="53">
        <f>IFERROR(IF(X339="",0,CEILING((X339/$H339),1)*$H339),"")</f>
        <v>117</v>
      </c>
      <c r="Z339" s="39">
        <f>IFERROR(IF(Y339=0,"",ROUNDUP(Y339/H339,0)*0.01898),"")</f>
        <v>0.28470000000000001</v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115.7820512820513</v>
      </c>
      <c r="BN339" s="75">
        <f>IFERROR(Y339*I339/H339,"0")</f>
        <v>123.15</v>
      </c>
      <c r="BO339" s="75">
        <f>IFERROR(1/J339*(X339/H339),"0")</f>
        <v>0.2203525641025641</v>
      </c>
      <c r="BP339" s="75">
        <f>IFERROR(1/J339*(Y339/H339),"0")</f>
        <v>0.234375</v>
      </c>
    </row>
    <row r="340" spans="1:68" ht="27" customHeight="1" x14ac:dyDescent="0.25">
      <c r="A340" s="60" t="s">
        <v>559</v>
      </c>
      <c r="B340" s="60" t="s">
        <v>560</v>
      </c>
      <c r="C340" s="34">
        <v>4301012325</v>
      </c>
      <c r="D340" s="602">
        <v>4680115887978</v>
      </c>
      <c r="E340" s="602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7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4"/>
      <c r="R340" s="604"/>
      <c r="S340" s="604"/>
      <c r="T340" s="605"/>
      <c r="U340" s="37" t="s">
        <v>46</v>
      </c>
      <c r="V340" s="37" t="s">
        <v>46</v>
      </c>
      <c r="W340" s="38" t="s">
        <v>0</v>
      </c>
      <c r="X340" s="56">
        <v>110</v>
      </c>
      <c r="Y340" s="53">
        <f>IFERROR(IF(X340="",0,CEILING((X340/$H340),1)*$H340),"")</f>
        <v>117</v>
      </c>
      <c r="Z340" s="39">
        <f>IFERROR(IF(Y340=0,"",ROUNDUP(Y340/H340,0)*0.01898),"")</f>
        <v>0.28470000000000001</v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115.7820512820513</v>
      </c>
      <c r="BN340" s="75">
        <f>IFERROR(Y340*I340/H340,"0")</f>
        <v>123.15</v>
      </c>
      <c r="BO340" s="75">
        <f>IFERROR(1/J340*(X340/H340),"0")</f>
        <v>0.2203525641025641</v>
      </c>
      <c r="BP340" s="75">
        <f>IFERROR(1/J340*(Y340/H340),"0")</f>
        <v>0.234375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02">
        <v>4680115887992</v>
      </c>
      <c r="E341" s="602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70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4"/>
      <c r="R341" s="604"/>
      <c r="S341" s="604"/>
      <c r="T341" s="60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09"/>
      <c r="B342" s="609"/>
      <c r="C342" s="609"/>
      <c r="D342" s="609"/>
      <c r="E342" s="609"/>
      <c r="F342" s="609"/>
      <c r="G342" s="609"/>
      <c r="H342" s="609"/>
      <c r="I342" s="609"/>
      <c r="J342" s="609"/>
      <c r="K342" s="609"/>
      <c r="L342" s="609"/>
      <c r="M342" s="609"/>
      <c r="N342" s="609"/>
      <c r="O342" s="610"/>
      <c r="P342" s="606" t="s">
        <v>40</v>
      </c>
      <c r="Q342" s="607"/>
      <c r="R342" s="607"/>
      <c r="S342" s="607"/>
      <c r="T342" s="607"/>
      <c r="U342" s="607"/>
      <c r="V342" s="608"/>
      <c r="W342" s="40" t="s">
        <v>39</v>
      </c>
      <c r="X342" s="41">
        <f>IFERROR(X339/H339,"0")+IFERROR(X340/H340,"0")+IFERROR(X341/H341,"0")</f>
        <v>28.205128205128204</v>
      </c>
      <c r="Y342" s="41">
        <f>IFERROR(Y339/H339,"0")+IFERROR(Y340/H340,"0")+IFERROR(Y341/H341,"0")</f>
        <v>30</v>
      </c>
      <c r="Z342" s="41">
        <f>IFERROR(IF(Z339="",0,Z339),"0")+IFERROR(IF(Z340="",0,Z340),"0")+IFERROR(IF(Z341="",0,Z341),"0")</f>
        <v>0.56940000000000002</v>
      </c>
      <c r="AA342" s="64"/>
      <c r="AB342" s="64"/>
      <c r="AC342" s="64"/>
    </row>
    <row r="343" spans="1:68" x14ac:dyDescent="0.2">
      <c r="A343" s="609"/>
      <c r="B343" s="609"/>
      <c r="C343" s="609"/>
      <c r="D343" s="609"/>
      <c r="E343" s="609"/>
      <c r="F343" s="609"/>
      <c r="G343" s="609"/>
      <c r="H343" s="609"/>
      <c r="I343" s="609"/>
      <c r="J343" s="609"/>
      <c r="K343" s="609"/>
      <c r="L343" s="609"/>
      <c r="M343" s="609"/>
      <c r="N343" s="609"/>
      <c r="O343" s="610"/>
      <c r="P343" s="606" t="s">
        <v>40</v>
      </c>
      <c r="Q343" s="607"/>
      <c r="R343" s="607"/>
      <c r="S343" s="607"/>
      <c r="T343" s="607"/>
      <c r="U343" s="607"/>
      <c r="V343" s="608"/>
      <c r="W343" s="40" t="s">
        <v>0</v>
      </c>
      <c r="X343" s="41">
        <f>IFERROR(SUM(X339:X341),"0")</f>
        <v>220</v>
      </c>
      <c r="Y343" s="41">
        <f>IFERROR(SUM(Y339:Y341),"0")</f>
        <v>234</v>
      </c>
      <c r="Z343" s="40"/>
      <c r="AA343" s="64"/>
      <c r="AB343" s="64"/>
      <c r="AC343" s="64"/>
    </row>
    <row r="344" spans="1:68" ht="16.5" hidden="1" customHeight="1" x14ac:dyDescent="0.25">
      <c r="A344" s="617" t="s">
        <v>565</v>
      </c>
      <c r="B344" s="617"/>
      <c r="C344" s="617"/>
      <c r="D344" s="617"/>
      <c r="E344" s="617"/>
      <c r="F344" s="617"/>
      <c r="G344" s="617"/>
      <c r="H344" s="617"/>
      <c r="I344" s="617"/>
      <c r="J344" s="617"/>
      <c r="K344" s="617"/>
      <c r="L344" s="617"/>
      <c r="M344" s="617"/>
      <c r="N344" s="617"/>
      <c r="O344" s="617"/>
      <c r="P344" s="617"/>
      <c r="Q344" s="617"/>
      <c r="R344" s="617"/>
      <c r="S344" s="617"/>
      <c r="T344" s="617"/>
      <c r="U344" s="617"/>
      <c r="V344" s="617"/>
      <c r="W344" s="617"/>
      <c r="X344" s="617"/>
      <c r="Y344" s="617"/>
      <c r="Z344" s="617"/>
      <c r="AA344" s="62"/>
      <c r="AB344" s="62"/>
      <c r="AC344" s="62"/>
    </row>
    <row r="345" spans="1:68" ht="14.25" hidden="1" customHeight="1" x14ac:dyDescent="0.25">
      <c r="A345" s="601" t="s">
        <v>128</v>
      </c>
      <c r="B345" s="601"/>
      <c r="C345" s="601"/>
      <c r="D345" s="601"/>
      <c r="E345" s="601"/>
      <c r="F345" s="601"/>
      <c r="G345" s="601"/>
      <c r="H345" s="601"/>
      <c r="I345" s="601"/>
      <c r="J345" s="601"/>
      <c r="K345" s="601"/>
      <c r="L345" s="601"/>
      <c r="M345" s="601"/>
      <c r="N345" s="601"/>
      <c r="O345" s="601"/>
      <c r="P345" s="601"/>
      <c r="Q345" s="601"/>
      <c r="R345" s="601"/>
      <c r="S345" s="601"/>
      <c r="T345" s="601"/>
      <c r="U345" s="601"/>
      <c r="V345" s="601"/>
      <c r="W345" s="601"/>
      <c r="X345" s="601"/>
      <c r="Y345" s="601"/>
      <c r="Z345" s="601"/>
      <c r="AA345" s="63"/>
      <c r="AB345" s="63"/>
      <c r="AC345" s="63"/>
    </row>
    <row r="346" spans="1:68" ht="27" customHeight="1" x14ac:dyDescent="0.25">
      <c r="A346" s="60" t="s">
        <v>566</v>
      </c>
      <c r="B346" s="60" t="s">
        <v>567</v>
      </c>
      <c r="C346" s="34">
        <v>4301012126</v>
      </c>
      <c r="D346" s="602">
        <v>4607091386004</v>
      </c>
      <c r="E346" s="602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7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04"/>
      <c r="R346" s="604"/>
      <c r="S346" s="604"/>
      <c r="T346" s="605"/>
      <c r="U346" s="37" t="s">
        <v>46</v>
      </c>
      <c r="V346" s="37" t="s">
        <v>46</v>
      </c>
      <c r="W346" s="38" t="s">
        <v>0</v>
      </c>
      <c r="X346" s="56">
        <v>30</v>
      </c>
      <c r="Y346" s="53">
        <f t="shared" ref="Y346:Y351" si="47">IFERROR(IF(X346="",0,CEILING((X346/$H346),1)*$H346),"")</f>
        <v>32.400000000000006</v>
      </c>
      <c r="Z346" s="39">
        <f>IFERROR(IF(Y346=0,"",ROUNDUP(Y346/H346,0)*0.01898),"")</f>
        <v>5.6940000000000004E-2</v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31.138888888888889</v>
      </c>
      <c r="BN346" s="75">
        <f t="shared" ref="BN346:BN351" si="49">IFERROR(Y346*I346/H346,"0")</f>
        <v>33.630000000000003</v>
      </c>
      <c r="BO346" s="75">
        <f t="shared" ref="BO346:BO351" si="50">IFERROR(1/J346*(X346/H346),"0")</f>
        <v>4.3402777777777776E-2</v>
      </c>
      <c r="BP346" s="75">
        <f t="shared" ref="BP346:BP351" si="51">IFERROR(1/J346*(Y346/H346),"0")</f>
        <v>4.6875000000000007E-2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02">
        <v>4680115887190</v>
      </c>
      <c r="E347" s="602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69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04"/>
      <c r="R347" s="604"/>
      <c r="S347" s="604"/>
      <c r="T347" s="605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02">
        <v>4680115887138</v>
      </c>
      <c r="E348" s="602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70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04"/>
      <c r="R348" s="604"/>
      <c r="S348" s="604"/>
      <c r="T348" s="605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02">
        <v>4680115885554</v>
      </c>
      <c r="E349" s="602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70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04"/>
      <c r="R349" s="604"/>
      <c r="S349" s="604"/>
      <c r="T349" s="605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02">
        <v>4680115887220</v>
      </c>
      <c r="E350" s="602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70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04"/>
      <c r="R350" s="604"/>
      <c r="S350" s="604"/>
      <c r="T350" s="605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02">
        <v>4680115885608</v>
      </c>
      <c r="E351" s="602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7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04"/>
      <c r="R351" s="604"/>
      <c r="S351" s="604"/>
      <c r="T351" s="605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x14ac:dyDescent="0.2">
      <c r="A352" s="609"/>
      <c r="B352" s="609"/>
      <c r="C352" s="609"/>
      <c r="D352" s="609"/>
      <c r="E352" s="609"/>
      <c r="F352" s="609"/>
      <c r="G352" s="609"/>
      <c r="H352" s="609"/>
      <c r="I352" s="609"/>
      <c r="J352" s="609"/>
      <c r="K352" s="609"/>
      <c r="L352" s="609"/>
      <c r="M352" s="609"/>
      <c r="N352" s="609"/>
      <c r="O352" s="610"/>
      <c r="P352" s="606" t="s">
        <v>40</v>
      </c>
      <c r="Q352" s="607"/>
      <c r="R352" s="607"/>
      <c r="S352" s="607"/>
      <c r="T352" s="607"/>
      <c r="U352" s="607"/>
      <c r="V352" s="608"/>
      <c r="W352" s="40" t="s">
        <v>39</v>
      </c>
      <c r="X352" s="41">
        <f>IFERROR(X346/H346,"0")+IFERROR(X347/H347,"0")+IFERROR(X348/H348,"0")+IFERROR(X349/H349,"0")+IFERROR(X350/H350,"0")+IFERROR(X351/H351,"0")</f>
        <v>2.7777777777777777</v>
      </c>
      <c r="Y352" s="41">
        <f>IFERROR(Y346/H346,"0")+IFERROR(Y347/H347,"0")+IFERROR(Y348/H348,"0")+IFERROR(Y349/H349,"0")+IFERROR(Y350/H350,"0")+IFERROR(Y351/H351,"0")</f>
        <v>3.0000000000000004</v>
      </c>
      <c r="Z352" s="41">
        <f>IFERROR(IF(Z346="",0,Z346),"0")+IFERROR(IF(Z347="",0,Z347),"0")+IFERROR(IF(Z348="",0,Z348),"0")+IFERROR(IF(Z349="",0,Z349),"0")+IFERROR(IF(Z350="",0,Z350),"0")+IFERROR(IF(Z351="",0,Z351),"0")</f>
        <v>5.6940000000000004E-2</v>
      </c>
      <c r="AA352" s="64"/>
      <c r="AB352" s="64"/>
      <c r="AC352" s="64"/>
    </row>
    <row r="353" spans="1:68" x14ac:dyDescent="0.2">
      <c r="A353" s="609"/>
      <c r="B353" s="609"/>
      <c r="C353" s="609"/>
      <c r="D353" s="609"/>
      <c r="E353" s="609"/>
      <c r="F353" s="609"/>
      <c r="G353" s="609"/>
      <c r="H353" s="609"/>
      <c r="I353" s="609"/>
      <c r="J353" s="609"/>
      <c r="K353" s="609"/>
      <c r="L353" s="609"/>
      <c r="M353" s="609"/>
      <c r="N353" s="609"/>
      <c r="O353" s="610"/>
      <c r="P353" s="606" t="s">
        <v>40</v>
      </c>
      <c r="Q353" s="607"/>
      <c r="R353" s="607"/>
      <c r="S353" s="607"/>
      <c r="T353" s="607"/>
      <c r="U353" s="607"/>
      <c r="V353" s="608"/>
      <c r="W353" s="40" t="s">
        <v>0</v>
      </c>
      <c r="X353" s="41">
        <f>IFERROR(SUM(X346:X351),"0")</f>
        <v>30</v>
      </c>
      <c r="Y353" s="41">
        <f>IFERROR(SUM(Y346:Y351),"0")</f>
        <v>32.400000000000006</v>
      </c>
      <c r="Z353" s="40"/>
      <c r="AA353" s="64"/>
      <c r="AB353" s="64"/>
      <c r="AC353" s="64"/>
    </row>
    <row r="354" spans="1:68" ht="14.25" hidden="1" customHeight="1" x14ac:dyDescent="0.25">
      <c r="A354" s="601" t="s">
        <v>77</v>
      </c>
      <c r="B354" s="601"/>
      <c r="C354" s="601"/>
      <c r="D354" s="601"/>
      <c r="E354" s="601"/>
      <c r="F354" s="601"/>
      <c r="G354" s="601"/>
      <c r="H354" s="601"/>
      <c r="I354" s="601"/>
      <c r="J354" s="601"/>
      <c r="K354" s="601"/>
      <c r="L354" s="601"/>
      <c r="M354" s="601"/>
      <c r="N354" s="601"/>
      <c r="O354" s="601"/>
      <c r="P354" s="601"/>
      <c r="Q354" s="601"/>
      <c r="R354" s="601"/>
      <c r="S354" s="601"/>
      <c r="T354" s="601"/>
      <c r="U354" s="601"/>
      <c r="V354" s="601"/>
      <c r="W354" s="601"/>
      <c r="X354" s="601"/>
      <c r="Y354" s="601"/>
      <c r="Z354" s="601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02">
        <v>4607091387193</v>
      </c>
      <c r="E355" s="602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69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04"/>
      <c r="R355" s="604"/>
      <c r="S355" s="604"/>
      <c r="T355" s="60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02">
        <v>4607091387230</v>
      </c>
      <c r="E356" s="602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04"/>
      <c r="R356" s="604"/>
      <c r="S356" s="604"/>
      <c r="T356" s="60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02">
        <v>4607091387292</v>
      </c>
      <c r="E357" s="602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6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04"/>
      <c r="R357" s="604"/>
      <c r="S357" s="604"/>
      <c r="T357" s="60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02">
        <v>4607091387285</v>
      </c>
      <c r="E358" s="602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69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04"/>
      <c r="R358" s="604"/>
      <c r="S358" s="604"/>
      <c r="T358" s="60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customHeight="1" x14ac:dyDescent="0.25">
      <c r="A359" s="60" t="s">
        <v>594</v>
      </c>
      <c r="B359" s="60" t="s">
        <v>595</v>
      </c>
      <c r="C359" s="34">
        <v>4301031305</v>
      </c>
      <c r="D359" s="602">
        <v>4607091389845</v>
      </c>
      <c r="E359" s="602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69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04"/>
      <c r="R359" s="604"/>
      <c r="S359" s="604"/>
      <c r="T359" s="605"/>
      <c r="U359" s="37" t="s">
        <v>46</v>
      </c>
      <c r="V359" s="37" t="s">
        <v>46</v>
      </c>
      <c r="W359" s="38" t="s">
        <v>0</v>
      </c>
      <c r="X359" s="56">
        <v>70</v>
      </c>
      <c r="Y359" s="53">
        <f t="shared" si="52"/>
        <v>71.400000000000006</v>
      </c>
      <c r="Z359" s="39">
        <f>IFERROR(IF(Y359=0,"",ROUNDUP(Y359/H359,0)*0.00502),"")</f>
        <v>0.17068</v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73.333333333333329</v>
      </c>
      <c r="BN359" s="75">
        <f t="shared" si="54"/>
        <v>74.8</v>
      </c>
      <c r="BO359" s="75">
        <f t="shared" si="55"/>
        <v>0.14245014245014245</v>
      </c>
      <c r="BP359" s="75">
        <f t="shared" si="56"/>
        <v>0.14529914529914531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02">
        <v>4680115887442</v>
      </c>
      <c r="E360" s="602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69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04"/>
      <c r="R360" s="604"/>
      <c r="S360" s="604"/>
      <c r="T360" s="605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customHeight="1" x14ac:dyDescent="0.25">
      <c r="A361" s="60" t="s">
        <v>599</v>
      </c>
      <c r="B361" s="60" t="s">
        <v>600</v>
      </c>
      <c r="C361" s="34">
        <v>4301031066</v>
      </c>
      <c r="D361" s="602">
        <v>4607091383836</v>
      </c>
      <c r="E361" s="602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69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04"/>
      <c r="R361" s="604"/>
      <c r="S361" s="604"/>
      <c r="T361" s="605"/>
      <c r="U361" s="37" t="s">
        <v>46</v>
      </c>
      <c r="V361" s="37" t="s">
        <v>46</v>
      </c>
      <c r="W361" s="38" t="s">
        <v>0</v>
      </c>
      <c r="X361" s="56">
        <v>45</v>
      </c>
      <c r="Y361" s="53">
        <f t="shared" si="52"/>
        <v>45</v>
      </c>
      <c r="Z361" s="39">
        <f>IFERROR(IF(Y361=0,"",ROUNDUP(Y361/H361,0)*0.00651),"")</f>
        <v>0.16275000000000001</v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50.7</v>
      </c>
      <c r="BN361" s="75">
        <f t="shared" si="54"/>
        <v>50.7</v>
      </c>
      <c r="BO361" s="75">
        <f t="shared" si="55"/>
        <v>0.13736263736263737</v>
      </c>
      <c r="BP361" s="75">
        <f t="shared" si="56"/>
        <v>0.13736263736263737</v>
      </c>
    </row>
    <row r="362" spans="1:68" x14ac:dyDescent="0.2">
      <c r="A362" s="609"/>
      <c r="B362" s="609"/>
      <c r="C362" s="609"/>
      <c r="D362" s="609"/>
      <c r="E362" s="609"/>
      <c r="F362" s="609"/>
      <c r="G362" s="609"/>
      <c r="H362" s="609"/>
      <c r="I362" s="609"/>
      <c r="J362" s="609"/>
      <c r="K362" s="609"/>
      <c r="L362" s="609"/>
      <c r="M362" s="609"/>
      <c r="N362" s="609"/>
      <c r="O362" s="610"/>
      <c r="P362" s="606" t="s">
        <v>40</v>
      </c>
      <c r="Q362" s="607"/>
      <c r="R362" s="607"/>
      <c r="S362" s="607"/>
      <c r="T362" s="607"/>
      <c r="U362" s="607"/>
      <c r="V362" s="608"/>
      <c r="W362" s="40" t="s">
        <v>39</v>
      </c>
      <c r="X362" s="41">
        <f>IFERROR(X355/H355,"0")+IFERROR(X356/H356,"0")+IFERROR(X357/H357,"0")+IFERROR(X358/H358,"0")+IFERROR(X359/H359,"0")+IFERROR(X360/H360,"0")+IFERROR(X361/H361,"0")</f>
        <v>58.333333333333329</v>
      </c>
      <c r="Y362" s="41">
        <f>IFERROR(Y355/H355,"0")+IFERROR(Y356/H356,"0")+IFERROR(Y357/H357,"0")+IFERROR(Y358/H358,"0")+IFERROR(Y359/H359,"0")+IFERROR(Y360/H360,"0")+IFERROR(Y361/H361,"0")</f>
        <v>59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0.33343</v>
      </c>
      <c r="AA362" s="64"/>
      <c r="AB362" s="64"/>
      <c r="AC362" s="64"/>
    </row>
    <row r="363" spans="1:68" x14ac:dyDescent="0.2">
      <c r="A363" s="609"/>
      <c r="B363" s="609"/>
      <c r="C363" s="609"/>
      <c r="D363" s="609"/>
      <c r="E363" s="609"/>
      <c r="F363" s="609"/>
      <c r="G363" s="609"/>
      <c r="H363" s="609"/>
      <c r="I363" s="609"/>
      <c r="J363" s="609"/>
      <c r="K363" s="609"/>
      <c r="L363" s="609"/>
      <c r="M363" s="609"/>
      <c r="N363" s="609"/>
      <c r="O363" s="610"/>
      <c r="P363" s="606" t="s">
        <v>40</v>
      </c>
      <c r="Q363" s="607"/>
      <c r="R363" s="607"/>
      <c r="S363" s="607"/>
      <c r="T363" s="607"/>
      <c r="U363" s="607"/>
      <c r="V363" s="608"/>
      <c r="W363" s="40" t="s">
        <v>0</v>
      </c>
      <c r="X363" s="41">
        <f>IFERROR(SUM(X355:X361),"0")</f>
        <v>115</v>
      </c>
      <c r="Y363" s="41">
        <f>IFERROR(SUM(Y355:Y361),"0")</f>
        <v>116.4</v>
      </c>
      <c r="Z363" s="40"/>
      <c r="AA363" s="64"/>
      <c r="AB363" s="64"/>
      <c r="AC363" s="64"/>
    </row>
    <row r="364" spans="1:68" ht="14.25" hidden="1" customHeight="1" x14ac:dyDescent="0.25">
      <c r="A364" s="601" t="s">
        <v>86</v>
      </c>
      <c r="B364" s="601"/>
      <c r="C364" s="601"/>
      <c r="D364" s="601"/>
      <c r="E364" s="601"/>
      <c r="F364" s="601"/>
      <c r="G364" s="601"/>
      <c r="H364" s="601"/>
      <c r="I364" s="601"/>
      <c r="J364" s="601"/>
      <c r="K364" s="601"/>
      <c r="L364" s="601"/>
      <c r="M364" s="601"/>
      <c r="N364" s="601"/>
      <c r="O364" s="601"/>
      <c r="P364" s="601"/>
      <c r="Q364" s="601"/>
      <c r="R364" s="601"/>
      <c r="S364" s="601"/>
      <c r="T364" s="601"/>
      <c r="U364" s="601"/>
      <c r="V364" s="601"/>
      <c r="W364" s="601"/>
      <c r="X364" s="601"/>
      <c r="Y364" s="601"/>
      <c r="Z364" s="601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02">
        <v>4607091387766</v>
      </c>
      <c r="E365" s="602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68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04"/>
      <c r="R365" s="604"/>
      <c r="S365" s="604"/>
      <c r="T365" s="605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02">
        <v>4607091387957</v>
      </c>
      <c r="E366" s="602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04"/>
      <c r="R366" s="604"/>
      <c r="S366" s="604"/>
      <c r="T366" s="605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02">
        <v>4607091387964</v>
      </c>
      <c r="E367" s="602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04"/>
      <c r="R367" s="604"/>
      <c r="S367" s="604"/>
      <c r="T367" s="605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02">
        <v>4680115884588</v>
      </c>
      <c r="E368" s="602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04"/>
      <c r="R368" s="604"/>
      <c r="S368" s="604"/>
      <c r="T368" s="605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09"/>
      <c r="B369" s="609"/>
      <c r="C369" s="609"/>
      <c r="D369" s="609"/>
      <c r="E369" s="609"/>
      <c r="F369" s="609"/>
      <c r="G369" s="609"/>
      <c r="H369" s="609"/>
      <c r="I369" s="609"/>
      <c r="J369" s="609"/>
      <c r="K369" s="609"/>
      <c r="L369" s="609"/>
      <c r="M369" s="609"/>
      <c r="N369" s="609"/>
      <c r="O369" s="610"/>
      <c r="P369" s="606" t="s">
        <v>40</v>
      </c>
      <c r="Q369" s="607"/>
      <c r="R369" s="607"/>
      <c r="S369" s="607"/>
      <c r="T369" s="607"/>
      <c r="U369" s="607"/>
      <c r="V369" s="608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09"/>
      <c r="B370" s="609"/>
      <c r="C370" s="609"/>
      <c r="D370" s="609"/>
      <c r="E370" s="609"/>
      <c r="F370" s="609"/>
      <c r="G370" s="609"/>
      <c r="H370" s="609"/>
      <c r="I370" s="609"/>
      <c r="J370" s="609"/>
      <c r="K370" s="609"/>
      <c r="L370" s="609"/>
      <c r="M370" s="609"/>
      <c r="N370" s="609"/>
      <c r="O370" s="610"/>
      <c r="P370" s="606" t="s">
        <v>40</v>
      </c>
      <c r="Q370" s="607"/>
      <c r="R370" s="607"/>
      <c r="S370" s="607"/>
      <c r="T370" s="607"/>
      <c r="U370" s="607"/>
      <c r="V370" s="608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01" t="s">
        <v>180</v>
      </c>
      <c r="B371" s="601"/>
      <c r="C371" s="601"/>
      <c r="D371" s="601"/>
      <c r="E371" s="601"/>
      <c r="F371" s="601"/>
      <c r="G371" s="601"/>
      <c r="H371" s="601"/>
      <c r="I371" s="601"/>
      <c r="J371" s="601"/>
      <c r="K371" s="601"/>
      <c r="L371" s="601"/>
      <c r="M371" s="601"/>
      <c r="N371" s="601"/>
      <c r="O371" s="601"/>
      <c r="P371" s="601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3"/>
      <c r="AB371" s="63"/>
      <c r="AC371" s="63"/>
    </row>
    <row r="372" spans="1:68" ht="27" customHeight="1" x14ac:dyDescent="0.25">
      <c r="A372" s="60" t="s">
        <v>613</v>
      </c>
      <c r="B372" s="60" t="s">
        <v>614</v>
      </c>
      <c r="C372" s="34">
        <v>4301060387</v>
      </c>
      <c r="D372" s="602">
        <v>4607091380880</v>
      </c>
      <c r="E372" s="602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68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04"/>
      <c r="R372" s="604"/>
      <c r="S372" s="604"/>
      <c r="T372" s="605"/>
      <c r="U372" s="37" t="s">
        <v>46</v>
      </c>
      <c r="V372" s="37" t="s">
        <v>46</v>
      </c>
      <c r="W372" s="38" t="s">
        <v>0</v>
      </c>
      <c r="X372" s="56">
        <v>360</v>
      </c>
      <c r="Y372" s="53">
        <f>IFERROR(IF(X372="",0,CEILING((X372/$H372),1)*$H372),"")</f>
        <v>361.2</v>
      </c>
      <c r="Z372" s="39">
        <f>IFERROR(IF(Y372=0,"",ROUNDUP(Y372/H372,0)*0.01898),"")</f>
        <v>0.81613999999999998</v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381.17142857142858</v>
      </c>
      <c r="BN372" s="75">
        <f>IFERROR(Y372*I372/H372,"0")</f>
        <v>382.44200000000001</v>
      </c>
      <c r="BO372" s="75">
        <f>IFERROR(1/J372*(X372/H372),"0")</f>
        <v>0.6696428571428571</v>
      </c>
      <c r="BP372" s="75">
        <f>IFERROR(1/J372*(Y372/H372),"0")</f>
        <v>0.671875</v>
      </c>
    </row>
    <row r="373" spans="1:68" ht="27" customHeight="1" x14ac:dyDescent="0.25">
      <c r="A373" s="60" t="s">
        <v>616</v>
      </c>
      <c r="B373" s="60" t="s">
        <v>617</v>
      </c>
      <c r="C373" s="34">
        <v>4301060406</v>
      </c>
      <c r="D373" s="602">
        <v>4607091384482</v>
      </c>
      <c r="E373" s="60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68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04"/>
      <c r="R373" s="604"/>
      <c r="S373" s="604"/>
      <c r="T373" s="605"/>
      <c r="U373" s="37" t="s">
        <v>46</v>
      </c>
      <c r="V373" s="37" t="s">
        <v>46</v>
      </c>
      <c r="W373" s="38" t="s">
        <v>0</v>
      </c>
      <c r="X373" s="56">
        <v>500</v>
      </c>
      <c r="Y373" s="53">
        <f>IFERROR(IF(X373="",0,CEILING((X373/$H373),1)*$H373),"")</f>
        <v>507</v>
      </c>
      <c r="Z373" s="39">
        <f>IFERROR(IF(Y373=0,"",ROUNDUP(Y373/H373,0)*0.01898),"")</f>
        <v>1.2337</v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531.66666666666663</v>
      </c>
      <c r="BN373" s="75">
        <f>IFERROR(Y373*I373/H373,"0")</f>
        <v>539.11</v>
      </c>
      <c r="BO373" s="75">
        <f>IFERROR(1/J373*(X373/H373),"0")</f>
        <v>1.0016025641025641</v>
      </c>
      <c r="BP373" s="75">
        <f>IFERROR(1/J373*(Y373/H373),"0")</f>
        <v>1.015625</v>
      </c>
    </row>
    <row r="374" spans="1:68" ht="16.5" customHeight="1" x14ac:dyDescent="0.25">
      <c r="A374" s="60" t="s">
        <v>619</v>
      </c>
      <c r="B374" s="60" t="s">
        <v>620</v>
      </c>
      <c r="C374" s="34">
        <v>4301060484</v>
      </c>
      <c r="D374" s="602">
        <v>4607091380897</v>
      </c>
      <c r="E374" s="602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68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04"/>
      <c r="R374" s="604"/>
      <c r="S374" s="604"/>
      <c r="T374" s="605"/>
      <c r="U374" s="37" t="s">
        <v>46</v>
      </c>
      <c r="V374" s="37" t="s">
        <v>46</v>
      </c>
      <c r="W374" s="38" t="s">
        <v>0</v>
      </c>
      <c r="X374" s="56">
        <v>110</v>
      </c>
      <c r="Y374" s="53">
        <f>IFERROR(IF(X374="",0,CEILING((X374/$H374),1)*$H374),"")</f>
        <v>117.60000000000001</v>
      </c>
      <c r="Z374" s="39">
        <f>IFERROR(IF(Y374=0,"",ROUNDUP(Y374/H374,0)*0.01898),"")</f>
        <v>0.26572000000000001</v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116.46904761904761</v>
      </c>
      <c r="BN374" s="75">
        <f>IFERROR(Y374*I374/H374,"0")</f>
        <v>124.51600000000001</v>
      </c>
      <c r="BO374" s="75">
        <f>IFERROR(1/J374*(X374/H374),"0")</f>
        <v>0.20461309523809523</v>
      </c>
      <c r="BP374" s="75">
        <f>IFERROR(1/J374*(Y374/H374),"0")</f>
        <v>0.21875</v>
      </c>
    </row>
    <row r="375" spans="1:68" x14ac:dyDescent="0.2">
      <c r="A375" s="609"/>
      <c r="B375" s="609"/>
      <c r="C375" s="609"/>
      <c r="D375" s="609"/>
      <c r="E375" s="609"/>
      <c r="F375" s="609"/>
      <c r="G375" s="609"/>
      <c r="H375" s="609"/>
      <c r="I375" s="609"/>
      <c r="J375" s="609"/>
      <c r="K375" s="609"/>
      <c r="L375" s="609"/>
      <c r="M375" s="609"/>
      <c r="N375" s="609"/>
      <c r="O375" s="610"/>
      <c r="P375" s="606" t="s">
        <v>40</v>
      </c>
      <c r="Q375" s="607"/>
      <c r="R375" s="607"/>
      <c r="S375" s="607"/>
      <c r="T375" s="607"/>
      <c r="U375" s="607"/>
      <c r="V375" s="608"/>
      <c r="W375" s="40" t="s">
        <v>39</v>
      </c>
      <c r="X375" s="41">
        <f>IFERROR(X372/H372,"0")+IFERROR(X373/H373,"0")+IFERROR(X374/H374,"0")</f>
        <v>120.05494505494505</v>
      </c>
      <c r="Y375" s="41">
        <f>IFERROR(Y372/H372,"0")+IFERROR(Y373/H373,"0")+IFERROR(Y374/H374,"0")</f>
        <v>122</v>
      </c>
      <c r="Z375" s="41">
        <f>IFERROR(IF(Z372="",0,Z372),"0")+IFERROR(IF(Z373="",0,Z373),"0")+IFERROR(IF(Z374="",0,Z374),"0")</f>
        <v>2.3155600000000001</v>
      </c>
      <c r="AA375" s="64"/>
      <c r="AB375" s="64"/>
      <c r="AC375" s="64"/>
    </row>
    <row r="376" spans="1:68" x14ac:dyDescent="0.2">
      <c r="A376" s="609"/>
      <c r="B376" s="609"/>
      <c r="C376" s="609"/>
      <c r="D376" s="609"/>
      <c r="E376" s="609"/>
      <c r="F376" s="609"/>
      <c r="G376" s="609"/>
      <c r="H376" s="609"/>
      <c r="I376" s="609"/>
      <c r="J376" s="609"/>
      <c r="K376" s="609"/>
      <c r="L376" s="609"/>
      <c r="M376" s="609"/>
      <c r="N376" s="609"/>
      <c r="O376" s="610"/>
      <c r="P376" s="606" t="s">
        <v>40</v>
      </c>
      <c r="Q376" s="607"/>
      <c r="R376" s="607"/>
      <c r="S376" s="607"/>
      <c r="T376" s="607"/>
      <c r="U376" s="607"/>
      <c r="V376" s="608"/>
      <c r="W376" s="40" t="s">
        <v>0</v>
      </c>
      <c r="X376" s="41">
        <f>IFERROR(SUM(X372:X374),"0")</f>
        <v>970</v>
      </c>
      <c r="Y376" s="41">
        <f>IFERROR(SUM(Y372:Y374),"0")</f>
        <v>985.80000000000007</v>
      </c>
      <c r="Z376" s="40"/>
      <c r="AA376" s="64"/>
      <c r="AB376" s="64"/>
      <c r="AC376" s="64"/>
    </row>
    <row r="377" spans="1:68" ht="14.25" hidden="1" customHeight="1" x14ac:dyDescent="0.25">
      <c r="A377" s="601" t="s">
        <v>107</v>
      </c>
      <c r="B377" s="601"/>
      <c r="C377" s="601"/>
      <c r="D377" s="601"/>
      <c r="E377" s="601"/>
      <c r="F377" s="601"/>
      <c r="G377" s="601"/>
      <c r="H377" s="601"/>
      <c r="I377" s="601"/>
      <c r="J377" s="601"/>
      <c r="K377" s="601"/>
      <c r="L377" s="601"/>
      <c r="M377" s="601"/>
      <c r="N377" s="601"/>
      <c r="O377" s="601"/>
      <c r="P377" s="601"/>
      <c r="Q377" s="601"/>
      <c r="R377" s="601"/>
      <c r="S377" s="601"/>
      <c r="T377" s="601"/>
      <c r="U377" s="601"/>
      <c r="V377" s="601"/>
      <c r="W377" s="601"/>
      <c r="X377" s="601"/>
      <c r="Y377" s="601"/>
      <c r="Z377" s="601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02">
        <v>4607091388381</v>
      </c>
      <c r="E378" s="602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6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04"/>
      <c r="R378" s="604"/>
      <c r="S378" s="604"/>
      <c r="T378" s="605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02">
        <v>4607091388374</v>
      </c>
      <c r="E379" s="602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6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04"/>
      <c r="R379" s="604"/>
      <c r="S379" s="604"/>
      <c r="T379" s="60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02">
        <v>4607091383102</v>
      </c>
      <c r="E380" s="602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6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04"/>
      <c r="R380" s="604"/>
      <c r="S380" s="604"/>
      <c r="T380" s="60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02">
        <v>4607091388404</v>
      </c>
      <c r="E381" s="602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6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04"/>
      <c r="R381" s="604"/>
      <c r="S381" s="604"/>
      <c r="T381" s="60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09"/>
      <c r="B382" s="609"/>
      <c r="C382" s="609"/>
      <c r="D382" s="609"/>
      <c r="E382" s="609"/>
      <c r="F382" s="609"/>
      <c r="G382" s="609"/>
      <c r="H382" s="609"/>
      <c r="I382" s="609"/>
      <c r="J382" s="609"/>
      <c r="K382" s="609"/>
      <c r="L382" s="609"/>
      <c r="M382" s="609"/>
      <c r="N382" s="609"/>
      <c r="O382" s="610"/>
      <c r="P382" s="606" t="s">
        <v>40</v>
      </c>
      <c r="Q382" s="607"/>
      <c r="R382" s="607"/>
      <c r="S382" s="607"/>
      <c r="T382" s="607"/>
      <c r="U382" s="607"/>
      <c r="V382" s="608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09"/>
      <c r="B383" s="609"/>
      <c r="C383" s="609"/>
      <c r="D383" s="609"/>
      <c r="E383" s="609"/>
      <c r="F383" s="609"/>
      <c r="G383" s="609"/>
      <c r="H383" s="609"/>
      <c r="I383" s="609"/>
      <c r="J383" s="609"/>
      <c r="K383" s="609"/>
      <c r="L383" s="609"/>
      <c r="M383" s="609"/>
      <c r="N383" s="609"/>
      <c r="O383" s="610"/>
      <c r="P383" s="606" t="s">
        <v>40</v>
      </c>
      <c r="Q383" s="607"/>
      <c r="R383" s="607"/>
      <c r="S383" s="607"/>
      <c r="T383" s="607"/>
      <c r="U383" s="607"/>
      <c r="V383" s="608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01" t="s">
        <v>631</v>
      </c>
      <c r="B384" s="601"/>
      <c r="C384" s="601"/>
      <c r="D384" s="601"/>
      <c r="E384" s="601"/>
      <c r="F384" s="601"/>
      <c r="G384" s="601"/>
      <c r="H384" s="601"/>
      <c r="I384" s="601"/>
      <c r="J384" s="601"/>
      <c r="K384" s="601"/>
      <c r="L384" s="601"/>
      <c r="M384" s="601"/>
      <c r="N384" s="601"/>
      <c r="O384" s="601"/>
      <c r="P384" s="601"/>
      <c r="Q384" s="601"/>
      <c r="R384" s="601"/>
      <c r="S384" s="601"/>
      <c r="T384" s="601"/>
      <c r="U384" s="601"/>
      <c r="V384" s="601"/>
      <c r="W384" s="601"/>
      <c r="X384" s="601"/>
      <c r="Y384" s="601"/>
      <c r="Z384" s="601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02">
        <v>4680115881808</v>
      </c>
      <c r="E385" s="602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6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04"/>
      <c r="R385" s="604"/>
      <c r="S385" s="604"/>
      <c r="T385" s="60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02">
        <v>4680115881822</v>
      </c>
      <c r="E386" s="602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6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04"/>
      <c r="R386" s="604"/>
      <c r="S386" s="604"/>
      <c r="T386" s="60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02">
        <v>4680115880016</v>
      </c>
      <c r="E387" s="602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67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04"/>
      <c r="R387" s="604"/>
      <c r="S387" s="604"/>
      <c r="T387" s="60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09"/>
      <c r="B388" s="609"/>
      <c r="C388" s="609"/>
      <c r="D388" s="609"/>
      <c r="E388" s="609"/>
      <c r="F388" s="609"/>
      <c r="G388" s="609"/>
      <c r="H388" s="609"/>
      <c r="I388" s="609"/>
      <c r="J388" s="609"/>
      <c r="K388" s="609"/>
      <c r="L388" s="609"/>
      <c r="M388" s="609"/>
      <c r="N388" s="609"/>
      <c r="O388" s="610"/>
      <c r="P388" s="606" t="s">
        <v>40</v>
      </c>
      <c r="Q388" s="607"/>
      <c r="R388" s="607"/>
      <c r="S388" s="607"/>
      <c r="T388" s="607"/>
      <c r="U388" s="607"/>
      <c r="V388" s="608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09"/>
      <c r="B389" s="609"/>
      <c r="C389" s="609"/>
      <c r="D389" s="609"/>
      <c r="E389" s="609"/>
      <c r="F389" s="609"/>
      <c r="G389" s="609"/>
      <c r="H389" s="609"/>
      <c r="I389" s="609"/>
      <c r="J389" s="609"/>
      <c r="K389" s="609"/>
      <c r="L389" s="609"/>
      <c r="M389" s="609"/>
      <c r="N389" s="609"/>
      <c r="O389" s="610"/>
      <c r="P389" s="606" t="s">
        <v>40</v>
      </c>
      <c r="Q389" s="607"/>
      <c r="R389" s="607"/>
      <c r="S389" s="607"/>
      <c r="T389" s="607"/>
      <c r="U389" s="607"/>
      <c r="V389" s="608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17" t="s">
        <v>640</v>
      </c>
      <c r="B390" s="617"/>
      <c r="C390" s="617"/>
      <c r="D390" s="617"/>
      <c r="E390" s="617"/>
      <c r="F390" s="617"/>
      <c r="G390" s="617"/>
      <c r="H390" s="617"/>
      <c r="I390" s="617"/>
      <c r="J390" s="617"/>
      <c r="K390" s="617"/>
      <c r="L390" s="617"/>
      <c r="M390" s="617"/>
      <c r="N390" s="617"/>
      <c r="O390" s="617"/>
      <c r="P390" s="617"/>
      <c r="Q390" s="617"/>
      <c r="R390" s="617"/>
      <c r="S390" s="617"/>
      <c r="T390" s="617"/>
      <c r="U390" s="617"/>
      <c r="V390" s="617"/>
      <c r="W390" s="617"/>
      <c r="X390" s="617"/>
      <c r="Y390" s="617"/>
      <c r="Z390" s="617"/>
      <c r="AA390" s="62"/>
      <c r="AB390" s="62"/>
      <c r="AC390" s="62"/>
    </row>
    <row r="391" spans="1:68" ht="14.25" hidden="1" customHeight="1" x14ac:dyDescent="0.25">
      <c r="A391" s="601" t="s">
        <v>86</v>
      </c>
      <c r="B391" s="601"/>
      <c r="C391" s="601"/>
      <c r="D391" s="601"/>
      <c r="E391" s="601"/>
      <c r="F391" s="601"/>
      <c r="G391" s="601"/>
      <c r="H391" s="601"/>
      <c r="I391" s="601"/>
      <c r="J391" s="601"/>
      <c r="K391" s="601"/>
      <c r="L391" s="601"/>
      <c r="M391" s="601"/>
      <c r="N391" s="601"/>
      <c r="O391" s="601"/>
      <c r="P391" s="601"/>
      <c r="Q391" s="601"/>
      <c r="R391" s="601"/>
      <c r="S391" s="601"/>
      <c r="T391" s="601"/>
      <c r="U391" s="601"/>
      <c r="V391" s="601"/>
      <c r="W391" s="601"/>
      <c r="X391" s="601"/>
      <c r="Y391" s="601"/>
      <c r="Z391" s="601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02">
        <v>4607091387919</v>
      </c>
      <c r="E392" s="602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6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04"/>
      <c r="R392" s="604"/>
      <c r="S392" s="604"/>
      <c r="T392" s="60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customHeight="1" x14ac:dyDescent="0.25">
      <c r="A393" s="60" t="s">
        <v>644</v>
      </c>
      <c r="B393" s="60" t="s">
        <v>645</v>
      </c>
      <c r="C393" s="34">
        <v>4301051461</v>
      </c>
      <c r="D393" s="602">
        <v>4680115883604</v>
      </c>
      <c r="E393" s="602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04"/>
      <c r="R393" s="604"/>
      <c r="S393" s="604"/>
      <c r="T393" s="605"/>
      <c r="U393" s="37" t="s">
        <v>46</v>
      </c>
      <c r="V393" s="37" t="s">
        <v>46</v>
      </c>
      <c r="W393" s="38" t="s">
        <v>0</v>
      </c>
      <c r="X393" s="56">
        <v>630</v>
      </c>
      <c r="Y393" s="53">
        <f>IFERROR(IF(X393="",0,CEILING((X393/$H393),1)*$H393),"")</f>
        <v>630</v>
      </c>
      <c r="Z393" s="39">
        <f>IFERROR(IF(Y393=0,"",ROUNDUP(Y393/H393,0)*0.00651),"")</f>
        <v>1.9530000000000001</v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705.59999999999991</v>
      </c>
      <c r="BN393" s="75">
        <f>IFERROR(Y393*I393/H393,"0")</f>
        <v>705.59999999999991</v>
      </c>
      <c r="BO393" s="75">
        <f>IFERROR(1/J393*(X393/H393),"0")</f>
        <v>1.6483516483516485</v>
      </c>
      <c r="BP393" s="75">
        <f>IFERROR(1/J393*(Y393/H393),"0")</f>
        <v>1.6483516483516485</v>
      </c>
    </row>
    <row r="394" spans="1:68" ht="27" customHeight="1" x14ac:dyDescent="0.25">
      <c r="A394" s="60" t="s">
        <v>647</v>
      </c>
      <c r="B394" s="60" t="s">
        <v>648</v>
      </c>
      <c r="C394" s="34">
        <v>4301051864</v>
      </c>
      <c r="D394" s="602">
        <v>4680115883567</v>
      </c>
      <c r="E394" s="602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67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04"/>
      <c r="R394" s="604"/>
      <c r="S394" s="604"/>
      <c r="T394" s="605"/>
      <c r="U394" s="37" t="s">
        <v>46</v>
      </c>
      <c r="V394" s="37" t="s">
        <v>46</v>
      </c>
      <c r="W394" s="38" t="s">
        <v>0</v>
      </c>
      <c r="X394" s="56">
        <v>244.99999999999997</v>
      </c>
      <c r="Y394" s="53">
        <f>IFERROR(IF(X394="",0,CEILING((X394/$H394),1)*$H394),"")</f>
        <v>245.70000000000002</v>
      </c>
      <c r="Z394" s="39">
        <f>IFERROR(IF(Y394=0,"",ROUNDUP(Y394/H394,0)*0.00651),"")</f>
        <v>0.76167000000000007</v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272.99999999999994</v>
      </c>
      <c r="BN394" s="75">
        <f>IFERROR(Y394*I394/H394,"0")</f>
        <v>273.77999999999997</v>
      </c>
      <c r="BO394" s="75">
        <f>IFERROR(1/J394*(X394/H394),"0")</f>
        <v>0.64102564102564097</v>
      </c>
      <c r="BP394" s="75">
        <f>IFERROR(1/J394*(Y394/H394),"0")</f>
        <v>0.6428571428571429</v>
      </c>
    </row>
    <row r="395" spans="1:68" x14ac:dyDescent="0.2">
      <c r="A395" s="609"/>
      <c r="B395" s="609"/>
      <c r="C395" s="609"/>
      <c r="D395" s="609"/>
      <c r="E395" s="609"/>
      <c r="F395" s="609"/>
      <c r="G395" s="609"/>
      <c r="H395" s="609"/>
      <c r="I395" s="609"/>
      <c r="J395" s="609"/>
      <c r="K395" s="609"/>
      <c r="L395" s="609"/>
      <c r="M395" s="609"/>
      <c r="N395" s="609"/>
      <c r="O395" s="610"/>
      <c r="P395" s="606" t="s">
        <v>40</v>
      </c>
      <c r="Q395" s="607"/>
      <c r="R395" s="607"/>
      <c r="S395" s="607"/>
      <c r="T395" s="607"/>
      <c r="U395" s="607"/>
      <c r="V395" s="608"/>
      <c r="W395" s="40" t="s">
        <v>39</v>
      </c>
      <c r="X395" s="41">
        <f>IFERROR(X392/H392,"0")+IFERROR(X393/H393,"0")+IFERROR(X394/H394,"0")</f>
        <v>416.66666666666663</v>
      </c>
      <c r="Y395" s="41">
        <f>IFERROR(Y392/H392,"0")+IFERROR(Y393/H393,"0")+IFERROR(Y394/H394,"0")</f>
        <v>417</v>
      </c>
      <c r="Z395" s="41">
        <f>IFERROR(IF(Z392="",0,Z392),"0")+IFERROR(IF(Z393="",0,Z393),"0")+IFERROR(IF(Z394="",0,Z394),"0")</f>
        <v>2.7146699999999999</v>
      </c>
      <c r="AA395" s="64"/>
      <c r="AB395" s="64"/>
      <c r="AC395" s="64"/>
    </row>
    <row r="396" spans="1:68" x14ac:dyDescent="0.2">
      <c r="A396" s="609"/>
      <c r="B396" s="609"/>
      <c r="C396" s="609"/>
      <c r="D396" s="609"/>
      <c r="E396" s="609"/>
      <c r="F396" s="609"/>
      <c r="G396" s="609"/>
      <c r="H396" s="609"/>
      <c r="I396" s="609"/>
      <c r="J396" s="609"/>
      <c r="K396" s="609"/>
      <c r="L396" s="609"/>
      <c r="M396" s="609"/>
      <c r="N396" s="609"/>
      <c r="O396" s="610"/>
      <c r="P396" s="606" t="s">
        <v>40</v>
      </c>
      <c r="Q396" s="607"/>
      <c r="R396" s="607"/>
      <c r="S396" s="607"/>
      <c r="T396" s="607"/>
      <c r="U396" s="607"/>
      <c r="V396" s="608"/>
      <c r="W396" s="40" t="s">
        <v>0</v>
      </c>
      <c r="X396" s="41">
        <f>IFERROR(SUM(X392:X394),"0")</f>
        <v>875</v>
      </c>
      <c r="Y396" s="41">
        <f>IFERROR(SUM(Y392:Y394),"0")</f>
        <v>875.7</v>
      </c>
      <c r="Z396" s="40"/>
      <c r="AA396" s="64"/>
      <c r="AB396" s="64"/>
      <c r="AC396" s="64"/>
    </row>
    <row r="397" spans="1:68" ht="27.75" hidden="1" customHeight="1" x14ac:dyDescent="0.2">
      <c r="A397" s="622" t="s">
        <v>650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52"/>
      <c r="AB397" s="52"/>
      <c r="AC397" s="52"/>
    </row>
    <row r="398" spans="1:68" ht="16.5" hidden="1" customHeight="1" x14ac:dyDescent="0.25">
      <c r="A398" s="617" t="s">
        <v>651</v>
      </c>
      <c r="B398" s="617"/>
      <c r="C398" s="617"/>
      <c r="D398" s="617"/>
      <c r="E398" s="617"/>
      <c r="F398" s="617"/>
      <c r="G398" s="617"/>
      <c r="H398" s="617"/>
      <c r="I398" s="617"/>
      <c r="J398" s="617"/>
      <c r="K398" s="617"/>
      <c r="L398" s="617"/>
      <c r="M398" s="617"/>
      <c r="N398" s="617"/>
      <c r="O398" s="617"/>
      <c r="P398" s="617"/>
      <c r="Q398" s="617"/>
      <c r="R398" s="617"/>
      <c r="S398" s="617"/>
      <c r="T398" s="617"/>
      <c r="U398" s="617"/>
      <c r="V398" s="617"/>
      <c r="W398" s="617"/>
      <c r="X398" s="617"/>
      <c r="Y398" s="617"/>
      <c r="Z398" s="617"/>
      <c r="AA398" s="62"/>
      <c r="AB398" s="62"/>
      <c r="AC398" s="62"/>
    </row>
    <row r="399" spans="1:68" ht="14.25" hidden="1" customHeight="1" x14ac:dyDescent="0.25">
      <c r="A399" s="601" t="s">
        <v>128</v>
      </c>
      <c r="B399" s="601"/>
      <c r="C399" s="601"/>
      <c r="D399" s="601"/>
      <c r="E399" s="601"/>
      <c r="F399" s="601"/>
      <c r="G399" s="601"/>
      <c r="H399" s="601"/>
      <c r="I399" s="601"/>
      <c r="J399" s="601"/>
      <c r="K399" s="601"/>
      <c r="L399" s="601"/>
      <c r="M399" s="601"/>
      <c r="N399" s="601"/>
      <c r="O399" s="601"/>
      <c r="P399" s="601"/>
      <c r="Q399" s="601"/>
      <c r="R399" s="601"/>
      <c r="S399" s="601"/>
      <c r="T399" s="601"/>
      <c r="U399" s="601"/>
      <c r="V399" s="601"/>
      <c r="W399" s="601"/>
      <c r="X399" s="601"/>
      <c r="Y399" s="601"/>
      <c r="Z399" s="601"/>
      <c r="AA399" s="63"/>
      <c r="AB399" s="63"/>
      <c r="AC399" s="63"/>
    </row>
    <row r="400" spans="1:68" ht="27" customHeight="1" x14ac:dyDescent="0.25">
      <c r="A400" s="60" t="s">
        <v>652</v>
      </c>
      <c r="B400" s="60" t="s">
        <v>653</v>
      </c>
      <c r="C400" s="34">
        <v>4301012332</v>
      </c>
      <c r="D400" s="602">
        <v>4680115888401</v>
      </c>
      <c r="E400" s="602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67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04"/>
      <c r="R400" s="604"/>
      <c r="S400" s="604"/>
      <c r="T400" s="605"/>
      <c r="U400" s="37" t="s">
        <v>46</v>
      </c>
      <c r="V400" s="37" t="s">
        <v>46</v>
      </c>
      <c r="W400" s="38" t="s">
        <v>0</v>
      </c>
      <c r="X400" s="56">
        <v>120</v>
      </c>
      <c r="Y400" s="53">
        <f t="shared" ref="Y400:Y407" si="57">IFERROR(IF(X400="",0,CEILING((X400/$H400),1)*$H400),"")</f>
        <v>120</v>
      </c>
      <c r="Z400" s="39">
        <f>IFERROR(IF(Y400=0,"",ROUNDUP(Y400/H400,0)*0.02175),"")</f>
        <v>0.17399999999999999</v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123.76</v>
      </c>
      <c r="BN400" s="75">
        <f t="shared" ref="BN400:BN407" si="59">IFERROR(Y400*I400/H400,"0")</f>
        <v>123.76</v>
      </c>
      <c r="BO400" s="75">
        <f t="shared" ref="BO400:BO407" si="60">IFERROR(1/J400*(X400/H400),"0")</f>
        <v>0.16666666666666666</v>
      </c>
      <c r="BP400" s="75">
        <f t="shared" ref="BP400:BP407" si="61">IFERROR(1/J400*(Y400/H400),"0")</f>
        <v>0.16666666666666666</v>
      </c>
    </row>
    <row r="401" spans="1:68" ht="37.5" customHeight="1" x14ac:dyDescent="0.25">
      <c r="A401" s="60" t="s">
        <v>655</v>
      </c>
      <c r="B401" s="60" t="s">
        <v>656</v>
      </c>
      <c r="C401" s="34">
        <v>4301011869</v>
      </c>
      <c r="D401" s="602">
        <v>4680115884847</v>
      </c>
      <c r="E401" s="602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67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04"/>
      <c r="R401" s="604"/>
      <c r="S401" s="604"/>
      <c r="T401" s="605"/>
      <c r="U401" s="37" t="s">
        <v>46</v>
      </c>
      <c r="V401" s="37" t="s">
        <v>46</v>
      </c>
      <c r="W401" s="38" t="s">
        <v>0</v>
      </c>
      <c r="X401" s="56">
        <v>1500</v>
      </c>
      <c r="Y401" s="53">
        <f t="shared" si="57"/>
        <v>1500</v>
      </c>
      <c r="Z401" s="39">
        <f>IFERROR(IF(Y401=0,"",ROUNDUP(Y401/H401,0)*0.02175),"")</f>
        <v>2.1749999999999998</v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1547</v>
      </c>
      <c r="BN401" s="75">
        <f t="shared" si="59"/>
        <v>1547</v>
      </c>
      <c r="BO401" s="75">
        <f t="shared" si="60"/>
        <v>2.083333333333333</v>
      </c>
      <c r="BP401" s="75">
        <f t="shared" si="61"/>
        <v>2.083333333333333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02">
        <v>4680115884854</v>
      </c>
      <c r="E402" s="602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6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04"/>
      <c r="R402" s="604"/>
      <c r="S402" s="604"/>
      <c r="T402" s="605"/>
      <c r="U402" s="37" t="s">
        <v>46</v>
      </c>
      <c r="V402" s="37" t="s">
        <v>46</v>
      </c>
      <c r="W402" s="38" t="s">
        <v>0</v>
      </c>
      <c r="X402" s="56">
        <v>800</v>
      </c>
      <c r="Y402" s="53">
        <f t="shared" si="57"/>
        <v>810</v>
      </c>
      <c r="Z402" s="39">
        <f>IFERROR(IF(Y402=0,"",ROUNDUP(Y402/H402,0)*0.02175),"")</f>
        <v>1.1744999999999999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825.06666666666672</v>
      </c>
      <c r="BN402" s="75">
        <f t="shared" si="59"/>
        <v>835.38</v>
      </c>
      <c r="BO402" s="75">
        <f t="shared" si="60"/>
        <v>1.1111111111111112</v>
      </c>
      <c r="BP402" s="75">
        <f t="shared" si="61"/>
        <v>1.125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02">
        <v>4680115884830</v>
      </c>
      <c r="E403" s="602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6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04"/>
      <c r="R403" s="604"/>
      <c r="S403" s="604"/>
      <c r="T403" s="605"/>
      <c r="U403" s="37" t="s">
        <v>46</v>
      </c>
      <c r="V403" s="37" t="s">
        <v>46</v>
      </c>
      <c r="W403" s="38" t="s">
        <v>0</v>
      </c>
      <c r="X403" s="56">
        <v>400</v>
      </c>
      <c r="Y403" s="53">
        <f t="shared" si="57"/>
        <v>405</v>
      </c>
      <c r="Z403" s="39">
        <f>IFERROR(IF(Y403=0,"",ROUNDUP(Y403/H403,0)*0.02175),"")</f>
        <v>0.58724999999999994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412.53333333333336</v>
      </c>
      <c r="BN403" s="75">
        <f t="shared" si="59"/>
        <v>417.69</v>
      </c>
      <c r="BO403" s="75">
        <f t="shared" si="60"/>
        <v>0.55555555555555558</v>
      </c>
      <c r="BP403" s="75">
        <f t="shared" si="61"/>
        <v>0.5625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02">
        <v>4680115889231</v>
      </c>
      <c r="E404" s="602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66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04"/>
      <c r="R404" s="604"/>
      <c r="S404" s="604"/>
      <c r="T404" s="605"/>
      <c r="U404" s="37" t="s">
        <v>46</v>
      </c>
      <c r="V404" s="37" t="s">
        <v>46</v>
      </c>
      <c r="W404" s="38" t="s">
        <v>0</v>
      </c>
      <c r="X404" s="56">
        <v>1000</v>
      </c>
      <c r="Y404" s="53">
        <f t="shared" si="57"/>
        <v>1005</v>
      </c>
      <c r="Z404" s="39">
        <f>IFERROR(IF(Y404=0,"",ROUNDUP(Y404/H404,0)*0.02175),"")</f>
        <v>1.4572499999999999</v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1031.3333333333333</v>
      </c>
      <c r="BN404" s="75">
        <f t="shared" si="59"/>
        <v>1036.49</v>
      </c>
      <c r="BO404" s="75">
        <f t="shared" si="60"/>
        <v>1.3888888888888888</v>
      </c>
      <c r="BP404" s="75">
        <f t="shared" si="61"/>
        <v>1.3958333333333333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02">
        <v>4680115882638</v>
      </c>
      <c r="E405" s="602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66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04"/>
      <c r="R405" s="604"/>
      <c r="S405" s="604"/>
      <c r="T405" s="605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02">
        <v>4680115884922</v>
      </c>
      <c r="E406" s="602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66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04"/>
      <c r="R406" s="604"/>
      <c r="S406" s="604"/>
      <c r="T406" s="605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02">
        <v>4680115884861</v>
      </c>
      <c r="E407" s="602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67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04"/>
      <c r="R407" s="604"/>
      <c r="S407" s="604"/>
      <c r="T407" s="605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09"/>
      <c r="B408" s="609"/>
      <c r="C408" s="609"/>
      <c r="D408" s="609"/>
      <c r="E408" s="609"/>
      <c r="F408" s="609"/>
      <c r="G408" s="609"/>
      <c r="H408" s="609"/>
      <c r="I408" s="609"/>
      <c r="J408" s="609"/>
      <c r="K408" s="609"/>
      <c r="L408" s="609"/>
      <c r="M408" s="609"/>
      <c r="N408" s="609"/>
      <c r="O408" s="610"/>
      <c r="P408" s="606" t="s">
        <v>40</v>
      </c>
      <c r="Q408" s="607"/>
      <c r="R408" s="607"/>
      <c r="S408" s="607"/>
      <c r="T408" s="607"/>
      <c r="U408" s="607"/>
      <c r="V408" s="608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254.66666666666669</v>
      </c>
      <c r="Y408" s="41">
        <f>IFERROR(Y400/H400,"0")+IFERROR(Y401/H401,"0")+IFERROR(Y402/H402,"0")+IFERROR(Y403/H403,"0")+IFERROR(Y404/H404,"0")+IFERROR(Y405/H405,"0")+IFERROR(Y406/H406,"0")+IFERROR(Y407/H407,"0")</f>
        <v>256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5.5679999999999996</v>
      </c>
      <c r="AA408" s="64"/>
      <c r="AB408" s="64"/>
      <c r="AC408" s="64"/>
    </row>
    <row r="409" spans="1:68" x14ac:dyDescent="0.2">
      <c r="A409" s="609"/>
      <c r="B409" s="609"/>
      <c r="C409" s="609"/>
      <c r="D409" s="609"/>
      <c r="E409" s="609"/>
      <c r="F409" s="609"/>
      <c r="G409" s="609"/>
      <c r="H409" s="609"/>
      <c r="I409" s="609"/>
      <c r="J409" s="609"/>
      <c r="K409" s="609"/>
      <c r="L409" s="609"/>
      <c r="M409" s="609"/>
      <c r="N409" s="609"/>
      <c r="O409" s="610"/>
      <c r="P409" s="606" t="s">
        <v>40</v>
      </c>
      <c r="Q409" s="607"/>
      <c r="R409" s="607"/>
      <c r="S409" s="607"/>
      <c r="T409" s="607"/>
      <c r="U409" s="607"/>
      <c r="V409" s="608"/>
      <c r="W409" s="40" t="s">
        <v>0</v>
      </c>
      <c r="X409" s="41">
        <f>IFERROR(SUM(X400:X407),"0")</f>
        <v>3820</v>
      </c>
      <c r="Y409" s="41">
        <f>IFERROR(SUM(Y400:Y407),"0")</f>
        <v>3840</v>
      </c>
      <c r="Z409" s="40"/>
      <c r="AA409" s="64"/>
      <c r="AB409" s="64"/>
      <c r="AC409" s="64"/>
    </row>
    <row r="410" spans="1:68" ht="14.25" hidden="1" customHeight="1" x14ac:dyDescent="0.25">
      <c r="A410" s="601" t="s">
        <v>163</v>
      </c>
      <c r="B410" s="601"/>
      <c r="C410" s="601"/>
      <c r="D410" s="601"/>
      <c r="E410" s="601"/>
      <c r="F410" s="601"/>
      <c r="G410" s="601"/>
      <c r="H410" s="601"/>
      <c r="I410" s="601"/>
      <c r="J410" s="601"/>
      <c r="K410" s="601"/>
      <c r="L410" s="601"/>
      <c r="M410" s="601"/>
      <c r="N410" s="601"/>
      <c r="O410" s="601"/>
      <c r="P410" s="601"/>
      <c r="Q410" s="601"/>
      <c r="R410" s="601"/>
      <c r="S410" s="601"/>
      <c r="T410" s="601"/>
      <c r="U410" s="601"/>
      <c r="V410" s="601"/>
      <c r="W410" s="601"/>
      <c r="X410" s="601"/>
      <c r="Y410" s="601"/>
      <c r="Z410" s="601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02">
        <v>4607091383980</v>
      </c>
      <c r="E411" s="602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66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04"/>
      <c r="R411" s="604"/>
      <c r="S411" s="604"/>
      <c r="T411" s="605"/>
      <c r="U411" s="37" t="s">
        <v>46</v>
      </c>
      <c r="V411" s="37" t="s">
        <v>46</v>
      </c>
      <c r="W411" s="38" t="s">
        <v>0</v>
      </c>
      <c r="X411" s="56">
        <v>1000</v>
      </c>
      <c r="Y411" s="53">
        <f>IFERROR(IF(X411="",0,CEILING((X411/$H411),1)*$H411),"")</f>
        <v>1005</v>
      </c>
      <c r="Z411" s="39">
        <f>IFERROR(IF(Y411=0,"",ROUNDUP(Y411/H411,0)*0.02175),"")</f>
        <v>1.4572499999999999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1031.3333333333333</v>
      </c>
      <c r="BN411" s="75">
        <f>IFERROR(Y411*I411/H411,"0")</f>
        <v>1036.49</v>
      </c>
      <c r="BO411" s="75">
        <f>IFERROR(1/J411*(X411/H411),"0")</f>
        <v>1.3888888888888888</v>
      </c>
      <c r="BP411" s="75">
        <f>IFERROR(1/J411*(Y411/H411),"0")</f>
        <v>1.3958333333333333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02">
        <v>4680115888425</v>
      </c>
      <c r="E412" s="602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6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04"/>
      <c r="R412" s="604"/>
      <c r="S412" s="604"/>
      <c r="T412" s="605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02">
        <v>4607091384178</v>
      </c>
      <c r="E413" s="602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66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04"/>
      <c r="R413" s="604"/>
      <c r="S413" s="604"/>
      <c r="T413" s="605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09"/>
      <c r="B414" s="609"/>
      <c r="C414" s="609"/>
      <c r="D414" s="609"/>
      <c r="E414" s="609"/>
      <c r="F414" s="609"/>
      <c r="G414" s="609"/>
      <c r="H414" s="609"/>
      <c r="I414" s="609"/>
      <c r="J414" s="609"/>
      <c r="K414" s="609"/>
      <c r="L414" s="609"/>
      <c r="M414" s="609"/>
      <c r="N414" s="609"/>
      <c r="O414" s="610"/>
      <c r="P414" s="606" t="s">
        <v>40</v>
      </c>
      <c r="Q414" s="607"/>
      <c r="R414" s="607"/>
      <c r="S414" s="607"/>
      <c r="T414" s="607"/>
      <c r="U414" s="607"/>
      <c r="V414" s="608"/>
      <c r="W414" s="40" t="s">
        <v>39</v>
      </c>
      <c r="X414" s="41">
        <f>IFERROR(X411/H411,"0")+IFERROR(X412/H412,"0")+IFERROR(X413/H413,"0")</f>
        <v>66.666666666666671</v>
      </c>
      <c r="Y414" s="41">
        <f>IFERROR(Y411/H411,"0")+IFERROR(Y412/H412,"0")+IFERROR(Y413/H413,"0")</f>
        <v>67</v>
      </c>
      <c r="Z414" s="41">
        <f>IFERROR(IF(Z411="",0,Z411),"0")+IFERROR(IF(Z412="",0,Z412),"0")+IFERROR(IF(Z413="",0,Z413),"0")</f>
        <v>1.4572499999999999</v>
      </c>
      <c r="AA414" s="64"/>
      <c r="AB414" s="64"/>
      <c r="AC414" s="64"/>
    </row>
    <row r="415" spans="1:68" x14ac:dyDescent="0.2">
      <c r="A415" s="609"/>
      <c r="B415" s="609"/>
      <c r="C415" s="609"/>
      <c r="D415" s="609"/>
      <c r="E415" s="609"/>
      <c r="F415" s="609"/>
      <c r="G415" s="609"/>
      <c r="H415" s="609"/>
      <c r="I415" s="609"/>
      <c r="J415" s="609"/>
      <c r="K415" s="609"/>
      <c r="L415" s="609"/>
      <c r="M415" s="609"/>
      <c r="N415" s="609"/>
      <c r="O415" s="610"/>
      <c r="P415" s="606" t="s">
        <v>40</v>
      </c>
      <c r="Q415" s="607"/>
      <c r="R415" s="607"/>
      <c r="S415" s="607"/>
      <c r="T415" s="607"/>
      <c r="U415" s="607"/>
      <c r="V415" s="608"/>
      <c r="W415" s="40" t="s">
        <v>0</v>
      </c>
      <c r="X415" s="41">
        <f>IFERROR(SUM(X411:X413),"0")</f>
        <v>1000</v>
      </c>
      <c r="Y415" s="41">
        <f>IFERROR(SUM(Y411:Y413),"0")</f>
        <v>1005</v>
      </c>
      <c r="Z415" s="40"/>
      <c r="AA415" s="64"/>
      <c r="AB415" s="64"/>
      <c r="AC415" s="64"/>
    </row>
    <row r="416" spans="1:68" ht="14.25" hidden="1" customHeight="1" x14ac:dyDescent="0.25">
      <c r="A416" s="601" t="s">
        <v>86</v>
      </c>
      <c r="B416" s="601"/>
      <c r="C416" s="601"/>
      <c r="D416" s="601"/>
      <c r="E416" s="601"/>
      <c r="F416" s="601"/>
      <c r="G416" s="601"/>
      <c r="H416" s="601"/>
      <c r="I416" s="601"/>
      <c r="J416" s="601"/>
      <c r="K416" s="601"/>
      <c r="L416" s="601"/>
      <c r="M416" s="601"/>
      <c r="N416" s="601"/>
      <c r="O416" s="601"/>
      <c r="P416" s="601"/>
      <c r="Q416" s="601"/>
      <c r="R416" s="601"/>
      <c r="S416" s="601"/>
      <c r="T416" s="601"/>
      <c r="U416" s="601"/>
      <c r="V416" s="601"/>
      <c r="W416" s="601"/>
      <c r="X416" s="601"/>
      <c r="Y416" s="601"/>
      <c r="Z416" s="601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02">
        <v>4607091383928</v>
      </c>
      <c r="E417" s="602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66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04"/>
      <c r="R417" s="604"/>
      <c r="S417" s="604"/>
      <c r="T417" s="605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02">
        <v>4607091384260</v>
      </c>
      <c r="E418" s="602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66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04"/>
      <c r="R418" s="604"/>
      <c r="S418" s="604"/>
      <c r="T418" s="605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09"/>
      <c r="B419" s="609"/>
      <c r="C419" s="609"/>
      <c r="D419" s="609"/>
      <c r="E419" s="609"/>
      <c r="F419" s="609"/>
      <c r="G419" s="609"/>
      <c r="H419" s="609"/>
      <c r="I419" s="609"/>
      <c r="J419" s="609"/>
      <c r="K419" s="609"/>
      <c r="L419" s="609"/>
      <c r="M419" s="609"/>
      <c r="N419" s="609"/>
      <c r="O419" s="610"/>
      <c r="P419" s="606" t="s">
        <v>40</v>
      </c>
      <c r="Q419" s="607"/>
      <c r="R419" s="607"/>
      <c r="S419" s="607"/>
      <c r="T419" s="607"/>
      <c r="U419" s="607"/>
      <c r="V419" s="608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09"/>
      <c r="B420" s="609"/>
      <c r="C420" s="609"/>
      <c r="D420" s="609"/>
      <c r="E420" s="609"/>
      <c r="F420" s="609"/>
      <c r="G420" s="609"/>
      <c r="H420" s="609"/>
      <c r="I420" s="609"/>
      <c r="J420" s="609"/>
      <c r="K420" s="609"/>
      <c r="L420" s="609"/>
      <c r="M420" s="609"/>
      <c r="N420" s="609"/>
      <c r="O420" s="610"/>
      <c r="P420" s="606" t="s">
        <v>40</v>
      </c>
      <c r="Q420" s="607"/>
      <c r="R420" s="607"/>
      <c r="S420" s="607"/>
      <c r="T420" s="607"/>
      <c r="U420" s="607"/>
      <c r="V420" s="608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01" t="s">
        <v>180</v>
      </c>
      <c r="B421" s="601"/>
      <c r="C421" s="601"/>
      <c r="D421" s="601"/>
      <c r="E421" s="601"/>
      <c r="F421" s="601"/>
      <c r="G421" s="601"/>
      <c r="H421" s="601"/>
      <c r="I421" s="601"/>
      <c r="J421" s="601"/>
      <c r="K421" s="601"/>
      <c r="L421" s="601"/>
      <c r="M421" s="601"/>
      <c r="N421" s="601"/>
      <c r="O421" s="601"/>
      <c r="P421" s="601"/>
      <c r="Q421" s="601"/>
      <c r="R421" s="601"/>
      <c r="S421" s="601"/>
      <c r="T421" s="601"/>
      <c r="U421" s="601"/>
      <c r="V421" s="601"/>
      <c r="W421" s="601"/>
      <c r="X421" s="601"/>
      <c r="Y421" s="601"/>
      <c r="Z421" s="601"/>
      <c r="AA421" s="63"/>
      <c r="AB421" s="63"/>
      <c r="AC421" s="63"/>
    </row>
    <row r="422" spans="1:68" ht="16.5" customHeight="1" x14ac:dyDescent="0.25">
      <c r="A422" s="60" t="s">
        <v>691</v>
      </c>
      <c r="B422" s="60" t="s">
        <v>692</v>
      </c>
      <c r="C422" s="34">
        <v>4301060524</v>
      </c>
      <c r="D422" s="602">
        <v>4607091384673</v>
      </c>
      <c r="E422" s="602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6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04"/>
      <c r="R422" s="604"/>
      <c r="S422" s="604"/>
      <c r="T422" s="605"/>
      <c r="U422" s="37" t="s">
        <v>46</v>
      </c>
      <c r="V422" s="37" t="s">
        <v>46</v>
      </c>
      <c r="W422" s="38" t="s">
        <v>0</v>
      </c>
      <c r="X422" s="56">
        <v>30</v>
      </c>
      <c r="Y422" s="53">
        <f>IFERROR(IF(X422="",0,CEILING((X422/$H422),1)*$H422),"")</f>
        <v>36</v>
      </c>
      <c r="Z422" s="39">
        <f>IFERROR(IF(Y422=0,"",ROUNDUP(Y422/H422,0)*0.01898),"")</f>
        <v>7.5920000000000001E-2</v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31.646666666666665</v>
      </c>
      <c r="BN422" s="75">
        <f>IFERROR(Y422*I422/H422,"0")</f>
        <v>37.975999999999999</v>
      </c>
      <c r="BO422" s="75">
        <f>IFERROR(1/J422*(X422/H422),"0")</f>
        <v>5.2083333333333336E-2</v>
      </c>
      <c r="BP422" s="75">
        <f>IFERROR(1/J422*(Y422/H422),"0")</f>
        <v>6.25E-2</v>
      </c>
    </row>
    <row r="423" spans="1:68" x14ac:dyDescent="0.2">
      <c r="A423" s="609"/>
      <c r="B423" s="609"/>
      <c r="C423" s="609"/>
      <c r="D423" s="609"/>
      <c r="E423" s="609"/>
      <c r="F423" s="609"/>
      <c r="G423" s="609"/>
      <c r="H423" s="609"/>
      <c r="I423" s="609"/>
      <c r="J423" s="609"/>
      <c r="K423" s="609"/>
      <c r="L423" s="609"/>
      <c r="M423" s="609"/>
      <c r="N423" s="609"/>
      <c r="O423" s="610"/>
      <c r="P423" s="606" t="s">
        <v>40</v>
      </c>
      <c r="Q423" s="607"/>
      <c r="R423" s="607"/>
      <c r="S423" s="607"/>
      <c r="T423" s="607"/>
      <c r="U423" s="607"/>
      <c r="V423" s="608"/>
      <c r="W423" s="40" t="s">
        <v>39</v>
      </c>
      <c r="X423" s="41">
        <f>IFERROR(X422/H422,"0")</f>
        <v>3.3333333333333335</v>
      </c>
      <c r="Y423" s="41">
        <f>IFERROR(Y422/H422,"0")</f>
        <v>4</v>
      </c>
      <c r="Z423" s="41">
        <f>IFERROR(IF(Z422="",0,Z422),"0")</f>
        <v>7.5920000000000001E-2</v>
      </c>
      <c r="AA423" s="64"/>
      <c r="AB423" s="64"/>
      <c r="AC423" s="64"/>
    </row>
    <row r="424" spans="1:68" x14ac:dyDescent="0.2">
      <c r="A424" s="609"/>
      <c r="B424" s="609"/>
      <c r="C424" s="609"/>
      <c r="D424" s="609"/>
      <c r="E424" s="609"/>
      <c r="F424" s="609"/>
      <c r="G424" s="609"/>
      <c r="H424" s="609"/>
      <c r="I424" s="609"/>
      <c r="J424" s="609"/>
      <c r="K424" s="609"/>
      <c r="L424" s="609"/>
      <c r="M424" s="609"/>
      <c r="N424" s="609"/>
      <c r="O424" s="610"/>
      <c r="P424" s="606" t="s">
        <v>40</v>
      </c>
      <c r="Q424" s="607"/>
      <c r="R424" s="607"/>
      <c r="S424" s="607"/>
      <c r="T424" s="607"/>
      <c r="U424" s="607"/>
      <c r="V424" s="608"/>
      <c r="W424" s="40" t="s">
        <v>0</v>
      </c>
      <c r="X424" s="41">
        <f>IFERROR(SUM(X422:X422),"0")</f>
        <v>30</v>
      </c>
      <c r="Y424" s="41">
        <f>IFERROR(SUM(Y422:Y422),"0")</f>
        <v>36</v>
      </c>
      <c r="Z424" s="40"/>
      <c r="AA424" s="64"/>
      <c r="AB424" s="64"/>
      <c r="AC424" s="64"/>
    </row>
    <row r="425" spans="1:68" ht="16.5" hidden="1" customHeight="1" x14ac:dyDescent="0.25">
      <c r="A425" s="617" t="s">
        <v>694</v>
      </c>
      <c r="B425" s="617"/>
      <c r="C425" s="617"/>
      <c r="D425" s="617"/>
      <c r="E425" s="617"/>
      <c r="F425" s="617"/>
      <c r="G425" s="617"/>
      <c r="H425" s="617"/>
      <c r="I425" s="617"/>
      <c r="J425" s="617"/>
      <c r="K425" s="617"/>
      <c r="L425" s="617"/>
      <c r="M425" s="617"/>
      <c r="N425" s="617"/>
      <c r="O425" s="617"/>
      <c r="P425" s="617"/>
      <c r="Q425" s="617"/>
      <c r="R425" s="617"/>
      <c r="S425" s="617"/>
      <c r="T425" s="617"/>
      <c r="U425" s="617"/>
      <c r="V425" s="617"/>
      <c r="W425" s="617"/>
      <c r="X425" s="617"/>
      <c r="Y425" s="617"/>
      <c r="Z425" s="617"/>
      <c r="AA425" s="62"/>
      <c r="AB425" s="62"/>
      <c r="AC425" s="62"/>
    </row>
    <row r="426" spans="1:68" ht="14.25" hidden="1" customHeight="1" x14ac:dyDescent="0.25">
      <c r="A426" s="601" t="s">
        <v>128</v>
      </c>
      <c r="B426" s="601"/>
      <c r="C426" s="601"/>
      <c r="D426" s="601"/>
      <c r="E426" s="601"/>
      <c r="F426" s="601"/>
      <c r="G426" s="601"/>
      <c r="H426" s="601"/>
      <c r="I426" s="601"/>
      <c r="J426" s="601"/>
      <c r="K426" s="601"/>
      <c r="L426" s="601"/>
      <c r="M426" s="601"/>
      <c r="N426" s="601"/>
      <c r="O426" s="601"/>
      <c r="P426" s="601"/>
      <c r="Q426" s="601"/>
      <c r="R426" s="601"/>
      <c r="S426" s="601"/>
      <c r="T426" s="601"/>
      <c r="U426" s="601"/>
      <c r="V426" s="601"/>
      <c r="W426" s="601"/>
      <c r="X426" s="601"/>
      <c r="Y426" s="601"/>
      <c r="Z426" s="601"/>
      <c r="AA426" s="63"/>
      <c r="AB426" s="63"/>
      <c r="AC426" s="63"/>
    </row>
    <row r="427" spans="1:68" ht="27" customHeight="1" x14ac:dyDescent="0.25">
      <c r="A427" s="60" t="s">
        <v>695</v>
      </c>
      <c r="B427" s="60" t="s">
        <v>696</v>
      </c>
      <c r="C427" s="34">
        <v>4301011875</v>
      </c>
      <c r="D427" s="602">
        <v>4680115884885</v>
      </c>
      <c r="E427" s="602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66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04"/>
      <c r="R427" s="604"/>
      <c r="S427" s="604"/>
      <c r="T427" s="605"/>
      <c r="U427" s="37" t="s">
        <v>46</v>
      </c>
      <c r="V427" s="37" t="s">
        <v>46</v>
      </c>
      <c r="W427" s="38" t="s">
        <v>0</v>
      </c>
      <c r="X427" s="56">
        <v>80</v>
      </c>
      <c r="Y427" s="53">
        <f>IFERROR(IF(X427="",0,CEILING((X427/$H427),1)*$H427),"")</f>
        <v>84</v>
      </c>
      <c r="Z427" s="39">
        <f>IFERROR(IF(Y427=0,"",ROUNDUP(Y427/H427,0)*0.01898),"")</f>
        <v>0.13286000000000001</v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82.733333333333334</v>
      </c>
      <c r="BN427" s="75">
        <f>IFERROR(Y427*I427/H427,"0")</f>
        <v>86.87</v>
      </c>
      <c r="BO427" s="75">
        <f>IFERROR(1/J427*(X427/H427),"0")</f>
        <v>0.10416666666666667</v>
      </c>
      <c r="BP427" s="75">
        <f>IFERROR(1/J427*(Y427/H427),"0")</f>
        <v>0.109375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02">
        <v>4680115884908</v>
      </c>
      <c r="E428" s="602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65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04"/>
      <c r="R428" s="604"/>
      <c r="S428" s="604"/>
      <c r="T428" s="605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x14ac:dyDescent="0.2">
      <c r="A429" s="609"/>
      <c r="B429" s="609"/>
      <c r="C429" s="609"/>
      <c r="D429" s="609"/>
      <c r="E429" s="609"/>
      <c r="F429" s="609"/>
      <c r="G429" s="609"/>
      <c r="H429" s="609"/>
      <c r="I429" s="609"/>
      <c r="J429" s="609"/>
      <c r="K429" s="609"/>
      <c r="L429" s="609"/>
      <c r="M429" s="609"/>
      <c r="N429" s="609"/>
      <c r="O429" s="610"/>
      <c r="P429" s="606" t="s">
        <v>40</v>
      </c>
      <c r="Q429" s="607"/>
      <c r="R429" s="607"/>
      <c r="S429" s="607"/>
      <c r="T429" s="607"/>
      <c r="U429" s="607"/>
      <c r="V429" s="608"/>
      <c r="W429" s="40" t="s">
        <v>39</v>
      </c>
      <c r="X429" s="41">
        <f>IFERROR(X427/H427,"0")+IFERROR(X428/H428,"0")</f>
        <v>6.666666666666667</v>
      </c>
      <c r="Y429" s="41">
        <f>IFERROR(Y427/H427,"0")+IFERROR(Y428/H428,"0")</f>
        <v>7</v>
      </c>
      <c r="Z429" s="41">
        <f>IFERROR(IF(Z427="",0,Z427),"0")+IFERROR(IF(Z428="",0,Z428),"0")</f>
        <v>0.13286000000000001</v>
      </c>
      <c r="AA429" s="64"/>
      <c r="AB429" s="64"/>
      <c r="AC429" s="64"/>
    </row>
    <row r="430" spans="1:68" x14ac:dyDescent="0.2">
      <c r="A430" s="609"/>
      <c r="B430" s="609"/>
      <c r="C430" s="609"/>
      <c r="D430" s="609"/>
      <c r="E430" s="609"/>
      <c r="F430" s="609"/>
      <c r="G430" s="609"/>
      <c r="H430" s="609"/>
      <c r="I430" s="609"/>
      <c r="J430" s="609"/>
      <c r="K430" s="609"/>
      <c r="L430" s="609"/>
      <c r="M430" s="609"/>
      <c r="N430" s="609"/>
      <c r="O430" s="610"/>
      <c r="P430" s="606" t="s">
        <v>40</v>
      </c>
      <c r="Q430" s="607"/>
      <c r="R430" s="607"/>
      <c r="S430" s="607"/>
      <c r="T430" s="607"/>
      <c r="U430" s="607"/>
      <c r="V430" s="608"/>
      <c r="W430" s="40" t="s">
        <v>0</v>
      </c>
      <c r="X430" s="41">
        <f>IFERROR(SUM(X427:X428),"0")</f>
        <v>80</v>
      </c>
      <c r="Y430" s="41">
        <f>IFERROR(SUM(Y427:Y428),"0")</f>
        <v>84</v>
      </c>
      <c r="Z430" s="40"/>
      <c r="AA430" s="64"/>
      <c r="AB430" s="64"/>
      <c r="AC430" s="64"/>
    </row>
    <row r="431" spans="1:68" ht="14.25" hidden="1" customHeight="1" x14ac:dyDescent="0.25">
      <c r="A431" s="601" t="s">
        <v>77</v>
      </c>
      <c r="B431" s="601"/>
      <c r="C431" s="601"/>
      <c r="D431" s="601"/>
      <c r="E431" s="601"/>
      <c r="F431" s="601"/>
      <c r="G431" s="601"/>
      <c r="H431" s="601"/>
      <c r="I431" s="601"/>
      <c r="J431" s="601"/>
      <c r="K431" s="601"/>
      <c r="L431" s="601"/>
      <c r="M431" s="601"/>
      <c r="N431" s="601"/>
      <c r="O431" s="601"/>
      <c r="P431" s="601"/>
      <c r="Q431" s="601"/>
      <c r="R431" s="601"/>
      <c r="S431" s="601"/>
      <c r="T431" s="601"/>
      <c r="U431" s="601"/>
      <c r="V431" s="601"/>
      <c r="W431" s="601"/>
      <c r="X431" s="601"/>
      <c r="Y431" s="601"/>
      <c r="Z431" s="601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02">
        <v>4607091384802</v>
      </c>
      <c r="E432" s="602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65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04"/>
      <c r="R432" s="604"/>
      <c r="S432" s="604"/>
      <c r="T432" s="60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09"/>
      <c r="B433" s="609"/>
      <c r="C433" s="609"/>
      <c r="D433" s="609"/>
      <c r="E433" s="609"/>
      <c r="F433" s="609"/>
      <c r="G433" s="609"/>
      <c r="H433" s="609"/>
      <c r="I433" s="609"/>
      <c r="J433" s="609"/>
      <c r="K433" s="609"/>
      <c r="L433" s="609"/>
      <c r="M433" s="609"/>
      <c r="N433" s="609"/>
      <c r="O433" s="610"/>
      <c r="P433" s="606" t="s">
        <v>40</v>
      </c>
      <c r="Q433" s="607"/>
      <c r="R433" s="607"/>
      <c r="S433" s="607"/>
      <c r="T433" s="607"/>
      <c r="U433" s="607"/>
      <c r="V433" s="608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09"/>
      <c r="B434" s="609"/>
      <c r="C434" s="609"/>
      <c r="D434" s="609"/>
      <c r="E434" s="609"/>
      <c r="F434" s="609"/>
      <c r="G434" s="609"/>
      <c r="H434" s="609"/>
      <c r="I434" s="609"/>
      <c r="J434" s="609"/>
      <c r="K434" s="609"/>
      <c r="L434" s="609"/>
      <c r="M434" s="609"/>
      <c r="N434" s="609"/>
      <c r="O434" s="610"/>
      <c r="P434" s="606" t="s">
        <v>40</v>
      </c>
      <c r="Q434" s="607"/>
      <c r="R434" s="607"/>
      <c r="S434" s="607"/>
      <c r="T434" s="607"/>
      <c r="U434" s="607"/>
      <c r="V434" s="608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01" t="s">
        <v>86</v>
      </c>
      <c r="B435" s="601"/>
      <c r="C435" s="601"/>
      <c r="D435" s="601"/>
      <c r="E435" s="601"/>
      <c r="F435" s="601"/>
      <c r="G435" s="601"/>
      <c r="H435" s="601"/>
      <c r="I435" s="601"/>
      <c r="J435" s="601"/>
      <c r="K435" s="601"/>
      <c r="L435" s="601"/>
      <c r="M435" s="601"/>
      <c r="N435" s="601"/>
      <c r="O435" s="601"/>
      <c r="P435" s="601"/>
      <c r="Q435" s="601"/>
      <c r="R435" s="601"/>
      <c r="S435" s="601"/>
      <c r="T435" s="601"/>
      <c r="U435" s="601"/>
      <c r="V435" s="601"/>
      <c r="W435" s="601"/>
      <c r="X435" s="601"/>
      <c r="Y435" s="601"/>
      <c r="Z435" s="601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02">
        <v>4607091384246</v>
      </c>
      <c r="E436" s="602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6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04"/>
      <c r="R436" s="604"/>
      <c r="S436" s="604"/>
      <c r="T436" s="60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02">
        <v>4607091384253</v>
      </c>
      <c r="E437" s="602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04"/>
      <c r="R437" s="604"/>
      <c r="S437" s="604"/>
      <c r="T437" s="60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02">
        <v>4607091384253</v>
      </c>
      <c r="E438" s="602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04"/>
      <c r="R438" s="604"/>
      <c r="S438" s="604"/>
      <c r="T438" s="605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09"/>
      <c r="B439" s="609"/>
      <c r="C439" s="609"/>
      <c r="D439" s="609"/>
      <c r="E439" s="609"/>
      <c r="F439" s="609"/>
      <c r="G439" s="609"/>
      <c r="H439" s="609"/>
      <c r="I439" s="609"/>
      <c r="J439" s="609"/>
      <c r="K439" s="609"/>
      <c r="L439" s="609"/>
      <c r="M439" s="609"/>
      <c r="N439" s="609"/>
      <c r="O439" s="610"/>
      <c r="P439" s="606" t="s">
        <v>40</v>
      </c>
      <c r="Q439" s="607"/>
      <c r="R439" s="607"/>
      <c r="S439" s="607"/>
      <c r="T439" s="607"/>
      <c r="U439" s="607"/>
      <c r="V439" s="608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09"/>
      <c r="B440" s="609"/>
      <c r="C440" s="609"/>
      <c r="D440" s="609"/>
      <c r="E440" s="609"/>
      <c r="F440" s="609"/>
      <c r="G440" s="609"/>
      <c r="H440" s="609"/>
      <c r="I440" s="609"/>
      <c r="J440" s="609"/>
      <c r="K440" s="609"/>
      <c r="L440" s="609"/>
      <c r="M440" s="609"/>
      <c r="N440" s="609"/>
      <c r="O440" s="610"/>
      <c r="P440" s="606" t="s">
        <v>40</v>
      </c>
      <c r="Q440" s="607"/>
      <c r="R440" s="607"/>
      <c r="S440" s="607"/>
      <c r="T440" s="607"/>
      <c r="U440" s="607"/>
      <c r="V440" s="608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22" t="s">
        <v>710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52"/>
      <c r="AB441" s="52"/>
      <c r="AC441" s="52"/>
    </row>
    <row r="442" spans="1:68" ht="16.5" hidden="1" customHeight="1" x14ac:dyDescent="0.25">
      <c r="A442" s="617" t="s">
        <v>711</v>
      </c>
      <c r="B442" s="617"/>
      <c r="C442" s="617"/>
      <c r="D442" s="617"/>
      <c r="E442" s="617"/>
      <c r="F442" s="617"/>
      <c r="G442" s="617"/>
      <c r="H442" s="617"/>
      <c r="I442" s="617"/>
      <c r="J442" s="617"/>
      <c r="K442" s="617"/>
      <c r="L442" s="617"/>
      <c r="M442" s="617"/>
      <c r="N442" s="617"/>
      <c r="O442" s="617"/>
      <c r="P442" s="617"/>
      <c r="Q442" s="617"/>
      <c r="R442" s="617"/>
      <c r="S442" s="617"/>
      <c r="T442" s="617"/>
      <c r="U442" s="617"/>
      <c r="V442" s="617"/>
      <c r="W442" s="617"/>
      <c r="X442" s="617"/>
      <c r="Y442" s="617"/>
      <c r="Z442" s="617"/>
      <c r="AA442" s="62"/>
      <c r="AB442" s="62"/>
      <c r="AC442" s="62"/>
    </row>
    <row r="443" spans="1:68" ht="14.25" hidden="1" customHeight="1" x14ac:dyDescent="0.25">
      <c r="A443" s="601" t="s">
        <v>77</v>
      </c>
      <c r="B443" s="601"/>
      <c r="C443" s="601"/>
      <c r="D443" s="601"/>
      <c r="E443" s="601"/>
      <c r="F443" s="601"/>
      <c r="G443" s="601"/>
      <c r="H443" s="601"/>
      <c r="I443" s="601"/>
      <c r="J443" s="601"/>
      <c r="K443" s="601"/>
      <c r="L443" s="601"/>
      <c r="M443" s="601"/>
      <c r="N443" s="601"/>
      <c r="O443" s="601"/>
      <c r="P443" s="601"/>
      <c r="Q443" s="601"/>
      <c r="R443" s="601"/>
      <c r="S443" s="601"/>
      <c r="T443" s="601"/>
      <c r="U443" s="601"/>
      <c r="V443" s="601"/>
      <c r="W443" s="601"/>
      <c r="X443" s="601"/>
      <c r="Y443" s="601"/>
      <c r="Z443" s="601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02">
        <v>4680115886100</v>
      </c>
      <c r="E444" s="602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6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04"/>
      <c r="R444" s="604"/>
      <c r="S444" s="604"/>
      <c r="T444" s="605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02">
        <v>4680115886124</v>
      </c>
      <c r="E445" s="602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04"/>
      <c r="R445" s="604"/>
      <c r="S445" s="604"/>
      <c r="T445" s="605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02">
        <v>4607091384338</v>
      </c>
      <c r="E446" s="602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6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04"/>
      <c r="R446" s="604"/>
      <c r="S446" s="604"/>
      <c r="T446" s="605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02">
        <v>4680115883161</v>
      </c>
      <c r="E447" s="602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64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04"/>
      <c r="R447" s="604"/>
      <c r="S447" s="604"/>
      <c r="T447" s="605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02">
        <v>4607091389531</v>
      </c>
      <c r="E448" s="602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65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04"/>
      <c r="R448" s="604"/>
      <c r="S448" s="604"/>
      <c r="T448" s="605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02">
        <v>4607091384345</v>
      </c>
      <c r="E449" s="602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6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04"/>
      <c r="R449" s="604"/>
      <c r="S449" s="604"/>
      <c r="T449" s="605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09"/>
      <c r="B450" s="609"/>
      <c r="C450" s="609"/>
      <c r="D450" s="609"/>
      <c r="E450" s="609"/>
      <c r="F450" s="609"/>
      <c r="G450" s="609"/>
      <c r="H450" s="609"/>
      <c r="I450" s="609"/>
      <c r="J450" s="609"/>
      <c r="K450" s="609"/>
      <c r="L450" s="609"/>
      <c r="M450" s="609"/>
      <c r="N450" s="609"/>
      <c r="O450" s="610"/>
      <c r="P450" s="606" t="s">
        <v>40</v>
      </c>
      <c r="Q450" s="607"/>
      <c r="R450" s="607"/>
      <c r="S450" s="607"/>
      <c r="T450" s="607"/>
      <c r="U450" s="607"/>
      <c r="V450" s="608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09"/>
      <c r="B451" s="609"/>
      <c r="C451" s="609"/>
      <c r="D451" s="609"/>
      <c r="E451" s="609"/>
      <c r="F451" s="609"/>
      <c r="G451" s="609"/>
      <c r="H451" s="609"/>
      <c r="I451" s="609"/>
      <c r="J451" s="609"/>
      <c r="K451" s="609"/>
      <c r="L451" s="609"/>
      <c r="M451" s="609"/>
      <c r="N451" s="609"/>
      <c r="O451" s="610"/>
      <c r="P451" s="606" t="s">
        <v>40</v>
      </c>
      <c r="Q451" s="607"/>
      <c r="R451" s="607"/>
      <c r="S451" s="607"/>
      <c r="T451" s="607"/>
      <c r="U451" s="607"/>
      <c r="V451" s="608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01" t="s">
        <v>86</v>
      </c>
      <c r="B452" s="601"/>
      <c r="C452" s="601"/>
      <c r="D452" s="601"/>
      <c r="E452" s="601"/>
      <c r="F452" s="601"/>
      <c r="G452" s="601"/>
      <c r="H452" s="601"/>
      <c r="I452" s="601"/>
      <c r="J452" s="601"/>
      <c r="K452" s="601"/>
      <c r="L452" s="601"/>
      <c r="M452" s="601"/>
      <c r="N452" s="601"/>
      <c r="O452" s="601"/>
      <c r="P452" s="601"/>
      <c r="Q452" s="601"/>
      <c r="R452" s="601"/>
      <c r="S452" s="601"/>
      <c r="T452" s="601"/>
      <c r="U452" s="601"/>
      <c r="V452" s="601"/>
      <c r="W452" s="601"/>
      <c r="X452" s="601"/>
      <c r="Y452" s="601"/>
      <c r="Z452" s="601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02">
        <v>4607091384352</v>
      </c>
      <c r="E453" s="602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64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04"/>
      <c r="R453" s="604"/>
      <c r="S453" s="604"/>
      <c r="T453" s="60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02">
        <v>4607091389654</v>
      </c>
      <c r="E454" s="602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64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04"/>
      <c r="R454" s="604"/>
      <c r="S454" s="604"/>
      <c r="T454" s="605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09"/>
      <c r="B455" s="609"/>
      <c r="C455" s="609"/>
      <c r="D455" s="609"/>
      <c r="E455" s="609"/>
      <c r="F455" s="609"/>
      <c r="G455" s="609"/>
      <c r="H455" s="609"/>
      <c r="I455" s="609"/>
      <c r="J455" s="609"/>
      <c r="K455" s="609"/>
      <c r="L455" s="609"/>
      <c r="M455" s="609"/>
      <c r="N455" s="609"/>
      <c r="O455" s="610"/>
      <c r="P455" s="606" t="s">
        <v>40</v>
      </c>
      <c r="Q455" s="607"/>
      <c r="R455" s="607"/>
      <c r="S455" s="607"/>
      <c r="T455" s="607"/>
      <c r="U455" s="607"/>
      <c r="V455" s="608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09"/>
      <c r="B456" s="609"/>
      <c r="C456" s="609"/>
      <c r="D456" s="609"/>
      <c r="E456" s="609"/>
      <c r="F456" s="609"/>
      <c r="G456" s="609"/>
      <c r="H456" s="609"/>
      <c r="I456" s="609"/>
      <c r="J456" s="609"/>
      <c r="K456" s="609"/>
      <c r="L456" s="609"/>
      <c r="M456" s="609"/>
      <c r="N456" s="609"/>
      <c r="O456" s="610"/>
      <c r="P456" s="606" t="s">
        <v>40</v>
      </c>
      <c r="Q456" s="607"/>
      <c r="R456" s="607"/>
      <c r="S456" s="607"/>
      <c r="T456" s="607"/>
      <c r="U456" s="607"/>
      <c r="V456" s="608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17" t="s">
        <v>734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62"/>
      <c r="AB457" s="62"/>
      <c r="AC457" s="62"/>
    </row>
    <row r="458" spans="1:68" ht="14.25" hidden="1" customHeight="1" x14ac:dyDescent="0.25">
      <c r="A458" s="601" t="s">
        <v>163</v>
      </c>
      <c r="B458" s="601"/>
      <c r="C458" s="601"/>
      <c r="D458" s="601"/>
      <c r="E458" s="601"/>
      <c r="F458" s="601"/>
      <c r="G458" s="601"/>
      <c r="H458" s="601"/>
      <c r="I458" s="601"/>
      <c r="J458" s="601"/>
      <c r="K458" s="601"/>
      <c r="L458" s="601"/>
      <c r="M458" s="601"/>
      <c r="N458" s="601"/>
      <c r="O458" s="601"/>
      <c r="P458" s="601"/>
      <c r="Q458" s="601"/>
      <c r="R458" s="601"/>
      <c r="S458" s="601"/>
      <c r="T458" s="601"/>
      <c r="U458" s="601"/>
      <c r="V458" s="601"/>
      <c r="W458" s="601"/>
      <c r="X458" s="601"/>
      <c r="Y458" s="601"/>
      <c r="Z458" s="601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02">
        <v>4680115885240</v>
      </c>
      <c r="E459" s="602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64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04"/>
      <c r="R459" s="604"/>
      <c r="S459" s="604"/>
      <c r="T459" s="605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09"/>
      <c r="B460" s="609"/>
      <c r="C460" s="609"/>
      <c r="D460" s="609"/>
      <c r="E460" s="609"/>
      <c r="F460" s="609"/>
      <c r="G460" s="609"/>
      <c r="H460" s="609"/>
      <c r="I460" s="609"/>
      <c r="J460" s="609"/>
      <c r="K460" s="609"/>
      <c r="L460" s="609"/>
      <c r="M460" s="609"/>
      <c r="N460" s="609"/>
      <c r="O460" s="610"/>
      <c r="P460" s="606" t="s">
        <v>40</v>
      </c>
      <c r="Q460" s="607"/>
      <c r="R460" s="607"/>
      <c r="S460" s="607"/>
      <c r="T460" s="607"/>
      <c r="U460" s="607"/>
      <c r="V460" s="608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09"/>
      <c r="B461" s="609"/>
      <c r="C461" s="609"/>
      <c r="D461" s="609"/>
      <c r="E461" s="609"/>
      <c r="F461" s="609"/>
      <c r="G461" s="609"/>
      <c r="H461" s="609"/>
      <c r="I461" s="609"/>
      <c r="J461" s="609"/>
      <c r="K461" s="609"/>
      <c r="L461" s="609"/>
      <c r="M461" s="609"/>
      <c r="N461" s="609"/>
      <c r="O461" s="610"/>
      <c r="P461" s="606" t="s">
        <v>40</v>
      </c>
      <c r="Q461" s="607"/>
      <c r="R461" s="607"/>
      <c r="S461" s="607"/>
      <c r="T461" s="607"/>
      <c r="U461" s="607"/>
      <c r="V461" s="608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01" t="s">
        <v>77</v>
      </c>
      <c r="B462" s="601"/>
      <c r="C462" s="601"/>
      <c r="D462" s="601"/>
      <c r="E462" s="601"/>
      <c r="F462" s="601"/>
      <c r="G462" s="601"/>
      <c r="H462" s="601"/>
      <c r="I462" s="601"/>
      <c r="J462" s="601"/>
      <c r="K462" s="601"/>
      <c r="L462" s="601"/>
      <c r="M462" s="601"/>
      <c r="N462" s="601"/>
      <c r="O462" s="601"/>
      <c r="P462" s="601"/>
      <c r="Q462" s="601"/>
      <c r="R462" s="601"/>
      <c r="S462" s="601"/>
      <c r="T462" s="601"/>
      <c r="U462" s="601"/>
      <c r="V462" s="601"/>
      <c r="W462" s="601"/>
      <c r="X462" s="601"/>
      <c r="Y462" s="601"/>
      <c r="Z462" s="601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02">
        <v>4680115886094</v>
      </c>
      <c r="E463" s="602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64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04"/>
      <c r="R463" s="604"/>
      <c r="S463" s="604"/>
      <c r="T463" s="605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02">
        <v>4680115880771</v>
      </c>
      <c r="E464" s="602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64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04"/>
      <c r="R464" s="604"/>
      <c r="S464" s="604"/>
      <c r="T464" s="605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02">
        <v>4607091389500</v>
      </c>
      <c r="E465" s="602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04"/>
      <c r="R465" s="604"/>
      <c r="S465" s="604"/>
      <c r="T465" s="605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09"/>
      <c r="B466" s="609"/>
      <c r="C466" s="609"/>
      <c r="D466" s="609"/>
      <c r="E466" s="609"/>
      <c r="F466" s="609"/>
      <c r="G466" s="609"/>
      <c r="H466" s="609"/>
      <c r="I466" s="609"/>
      <c r="J466" s="609"/>
      <c r="K466" s="609"/>
      <c r="L466" s="609"/>
      <c r="M466" s="609"/>
      <c r="N466" s="609"/>
      <c r="O466" s="610"/>
      <c r="P466" s="606" t="s">
        <v>40</v>
      </c>
      <c r="Q466" s="607"/>
      <c r="R466" s="607"/>
      <c r="S466" s="607"/>
      <c r="T466" s="607"/>
      <c r="U466" s="607"/>
      <c r="V466" s="608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09"/>
      <c r="B467" s="609"/>
      <c r="C467" s="609"/>
      <c r="D467" s="609"/>
      <c r="E467" s="609"/>
      <c r="F467" s="609"/>
      <c r="G467" s="609"/>
      <c r="H467" s="609"/>
      <c r="I467" s="609"/>
      <c r="J467" s="609"/>
      <c r="K467" s="609"/>
      <c r="L467" s="609"/>
      <c r="M467" s="609"/>
      <c r="N467" s="609"/>
      <c r="O467" s="610"/>
      <c r="P467" s="606" t="s">
        <v>40</v>
      </c>
      <c r="Q467" s="607"/>
      <c r="R467" s="607"/>
      <c r="S467" s="607"/>
      <c r="T467" s="607"/>
      <c r="U467" s="607"/>
      <c r="V467" s="608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22" t="s">
        <v>746</v>
      </c>
      <c r="B468" s="622"/>
      <c r="C468" s="622"/>
      <c r="D468" s="622"/>
      <c r="E468" s="622"/>
      <c r="F468" s="622"/>
      <c r="G468" s="622"/>
      <c r="H468" s="622"/>
      <c r="I468" s="622"/>
      <c r="J468" s="622"/>
      <c r="K468" s="622"/>
      <c r="L468" s="622"/>
      <c r="M468" s="622"/>
      <c r="N468" s="622"/>
      <c r="O468" s="622"/>
      <c r="P468" s="622"/>
      <c r="Q468" s="622"/>
      <c r="R468" s="622"/>
      <c r="S468" s="622"/>
      <c r="T468" s="622"/>
      <c r="U468" s="622"/>
      <c r="V468" s="622"/>
      <c r="W468" s="622"/>
      <c r="X468" s="622"/>
      <c r="Y468" s="622"/>
      <c r="Z468" s="622"/>
      <c r="AA468" s="52"/>
      <c r="AB468" s="52"/>
      <c r="AC468" s="52"/>
    </row>
    <row r="469" spans="1:68" ht="16.5" hidden="1" customHeight="1" x14ac:dyDescent="0.25">
      <c r="A469" s="617" t="s">
        <v>746</v>
      </c>
      <c r="B469" s="617"/>
      <c r="C469" s="617"/>
      <c r="D469" s="617"/>
      <c r="E469" s="617"/>
      <c r="F469" s="617"/>
      <c r="G469" s="617"/>
      <c r="H469" s="617"/>
      <c r="I469" s="617"/>
      <c r="J469" s="617"/>
      <c r="K469" s="617"/>
      <c r="L469" s="617"/>
      <c r="M469" s="617"/>
      <c r="N469" s="617"/>
      <c r="O469" s="617"/>
      <c r="P469" s="617"/>
      <c r="Q469" s="617"/>
      <c r="R469" s="617"/>
      <c r="S469" s="617"/>
      <c r="T469" s="617"/>
      <c r="U469" s="617"/>
      <c r="V469" s="617"/>
      <c r="W469" s="617"/>
      <c r="X469" s="617"/>
      <c r="Y469" s="617"/>
      <c r="Z469" s="617"/>
      <c r="AA469" s="62"/>
      <c r="AB469" s="62"/>
      <c r="AC469" s="62"/>
    </row>
    <row r="470" spans="1:68" ht="14.25" hidden="1" customHeight="1" x14ac:dyDescent="0.25">
      <c r="A470" s="601" t="s">
        <v>128</v>
      </c>
      <c r="B470" s="601"/>
      <c r="C470" s="601"/>
      <c r="D470" s="601"/>
      <c r="E470" s="601"/>
      <c r="F470" s="601"/>
      <c r="G470" s="601"/>
      <c r="H470" s="601"/>
      <c r="I470" s="601"/>
      <c r="J470" s="601"/>
      <c r="K470" s="601"/>
      <c r="L470" s="601"/>
      <c r="M470" s="601"/>
      <c r="N470" s="601"/>
      <c r="O470" s="601"/>
      <c r="P470" s="601"/>
      <c r="Q470" s="601"/>
      <c r="R470" s="601"/>
      <c r="S470" s="601"/>
      <c r="T470" s="601"/>
      <c r="U470" s="601"/>
      <c r="V470" s="601"/>
      <c r="W470" s="601"/>
      <c r="X470" s="601"/>
      <c r="Y470" s="601"/>
      <c r="Z470" s="601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02">
        <v>4607091389067</v>
      </c>
      <c r="E471" s="602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63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04"/>
      <c r="R471" s="604"/>
      <c r="S471" s="604"/>
      <c r="T471" s="605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02">
        <v>4607091383522</v>
      </c>
      <c r="E472" s="602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64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04"/>
      <c r="R472" s="604"/>
      <c r="S472" s="604"/>
      <c r="T472" s="605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02">
        <v>4680115885271</v>
      </c>
      <c r="E473" s="602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64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04"/>
      <c r="R473" s="604"/>
      <c r="S473" s="604"/>
      <c r="T473" s="605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02">
        <v>4680115885226</v>
      </c>
      <c r="E474" s="602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6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04"/>
      <c r="R474" s="604"/>
      <c r="S474" s="604"/>
      <c r="T474" s="605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02">
        <v>4680115884502</v>
      </c>
      <c r="E475" s="602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63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04"/>
      <c r="R475" s="604"/>
      <c r="S475" s="604"/>
      <c r="T475" s="605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02">
        <v>4607091389104</v>
      </c>
      <c r="E476" s="602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04"/>
      <c r="R476" s="604"/>
      <c r="S476" s="604"/>
      <c r="T476" s="605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02">
        <v>4680115886391</v>
      </c>
      <c r="E477" s="602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63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04"/>
      <c r="R477" s="604"/>
      <c r="S477" s="604"/>
      <c r="T477" s="605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02">
        <v>4680115880603</v>
      </c>
      <c r="E478" s="602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04"/>
      <c r="R478" s="604"/>
      <c r="S478" s="604"/>
      <c r="T478" s="605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customHeight="1" x14ac:dyDescent="0.25">
      <c r="A479" s="60" t="s">
        <v>768</v>
      </c>
      <c r="B479" s="60" t="s">
        <v>769</v>
      </c>
      <c r="C479" s="34">
        <v>4301012034</v>
      </c>
      <c r="D479" s="602">
        <v>4607091389982</v>
      </c>
      <c r="E479" s="602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6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04"/>
      <c r="R479" s="604"/>
      <c r="S479" s="604"/>
      <c r="T479" s="605"/>
      <c r="U479" s="37" t="s">
        <v>46</v>
      </c>
      <c r="V479" s="37" t="s">
        <v>46</v>
      </c>
      <c r="W479" s="38" t="s">
        <v>0</v>
      </c>
      <c r="X479" s="56">
        <v>240</v>
      </c>
      <c r="Y479" s="53">
        <f t="shared" si="67"/>
        <v>240</v>
      </c>
      <c r="Z479" s="39">
        <f>IFERROR(IF(Y479=0,"",ROUNDUP(Y479/H479,0)*0.00902),"")</f>
        <v>0.45100000000000001</v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345.50000000000006</v>
      </c>
      <c r="BN479" s="75">
        <f t="shared" si="70"/>
        <v>345.50000000000006</v>
      </c>
      <c r="BO479" s="75">
        <f t="shared" si="71"/>
        <v>0.37878787878787878</v>
      </c>
      <c r="BP479" s="75">
        <f t="shared" si="72"/>
        <v>0.37878787878787878</v>
      </c>
    </row>
    <row r="480" spans="1:68" x14ac:dyDescent="0.2">
      <c r="A480" s="609"/>
      <c r="B480" s="609"/>
      <c r="C480" s="609"/>
      <c r="D480" s="609"/>
      <c r="E480" s="609"/>
      <c r="F480" s="609"/>
      <c r="G480" s="609"/>
      <c r="H480" s="609"/>
      <c r="I480" s="609"/>
      <c r="J480" s="609"/>
      <c r="K480" s="609"/>
      <c r="L480" s="609"/>
      <c r="M480" s="609"/>
      <c r="N480" s="609"/>
      <c r="O480" s="610"/>
      <c r="P480" s="606" t="s">
        <v>40</v>
      </c>
      <c r="Q480" s="607"/>
      <c r="R480" s="607"/>
      <c r="S480" s="607"/>
      <c r="T480" s="607"/>
      <c r="U480" s="607"/>
      <c r="V480" s="608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50</v>
      </c>
      <c r="Y480" s="41">
        <f>IFERROR(Y471/H471,"0")+IFERROR(Y472/H472,"0")+IFERROR(Y473/H473,"0")+IFERROR(Y474/H474,"0")+IFERROR(Y475/H475,"0")+IFERROR(Y476/H476,"0")+IFERROR(Y477/H477,"0")+IFERROR(Y478/H478,"0")+IFERROR(Y479/H479,"0")</f>
        <v>50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0.45100000000000001</v>
      </c>
      <c r="AA480" s="64"/>
      <c r="AB480" s="64"/>
      <c r="AC480" s="64"/>
    </row>
    <row r="481" spans="1:68" x14ac:dyDescent="0.2">
      <c r="A481" s="609"/>
      <c r="B481" s="609"/>
      <c r="C481" s="609"/>
      <c r="D481" s="609"/>
      <c r="E481" s="609"/>
      <c r="F481" s="609"/>
      <c r="G481" s="609"/>
      <c r="H481" s="609"/>
      <c r="I481" s="609"/>
      <c r="J481" s="609"/>
      <c r="K481" s="609"/>
      <c r="L481" s="609"/>
      <c r="M481" s="609"/>
      <c r="N481" s="609"/>
      <c r="O481" s="610"/>
      <c r="P481" s="606" t="s">
        <v>40</v>
      </c>
      <c r="Q481" s="607"/>
      <c r="R481" s="607"/>
      <c r="S481" s="607"/>
      <c r="T481" s="607"/>
      <c r="U481" s="607"/>
      <c r="V481" s="608"/>
      <c r="W481" s="40" t="s">
        <v>0</v>
      </c>
      <c r="X481" s="41">
        <f>IFERROR(SUM(X471:X479),"0")</f>
        <v>240</v>
      </c>
      <c r="Y481" s="41">
        <f>IFERROR(SUM(Y471:Y479),"0")</f>
        <v>240</v>
      </c>
      <c r="Z481" s="40"/>
      <c r="AA481" s="64"/>
      <c r="AB481" s="64"/>
      <c r="AC481" s="64"/>
    </row>
    <row r="482" spans="1:68" ht="14.25" hidden="1" customHeight="1" x14ac:dyDescent="0.25">
      <c r="A482" s="601" t="s">
        <v>163</v>
      </c>
      <c r="B482" s="601"/>
      <c r="C482" s="601"/>
      <c r="D482" s="601"/>
      <c r="E482" s="601"/>
      <c r="F482" s="601"/>
      <c r="G482" s="601"/>
      <c r="H482" s="601"/>
      <c r="I482" s="601"/>
      <c r="J482" s="601"/>
      <c r="K482" s="601"/>
      <c r="L482" s="601"/>
      <c r="M482" s="601"/>
      <c r="N482" s="601"/>
      <c r="O482" s="601"/>
      <c r="P482" s="601"/>
      <c r="Q482" s="601"/>
      <c r="R482" s="601"/>
      <c r="S482" s="601"/>
      <c r="T482" s="601"/>
      <c r="U482" s="601"/>
      <c r="V482" s="601"/>
      <c r="W482" s="601"/>
      <c r="X482" s="601"/>
      <c r="Y482" s="601"/>
      <c r="Z482" s="601"/>
      <c r="AA482" s="63"/>
      <c r="AB482" s="63"/>
      <c r="AC482" s="63"/>
    </row>
    <row r="483" spans="1:68" ht="16.5" customHeight="1" x14ac:dyDescent="0.25">
      <c r="A483" s="60" t="s">
        <v>770</v>
      </c>
      <c r="B483" s="60" t="s">
        <v>771</v>
      </c>
      <c r="C483" s="34">
        <v>4301020334</v>
      </c>
      <c r="D483" s="602">
        <v>4607091388930</v>
      </c>
      <c r="E483" s="602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04"/>
      <c r="R483" s="604"/>
      <c r="S483" s="604"/>
      <c r="T483" s="605"/>
      <c r="U483" s="37" t="s">
        <v>46</v>
      </c>
      <c r="V483" s="37" t="s">
        <v>46</v>
      </c>
      <c r="W483" s="38" t="s">
        <v>0</v>
      </c>
      <c r="X483" s="56">
        <v>60</v>
      </c>
      <c r="Y483" s="53">
        <f>IFERROR(IF(X483="",0,CEILING((X483/$H483),1)*$H483),"")</f>
        <v>63.36</v>
      </c>
      <c r="Z483" s="39">
        <f>IFERROR(IF(Y483=0,"",ROUNDUP(Y483/H483,0)*0.01196),"")</f>
        <v>0.14352000000000001</v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63.977272727272727</v>
      </c>
      <c r="BN483" s="75">
        <f>IFERROR(Y483*I483/H483,"0")</f>
        <v>67.559999999999988</v>
      </c>
      <c r="BO483" s="75">
        <f>IFERROR(1/J483*(X483/H483),"0")</f>
        <v>0.10926573426573427</v>
      </c>
      <c r="BP483" s="75">
        <f>IFERROR(1/J483*(Y483/H483),"0")</f>
        <v>0.11538461538461539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02">
        <v>4680115886407</v>
      </c>
      <c r="E484" s="602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6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04"/>
      <c r="R484" s="604"/>
      <c r="S484" s="604"/>
      <c r="T484" s="605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customHeight="1" x14ac:dyDescent="0.25">
      <c r="A485" s="60" t="s">
        <v>775</v>
      </c>
      <c r="B485" s="60" t="s">
        <v>776</v>
      </c>
      <c r="C485" s="34">
        <v>4301020385</v>
      </c>
      <c r="D485" s="602">
        <v>4680115880054</v>
      </c>
      <c r="E485" s="602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6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04"/>
      <c r="R485" s="604"/>
      <c r="S485" s="604"/>
      <c r="T485" s="605"/>
      <c r="U485" s="37" t="s">
        <v>46</v>
      </c>
      <c r="V485" s="37" t="s">
        <v>46</v>
      </c>
      <c r="W485" s="38" t="s">
        <v>0</v>
      </c>
      <c r="X485" s="56">
        <v>42</v>
      </c>
      <c r="Y485" s="53">
        <f>IFERROR(IF(X485="",0,CEILING((X485/$H485),1)*$H485),"")</f>
        <v>43.199999999999996</v>
      </c>
      <c r="Z485" s="39">
        <f>IFERROR(IF(Y485=0,"",ROUNDUP(Y485/H485,0)*0.00902),"")</f>
        <v>8.1180000000000002E-2</v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60.462500000000006</v>
      </c>
      <c r="BN485" s="75">
        <f>IFERROR(Y485*I485/H485,"0")</f>
        <v>62.190000000000005</v>
      </c>
      <c r="BO485" s="75">
        <f>IFERROR(1/J485*(X485/H485),"0")</f>
        <v>6.6287878787878785E-2</v>
      </c>
      <c r="BP485" s="75">
        <f>IFERROR(1/J485*(Y485/H485),"0")</f>
        <v>6.8181818181818177E-2</v>
      </c>
    </row>
    <row r="486" spans="1:68" x14ac:dyDescent="0.2">
      <c r="A486" s="609"/>
      <c r="B486" s="609"/>
      <c r="C486" s="609"/>
      <c r="D486" s="609"/>
      <c r="E486" s="609"/>
      <c r="F486" s="609"/>
      <c r="G486" s="609"/>
      <c r="H486" s="609"/>
      <c r="I486" s="609"/>
      <c r="J486" s="609"/>
      <c r="K486" s="609"/>
      <c r="L486" s="609"/>
      <c r="M486" s="609"/>
      <c r="N486" s="609"/>
      <c r="O486" s="610"/>
      <c r="P486" s="606" t="s">
        <v>40</v>
      </c>
      <c r="Q486" s="607"/>
      <c r="R486" s="607"/>
      <c r="S486" s="607"/>
      <c r="T486" s="607"/>
      <c r="U486" s="607"/>
      <c r="V486" s="608"/>
      <c r="W486" s="40" t="s">
        <v>39</v>
      </c>
      <c r="X486" s="41">
        <f>IFERROR(X483/H483,"0")+IFERROR(X484/H484,"0")+IFERROR(X485/H485,"0")</f>
        <v>20.113636363636363</v>
      </c>
      <c r="Y486" s="41">
        <f>IFERROR(Y483/H483,"0")+IFERROR(Y484/H484,"0")+IFERROR(Y485/H485,"0")</f>
        <v>21</v>
      </c>
      <c r="Z486" s="41">
        <f>IFERROR(IF(Z483="",0,Z483),"0")+IFERROR(IF(Z484="",0,Z484),"0")+IFERROR(IF(Z485="",0,Z485),"0")</f>
        <v>0.22470000000000001</v>
      </c>
      <c r="AA486" s="64"/>
      <c r="AB486" s="64"/>
      <c r="AC486" s="64"/>
    </row>
    <row r="487" spans="1:68" x14ac:dyDescent="0.2">
      <c r="A487" s="609"/>
      <c r="B487" s="609"/>
      <c r="C487" s="609"/>
      <c r="D487" s="609"/>
      <c r="E487" s="609"/>
      <c r="F487" s="609"/>
      <c r="G487" s="609"/>
      <c r="H487" s="609"/>
      <c r="I487" s="609"/>
      <c r="J487" s="609"/>
      <c r="K487" s="609"/>
      <c r="L487" s="609"/>
      <c r="M487" s="609"/>
      <c r="N487" s="609"/>
      <c r="O487" s="610"/>
      <c r="P487" s="606" t="s">
        <v>40</v>
      </c>
      <c r="Q487" s="607"/>
      <c r="R487" s="607"/>
      <c r="S487" s="607"/>
      <c r="T487" s="607"/>
      <c r="U487" s="607"/>
      <c r="V487" s="608"/>
      <c r="W487" s="40" t="s">
        <v>0</v>
      </c>
      <c r="X487" s="41">
        <f>IFERROR(SUM(X483:X485),"0")</f>
        <v>102</v>
      </c>
      <c r="Y487" s="41">
        <f>IFERROR(SUM(Y483:Y485),"0")</f>
        <v>106.56</v>
      </c>
      <c r="Z487" s="40"/>
      <c r="AA487" s="64"/>
      <c r="AB487" s="64"/>
      <c r="AC487" s="64"/>
    </row>
    <row r="488" spans="1:68" ht="14.25" hidden="1" customHeight="1" x14ac:dyDescent="0.25">
      <c r="A488" s="601" t="s">
        <v>77</v>
      </c>
      <c r="B488" s="601"/>
      <c r="C488" s="601"/>
      <c r="D488" s="601"/>
      <c r="E488" s="601"/>
      <c r="F488" s="601"/>
      <c r="G488" s="601"/>
      <c r="H488" s="601"/>
      <c r="I488" s="601"/>
      <c r="J488" s="601"/>
      <c r="K488" s="601"/>
      <c r="L488" s="601"/>
      <c r="M488" s="601"/>
      <c r="N488" s="601"/>
      <c r="O488" s="601"/>
      <c r="P488" s="601"/>
      <c r="Q488" s="601"/>
      <c r="R488" s="601"/>
      <c r="S488" s="601"/>
      <c r="T488" s="601"/>
      <c r="U488" s="601"/>
      <c r="V488" s="601"/>
      <c r="W488" s="601"/>
      <c r="X488" s="601"/>
      <c r="Y488" s="601"/>
      <c r="Z488" s="601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02">
        <v>4680115883116</v>
      </c>
      <c r="E489" s="60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6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04"/>
      <c r="R489" s="604"/>
      <c r="S489" s="604"/>
      <c r="T489" s="60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02">
        <v>4680115883093</v>
      </c>
      <c r="E490" s="60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6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04"/>
      <c r="R490" s="604"/>
      <c r="S490" s="604"/>
      <c r="T490" s="60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4301031353</v>
      </c>
      <c r="D491" s="602">
        <v>4680115883109</v>
      </c>
      <c r="E491" s="60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63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04"/>
      <c r="R491" s="604"/>
      <c r="S491" s="604"/>
      <c r="T491" s="605"/>
      <c r="U491" s="37" t="s">
        <v>46</v>
      </c>
      <c r="V491" s="37" t="s">
        <v>46</v>
      </c>
      <c r="W491" s="38" t="s">
        <v>0</v>
      </c>
      <c r="X491" s="56">
        <v>120</v>
      </c>
      <c r="Y491" s="53">
        <f t="shared" si="73"/>
        <v>121.44000000000001</v>
      </c>
      <c r="Z491" s="39">
        <f>IFERROR(IF(Y491=0,"",ROUNDUP(Y491/H491,0)*0.01196),"")</f>
        <v>0.27507999999999999</v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127.95454545454545</v>
      </c>
      <c r="BN491" s="75">
        <f t="shared" si="75"/>
        <v>129.49</v>
      </c>
      <c r="BO491" s="75">
        <f t="shared" si="76"/>
        <v>0.21853146853146854</v>
      </c>
      <c r="BP491" s="75">
        <f t="shared" si="77"/>
        <v>0.22115384615384617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02">
        <v>4680115882072</v>
      </c>
      <c r="E492" s="602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62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04"/>
      <c r="R492" s="604"/>
      <c r="S492" s="604"/>
      <c r="T492" s="60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02">
        <v>4680115882102</v>
      </c>
      <c r="E493" s="602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62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04"/>
      <c r="R493" s="604"/>
      <c r="S493" s="604"/>
      <c r="T493" s="60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02">
        <v>4680115882102</v>
      </c>
      <c r="E494" s="602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6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04"/>
      <c r="R494" s="604"/>
      <c r="S494" s="604"/>
      <c r="T494" s="60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customHeight="1" x14ac:dyDescent="0.25">
      <c r="A495" s="60" t="s">
        <v>791</v>
      </c>
      <c r="B495" s="60" t="s">
        <v>792</v>
      </c>
      <c r="C495" s="34">
        <v>4301031417</v>
      </c>
      <c r="D495" s="602">
        <v>4680115882096</v>
      </c>
      <c r="E495" s="602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62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04"/>
      <c r="R495" s="604"/>
      <c r="S495" s="604"/>
      <c r="T495" s="605"/>
      <c r="U495" s="37" t="s">
        <v>46</v>
      </c>
      <c r="V495" s="37" t="s">
        <v>46</v>
      </c>
      <c r="W495" s="38" t="s">
        <v>0</v>
      </c>
      <c r="X495" s="56">
        <v>180</v>
      </c>
      <c r="Y495" s="53">
        <f t="shared" si="73"/>
        <v>182.4</v>
      </c>
      <c r="Z495" s="39">
        <f>IFERROR(IF(Y495=0,"",ROUNDUP(Y495/H495,0)*0.00902),"")</f>
        <v>0.34276000000000001</v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250.125</v>
      </c>
      <c r="BN495" s="75">
        <f t="shared" si="75"/>
        <v>253.46</v>
      </c>
      <c r="BO495" s="75">
        <f t="shared" si="76"/>
        <v>0.28409090909090912</v>
      </c>
      <c r="BP495" s="75">
        <f t="shared" si="77"/>
        <v>0.2878787878787879</v>
      </c>
    </row>
    <row r="496" spans="1:68" x14ac:dyDescent="0.2">
      <c r="A496" s="609"/>
      <c r="B496" s="609"/>
      <c r="C496" s="609"/>
      <c r="D496" s="609"/>
      <c r="E496" s="609"/>
      <c r="F496" s="609"/>
      <c r="G496" s="609"/>
      <c r="H496" s="609"/>
      <c r="I496" s="609"/>
      <c r="J496" s="609"/>
      <c r="K496" s="609"/>
      <c r="L496" s="609"/>
      <c r="M496" s="609"/>
      <c r="N496" s="609"/>
      <c r="O496" s="610"/>
      <c r="P496" s="606" t="s">
        <v>40</v>
      </c>
      <c r="Q496" s="607"/>
      <c r="R496" s="607"/>
      <c r="S496" s="607"/>
      <c r="T496" s="607"/>
      <c r="U496" s="607"/>
      <c r="V496" s="608"/>
      <c r="W496" s="40" t="s">
        <v>39</v>
      </c>
      <c r="X496" s="41">
        <f>IFERROR(X489/H489,"0")+IFERROR(X490/H490,"0")+IFERROR(X491/H491,"0")+IFERROR(X492/H492,"0")+IFERROR(X493/H493,"0")+IFERROR(X494/H494,"0")+IFERROR(X495/H495,"0")</f>
        <v>60.227272727272727</v>
      </c>
      <c r="Y496" s="41">
        <f>IFERROR(Y489/H489,"0")+IFERROR(Y490/H490,"0")+IFERROR(Y491/H491,"0")+IFERROR(Y492/H492,"0")+IFERROR(Y493/H493,"0")+IFERROR(Y494/H494,"0")+IFERROR(Y495/H495,"0")</f>
        <v>61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0.61783999999999994</v>
      </c>
      <c r="AA496" s="64"/>
      <c r="AB496" s="64"/>
      <c r="AC496" s="64"/>
    </row>
    <row r="497" spans="1:68" x14ac:dyDescent="0.2">
      <c r="A497" s="609"/>
      <c r="B497" s="609"/>
      <c r="C497" s="609"/>
      <c r="D497" s="609"/>
      <c r="E497" s="609"/>
      <c r="F497" s="609"/>
      <c r="G497" s="609"/>
      <c r="H497" s="609"/>
      <c r="I497" s="609"/>
      <c r="J497" s="609"/>
      <c r="K497" s="609"/>
      <c r="L497" s="609"/>
      <c r="M497" s="609"/>
      <c r="N497" s="609"/>
      <c r="O497" s="610"/>
      <c r="P497" s="606" t="s">
        <v>40</v>
      </c>
      <c r="Q497" s="607"/>
      <c r="R497" s="607"/>
      <c r="S497" s="607"/>
      <c r="T497" s="607"/>
      <c r="U497" s="607"/>
      <c r="V497" s="608"/>
      <c r="W497" s="40" t="s">
        <v>0</v>
      </c>
      <c r="X497" s="41">
        <f>IFERROR(SUM(X489:X495),"0")</f>
        <v>300</v>
      </c>
      <c r="Y497" s="41">
        <f>IFERROR(SUM(Y489:Y495),"0")</f>
        <v>303.84000000000003</v>
      </c>
      <c r="Z497" s="40"/>
      <c r="AA497" s="64"/>
      <c r="AB497" s="64"/>
      <c r="AC497" s="64"/>
    </row>
    <row r="498" spans="1:68" ht="27.75" hidden="1" customHeight="1" x14ac:dyDescent="0.2">
      <c r="A498" s="622" t="s">
        <v>793</v>
      </c>
      <c r="B498" s="622"/>
      <c r="C498" s="622"/>
      <c r="D498" s="622"/>
      <c r="E498" s="622"/>
      <c r="F498" s="622"/>
      <c r="G498" s="622"/>
      <c r="H498" s="622"/>
      <c r="I498" s="622"/>
      <c r="J498" s="622"/>
      <c r="K498" s="622"/>
      <c r="L498" s="622"/>
      <c r="M498" s="622"/>
      <c r="N498" s="622"/>
      <c r="O498" s="622"/>
      <c r="P498" s="622"/>
      <c r="Q498" s="622"/>
      <c r="R498" s="622"/>
      <c r="S498" s="622"/>
      <c r="T498" s="622"/>
      <c r="U498" s="622"/>
      <c r="V498" s="622"/>
      <c r="W498" s="622"/>
      <c r="X498" s="622"/>
      <c r="Y498" s="622"/>
      <c r="Z498" s="622"/>
      <c r="AA498" s="52"/>
      <c r="AB498" s="52"/>
      <c r="AC498" s="52"/>
    </row>
    <row r="499" spans="1:68" ht="16.5" hidden="1" customHeight="1" x14ac:dyDescent="0.25">
      <c r="A499" s="617" t="s">
        <v>793</v>
      </c>
      <c r="B499" s="617"/>
      <c r="C499" s="617"/>
      <c r="D499" s="617"/>
      <c r="E499" s="617"/>
      <c r="F499" s="617"/>
      <c r="G499" s="617"/>
      <c r="H499" s="617"/>
      <c r="I499" s="617"/>
      <c r="J499" s="617"/>
      <c r="K499" s="617"/>
      <c r="L499" s="617"/>
      <c r="M499" s="617"/>
      <c r="N499" s="617"/>
      <c r="O499" s="617"/>
      <c r="P499" s="617"/>
      <c r="Q499" s="617"/>
      <c r="R499" s="617"/>
      <c r="S499" s="617"/>
      <c r="T499" s="617"/>
      <c r="U499" s="617"/>
      <c r="V499" s="617"/>
      <c r="W499" s="617"/>
      <c r="X499" s="617"/>
      <c r="Y499" s="617"/>
      <c r="Z499" s="617"/>
      <c r="AA499" s="62"/>
      <c r="AB499" s="62"/>
      <c r="AC499" s="62"/>
    </row>
    <row r="500" spans="1:68" ht="14.25" hidden="1" customHeight="1" x14ac:dyDescent="0.25">
      <c r="A500" s="601" t="s">
        <v>128</v>
      </c>
      <c r="B500" s="601"/>
      <c r="C500" s="601"/>
      <c r="D500" s="601"/>
      <c r="E500" s="601"/>
      <c r="F500" s="601"/>
      <c r="G500" s="601"/>
      <c r="H500" s="601"/>
      <c r="I500" s="601"/>
      <c r="J500" s="601"/>
      <c r="K500" s="601"/>
      <c r="L500" s="601"/>
      <c r="M500" s="601"/>
      <c r="N500" s="601"/>
      <c r="O500" s="601"/>
      <c r="P500" s="601"/>
      <c r="Q500" s="601"/>
      <c r="R500" s="601"/>
      <c r="S500" s="601"/>
      <c r="T500" s="601"/>
      <c r="U500" s="601"/>
      <c r="V500" s="601"/>
      <c r="W500" s="601"/>
      <c r="X500" s="601"/>
      <c r="Y500" s="601"/>
      <c r="Z500" s="601"/>
      <c r="AA500" s="63"/>
      <c r="AB500" s="63"/>
      <c r="AC500" s="63"/>
    </row>
    <row r="501" spans="1:68" ht="27" customHeight="1" x14ac:dyDescent="0.25">
      <c r="A501" s="60" t="s">
        <v>794</v>
      </c>
      <c r="B501" s="60" t="s">
        <v>795</v>
      </c>
      <c r="C501" s="34">
        <v>4301011584</v>
      </c>
      <c r="D501" s="602">
        <v>4640242180564</v>
      </c>
      <c r="E501" s="602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6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04"/>
      <c r="R501" s="604"/>
      <c r="S501" s="604"/>
      <c r="T501" s="605"/>
      <c r="U501" s="37" t="s">
        <v>46</v>
      </c>
      <c r="V501" s="37" t="s">
        <v>46</v>
      </c>
      <c r="W501" s="38" t="s">
        <v>0</v>
      </c>
      <c r="X501" s="56">
        <v>30</v>
      </c>
      <c r="Y501" s="53">
        <f>IFERROR(IF(X501="",0,CEILING((X501/$H501),1)*$H501),"")</f>
        <v>36</v>
      </c>
      <c r="Z501" s="39">
        <f>IFERROR(IF(Y501=0,"",ROUNDUP(Y501/H501,0)*0.01898),"")</f>
        <v>5.6940000000000004E-2</v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31.025000000000002</v>
      </c>
      <c r="BN501" s="75">
        <f>IFERROR(Y501*I501/H501,"0")</f>
        <v>37.229999999999997</v>
      </c>
      <c r="BO501" s="75">
        <f>IFERROR(1/J501*(X501/H501),"0")</f>
        <v>3.90625E-2</v>
      </c>
      <c r="BP501" s="75">
        <f>IFERROR(1/J501*(Y501/H501),"0")</f>
        <v>4.6875E-2</v>
      </c>
    </row>
    <row r="502" spans="1:68" x14ac:dyDescent="0.2">
      <c r="A502" s="609"/>
      <c r="B502" s="609"/>
      <c r="C502" s="609"/>
      <c r="D502" s="609"/>
      <c r="E502" s="609"/>
      <c r="F502" s="609"/>
      <c r="G502" s="609"/>
      <c r="H502" s="609"/>
      <c r="I502" s="609"/>
      <c r="J502" s="609"/>
      <c r="K502" s="609"/>
      <c r="L502" s="609"/>
      <c r="M502" s="609"/>
      <c r="N502" s="609"/>
      <c r="O502" s="610"/>
      <c r="P502" s="606" t="s">
        <v>40</v>
      </c>
      <c r="Q502" s="607"/>
      <c r="R502" s="607"/>
      <c r="S502" s="607"/>
      <c r="T502" s="607"/>
      <c r="U502" s="607"/>
      <c r="V502" s="608"/>
      <c r="W502" s="40" t="s">
        <v>39</v>
      </c>
      <c r="X502" s="41">
        <f>IFERROR(X501/H501,"0")</f>
        <v>2.5</v>
      </c>
      <c r="Y502" s="41">
        <f>IFERROR(Y501/H501,"0")</f>
        <v>3</v>
      </c>
      <c r="Z502" s="41">
        <f>IFERROR(IF(Z501="",0,Z501),"0")</f>
        <v>5.6940000000000004E-2</v>
      </c>
      <c r="AA502" s="64"/>
      <c r="AB502" s="64"/>
      <c r="AC502" s="64"/>
    </row>
    <row r="503" spans="1:68" x14ac:dyDescent="0.2">
      <c r="A503" s="609"/>
      <c r="B503" s="609"/>
      <c r="C503" s="609"/>
      <c r="D503" s="609"/>
      <c r="E503" s="609"/>
      <c r="F503" s="609"/>
      <c r="G503" s="609"/>
      <c r="H503" s="609"/>
      <c r="I503" s="609"/>
      <c r="J503" s="609"/>
      <c r="K503" s="609"/>
      <c r="L503" s="609"/>
      <c r="M503" s="609"/>
      <c r="N503" s="609"/>
      <c r="O503" s="610"/>
      <c r="P503" s="606" t="s">
        <v>40</v>
      </c>
      <c r="Q503" s="607"/>
      <c r="R503" s="607"/>
      <c r="S503" s="607"/>
      <c r="T503" s="607"/>
      <c r="U503" s="607"/>
      <c r="V503" s="608"/>
      <c r="W503" s="40" t="s">
        <v>0</v>
      </c>
      <c r="X503" s="41">
        <f>IFERROR(SUM(X501:X501),"0")</f>
        <v>30</v>
      </c>
      <c r="Y503" s="41">
        <f>IFERROR(SUM(Y501:Y501),"0")</f>
        <v>36</v>
      </c>
      <c r="Z503" s="40"/>
      <c r="AA503" s="64"/>
      <c r="AB503" s="64"/>
      <c r="AC503" s="64"/>
    </row>
    <row r="504" spans="1:68" ht="14.25" hidden="1" customHeight="1" x14ac:dyDescent="0.25">
      <c r="A504" s="601" t="s">
        <v>163</v>
      </c>
      <c r="B504" s="601"/>
      <c r="C504" s="601"/>
      <c r="D504" s="601"/>
      <c r="E504" s="601"/>
      <c r="F504" s="601"/>
      <c r="G504" s="601"/>
      <c r="H504" s="601"/>
      <c r="I504" s="601"/>
      <c r="J504" s="601"/>
      <c r="K504" s="601"/>
      <c r="L504" s="601"/>
      <c r="M504" s="601"/>
      <c r="N504" s="601"/>
      <c r="O504" s="601"/>
      <c r="P504" s="601"/>
      <c r="Q504" s="601"/>
      <c r="R504" s="601"/>
      <c r="S504" s="601"/>
      <c r="T504" s="601"/>
      <c r="U504" s="601"/>
      <c r="V504" s="601"/>
      <c r="W504" s="601"/>
      <c r="X504" s="601"/>
      <c r="Y504" s="601"/>
      <c r="Z504" s="601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02">
        <v>4640242180519</v>
      </c>
      <c r="E505" s="602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61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04"/>
      <c r="R505" s="604"/>
      <c r="S505" s="604"/>
      <c r="T505" s="605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09"/>
      <c r="B506" s="609"/>
      <c r="C506" s="609"/>
      <c r="D506" s="609"/>
      <c r="E506" s="609"/>
      <c r="F506" s="609"/>
      <c r="G506" s="609"/>
      <c r="H506" s="609"/>
      <c r="I506" s="609"/>
      <c r="J506" s="609"/>
      <c r="K506" s="609"/>
      <c r="L506" s="609"/>
      <c r="M506" s="609"/>
      <c r="N506" s="609"/>
      <c r="O506" s="610"/>
      <c r="P506" s="606" t="s">
        <v>40</v>
      </c>
      <c r="Q506" s="607"/>
      <c r="R506" s="607"/>
      <c r="S506" s="607"/>
      <c r="T506" s="607"/>
      <c r="U506" s="607"/>
      <c r="V506" s="608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09"/>
      <c r="B507" s="609"/>
      <c r="C507" s="609"/>
      <c r="D507" s="609"/>
      <c r="E507" s="609"/>
      <c r="F507" s="609"/>
      <c r="G507" s="609"/>
      <c r="H507" s="609"/>
      <c r="I507" s="609"/>
      <c r="J507" s="609"/>
      <c r="K507" s="609"/>
      <c r="L507" s="609"/>
      <c r="M507" s="609"/>
      <c r="N507" s="609"/>
      <c r="O507" s="610"/>
      <c r="P507" s="606" t="s">
        <v>40</v>
      </c>
      <c r="Q507" s="607"/>
      <c r="R507" s="607"/>
      <c r="S507" s="607"/>
      <c r="T507" s="607"/>
      <c r="U507" s="607"/>
      <c r="V507" s="608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01" t="s">
        <v>77</v>
      </c>
      <c r="B508" s="601"/>
      <c r="C508" s="601"/>
      <c r="D508" s="601"/>
      <c r="E508" s="601"/>
      <c r="F508" s="601"/>
      <c r="G508" s="601"/>
      <c r="H508" s="601"/>
      <c r="I508" s="601"/>
      <c r="J508" s="601"/>
      <c r="K508" s="601"/>
      <c r="L508" s="601"/>
      <c r="M508" s="601"/>
      <c r="N508" s="601"/>
      <c r="O508" s="601"/>
      <c r="P508" s="601"/>
      <c r="Q508" s="601"/>
      <c r="R508" s="601"/>
      <c r="S508" s="601"/>
      <c r="T508" s="601"/>
      <c r="U508" s="601"/>
      <c r="V508" s="601"/>
      <c r="W508" s="601"/>
      <c r="X508" s="601"/>
      <c r="Y508" s="601"/>
      <c r="Z508" s="601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02">
        <v>4640242180595</v>
      </c>
      <c r="E509" s="602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62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4"/>
      <c r="R509" s="604"/>
      <c r="S509" s="604"/>
      <c r="T509" s="605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02">
        <v>4640242180595</v>
      </c>
      <c r="E510" s="602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62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04"/>
      <c r="R510" s="604"/>
      <c r="S510" s="604"/>
      <c r="T510" s="605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09"/>
      <c r="B511" s="609"/>
      <c r="C511" s="609"/>
      <c r="D511" s="609"/>
      <c r="E511" s="609"/>
      <c r="F511" s="609"/>
      <c r="G511" s="609"/>
      <c r="H511" s="609"/>
      <c r="I511" s="609"/>
      <c r="J511" s="609"/>
      <c r="K511" s="609"/>
      <c r="L511" s="609"/>
      <c r="M511" s="609"/>
      <c r="N511" s="609"/>
      <c r="O511" s="610"/>
      <c r="P511" s="606" t="s">
        <v>40</v>
      </c>
      <c r="Q511" s="607"/>
      <c r="R511" s="607"/>
      <c r="S511" s="607"/>
      <c r="T511" s="607"/>
      <c r="U511" s="607"/>
      <c r="V511" s="608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09"/>
      <c r="B512" s="609"/>
      <c r="C512" s="609"/>
      <c r="D512" s="609"/>
      <c r="E512" s="609"/>
      <c r="F512" s="609"/>
      <c r="G512" s="609"/>
      <c r="H512" s="609"/>
      <c r="I512" s="609"/>
      <c r="J512" s="609"/>
      <c r="K512" s="609"/>
      <c r="L512" s="609"/>
      <c r="M512" s="609"/>
      <c r="N512" s="609"/>
      <c r="O512" s="610"/>
      <c r="P512" s="606" t="s">
        <v>40</v>
      </c>
      <c r="Q512" s="607"/>
      <c r="R512" s="607"/>
      <c r="S512" s="607"/>
      <c r="T512" s="607"/>
      <c r="U512" s="607"/>
      <c r="V512" s="608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01" t="s">
        <v>86</v>
      </c>
      <c r="B513" s="601"/>
      <c r="C513" s="601"/>
      <c r="D513" s="601"/>
      <c r="E513" s="601"/>
      <c r="F513" s="601"/>
      <c r="G513" s="601"/>
      <c r="H513" s="601"/>
      <c r="I513" s="601"/>
      <c r="J513" s="601"/>
      <c r="K513" s="601"/>
      <c r="L513" s="601"/>
      <c r="M513" s="601"/>
      <c r="N513" s="601"/>
      <c r="O513" s="601"/>
      <c r="P513" s="601"/>
      <c r="Q513" s="601"/>
      <c r="R513" s="601"/>
      <c r="S513" s="601"/>
      <c r="T513" s="601"/>
      <c r="U513" s="601"/>
      <c r="V513" s="601"/>
      <c r="W513" s="601"/>
      <c r="X513" s="601"/>
      <c r="Y513" s="601"/>
      <c r="Z513" s="601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02">
        <v>4640242180533</v>
      </c>
      <c r="E514" s="602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6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04"/>
      <c r="R514" s="604"/>
      <c r="S514" s="604"/>
      <c r="T514" s="605"/>
      <c r="U514" s="37" t="s">
        <v>46</v>
      </c>
      <c r="V514" s="37" t="s">
        <v>46</v>
      </c>
      <c r="W514" s="38" t="s">
        <v>0</v>
      </c>
      <c r="X514" s="56">
        <v>700</v>
      </c>
      <c r="Y514" s="53">
        <f>IFERROR(IF(X514="",0,CEILING((X514/$H514),1)*$H514),"")</f>
        <v>702</v>
      </c>
      <c r="Z514" s="39">
        <f>IFERROR(IF(Y514=0,"",ROUNDUP(Y514/H514,0)*0.01898),"")</f>
        <v>1.48044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738.42222222222222</v>
      </c>
      <c r="BN514" s="75">
        <f>IFERROR(Y514*I514/H514,"0")</f>
        <v>740.53199999999993</v>
      </c>
      <c r="BO514" s="75">
        <f>IFERROR(1/J514*(X514/H514),"0")</f>
        <v>1.2152777777777777</v>
      </c>
      <c r="BP514" s="75">
        <f>IFERROR(1/J514*(Y514/H514),"0")</f>
        <v>1.21875</v>
      </c>
    </row>
    <row r="515" spans="1:68" x14ac:dyDescent="0.2">
      <c r="A515" s="609"/>
      <c r="B515" s="609"/>
      <c r="C515" s="609"/>
      <c r="D515" s="609"/>
      <c r="E515" s="609"/>
      <c r="F515" s="609"/>
      <c r="G515" s="609"/>
      <c r="H515" s="609"/>
      <c r="I515" s="609"/>
      <c r="J515" s="609"/>
      <c r="K515" s="609"/>
      <c r="L515" s="609"/>
      <c r="M515" s="609"/>
      <c r="N515" s="609"/>
      <c r="O515" s="610"/>
      <c r="P515" s="606" t="s">
        <v>40</v>
      </c>
      <c r="Q515" s="607"/>
      <c r="R515" s="607"/>
      <c r="S515" s="607"/>
      <c r="T515" s="607"/>
      <c r="U515" s="607"/>
      <c r="V515" s="608"/>
      <c r="W515" s="40" t="s">
        <v>39</v>
      </c>
      <c r="X515" s="41">
        <f>IFERROR(X514/H514,"0")</f>
        <v>77.777777777777771</v>
      </c>
      <c r="Y515" s="41">
        <f>IFERROR(Y514/H514,"0")</f>
        <v>78</v>
      </c>
      <c r="Z515" s="41">
        <f>IFERROR(IF(Z514="",0,Z514),"0")</f>
        <v>1.48044</v>
      </c>
      <c r="AA515" s="64"/>
      <c r="AB515" s="64"/>
      <c r="AC515" s="64"/>
    </row>
    <row r="516" spans="1:68" x14ac:dyDescent="0.2">
      <c r="A516" s="609"/>
      <c r="B516" s="609"/>
      <c r="C516" s="609"/>
      <c r="D516" s="609"/>
      <c r="E516" s="609"/>
      <c r="F516" s="609"/>
      <c r="G516" s="609"/>
      <c r="H516" s="609"/>
      <c r="I516" s="609"/>
      <c r="J516" s="609"/>
      <c r="K516" s="609"/>
      <c r="L516" s="609"/>
      <c r="M516" s="609"/>
      <c r="N516" s="609"/>
      <c r="O516" s="610"/>
      <c r="P516" s="606" t="s">
        <v>40</v>
      </c>
      <c r="Q516" s="607"/>
      <c r="R516" s="607"/>
      <c r="S516" s="607"/>
      <c r="T516" s="607"/>
      <c r="U516" s="607"/>
      <c r="V516" s="608"/>
      <c r="W516" s="40" t="s">
        <v>0</v>
      </c>
      <c r="X516" s="41">
        <f>IFERROR(SUM(X514:X514),"0")</f>
        <v>700</v>
      </c>
      <c r="Y516" s="41">
        <f>IFERROR(SUM(Y514:Y514),"0")</f>
        <v>702</v>
      </c>
      <c r="Z516" s="40"/>
      <c r="AA516" s="64"/>
      <c r="AB516" s="64"/>
      <c r="AC516" s="64"/>
    </row>
    <row r="517" spans="1:68" ht="14.25" hidden="1" customHeight="1" x14ac:dyDescent="0.25">
      <c r="A517" s="601" t="s">
        <v>180</v>
      </c>
      <c r="B517" s="601"/>
      <c r="C517" s="601"/>
      <c r="D517" s="601"/>
      <c r="E517" s="601"/>
      <c r="F517" s="601"/>
      <c r="G517" s="601"/>
      <c r="H517" s="601"/>
      <c r="I517" s="601"/>
      <c r="J517" s="601"/>
      <c r="K517" s="601"/>
      <c r="L517" s="601"/>
      <c r="M517" s="601"/>
      <c r="N517" s="601"/>
      <c r="O517" s="601"/>
      <c r="P517" s="601"/>
      <c r="Q517" s="601"/>
      <c r="R517" s="601"/>
      <c r="S517" s="601"/>
      <c r="T517" s="601"/>
      <c r="U517" s="601"/>
      <c r="V517" s="601"/>
      <c r="W517" s="601"/>
      <c r="X517" s="601"/>
      <c r="Y517" s="601"/>
      <c r="Z517" s="601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02">
        <v>4640242180120</v>
      </c>
      <c r="E518" s="602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61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04"/>
      <c r="R518" s="604"/>
      <c r="S518" s="604"/>
      <c r="T518" s="605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02">
        <v>4640242180137</v>
      </c>
      <c r="E519" s="602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61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04"/>
      <c r="R519" s="604"/>
      <c r="S519" s="604"/>
      <c r="T519" s="605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09"/>
      <c r="B520" s="609"/>
      <c r="C520" s="609"/>
      <c r="D520" s="609"/>
      <c r="E520" s="609"/>
      <c r="F520" s="609"/>
      <c r="G520" s="609"/>
      <c r="H520" s="609"/>
      <c r="I520" s="609"/>
      <c r="J520" s="609"/>
      <c r="K520" s="609"/>
      <c r="L520" s="609"/>
      <c r="M520" s="609"/>
      <c r="N520" s="609"/>
      <c r="O520" s="610"/>
      <c r="P520" s="606" t="s">
        <v>40</v>
      </c>
      <c r="Q520" s="607"/>
      <c r="R520" s="607"/>
      <c r="S520" s="607"/>
      <c r="T520" s="607"/>
      <c r="U520" s="607"/>
      <c r="V520" s="608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09"/>
      <c r="B521" s="609"/>
      <c r="C521" s="609"/>
      <c r="D521" s="609"/>
      <c r="E521" s="609"/>
      <c r="F521" s="609"/>
      <c r="G521" s="609"/>
      <c r="H521" s="609"/>
      <c r="I521" s="609"/>
      <c r="J521" s="609"/>
      <c r="K521" s="609"/>
      <c r="L521" s="609"/>
      <c r="M521" s="609"/>
      <c r="N521" s="609"/>
      <c r="O521" s="610"/>
      <c r="P521" s="606" t="s">
        <v>40</v>
      </c>
      <c r="Q521" s="607"/>
      <c r="R521" s="607"/>
      <c r="S521" s="607"/>
      <c r="T521" s="607"/>
      <c r="U521" s="607"/>
      <c r="V521" s="608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17" t="s">
        <v>814</v>
      </c>
      <c r="B522" s="617"/>
      <c r="C522" s="617"/>
      <c r="D522" s="617"/>
      <c r="E522" s="617"/>
      <c r="F522" s="617"/>
      <c r="G522" s="617"/>
      <c r="H522" s="617"/>
      <c r="I522" s="617"/>
      <c r="J522" s="617"/>
      <c r="K522" s="617"/>
      <c r="L522" s="617"/>
      <c r="M522" s="617"/>
      <c r="N522" s="617"/>
      <c r="O522" s="617"/>
      <c r="P522" s="617"/>
      <c r="Q522" s="617"/>
      <c r="R522" s="617"/>
      <c r="S522" s="617"/>
      <c r="T522" s="617"/>
      <c r="U522" s="617"/>
      <c r="V522" s="617"/>
      <c r="W522" s="617"/>
      <c r="X522" s="617"/>
      <c r="Y522" s="617"/>
      <c r="Z522" s="617"/>
      <c r="AA522" s="62"/>
      <c r="AB522" s="62"/>
      <c r="AC522" s="62"/>
    </row>
    <row r="523" spans="1:68" ht="14.25" hidden="1" customHeight="1" x14ac:dyDescent="0.25">
      <c r="A523" s="601" t="s">
        <v>163</v>
      </c>
      <c r="B523" s="601"/>
      <c r="C523" s="601"/>
      <c r="D523" s="601"/>
      <c r="E523" s="601"/>
      <c r="F523" s="601"/>
      <c r="G523" s="601"/>
      <c r="H523" s="601"/>
      <c r="I523" s="601"/>
      <c r="J523" s="601"/>
      <c r="K523" s="601"/>
      <c r="L523" s="601"/>
      <c r="M523" s="601"/>
      <c r="N523" s="601"/>
      <c r="O523" s="601"/>
      <c r="P523" s="601"/>
      <c r="Q523" s="601"/>
      <c r="R523" s="601"/>
      <c r="S523" s="601"/>
      <c r="T523" s="601"/>
      <c r="U523" s="601"/>
      <c r="V523" s="601"/>
      <c r="W523" s="601"/>
      <c r="X523" s="601"/>
      <c r="Y523" s="601"/>
      <c r="Z523" s="601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02">
        <v>4640242180090</v>
      </c>
      <c r="E524" s="602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60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04"/>
      <c r="R524" s="604"/>
      <c r="S524" s="604"/>
      <c r="T524" s="60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09"/>
      <c r="B525" s="609"/>
      <c r="C525" s="609"/>
      <c r="D525" s="609"/>
      <c r="E525" s="609"/>
      <c r="F525" s="609"/>
      <c r="G525" s="609"/>
      <c r="H525" s="609"/>
      <c r="I525" s="609"/>
      <c r="J525" s="609"/>
      <c r="K525" s="609"/>
      <c r="L525" s="609"/>
      <c r="M525" s="609"/>
      <c r="N525" s="609"/>
      <c r="O525" s="610"/>
      <c r="P525" s="606" t="s">
        <v>40</v>
      </c>
      <c r="Q525" s="607"/>
      <c r="R525" s="607"/>
      <c r="S525" s="607"/>
      <c r="T525" s="607"/>
      <c r="U525" s="607"/>
      <c r="V525" s="608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09"/>
      <c r="B526" s="609"/>
      <c r="C526" s="609"/>
      <c r="D526" s="609"/>
      <c r="E526" s="609"/>
      <c r="F526" s="609"/>
      <c r="G526" s="609"/>
      <c r="H526" s="609"/>
      <c r="I526" s="609"/>
      <c r="J526" s="609"/>
      <c r="K526" s="609"/>
      <c r="L526" s="609"/>
      <c r="M526" s="609"/>
      <c r="N526" s="609"/>
      <c r="O526" s="610"/>
      <c r="P526" s="606" t="s">
        <v>40</v>
      </c>
      <c r="Q526" s="607"/>
      <c r="R526" s="607"/>
      <c r="S526" s="607"/>
      <c r="T526" s="607"/>
      <c r="U526" s="607"/>
      <c r="V526" s="608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09"/>
      <c r="B527" s="609"/>
      <c r="C527" s="609"/>
      <c r="D527" s="609"/>
      <c r="E527" s="609"/>
      <c r="F527" s="609"/>
      <c r="G527" s="609"/>
      <c r="H527" s="609"/>
      <c r="I527" s="609"/>
      <c r="J527" s="609"/>
      <c r="K527" s="609"/>
      <c r="L527" s="609"/>
      <c r="M527" s="609"/>
      <c r="N527" s="609"/>
      <c r="O527" s="614"/>
      <c r="P527" s="611" t="s">
        <v>33</v>
      </c>
      <c r="Q527" s="612"/>
      <c r="R527" s="612"/>
      <c r="S527" s="612"/>
      <c r="T527" s="612"/>
      <c r="U527" s="612"/>
      <c r="V527" s="613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17618.196166666668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17764.18</v>
      </c>
      <c r="Z527" s="40"/>
      <c r="AA527" s="64"/>
      <c r="AB527" s="64"/>
      <c r="AC527" s="64"/>
    </row>
    <row r="528" spans="1:68" x14ac:dyDescent="0.2">
      <c r="A528" s="609"/>
      <c r="B528" s="609"/>
      <c r="C528" s="609"/>
      <c r="D528" s="609"/>
      <c r="E528" s="609"/>
      <c r="F528" s="609"/>
      <c r="G528" s="609"/>
      <c r="H528" s="609"/>
      <c r="I528" s="609"/>
      <c r="J528" s="609"/>
      <c r="K528" s="609"/>
      <c r="L528" s="609"/>
      <c r="M528" s="609"/>
      <c r="N528" s="609"/>
      <c r="O528" s="614"/>
      <c r="P528" s="611" t="s">
        <v>34</v>
      </c>
      <c r="Q528" s="612"/>
      <c r="R528" s="612"/>
      <c r="S528" s="612"/>
      <c r="T528" s="612"/>
      <c r="U528" s="612"/>
      <c r="V528" s="613"/>
      <c r="W528" s="40" t="s">
        <v>0</v>
      </c>
      <c r="X528" s="41">
        <f>IFERROR(SUM(BM22:BM524),"0")</f>
        <v>18796.195404286442</v>
      </c>
      <c r="Y528" s="41">
        <f>IFERROR(SUM(BN22:BN524),"0")</f>
        <v>18951.361000000001</v>
      </c>
      <c r="Z528" s="40"/>
      <c r="AA528" s="64"/>
      <c r="AB528" s="64"/>
      <c r="AC528" s="64"/>
    </row>
    <row r="529" spans="1:32" x14ac:dyDescent="0.2">
      <c r="A529" s="609"/>
      <c r="B529" s="609"/>
      <c r="C529" s="609"/>
      <c r="D529" s="609"/>
      <c r="E529" s="609"/>
      <c r="F529" s="609"/>
      <c r="G529" s="609"/>
      <c r="H529" s="609"/>
      <c r="I529" s="609"/>
      <c r="J529" s="609"/>
      <c r="K529" s="609"/>
      <c r="L529" s="609"/>
      <c r="M529" s="609"/>
      <c r="N529" s="609"/>
      <c r="O529" s="614"/>
      <c r="P529" s="611" t="s">
        <v>35</v>
      </c>
      <c r="Q529" s="612"/>
      <c r="R529" s="612"/>
      <c r="S529" s="612"/>
      <c r="T529" s="612"/>
      <c r="U529" s="612"/>
      <c r="V529" s="613"/>
      <c r="W529" s="40" t="s">
        <v>20</v>
      </c>
      <c r="X529" s="42">
        <f>ROUNDUP(SUM(BO22:BO524),0)</f>
        <v>32</v>
      </c>
      <c r="Y529" s="42">
        <f>ROUNDUP(SUM(BP22:BP524),0)</f>
        <v>33</v>
      </c>
      <c r="Z529" s="40"/>
      <c r="AA529" s="64"/>
      <c r="AB529" s="64"/>
      <c r="AC529" s="64"/>
    </row>
    <row r="530" spans="1:32" x14ac:dyDescent="0.2">
      <c r="A530" s="609"/>
      <c r="B530" s="609"/>
      <c r="C530" s="609"/>
      <c r="D530" s="609"/>
      <c r="E530" s="609"/>
      <c r="F530" s="609"/>
      <c r="G530" s="609"/>
      <c r="H530" s="609"/>
      <c r="I530" s="609"/>
      <c r="J530" s="609"/>
      <c r="K530" s="609"/>
      <c r="L530" s="609"/>
      <c r="M530" s="609"/>
      <c r="N530" s="609"/>
      <c r="O530" s="614"/>
      <c r="P530" s="611" t="s">
        <v>36</v>
      </c>
      <c r="Q530" s="612"/>
      <c r="R530" s="612"/>
      <c r="S530" s="612"/>
      <c r="T530" s="612"/>
      <c r="U530" s="612"/>
      <c r="V530" s="613"/>
      <c r="W530" s="40" t="s">
        <v>0</v>
      </c>
      <c r="X530" s="41">
        <f>GrossWeightTotal+PalletQtyTotal*25</f>
        <v>19596.195404286442</v>
      </c>
      <c r="Y530" s="41">
        <f>GrossWeightTotalR+PalletQtyTotalR*25</f>
        <v>19776.361000000001</v>
      </c>
      <c r="Z530" s="40"/>
      <c r="AA530" s="64"/>
      <c r="AB530" s="64"/>
      <c r="AC530" s="64"/>
    </row>
    <row r="531" spans="1:32" x14ac:dyDescent="0.2">
      <c r="A531" s="609"/>
      <c r="B531" s="609"/>
      <c r="C531" s="609"/>
      <c r="D531" s="609"/>
      <c r="E531" s="609"/>
      <c r="F531" s="609"/>
      <c r="G531" s="609"/>
      <c r="H531" s="609"/>
      <c r="I531" s="609"/>
      <c r="J531" s="609"/>
      <c r="K531" s="609"/>
      <c r="L531" s="609"/>
      <c r="M531" s="609"/>
      <c r="N531" s="609"/>
      <c r="O531" s="614"/>
      <c r="P531" s="611" t="s">
        <v>37</v>
      </c>
      <c r="Q531" s="612"/>
      <c r="R531" s="612"/>
      <c r="S531" s="612"/>
      <c r="T531" s="612"/>
      <c r="U531" s="612"/>
      <c r="V531" s="613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3792.4492289199379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3820</v>
      </c>
      <c r="Z531" s="40"/>
      <c r="AA531" s="64"/>
      <c r="AB531" s="64"/>
      <c r="AC531" s="64"/>
    </row>
    <row r="532" spans="1:32" ht="14.25" hidden="1" x14ac:dyDescent="0.2">
      <c r="A532" s="609"/>
      <c r="B532" s="609"/>
      <c r="C532" s="609"/>
      <c r="D532" s="609"/>
      <c r="E532" s="609"/>
      <c r="F532" s="609"/>
      <c r="G532" s="609"/>
      <c r="H532" s="609"/>
      <c r="I532" s="609"/>
      <c r="J532" s="609"/>
      <c r="K532" s="609"/>
      <c r="L532" s="609"/>
      <c r="M532" s="609"/>
      <c r="N532" s="609"/>
      <c r="O532" s="614"/>
      <c r="P532" s="611" t="s">
        <v>38</v>
      </c>
      <c r="Q532" s="612"/>
      <c r="R532" s="612"/>
      <c r="S532" s="612"/>
      <c r="T532" s="612"/>
      <c r="U532" s="612"/>
      <c r="V532" s="613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37.485770000000002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597" t="s">
        <v>126</v>
      </c>
      <c r="E534" s="597" t="s">
        <v>126</v>
      </c>
      <c r="F534" s="597" t="s">
        <v>126</v>
      </c>
      <c r="G534" s="597" t="s">
        <v>126</v>
      </c>
      <c r="H534" s="597" t="s">
        <v>126</v>
      </c>
      <c r="I534" s="597" t="s">
        <v>126</v>
      </c>
      <c r="J534" s="597" t="s">
        <v>126</v>
      </c>
      <c r="K534" s="597" t="s">
        <v>333</v>
      </c>
      <c r="L534" s="597" t="s">
        <v>333</v>
      </c>
      <c r="M534" s="597" t="s">
        <v>333</v>
      </c>
      <c r="N534" s="598"/>
      <c r="O534" s="597" t="s">
        <v>333</v>
      </c>
      <c r="P534" s="597" t="s">
        <v>333</v>
      </c>
      <c r="Q534" s="597" t="s">
        <v>333</v>
      </c>
      <c r="R534" s="597" t="s">
        <v>333</v>
      </c>
      <c r="S534" s="597" t="s">
        <v>333</v>
      </c>
      <c r="T534" s="597" t="s">
        <v>333</v>
      </c>
      <c r="U534" s="597" t="s">
        <v>333</v>
      </c>
      <c r="V534" s="597" t="s">
        <v>650</v>
      </c>
      <c r="W534" s="597" t="s">
        <v>650</v>
      </c>
      <c r="X534" s="597" t="s">
        <v>710</v>
      </c>
      <c r="Y534" s="597" t="s">
        <v>710</v>
      </c>
      <c r="Z534" s="80" t="s">
        <v>746</v>
      </c>
      <c r="AA534" s="597" t="s">
        <v>793</v>
      </c>
      <c r="AB534" s="597" t="s">
        <v>793</v>
      </c>
      <c r="AC534" s="9"/>
      <c r="AF534" s="1"/>
    </row>
    <row r="535" spans="1:32" ht="14.25" customHeight="1" thickTop="1" x14ac:dyDescent="0.2">
      <c r="A535" s="599" t="s">
        <v>10</v>
      </c>
      <c r="B535" s="597" t="s">
        <v>76</v>
      </c>
      <c r="C535" s="597" t="s">
        <v>113</v>
      </c>
      <c r="D535" s="597" t="s">
        <v>127</v>
      </c>
      <c r="E535" s="597" t="s">
        <v>143</v>
      </c>
      <c r="F535" s="597" t="s">
        <v>187</v>
      </c>
      <c r="G535" s="597" t="s">
        <v>208</v>
      </c>
      <c r="H535" s="597" t="s">
        <v>251</v>
      </c>
      <c r="I535" s="597" t="s">
        <v>263</v>
      </c>
      <c r="J535" s="597" t="s">
        <v>126</v>
      </c>
      <c r="K535" s="597" t="s">
        <v>334</v>
      </c>
      <c r="L535" s="597" t="s">
        <v>346</v>
      </c>
      <c r="M535" s="597" t="s">
        <v>405</v>
      </c>
      <c r="N535" s="1"/>
      <c r="O535" s="597" t="s">
        <v>473</v>
      </c>
      <c r="P535" s="597" t="s">
        <v>509</v>
      </c>
      <c r="Q535" s="597" t="s">
        <v>525</v>
      </c>
      <c r="R535" s="597" t="s">
        <v>534</v>
      </c>
      <c r="S535" s="597" t="s">
        <v>555</v>
      </c>
      <c r="T535" s="597" t="s">
        <v>565</v>
      </c>
      <c r="U535" s="597" t="s">
        <v>640</v>
      </c>
      <c r="V535" s="597" t="s">
        <v>651</v>
      </c>
      <c r="W535" s="597" t="s">
        <v>694</v>
      </c>
      <c r="X535" s="597" t="s">
        <v>711</v>
      </c>
      <c r="Y535" s="597" t="s">
        <v>734</v>
      </c>
      <c r="Z535" s="597" t="s">
        <v>746</v>
      </c>
      <c r="AA535" s="597" t="s">
        <v>793</v>
      </c>
      <c r="AB535" s="597" t="s">
        <v>814</v>
      </c>
      <c r="AC535" s="9"/>
      <c r="AF535" s="1"/>
    </row>
    <row r="536" spans="1:32" ht="13.5" thickBot="1" x14ac:dyDescent="0.25">
      <c r="A536" s="600"/>
      <c r="B536" s="597"/>
      <c r="C536" s="597"/>
      <c r="D536" s="597"/>
      <c r="E536" s="597"/>
      <c r="F536" s="597"/>
      <c r="G536" s="597"/>
      <c r="H536" s="597"/>
      <c r="I536" s="597"/>
      <c r="J536" s="597"/>
      <c r="K536" s="597"/>
      <c r="L536" s="597"/>
      <c r="M536" s="597"/>
      <c r="N536" s="1"/>
      <c r="O536" s="597"/>
      <c r="P536" s="597"/>
      <c r="Q536" s="597"/>
      <c r="R536" s="597"/>
      <c r="S536" s="597"/>
      <c r="T536" s="597"/>
      <c r="U536" s="597"/>
      <c r="V536" s="597"/>
      <c r="W536" s="597"/>
      <c r="X536" s="597"/>
      <c r="Y536" s="597"/>
      <c r="Z536" s="597"/>
      <c r="AA536" s="597"/>
      <c r="AB536" s="597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26.88</v>
      </c>
      <c r="D537" s="50">
        <f>IFERROR(Y51*1,"0")+IFERROR(Y52*1,"0")+IFERROR(Y53*1,"0")+IFERROR(Y54*1,"0")</f>
        <v>733.6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693</v>
      </c>
      <c r="F537" s="50">
        <f>IFERROR(Y87*1,"0")+IFERROR(Y88*1,"0")+IFERROR(Y89*1,"0")+IFERROR(Y90*1,"0")+IFERROR(Y94*1,"0")+IFERROR(Y95*1,"0")+IFERROR(Y96*1,"0")+IFERROR(Y97*1,"0")</f>
        <v>1600.2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1963.62</v>
      </c>
      <c r="H537" s="50">
        <f>IFERROR(Y133*1,"0")+IFERROR(Y134*1,"0")+IFERROR(Y138*1,"0")+IFERROR(Y139*1,"0")+IFERROR(Y143*1,"0")+IFERROR(Y144*1,"0")</f>
        <v>263.92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869.09999999999991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383.76000000000005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1866.8999999999999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124.69999999999999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640.79999999999995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234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1134.5999999999999</v>
      </c>
      <c r="U537" s="50">
        <f>IFERROR(Y392*1,"0")+IFERROR(Y393*1,"0")+IFERROR(Y394*1,"0")</f>
        <v>875.7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4881</v>
      </c>
      <c r="W537" s="50">
        <f>IFERROR(Y427*1,"0")+IFERROR(Y428*1,"0")+IFERROR(Y432*1,"0")+IFERROR(Y436*1,"0")+IFERROR(Y437*1,"0")+IFERROR(Y438*1,"0")</f>
        <v>84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650.4</v>
      </c>
      <c r="AA537" s="50">
        <f>IFERROR(Y501*1,"0")+IFERROR(Y505*1,"0")+IFERROR(Y509*1,"0")+IFERROR(Y510*1,"0")+IFERROR(Y514*1,"0")+IFERROR(Y518*1,"0")+IFERROR(Y519*1,"0")</f>
        <v>738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 400,00"/>
        <filter val="1 500,00"/>
        <filter val="1,80"/>
        <filter val="100,00"/>
        <filter val="102,00"/>
        <filter val="103,70"/>
        <filter val="104,00"/>
        <filter val="11,11"/>
        <filter val="110,00"/>
        <filter val="111,67"/>
        <filter val="112,00"/>
        <filter val="113,89"/>
        <filter val="115,00"/>
        <filter val="12,00"/>
        <filter val="120,00"/>
        <filter val="120,05"/>
        <filter val="127,78"/>
        <filter val="13,33"/>
        <filter val="13,89"/>
        <filter val="140,00"/>
        <filter val="146,81"/>
        <filter val="15,00"/>
        <filter val="150,00"/>
        <filter val="16,00"/>
        <filter val="17 618,20"/>
        <filter val="17,50"/>
        <filter val="170,00"/>
        <filter val="18 796,20"/>
        <filter val="180,00"/>
        <filter val="187,59"/>
        <filter val="19 596,20"/>
        <filter val="2,00"/>
        <filter val="2,40"/>
        <filter val="2,50"/>
        <filter val="2,78"/>
        <filter val="20,11"/>
        <filter val="200,00"/>
        <filter val="220,00"/>
        <filter val="237,07"/>
        <filter val="24,00"/>
        <filter val="240,00"/>
        <filter val="245,00"/>
        <filter val="25,60"/>
        <filter val="254,67"/>
        <filter val="26,00"/>
        <filter val="266,67"/>
        <filter val="28,21"/>
        <filter val="280,00"/>
        <filter val="3 792,45"/>
        <filter val="3 820,00"/>
        <filter val="3,33"/>
        <filter val="3,50"/>
        <filter val="3,60"/>
        <filter val="30,00"/>
        <filter val="300,00"/>
        <filter val="300,30"/>
        <filter val="32"/>
        <filter val="33,33"/>
        <filter val="332,10"/>
        <filter val="342,48"/>
        <filter val="354,40"/>
        <filter val="360,00"/>
        <filter val="367,82"/>
        <filter val="37,50"/>
        <filter val="4,00"/>
        <filter val="40,00"/>
        <filter val="400,00"/>
        <filter val="416,67"/>
        <filter val="42,00"/>
        <filter val="45,00"/>
        <filter val="450,00"/>
        <filter val="480,00"/>
        <filter val="490,00"/>
        <filter val="5,56"/>
        <filter val="50,00"/>
        <filter val="500,00"/>
        <filter val="52,50"/>
        <filter val="540,00"/>
        <filter val="56,00"/>
        <filter val="58,33"/>
        <filter val="59,50"/>
        <filter val="6,67"/>
        <filter val="60,00"/>
        <filter val="60,23"/>
        <filter val="600,00"/>
        <filter val="611,00"/>
        <filter val="630,00"/>
        <filter val="640,00"/>
        <filter val="66,00"/>
        <filter val="66,67"/>
        <filter val="69,00"/>
        <filter val="7,00"/>
        <filter val="70,00"/>
        <filter val="700,00"/>
        <filter val="72,00"/>
        <filter val="730,00"/>
        <filter val="750,00"/>
        <filter val="77,78"/>
        <filter val="80,00"/>
        <filter val="800,00"/>
        <filter val="840,30"/>
        <filter val="859,80"/>
        <filter val="875,00"/>
        <filter val="90,00"/>
        <filter val="970,00"/>
        <filter val="99,00"/>
      </filters>
    </filterColumn>
    <filterColumn colId="29" showButton="0"/>
    <filterColumn colId="30" showButton="0"/>
  </autoFilter>
  <dataConsolidate/>
  <mergeCells count="94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2026-06-26T14:05:21Z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