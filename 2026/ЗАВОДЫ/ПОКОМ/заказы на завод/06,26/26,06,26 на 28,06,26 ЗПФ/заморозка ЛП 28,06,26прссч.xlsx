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65BDC0-CA6C-4C7F-A321-81D7C02B256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заказа'!$B$282:$B$282</definedName>
    <definedName name="ProductId101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заказа'!$B$188:$B$188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заказа'!$B$197:$B$197</definedName>
    <definedName name="ProductId73">'Бланк заказа'!$B$203:$B$203</definedName>
    <definedName name="ProductId74">'Бланк заказа'!$B$207:$B$207</definedName>
    <definedName name="ProductId75">'Бланк заказа'!$B$208:$B$208</definedName>
    <definedName name="ProductId76">'Бланк заказа'!$B$209:$B$209</definedName>
    <definedName name="ProductId77">'Бланк заказа'!$B$214:$B$214</definedName>
    <definedName name="ProductId78">'Бланк заказа'!$B$215:$B$215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заказа'!$B$231:$B$231</definedName>
    <definedName name="ProductId82">'Бланк заказа'!$B$237:$B$237</definedName>
    <definedName name="ProductId83">'Бланк заказа'!$B$243:$B$243</definedName>
    <definedName name="ProductId84">'Бланк заказа'!$B$247:$B$247</definedName>
    <definedName name="ProductId85">'Бланк заказа'!$B$253:$B$253</definedName>
    <definedName name="ProductId86">'Бланк заказа'!$B$259:$B$259</definedName>
    <definedName name="ProductId87">'Бланк заказа'!$B$260:$B$260</definedName>
    <definedName name="ProductId88">'Бланк заказа'!$B$264:$B$264</definedName>
    <definedName name="ProductId89">'Бланк заказа'!$B$268:$B$268</definedName>
    <definedName name="ProductId9">'Бланк заказа'!$B$34:$B$34</definedName>
    <definedName name="ProductId90">'Бланк заказа'!$B$269:$B$269</definedName>
    <definedName name="ProductId91">'Бланк заказа'!$B$270:$B$270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ductId99">'Бланк заказа'!$B$281:$B$281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заказа'!$X$282:$X$282</definedName>
    <definedName name="SalesQty101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заказа'!$X$188:$X$188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заказа'!$X$197:$X$197</definedName>
    <definedName name="SalesQty73">'Бланк заказа'!$X$203:$X$203</definedName>
    <definedName name="SalesQty74">'Бланк заказа'!$X$207:$X$207</definedName>
    <definedName name="SalesQty75">'Бланк заказа'!$X$208:$X$208</definedName>
    <definedName name="SalesQty76">'Бланк заказа'!$X$209:$X$209</definedName>
    <definedName name="SalesQty77">'Бланк заказа'!$X$214:$X$214</definedName>
    <definedName name="SalesQty78">'Бланк заказа'!$X$215:$X$215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заказа'!$X$231:$X$231</definedName>
    <definedName name="SalesQty82">'Бланк заказа'!$X$237:$X$237</definedName>
    <definedName name="SalesQty83">'Бланк заказа'!$X$243:$X$243</definedName>
    <definedName name="SalesQty84">'Бланк заказа'!$X$247:$X$247</definedName>
    <definedName name="SalesQty85">'Бланк заказа'!$X$253:$X$253</definedName>
    <definedName name="SalesQty86">'Бланк заказа'!$X$259:$X$259</definedName>
    <definedName name="SalesQty87">'Бланк заказа'!$X$260:$X$260</definedName>
    <definedName name="SalesQty88">'Бланк заказа'!$X$264:$X$264</definedName>
    <definedName name="SalesQty89">'Бланк заказа'!$X$268:$X$268</definedName>
    <definedName name="SalesQty9">'Бланк заказа'!$X$34:$X$34</definedName>
    <definedName name="SalesQty90">'Бланк заказа'!$X$269:$X$269</definedName>
    <definedName name="SalesQty91">'Бланк заказа'!$X$270:$X$270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Qty99">'Бланк заказа'!$X$281:$X$281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заказа'!$Y$282:$Y$282</definedName>
    <definedName name="SalesRoundBox101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заказа'!$Y$188:$Y$188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заказа'!$Y$197:$Y$197</definedName>
    <definedName name="SalesRoundBox73">'Бланк заказа'!$Y$203:$Y$203</definedName>
    <definedName name="SalesRoundBox74">'Бланк заказа'!$Y$207:$Y$207</definedName>
    <definedName name="SalesRoundBox75">'Бланк заказа'!$Y$208:$Y$208</definedName>
    <definedName name="SalesRoundBox76">'Бланк заказа'!$Y$209:$Y$209</definedName>
    <definedName name="SalesRoundBox77">'Бланк заказа'!$Y$214:$Y$214</definedName>
    <definedName name="SalesRoundBox78">'Бланк заказа'!$Y$215:$Y$215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заказа'!$Y$231:$Y$231</definedName>
    <definedName name="SalesRoundBox82">'Бланк заказа'!$Y$237:$Y$237</definedName>
    <definedName name="SalesRoundBox83">'Бланк заказа'!$Y$243:$Y$243</definedName>
    <definedName name="SalesRoundBox84">'Бланк заказа'!$Y$247:$Y$247</definedName>
    <definedName name="SalesRoundBox85">'Бланк заказа'!$Y$253:$Y$253</definedName>
    <definedName name="SalesRoundBox86">'Бланк заказа'!$Y$259:$Y$259</definedName>
    <definedName name="SalesRoundBox87">'Бланк заказа'!$Y$260:$Y$260</definedName>
    <definedName name="SalesRoundBox88">'Бланк заказа'!$Y$264:$Y$264</definedName>
    <definedName name="SalesRoundBox89">'Бланк заказа'!$Y$268:$Y$268</definedName>
    <definedName name="SalesRoundBox9">'Бланк заказа'!$Y$34:$Y$34</definedName>
    <definedName name="SalesRoundBox90">'Бланк заказа'!$Y$269:$Y$269</definedName>
    <definedName name="SalesRoundBox91">'Бланк заказа'!$Y$270:$Y$270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SalesRoundBox99">'Бланк заказа'!$Y$281:$Y$281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заказа'!$W$282:$W$282</definedName>
    <definedName name="UnitOfMeasure101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заказа'!$W$188:$W$188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заказа'!$W$197:$W$197</definedName>
    <definedName name="UnitOfMeasure73">'Бланк заказа'!$W$203:$W$203</definedName>
    <definedName name="UnitOfMeasure74">'Бланк заказа'!$W$207:$W$207</definedName>
    <definedName name="UnitOfMeasure75">'Бланк заказа'!$W$208:$W$208</definedName>
    <definedName name="UnitOfMeasure76">'Бланк заказа'!$W$209:$W$209</definedName>
    <definedName name="UnitOfMeasure77">'Бланк заказа'!$W$214:$W$214</definedName>
    <definedName name="UnitOfMeasure78">'Бланк заказа'!$W$215:$W$215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заказа'!$W$231:$W$231</definedName>
    <definedName name="UnitOfMeasure82">'Бланк заказа'!$W$237:$W$237</definedName>
    <definedName name="UnitOfMeasure83">'Бланк заказа'!$W$243:$W$243</definedName>
    <definedName name="UnitOfMeasure84">'Бланк заказа'!$W$247:$W$247</definedName>
    <definedName name="UnitOfMeasure85">'Бланк заказа'!$W$253:$W$253</definedName>
    <definedName name="UnitOfMeasure86">'Бланк заказа'!$W$259:$W$259</definedName>
    <definedName name="UnitOfMeasure87">'Бланк заказа'!$W$260:$W$260</definedName>
    <definedName name="UnitOfMeasure88">'Бланк заказа'!$W$264:$W$264</definedName>
    <definedName name="UnitOfMeasure89">'Бланк заказа'!$W$268:$W$268</definedName>
    <definedName name="UnitOfMeasure9">'Бланк заказа'!$W$34:$W$34</definedName>
    <definedName name="UnitOfMeasure90">'Бланк заказа'!$W$269:$W$269</definedName>
    <definedName name="UnitOfMeasure91">'Бланк заказа'!$W$270:$W$270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itOfMeasure99">'Бланк заказа'!$W$281:$W$281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X272" i="2"/>
  <c r="X271" i="2"/>
  <c r="BO270" i="2"/>
  <c r="BN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Z265" i="2" s="1"/>
  <c r="Y264" i="2"/>
  <c r="Y265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5" i="2"/>
  <c r="X254" i="2"/>
  <c r="BO253" i="2"/>
  <c r="BM253" i="2"/>
  <c r="Z253" i="2"/>
  <c r="Z254" i="2" s="1"/>
  <c r="Y253" i="2"/>
  <c r="Y254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Y233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P215" i="2" s="1"/>
  <c r="P215" i="2"/>
  <c r="BO214" i="2"/>
  <c r="BM214" i="2"/>
  <c r="Z214" i="2"/>
  <c r="Y214" i="2"/>
  <c r="BN214" i="2" s="1"/>
  <c r="P214" i="2"/>
  <c r="X211" i="2"/>
  <c r="X210" i="2"/>
  <c r="BO209" i="2"/>
  <c r="BM209" i="2"/>
  <c r="Z209" i="2"/>
  <c r="Y209" i="2"/>
  <c r="P209" i="2"/>
  <c r="BO208" i="2"/>
  <c r="BM208" i="2"/>
  <c r="Z208" i="2"/>
  <c r="Y208" i="2"/>
  <c r="BN208" i="2" s="1"/>
  <c r="P208" i="2"/>
  <c r="BO207" i="2"/>
  <c r="BM207" i="2"/>
  <c r="Z207" i="2"/>
  <c r="Y207" i="2"/>
  <c r="BP207" i="2" s="1"/>
  <c r="P207" i="2"/>
  <c r="X205" i="2"/>
  <c r="X204" i="2"/>
  <c r="BO203" i="2"/>
  <c r="BM203" i="2"/>
  <c r="Z203" i="2"/>
  <c r="Z204" i="2" s="1"/>
  <c r="Y203" i="2"/>
  <c r="BP203" i="2" s="1"/>
  <c r="P203" i="2"/>
  <c r="X199" i="2"/>
  <c r="X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P195" i="2" s="1"/>
  <c r="P195" i="2"/>
  <c r="BO194" i="2"/>
  <c r="BM194" i="2"/>
  <c r="Z194" i="2"/>
  <c r="Y194" i="2"/>
  <c r="P194" i="2"/>
  <c r="X190" i="2"/>
  <c r="X189" i="2"/>
  <c r="BO188" i="2"/>
  <c r="BM188" i="2"/>
  <c r="Z188" i="2"/>
  <c r="Y188" i="2"/>
  <c r="BP188" i="2" s="1"/>
  <c r="P188" i="2"/>
  <c r="BO187" i="2"/>
  <c r="BM187" i="2"/>
  <c r="Z187" i="2"/>
  <c r="Y187" i="2"/>
  <c r="BN187" i="2" s="1"/>
  <c r="P187" i="2"/>
  <c r="X185" i="2"/>
  <c r="X184" i="2"/>
  <c r="BO183" i="2"/>
  <c r="BM183" i="2"/>
  <c r="Z183" i="2"/>
  <c r="Y183" i="2"/>
  <c r="BP183" i="2" s="1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3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P160" i="2" s="1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P136" i="2"/>
  <c r="BO135" i="2"/>
  <c r="BM135" i="2"/>
  <c r="Z135" i="2"/>
  <c r="Y135" i="2"/>
  <c r="BP135" i="2" s="1"/>
  <c r="P135" i="2"/>
  <c r="X132" i="2"/>
  <c r="X131" i="2"/>
  <c r="BO130" i="2"/>
  <c r="BM130" i="2"/>
  <c r="Z130" i="2"/>
  <c r="Z131" i="2" s="1"/>
  <c r="Y130" i="2"/>
  <c r="BP130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H10" i="2"/>
  <c r="A9" i="2"/>
  <c r="F10" i="2" s="1"/>
  <c r="D7" i="2"/>
  <c r="Q6" i="2"/>
  <c r="P2" i="2"/>
  <c r="Z162" i="2" l="1"/>
  <c r="Z189" i="2"/>
  <c r="Z78" i="2"/>
  <c r="Z95" i="2"/>
  <c r="BN27" i="2"/>
  <c r="Z43" i="2"/>
  <c r="BN41" i="2"/>
  <c r="Y106" i="2"/>
  <c r="BN104" i="2"/>
  <c r="Y123" i="2"/>
  <c r="Z123" i="2"/>
  <c r="BN120" i="2"/>
  <c r="BN130" i="2"/>
  <c r="Z36" i="2"/>
  <c r="Y43" i="2"/>
  <c r="BN54" i="2"/>
  <c r="Y96" i="2"/>
  <c r="BN94" i="2"/>
  <c r="Z144" i="2"/>
  <c r="BN143" i="2"/>
  <c r="BN237" i="2"/>
  <c r="Z261" i="2"/>
  <c r="Y131" i="2"/>
  <c r="Y139" i="2"/>
  <c r="Z150" i="2"/>
  <c r="BN149" i="2"/>
  <c r="Z156" i="2"/>
  <c r="Z184" i="2"/>
  <c r="Y199" i="2"/>
  <c r="Z198" i="2"/>
  <c r="BN195" i="2"/>
  <c r="Z210" i="2"/>
  <c r="BN207" i="2"/>
  <c r="Y216" i="2"/>
  <c r="BN253" i="2"/>
  <c r="BN260" i="2"/>
  <c r="Y90" i="2"/>
  <c r="Z30" i="2"/>
  <c r="X288" i="2"/>
  <c r="BN29" i="2"/>
  <c r="X290" i="2"/>
  <c r="Z50" i="2"/>
  <c r="BN56" i="2"/>
  <c r="BN57" i="2"/>
  <c r="Y63" i="2"/>
  <c r="Z84" i="2"/>
  <c r="Z111" i="2"/>
  <c r="BN126" i="2"/>
  <c r="BP126" i="2"/>
  <c r="Y127" i="2"/>
  <c r="BP277" i="2"/>
  <c r="BP76" i="2"/>
  <c r="BP99" i="2"/>
  <c r="Y156" i="2"/>
  <c r="BP166" i="2"/>
  <c r="BP187" i="2"/>
  <c r="Y198" i="2"/>
  <c r="BP208" i="2"/>
  <c r="BN22" i="2"/>
  <c r="Y30" i="2"/>
  <c r="BP23" i="2"/>
  <c r="BP26" i="2"/>
  <c r="BN28" i="2"/>
  <c r="Y36" i="2"/>
  <c r="BN55" i="2"/>
  <c r="Y58" i="2"/>
  <c r="BN66" i="2"/>
  <c r="Y67" i="2"/>
  <c r="Z72" i="2"/>
  <c r="Y79" i="2"/>
  <c r="BP77" i="2"/>
  <c r="BN83" i="2"/>
  <c r="BP93" i="2"/>
  <c r="Y95" i="2"/>
  <c r="Z105" i="2"/>
  <c r="BP103" i="2"/>
  <c r="BP109" i="2"/>
  <c r="BN116" i="2"/>
  <c r="BP117" i="2"/>
  <c r="Y132" i="2"/>
  <c r="BP137" i="2"/>
  <c r="BN154" i="2"/>
  <c r="Y189" i="2"/>
  <c r="BP194" i="2"/>
  <c r="BN196" i="2"/>
  <c r="BP220" i="2"/>
  <c r="Y222" i="2"/>
  <c r="Y227" i="2"/>
  <c r="BP237" i="2"/>
  <c r="Y239" i="2"/>
  <c r="Y245" i="2"/>
  <c r="BP253" i="2"/>
  <c r="Y255" i="2"/>
  <c r="BN268" i="2"/>
  <c r="Y271" i="2"/>
  <c r="Z284" i="2"/>
  <c r="BN279" i="2"/>
  <c r="BP48" i="2"/>
  <c r="Z58" i="2"/>
  <c r="Y59" i="2"/>
  <c r="BP66" i="2"/>
  <c r="BN93" i="2"/>
  <c r="Y112" i="2"/>
  <c r="BP110" i="2"/>
  <c r="BN115" i="2"/>
  <c r="BN155" i="2"/>
  <c r="Y168" i="2"/>
  <c r="BN194" i="2"/>
  <c r="BN197" i="2"/>
  <c r="Y204" i="2"/>
  <c r="BP214" i="2"/>
  <c r="Z271" i="2"/>
  <c r="BN274" i="2"/>
  <c r="BP276" i="2"/>
  <c r="BN278" i="2"/>
  <c r="BN280" i="2"/>
  <c r="BP282" i="2"/>
  <c r="BP34" i="2"/>
  <c r="BP102" i="2"/>
  <c r="F9" i="2"/>
  <c r="X287" i="2"/>
  <c r="X286" i="2"/>
  <c r="BP42" i="2"/>
  <c r="Y73" i="2"/>
  <c r="Y124" i="2"/>
  <c r="BP121" i="2"/>
  <c r="Z138" i="2"/>
  <c r="Y157" i="2"/>
  <c r="Y167" i="2"/>
  <c r="BP182" i="2"/>
  <c r="Y211" i="2"/>
  <c r="Z216" i="2"/>
  <c r="Y232" i="2"/>
  <c r="Y248" i="2"/>
  <c r="Y266" i="2"/>
  <c r="BN269" i="2"/>
  <c r="BN25" i="2"/>
  <c r="Y37" i="2"/>
  <c r="Y64" i="2"/>
  <c r="BN75" i="2"/>
  <c r="Y78" i="2"/>
  <c r="BN101" i="2"/>
  <c r="BP115" i="2"/>
  <c r="BN136" i="2"/>
  <c r="BN161" i="2"/>
  <c r="BN176" i="2"/>
  <c r="Y205" i="2"/>
  <c r="Y221" i="2"/>
  <c r="BN275" i="2"/>
  <c r="Y31" i="2"/>
  <c r="Y44" i="2"/>
  <c r="BP70" i="2"/>
  <c r="Y84" i="2"/>
  <c r="BN118" i="2"/>
  <c r="BN141" i="2"/>
  <c r="Y144" i="2"/>
  <c r="BN183" i="2"/>
  <c r="BN209" i="2"/>
  <c r="Y261" i="2"/>
  <c r="BN49" i="2"/>
  <c r="BP75" i="2"/>
  <c r="BP136" i="2"/>
  <c r="Y150" i="2"/>
  <c r="BP176" i="2"/>
  <c r="BN188" i="2"/>
  <c r="BN215" i="2"/>
  <c r="BN231" i="2"/>
  <c r="BN247" i="2"/>
  <c r="BN283" i="2"/>
  <c r="BN23" i="2"/>
  <c r="Y85" i="2"/>
  <c r="BN99" i="2"/>
  <c r="BN110" i="2"/>
  <c r="Y145" i="2"/>
  <c r="Y162" i="2"/>
  <c r="Y177" i="2"/>
  <c r="BP231" i="2"/>
  <c r="BP247" i="2"/>
  <c r="Y262" i="2"/>
  <c r="Y151" i="2"/>
  <c r="Y184" i="2"/>
  <c r="Y210" i="2"/>
  <c r="Y272" i="2"/>
  <c r="BN281" i="2"/>
  <c r="Y284" i="2"/>
  <c r="BN171" i="2"/>
  <c r="H9" i="2"/>
  <c r="Y105" i="2"/>
  <c r="Y163" i="2"/>
  <c r="BP209" i="2"/>
  <c r="BN71" i="2"/>
  <c r="J9" i="2"/>
  <c r="BP47" i="2"/>
  <c r="BN82" i="2"/>
  <c r="Y111" i="2"/>
  <c r="BN119" i="2"/>
  <c r="BN142" i="2"/>
  <c r="BP171" i="2"/>
  <c r="Y185" i="2"/>
  <c r="BN225" i="2"/>
  <c r="BN243" i="2"/>
  <c r="BN259" i="2"/>
  <c r="BN88" i="2"/>
  <c r="BN148" i="2"/>
  <c r="Y190" i="2"/>
  <c r="Y217" i="2"/>
  <c r="BN264" i="2"/>
  <c r="Y285" i="2"/>
  <c r="Y172" i="2"/>
  <c r="BP225" i="2"/>
  <c r="BP243" i="2"/>
  <c r="Y50" i="2"/>
  <c r="A10" i="2"/>
  <c r="Y51" i="2"/>
  <c r="Y72" i="2"/>
  <c r="BN24" i="2"/>
  <c r="BN122" i="2"/>
  <c r="Y138" i="2"/>
  <c r="BN160" i="2"/>
  <c r="BN203" i="2"/>
  <c r="BP264" i="2"/>
  <c r="BP88" i="2"/>
  <c r="BN100" i="2"/>
  <c r="BN135" i="2"/>
  <c r="BN35" i="2"/>
  <c r="BN62" i="2"/>
  <c r="X289" i="2" l="1"/>
  <c r="Z291" i="2"/>
  <c r="Y288" i="2"/>
  <c r="Y290" i="2"/>
  <c r="Y287" i="2"/>
  <c r="Y286" i="2"/>
  <c r="Y289" i="2" l="1"/>
  <c r="A299" i="2" s="1"/>
  <c r="C299" i="2"/>
  <c r="B299" i="2"/>
</calcChain>
</file>

<file path=xl/sharedStrings.xml><?xml version="1.0" encoding="utf-8"?>
<sst xmlns="http://schemas.openxmlformats.org/spreadsheetml/2006/main" count="1768" uniqueCount="412">
  <si>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</si>
  <si>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</si>
  <si>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</si>
  <si>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</si>
  <si>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</si>
  <si>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</si>
  <si>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</si>
  <si>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</si>
  <si>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</si>
  <si>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</si>
  <si>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</si>
  <si>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</si>
  <si>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</si>
  <si>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</si>
  <si>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</si>
  <si>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</si>
  <si>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</si>
  <si>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</si>
  <si>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</si>
  <si>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</si>
  <si>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</si>
  <si>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</si>
  <si>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</si>
  <si>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</si>
  <si>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</si>
  <si>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</si>
  <si>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</si>
  <si>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</si>
  <si>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</si>
  <si>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</si>
  <si>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</si>
  <si>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</si>
  <si>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</si>
  <si>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</si>
  <si>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</si>
  <si>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</si>
  <si>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</si>
  <si>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</si>
  <si>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</si>
  <si>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</si>
  <si>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</si>
  <si>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</si>
  <si>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</si>
  <si>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</si>
  <si>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</si>
  <si>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</si>
  <si>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</si>
  <si>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</si>
  <si>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</si>
  <si>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</si>
  <si>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</si>
  <si>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</si>
  <si>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</si>
  <si>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</si>
  <si>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</si>
  <si>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</si>
  <si>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</si>
  <si>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</si>
  <si>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</si>
  <si>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</si>
  <si>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</si>
  <si>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</si>
  <si>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</si>
  <si>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</si>
  <si>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</si>
  <si>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</si>
  <si>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</si>
  <si>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</si>
  <si>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</si>
  <si>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</si>
  <si>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</si>
  <si>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23.06.2026</t>
  </si>
  <si>
    <t>19.06.2026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</si>
  <si>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</si>
  <si>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</si>
  <si>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</si>
  <si>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</si>
  <si>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</si>
  <si>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</si>
  <si>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</si>
  <si>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</si>
  <si>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</si>
  <si>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</si>
  <si>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SU004163</t>
  </si>
  <si>
    <t>P005439</t>
  </si>
  <si>
    <t>Пельмени «Медвежье ушко Премиум со сливочным маслом» 0,4 классическая форма ТМ «Медвежье ушко»</t>
  </si>
  <si>
    <t>ЕАЭС N RU Д-RU.РА08.В.42214/25</t>
  </si>
  <si>
    <t>Новинка</t>
  </si>
  <si>
    <t>МГ</t>
  </si>
  <si>
    <t>12</t>
  </si>
  <si>
    <t>Короб, мин. 1</t>
  </si>
  <si>
    <t>Короб</t>
  </si>
  <si>
    <t>SU004162</t>
  </si>
  <si>
    <t>P005438</t>
  </si>
  <si>
    <t>SU004027</t>
  </si>
  <si>
    <t>P005159</t>
  </si>
  <si>
    <t>ЕАЭС N RU Д-RU.РА09.В.61345/25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</si>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</sst>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45" t="s">
        <v>8</v>
      </c>
      <c r="B5" s="445"/>
      <c r="C5" s="445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2"/>
      <c r="P5" s="26" t="s">
        <v>4</v>
      </c>
      <c r="Q5" s="469">
        <v>46201</v>
      </c>
      <c r="R5" s="469"/>
      <c r="T5" s="470" t="s">
        <v>3</v>
      </c>
      <c r="U5" s="471"/>
      <c r="V5" s="472" t="s">
        <v>398</v>
      </c>
      <c r="W5" s="473"/>
      <c r="AB5" s="57"/>
      <c r="AC5" s="57"/>
      <c r="AD5" s="57"/>
      <c r="AE5" s="57"/>
    </row>
    <row r="6" spans="1:32" s="17" customFormat="1" ht="24" customHeight="1" x14ac:dyDescent="0.2">
      <c r="A6" s="445" t="s">
        <v>1</v>
      </c>
      <c r="B6" s="445"/>
      <c r="C6" s="445"/>
      <c r="D6" s="446" t="s">
        <v>79</v>
      </c>
      <c r="E6" s="446"/>
      <c r="F6" s="446"/>
      <c r="G6" s="446"/>
      <c r="H6" s="446"/>
      <c r="I6" s="446"/>
      <c r="J6" s="446"/>
      <c r="K6" s="446"/>
      <c r="L6" s="446"/>
      <c r="M6" s="446"/>
      <c r="N6" s="73"/>
      <c r="P6" s="26" t="s">
        <v>27</v>
      </c>
      <c r="Q6" s="447" t="str">
        <f>IF(Q5=0," ",CHOOSE(WEEKDAY(Q5,2),"Понедельник","Вторник","Среда","Четверг","Пятница","Суббота","Воскресенье"))</f>
        <v>Воскресенье</v>
      </c>
      <c r="R6" s="447"/>
      <c r="T6" s="448" t="s">
        <v>5</v>
      </c>
      <c r="U6" s="449"/>
      <c r="V6" s="450" t="s">
        <v>73</v>
      </c>
      <c r="W6" s="45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6" t="str">
        <f>IFERROR(VLOOKUP(DeliveryAddress,Table,3,0),1)</f>
        <v>1</v>
      </c>
      <c r="E7" s="457"/>
      <c r="F7" s="457"/>
      <c r="G7" s="457"/>
      <c r="H7" s="457"/>
      <c r="I7" s="457"/>
      <c r="J7" s="457"/>
      <c r="K7" s="457"/>
      <c r="L7" s="457"/>
      <c r="M7" s="458"/>
      <c r="N7" s="74"/>
      <c r="P7" s="26"/>
      <c r="Q7" s="46"/>
      <c r="R7" s="46"/>
      <c r="T7" s="448"/>
      <c r="U7" s="449"/>
      <c r="V7" s="452"/>
      <c r="W7" s="453"/>
      <c r="AB7" s="57"/>
      <c r="AC7" s="57"/>
      <c r="AD7" s="57"/>
      <c r="AE7" s="57"/>
    </row>
    <row r="8" spans="1:32" s="17" customFormat="1" ht="25.5" customHeight="1" x14ac:dyDescent="0.2">
      <c r="A8" s="459" t="s">
        <v>58</v>
      </c>
      <c r="B8" s="459"/>
      <c r="C8" s="459"/>
      <c r="D8" s="460" t="s">
        <v>80</v>
      </c>
      <c r="E8" s="460"/>
      <c r="F8" s="460"/>
      <c r="G8" s="460"/>
      <c r="H8" s="460"/>
      <c r="I8" s="460"/>
      <c r="J8" s="460"/>
      <c r="K8" s="460"/>
      <c r="L8" s="460"/>
      <c r="M8" s="460"/>
      <c r="N8" s="75"/>
      <c r="P8" s="26" t="s">
        <v>11</v>
      </c>
      <c r="Q8" s="443">
        <v>0.41666666666666669</v>
      </c>
      <c r="R8" s="443"/>
      <c r="T8" s="448"/>
      <c r="U8" s="449"/>
      <c r="V8" s="452"/>
      <c r="W8" s="453"/>
      <c r="AB8" s="57"/>
      <c r="AC8" s="57"/>
      <c r="AD8" s="57"/>
      <c r="AE8" s="57"/>
    </row>
    <row r="9" spans="1:32" s="17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5"/>
      <c r="C9" s="435"/>
      <c r="D9" s="436" t="s">
        <v>46</v>
      </c>
      <c r="E9" s="437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5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0"/>
      <c r="P9" s="29" t="s">
        <v>15</v>
      </c>
      <c r="Q9" s="462"/>
      <c r="R9" s="462"/>
      <c r="T9" s="448"/>
      <c r="U9" s="449"/>
      <c r="V9" s="454"/>
      <c r="W9" s="45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5"/>
      <c r="C10" s="435"/>
      <c r="D10" s="436"/>
      <c r="E10" s="437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5"/>
      <c r="H10" s="438" t="str">
        <f>IFERROR(VLOOKUP($D$10,Proxy,2,FALSE),"")</f>
        <v/>
      </c>
      <c r="I10" s="438"/>
      <c r="J10" s="438"/>
      <c r="K10" s="438"/>
      <c r="L10" s="438"/>
      <c r="M10" s="438"/>
      <c r="N10" s="71"/>
      <c r="P10" s="29" t="s">
        <v>32</v>
      </c>
      <c r="Q10" s="439"/>
      <c r="R10" s="439"/>
      <c r="U10" s="26" t="s">
        <v>12</v>
      </c>
      <c r="V10" s="440" t="s">
        <v>74</v>
      </c>
      <c r="W10" s="44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42"/>
      <c r="R11" s="442"/>
      <c r="U11" s="26" t="s">
        <v>28</v>
      </c>
      <c r="V11" s="421" t="s">
        <v>55</v>
      </c>
      <c r="W11" s="4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20" t="s">
        <v>75</v>
      </c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76"/>
      <c r="P12" s="26" t="s">
        <v>30</v>
      </c>
      <c r="Q12" s="443"/>
      <c r="R12" s="443"/>
      <c r="S12" s="27"/>
      <c r="T12"/>
      <c r="U12" s="26" t="s">
        <v>46</v>
      </c>
      <c r="V12" s="444"/>
      <c r="W12" s="444"/>
      <c r="X12"/>
      <c r="AB12" s="57"/>
      <c r="AC12" s="57"/>
      <c r="AD12" s="57"/>
      <c r="AE12" s="57"/>
    </row>
    <row r="13" spans="1:32" s="17" customFormat="1" ht="23.25" customHeight="1" x14ac:dyDescent="0.2">
      <c r="A13" s="420" t="s">
        <v>76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76"/>
      <c r="O13" s="29"/>
      <c r="P13" s="29" t="s">
        <v>31</v>
      </c>
      <c r="Q13" s="421"/>
      <c r="R13" s="42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20" t="s">
        <v>77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22" t="s">
        <v>78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77"/>
      <c r="O15"/>
      <c r="P15" s="423" t="s">
        <v>61</v>
      </c>
      <c r="Q15" s="423"/>
      <c r="R15" s="423"/>
      <c r="S15" s="423"/>
      <c r="T15" s="42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4"/>
      <c r="Q16" s="424"/>
      <c r="R16" s="424"/>
      <c r="S16" s="424"/>
      <c r="T16" s="4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6" t="s">
        <v>59</v>
      </c>
      <c r="B17" s="406" t="s">
        <v>49</v>
      </c>
      <c r="C17" s="427" t="s">
        <v>48</v>
      </c>
      <c r="D17" s="429" t="s">
        <v>50</v>
      </c>
      <c r="E17" s="430"/>
      <c r="F17" s="406" t="s">
        <v>21</v>
      </c>
      <c r="G17" s="406" t="s">
        <v>24</v>
      </c>
      <c r="H17" s="406" t="s">
        <v>22</v>
      </c>
      <c r="I17" s="406" t="s">
        <v>23</v>
      </c>
      <c r="J17" s="406" t="s">
        <v>16</v>
      </c>
      <c r="K17" s="406" t="s">
        <v>69</v>
      </c>
      <c r="L17" s="406" t="s">
        <v>67</v>
      </c>
      <c r="M17" s="406" t="s">
        <v>2</v>
      </c>
      <c r="N17" s="406" t="s">
        <v>66</v>
      </c>
      <c r="O17" s="406" t="s">
        <v>25</v>
      </c>
      <c r="P17" s="429" t="s">
        <v>17</v>
      </c>
      <c r="Q17" s="433"/>
      <c r="R17" s="433"/>
      <c r="S17" s="433"/>
      <c r="T17" s="430"/>
      <c r="U17" s="425" t="s">
        <v>56</v>
      </c>
      <c r="V17" s="426"/>
      <c r="W17" s="406" t="s">
        <v>6</v>
      </c>
      <c r="X17" s="406" t="s">
        <v>41</v>
      </c>
      <c r="Y17" s="408" t="s">
        <v>54</v>
      </c>
      <c r="Z17" s="410" t="s">
        <v>18</v>
      </c>
      <c r="AA17" s="412" t="s">
        <v>60</v>
      </c>
      <c r="AB17" s="412" t="s">
        <v>19</v>
      </c>
      <c r="AC17" s="412" t="s">
        <v>68</v>
      </c>
      <c r="AD17" s="414" t="s">
        <v>57</v>
      </c>
      <c r="AE17" s="415"/>
      <c r="AF17" s="416"/>
      <c r="AG17" s="80"/>
      <c r="BD17" s="79" t="s">
        <v>64</v>
      </c>
    </row>
    <row r="18" spans="1:68" ht="14.25" customHeight="1" x14ac:dyDescent="0.2">
      <c r="A18" s="407"/>
      <c r="B18" s="407"/>
      <c r="C18" s="428"/>
      <c r="D18" s="431"/>
      <c r="E18" s="432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31"/>
      <c r="Q18" s="434"/>
      <c r="R18" s="434"/>
      <c r="S18" s="434"/>
      <c r="T18" s="432"/>
      <c r="U18" s="81" t="s">
        <v>44</v>
      </c>
      <c r="V18" s="81" t="s">
        <v>43</v>
      </c>
      <c r="W18" s="407"/>
      <c r="X18" s="407"/>
      <c r="Y18" s="409"/>
      <c r="Z18" s="411"/>
      <c r="AA18" s="413"/>
      <c r="AB18" s="413"/>
      <c r="AC18" s="413"/>
      <c r="AD18" s="417"/>
      <c r="AE18" s="418"/>
      <c r="AF18" s="419"/>
      <c r="AG18" s="80"/>
      <c r="BD18" s="79"/>
    </row>
    <row r="19" spans="1:68" ht="27.75" hidden="1" customHeight="1" x14ac:dyDescent="0.2">
      <c r="A19" s="317" t="s">
        <v>81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2"/>
      <c r="AB19" s="52"/>
      <c r="AC19" s="52"/>
    </row>
    <row r="20" spans="1:68" ht="16.5" hidden="1" customHeight="1" x14ac:dyDescent="0.25">
      <c r="A20" s="318" t="s">
        <v>81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2"/>
      <c r="AB20" s="62"/>
      <c r="AC20" s="62"/>
    </row>
    <row r="21" spans="1:68" ht="14.25" hidden="1" customHeight="1" x14ac:dyDescent="0.25">
      <c r="A21" s="308" t="s">
        <v>82</v>
      </c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4301071135</v>
      </c>
      <c r="D22" s="290">
        <v>4620207491713</v>
      </c>
      <c r="E22" s="290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89</v>
      </c>
      <c r="L22" s="35" t="s">
        <v>90</v>
      </c>
      <c r="M22" s="36" t="s">
        <v>88</v>
      </c>
      <c r="N22" s="36"/>
      <c r="O22" s="35">
        <v>180</v>
      </c>
      <c r="P22" s="402" t="s">
        <v>85</v>
      </c>
      <c r="Q22" s="292"/>
      <c r="R22" s="292"/>
      <c r="S22" s="292"/>
      <c r="T22" s="293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87</v>
      </c>
      <c r="AC22" s="84" t="s">
        <v>86</v>
      </c>
      <c r="AG22" s="78"/>
      <c r="AJ22" s="82" t="s">
        <v>91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92</v>
      </c>
      <c r="B23" s="60" t="s">
        <v>93</v>
      </c>
      <c r="C23" s="34">
        <v>4301071134</v>
      </c>
      <c r="D23" s="290">
        <v>4620207491720</v>
      </c>
      <c r="E23" s="290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89</v>
      </c>
      <c r="L23" s="35" t="s">
        <v>90</v>
      </c>
      <c r="M23" s="36" t="s">
        <v>88</v>
      </c>
      <c r="N23" s="36"/>
      <c r="O23" s="35">
        <v>180</v>
      </c>
      <c r="P23" s="40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3" s="292"/>
      <c r="R23" s="292"/>
      <c r="S23" s="292"/>
      <c r="T23" s="293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87</v>
      </c>
      <c r="AC23" s="86" t="s">
        <v>86</v>
      </c>
      <c r="AG23" s="78"/>
      <c r="AJ23" s="82" t="s">
        <v>91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94</v>
      </c>
      <c r="B24" s="60" t="s">
        <v>95</v>
      </c>
      <c r="C24" s="34">
        <v>4301071113</v>
      </c>
      <c r="D24" s="290">
        <v>4620207491508</v>
      </c>
      <c r="E24" s="290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89</v>
      </c>
      <c r="L24" s="35" t="s">
        <v>90</v>
      </c>
      <c r="M24" s="36" t="s">
        <v>88</v>
      </c>
      <c r="N24" s="36"/>
      <c r="O24" s="35">
        <v>180</v>
      </c>
      <c r="P24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4" s="292"/>
      <c r="R24" s="292"/>
      <c r="S24" s="292"/>
      <c r="T24" s="293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96</v>
      </c>
      <c r="AG24" s="78"/>
      <c r="AJ24" s="82" t="s">
        <v>91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97</v>
      </c>
      <c r="B25" s="60" t="s">
        <v>98</v>
      </c>
      <c r="C25" s="34">
        <v>4301071112</v>
      </c>
      <c r="D25" s="290">
        <v>4620207491256</v>
      </c>
      <c r="E25" s="290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89</v>
      </c>
      <c r="L25" s="35" t="s">
        <v>90</v>
      </c>
      <c r="M25" s="36" t="s">
        <v>88</v>
      </c>
      <c r="N25" s="36"/>
      <c r="O25" s="35">
        <v>180</v>
      </c>
      <c r="P25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5" s="292"/>
      <c r="R25" s="292"/>
      <c r="S25" s="292"/>
      <c r="T25" s="293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96</v>
      </c>
      <c r="AG25" s="78"/>
      <c r="AJ25" s="82" t="s">
        <v>91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99</v>
      </c>
      <c r="B26" s="60" t="s">
        <v>100</v>
      </c>
      <c r="C26" s="34">
        <v>4301071108</v>
      </c>
      <c r="D26" s="290">
        <v>4607111035912</v>
      </c>
      <c r="E26" s="290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89</v>
      </c>
      <c r="L26" s="35" t="s">
        <v>90</v>
      </c>
      <c r="M26" s="36" t="s">
        <v>88</v>
      </c>
      <c r="N26" s="36"/>
      <c r="O26" s="35">
        <v>180</v>
      </c>
      <c r="P26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2"/>
      <c r="R26" s="292"/>
      <c r="S26" s="292"/>
      <c r="T26" s="293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101</v>
      </c>
      <c r="AG26" s="78"/>
      <c r="AJ26" s="82" t="s">
        <v>91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102</v>
      </c>
      <c r="B27" s="60" t="s">
        <v>103</v>
      </c>
      <c r="C27" s="34">
        <v>4301071109</v>
      </c>
      <c r="D27" s="290">
        <v>4607111035929</v>
      </c>
      <c r="E27" s="290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89</v>
      </c>
      <c r="L27" s="35" t="s">
        <v>90</v>
      </c>
      <c r="M27" s="36" t="s">
        <v>88</v>
      </c>
      <c r="N27" s="36"/>
      <c r="O27" s="35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2"/>
      <c r="R27" s="292"/>
      <c r="S27" s="292"/>
      <c r="T27" s="293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101</v>
      </c>
      <c r="AG27" s="78"/>
      <c r="AJ27" s="82" t="s">
        <v>91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104</v>
      </c>
      <c r="B28" s="60" t="s">
        <v>105</v>
      </c>
      <c r="C28" s="34">
        <v>4301071106</v>
      </c>
      <c r="D28" s="290">
        <v>4607111035882</v>
      </c>
      <c r="E28" s="290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89</v>
      </c>
      <c r="L28" s="35" t="s">
        <v>90</v>
      </c>
      <c r="M28" s="36" t="s">
        <v>88</v>
      </c>
      <c r="N28" s="36"/>
      <c r="O28" s="35">
        <v>180</v>
      </c>
      <c r="P28" s="4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2"/>
      <c r="R28" s="292"/>
      <c r="S28" s="292"/>
      <c r="T28" s="293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101</v>
      </c>
      <c r="AG28" s="78"/>
      <c r="AJ28" s="82" t="s">
        <v>91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106</v>
      </c>
      <c r="B29" s="60" t="s">
        <v>107</v>
      </c>
      <c r="C29" s="34">
        <v>4301071107</v>
      </c>
      <c r="D29" s="290">
        <v>4607111035905</v>
      </c>
      <c r="E29" s="290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89</v>
      </c>
      <c r="L29" s="35" t="s">
        <v>90</v>
      </c>
      <c r="M29" s="36" t="s">
        <v>88</v>
      </c>
      <c r="N29" s="36"/>
      <c r="O29" s="35">
        <v>180</v>
      </c>
      <c r="P29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2"/>
      <c r="R29" s="292"/>
      <c r="S29" s="292"/>
      <c r="T29" s="293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101</v>
      </c>
      <c r="AG29" s="78"/>
      <c r="AJ29" s="82" t="s">
        <v>91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P30" s="294" t="s">
        <v>40</v>
      </c>
      <c r="Q30" s="295"/>
      <c r="R30" s="295"/>
      <c r="S30" s="295"/>
      <c r="T30" s="295"/>
      <c r="U30" s="295"/>
      <c r="V30" s="296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8"/>
      <c r="P31" s="294" t="s">
        <v>40</v>
      </c>
      <c r="Q31" s="295"/>
      <c r="R31" s="295"/>
      <c r="S31" s="295"/>
      <c r="T31" s="295"/>
      <c r="U31" s="295"/>
      <c r="V31" s="296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8" t="s">
        <v>108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2"/>
      <c r="AB32" s="62"/>
      <c r="AC32" s="62"/>
    </row>
    <row r="33" spans="1:68" ht="14.25" hidden="1" customHeight="1" x14ac:dyDescent="0.25">
      <c r="A33" s="308" t="s">
        <v>82</v>
      </c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63"/>
      <c r="AB33" s="63"/>
      <c r="AC33" s="63"/>
    </row>
    <row r="34" spans="1:68" ht="16.5" hidden="1" customHeight="1" x14ac:dyDescent="0.25">
      <c r="A34" s="60" t="s">
        <v>109</v>
      </c>
      <c r="B34" s="60" t="s">
        <v>110</v>
      </c>
      <c r="C34" s="34">
        <v>4301071099</v>
      </c>
      <c r="D34" s="290">
        <v>4607111039019</v>
      </c>
      <c r="E34" s="290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89</v>
      </c>
      <c r="L34" s="35" t="s">
        <v>90</v>
      </c>
      <c r="M34" s="36" t="s">
        <v>88</v>
      </c>
      <c r="N34" s="36"/>
      <c r="O34" s="35">
        <v>180</v>
      </c>
      <c r="P34" s="39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2"/>
      <c r="R34" s="292"/>
      <c r="S34" s="292"/>
      <c r="T34" s="293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111</v>
      </c>
      <c r="AG34" s="78"/>
      <c r="AJ34" s="82" t="s">
        <v>91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112</v>
      </c>
      <c r="B35" s="60" t="s">
        <v>113</v>
      </c>
      <c r="C35" s="34">
        <v>4301071100</v>
      </c>
      <c r="D35" s="290">
        <v>4607111038708</v>
      </c>
      <c r="E35" s="290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89</v>
      </c>
      <c r="L35" s="35" t="s">
        <v>90</v>
      </c>
      <c r="M35" s="36" t="s">
        <v>88</v>
      </c>
      <c r="N35" s="36"/>
      <c r="O35" s="35">
        <v>180</v>
      </c>
      <c r="P35" s="39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2"/>
      <c r="R35" s="292"/>
      <c r="S35" s="292"/>
      <c r="T35" s="293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111</v>
      </c>
      <c r="AG35" s="78"/>
      <c r="AJ35" s="82" t="s">
        <v>91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8"/>
      <c r="P36" s="294" t="s">
        <v>40</v>
      </c>
      <c r="Q36" s="295"/>
      <c r="R36" s="295"/>
      <c r="S36" s="295"/>
      <c r="T36" s="295"/>
      <c r="U36" s="295"/>
      <c r="V36" s="296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8"/>
      <c r="P37" s="294" t="s">
        <v>40</v>
      </c>
      <c r="Q37" s="295"/>
      <c r="R37" s="295"/>
      <c r="S37" s="295"/>
      <c r="T37" s="295"/>
      <c r="U37" s="295"/>
      <c r="V37" s="296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7" t="s">
        <v>45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52"/>
      <c r="AB38" s="52"/>
      <c r="AC38" s="52"/>
    </row>
    <row r="39" spans="1:68" ht="16.5" hidden="1" customHeight="1" x14ac:dyDescent="0.25">
      <c r="A39" s="318" t="s">
        <v>114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62"/>
      <c r="AB39" s="62"/>
      <c r="AC39" s="62"/>
    </row>
    <row r="40" spans="1:68" ht="14.25" hidden="1" customHeight="1" x14ac:dyDescent="0.25">
      <c r="A40" s="308" t="s">
        <v>115</v>
      </c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63"/>
      <c r="AB40" s="63"/>
      <c r="AC40" s="63"/>
    </row>
    <row r="41" spans="1:68" ht="27" customHeight="1" x14ac:dyDescent="0.25">
      <c r="A41" s="60" t="s">
        <v>116</v>
      </c>
      <c r="B41" s="60" t="s">
        <v>117</v>
      </c>
      <c r="C41" s="34">
        <v>4301132190</v>
      </c>
      <c r="D41" s="290">
        <v>4607111036537</v>
      </c>
      <c r="E41" s="290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120</v>
      </c>
      <c r="L41" s="35" t="s">
        <v>121</v>
      </c>
      <c r="M41" s="36" t="s">
        <v>88</v>
      </c>
      <c r="N41" s="36"/>
      <c r="O41" s="35">
        <v>365</v>
      </c>
      <c r="P41" s="3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2"/>
      <c r="R41" s="292"/>
      <c r="S41" s="292"/>
      <c r="T41" s="293"/>
      <c r="U41" s="37" t="s">
        <v>46</v>
      </c>
      <c r="V41" s="37" t="s">
        <v>46</v>
      </c>
      <c r="W41" s="38" t="s">
        <v>39</v>
      </c>
      <c r="X41" s="56">
        <v>112</v>
      </c>
      <c r="Y41" s="53">
        <f>IFERROR(IF(X41="","",X41),"")</f>
        <v>112</v>
      </c>
      <c r="Z41" s="39">
        <f>IFERROR(IF(X41="","",X41*0.00941),"")</f>
        <v>1.05392</v>
      </c>
      <c r="AA41" s="65" t="s">
        <v>46</v>
      </c>
      <c r="AB41" s="66" t="s">
        <v>46</v>
      </c>
      <c r="AC41" s="104" t="s">
        <v>118</v>
      </c>
      <c r="AG41" s="78"/>
      <c r="AJ41" s="82" t="s">
        <v>122</v>
      </c>
      <c r="AK41" s="82">
        <v>14</v>
      </c>
      <c r="BB41" s="105" t="s">
        <v>119</v>
      </c>
      <c r="BM41" s="78">
        <f>IFERROR(X41*I41,"0")</f>
        <v>215.24160000000001</v>
      </c>
      <c r="BN41" s="78">
        <f>IFERROR(Y41*I41,"0")</f>
        <v>215.24160000000001</v>
      </c>
      <c r="BO41" s="78">
        <f>IFERROR(X41/J41,"0")</f>
        <v>0.8</v>
      </c>
      <c r="BP41" s="78">
        <f>IFERROR(Y41/J41,"0")</f>
        <v>0.8</v>
      </c>
    </row>
    <row r="42" spans="1:68" ht="27" customHeight="1" x14ac:dyDescent="0.25">
      <c r="A42" s="60" t="s">
        <v>123</v>
      </c>
      <c r="B42" s="60" t="s">
        <v>124</v>
      </c>
      <c r="C42" s="34">
        <v>4301132188</v>
      </c>
      <c r="D42" s="290">
        <v>4607111036605</v>
      </c>
      <c r="E42" s="290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120</v>
      </c>
      <c r="L42" s="35" t="s">
        <v>121</v>
      </c>
      <c r="M42" s="36" t="s">
        <v>88</v>
      </c>
      <c r="N42" s="36"/>
      <c r="O42" s="35">
        <v>365</v>
      </c>
      <c r="P42" s="39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2"/>
      <c r="R42" s="292"/>
      <c r="S42" s="292"/>
      <c r="T42" s="293"/>
      <c r="U42" s="37" t="s">
        <v>46</v>
      </c>
      <c r="V42" s="37" t="s">
        <v>46</v>
      </c>
      <c r="W42" s="38" t="s">
        <v>39</v>
      </c>
      <c r="X42" s="56">
        <v>140</v>
      </c>
      <c r="Y42" s="53">
        <f>IFERROR(IF(X42="","",X42),"")</f>
        <v>140</v>
      </c>
      <c r="Z42" s="39">
        <f>IFERROR(IF(X42="","",X42*0.00941),"")</f>
        <v>1.3173999999999999</v>
      </c>
      <c r="AA42" s="65" t="s">
        <v>46</v>
      </c>
      <c r="AB42" s="66" t="s">
        <v>46</v>
      </c>
      <c r="AC42" s="106" t="s">
        <v>118</v>
      </c>
      <c r="AG42" s="78"/>
      <c r="AJ42" s="82" t="s">
        <v>122</v>
      </c>
      <c r="AK42" s="82">
        <v>14</v>
      </c>
      <c r="BB42" s="107" t="s">
        <v>119</v>
      </c>
      <c r="BM42" s="78">
        <f>IFERROR(X42*I42,"0")</f>
        <v>269.05200000000002</v>
      </c>
      <c r="BN42" s="78">
        <f>IFERROR(Y42*I42,"0")</f>
        <v>269.05200000000002</v>
      </c>
      <c r="BO42" s="78">
        <f>IFERROR(X42/J42,"0")</f>
        <v>1</v>
      </c>
      <c r="BP42" s="78">
        <f>IFERROR(Y42/J42,"0")</f>
        <v>1</v>
      </c>
    </row>
    <row r="43" spans="1:68" x14ac:dyDescent="0.2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8"/>
      <c r="P43" s="294" t="s">
        <v>40</v>
      </c>
      <c r="Q43" s="295"/>
      <c r="R43" s="295"/>
      <c r="S43" s="295"/>
      <c r="T43" s="295"/>
      <c r="U43" s="295"/>
      <c r="V43" s="296"/>
      <c r="W43" s="40" t="s">
        <v>39</v>
      </c>
      <c r="X43" s="41">
        <f>IFERROR(SUM(X41:X42),"0")</f>
        <v>252</v>
      </c>
      <c r="Y43" s="41">
        <f>IFERROR(SUM(Y41:Y42),"0")</f>
        <v>252</v>
      </c>
      <c r="Z43" s="41">
        <f>IFERROR(IF(Z41="",0,Z41),"0")+IFERROR(IF(Z42="",0,Z42),"0")</f>
        <v>2.3713199999999999</v>
      </c>
      <c r="AA43" s="64"/>
      <c r="AB43" s="64"/>
      <c r="AC43" s="64"/>
    </row>
    <row r="44" spans="1:68" x14ac:dyDescent="0.2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8"/>
      <c r="P44" s="294" t="s">
        <v>40</v>
      </c>
      <c r="Q44" s="295"/>
      <c r="R44" s="295"/>
      <c r="S44" s="295"/>
      <c r="T44" s="295"/>
      <c r="U44" s="295"/>
      <c r="V44" s="296"/>
      <c r="W44" s="40" t="s">
        <v>0</v>
      </c>
      <c r="X44" s="41">
        <f>IFERROR(SUMPRODUCT(X41:X42*H41:H42),"0")</f>
        <v>378</v>
      </c>
      <c r="Y44" s="41">
        <f>IFERROR(SUMPRODUCT(Y41:Y42*H41:H42),"0")</f>
        <v>378</v>
      </c>
      <c r="Z44" s="40"/>
      <c r="AA44" s="64"/>
      <c r="AB44" s="64"/>
      <c r="AC44" s="64"/>
    </row>
    <row r="45" spans="1:68" ht="16.5" hidden="1" customHeight="1" x14ac:dyDescent="0.25">
      <c r="A45" s="318" t="s">
        <v>125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62"/>
      <c r="AB45" s="62"/>
      <c r="AC45" s="62"/>
    </row>
    <row r="46" spans="1:68" ht="14.25" hidden="1" customHeight="1" x14ac:dyDescent="0.25">
      <c r="A46" s="308" t="s">
        <v>82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63"/>
      <c r="AB46" s="63"/>
      <c r="AC46" s="63"/>
    </row>
    <row r="47" spans="1:68" ht="27" customHeight="1" x14ac:dyDescent="0.25">
      <c r="A47" s="60" t="s">
        <v>126</v>
      </c>
      <c r="B47" s="60" t="s">
        <v>127</v>
      </c>
      <c r="C47" s="34">
        <v>4301071090</v>
      </c>
      <c r="D47" s="290">
        <v>4620207490075</v>
      </c>
      <c r="E47" s="290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89</v>
      </c>
      <c r="L47" s="35" t="s">
        <v>121</v>
      </c>
      <c r="M47" s="36" t="s">
        <v>88</v>
      </c>
      <c r="N47" s="36"/>
      <c r="O47" s="35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2"/>
      <c r="R47" s="292"/>
      <c r="S47" s="292"/>
      <c r="T47" s="293"/>
      <c r="U47" s="37" t="s">
        <v>46</v>
      </c>
      <c r="V47" s="37" t="s">
        <v>46</v>
      </c>
      <c r="W47" s="38" t="s">
        <v>39</v>
      </c>
      <c r="X47" s="56">
        <v>84</v>
      </c>
      <c r="Y47" s="53">
        <f>IFERROR(IF(X47="","",X47),"")</f>
        <v>84</v>
      </c>
      <c r="Z47" s="39">
        <f>IFERROR(IF(X47="","",X47*0.0155),"")</f>
        <v>1.302</v>
      </c>
      <c r="AA47" s="65" t="s">
        <v>46</v>
      </c>
      <c r="AB47" s="66" t="s">
        <v>46</v>
      </c>
      <c r="AC47" s="108" t="s">
        <v>128</v>
      </c>
      <c r="AG47" s="78"/>
      <c r="AJ47" s="82" t="s">
        <v>122</v>
      </c>
      <c r="AK47" s="82">
        <v>12</v>
      </c>
      <c r="BB47" s="109" t="s">
        <v>70</v>
      </c>
      <c r="BM47" s="78">
        <f>IFERROR(X47*I47,"0")</f>
        <v>493.08</v>
      </c>
      <c r="BN47" s="78">
        <f>IFERROR(Y47*I47,"0")</f>
        <v>493.08</v>
      </c>
      <c r="BO47" s="78">
        <f>IFERROR(X47/J47,"0")</f>
        <v>1</v>
      </c>
      <c r="BP47" s="78">
        <f>IFERROR(Y47/J47,"0")</f>
        <v>1</v>
      </c>
    </row>
    <row r="48" spans="1:68" ht="27" hidden="1" customHeight="1" x14ac:dyDescent="0.25">
      <c r="A48" s="60" t="s">
        <v>129</v>
      </c>
      <c r="B48" s="60" t="s">
        <v>130</v>
      </c>
      <c r="C48" s="34">
        <v>4301071092</v>
      </c>
      <c r="D48" s="290">
        <v>4620207490174</v>
      </c>
      <c r="E48" s="290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89</v>
      </c>
      <c r="L48" s="35" t="s">
        <v>90</v>
      </c>
      <c r="M48" s="36" t="s">
        <v>88</v>
      </c>
      <c r="N48" s="36"/>
      <c r="O48" s="35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2"/>
      <c r="R48" s="292"/>
      <c r="S48" s="292"/>
      <c r="T48" s="293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131</v>
      </c>
      <c r="AG48" s="78"/>
      <c r="AJ48" s="82" t="s">
        <v>91</v>
      </c>
      <c r="AK48" s="82">
        <v>1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4301071091</v>
      </c>
      <c r="D49" s="290">
        <v>4620207490044</v>
      </c>
      <c r="E49" s="290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89</v>
      </c>
      <c r="L49" s="35" t="s">
        <v>121</v>
      </c>
      <c r="M49" s="36" t="s">
        <v>88</v>
      </c>
      <c r="N49" s="36"/>
      <c r="O49" s="35">
        <v>180</v>
      </c>
      <c r="P49" s="39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2"/>
      <c r="R49" s="292"/>
      <c r="S49" s="292"/>
      <c r="T49" s="293"/>
      <c r="U49" s="37" t="s">
        <v>46</v>
      </c>
      <c r="V49" s="37" t="s">
        <v>46</v>
      </c>
      <c r="W49" s="38" t="s">
        <v>39</v>
      </c>
      <c r="X49" s="56">
        <v>108</v>
      </c>
      <c r="Y49" s="53">
        <f>IFERROR(IF(X49="","",X49),"")</f>
        <v>108</v>
      </c>
      <c r="Z49" s="39">
        <f>IFERROR(IF(X49="","",X49*0.0155),"")</f>
        <v>1.6739999999999999</v>
      </c>
      <c r="AA49" s="65" t="s">
        <v>46</v>
      </c>
      <c r="AB49" s="66" t="s">
        <v>46</v>
      </c>
      <c r="AC49" s="112" t="s">
        <v>134</v>
      </c>
      <c r="AG49" s="78"/>
      <c r="AJ49" s="82" t="s">
        <v>122</v>
      </c>
      <c r="AK49" s="82">
        <v>12</v>
      </c>
      <c r="BB49" s="113" t="s">
        <v>70</v>
      </c>
      <c r="BM49" s="78">
        <f>IFERROR(X49*I49,"0")</f>
        <v>633.96</v>
      </c>
      <c r="BN49" s="78">
        <f>IFERROR(Y49*I49,"0")</f>
        <v>633.96</v>
      </c>
      <c r="BO49" s="78">
        <f>IFERROR(X49/J49,"0")</f>
        <v>1.2857142857142858</v>
      </c>
      <c r="BP49" s="78">
        <f>IFERROR(Y49/J49,"0")</f>
        <v>1.2857142857142858</v>
      </c>
    </row>
    <row r="50" spans="1:68" x14ac:dyDescent="0.2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8"/>
      <c r="P50" s="294" t="s">
        <v>40</v>
      </c>
      <c r="Q50" s="295"/>
      <c r="R50" s="295"/>
      <c r="S50" s="295"/>
      <c r="T50" s="295"/>
      <c r="U50" s="295"/>
      <c r="V50" s="296"/>
      <c r="W50" s="40" t="s">
        <v>39</v>
      </c>
      <c r="X50" s="41">
        <f>IFERROR(SUM(X47:X49),"0")</f>
        <v>192</v>
      </c>
      <c r="Y50" s="41">
        <f>IFERROR(SUM(Y47:Y49),"0")</f>
        <v>192</v>
      </c>
      <c r="Z50" s="41">
        <f>IFERROR(IF(Z47="",0,Z47),"0")+IFERROR(IF(Z48="",0,Z48),"0")+IFERROR(IF(Z49="",0,Z49),"0")</f>
        <v>2.976</v>
      </c>
      <c r="AA50" s="64"/>
      <c r="AB50" s="64"/>
      <c r="AC50" s="64"/>
    </row>
    <row r="51" spans="1:68" x14ac:dyDescent="0.2">
      <c r="A51" s="297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8"/>
      <c r="P51" s="294" t="s">
        <v>40</v>
      </c>
      <c r="Q51" s="295"/>
      <c r="R51" s="295"/>
      <c r="S51" s="295"/>
      <c r="T51" s="295"/>
      <c r="U51" s="295"/>
      <c r="V51" s="296"/>
      <c r="W51" s="40" t="s">
        <v>0</v>
      </c>
      <c r="X51" s="41">
        <f>IFERROR(SUMPRODUCT(X47:X49*H47:H49),"0")</f>
        <v>1075.1999999999998</v>
      </c>
      <c r="Y51" s="41">
        <f>IFERROR(SUMPRODUCT(Y47:Y49*H47:H49),"0")</f>
        <v>1075.1999999999998</v>
      </c>
      <c r="Z51" s="40"/>
      <c r="AA51" s="64"/>
      <c r="AB51" s="64"/>
      <c r="AC51" s="64"/>
    </row>
    <row r="52" spans="1:68" ht="16.5" hidden="1" customHeight="1" x14ac:dyDescent="0.25">
      <c r="A52" s="318" t="s">
        <v>135</v>
      </c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62"/>
      <c r="AB52" s="62"/>
      <c r="AC52" s="62"/>
    </row>
    <row r="53" spans="1:68" ht="14.25" hidden="1" customHeight="1" x14ac:dyDescent="0.25">
      <c r="A53" s="308" t="s">
        <v>82</v>
      </c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63"/>
      <c r="AB53" s="63"/>
      <c r="AC53" s="63"/>
    </row>
    <row r="54" spans="1:68" ht="27" customHeight="1" x14ac:dyDescent="0.25">
      <c r="A54" s="60" t="s">
        <v>136</v>
      </c>
      <c r="B54" s="60" t="s">
        <v>137</v>
      </c>
      <c r="C54" s="34">
        <v>4301071044</v>
      </c>
      <c r="D54" s="290">
        <v>4607111039385</v>
      </c>
      <c r="E54" s="290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89</v>
      </c>
      <c r="L54" s="35" t="s">
        <v>121</v>
      </c>
      <c r="M54" s="36" t="s">
        <v>88</v>
      </c>
      <c r="N54" s="36"/>
      <c r="O54" s="35">
        <v>180</v>
      </c>
      <c r="P54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2"/>
      <c r="R54" s="292"/>
      <c r="S54" s="292"/>
      <c r="T54" s="293"/>
      <c r="U54" s="37" t="s">
        <v>46</v>
      </c>
      <c r="V54" s="37" t="s">
        <v>46</v>
      </c>
      <c r="W54" s="38" t="s">
        <v>39</v>
      </c>
      <c r="X54" s="56">
        <v>120</v>
      </c>
      <c r="Y54" s="53">
        <f>IFERROR(IF(X54="","",X54),"")</f>
        <v>120</v>
      </c>
      <c r="Z54" s="39">
        <f>IFERROR(IF(X54="","",X54*0.0155),"")</f>
        <v>1.8599999999999999</v>
      </c>
      <c r="AA54" s="65" t="s">
        <v>46</v>
      </c>
      <c r="AB54" s="66" t="s">
        <v>46</v>
      </c>
      <c r="AC54" s="114" t="s">
        <v>138</v>
      </c>
      <c r="AG54" s="78"/>
      <c r="AJ54" s="82" t="s">
        <v>122</v>
      </c>
      <c r="AK54" s="82">
        <v>12</v>
      </c>
      <c r="BB54" s="115" t="s">
        <v>70</v>
      </c>
      <c r="BM54" s="78">
        <f>IFERROR(X54*I54,"0")</f>
        <v>876</v>
      </c>
      <c r="BN54" s="78">
        <f>IFERROR(Y54*I54,"0")</f>
        <v>876</v>
      </c>
      <c r="BO54" s="78">
        <f>IFERROR(X54/J54,"0")</f>
        <v>1.4285714285714286</v>
      </c>
      <c r="BP54" s="78">
        <f>IFERROR(Y54/J54,"0")</f>
        <v>1.4285714285714286</v>
      </c>
    </row>
    <row r="55" spans="1:68" ht="27" hidden="1" customHeight="1" x14ac:dyDescent="0.25">
      <c r="A55" s="60" t="s">
        <v>139</v>
      </c>
      <c r="B55" s="60" t="s">
        <v>140</v>
      </c>
      <c r="C55" s="34">
        <v>4301071031</v>
      </c>
      <c r="D55" s="290">
        <v>4607111038982</v>
      </c>
      <c r="E55" s="290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89</v>
      </c>
      <c r="L55" s="35" t="s">
        <v>121</v>
      </c>
      <c r="M55" s="36" t="s">
        <v>88</v>
      </c>
      <c r="N55" s="36"/>
      <c r="O55" s="35">
        <v>180</v>
      </c>
      <c r="P55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2"/>
      <c r="R55" s="292"/>
      <c r="S55" s="292"/>
      <c r="T55" s="293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141</v>
      </c>
      <c r="AG55" s="78"/>
      <c r="AJ55" s="82" t="s">
        <v>122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142</v>
      </c>
      <c r="B56" s="60" t="s">
        <v>143</v>
      </c>
      <c r="C56" s="34">
        <v>4301071046</v>
      </c>
      <c r="D56" s="290">
        <v>4607111039354</v>
      </c>
      <c r="E56" s="290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89</v>
      </c>
      <c r="L56" s="35" t="s">
        <v>121</v>
      </c>
      <c r="M56" s="36" t="s">
        <v>88</v>
      </c>
      <c r="N56" s="36"/>
      <c r="O56" s="35">
        <v>180</v>
      </c>
      <c r="P56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2"/>
      <c r="R56" s="292"/>
      <c r="S56" s="292"/>
      <c r="T56" s="293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141</v>
      </c>
      <c r="AG56" s="78"/>
      <c r="AJ56" s="82" t="s">
        <v>122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4301071047</v>
      </c>
      <c r="D57" s="290">
        <v>4607111039330</v>
      </c>
      <c r="E57" s="290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89</v>
      </c>
      <c r="L57" s="35" t="s">
        <v>121</v>
      </c>
      <c r="M57" s="36" t="s">
        <v>88</v>
      </c>
      <c r="N57" s="36"/>
      <c r="O57" s="35">
        <v>180</v>
      </c>
      <c r="P57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2"/>
      <c r="R57" s="292"/>
      <c r="S57" s="292"/>
      <c r="T57" s="293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IFERROR(IF(X57="","",X57*0.0155),"")</f>
        <v>0</v>
      </c>
      <c r="AA57" s="65" t="s">
        <v>46</v>
      </c>
      <c r="AB57" s="66" t="s">
        <v>46</v>
      </c>
      <c r="AC57" s="120" t="s">
        <v>141</v>
      </c>
      <c r="AG57" s="78"/>
      <c r="AJ57" s="82" t="s">
        <v>122</v>
      </c>
      <c r="AK57" s="82">
        <v>12</v>
      </c>
      <c r="BB57" s="121" t="s">
        <v>70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x14ac:dyDescent="0.2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8"/>
      <c r="P58" s="294" t="s">
        <v>40</v>
      </c>
      <c r="Q58" s="295"/>
      <c r="R58" s="295"/>
      <c r="S58" s="295"/>
      <c r="T58" s="295"/>
      <c r="U58" s="295"/>
      <c r="V58" s="296"/>
      <c r="W58" s="40" t="s">
        <v>39</v>
      </c>
      <c r="X58" s="41">
        <f>IFERROR(SUM(X54:X57),"0")</f>
        <v>120</v>
      </c>
      <c r="Y58" s="41">
        <f>IFERROR(SUM(Y54:Y57),"0")</f>
        <v>120</v>
      </c>
      <c r="Z58" s="41">
        <f>IFERROR(IF(Z54="",0,Z54),"0")+IFERROR(IF(Z55="",0,Z55),"0")+IFERROR(IF(Z56="",0,Z56),"0")+IFERROR(IF(Z57="",0,Z57),"0")</f>
        <v>1.8599999999999999</v>
      </c>
      <c r="AA58" s="64"/>
      <c r="AB58" s="64"/>
      <c r="AC58" s="64"/>
    </row>
    <row r="59" spans="1:68" x14ac:dyDescent="0.2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8"/>
      <c r="P59" s="294" t="s">
        <v>40</v>
      </c>
      <c r="Q59" s="295"/>
      <c r="R59" s="295"/>
      <c r="S59" s="295"/>
      <c r="T59" s="295"/>
      <c r="U59" s="295"/>
      <c r="V59" s="296"/>
      <c r="W59" s="40" t="s">
        <v>0</v>
      </c>
      <c r="X59" s="41">
        <f>IFERROR(SUMPRODUCT(X54:X57*H54:H57),"0")</f>
        <v>840</v>
      </c>
      <c r="Y59" s="41">
        <f>IFERROR(SUMPRODUCT(Y54:Y57*H54:H57),"0")</f>
        <v>840</v>
      </c>
      <c r="Z59" s="40"/>
      <c r="AA59" s="64"/>
      <c r="AB59" s="64"/>
      <c r="AC59" s="64"/>
    </row>
    <row r="60" spans="1:68" ht="16.5" hidden="1" customHeight="1" x14ac:dyDescent="0.25">
      <c r="A60" s="318" t="s">
        <v>146</v>
      </c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62"/>
      <c r="AB60" s="62"/>
      <c r="AC60" s="62"/>
    </row>
    <row r="61" spans="1:68" ht="14.25" hidden="1" customHeight="1" x14ac:dyDescent="0.25">
      <c r="A61" s="308" t="s">
        <v>82</v>
      </c>
      <c r="B61" s="308"/>
      <c r="C61" s="308"/>
      <c r="D61" s="308"/>
      <c r="E61" s="308"/>
      <c r="F61" s="308"/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63"/>
      <c r="AB61" s="63"/>
      <c r="AC61" s="63"/>
    </row>
    <row r="62" spans="1:68" ht="16.5" hidden="1" customHeight="1" x14ac:dyDescent="0.25">
      <c r="A62" s="60" t="s">
        <v>147</v>
      </c>
      <c r="B62" s="60" t="s">
        <v>148</v>
      </c>
      <c r="C62" s="34">
        <v>4301071073</v>
      </c>
      <c r="D62" s="290">
        <v>4620207490822</v>
      </c>
      <c r="E62" s="290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89</v>
      </c>
      <c r="L62" s="35" t="s">
        <v>90</v>
      </c>
      <c r="M62" s="36" t="s">
        <v>88</v>
      </c>
      <c r="N62" s="36"/>
      <c r="O62" s="35">
        <v>365</v>
      </c>
      <c r="P62" s="38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2"/>
      <c r="R62" s="292"/>
      <c r="S62" s="292"/>
      <c r="T62" s="293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149</v>
      </c>
      <c r="AG62" s="78"/>
      <c r="AJ62" s="82" t="s">
        <v>91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idden="1" x14ac:dyDescent="0.2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8"/>
      <c r="P63" s="294" t="s">
        <v>40</v>
      </c>
      <c r="Q63" s="295"/>
      <c r="R63" s="295"/>
      <c r="S63" s="295"/>
      <c r="T63" s="295"/>
      <c r="U63" s="295"/>
      <c r="V63" s="296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idden="1" x14ac:dyDescent="0.2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8"/>
      <c r="P64" s="294" t="s">
        <v>40</v>
      </c>
      <c r="Q64" s="295"/>
      <c r="R64" s="295"/>
      <c r="S64" s="295"/>
      <c r="T64" s="295"/>
      <c r="U64" s="295"/>
      <c r="V64" s="296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08" t="s">
        <v>115</v>
      </c>
      <c r="B65" s="308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63"/>
      <c r="AB65" s="63"/>
      <c r="AC65" s="63"/>
    </row>
    <row r="66" spans="1:68" ht="27" hidden="1" customHeight="1" x14ac:dyDescent="0.25">
      <c r="A66" s="60" t="s">
        <v>150</v>
      </c>
      <c r="B66" s="60" t="s">
        <v>151</v>
      </c>
      <c r="C66" s="34">
        <v>4301132194</v>
      </c>
      <c r="D66" s="290">
        <v>4607111039712</v>
      </c>
      <c r="E66" s="290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120</v>
      </c>
      <c r="L66" s="35" t="s">
        <v>90</v>
      </c>
      <c r="M66" s="36" t="s">
        <v>88</v>
      </c>
      <c r="N66" s="36"/>
      <c r="O66" s="35">
        <v>365</v>
      </c>
      <c r="P66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2"/>
      <c r="R66" s="292"/>
      <c r="S66" s="292"/>
      <c r="T66" s="293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152</v>
      </c>
      <c r="AG66" s="78"/>
      <c r="AJ66" s="82" t="s">
        <v>91</v>
      </c>
      <c r="AK66" s="82">
        <v>1</v>
      </c>
      <c r="BB66" s="125" t="s">
        <v>119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8"/>
      <c r="P67" s="294" t="s">
        <v>40</v>
      </c>
      <c r="Q67" s="295"/>
      <c r="R67" s="295"/>
      <c r="S67" s="295"/>
      <c r="T67" s="295"/>
      <c r="U67" s="295"/>
      <c r="V67" s="296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idden="1" x14ac:dyDescent="0.2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8"/>
      <c r="P68" s="294" t="s">
        <v>40</v>
      </c>
      <c r="Q68" s="295"/>
      <c r="R68" s="295"/>
      <c r="S68" s="295"/>
      <c r="T68" s="295"/>
      <c r="U68" s="295"/>
      <c r="V68" s="296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08" t="s">
        <v>153</v>
      </c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63"/>
      <c r="AB69" s="63"/>
      <c r="AC69" s="63"/>
    </row>
    <row r="70" spans="1:68" ht="16.5" hidden="1" customHeight="1" x14ac:dyDescent="0.25">
      <c r="A70" s="60" t="s">
        <v>154</v>
      </c>
      <c r="B70" s="60" t="s">
        <v>155</v>
      </c>
      <c r="C70" s="34">
        <v>4301136018</v>
      </c>
      <c r="D70" s="290">
        <v>4607111037008</v>
      </c>
      <c r="E70" s="290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120</v>
      </c>
      <c r="L70" s="35" t="s">
        <v>90</v>
      </c>
      <c r="M70" s="36" t="s">
        <v>88</v>
      </c>
      <c r="N70" s="36"/>
      <c r="O70" s="35">
        <v>365</v>
      </c>
      <c r="P70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2"/>
      <c r="R70" s="292"/>
      <c r="S70" s="292"/>
      <c r="T70" s="293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156</v>
      </c>
      <c r="AG70" s="78"/>
      <c r="AJ70" s="82" t="s">
        <v>91</v>
      </c>
      <c r="AK70" s="82">
        <v>1</v>
      </c>
      <c r="BB70" s="127" t="s">
        <v>119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157</v>
      </c>
      <c r="B71" s="60" t="s">
        <v>158</v>
      </c>
      <c r="C71" s="34">
        <v>4301136015</v>
      </c>
      <c r="D71" s="290">
        <v>4607111037398</v>
      </c>
      <c r="E71" s="290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120</v>
      </c>
      <c r="L71" s="35" t="s">
        <v>90</v>
      </c>
      <c r="M71" s="36" t="s">
        <v>88</v>
      </c>
      <c r="N71" s="36"/>
      <c r="O71" s="35">
        <v>365</v>
      </c>
      <c r="P71" s="38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2"/>
      <c r="R71" s="292"/>
      <c r="S71" s="292"/>
      <c r="T71" s="293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156</v>
      </c>
      <c r="AG71" s="78"/>
      <c r="AJ71" s="82" t="s">
        <v>91</v>
      </c>
      <c r="AK71" s="82">
        <v>1</v>
      </c>
      <c r="BB71" s="129" t="s">
        <v>119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8"/>
      <c r="P72" s="294" t="s">
        <v>40</v>
      </c>
      <c r="Q72" s="295"/>
      <c r="R72" s="295"/>
      <c r="S72" s="295"/>
      <c r="T72" s="295"/>
      <c r="U72" s="295"/>
      <c r="V72" s="296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8"/>
      <c r="P73" s="294" t="s">
        <v>40</v>
      </c>
      <c r="Q73" s="295"/>
      <c r="R73" s="295"/>
      <c r="S73" s="295"/>
      <c r="T73" s="295"/>
      <c r="U73" s="295"/>
      <c r="V73" s="296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08" t="s">
        <v>159</v>
      </c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63"/>
      <c r="AB74" s="63"/>
      <c r="AC74" s="63"/>
    </row>
    <row r="75" spans="1:68" ht="27" hidden="1" customHeight="1" x14ac:dyDescent="0.25">
      <c r="A75" s="60" t="s">
        <v>160</v>
      </c>
      <c r="B75" s="60" t="s">
        <v>161</v>
      </c>
      <c r="C75" s="34">
        <v>4301135664</v>
      </c>
      <c r="D75" s="290">
        <v>4607111039705</v>
      </c>
      <c r="E75" s="290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120</v>
      </c>
      <c r="L75" s="35" t="s">
        <v>90</v>
      </c>
      <c r="M75" s="36" t="s">
        <v>88</v>
      </c>
      <c r="N75" s="36"/>
      <c r="O75" s="35">
        <v>365</v>
      </c>
      <c r="P75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2"/>
      <c r="R75" s="292"/>
      <c r="S75" s="292"/>
      <c r="T75" s="293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156</v>
      </c>
      <c r="AG75" s="78"/>
      <c r="AJ75" s="82" t="s">
        <v>91</v>
      </c>
      <c r="AK75" s="82">
        <v>1</v>
      </c>
      <c r="BB75" s="131" t="s">
        <v>119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162</v>
      </c>
      <c r="B76" s="60" t="s">
        <v>163</v>
      </c>
      <c r="C76" s="34">
        <v>4301135665</v>
      </c>
      <c r="D76" s="290">
        <v>4607111039729</v>
      </c>
      <c r="E76" s="290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120</v>
      </c>
      <c r="L76" s="35" t="s">
        <v>90</v>
      </c>
      <c r="M76" s="36" t="s">
        <v>88</v>
      </c>
      <c r="N76" s="36"/>
      <c r="O76" s="35">
        <v>365</v>
      </c>
      <c r="P76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2"/>
      <c r="R76" s="292"/>
      <c r="S76" s="292"/>
      <c r="T76" s="293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164</v>
      </c>
      <c r="AG76" s="78"/>
      <c r="AJ76" s="82" t="s">
        <v>91</v>
      </c>
      <c r="AK76" s="82">
        <v>1</v>
      </c>
      <c r="BB76" s="133" t="s">
        <v>119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165</v>
      </c>
      <c r="B77" s="60" t="s">
        <v>166</v>
      </c>
      <c r="C77" s="34">
        <v>4301135702</v>
      </c>
      <c r="D77" s="290">
        <v>4620207490228</v>
      </c>
      <c r="E77" s="290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120</v>
      </c>
      <c r="L77" s="35" t="s">
        <v>90</v>
      </c>
      <c r="M77" s="36" t="s">
        <v>88</v>
      </c>
      <c r="N77" s="36"/>
      <c r="O77" s="35">
        <v>365</v>
      </c>
      <c r="P77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2"/>
      <c r="R77" s="292"/>
      <c r="S77" s="292"/>
      <c r="T77" s="293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164</v>
      </c>
      <c r="AG77" s="78"/>
      <c r="AJ77" s="82" t="s">
        <v>91</v>
      </c>
      <c r="AK77" s="82">
        <v>1</v>
      </c>
      <c r="BB77" s="135" t="s">
        <v>119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8"/>
      <c r="P78" s="294" t="s">
        <v>40</v>
      </c>
      <c r="Q78" s="295"/>
      <c r="R78" s="295"/>
      <c r="S78" s="295"/>
      <c r="T78" s="295"/>
      <c r="U78" s="295"/>
      <c r="V78" s="296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idden="1" x14ac:dyDescent="0.2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8"/>
      <c r="P79" s="294" t="s">
        <v>40</v>
      </c>
      <c r="Q79" s="295"/>
      <c r="R79" s="295"/>
      <c r="S79" s="295"/>
      <c r="T79" s="295"/>
      <c r="U79" s="295"/>
      <c r="V79" s="296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18" t="s">
        <v>167</v>
      </c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62"/>
      <c r="AB80" s="62"/>
      <c r="AC80" s="62"/>
    </row>
    <row r="81" spans="1:68" ht="14.25" hidden="1" customHeight="1" x14ac:dyDescent="0.25">
      <c r="A81" s="308" t="s">
        <v>82</v>
      </c>
      <c r="B81" s="308"/>
      <c r="C81" s="308"/>
      <c r="D81" s="308"/>
      <c r="E81" s="308"/>
      <c r="F81" s="308"/>
      <c r="G81" s="308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  <c r="AA81" s="63"/>
      <c r="AB81" s="63"/>
      <c r="AC81" s="63"/>
    </row>
    <row r="82" spans="1:68" ht="27" hidden="1" customHeight="1" x14ac:dyDescent="0.25">
      <c r="A82" s="60" t="s">
        <v>168</v>
      </c>
      <c r="B82" s="60" t="s">
        <v>169</v>
      </c>
      <c r="C82" s="34">
        <v>4301070977</v>
      </c>
      <c r="D82" s="290">
        <v>4607111037411</v>
      </c>
      <c r="E82" s="290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171</v>
      </c>
      <c r="L82" s="35" t="s">
        <v>121</v>
      </c>
      <c r="M82" s="36" t="s">
        <v>88</v>
      </c>
      <c r="N82" s="36"/>
      <c r="O82" s="35">
        <v>180</v>
      </c>
      <c r="P82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2"/>
      <c r="R82" s="292"/>
      <c r="S82" s="292"/>
      <c r="T82" s="293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170</v>
      </c>
      <c r="AG82" s="78"/>
      <c r="AJ82" s="82" t="s">
        <v>122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hidden="1" customHeight="1" x14ac:dyDescent="0.25">
      <c r="A83" s="60" t="s">
        <v>172</v>
      </c>
      <c r="B83" s="60" t="s">
        <v>173</v>
      </c>
      <c r="C83" s="34">
        <v>4301070981</v>
      </c>
      <c r="D83" s="290">
        <v>4607111036728</v>
      </c>
      <c r="E83" s="290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89</v>
      </c>
      <c r="L83" s="35" t="s">
        <v>121</v>
      </c>
      <c r="M83" s="36" t="s">
        <v>88</v>
      </c>
      <c r="N83" s="36"/>
      <c r="O83" s="35">
        <v>180</v>
      </c>
      <c r="P83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2"/>
      <c r="R83" s="292"/>
      <c r="S83" s="292"/>
      <c r="T83" s="293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IFERROR(IF(X83="","",X83*0.00866),"")</f>
        <v>0</v>
      </c>
      <c r="AA83" s="65" t="s">
        <v>46</v>
      </c>
      <c r="AB83" s="66" t="s">
        <v>46</v>
      </c>
      <c r="AC83" s="138" t="s">
        <v>170</v>
      </c>
      <c r="AG83" s="78"/>
      <c r="AJ83" s="82" t="s">
        <v>122</v>
      </c>
      <c r="AK83" s="82">
        <v>12</v>
      </c>
      <c r="BB83" s="139" t="s">
        <v>70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8"/>
      <c r="P84" s="294" t="s">
        <v>40</v>
      </c>
      <c r="Q84" s="295"/>
      <c r="R84" s="295"/>
      <c r="S84" s="295"/>
      <c r="T84" s="295"/>
      <c r="U84" s="295"/>
      <c r="V84" s="296"/>
      <c r="W84" s="40" t="s">
        <v>39</v>
      </c>
      <c r="X84" s="41">
        <f>IFERROR(SUM(X82:X83),"0")</f>
        <v>0</v>
      </c>
      <c r="Y84" s="41">
        <f>IFERROR(SUM(Y82:Y83),"0")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8"/>
      <c r="P85" s="294" t="s">
        <v>40</v>
      </c>
      <c r="Q85" s="295"/>
      <c r="R85" s="295"/>
      <c r="S85" s="295"/>
      <c r="T85" s="295"/>
      <c r="U85" s="295"/>
      <c r="V85" s="296"/>
      <c r="W85" s="40" t="s">
        <v>0</v>
      </c>
      <c r="X85" s="41">
        <f>IFERROR(SUMPRODUCT(X82:X83*H82:H83),"0")</f>
        <v>0</v>
      </c>
      <c r="Y85" s="41">
        <f>IFERROR(SUMPRODUCT(Y82:Y83*H82:H83),"0")</f>
        <v>0</v>
      </c>
      <c r="Z85" s="40"/>
      <c r="AA85" s="64"/>
      <c r="AB85" s="64"/>
      <c r="AC85" s="64"/>
    </row>
    <row r="86" spans="1:68" ht="16.5" hidden="1" customHeight="1" x14ac:dyDescent="0.25">
      <c r="A86" s="318" t="s">
        <v>174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2"/>
      <c r="AB86" s="62"/>
      <c r="AC86" s="62"/>
    </row>
    <row r="87" spans="1:68" ht="14.25" hidden="1" customHeight="1" x14ac:dyDescent="0.25">
      <c r="A87" s="308" t="s">
        <v>159</v>
      </c>
      <c r="B87" s="308"/>
      <c r="C87" s="308"/>
      <c r="D87" s="308"/>
      <c r="E87" s="308"/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63"/>
      <c r="AB87" s="63"/>
      <c r="AC87" s="63"/>
    </row>
    <row r="88" spans="1:68" ht="27" customHeight="1" x14ac:dyDescent="0.25">
      <c r="A88" s="60" t="s">
        <v>175</v>
      </c>
      <c r="B88" s="60" t="s">
        <v>176</v>
      </c>
      <c r="C88" s="34">
        <v>4301135574</v>
      </c>
      <c r="D88" s="290">
        <v>4607111033659</v>
      </c>
      <c r="E88" s="290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120</v>
      </c>
      <c r="L88" s="35" t="s">
        <v>121</v>
      </c>
      <c r="M88" s="36" t="s">
        <v>88</v>
      </c>
      <c r="N88" s="36"/>
      <c r="O88" s="35">
        <v>180</v>
      </c>
      <c r="P88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2"/>
      <c r="R88" s="292"/>
      <c r="S88" s="292"/>
      <c r="T88" s="293"/>
      <c r="U88" s="37" t="s">
        <v>46</v>
      </c>
      <c r="V88" s="37" t="s">
        <v>46</v>
      </c>
      <c r="W88" s="38" t="s">
        <v>39</v>
      </c>
      <c r="X88" s="56">
        <v>70</v>
      </c>
      <c r="Y88" s="53">
        <f>IFERROR(IF(X88="","",X88),"")</f>
        <v>70</v>
      </c>
      <c r="Z88" s="39">
        <f>IFERROR(IF(X88="","",X88*0.01788),"")</f>
        <v>1.2516</v>
      </c>
      <c r="AA88" s="65" t="s">
        <v>46</v>
      </c>
      <c r="AB88" s="66" t="s">
        <v>46</v>
      </c>
      <c r="AC88" s="140" t="s">
        <v>177</v>
      </c>
      <c r="AG88" s="78"/>
      <c r="AJ88" s="82" t="s">
        <v>122</v>
      </c>
      <c r="AK88" s="82">
        <v>14</v>
      </c>
      <c r="BB88" s="141" t="s">
        <v>119</v>
      </c>
      <c r="BM88" s="78">
        <f>IFERROR(X88*I88,"0")</f>
        <v>301.25200000000001</v>
      </c>
      <c r="BN88" s="78">
        <f>IFERROR(Y88*I88,"0")</f>
        <v>301.25200000000001</v>
      </c>
      <c r="BO88" s="78">
        <f>IFERROR(X88/J88,"0")</f>
        <v>1</v>
      </c>
      <c r="BP88" s="78">
        <f>IFERROR(Y88/J88,"0")</f>
        <v>1</v>
      </c>
    </row>
    <row r="89" spans="1:68" x14ac:dyDescent="0.2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8"/>
      <c r="P89" s="294" t="s">
        <v>40</v>
      </c>
      <c r="Q89" s="295"/>
      <c r="R89" s="295"/>
      <c r="S89" s="295"/>
      <c r="T89" s="295"/>
      <c r="U89" s="295"/>
      <c r="V89" s="296"/>
      <c r="W89" s="40" t="s">
        <v>39</v>
      </c>
      <c r="X89" s="41">
        <f>IFERROR(SUM(X88:X88),"0")</f>
        <v>70</v>
      </c>
      <c r="Y89" s="41">
        <f>IFERROR(SUM(Y88:Y88),"0")</f>
        <v>70</v>
      </c>
      <c r="Z89" s="41">
        <f>IFERROR(IF(Z88="",0,Z88),"0")</f>
        <v>1.2516</v>
      </c>
      <c r="AA89" s="64"/>
      <c r="AB89" s="64"/>
      <c r="AC89" s="64"/>
    </row>
    <row r="90" spans="1:68" x14ac:dyDescent="0.2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8"/>
      <c r="P90" s="294" t="s">
        <v>40</v>
      </c>
      <c r="Q90" s="295"/>
      <c r="R90" s="295"/>
      <c r="S90" s="295"/>
      <c r="T90" s="295"/>
      <c r="U90" s="295"/>
      <c r="V90" s="296"/>
      <c r="W90" s="40" t="s">
        <v>0</v>
      </c>
      <c r="X90" s="41">
        <f>IFERROR(SUMPRODUCT(X88:X88*H88:H88),"0")</f>
        <v>252</v>
      </c>
      <c r="Y90" s="41">
        <f>IFERROR(SUMPRODUCT(Y88:Y88*H88:H88),"0")</f>
        <v>252</v>
      </c>
      <c r="Z90" s="40"/>
      <c r="AA90" s="64"/>
      <c r="AB90" s="64"/>
      <c r="AC90" s="64"/>
    </row>
    <row r="91" spans="1:68" ht="16.5" hidden="1" customHeight="1" x14ac:dyDescent="0.25">
      <c r="A91" s="318" t="s">
        <v>178</v>
      </c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62"/>
      <c r="AB91" s="62"/>
      <c r="AC91" s="62"/>
    </row>
    <row r="92" spans="1:68" ht="14.25" hidden="1" customHeight="1" x14ac:dyDescent="0.25">
      <c r="A92" s="308" t="s">
        <v>179</v>
      </c>
      <c r="B92" s="308"/>
      <c r="C92" s="308"/>
      <c r="D92" s="308"/>
      <c r="E92" s="308"/>
      <c r="F92" s="308"/>
      <c r="G92" s="308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8"/>
      <c r="U92" s="308"/>
      <c r="V92" s="308"/>
      <c r="W92" s="308"/>
      <c r="X92" s="308"/>
      <c r="Y92" s="308"/>
      <c r="Z92" s="308"/>
      <c r="AA92" s="63"/>
      <c r="AB92" s="63"/>
      <c r="AC92" s="63"/>
    </row>
    <row r="93" spans="1:68" ht="27" customHeight="1" x14ac:dyDescent="0.25">
      <c r="A93" s="60" t="s">
        <v>180</v>
      </c>
      <c r="B93" s="60" t="s">
        <v>181</v>
      </c>
      <c r="C93" s="34">
        <v>4301131047</v>
      </c>
      <c r="D93" s="290">
        <v>4607111034120</v>
      </c>
      <c r="E93" s="290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120</v>
      </c>
      <c r="L93" s="35" t="s">
        <v>121</v>
      </c>
      <c r="M93" s="36" t="s">
        <v>88</v>
      </c>
      <c r="N93" s="36"/>
      <c r="O93" s="35">
        <v>180</v>
      </c>
      <c r="P93" s="37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2"/>
      <c r="R93" s="292"/>
      <c r="S93" s="292"/>
      <c r="T93" s="293"/>
      <c r="U93" s="37" t="s">
        <v>46</v>
      </c>
      <c r="V93" s="37" t="s">
        <v>46</v>
      </c>
      <c r="W93" s="38" t="s">
        <v>39</v>
      </c>
      <c r="X93" s="56">
        <v>98</v>
      </c>
      <c r="Y93" s="53">
        <f>IFERROR(IF(X93="","",X93),"")</f>
        <v>98</v>
      </c>
      <c r="Z93" s="39">
        <f>IFERROR(IF(X93="","",X93*0.01788),"")</f>
        <v>1.75224</v>
      </c>
      <c r="AA93" s="65" t="s">
        <v>46</v>
      </c>
      <c r="AB93" s="66" t="s">
        <v>46</v>
      </c>
      <c r="AC93" s="142" t="s">
        <v>182</v>
      </c>
      <c r="AG93" s="78"/>
      <c r="AJ93" s="82" t="s">
        <v>122</v>
      </c>
      <c r="AK93" s="82">
        <v>14</v>
      </c>
      <c r="BB93" s="143" t="s">
        <v>119</v>
      </c>
      <c r="BM93" s="78">
        <f>IFERROR(X93*I93,"0")</f>
        <v>421.75280000000004</v>
      </c>
      <c r="BN93" s="78">
        <f>IFERROR(Y93*I93,"0")</f>
        <v>421.75280000000004</v>
      </c>
      <c r="BO93" s="78">
        <f>IFERROR(X93/J93,"0")</f>
        <v>1.4</v>
      </c>
      <c r="BP93" s="78">
        <f>IFERROR(Y93/J93,"0")</f>
        <v>1.4</v>
      </c>
    </row>
    <row r="94" spans="1:68" ht="27" customHeight="1" x14ac:dyDescent="0.25">
      <c r="A94" s="60" t="s">
        <v>183</v>
      </c>
      <c r="B94" s="60" t="s">
        <v>184</v>
      </c>
      <c r="C94" s="34">
        <v>4301131046</v>
      </c>
      <c r="D94" s="290">
        <v>4607111034137</v>
      </c>
      <c r="E94" s="290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120</v>
      </c>
      <c r="L94" s="35" t="s">
        <v>121</v>
      </c>
      <c r="M94" s="36" t="s">
        <v>88</v>
      </c>
      <c r="N94" s="36"/>
      <c r="O94" s="35">
        <v>180</v>
      </c>
      <c r="P94" s="37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2"/>
      <c r="R94" s="292"/>
      <c r="S94" s="292"/>
      <c r="T94" s="293"/>
      <c r="U94" s="37" t="s">
        <v>46</v>
      </c>
      <c r="V94" s="37" t="s">
        <v>46</v>
      </c>
      <c r="W94" s="38" t="s">
        <v>39</v>
      </c>
      <c r="X94" s="56">
        <v>98</v>
      </c>
      <c r="Y94" s="53">
        <f>IFERROR(IF(X94="","",X94),"")</f>
        <v>98</v>
      </c>
      <c r="Z94" s="39">
        <f>IFERROR(IF(X94="","",X94*0.01788),"")</f>
        <v>1.75224</v>
      </c>
      <c r="AA94" s="65" t="s">
        <v>46</v>
      </c>
      <c r="AB94" s="66" t="s">
        <v>46</v>
      </c>
      <c r="AC94" s="144" t="s">
        <v>185</v>
      </c>
      <c r="AG94" s="78"/>
      <c r="AJ94" s="82" t="s">
        <v>122</v>
      </c>
      <c r="AK94" s="82">
        <v>14</v>
      </c>
      <c r="BB94" s="145" t="s">
        <v>119</v>
      </c>
      <c r="BM94" s="78">
        <f>IFERROR(X94*I94,"0")</f>
        <v>421.75280000000004</v>
      </c>
      <c r="BN94" s="78">
        <f>IFERROR(Y94*I94,"0")</f>
        <v>421.75280000000004</v>
      </c>
      <c r="BO94" s="78">
        <f>IFERROR(X94/J94,"0")</f>
        <v>1.4</v>
      </c>
      <c r="BP94" s="78">
        <f>IFERROR(Y94/J94,"0")</f>
        <v>1.4</v>
      </c>
    </row>
    <row r="95" spans="1:68" x14ac:dyDescent="0.2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8"/>
      <c r="P95" s="294" t="s">
        <v>40</v>
      </c>
      <c r="Q95" s="295"/>
      <c r="R95" s="295"/>
      <c r="S95" s="295"/>
      <c r="T95" s="295"/>
      <c r="U95" s="295"/>
      <c r="V95" s="296"/>
      <c r="W95" s="40" t="s">
        <v>39</v>
      </c>
      <c r="X95" s="41">
        <f>IFERROR(SUM(X93:X94),"0")</f>
        <v>196</v>
      </c>
      <c r="Y95" s="41">
        <f>IFERROR(SUM(Y93:Y94),"0")</f>
        <v>196</v>
      </c>
      <c r="Z95" s="41">
        <f>IFERROR(IF(Z93="",0,Z93),"0")+IFERROR(IF(Z94="",0,Z94),"0")</f>
        <v>3.50448</v>
      </c>
      <c r="AA95" s="64"/>
      <c r="AB95" s="64"/>
      <c r="AC95" s="64"/>
    </row>
    <row r="96" spans="1:68" x14ac:dyDescent="0.2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8"/>
      <c r="P96" s="294" t="s">
        <v>40</v>
      </c>
      <c r="Q96" s="295"/>
      <c r="R96" s="295"/>
      <c r="S96" s="295"/>
      <c r="T96" s="295"/>
      <c r="U96" s="295"/>
      <c r="V96" s="296"/>
      <c r="W96" s="40" t="s">
        <v>0</v>
      </c>
      <c r="X96" s="41">
        <f>IFERROR(SUMPRODUCT(X93:X94*H93:H94),"0")</f>
        <v>705.6</v>
      </c>
      <c r="Y96" s="41">
        <f>IFERROR(SUMPRODUCT(Y93:Y94*H93:H94),"0")</f>
        <v>705.6</v>
      </c>
      <c r="Z96" s="40"/>
      <c r="AA96" s="64"/>
      <c r="AB96" s="64"/>
      <c r="AC96" s="64"/>
    </row>
    <row r="97" spans="1:68" ht="16.5" hidden="1" customHeight="1" x14ac:dyDescent="0.25">
      <c r="A97" s="318" t="s">
        <v>186</v>
      </c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62"/>
      <c r="AB97" s="62"/>
      <c r="AC97" s="62"/>
    </row>
    <row r="98" spans="1:68" ht="14.25" hidden="1" customHeight="1" x14ac:dyDescent="0.25">
      <c r="A98" s="308" t="s">
        <v>159</v>
      </c>
      <c r="B98" s="308"/>
      <c r="C98" s="308"/>
      <c r="D98" s="308"/>
      <c r="E98" s="308"/>
      <c r="F98" s="308"/>
      <c r="G98" s="308"/>
      <c r="H98" s="308"/>
      <c r="I98" s="308"/>
      <c r="J98" s="308"/>
      <c r="K98" s="308"/>
      <c r="L98" s="308"/>
      <c r="M98" s="308"/>
      <c r="N98" s="308"/>
      <c r="O98" s="308"/>
      <c r="P98" s="308"/>
      <c r="Q98" s="308"/>
      <c r="R98" s="308"/>
      <c r="S98" s="308"/>
      <c r="T98" s="308"/>
      <c r="U98" s="308"/>
      <c r="V98" s="308"/>
      <c r="W98" s="308"/>
      <c r="X98" s="308"/>
      <c r="Y98" s="308"/>
      <c r="Z98" s="308"/>
      <c r="AA98" s="63"/>
      <c r="AB98" s="63"/>
      <c r="AC98" s="63"/>
    </row>
    <row r="99" spans="1:68" ht="27" hidden="1" customHeight="1" x14ac:dyDescent="0.25">
      <c r="A99" s="60" t="s">
        <v>187</v>
      </c>
      <c r="B99" s="60" t="s">
        <v>188</v>
      </c>
      <c r="C99" s="34">
        <v>4301135763</v>
      </c>
      <c r="D99" s="290">
        <v>4620207491027</v>
      </c>
      <c r="E99" s="290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120</v>
      </c>
      <c r="L99" s="35" t="s">
        <v>90</v>
      </c>
      <c r="M99" s="36" t="s">
        <v>88</v>
      </c>
      <c r="N99" s="36"/>
      <c r="O99" s="35">
        <v>180</v>
      </c>
      <c r="P99" s="37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2"/>
      <c r="R99" s="292"/>
      <c r="S99" s="292"/>
      <c r="T99" s="293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ref="Y99:Y104" si="6">IFERROR(IF(X99="","",X99),"")</f>
        <v>0</v>
      </c>
      <c r="Z99" s="39">
        <f t="shared" ref="Z99:Z104" si="7">IFERROR(IF(X99="","",X99*0.01788),"")</f>
        <v>0</v>
      </c>
      <c r="AA99" s="65" t="s">
        <v>46</v>
      </c>
      <c r="AB99" s="66" t="s">
        <v>46</v>
      </c>
      <c r="AC99" s="146" t="s">
        <v>177</v>
      </c>
      <c r="AG99" s="78"/>
      <c r="AJ99" s="82" t="s">
        <v>91</v>
      </c>
      <c r="AK99" s="82">
        <v>1</v>
      </c>
      <c r="BB99" s="147" t="s">
        <v>119</v>
      </c>
      <c r="BM99" s="78">
        <f t="shared" ref="BM99:BM104" si="8">IFERROR(X99*I99,"0")</f>
        <v>0</v>
      </c>
      <c r="BN99" s="78">
        <f t="shared" ref="BN99:BN104" si="9">IFERROR(Y99*I99,"0")</f>
        <v>0</v>
      </c>
      <c r="BO99" s="78">
        <f t="shared" ref="BO99:BO104" si="10">IFERROR(X99/J99,"0")</f>
        <v>0</v>
      </c>
      <c r="BP99" s="78">
        <f t="shared" ref="BP99:BP104" si="11">IFERROR(Y99/J99,"0")</f>
        <v>0</v>
      </c>
    </row>
    <row r="100" spans="1:68" ht="27" customHeight="1" x14ac:dyDescent="0.25">
      <c r="A100" s="60" t="s">
        <v>189</v>
      </c>
      <c r="B100" s="60" t="s">
        <v>190</v>
      </c>
      <c r="C100" s="34">
        <v>4301135793</v>
      </c>
      <c r="D100" s="290">
        <v>4620207491003</v>
      </c>
      <c r="E100" s="290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120</v>
      </c>
      <c r="L100" s="35" t="s">
        <v>121</v>
      </c>
      <c r="M100" s="36" t="s">
        <v>88</v>
      </c>
      <c r="N100" s="36"/>
      <c r="O100" s="35">
        <v>180</v>
      </c>
      <c r="P100" s="37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2"/>
      <c r="R100" s="292"/>
      <c r="S100" s="292"/>
      <c r="T100" s="293"/>
      <c r="U100" s="37" t="s">
        <v>46</v>
      </c>
      <c r="V100" s="37" t="s">
        <v>46</v>
      </c>
      <c r="W100" s="38" t="s">
        <v>39</v>
      </c>
      <c r="X100" s="56">
        <v>140</v>
      </c>
      <c r="Y100" s="53">
        <f t="shared" si="6"/>
        <v>140</v>
      </c>
      <c r="Z100" s="39">
        <f t="shared" si="7"/>
        <v>2.5032000000000001</v>
      </c>
      <c r="AA100" s="65" t="s">
        <v>46</v>
      </c>
      <c r="AB100" s="66" t="s">
        <v>46</v>
      </c>
      <c r="AC100" s="148" t="s">
        <v>177</v>
      </c>
      <c r="AG100" s="78"/>
      <c r="AJ100" s="82" t="s">
        <v>122</v>
      </c>
      <c r="AK100" s="82">
        <v>14</v>
      </c>
      <c r="BB100" s="149" t="s">
        <v>119</v>
      </c>
      <c r="BM100" s="78">
        <f t="shared" si="8"/>
        <v>501.70400000000001</v>
      </c>
      <c r="BN100" s="78">
        <f t="shared" si="9"/>
        <v>501.70400000000001</v>
      </c>
      <c r="BO100" s="78">
        <f t="shared" si="10"/>
        <v>2</v>
      </c>
      <c r="BP100" s="78">
        <f t="shared" si="11"/>
        <v>2</v>
      </c>
    </row>
    <row r="101" spans="1:68" ht="27" hidden="1" customHeight="1" x14ac:dyDescent="0.25">
      <c r="A101" s="60" t="s">
        <v>191</v>
      </c>
      <c r="B101" s="60" t="s">
        <v>192</v>
      </c>
      <c r="C101" s="34">
        <v>4301135768</v>
      </c>
      <c r="D101" s="290">
        <v>4620207491034</v>
      </c>
      <c r="E101" s="290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120</v>
      </c>
      <c r="L101" s="35" t="s">
        <v>90</v>
      </c>
      <c r="M101" s="36" t="s">
        <v>88</v>
      </c>
      <c r="N101" s="36"/>
      <c r="O101" s="35">
        <v>180</v>
      </c>
      <c r="P101" s="36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2"/>
      <c r="R101" s="292"/>
      <c r="S101" s="292"/>
      <c r="T101" s="293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193</v>
      </c>
      <c r="AG101" s="78"/>
      <c r="AJ101" s="82" t="s">
        <v>91</v>
      </c>
      <c r="AK101" s="82">
        <v>1</v>
      </c>
      <c r="BB101" s="151" t="s">
        <v>119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194</v>
      </c>
      <c r="B102" s="60" t="s">
        <v>195</v>
      </c>
      <c r="C102" s="34">
        <v>4301135760</v>
      </c>
      <c r="D102" s="290">
        <v>4620207491010</v>
      </c>
      <c r="E102" s="290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120</v>
      </c>
      <c r="L102" s="35" t="s">
        <v>121</v>
      </c>
      <c r="M102" s="36" t="s">
        <v>88</v>
      </c>
      <c r="N102" s="36"/>
      <c r="O102" s="35">
        <v>180</v>
      </c>
      <c r="P102" s="37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2"/>
      <c r="R102" s="292"/>
      <c r="S102" s="292"/>
      <c r="T102" s="293"/>
      <c r="U102" s="37" t="s">
        <v>46</v>
      </c>
      <c r="V102" s="37" t="s">
        <v>46</v>
      </c>
      <c r="W102" s="38" t="s">
        <v>39</v>
      </c>
      <c r="X102" s="56">
        <v>70</v>
      </c>
      <c r="Y102" s="53">
        <f t="shared" si="6"/>
        <v>70</v>
      </c>
      <c r="Z102" s="39">
        <f t="shared" si="7"/>
        <v>1.2516</v>
      </c>
      <c r="AA102" s="65" t="s">
        <v>46</v>
      </c>
      <c r="AB102" s="66" t="s">
        <v>46</v>
      </c>
      <c r="AC102" s="152" t="s">
        <v>177</v>
      </c>
      <c r="AG102" s="78"/>
      <c r="AJ102" s="82" t="s">
        <v>122</v>
      </c>
      <c r="AK102" s="82">
        <v>14</v>
      </c>
      <c r="BB102" s="153" t="s">
        <v>119</v>
      </c>
      <c r="BM102" s="78">
        <f t="shared" si="8"/>
        <v>250.852</v>
      </c>
      <c r="BN102" s="78">
        <f t="shared" si="9"/>
        <v>250.852</v>
      </c>
      <c r="BO102" s="78">
        <f t="shared" si="10"/>
        <v>1</v>
      </c>
      <c r="BP102" s="78">
        <f t="shared" si="11"/>
        <v>1</v>
      </c>
    </row>
    <row r="103" spans="1:68" ht="27" hidden="1" customHeight="1" x14ac:dyDescent="0.25">
      <c r="A103" s="60" t="s">
        <v>196</v>
      </c>
      <c r="B103" s="60" t="s">
        <v>197</v>
      </c>
      <c r="C103" s="34">
        <v>4301135571</v>
      </c>
      <c r="D103" s="290">
        <v>4607111035028</v>
      </c>
      <c r="E103" s="290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120</v>
      </c>
      <c r="L103" s="35" t="s">
        <v>121</v>
      </c>
      <c r="M103" s="36" t="s">
        <v>88</v>
      </c>
      <c r="N103" s="36"/>
      <c r="O103" s="35">
        <v>180</v>
      </c>
      <c r="P103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2"/>
      <c r="R103" s="292"/>
      <c r="S103" s="292"/>
      <c r="T103" s="293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177</v>
      </c>
      <c r="AG103" s="78"/>
      <c r="AJ103" s="82" t="s">
        <v>122</v>
      </c>
      <c r="AK103" s="82">
        <v>14</v>
      </c>
      <c r="BB103" s="155" t="s">
        <v>119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customHeight="1" x14ac:dyDescent="0.25">
      <c r="A104" s="60" t="s">
        <v>198</v>
      </c>
      <c r="B104" s="60" t="s">
        <v>199</v>
      </c>
      <c r="C104" s="34">
        <v>4301135285</v>
      </c>
      <c r="D104" s="290">
        <v>4607111036407</v>
      </c>
      <c r="E104" s="290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120</v>
      </c>
      <c r="L104" s="35" t="s">
        <v>121</v>
      </c>
      <c r="M104" s="36" t="s">
        <v>88</v>
      </c>
      <c r="N104" s="36"/>
      <c r="O104" s="35">
        <v>180</v>
      </c>
      <c r="P104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2"/>
      <c r="R104" s="292"/>
      <c r="S104" s="292"/>
      <c r="T104" s="293"/>
      <c r="U104" s="37" t="s">
        <v>46</v>
      </c>
      <c r="V104" s="37" t="s">
        <v>46</v>
      </c>
      <c r="W104" s="38" t="s">
        <v>39</v>
      </c>
      <c r="X104" s="56">
        <v>56</v>
      </c>
      <c r="Y104" s="53">
        <f t="shared" si="6"/>
        <v>56</v>
      </c>
      <c r="Z104" s="39">
        <f t="shared" si="7"/>
        <v>1.0012799999999999</v>
      </c>
      <c r="AA104" s="65" t="s">
        <v>46</v>
      </c>
      <c r="AB104" s="66" t="s">
        <v>46</v>
      </c>
      <c r="AC104" s="156" t="s">
        <v>200</v>
      </c>
      <c r="AG104" s="78"/>
      <c r="AJ104" s="82" t="s">
        <v>122</v>
      </c>
      <c r="AK104" s="82">
        <v>14</v>
      </c>
      <c r="BB104" s="157" t="s">
        <v>119</v>
      </c>
      <c r="BM104" s="78">
        <f t="shared" si="8"/>
        <v>253.63520000000003</v>
      </c>
      <c r="BN104" s="78">
        <f t="shared" si="9"/>
        <v>253.63520000000003</v>
      </c>
      <c r="BO104" s="78">
        <f t="shared" si="10"/>
        <v>0.8</v>
      </c>
      <c r="BP104" s="78">
        <f t="shared" si="11"/>
        <v>0.8</v>
      </c>
    </row>
    <row r="105" spans="1:68" x14ac:dyDescent="0.2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8"/>
      <c r="P105" s="294" t="s">
        <v>40</v>
      </c>
      <c r="Q105" s="295"/>
      <c r="R105" s="295"/>
      <c r="S105" s="295"/>
      <c r="T105" s="295"/>
      <c r="U105" s="295"/>
      <c r="V105" s="296"/>
      <c r="W105" s="40" t="s">
        <v>39</v>
      </c>
      <c r="X105" s="41">
        <f>IFERROR(SUM(X99:X104),"0")</f>
        <v>266</v>
      </c>
      <c r="Y105" s="41">
        <f>IFERROR(SUM(Y99:Y104),"0")</f>
        <v>266</v>
      </c>
      <c r="Z105" s="41">
        <f>IFERROR(IF(Z99="",0,Z99),"0")+IFERROR(IF(Z100="",0,Z100),"0")+IFERROR(IF(Z101="",0,Z101),"0")+IFERROR(IF(Z102="",0,Z102),"0")+IFERROR(IF(Z103="",0,Z103),"0")+IFERROR(IF(Z104="",0,Z104),"0")</f>
        <v>4.7560800000000008</v>
      </c>
      <c r="AA105" s="64"/>
      <c r="AB105" s="64"/>
      <c r="AC105" s="64"/>
    </row>
    <row r="106" spans="1:68" x14ac:dyDescent="0.2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8"/>
      <c r="P106" s="294" t="s">
        <v>40</v>
      </c>
      <c r="Q106" s="295"/>
      <c r="R106" s="295"/>
      <c r="S106" s="295"/>
      <c r="T106" s="295"/>
      <c r="U106" s="295"/>
      <c r="V106" s="296"/>
      <c r="W106" s="40" t="s">
        <v>0</v>
      </c>
      <c r="X106" s="41">
        <f>IFERROR(SUMPRODUCT(X99:X104*H99:H104),"0")</f>
        <v>840</v>
      </c>
      <c r="Y106" s="41">
        <f>IFERROR(SUMPRODUCT(Y99:Y104*H99:H104),"0")</f>
        <v>840</v>
      </c>
      <c r="Z106" s="40"/>
      <c r="AA106" s="64"/>
      <c r="AB106" s="64"/>
      <c r="AC106" s="64"/>
    </row>
    <row r="107" spans="1:68" ht="16.5" hidden="1" customHeight="1" x14ac:dyDescent="0.25">
      <c r="A107" s="318" t="s">
        <v>201</v>
      </c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62"/>
      <c r="AB107" s="62"/>
      <c r="AC107" s="62"/>
    </row>
    <row r="108" spans="1:68" ht="14.25" hidden="1" customHeight="1" x14ac:dyDescent="0.25">
      <c r="A108" s="308" t="s">
        <v>153</v>
      </c>
      <c r="B108" s="308"/>
      <c r="C108" s="308"/>
      <c r="D108" s="308"/>
      <c r="E108" s="308"/>
      <c r="F108" s="308"/>
      <c r="G108" s="308"/>
      <c r="H108" s="308"/>
      <c r="I108" s="308"/>
      <c r="J108" s="308"/>
      <c r="K108" s="308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  <c r="Z108" s="308"/>
      <c r="AA108" s="63"/>
      <c r="AB108" s="63"/>
      <c r="AC108" s="63"/>
    </row>
    <row r="109" spans="1:68" ht="27" customHeight="1" x14ac:dyDescent="0.25">
      <c r="A109" s="60" t="s">
        <v>202</v>
      </c>
      <c r="B109" s="60" t="s">
        <v>203</v>
      </c>
      <c r="C109" s="34">
        <v>4301136070</v>
      </c>
      <c r="D109" s="290">
        <v>4607025784012</v>
      </c>
      <c r="E109" s="290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120</v>
      </c>
      <c r="L109" s="35" t="s">
        <v>121</v>
      </c>
      <c r="M109" s="36" t="s">
        <v>88</v>
      </c>
      <c r="N109" s="36"/>
      <c r="O109" s="35">
        <v>180</v>
      </c>
      <c r="P109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2"/>
      <c r="R109" s="292"/>
      <c r="S109" s="292"/>
      <c r="T109" s="293"/>
      <c r="U109" s="37" t="s">
        <v>46</v>
      </c>
      <c r="V109" s="37" t="s">
        <v>46</v>
      </c>
      <c r="W109" s="38" t="s">
        <v>39</v>
      </c>
      <c r="X109" s="56">
        <v>70</v>
      </c>
      <c r="Y109" s="53">
        <f>IFERROR(IF(X109="","",X109),"")</f>
        <v>70</v>
      </c>
      <c r="Z109" s="39">
        <f>IFERROR(IF(X109="","",X109*0.00936),"")</f>
        <v>0.6552</v>
      </c>
      <c r="AA109" s="65" t="s">
        <v>46</v>
      </c>
      <c r="AB109" s="66" t="s">
        <v>46</v>
      </c>
      <c r="AC109" s="158" t="s">
        <v>204</v>
      </c>
      <c r="AG109" s="78"/>
      <c r="AJ109" s="82" t="s">
        <v>122</v>
      </c>
      <c r="AK109" s="82">
        <v>14</v>
      </c>
      <c r="BB109" s="159" t="s">
        <v>119</v>
      </c>
      <c r="BM109" s="78">
        <f>IFERROR(X109*I109,"0")</f>
        <v>174.38400000000001</v>
      </c>
      <c r="BN109" s="78">
        <f>IFERROR(Y109*I109,"0")</f>
        <v>174.38400000000001</v>
      </c>
      <c r="BO109" s="78">
        <f>IFERROR(X109/J109,"0")</f>
        <v>0.55555555555555558</v>
      </c>
      <c r="BP109" s="78">
        <f>IFERROR(Y109/J109,"0")</f>
        <v>0.55555555555555558</v>
      </c>
    </row>
    <row r="110" spans="1:68" ht="27" hidden="1" customHeight="1" x14ac:dyDescent="0.25">
      <c r="A110" s="60" t="s">
        <v>205</v>
      </c>
      <c r="B110" s="60" t="s">
        <v>206</v>
      </c>
      <c r="C110" s="34">
        <v>4301136079</v>
      </c>
      <c r="D110" s="290">
        <v>4607025784319</v>
      </c>
      <c r="E110" s="290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120</v>
      </c>
      <c r="L110" s="35" t="s">
        <v>121</v>
      </c>
      <c r="M110" s="36" t="s">
        <v>88</v>
      </c>
      <c r="N110" s="36"/>
      <c r="O110" s="35">
        <v>180</v>
      </c>
      <c r="P110" s="36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2"/>
      <c r="R110" s="292"/>
      <c r="S110" s="292"/>
      <c r="T110" s="293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177</v>
      </c>
      <c r="AG110" s="78"/>
      <c r="AJ110" s="82" t="s">
        <v>122</v>
      </c>
      <c r="AK110" s="82">
        <v>14</v>
      </c>
      <c r="BB110" s="161" t="s">
        <v>119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x14ac:dyDescent="0.2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8"/>
      <c r="P111" s="294" t="s">
        <v>40</v>
      </c>
      <c r="Q111" s="295"/>
      <c r="R111" s="295"/>
      <c r="S111" s="295"/>
      <c r="T111" s="295"/>
      <c r="U111" s="295"/>
      <c r="V111" s="296"/>
      <c r="W111" s="40" t="s">
        <v>39</v>
      </c>
      <c r="X111" s="41">
        <f>IFERROR(SUM(X109:X110),"0")</f>
        <v>70</v>
      </c>
      <c r="Y111" s="41">
        <f>IFERROR(SUM(Y109:Y110),"0")</f>
        <v>70</v>
      </c>
      <c r="Z111" s="41">
        <f>IFERROR(IF(Z109="",0,Z109),"0")+IFERROR(IF(Z110="",0,Z110),"0")</f>
        <v>0.6552</v>
      </c>
      <c r="AA111" s="64"/>
      <c r="AB111" s="64"/>
      <c r="AC111" s="64"/>
    </row>
    <row r="112" spans="1:68" x14ac:dyDescent="0.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8"/>
      <c r="P112" s="294" t="s">
        <v>40</v>
      </c>
      <c r="Q112" s="295"/>
      <c r="R112" s="295"/>
      <c r="S112" s="295"/>
      <c r="T112" s="295"/>
      <c r="U112" s="295"/>
      <c r="V112" s="296"/>
      <c r="W112" s="40" t="s">
        <v>0</v>
      </c>
      <c r="X112" s="41">
        <f>IFERROR(SUMPRODUCT(X109:X110*H109:H110),"0")</f>
        <v>151.20000000000002</v>
      </c>
      <c r="Y112" s="41">
        <f>IFERROR(SUMPRODUCT(Y109:Y110*H109:H110),"0")</f>
        <v>151.20000000000002</v>
      </c>
      <c r="Z112" s="40"/>
      <c r="AA112" s="64"/>
      <c r="AB112" s="64"/>
      <c r="AC112" s="64"/>
    </row>
    <row r="113" spans="1:68" ht="16.5" hidden="1" customHeight="1" x14ac:dyDescent="0.25">
      <c r="A113" s="318" t="s">
        <v>207</v>
      </c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62"/>
      <c r="AB113" s="62"/>
      <c r="AC113" s="62"/>
    </row>
    <row r="114" spans="1:68" ht="14.25" hidden="1" customHeight="1" x14ac:dyDescent="0.25">
      <c r="A114" s="308" t="s">
        <v>82</v>
      </c>
      <c r="B114" s="308"/>
      <c r="C114" s="308"/>
      <c r="D114" s="308"/>
      <c r="E114" s="308"/>
      <c r="F114" s="308"/>
      <c r="G114" s="308"/>
      <c r="H114" s="308"/>
      <c r="I114" s="308"/>
      <c r="J114" s="308"/>
      <c r="K114" s="308"/>
      <c r="L114" s="308"/>
      <c r="M114" s="308"/>
      <c r="N114" s="308"/>
      <c r="O114" s="308"/>
      <c r="P114" s="308"/>
      <c r="Q114" s="308"/>
      <c r="R114" s="308"/>
      <c r="S114" s="308"/>
      <c r="T114" s="308"/>
      <c r="U114" s="308"/>
      <c r="V114" s="308"/>
      <c r="W114" s="308"/>
      <c r="X114" s="308"/>
      <c r="Y114" s="308"/>
      <c r="Z114" s="308"/>
      <c r="AA114" s="63"/>
      <c r="AB114" s="63"/>
      <c r="AC114" s="63"/>
    </row>
    <row r="115" spans="1:68" ht="27" hidden="1" customHeight="1" x14ac:dyDescent="0.25">
      <c r="A115" s="60" t="s">
        <v>208</v>
      </c>
      <c r="B115" s="60" t="s">
        <v>209</v>
      </c>
      <c r="C115" s="34">
        <v>4301071074</v>
      </c>
      <c r="D115" s="290">
        <v>4620207491157</v>
      </c>
      <c r="E115" s="290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89</v>
      </c>
      <c r="L115" s="35" t="s">
        <v>121</v>
      </c>
      <c r="M115" s="36" t="s">
        <v>88</v>
      </c>
      <c r="N115" s="36"/>
      <c r="O115" s="35">
        <v>180</v>
      </c>
      <c r="P115" s="36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2"/>
      <c r="R115" s="292"/>
      <c r="S115" s="292"/>
      <c r="T115" s="293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2" si="12">IFERROR(IF(X115="","",X115),"")</f>
        <v>0</v>
      </c>
      <c r="Z115" s="39">
        <f t="shared" ref="Z115:Z122" si="13">IFERROR(IF(X115="","",X115*0.0155),"")</f>
        <v>0</v>
      </c>
      <c r="AA115" s="65" t="s">
        <v>46</v>
      </c>
      <c r="AB115" s="66" t="s">
        <v>46</v>
      </c>
      <c r="AC115" s="162" t="s">
        <v>210</v>
      </c>
      <c r="AG115" s="78"/>
      <c r="AJ115" s="82" t="s">
        <v>122</v>
      </c>
      <c r="AK115" s="82">
        <v>12</v>
      </c>
      <c r="BB115" s="163" t="s">
        <v>70</v>
      </c>
      <c r="BM115" s="78">
        <f t="shared" ref="BM115:BM122" si="14">IFERROR(X115*I115,"0")</f>
        <v>0</v>
      </c>
      <c r="BN115" s="78">
        <f t="shared" ref="BN115:BN122" si="15">IFERROR(Y115*I115,"0")</f>
        <v>0</v>
      </c>
      <c r="BO115" s="78">
        <f t="shared" ref="BO115:BO122" si="16">IFERROR(X115/J115,"0")</f>
        <v>0</v>
      </c>
      <c r="BP115" s="78">
        <f t="shared" ref="BP115:BP122" si="17">IFERROR(Y115/J115,"0")</f>
        <v>0</v>
      </c>
    </row>
    <row r="116" spans="1:68" ht="27" hidden="1" customHeight="1" x14ac:dyDescent="0.25">
      <c r="A116" s="60" t="s">
        <v>211</v>
      </c>
      <c r="B116" s="60" t="s">
        <v>212</v>
      </c>
      <c r="C116" s="34">
        <v>4301071121</v>
      </c>
      <c r="D116" s="290">
        <v>4620207491393</v>
      </c>
      <c r="E116" s="290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89</v>
      </c>
      <c r="L116" s="35" t="s">
        <v>90</v>
      </c>
      <c r="M116" s="36" t="s">
        <v>88</v>
      </c>
      <c r="N116" s="36"/>
      <c r="O116" s="35">
        <v>180</v>
      </c>
      <c r="P116" s="36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2"/>
      <c r="R116" s="292"/>
      <c r="S116" s="292"/>
      <c r="T116" s="293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213</v>
      </c>
      <c r="AG116" s="78"/>
      <c r="AJ116" s="82" t="s">
        <v>91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214</v>
      </c>
      <c r="B117" s="60" t="s">
        <v>215</v>
      </c>
      <c r="C117" s="34">
        <v>4301071051</v>
      </c>
      <c r="D117" s="290">
        <v>4607111039262</v>
      </c>
      <c r="E117" s="290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89</v>
      </c>
      <c r="L117" s="35" t="s">
        <v>121</v>
      </c>
      <c r="M117" s="36" t="s">
        <v>88</v>
      </c>
      <c r="N117" s="36"/>
      <c r="O117" s="35">
        <v>180</v>
      </c>
      <c r="P117" s="3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2"/>
      <c r="R117" s="292"/>
      <c r="S117" s="292"/>
      <c r="T117" s="293"/>
      <c r="U117" s="37" t="s">
        <v>46</v>
      </c>
      <c r="V117" s="37" t="s">
        <v>46</v>
      </c>
      <c r="W117" s="38" t="s">
        <v>39</v>
      </c>
      <c r="X117" s="56">
        <v>96</v>
      </c>
      <c r="Y117" s="53">
        <f t="shared" si="12"/>
        <v>96</v>
      </c>
      <c r="Z117" s="39">
        <f t="shared" si="13"/>
        <v>1.488</v>
      </c>
      <c r="AA117" s="65" t="s">
        <v>46</v>
      </c>
      <c r="AB117" s="66" t="s">
        <v>46</v>
      </c>
      <c r="AC117" s="166" t="s">
        <v>170</v>
      </c>
      <c r="AG117" s="78"/>
      <c r="AJ117" s="82" t="s">
        <v>122</v>
      </c>
      <c r="AK117" s="82">
        <v>12</v>
      </c>
      <c r="BB117" s="167" t="s">
        <v>70</v>
      </c>
      <c r="BM117" s="78">
        <f t="shared" si="14"/>
        <v>645.08159999999998</v>
      </c>
      <c r="BN117" s="78">
        <f t="shared" si="15"/>
        <v>645.08159999999998</v>
      </c>
      <c r="BO117" s="78">
        <f t="shared" si="16"/>
        <v>1.1428571428571428</v>
      </c>
      <c r="BP117" s="78">
        <f t="shared" si="17"/>
        <v>1.1428571428571428</v>
      </c>
    </row>
    <row r="118" spans="1:68" ht="27" customHeight="1" x14ac:dyDescent="0.25">
      <c r="A118" s="60" t="s">
        <v>216</v>
      </c>
      <c r="B118" s="60" t="s">
        <v>217</v>
      </c>
      <c r="C118" s="34">
        <v>4301071038</v>
      </c>
      <c r="D118" s="290">
        <v>4607111039248</v>
      </c>
      <c r="E118" s="290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89</v>
      </c>
      <c r="L118" s="35" t="s">
        <v>121</v>
      </c>
      <c r="M118" s="36" t="s">
        <v>88</v>
      </c>
      <c r="N118" s="36"/>
      <c r="O118" s="35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2"/>
      <c r="R118" s="292"/>
      <c r="S118" s="292"/>
      <c r="T118" s="293"/>
      <c r="U118" s="37" t="s">
        <v>46</v>
      </c>
      <c r="V118" s="37" t="s">
        <v>46</v>
      </c>
      <c r="W118" s="38" t="s">
        <v>39</v>
      </c>
      <c r="X118" s="56">
        <v>168</v>
      </c>
      <c r="Y118" s="53">
        <f t="shared" si="12"/>
        <v>168</v>
      </c>
      <c r="Z118" s="39">
        <f t="shared" si="13"/>
        <v>2.6040000000000001</v>
      </c>
      <c r="AA118" s="65" t="s">
        <v>46</v>
      </c>
      <c r="AB118" s="66" t="s">
        <v>46</v>
      </c>
      <c r="AC118" s="168" t="s">
        <v>170</v>
      </c>
      <c r="AG118" s="78"/>
      <c r="AJ118" s="82" t="s">
        <v>122</v>
      </c>
      <c r="AK118" s="82">
        <v>12</v>
      </c>
      <c r="BB118" s="169" t="s">
        <v>70</v>
      </c>
      <c r="BM118" s="78">
        <f t="shared" si="14"/>
        <v>1226.3999999999999</v>
      </c>
      <c r="BN118" s="78">
        <f t="shared" si="15"/>
        <v>1226.3999999999999</v>
      </c>
      <c r="BO118" s="78">
        <f t="shared" si="16"/>
        <v>2</v>
      </c>
      <c r="BP118" s="78">
        <f t="shared" si="17"/>
        <v>2</v>
      </c>
    </row>
    <row r="119" spans="1:68" ht="27" hidden="1" customHeight="1" x14ac:dyDescent="0.25">
      <c r="A119" s="60" t="s">
        <v>218</v>
      </c>
      <c r="B119" s="60" t="s">
        <v>219</v>
      </c>
      <c r="C119" s="34">
        <v>4301070979</v>
      </c>
      <c r="D119" s="290">
        <v>4607111037145</v>
      </c>
      <c r="E119" s="290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89</v>
      </c>
      <c r="L119" s="35" t="s">
        <v>90</v>
      </c>
      <c r="M119" s="36" t="s">
        <v>88</v>
      </c>
      <c r="N119" s="36"/>
      <c r="O119" s="35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2"/>
      <c r="R119" s="292"/>
      <c r="S119" s="292"/>
      <c r="T119" s="293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220</v>
      </c>
      <c r="AG119" s="78"/>
      <c r="AJ119" s="82" t="s">
        <v>91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221</v>
      </c>
      <c r="B120" s="60" t="s">
        <v>222</v>
      </c>
      <c r="C120" s="34">
        <v>4301071075</v>
      </c>
      <c r="D120" s="290">
        <v>4620207491102</v>
      </c>
      <c r="E120" s="290"/>
      <c r="F120" s="59">
        <v>0.7</v>
      </c>
      <c r="G120" s="35">
        <v>10</v>
      </c>
      <c r="H120" s="59">
        <v>7</v>
      </c>
      <c r="I120" s="59">
        <v>7.23</v>
      </c>
      <c r="J120" s="35">
        <v>84</v>
      </c>
      <c r="K120" s="35" t="s">
        <v>89</v>
      </c>
      <c r="L120" s="35" t="s">
        <v>90</v>
      </c>
      <c r="M120" s="36" t="s">
        <v>88</v>
      </c>
      <c r="N120" s="36"/>
      <c r="O120" s="35">
        <v>180</v>
      </c>
      <c r="P120" s="36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2"/>
      <c r="R120" s="292"/>
      <c r="S120" s="292"/>
      <c r="T120" s="293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223</v>
      </c>
      <c r="AG120" s="78"/>
      <c r="AJ120" s="82" t="s">
        <v>91</v>
      </c>
      <c r="AK120" s="82">
        <v>1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t="27" customHeight="1" x14ac:dyDescent="0.25">
      <c r="A121" s="60" t="s">
        <v>224</v>
      </c>
      <c r="B121" s="60" t="s">
        <v>225</v>
      </c>
      <c r="C121" s="34">
        <v>4301071049</v>
      </c>
      <c r="D121" s="290">
        <v>4607111039293</v>
      </c>
      <c r="E121" s="290"/>
      <c r="F121" s="59">
        <v>0.4</v>
      </c>
      <c r="G121" s="35">
        <v>16</v>
      </c>
      <c r="H121" s="59">
        <v>6.4</v>
      </c>
      <c r="I121" s="59">
        <v>6.7195999999999998</v>
      </c>
      <c r="J121" s="35">
        <v>84</v>
      </c>
      <c r="K121" s="35" t="s">
        <v>89</v>
      </c>
      <c r="L121" s="35" t="s">
        <v>121</v>
      </c>
      <c r="M121" s="36" t="s">
        <v>88</v>
      </c>
      <c r="N121" s="36"/>
      <c r="O121" s="35">
        <v>180</v>
      </c>
      <c r="P121" s="3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292"/>
      <c r="R121" s="292"/>
      <c r="S121" s="292"/>
      <c r="T121" s="293"/>
      <c r="U121" s="37" t="s">
        <v>46</v>
      </c>
      <c r="V121" s="37" t="s">
        <v>46</v>
      </c>
      <c r="W121" s="38" t="s">
        <v>39</v>
      </c>
      <c r="X121" s="56">
        <v>96</v>
      </c>
      <c r="Y121" s="53">
        <f t="shared" si="12"/>
        <v>96</v>
      </c>
      <c r="Z121" s="39">
        <f t="shared" si="13"/>
        <v>1.488</v>
      </c>
      <c r="AA121" s="65" t="s">
        <v>46</v>
      </c>
      <c r="AB121" s="66" t="s">
        <v>46</v>
      </c>
      <c r="AC121" s="174" t="s">
        <v>170</v>
      </c>
      <c r="AG121" s="78"/>
      <c r="AJ121" s="82" t="s">
        <v>122</v>
      </c>
      <c r="AK121" s="82">
        <v>12</v>
      </c>
      <c r="BB121" s="175" t="s">
        <v>70</v>
      </c>
      <c r="BM121" s="78">
        <f t="shared" si="14"/>
        <v>645.08159999999998</v>
      </c>
      <c r="BN121" s="78">
        <f t="shared" si="15"/>
        <v>645.08159999999998</v>
      </c>
      <c r="BO121" s="78">
        <f t="shared" si="16"/>
        <v>1.1428571428571428</v>
      </c>
      <c r="BP121" s="78">
        <f t="shared" si="17"/>
        <v>1.1428571428571428</v>
      </c>
    </row>
    <row r="122" spans="1:68" ht="27" customHeight="1" x14ac:dyDescent="0.25">
      <c r="A122" s="60" t="s">
        <v>226</v>
      </c>
      <c r="B122" s="60" t="s">
        <v>227</v>
      </c>
      <c r="C122" s="34">
        <v>4301071039</v>
      </c>
      <c r="D122" s="290">
        <v>4607111039279</v>
      </c>
      <c r="E122" s="290"/>
      <c r="F122" s="59">
        <v>0.7</v>
      </c>
      <c r="G122" s="35">
        <v>10</v>
      </c>
      <c r="H122" s="59">
        <v>7</v>
      </c>
      <c r="I122" s="59">
        <v>7.3</v>
      </c>
      <c r="J122" s="35">
        <v>84</v>
      </c>
      <c r="K122" s="35" t="s">
        <v>89</v>
      </c>
      <c r="L122" s="35" t="s">
        <v>121</v>
      </c>
      <c r="M122" s="36" t="s">
        <v>88</v>
      </c>
      <c r="N122" s="36"/>
      <c r="O122" s="35">
        <v>180</v>
      </c>
      <c r="P122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292"/>
      <c r="R122" s="292"/>
      <c r="S122" s="292"/>
      <c r="T122" s="293"/>
      <c r="U122" s="37" t="s">
        <v>46</v>
      </c>
      <c r="V122" s="37" t="s">
        <v>46</v>
      </c>
      <c r="W122" s="38" t="s">
        <v>39</v>
      </c>
      <c r="X122" s="56">
        <v>168</v>
      </c>
      <c r="Y122" s="53">
        <f t="shared" si="12"/>
        <v>168</v>
      </c>
      <c r="Z122" s="39">
        <f t="shared" si="13"/>
        <v>2.6040000000000001</v>
      </c>
      <c r="AA122" s="65" t="s">
        <v>46</v>
      </c>
      <c r="AB122" s="66" t="s">
        <v>46</v>
      </c>
      <c r="AC122" s="176" t="s">
        <v>170</v>
      </c>
      <c r="AG122" s="78"/>
      <c r="AJ122" s="82" t="s">
        <v>122</v>
      </c>
      <c r="AK122" s="82">
        <v>12</v>
      </c>
      <c r="BB122" s="177" t="s">
        <v>70</v>
      </c>
      <c r="BM122" s="78">
        <f t="shared" si="14"/>
        <v>1226.3999999999999</v>
      </c>
      <c r="BN122" s="78">
        <f t="shared" si="15"/>
        <v>1226.3999999999999</v>
      </c>
      <c r="BO122" s="78">
        <f t="shared" si="16"/>
        <v>2</v>
      </c>
      <c r="BP122" s="78">
        <f t="shared" si="17"/>
        <v>2</v>
      </c>
    </row>
    <row r="123" spans="1:68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8"/>
      <c r="P123" s="294" t="s">
        <v>40</v>
      </c>
      <c r="Q123" s="295"/>
      <c r="R123" s="295"/>
      <c r="S123" s="295"/>
      <c r="T123" s="295"/>
      <c r="U123" s="295"/>
      <c r="V123" s="296"/>
      <c r="W123" s="40" t="s">
        <v>39</v>
      </c>
      <c r="X123" s="41">
        <f>IFERROR(SUM(X115:X122),"0")</f>
        <v>528</v>
      </c>
      <c r="Y123" s="41">
        <f>IFERROR(SUM(Y115:Y122),"0")</f>
        <v>528</v>
      </c>
      <c r="Z123" s="41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8.1840000000000011</v>
      </c>
      <c r="AA123" s="64"/>
      <c r="AB123" s="64"/>
      <c r="AC123" s="64"/>
    </row>
    <row r="124" spans="1:68" x14ac:dyDescent="0.2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8"/>
      <c r="P124" s="294" t="s">
        <v>40</v>
      </c>
      <c r="Q124" s="295"/>
      <c r="R124" s="295"/>
      <c r="S124" s="295"/>
      <c r="T124" s="295"/>
      <c r="U124" s="295"/>
      <c r="V124" s="296"/>
      <c r="W124" s="40" t="s">
        <v>0</v>
      </c>
      <c r="X124" s="41">
        <f>IFERROR(SUMPRODUCT(X115:X122*H115:H122),"0")</f>
        <v>3580.8</v>
      </c>
      <c r="Y124" s="41">
        <f>IFERROR(SUMPRODUCT(Y115:Y122*H115:H122),"0")</f>
        <v>3580.8</v>
      </c>
      <c r="Z124" s="40"/>
      <c r="AA124" s="64"/>
      <c r="AB124" s="64"/>
      <c r="AC124" s="64"/>
    </row>
    <row r="125" spans="1:68" ht="14.25" hidden="1" customHeight="1" x14ac:dyDescent="0.25">
      <c r="A125" s="308" t="s">
        <v>159</v>
      </c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63"/>
      <c r="AB125" s="63"/>
      <c r="AC125" s="63"/>
    </row>
    <row r="126" spans="1:68" ht="27" hidden="1" customHeight="1" x14ac:dyDescent="0.25">
      <c r="A126" s="60" t="s">
        <v>228</v>
      </c>
      <c r="B126" s="60" t="s">
        <v>229</v>
      </c>
      <c r="C126" s="34">
        <v>4301135826</v>
      </c>
      <c r="D126" s="290">
        <v>4620207490983</v>
      </c>
      <c r="E126" s="290"/>
      <c r="F126" s="59">
        <v>0.22</v>
      </c>
      <c r="G126" s="35">
        <v>12</v>
      </c>
      <c r="H126" s="59">
        <v>2.64</v>
      </c>
      <c r="I126" s="59">
        <v>3.3435999999999999</v>
      </c>
      <c r="J126" s="35">
        <v>70</v>
      </c>
      <c r="K126" s="35" t="s">
        <v>120</v>
      </c>
      <c r="L126" s="35" t="s">
        <v>90</v>
      </c>
      <c r="M126" s="36" t="s">
        <v>88</v>
      </c>
      <c r="N126" s="36"/>
      <c r="O126" s="35">
        <v>180</v>
      </c>
      <c r="P126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2"/>
      <c r="R126" s="292"/>
      <c r="S126" s="292"/>
      <c r="T126" s="293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IFERROR(IF(X126="","",X126*0.01788),"")</f>
        <v>0</v>
      </c>
      <c r="AA126" s="65" t="s">
        <v>46</v>
      </c>
      <c r="AB126" s="66" t="s">
        <v>46</v>
      </c>
      <c r="AC126" s="178" t="s">
        <v>230</v>
      </c>
      <c r="AG126" s="78"/>
      <c r="AJ126" s="82" t="s">
        <v>91</v>
      </c>
      <c r="AK126" s="82">
        <v>1</v>
      </c>
      <c r="BB126" s="179" t="s">
        <v>119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8"/>
      <c r="P127" s="294" t="s">
        <v>40</v>
      </c>
      <c r="Q127" s="295"/>
      <c r="R127" s="295"/>
      <c r="S127" s="295"/>
      <c r="T127" s="295"/>
      <c r="U127" s="295"/>
      <c r="V127" s="296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8"/>
      <c r="P128" s="294" t="s">
        <v>40</v>
      </c>
      <c r="Q128" s="295"/>
      <c r="R128" s="295"/>
      <c r="S128" s="295"/>
      <c r="T128" s="295"/>
      <c r="U128" s="295"/>
      <c r="V128" s="296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4.25" hidden="1" customHeight="1" x14ac:dyDescent="0.25">
      <c r="A129" s="308" t="s">
        <v>231</v>
      </c>
      <c r="B129" s="308"/>
      <c r="C129" s="308"/>
      <c r="D129" s="308"/>
      <c r="E129" s="308"/>
      <c r="F129" s="308"/>
      <c r="G129" s="308"/>
      <c r="H129" s="308"/>
      <c r="I129" s="308"/>
      <c r="J129" s="308"/>
      <c r="K129" s="308"/>
      <c r="L129" s="308"/>
      <c r="M129" s="308"/>
      <c r="N129" s="308"/>
      <c r="O129" s="308"/>
      <c r="P129" s="308"/>
      <c r="Q129" s="308"/>
      <c r="R129" s="308"/>
      <c r="S129" s="308"/>
      <c r="T129" s="308"/>
      <c r="U129" s="308"/>
      <c r="V129" s="308"/>
      <c r="W129" s="308"/>
      <c r="X129" s="308"/>
      <c r="Y129" s="308"/>
      <c r="Z129" s="308"/>
      <c r="AA129" s="63"/>
      <c r="AB129" s="63"/>
      <c r="AC129" s="63"/>
    </row>
    <row r="130" spans="1:68" ht="27" hidden="1" customHeight="1" x14ac:dyDescent="0.25">
      <c r="A130" s="60" t="s">
        <v>232</v>
      </c>
      <c r="B130" s="60" t="s">
        <v>233</v>
      </c>
      <c r="C130" s="34">
        <v>4301071094</v>
      </c>
      <c r="D130" s="290">
        <v>4620207491140</v>
      </c>
      <c r="E130" s="290"/>
      <c r="F130" s="59">
        <v>0.6</v>
      </c>
      <c r="G130" s="35">
        <v>10</v>
      </c>
      <c r="H130" s="59">
        <v>6</v>
      </c>
      <c r="I130" s="59">
        <v>6.28</v>
      </c>
      <c r="J130" s="35">
        <v>84</v>
      </c>
      <c r="K130" s="35" t="s">
        <v>89</v>
      </c>
      <c r="L130" s="35" t="s">
        <v>90</v>
      </c>
      <c r="M130" s="36" t="s">
        <v>88</v>
      </c>
      <c r="N130" s="36"/>
      <c r="O130" s="35">
        <v>180</v>
      </c>
      <c r="P130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2"/>
      <c r="R130" s="292"/>
      <c r="S130" s="292"/>
      <c r="T130" s="293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IFERROR(IF(X130="","",X130*0.0155),"")</f>
        <v>0</v>
      </c>
      <c r="AA130" s="65" t="s">
        <v>46</v>
      </c>
      <c r="AB130" s="66" t="s">
        <v>46</v>
      </c>
      <c r="AC130" s="180" t="s">
        <v>234</v>
      </c>
      <c r="AG130" s="78"/>
      <c r="AJ130" s="82" t="s">
        <v>91</v>
      </c>
      <c r="AK130" s="82">
        <v>1</v>
      </c>
      <c r="BB130" s="181" t="s">
        <v>119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idden="1" x14ac:dyDescent="0.2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8"/>
      <c r="P131" s="294" t="s">
        <v>40</v>
      </c>
      <c r="Q131" s="295"/>
      <c r="R131" s="295"/>
      <c r="S131" s="295"/>
      <c r="T131" s="295"/>
      <c r="U131" s="295"/>
      <c r="V131" s="296"/>
      <c r="W131" s="40" t="s">
        <v>39</v>
      </c>
      <c r="X131" s="41">
        <f>IFERROR(SUM(X130:X130),"0")</f>
        <v>0</v>
      </c>
      <c r="Y131" s="41">
        <f>IFERROR(SUM(Y130:Y130),"0")</f>
        <v>0</v>
      </c>
      <c r="Z131" s="41">
        <f>IFERROR(IF(Z130="",0,Z130),"0")</f>
        <v>0</v>
      </c>
      <c r="AA131" s="64"/>
      <c r="AB131" s="64"/>
      <c r="AC131" s="64"/>
    </row>
    <row r="132" spans="1:68" hidden="1" x14ac:dyDescent="0.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8"/>
      <c r="P132" s="294" t="s">
        <v>40</v>
      </c>
      <c r="Q132" s="295"/>
      <c r="R132" s="295"/>
      <c r="S132" s="295"/>
      <c r="T132" s="295"/>
      <c r="U132" s="295"/>
      <c r="V132" s="296"/>
      <c r="W132" s="40" t="s">
        <v>0</v>
      </c>
      <c r="X132" s="41">
        <f>IFERROR(SUMPRODUCT(X130:X130*H130:H130),"0")</f>
        <v>0</v>
      </c>
      <c r="Y132" s="41">
        <f>IFERROR(SUMPRODUCT(Y130:Y130*H130:H130),"0")</f>
        <v>0</v>
      </c>
      <c r="Z132" s="40"/>
      <c r="AA132" s="64"/>
      <c r="AB132" s="64"/>
      <c r="AC132" s="64"/>
    </row>
    <row r="133" spans="1:68" ht="16.5" hidden="1" customHeight="1" x14ac:dyDescent="0.25">
      <c r="A133" s="318" t="s">
        <v>235</v>
      </c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62"/>
      <c r="AB133" s="62"/>
      <c r="AC133" s="62"/>
    </row>
    <row r="134" spans="1:68" ht="14.25" hidden="1" customHeight="1" x14ac:dyDescent="0.25">
      <c r="A134" s="308" t="s">
        <v>159</v>
      </c>
      <c r="B134" s="308"/>
      <c r="C134" s="308"/>
      <c r="D134" s="308"/>
      <c r="E134" s="308"/>
      <c r="F134" s="308"/>
      <c r="G134" s="308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  <c r="T134" s="308"/>
      <c r="U134" s="308"/>
      <c r="V134" s="308"/>
      <c r="W134" s="308"/>
      <c r="X134" s="308"/>
      <c r="Y134" s="308"/>
      <c r="Z134" s="308"/>
      <c r="AA134" s="63"/>
      <c r="AB134" s="63"/>
      <c r="AC134" s="63"/>
    </row>
    <row r="135" spans="1:68" ht="27" hidden="1" customHeight="1" x14ac:dyDescent="0.25">
      <c r="A135" s="60" t="s">
        <v>236</v>
      </c>
      <c r="B135" s="60" t="s">
        <v>237</v>
      </c>
      <c r="C135" s="34">
        <v>4301135850</v>
      </c>
      <c r="D135" s="290">
        <v>4620207491492</v>
      </c>
      <c r="E135" s="290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120</v>
      </c>
      <c r="L135" s="35" t="s">
        <v>90</v>
      </c>
      <c r="M135" s="36" t="s">
        <v>88</v>
      </c>
      <c r="N135" s="36"/>
      <c r="O135" s="35">
        <v>180</v>
      </c>
      <c r="P135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2"/>
      <c r="R135" s="292"/>
      <c r="S135" s="292"/>
      <c r="T135" s="293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238</v>
      </c>
      <c r="AG135" s="78"/>
      <c r="AJ135" s="82" t="s">
        <v>91</v>
      </c>
      <c r="AK135" s="82">
        <v>1</v>
      </c>
      <c r="BB135" s="183" t="s">
        <v>119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239</v>
      </c>
      <c r="B136" s="60" t="s">
        <v>240</v>
      </c>
      <c r="C136" s="34">
        <v>4301190118</v>
      </c>
      <c r="D136" s="290">
        <v>4620207491461</v>
      </c>
      <c r="E136" s="290"/>
      <c r="F136" s="59">
        <v>0.22</v>
      </c>
      <c r="G136" s="35">
        <v>6</v>
      </c>
      <c r="H136" s="59">
        <v>1.32</v>
      </c>
      <c r="I136" s="59">
        <v>1.74</v>
      </c>
      <c r="J136" s="35">
        <v>140</v>
      </c>
      <c r="K136" s="35" t="s">
        <v>120</v>
      </c>
      <c r="L136" s="35" t="s">
        <v>90</v>
      </c>
      <c r="M136" s="36" t="s">
        <v>88</v>
      </c>
      <c r="N136" s="36"/>
      <c r="O136" s="35">
        <v>180</v>
      </c>
      <c r="P136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2"/>
      <c r="R136" s="292"/>
      <c r="S136" s="292"/>
      <c r="T136" s="293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238</v>
      </c>
      <c r="AG136" s="78"/>
      <c r="AJ136" s="82" t="s">
        <v>91</v>
      </c>
      <c r="AK136" s="82">
        <v>1</v>
      </c>
      <c r="BB136" s="185" t="s">
        <v>119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241</v>
      </c>
      <c r="B137" s="60" t="s">
        <v>242</v>
      </c>
      <c r="C137" s="34">
        <v>4301135865</v>
      </c>
      <c r="D137" s="290">
        <v>4620207491485</v>
      </c>
      <c r="E137" s="290"/>
      <c r="F137" s="59">
        <v>0.23</v>
      </c>
      <c r="G137" s="35">
        <v>6</v>
      </c>
      <c r="H137" s="59">
        <v>1.38</v>
      </c>
      <c r="I137" s="59">
        <v>1.8</v>
      </c>
      <c r="J137" s="35">
        <v>140</v>
      </c>
      <c r="K137" s="35" t="s">
        <v>120</v>
      </c>
      <c r="L137" s="35" t="s">
        <v>90</v>
      </c>
      <c r="M137" s="36" t="s">
        <v>88</v>
      </c>
      <c r="N137" s="36"/>
      <c r="O137" s="35">
        <v>180</v>
      </c>
      <c r="P137" s="3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2"/>
      <c r="R137" s="292"/>
      <c r="S137" s="292"/>
      <c r="T137" s="293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238</v>
      </c>
      <c r="AG137" s="78"/>
      <c r="AJ137" s="82" t="s">
        <v>91</v>
      </c>
      <c r="AK137" s="82">
        <v>1</v>
      </c>
      <c r="BB137" s="187" t="s">
        <v>119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8"/>
      <c r="P138" s="294" t="s">
        <v>40</v>
      </c>
      <c r="Q138" s="295"/>
      <c r="R138" s="295"/>
      <c r="S138" s="295"/>
      <c r="T138" s="295"/>
      <c r="U138" s="295"/>
      <c r="V138" s="296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8"/>
      <c r="P139" s="294" t="s">
        <v>40</v>
      </c>
      <c r="Q139" s="295"/>
      <c r="R139" s="295"/>
      <c r="S139" s="295"/>
      <c r="T139" s="295"/>
      <c r="U139" s="295"/>
      <c r="V139" s="296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4.25" hidden="1" customHeight="1" x14ac:dyDescent="0.25">
      <c r="A140" s="308" t="s">
        <v>243</v>
      </c>
      <c r="B140" s="308"/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  <c r="R140" s="308"/>
      <c r="S140" s="308"/>
      <c r="T140" s="308"/>
      <c r="U140" s="308"/>
      <c r="V140" s="308"/>
      <c r="W140" s="308"/>
      <c r="X140" s="308"/>
      <c r="Y140" s="308"/>
      <c r="Z140" s="308"/>
      <c r="AA140" s="63"/>
      <c r="AB140" s="63"/>
      <c r="AC140" s="63"/>
    </row>
    <row r="141" spans="1:68" ht="27" hidden="1" customHeight="1" x14ac:dyDescent="0.25">
      <c r="A141" s="60" t="s">
        <v>244</v>
      </c>
      <c r="B141" s="60" t="s">
        <v>245</v>
      </c>
      <c r="C141" s="34">
        <v>4301190117</v>
      </c>
      <c r="D141" s="290">
        <v>4620207491386</v>
      </c>
      <c r="E141" s="290"/>
      <c r="F141" s="59">
        <v>0.18</v>
      </c>
      <c r="G141" s="35">
        <v>6</v>
      </c>
      <c r="H141" s="59">
        <v>1.08</v>
      </c>
      <c r="I141" s="59">
        <v>1.3979999999999999</v>
      </c>
      <c r="J141" s="35">
        <v>140</v>
      </c>
      <c r="K141" s="35" t="s">
        <v>120</v>
      </c>
      <c r="L141" s="35" t="s">
        <v>90</v>
      </c>
      <c r="M141" s="36" t="s">
        <v>88</v>
      </c>
      <c r="N141" s="36"/>
      <c r="O141" s="35">
        <v>180</v>
      </c>
      <c r="P141" s="35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2"/>
      <c r="R141" s="292"/>
      <c r="S141" s="292"/>
      <c r="T141" s="293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8" t="s">
        <v>246</v>
      </c>
      <c r="AG141" s="78"/>
      <c r="AJ141" s="82" t="s">
        <v>91</v>
      </c>
      <c r="AK141" s="82">
        <v>1</v>
      </c>
      <c r="BB141" s="189" t="s">
        <v>119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hidden="1" customHeight="1" x14ac:dyDescent="0.25">
      <c r="A142" s="60" t="s">
        <v>247</v>
      </c>
      <c r="B142" s="60" t="s">
        <v>248</v>
      </c>
      <c r="C142" s="34">
        <v>4301190115</v>
      </c>
      <c r="D142" s="290">
        <v>4620207491362</v>
      </c>
      <c r="E142" s="290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120</v>
      </c>
      <c r="L142" s="35" t="s">
        <v>90</v>
      </c>
      <c r="M142" s="36" t="s">
        <v>88</v>
      </c>
      <c r="N142" s="36"/>
      <c r="O142" s="35">
        <v>180</v>
      </c>
      <c r="P142" s="35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2"/>
      <c r="R142" s="292"/>
      <c r="S142" s="292"/>
      <c r="T142" s="293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246</v>
      </c>
      <c r="AG142" s="78"/>
      <c r="AJ142" s="82" t="s">
        <v>91</v>
      </c>
      <c r="AK142" s="82">
        <v>1</v>
      </c>
      <c r="BB142" s="191" t="s">
        <v>119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249</v>
      </c>
      <c r="B143" s="60" t="s">
        <v>250</v>
      </c>
      <c r="C143" s="34">
        <v>4301190116</v>
      </c>
      <c r="D143" s="290">
        <v>4620207491379</v>
      </c>
      <c r="E143" s="290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120</v>
      </c>
      <c r="L143" s="35" t="s">
        <v>90</v>
      </c>
      <c r="M143" s="36" t="s">
        <v>88</v>
      </c>
      <c r="N143" s="36"/>
      <c r="O143" s="35">
        <v>180</v>
      </c>
      <c r="P143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2"/>
      <c r="R143" s="292"/>
      <c r="S143" s="292"/>
      <c r="T143" s="293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246</v>
      </c>
      <c r="AG143" s="78"/>
      <c r="AJ143" s="82" t="s">
        <v>91</v>
      </c>
      <c r="AK143" s="82">
        <v>1</v>
      </c>
      <c r="BB143" s="193" t="s">
        <v>119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idden="1" x14ac:dyDescent="0.2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8"/>
      <c r="P144" s="294" t="s">
        <v>40</v>
      </c>
      <c r="Q144" s="295"/>
      <c r="R144" s="295"/>
      <c r="S144" s="295"/>
      <c r="T144" s="295"/>
      <c r="U144" s="295"/>
      <c r="V144" s="296"/>
      <c r="W144" s="40" t="s">
        <v>39</v>
      </c>
      <c r="X144" s="41">
        <f>IFERROR(SUM(X141:X143),"0")</f>
        <v>0</v>
      </c>
      <c r="Y144" s="41">
        <f>IFERROR(SUM(Y141:Y143),"0")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8"/>
      <c r="P145" s="294" t="s">
        <v>40</v>
      </c>
      <c r="Q145" s="295"/>
      <c r="R145" s="295"/>
      <c r="S145" s="295"/>
      <c r="T145" s="295"/>
      <c r="U145" s="295"/>
      <c r="V145" s="296"/>
      <c r="W145" s="40" t="s">
        <v>0</v>
      </c>
      <c r="X145" s="41">
        <f>IFERROR(SUMPRODUCT(X141:X143*H141:H143),"0")</f>
        <v>0</v>
      </c>
      <c r="Y145" s="41">
        <f>IFERROR(SUMPRODUCT(Y141:Y143*H141:H143),"0")</f>
        <v>0</v>
      </c>
      <c r="Z145" s="40"/>
      <c r="AA145" s="64"/>
      <c r="AB145" s="64"/>
      <c r="AC145" s="64"/>
    </row>
    <row r="146" spans="1:68" ht="16.5" hidden="1" customHeight="1" x14ac:dyDescent="0.25">
      <c r="A146" s="318" t="s">
        <v>251</v>
      </c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62"/>
      <c r="AB146" s="62"/>
      <c r="AC146" s="62"/>
    </row>
    <row r="147" spans="1:68" ht="14.25" hidden="1" customHeight="1" x14ac:dyDescent="0.25">
      <c r="A147" s="308" t="s">
        <v>159</v>
      </c>
      <c r="B147" s="308"/>
      <c r="C147" s="308"/>
      <c r="D147" s="308"/>
      <c r="E147" s="308"/>
      <c r="F147" s="308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  <c r="T147" s="308"/>
      <c r="U147" s="308"/>
      <c r="V147" s="308"/>
      <c r="W147" s="308"/>
      <c r="X147" s="308"/>
      <c r="Y147" s="308"/>
      <c r="Z147" s="308"/>
      <c r="AA147" s="63"/>
      <c r="AB147" s="63"/>
      <c r="AC147" s="63"/>
    </row>
    <row r="148" spans="1:68" ht="27" customHeight="1" x14ac:dyDescent="0.25">
      <c r="A148" s="60" t="s">
        <v>252</v>
      </c>
      <c r="B148" s="60" t="s">
        <v>253</v>
      </c>
      <c r="C148" s="34">
        <v>4301135555</v>
      </c>
      <c r="D148" s="290">
        <v>4607111034014</v>
      </c>
      <c r="E148" s="290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120</v>
      </c>
      <c r="L148" s="35" t="s">
        <v>121</v>
      </c>
      <c r="M148" s="36" t="s">
        <v>88</v>
      </c>
      <c r="N148" s="36"/>
      <c r="O148" s="35">
        <v>180</v>
      </c>
      <c r="P148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2"/>
      <c r="R148" s="292"/>
      <c r="S148" s="292"/>
      <c r="T148" s="293"/>
      <c r="U148" s="37" t="s">
        <v>46</v>
      </c>
      <c r="V148" s="37" t="s">
        <v>46</v>
      </c>
      <c r="W148" s="38" t="s">
        <v>39</v>
      </c>
      <c r="X148" s="56">
        <v>154</v>
      </c>
      <c r="Y148" s="53">
        <f>IFERROR(IF(X148="","",X148),"")</f>
        <v>154</v>
      </c>
      <c r="Z148" s="39">
        <f>IFERROR(IF(X148="","",X148*0.01788),"")</f>
        <v>2.75352</v>
      </c>
      <c r="AA148" s="65" t="s">
        <v>46</v>
      </c>
      <c r="AB148" s="66" t="s">
        <v>46</v>
      </c>
      <c r="AC148" s="194" t="s">
        <v>254</v>
      </c>
      <c r="AG148" s="78"/>
      <c r="AJ148" s="82" t="s">
        <v>122</v>
      </c>
      <c r="AK148" s="82">
        <v>14</v>
      </c>
      <c r="BB148" s="195" t="s">
        <v>119</v>
      </c>
      <c r="BM148" s="78">
        <f>IFERROR(X148*I148,"0")</f>
        <v>570.35439999999994</v>
      </c>
      <c r="BN148" s="78">
        <f>IFERROR(Y148*I148,"0")</f>
        <v>570.35439999999994</v>
      </c>
      <c r="BO148" s="78">
        <f>IFERROR(X148/J148,"0")</f>
        <v>2.2000000000000002</v>
      </c>
      <c r="BP148" s="78">
        <f>IFERROR(Y148/J148,"0")</f>
        <v>2.2000000000000002</v>
      </c>
    </row>
    <row r="149" spans="1:68" ht="27" customHeight="1" x14ac:dyDescent="0.25">
      <c r="A149" s="60" t="s">
        <v>255</v>
      </c>
      <c r="B149" s="60" t="s">
        <v>256</v>
      </c>
      <c r="C149" s="34">
        <v>4301135532</v>
      </c>
      <c r="D149" s="290">
        <v>4607111033994</v>
      </c>
      <c r="E149" s="290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120</v>
      </c>
      <c r="L149" s="35" t="s">
        <v>121</v>
      </c>
      <c r="M149" s="36" t="s">
        <v>88</v>
      </c>
      <c r="N149" s="36"/>
      <c r="O149" s="35">
        <v>180</v>
      </c>
      <c r="P149" s="3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2"/>
      <c r="R149" s="292"/>
      <c r="S149" s="292"/>
      <c r="T149" s="293"/>
      <c r="U149" s="37" t="s">
        <v>46</v>
      </c>
      <c r="V149" s="37" t="s">
        <v>46</v>
      </c>
      <c r="W149" s="38" t="s">
        <v>39</v>
      </c>
      <c r="X149" s="56">
        <v>154</v>
      </c>
      <c r="Y149" s="53">
        <f>IFERROR(IF(X149="","",X149),"")</f>
        <v>154</v>
      </c>
      <c r="Z149" s="39">
        <f>IFERROR(IF(X149="","",X149*0.01788),"")</f>
        <v>2.75352</v>
      </c>
      <c r="AA149" s="65" t="s">
        <v>46</v>
      </c>
      <c r="AB149" s="66" t="s">
        <v>46</v>
      </c>
      <c r="AC149" s="196" t="s">
        <v>177</v>
      </c>
      <c r="AG149" s="78"/>
      <c r="AJ149" s="82" t="s">
        <v>122</v>
      </c>
      <c r="AK149" s="82">
        <v>14</v>
      </c>
      <c r="BB149" s="197" t="s">
        <v>119</v>
      </c>
      <c r="BM149" s="78">
        <f>IFERROR(X149*I149,"0")</f>
        <v>570.35439999999994</v>
      </c>
      <c r="BN149" s="78">
        <f>IFERROR(Y149*I149,"0")</f>
        <v>570.35439999999994</v>
      </c>
      <c r="BO149" s="78">
        <f>IFERROR(X149/J149,"0")</f>
        <v>2.2000000000000002</v>
      </c>
      <c r="BP149" s="78">
        <f>IFERROR(Y149/J149,"0")</f>
        <v>2.2000000000000002</v>
      </c>
    </row>
    <row r="150" spans="1:68" x14ac:dyDescent="0.2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8"/>
      <c r="P150" s="294" t="s">
        <v>40</v>
      </c>
      <c r="Q150" s="295"/>
      <c r="R150" s="295"/>
      <c r="S150" s="295"/>
      <c r="T150" s="295"/>
      <c r="U150" s="295"/>
      <c r="V150" s="296"/>
      <c r="W150" s="40" t="s">
        <v>39</v>
      </c>
      <c r="X150" s="41">
        <f>IFERROR(SUM(X148:X149),"0")</f>
        <v>308</v>
      </c>
      <c r="Y150" s="41">
        <f>IFERROR(SUM(Y148:Y149),"0")</f>
        <v>308</v>
      </c>
      <c r="Z150" s="41">
        <f>IFERROR(IF(Z148="",0,Z148),"0")+IFERROR(IF(Z149="",0,Z149),"0")</f>
        <v>5.5070399999999999</v>
      </c>
      <c r="AA150" s="64"/>
      <c r="AB150" s="64"/>
      <c r="AC150" s="64"/>
    </row>
    <row r="151" spans="1:68" x14ac:dyDescent="0.2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8"/>
      <c r="P151" s="294" t="s">
        <v>40</v>
      </c>
      <c r="Q151" s="295"/>
      <c r="R151" s="295"/>
      <c r="S151" s="295"/>
      <c r="T151" s="295"/>
      <c r="U151" s="295"/>
      <c r="V151" s="296"/>
      <c r="W151" s="40" t="s">
        <v>0</v>
      </c>
      <c r="X151" s="41">
        <f>IFERROR(SUMPRODUCT(X148:X149*H148:H149),"0")</f>
        <v>924</v>
      </c>
      <c r="Y151" s="41">
        <f>IFERROR(SUMPRODUCT(Y148:Y149*H148:H149),"0")</f>
        <v>924</v>
      </c>
      <c r="Z151" s="40"/>
      <c r="AA151" s="64"/>
      <c r="AB151" s="64"/>
      <c r="AC151" s="64"/>
    </row>
    <row r="152" spans="1:68" ht="16.5" hidden="1" customHeight="1" x14ac:dyDescent="0.25">
      <c r="A152" s="318" t="s">
        <v>257</v>
      </c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62"/>
      <c r="AB152" s="62"/>
      <c r="AC152" s="62"/>
    </row>
    <row r="153" spans="1:68" ht="14.25" hidden="1" customHeight="1" x14ac:dyDescent="0.25">
      <c r="A153" s="308" t="s">
        <v>159</v>
      </c>
      <c r="B153" s="308"/>
      <c r="C153" s="308"/>
      <c r="D153" s="308"/>
      <c r="E153" s="308"/>
      <c r="F153" s="308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  <c r="R153" s="308"/>
      <c r="S153" s="308"/>
      <c r="T153" s="308"/>
      <c r="U153" s="308"/>
      <c r="V153" s="308"/>
      <c r="W153" s="308"/>
      <c r="X153" s="308"/>
      <c r="Y153" s="308"/>
      <c r="Z153" s="308"/>
      <c r="AA153" s="63"/>
      <c r="AB153" s="63"/>
      <c r="AC153" s="63"/>
    </row>
    <row r="154" spans="1:68" ht="27" hidden="1" customHeight="1" x14ac:dyDescent="0.25">
      <c r="A154" s="60" t="s">
        <v>258</v>
      </c>
      <c r="B154" s="60" t="s">
        <v>259</v>
      </c>
      <c r="C154" s="34">
        <v>4301135824</v>
      </c>
      <c r="D154" s="290">
        <v>4607111039095</v>
      </c>
      <c r="E154" s="290"/>
      <c r="F154" s="59">
        <v>0.25</v>
      </c>
      <c r="G154" s="35">
        <v>12</v>
      </c>
      <c r="H154" s="59">
        <v>3</v>
      </c>
      <c r="I154" s="59">
        <v>3.7480000000000002</v>
      </c>
      <c r="J154" s="35">
        <v>70</v>
      </c>
      <c r="K154" s="35" t="s">
        <v>120</v>
      </c>
      <c r="L154" s="35" t="s">
        <v>90</v>
      </c>
      <c r="M154" s="36" t="s">
        <v>88</v>
      </c>
      <c r="N154" s="36"/>
      <c r="O154" s="35">
        <v>180</v>
      </c>
      <c r="P154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2"/>
      <c r="R154" s="292"/>
      <c r="S154" s="292"/>
      <c r="T154" s="293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8" t="s">
        <v>260</v>
      </c>
      <c r="AG154" s="78"/>
      <c r="AJ154" s="82" t="s">
        <v>91</v>
      </c>
      <c r="AK154" s="82">
        <v>1</v>
      </c>
      <c r="BB154" s="199" t="s">
        <v>119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16.5" customHeight="1" x14ac:dyDescent="0.25">
      <c r="A155" s="60" t="s">
        <v>261</v>
      </c>
      <c r="B155" s="60" t="s">
        <v>262</v>
      </c>
      <c r="C155" s="34">
        <v>4301135550</v>
      </c>
      <c r="D155" s="290">
        <v>4607111034199</v>
      </c>
      <c r="E155" s="290"/>
      <c r="F155" s="59">
        <v>0.25</v>
      </c>
      <c r="G155" s="35">
        <v>12</v>
      </c>
      <c r="H155" s="59">
        <v>3</v>
      </c>
      <c r="I155" s="59">
        <v>3.7035999999999998</v>
      </c>
      <c r="J155" s="35">
        <v>70</v>
      </c>
      <c r="K155" s="35" t="s">
        <v>120</v>
      </c>
      <c r="L155" s="35" t="s">
        <v>121</v>
      </c>
      <c r="M155" s="36" t="s">
        <v>88</v>
      </c>
      <c r="N155" s="36"/>
      <c r="O155" s="35">
        <v>180</v>
      </c>
      <c r="P155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2"/>
      <c r="R155" s="292"/>
      <c r="S155" s="292"/>
      <c r="T155" s="293"/>
      <c r="U155" s="37" t="s">
        <v>46</v>
      </c>
      <c r="V155" s="37" t="s">
        <v>46</v>
      </c>
      <c r="W155" s="38" t="s">
        <v>39</v>
      </c>
      <c r="X155" s="56">
        <v>140</v>
      </c>
      <c r="Y155" s="53">
        <f>IFERROR(IF(X155="","",X155),"")</f>
        <v>140</v>
      </c>
      <c r="Z155" s="39">
        <f>IFERROR(IF(X155="","",X155*0.01788),"")</f>
        <v>2.5032000000000001</v>
      </c>
      <c r="AA155" s="65" t="s">
        <v>46</v>
      </c>
      <c r="AB155" s="66" t="s">
        <v>46</v>
      </c>
      <c r="AC155" s="200" t="s">
        <v>263</v>
      </c>
      <c r="AG155" s="78"/>
      <c r="AJ155" s="82" t="s">
        <v>122</v>
      </c>
      <c r="AK155" s="82">
        <v>14</v>
      </c>
      <c r="BB155" s="201" t="s">
        <v>119</v>
      </c>
      <c r="BM155" s="78">
        <f>IFERROR(X155*I155,"0")</f>
        <v>518.50400000000002</v>
      </c>
      <c r="BN155" s="78">
        <f>IFERROR(Y155*I155,"0")</f>
        <v>518.50400000000002</v>
      </c>
      <c r="BO155" s="78">
        <f>IFERROR(X155/J155,"0")</f>
        <v>2</v>
      </c>
      <c r="BP155" s="78">
        <f>IFERROR(Y155/J155,"0")</f>
        <v>2</v>
      </c>
    </row>
    <row r="156" spans="1:68" x14ac:dyDescent="0.2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8"/>
      <c r="P156" s="294" t="s">
        <v>40</v>
      </c>
      <c r="Q156" s="295"/>
      <c r="R156" s="295"/>
      <c r="S156" s="295"/>
      <c r="T156" s="295"/>
      <c r="U156" s="295"/>
      <c r="V156" s="296"/>
      <c r="W156" s="40" t="s">
        <v>39</v>
      </c>
      <c r="X156" s="41">
        <f>IFERROR(SUM(X154:X155),"0")</f>
        <v>140</v>
      </c>
      <c r="Y156" s="41">
        <f>IFERROR(SUM(Y154:Y155),"0")</f>
        <v>140</v>
      </c>
      <c r="Z156" s="41">
        <f>IFERROR(IF(Z154="",0,Z154),"0")+IFERROR(IF(Z155="",0,Z155),"0")</f>
        <v>2.5032000000000001</v>
      </c>
      <c r="AA156" s="64"/>
      <c r="AB156" s="64"/>
      <c r="AC156" s="64"/>
    </row>
    <row r="157" spans="1:68" x14ac:dyDescent="0.2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8"/>
      <c r="P157" s="294" t="s">
        <v>40</v>
      </c>
      <c r="Q157" s="295"/>
      <c r="R157" s="295"/>
      <c r="S157" s="295"/>
      <c r="T157" s="295"/>
      <c r="U157" s="295"/>
      <c r="V157" s="296"/>
      <c r="W157" s="40" t="s">
        <v>0</v>
      </c>
      <c r="X157" s="41">
        <f>IFERROR(SUMPRODUCT(X154:X155*H154:H155),"0")</f>
        <v>420</v>
      </c>
      <c r="Y157" s="41">
        <f>IFERROR(SUMPRODUCT(Y154:Y155*H154:H155),"0")</f>
        <v>420</v>
      </c>
      <c r="Z157" s="40"/>
      <c r="AA157" s="64"/>
      <c r="AB157" s="64"/>
      <c r="AC157" s="64"/>
    </row>
    <row r="158" spans="1:68" ht="16.5" hidden="1" customHeight="1" x14ac:dyDescent="0.25">
      <c r="A158" s="318" t="s">
        <v>264</v>
      </c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62"/>
      <c r="AB158" s="62"/>
      <c r="AC158" s="62"/>
    </row>
    <row r="159" spans="1:68" ht="14.25" hidden="1" customHeight="1" x14ac:dyDescent="0.25">
      <c r="A159" s="308" t="s">
        <v>159</v>
      </c>
      <c r="B159" s="308"/>
      <c r="C159" s="308"/>
      <c r="D159" s="308"/>
      <c r="E159" s="308"/>
      <c r="F159" s="308"/>
      <c r="G159" s="308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  <c r="AA159" s="63"/>
      <c r="AB159" s="63"/>
      <c r="AC159" s="63"/>
    </row>
    <row r="160" spans="1:68" ht="27" customHeight="1" x14ac:dyDescent="0.25">
      <c r="A160" s="60" t="s">
        <v>265</v>
      </c>
      <c r="B160" s="60" t="s">
        <v>266</v>
      </c>
      <c r="C160" s="34">
        <v>4301135753</v>
      </c>
      <c r="D160" s="290">
        <v>4620207490914</v>
      </c>
      <c r="E160" s="290"/>
      <c r="F160" s="59">
        <v>0.2</v>
      </c>
      <c r="G160" s="35">
        <v>12</v>
      </c>
      <c r="H160" s="59">
        <v>2.4</v>
      </c>
      <c r="I160" s="59">
        <v>2.68</v>
      </c>
      <c r="J160" s="35">
        <v>70</v>
      </c>
      <c r="K160" s="35" t="s">
        <v>120</v>
      </c>
      <c r="L160" s="35" t="s">
        <v>121</v>
      </c>
      <c r="M160" s="36" t="s">
        <v>88</v>
      </c>
      <c r="N160" s="36"/>
      <c r="O160" s="35">
        <v>180</v>
      </c>
      <c r="P160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2"/>
      <c r="R160" s="292"/>
      <c r="S160" s="292"/>
      <c r="T160" s="293"/>
      <c r="U160" s="37" t="s">
        <v>46</v>
      </c>
      <c r="V160" s="37" t="s">
        <v>46</v>
      </c>
      <c r="W160" s="38" t="s">
        <v>39</v>
      </c>
      <c r="X160" s="56">
        <v>98</v>
      </c>
      <c r="Y160" s="53">
        <f>IFERROR(IF(X160="","",X160),"")</f>
        <v>98</v>
      </c>
      <c r="Z160" s="39">
        <f>IFERROR(IF(X160="","",X160*0.01788),"")</f>
        <v>1.75224</v>
      </c>
      <c r="AA160" s="65" t="s">
        <v>46</v>
      </c>
      <c r="AB160" s="66" t="s">
        <v>46</v>
      </c>
      <c r="AC160" s="202" t="s">
        <v>254</v>
      </c>
      <c r="AG160" s="78"/>
      <c r="AJ160" s="82" t="s">
        <v>122</v>
      </c>
      <c r="AK160" s="82">
        <v>14</v>
      </c>
      <c r="BB160" s="203" t="s">
        <v>119</v>
      </c>
      <c r="BM160" s="78">
        <f>IFERROR(X160*I160,"0")</f>
        <v>262.64000000000004</v>
      </c>
      <c r="BN160" s="78">
        <f>IFERROR(Y160*I160,"0")</f>
        <v>262.64000000000004</v>
      </c>
      <c r="BO160" s="78">
        <f>IFERROR(X160/J160,"0")</f>
        <v>1.4</v>
      </c>
      <c r="BP160" s="78">
        <f>IFERROR(Y160/J160,"0")</f>
        <v>1.4</v>
      </c>
    </row>
    <row r="161" spans="1:68" ht="27" hidden="1" customHeight="1" x14ac:dyDescent="0.25">
      <c r="A161" s="60" t="s">
        <v>267</v>
      </c>
      <c r="B161" s="60" t="s">
        <v>268</v>
      </c>
      <c r="C161" s="34">
        <v>4301135778</v>
      </c>
      <c r="D161" s="290">
        <v>4620207490853</v>
      </c>
      <c r="E161" s="290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120</v>
      </c>
      <c r="L161" s="35" t="s">
        <v>121</v>
      </c>
      <c r="M161" s="36" t="s">
        <v>88</v>
      </c>
      <c r="N161" s="36"/>
      <c r="O161" s="35">
        <v>180</v>
      </c>
      <c r="P161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2"/>
      <c r="R161" s="292"/>
      <c r="S161" s="292"/>
      <c r="T161" s="293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4" t="s">
        <v>254</v>
      </c>
      <c r="AG161" s="78"/>
      <c r="AJ161" s="82" t="s">
        <v>122</v>
      </c>
      <c r="AK161" s="82">
        <v>14</v>
      </c>
      <c r="BB161" s="205" t="s">
        <v>119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x14ac:dyDescent="0.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8"/>
      <c r="P162" s="294" t="s">
        <v>40</v>
      </c>
      <c r="Q162" s="295"/>
      <c r="R162" s="295"/>
      <c r="S162" s="295"/>
      <c r="T162" s="295"/>
      <c r="U162" s="295"/>
      <c r="V162" s="296"/>
      <c r="W162" s="40" t="s">
        <v>39</v>
      </c>
      <c r="X162" s="41">
        <f>IFERROR(SUM(X160:X161),"0")</f>
        <v>98</v>
      </c>
      <c r="Y162" s="41">
        <f>IFERROR(SUM(Y160:Y161),"0")</f>
        <v>98</v>
      </c>
      <c r="Z162" s="41">
        <f>IFERROR(IF(Z160="",0,Z160),"0")+IFERROR(IF(Z161="",0,Z161),"0")</f>
        <v>1.75224</v>
      </c>
      <c r="AA162" s="64"/>
      <c r="AB162" s="64"/>
      <c r="AC162" s="64"/>
    </row>
    <row r="163" spans="1:68" x14ac:dyDescent="0.2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8"/>
      <c r="P163" s="294" t="s">
        <v>40</v>
      </c>
      <c r="Q163" s="295"/>
      <c r="R163" s="295"/>
      <c r="S163" s="295"/>
      <c r="T163" s="295"/>
      <c r="U163" s="295"/>
      <c r="V163" s="296"/>
      <c r="W163" s="40" t="s">
        <v>0</v>
      </c>
      <c r="X163" s="41">
        <f>IFERROR(SUMPRODUCT(X160:X161*H160:H161),"0")</f>
        <v>235.2</v>
      </c>
      <c r="Y163" s="41">
        <f>IFERROR(SUMPRODUCT(Y160:Y161*H160:H161),"0")</f>
        <v>235.2</v>
      </c>
      <c r="Z163" s="40"/>
      <c r="AA163" s="64"/>
      <c r="AB163" s="64"/>
      <c r="AC163" s="64"/>
    </row>
    <row r="164" spans="1:68" ht="16.5" hidden="1" customHeight="1" x14ac:dyDescent="0.25">
      <c r="A164" s="318" t="s">
        <v>269</v>
      </c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62"/>
      <c r="AB164" s="62"/>
      <c r="AC164" s="62"/>
    </row>
    <row r="165" spans="1:68" ht="14.25" hidden="1" customHeight="1" x14ac:dyDescent="0.25">
      <c r="A165" s="308" t="s">
        <v>159</v>
      </c>
      <c r="B165" s="308"/>
      <c r="C165" s="308"/>
      <c r="D165" s="308"/>
      <c r="E165" s="308"/>
      <c r="F165" s="308"/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  <c r="AA165" s="63"/>
      <c r="AB165" s="63"/>
      <c r="AC165" s="63"/>
    </row>
    <row r="166" spans="1:68" ht="27" customHeight="1" x14ac:dyDescent="0.25">
      <c r="A166" s="60" t="s">
        <v>270</v>
      </c>
      <c r="B166" s="60" t="s">
        <v>271</v>
      </c>
      <c r="C166" s="34">
        <v>4301135570</v>
      </c>
      <c r="D166" s="290">
        <v>4607111035806</v>
      </c>
      <c r="E166" s="290"/>
      <c r="F166" s="59">
        <v>0.25</v>
      </c>
      <c r="G166" s="35">
        <v>12</v>
      </c>
      <c r="H166" s="59">
        <v>3</v>
      </c>
      <c r="I166" s="59">
        <v>3.7035999999999998</v>
      </c>
      <c r="J166" s="35">
        <v>70</v>
      </c>
      <c r="K166" s="35" t="s">
        <v>120</v>
      </c>
      <c r="L166" s="35" t="s">
        <v>121</v>
      </c>
      <c r="M166" s="36" t="s">
        <v>88</v>
      </c>
      <c r="N166" s="36"/>
      <c r="O166" s="35">
        <v>180</v>
      </c>
      <c r="P166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2"/>
      <c r="R166" s="292"/>
      <c r="S166" s="292"/>
      <c r="T166" s="293"/>
      <c r="U166" s="37" t="s">
        <v>46</v>
      </c>
      <c r="V166" s="37" t="s">
        <v>46</v>
      </c>
      <c r="W166" s="38" t="s">
        <v>39</v>
      </c>
      <c r="X166" s="56">
        <v>84</v>
      </c>
      <c r="Y166" s="53">
        <f>IFERROR(IF(X166="","",X166),"")</f>
        <v>84</v>
      </c>
      <c r="Z166" s="39">
        <f>IFERROR(IF(X166="","",X166*0.01788),"")</f>
        <v>1.5019199999999999</v>
      </c>
      <c r="AA166" s="65" t="s">
        <v>46</v>
      </c>
      <c r="AB166" s="66" t="s">
        <v>46</v>
      </c>
      <c r="AC166" s="206" t="s">
        <v>272</v>
      </c>
      <c r="AG166" s="78"/>
      <c r="AJ166" s="82" t="s">
        <v>122</v>
      </c>
      <c r="AK166" s="82">
        <v>14</v>
      </c>
      <c r="BB166" s="207" t="s">
        <v>119</v>
      </c>
      <c r="BM166" s="78">
        <f>IFERROR(X166*I166,"0")</f>
        <v>311.10239999999999</v>
      </c>
      <c r="BN166" s="78">
        <f>IFERROR(Y166*I166,"0")</f>
        <v>311.10239999999999</v>
      </c>
      <c r="BO166" s="78">
        <f>IFERROR(X166/J166,"0")</f>
        <v>1.2</v>
      </c>
      <c r="BP166" s="78">
        <f>IFERROR(Y166/J166,"0")</f>
        <v>1.2</v>
      </c>
    </row>
    <row r="167" spans="1:68" x14ac:dyDescent="0.2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8"/>
      <c r="P167" s="294" t="s">
        <v>40</v>
      </c>
      <c r="Q167" s="295"/>
      <c r="R167" s="295"/>
      <c r="S167" s="295"/>
      <c r="T167" s="295"/>
      <c r="U167" s="295"/>
      <c r="V167" s="296"/>
      <c r="W167" s="40" t="s">
        <v>39</v>
      </c>
      <c r="X167" s="41">
        <f>IFERROR(SUM(X166:X166),"0")</f>
        <v>84</v>
      </c>
      <c r="Y167" s="41">
        <f>IFERROR(SUM(Y166:Y166),"0")</f>
        <v>84</v>
      </c>
      <c r="Z167" s="41">
        <f>IFERROR(IF(Z166="",0,Z166),"0")</f>
        <v>1.5019199999999999</v>
      </c>
      <c r="AA167" s="64"/>
      <c r="AB167" s="64"/>
      <c r="AC167" s="64"/>
    </row>
    <row r="168" spans="1:68" x14ac:dyDescent="0.2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8"/>
      <c r="P168" s="294" t="s">
        <v>40</v>
      </c>
      <c r="Q168" s="295"/>
      <c r="R168" s="295"/>
      <c r="S168" s="295"/>
      <c r="T168" s="295"/>
      <c r="U168" s="295"/>
      <c r="V168" s="296"/>
      <c r="W168" s="40" t="s">
        <v>0</v>
      </c>
      <c r="X168" s="41">
        <f>IFERROR(SUMPRODUCT(X166:X166*H166:H166),"0")</f>
        <v>252</v>
      </c>
      <c r="Y168" s="41">
        <f>IFERROR(SUMPRODUCT(Y166:Y166*H166:H166),"0")</f>
        <v>252</v>
      </c>
      <c r="Z168" s="40"/>
      <c r="AA168" s="64"/>
      <c r="AB168" s="64"/>
      <c r="AC168" s="64"/>
    </row>
    <row r="169" spans="1:68" ht="16.5" hidden="1" customHeight="1" x14ac:dyDescent="0.25">
      <c r="A169" s="318" t="s">
        <v>273</v>
      </c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62"/>
      <c r="AB169" s="62"/>
      <c r="AC169" s="62"/>
    </row>
    <row r="170" spans="1:68" ht="14.25" hidden="1" customHeight="1" x14ac:dyDescent="0.25">
      <c r="A170" s="308" t="s">
        <v>159</v>
      </c>
      <c r="B170" s="308"/>
      <c r="C170" s="308"/>
      <c r="D170" s="308"/>
      <c r="E170" s="308"/>
      <c r="F170" s="308"/>
      <c r="G170" s="308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  <c r="AA170" s="63"/>
      <c r="AB170" s="63"/>
      <c r="AC170" s="63"/>
    </row>
    <row r="171" spans="1:68" ht="16.5" hidden="1" customHeight="1" x14ac:dyDescent="0.25">
      <c r="A171" s="60" t="s">
        <v>274</v>
      </c>
      <c r="B171" s="60" t="s">
        <v>275</v>
      </c>
      <c r="C171" s="34">
        <v>4301135607</v>
      </c>
      <c r="D171" s="290">
        <v>4607111039613</v>
      </c>
      <c r="E171" s="290"/>
      <c r="F171" s="59">
        <v>0.09</v>
      </c>
      <c r="G171" s="35">
        <v>30</v>
      </c>
      <c r="H171" s="59">
        <v>2.7</v>
      </c>
      <c r="I171" s="59">
        <v>3.09</v>
      </c>
      <c r="J171" s="35">
        <v>126</v>
      </c>
      <c r="K171" s="35" t="s">
        <v>120</v>
      </c>
      <c r="L171" s="35" t="s">
        <v>121</v>
      </c>
      <c r="M171" s="36" t="s">
        <v>88</v>
      </c>
      <c r="N171" s="36"/>
      <c r="O171" s="35">
        <v>180</v>
      </c>
      <c r="P171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2"/>
      <c r="R171" s="292"/>
      <c r="S171" s="292"/>
      <c r="T171" s="293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IFERROR(IF(X171="","",X171*0.00936),"")</f>
        <v>0</v>
      </c>
      <c r="AA171" s="65" t="s">
        <v>46</v>
      </c>
      <c r="AB171" s="66" t="s">
        <v>46</v>
      </c>
      <c r="AC171" s="208" t="s">
        <v>260</v>
      </c>
      <c r="AG171" s="78"/>
      <c r="AJ171" s="82" t="s">
        <v>122</v>
      </c>
      <c r="AK171" s="82">
        <v>14</v>
      </c>
      <c r="BB171" s="209" t="s">
        <v>119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8"/>
      <c r="P172" s="294" t="s">
        <v>40</v>
      </c>
      <c r="Q172" s="295"/>
      <c r="R172" s="295"/>
      <c r="S172" s="295"/>
      <c r="T172" s="295"/>
      <c r="U172" s="295"/>
      <c r="V172" s="296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8"/>
      <c r="P173" s="294" t="s">
        <v>40</v>
      </c>
      <c r="Q173" s="295"/>
      <c r="R173" s="295"/>
      <c r="S173" s="295"/>
      <c r="T173" s="295"/>
      <c r="U173" s="295"/>
      <c r="V173" s="296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16.5" hidden="1" customHeight="1" x14ac:dyDescent="0.25">
      <c r="A174" s="318" t="s">
        <v>276</v>
      </c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62"/>
      <c r="AB174" s="62"/>
      <c r="AC174" s="62"/>
    </row>
    <row r="175" spans="1:68" ht="14.25" hidden="1" customHeight="1" x14ac:dyDescent="0.25">
      <c r="A175" s="308" t="s">
        <v>159</v>
      </c>
      <c r="B175" s="308"/>
      <c r="C175" s="308"/>
      <c r="D175" s="308"/>
      <c r="E175" s="308"/>
      <c r="F175" s="308"/>
      <c r="G175" s="308"/>
      <c r="H175" s="308"/>
      <c r="I175" s="308"/>
      <c r="J175" s="308"/>
      <c r="K175" s="308"/>
      <c r="L175" s="308"/>
      <c r="M175" s="308"/>
      <c r="N175" s="308"/>
      <c r="O175" s="308"/>
      <c r="P175" s="308"/>
      <c r="Q175" s="308"/>
      <c r="R175" s="308"/>
      <c r="S175" s="308"/>
      <c r="T175" s="308"/>
      <c r="U175" s="308"/>
      <c r="V175" s="308"/>
      <c r="W175" s="308"/>
      <c r="X175" s="308"/>
      <c r="Y175" s="308"/>
      <c r="Z175" s="308"/>
      <c r="AA175" s="63"/>
      <c r="AB175" s="63"/>
      <c r="AC175" s="63"/>
    </row>
    <row r="176" spans="1:68" ht="27" hidden="1" customHeight="1" x14ac:dyDescent="0.25">
      <c r="A176" s="60" t="s">
        <v>277</v>
      </c>
      <c r="B176" s="60" t="s">
        <v>278</v>
      </c>
      <c r="C176" s="34">
        <v>4301135591</v>
      </c>
      <c r="D176" s="290">
        <v>4607111036568</v>
      </c>
      <c r="E176" s="290"/>
      <c r="F176" s="59">
        <v>0.28000000000000003</v>
      </c>
      <c r="G176" s="35">
        <v>6</v>
      </c>
      <c r="H176" s="59">
        <v>1.68</v>
      </c>
      <c r="I176" s="59">
        <v>2.1017999999999999</v>
      </c>
      <c r="J176" s="35">
        <v>140</v>
      </c>
      <c r="K176" s="35" t="s">
        <v>120</v>
      </c>
      <c r="L176" s="35" t="s">
        <v>90</v>
      </c>
      <c r="M176" s="36" t="s">
        <v>88</v>
      </c>
      <c r="N176" s="36"/>
      <c r="O176" s="35">
        <v>180</v>
      </c>
      <c r="P176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2"/>
      <c r="R176" s="292"/>
      <c r="S176" s="292"/>
      <c r="T176" s="293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IFERROR(IF(X176="","",X176*0.00941),"")</f>
        <v>0</v>
      </c>
      <c r="AA176" s="65" t="s">
        <v>46</v>
      </c>
      <c r="AB176" s="66" t="s">
        <v>46</v>
      </c>
      <c r="AC176" s="210" t="s">
        <v>279</v>
      </c>
      <c r="AG176" s="78"/>
      <c r="AJ176" s="82" t="s">
        <v>91</v>
      </c>
      <c r="AK176" s="82">
        <v>1</v>
      </c>
      <c r="BB176" s="211" t="s">
        <v>119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idden="1" x14ac:dyDescent="0.2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8"/>
      <c r="P177" s="294" t="s">
        <v>40</v>
      </c>
      <c r="Q177" s="295"/>
      <c r="R177" s="295"/>
      <c r="S177" s="295"/>
      <c r="T177" s="295"/>
      <c r="U177" s="295"/>
      <c r="V177" s="296"/>
      <c r="W177" s="40" t="s">
        <v>39</v>
      </c>
      <c r="X177" s="41">
        <f>IFERROR(SUM(X176:X176),"0")</f>
        <v>0</v>
      </c>
      <c r="Y177" s="41">
        <f>IFERROR(SUM(Y176:Y176),"0")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8"/>
      <c r="P178" s="294" t="s">
        <v>40</v>
      </c>
      <c r="Q178" s="295"/>
      <c r="R178" s="295"/>
      <c r="S178" s="295"/>
      <c r="T178" s="295"/>
      <c r="U178" s="295"/>
      <c r="V178" s="296"/>
      <c r="W178" s="40" t="s">
        <v>0</v>
      </c>
      <c r="X178" s="41">
        <f>IFERROR(SUMPRODUCT(X176:X176*H176:H176),"0")</f>
        <v>0</v>
      </c>
      <c r="Y178" s="41">
        <f>IFERROR(SUMPRODUCT(Y176:Y176*H176:H176),"0")</f>
        <v>0</v>
      </c>
      <c r="Z178" s="40"/>
      <c r="AA178" s="64"/>
      <c r="AB178" s="64"/>
      <c r="AC178" s="64"/>
    </row>
    <row r="179" spans="1:68" ht="27.75" hidden="1" customHeight="1" x14ac:dyDescent="0.2">
      <c r="A179" s="317" t="s">
        <v>280</v>
      </c>
      <c r="B179" s="317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52"/>
      <c r="AB179" s="52"/>
      <c r="AC179" s="52"/>
    </row>
    <row r="180" spans="1:68" ht="16.5" hidden="1" customHeight="1" x14ac:dyDescent="0.25">
      <c r="A180" s="318" t="s">
        <v>281</v>
      </c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62"/>
      <c r="AB180" s="62"/>
      <c r="AC180" s="62"/>
    </row>
    <row r="181" spans="1:68" ht="14.25" hidden="1" customHeight="1" x14ac:dyDescent="0.25">
      <c r="A181" s="308" t="s">
        <v>82</v>
      </c>
      <c r="B181" s="308"/>
      <c r="C181" s="308"/>
      <c r="D181" s="308"/>
      <c r="E181" s="308"/>
      <c r="F181" s="308"/>
      <c r="G181" s="308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  <c r="AA181" s="63"/>
      <c r="AB181" s="63"/>
      <c r="AC181" s="63"/>
    </row>
    <row r="182" spans="1:68" ht="16.5" hidden="1" customHeight="1" x14ac:dyDescent="0.25">
      <c r="A182" s="60" t="s">
        <v>282</v>
      </c>
      <c r="B182" s="60" t="s">
        <v>283</v>
      </c>
      <c r="C182" s="34">
        <v>4301071062</v>
      </c>
      <c r="D182" s="290">
        <v>4607111036384</v>
      </c>
      <c r="E182" s="290"/>
      <c r="F182" s="59">
        <v>5</v>
      </c>
      <c r="G182" s="35">
        <v>1</v>
      </c>
      <c r="H182" s="59">
        <v>5</v>
      </c>
      <c r="I182" s="59">
        <v>5.2106000000000003</v>
      </c>
      <c r="J182" s="35">
        <v>144</v>
      </c>
      <c r="K182" s="35" t="s">
        <v>89</v>
      </c>
      <c r="L182" s="35" t="s">
        <v>90</v>
      </c>
      <c r="M182" s="36" t="s">
        <v>88</v>
      </c>
      <c r="N182" s="36"/>
      <c r="O182" s="35">
        <v>180</v>
      </c>
      <c r="P182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2"/>
      <c r="R182" s="292"/>
      <c r="S182" s="292"/>
      <c r="T182" s="293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284</v>
      </c>
      <c r="AG182" s="78"/>
      <c r="AJ182" s="82" t="s">
        <v>91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t="27" hidden="1" customHeight="1" x14ac:dyDescent="0.25">
      <c r="A183" s="60" t="s">
        <v>285</v>
      </c>
      <c r="B183" s="60" t="s">
        <v>286</v>
      </c>
      <c r="C183" s="34">
        <v>4301071050</v>
      </c>
      <c r="D183" s="290">
        <v>4607111036216</v>
      </c>
      <c r="E183" s="290"/>
      <c r="F183" s="59">
        <v>5</v>
      </c>
      <c r="G183" s="35">
        <v>1</v>
      </c>
      <c r="H183" s="59">
        <v>5</v>
      </c>
      <c r="I183" s="59">
        <v>5.2131999999999996</v>
      </c>
      <c r="J183" s="35">
        <v>144</v>
      </c>
      <c r="K183" s="35" t="s">
        <v>89</v>
      </c>
      <c r="L183" s="35" t="s">
        <v>121</v>
      </c>
      <c r="M183" s="36" t="s">
        <v>88</v>
      </c>
      <c r="N183" s="36"/>
      <c r="O183" s="35">
        <v>180</v>
      </c>
      <c r="P183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2"/>
      <c r="R183" s="292"/>
      <c r="S183" s="292"/>
      <c r="T183" s="293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IFERROR(IF(X183="","",X183*0.00866),"")</f>
        <v>0</v>
      </c>
      <c r="AA183" s="65" t="s">
        <v>46</v>
      </c>
      <c r="AB183" s="66" t="s">
        <v>46</v>
      </c>
      <c r="AC183" s="214" t="s">
        <v>287</v>
      </c>
      <c r="AG183" s="78"/>
      <c r="AJ183" s="82" t="s">
        <v>122</v>
      </c>
      <c r="AK183" s="82">
        <v>12</v>
      </c>
      <c r="BB183" s="215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8"/>
      <c r="P184" s="294" t="s">
        <v>40</v>
      </c>
      <c r="Q184" s="295"/>
      <c r="R184" s="295"/>
      <c r="S184" s="295"/>
      <c r="T184" s="295"/>
      <c r="U184" s="295"/>
      <c r="V184" s="296"/>
      <c r="W184" s="40" t="s">
        <v>39</v>
      </c>
      <c r="X184" s="41">
        <f>IFERROR(SUM(X182:X183),"0")</f>
        <v>0</v>
      </c>
      <c r="Y184" s="41">
        <f>IFERROR(SUM(Y182:Y183),"0")</f>
        <v>0</v>
      </c>
      <c r="Z184" s="41">
        <f>IFERROR(IF(Z182="",0,Z182),"0")+IFERROR(IF(Z183="",0,Z183),"0")</f>
        <v>0</v>
      </c>
      <c r="AA184" s="64"/>
      <c r="AB184" s="64"/>
      <c r="AC184" s="64"/>
    </row>
    <row r="185" spans="1:68" hidden="1" x14ac:dyDescent="0.2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8"/>
      <c r="P185" s="294" t="s">
        <v>40</v>
      </c>
      <c r="Q185" s="295"/>
      <c r="R185" s="295"/>
      <c r="S185" s="295"/>
      <c r="T185" s="295"/>
      <c r="U185" s="295"/>
      <c r="V185" s="296"/>
      <c r="W185" s="40" t="s">
        <v>0</v>
      </c>
      <c r="X185" s="41">
        <f>IFERROR(SUMPRODUCT(X182:X183*H182:H183),"0")</f>
        <v>0</v>
      </c>
      <c r="Y185" s="41">
        <f>IFERROR(SUMPRODUCT(Y182:Y183*H182:H183),"0")</f>
        <v>0</v>
      </c>
      <c r="Z185" s="40"/>
      <c r="AA185" s="64"/>
      <c r="AB185" s="64"/>
      <c r="AC185" s="64"/>
    </row>
    <row r="186" spans="1:68" ht="14.25" hidden="1" customHeight="1" x14ac:dyDescent="0.25">
      <c r="A186" s="308" t="s">
        <v>288</v>
      </c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  <c r="AA186" s="63"/>
      <c r="AB186" s="63"/>
      <c r="AC186" s="63"/>
    </row>
    <row r="187" spans="1:68" ht="27" hidden="1" customHeight="1" x14ac:dyDescent="0.25">
      <c r="A187" s="60" t="s">
        <v>289</v>
      </c>
      <c r="B187" s="60" t="s">
        <v>290</v>
      </c>
      <c r="C187" s="34">
        <v>4301080153</v>
      </c>
      <c r="D187" s="290">
        <v>4607111036827</v>
      </c>
      <c r="E187" s="290"/>
      <c r="F187" s="59">
        <v>1</v>
      </c>
      <c r="G187" s="35">
        <v>5</v>
      </c>
      <c r="H187" s="59">
        <v>5</v>
      </c>
      <c r="I187" s="59">
        <v>5.2</v>
      </c>
      <c r="J187" s="35">
        <v>144</v>
      </c>
      <c r="K187" s="35" t="s">
        <v>89</v>
      </c>
      <c r="L187" s="35" t="s">
        <v>90</v>
      </c>
      <c r="M187" s="36" t="s">
        <v>88</v>
      </c>
      <c r="N187" s="36"/>
      <c r="O187" s="35">
        <v>90</v>
      </c>
      <c r="P187" s="33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292"/>
      <c r="R187" s="292"/>
      <c r="S187" s="292"/>
      <c r="T187" s="293"/>
      <c r="U187" s="37" t="s">
        <v>46</v>
      </c>
      <c r="V187" s="37" t="s">
        <v>46</v>
      </c>
      <c r="W187" s="38" t="s">
        <v>39</v>
      </c>
      <c r="X187" s="56">
        <v>0</v>
      </c>
      <c r="Y187" s="53">
        <f>IFERROR(IF(X187="","",X187),"")</f>
        <v>0</v>
      </c>
      <c r="Z187" s="39">
        <f>IFERROR(IF(X187="","",X187*0.00866),"")</f>
        <v>0</v>
      </c>
      <c r="AA187" s="65" t="s">
        <v>46</v>
      </c>
      <c r="AB187" s="66" t="s">
        <v>46</v>
      </c>
      <c r="AC187" s="216" t="s">
        <v>291</v>
      </c>
      <c r="AG187" s="78"/>
      <c r="AJ187" s="82" t="s">
        <v>91</v>
      </c>
      <c r="AK187" s="82">
        <v>1</v>
      </c>
      <c r="BB187" s="217" t="s">
        <v>70</v>
      </c>
      <c r="BM187" s="78">
        <f>IFERROR(X187*I187,"0")</f>
        <v>0</v>
      </c>
      <c r="BN187" s="78">
        <f>IFERROR(Y187*I187,"0")</f>
        <v>0</v>
      </c>
      <c r="BO187" s="78">
        <f>IFERROR(X187/J187,"0")</f>
        <v>0</v>
      </c>
      <c r="BP187" s="78">
        <f>IFERROR(Y187/J187,"0")</f>
        <v>0</v>
      </c>
    </row>
    <row r="188" spans="1:68" ht="27" hidden="1" customHeight="1" x14ac:dyDescent="0.25">
      <c r="A188" s="60" t="s">
        <v>292</v>
      </c>
      <c r="B188" s="60" t="s">
        <v>293</v>
      </c>
      <c r="C188" s="34">
        <v>4301080154</v>
      </c>
      <c r="D188" s="290">
        <v>4607111036834</v>
      </c>
      <c r="E188" s="290"/>
      <c r="F188" s="59">
        <v>1</v>
      </c>
      <c r="G188" s="35">
        <v>5</v>
      </c>
      <c r="H188" s="59">
        <v>5</v>
      </c>
      <c r="I188" s="59">
        <v>5.2530000000000001</v>
      </c>
      <c r="J188" s="35">
        <v>144</v>
      </c>
      <c r="K188" s="35" t="s">
        <v>89</v>
      </c>
      <c r="L188" s="35" t="s">
        <v>90</v>
      </c>
      <c r="M188" s="36" t="s">
        <v>88</v>
      </c>
      <c r="N188" s="36"/>
      <c r="O188" s="35">
        <v>90</v>
      </c>
      <c r="P188" s="339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8" s="292"/>
      <c r="R188" s="292"/>
      <c r="S188" s="292"/>
      <c r="T188" s="293"/>
      <c r="U188" s="37" t="s">
        <v>46</v>
      </c>
      <c r="V188" s="37" t="s">
        <v>46</v>
      </c>
      <c r="W188" s="38" t="s">
        <v>39</v>
      </c>
      <c r="X188" s="56">
        <v>0</v>
      </c>
      <c r="Y188" s="53">
        <f>IFERROR(IF(X188="","",X188),"")</f>
        <v>0</v>
      </c>
      <c r="Z188" s="39">
        <f>IFERROR(IF(X188="","",X188*0.00866),"")</f>
        <v>0</v>
      </c>
      <c r="AA188" s="65" t="s">
        <v>46</v>
      </c>
      <c r="AB188" s="66" t="s">
        <v>46</v>
      </c>
      <c r="AC188" s="218" t="s">
        <v>291</v>
      </c>
      <c r="AG188" s="78"/>
      <c r="AJ188" s="82" t="s">
        <v>91</v>
      </c>
      <c r="AK188" s="82">
        <v>1</v>
      </c>
      <c r="BB188" s="219" t="s">
        <v>70</v>
      </c>
      <c r="BM188" s="78">
        <f>IFERROR(X188*I188,"0")</f>
        <v>0</v>
      </c>
      <c r="BN188" s="78">
        <f>IFERROR(Y188*I188,"0")</f>
        <v>0</v>
      </c>
      <c r="BO188" s="78">
        <f>IFERROR(X188/J188,"0")</f>
        <v>0</v>
      </c>
      <c r="BP188" s="78">
        <f>IFERROR(Y188/J188,"0")</f>
        <v>0</v>
      </c>
    </row>
    <row r="189" spans="1:68" hidden="1" x14ac:dyDescent="0.2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8"/>
      <c r="P189" s="294" t="s">
        <v>40</v>
      </c>
      <c r="Q189" s="295"/>
      <c r="R189" s="295"/>
      <c r="S189" s="295"/>
      <c r="T189" s="295"/>
      <c r="U189" s="295"/>
      <c r="V189" s="296"/>
      <c r="W189" s="40" t="s">
        <v>39</v>
      </c>
      <c r="X189" s="41">
        <f>IFERROR(SUM(X187:X188),"0")</f>
        <v>0</v>
      </c>
      <c r="Y189" s="41">
        <f>IFERROR(SUM(Y187:Y188),"0")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8"/>
      <c r="P190" s="294" t="s">
        <v>40</v>
      </c>
      <c r="Q190" s="295"/>
      <c r="R190" s="295"/>
      <c r="S190" s="295"/>
      <c r="T190" s="295"/>
      <c r="U190" s="295"/>
      <c r="V190" s="296"/>
      <c r="W190" s="40" t="s">
        <v>0</v>
      </c>
      <c r="X190" s="41">
        <f>IFERROR(SUMPRODUCT(X187:X188*H187:H188),"0")</f>
        <v>0</v>
      </c>
      <c r="Y190" s="41">
        <f>IFERROR(SUMPRODUCT(Y187:Y188*H187:H188),"0")</f>
        <v>0</v>
      </c>
      <c r="Z190" s="40"/>
      <c r="AA190" s="64"/>
      <c r="AB190" s="64"/>
      <c r="AC190" s="64"/>
    </row>
    <row r="191" spans="1:68" ht="27.75" hidden="1" customHeight="1" x14ac:dyDescent="0.2">
      <c r="A191" s="317" t="s">
        <v>294</v>
      </c>
      <c r="B191" s="317"/>
      <c r="C191" s="317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  <c r="AA191" s="52"/>
      <c r="AB191" s="52"/>
      <c r="AC191" s="52"/>
    </row>
    <row r="192" spans="1:68" ht="16.5" hidden="1" customHeight="1" x14ac:dyDescent="0.25">
      <c r="A192" s="318" t="s">
        <v>295</v>
      </c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62"/>
      <c r="AB192" s="62"/>
      <c r="AC192" s="62"/>
    </row>
    <row r="193" spans="1:68" ht="14.25" hidden="1" customHeight="1" x14ac:dyDescent="0.25">
      <c r="A193" s="308" t="s">
        <v>115</v>
      </c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  <c r="T193" s="308"/>
      <c r="U193" s="308"/>
      <c r="V193" s="308"/>
      <c r="W193" s="308"/>
      <c r="X193" s="308"/>
      <c r="Y193" s="308"/>
      <c r="Z193" s="308"/>
      <c r="AA193" s="63"/>
      <c r="AB193" s="63"/>
      <c r="AC193" s="63"/>
    </row>
    <row r="194" spans="1:68" ht="16.5" customHeight="1" x14ac:dyDescent="0.25">
      <c r="A194" s="60" t="s">
        <v>296</v>
      </c>
      <c r="B194" s="60" t="s">
        <v>297</v>
      </c>
      <c r="C194" s="34">
        <v>4301132179</v>
      </c>
      <c r="D194" s="290">
        <v>4607111035691</v>
      </c>
      <c r="E194" s="290"/>
      <c r="F194" s="59">
        <v>0.25</v>
      </c>
      <c r="G194" s="35">
        <v>12</v>
      </c>
      <c r="H194" s="59">
        <v>3</v>
      </c>
      <c r="I194" s="59">
        <v>3.3879999999999999</v>
      </c>
      <c r="J194" s="35">
        <v>70</v>
      </c>
      <c r="K194" s="35" t="s">
        <v>120</v>
      </c>
      <c r="L194" s="35" t="s">
        <v>121</v>
      </c>
      <c r="M194" s="36" t="s">
        <v>88</v>
      </c>
      <c r="N194" s="36"/>
      <c r="O194" s="35">
        <v>365</v>
      </c>
      <c r="P194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2"/>
      <c r="R194" s="292"/>
      <c r="S194" s="292"/>
      <c r="T194" s="293"/>
      <c r="U194" s="37" t="s">
        <v>46</v>
      </c>
      <c r="V194" s="37" t="s">
        <v>46</v>
      </c>
      <c r="W194" s="38" t="s">
        <v>39</v>
      </c>
      <c r="X194" s="56">
        <v>210</v>
      </c>
      <c r="Y194" s="53">
        <f>IFERROR(IF(X194="","",X194),"")</f>
        <v>210</v>
      </c>
      <c r="Z194" s="39">
        <f>IFERROR(IF(X194="","",X194*0.01788),"")</f>
        <v>3.7547999999999999</v>
      </c>
      <c r="AA194" s="65" t="s">
        <v>46</v>
      </c>
      <c r="AB194" s="66" t="s">
        <v>46</v>
      </c>
      <c r="AC194" s="220" t="s">
        <v>298</v>
      </c>
      <c r="AG194" s="78"/>
      <c r="AJ194" s="82" t="s">
        <v>122</v>
      </c>
      <c r="AK194" s="82">
        <v>14</v>
      </c>
      <c r="BB194" s="221" t="s">
        <v>119</v>
      </c>
      <c r="BM194" s="78">
        <f>IFERROR(X194*I194,"0")</f>
        <v>711.48</v>
      </c>
      <c r="BN194" s="78">
        <f>IFERROR(Y194*I194,"0")</f>
        <v>711.48</v>
      </c>
      <c r="BO194" s="78">
        <f>IFERROR(X194/J194,"0")</f>
        <v>3</v>
      </c>
      <c r="BP194" s="78">
        <f>IFERROR(Y194/J194,"0")</f>
        <v>3</v>
      </c>
    </row>
    <row r="195" spans="1:68" ht="27" hidden="1" customHeight="1" x14ac:dyDescent="0.25">
      <c r="A195" s="60" t="s">
        <v>299</v>
      </c>
      <c r="B195" s="60" t="s">
        <v>300</v>
      </c>
      <c r="C195" s="34">
        <v>4301132182</v>
      </c>
      <c r="D195" s="290">
        <v>4607111035721</v>
      </c>
      <c r="E195" s="290"/>
      <c r="F195" s="59">
        <v>0.25</v>
      </c>
      <c r="G195" s="35">
        <v>12</v>
      </c>
      <c r="H195" s="59">
        <v>3</v>
      </c>
      <c r="I195" s="59">
        <v>3.3879999999999999</v>
      </c>
      <c r="J195" s="35">
        <v>70</v>
      </c>
      <c r="K195" s="35" t="s">
        <v>120</v>
      </c>
      <c r="L195" s="35" t="s">
        <v>121</v>
      </c>
      <c r="M195" s="36" t="s">
        <v>88</v>
      </c>
      <c r="N195" s="36"/>
      <c r="O195" s="35">
        <v>365</v>
      </c>
      <c r="P195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2"/>
      <c r="R195" s="292"/>
      <c r="S195" s="292"/>
      <c r="T195" s="293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2" t="s">
        <v>301</v>
      </c>
      <c r="AG195" s="78"/>
      <c r="AJ195" s="82" t="s">
        <v>122</v>
      </c>
      <c r="AK195" s="82">
        <v>14</v>
      </c>
      <c r="BB195" s="223" t="s">
        <v>119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ht="27" hidden="1" customHeight="1" x14ac:dyDescent="0.25">
      <c r="A196" s="60" t="s">
        <v>302</v>
      </c>
      <c r="B196" s="60" t="s">
        <v>303</v>
      </c>
      <c r="C196" s="34">
        <v>4301132170</v>
      </c>
      <c r="D196" s="290">
        <v>4607111038487</v>
      </c>
      <c r="E196" s="290"/>
      <c r="F196" s="59">
        <v>0.25</v>
      </c>
      <c r="G196" s="35">
        <v>12</v>
      </c>
      <c r="H196" s="59">
        <v>3</v>
      </c>
      <c r="I196" s="59">
        <v>3.7360000000000002</v>
      </c>
      <c r="J196" s="35">
        <v>70</v>
      </c>
      <c r="K196" s="35" t="s">
        <v>120</v>
      </c>
      <c r="L196" s="35" t="s">
        <v>121</v>
      </c>
      <c r="M196" s="36" t="s">
        <v>88</v>
      </c>
      <c r="N196" s="36"/>
      <c r="O196" s="35">
        <v>180</v>
      </c>
      <c r="P196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2"/>
      <c r="R196" s="292"/>
      <c r="S196" s="292"/>
      <c r="T196" s="293"/>
      <c r="U196" s="37" t="s">
        <v>46</v>
      </c>
      <c r="V196" s="37" t="s">
        <v>46</v>
      </c>
      <c r="W196" s="38" t="s">
        <v>39</v>
      </c>
      <c r="X196" s="56">
        <v>0</v>
      </c>
      <c r="Y196" s="53">
        <f>IFERROR(IF(X196="","",X196),"")</f>
        <v>0</v>
      </c>
      <c r="Z196" s="39">
        <f>IFERROR(IF(X196="","",X196*0.01788),"")</f>
        <v>0</v>
      </c>
      <c r="AA196" s="65" t="s">
        <v>46</v>
      </c>
      <c r="AB196" s="66" t="s">
        <v>46</v>
      </c>
      <c r="AC196" s="224" t="s">
        <v>304</v>
      </c>
      <c r="AG196" s="78"/>
      <c r="AJ196" s="82" t="s">
        <v>122</v>
      </c>
      <c r="AK196" s="82">
        <v>14</v>
      </c>
      <c r="BB196" s="225" t="s">
        <v>119</v>
      </c>
      <c r="BM196" s="78">
        <f>IFERROR(X196*I196,"0")</f>
        <v>0</v>
      </c>
      <c r="BN196" s="78">
        <f>IFERROR(Y196*I196,"0")</f>
        <v>0</v>
      </c>
      <c r="BO196" s="78">
        <f>IFERROR(X196/J196,"0")</f>
        <v>0</v>
      </c>
      <c r="BP196" s="78">
        <f>IFERROR(Y196/J196,"0")</f>
        <v>0</v>
      </c>
    </row>
    <row r="197" spans="1:68" ht="27" hidden="1" customHeight="1" x14ac:dyDescent="0.25">
      <c r="A197" s="60" t="s">
        <v>305</v>
      </c>
      <c r="B197" s="60" t="s">
        <v>306</v>
      </c>
      <c r="C197" s="34">
        <v>4301132243</v>
      </c>
      <c r="D197" s="290">
        <v>4620207491195</v>
      </c>
      <c r="E197" s="290"/>
      <c r="F197" s="59">
        <v>0.23</v>
      </c>
      <c r="G197" s="35">
        <v>12</v>
      </c>
      <c r="H197" s="59">
        <v>2.76</v>
      </c>
      <c r="I197" s="59">
        <v>3.1480000000000001</v>
      </c>
      <c r="J197" s="35">
        <v>70</v>
      </c>
      <c r="K197" s="35" t="s">
        <v>120</v>
      </c>
      <c r="L197" s="35" t="s">
        <v>90</v>
      </c>
      <c r="M197" s="36" t="s">
        <v>88</v>
      </c>
      <c r="N197" s="36"/>
      <c r="O197" s="35">
        <v>180</v>
      </c>
      <c r="P197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2"/>
      <c r="R197" s="292"/>
      <c r="S197" s="292"/>
      <c r="T197" s="293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6" t="s">
        <v>307</v>
      </c>
      <c r="AG197" s="78"/>
      <c r="AJ197" s="82" t="s">
        <v>91</v>
      </c>
      <c r="AK197" s="82">
        <v>1</v>
      </c>
      <c r="BB197" s="227" t="s">
        <v>119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x14ac:dyDescent="0.2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8"/>
      <c r="P198" s="294" t="s">
        <v>40</v>
      </c>
      <c r="Q198" s="295"/>
      <c r="R198" s="295"/>
      <c r="S198" s="295"/>
      <c r="T198" s="295"/>
      <c r="U198" s="295"/>
      <c r="V198" s="296"/>
      <c r="W198" s="40" t="s">
        <v>39</v>
      </c>
      <c r="X198" s="41">
        <f>IFERROR(SUM(X194:X197),"0")</f>
        <v>210</v>
      </c>
      <c r="Y198" s="41">
        <f>IFERROR(SUM(Y194:Y197),"0")</f>
        <v>210</v>
      </c>
      <c r="Z198" s="41">
        <f>IFERROR(IF(Z194="",0,Z194),"0")+IFERROR(IF(Z195="",0,Z195),"0")+IFERROR(IF(Z196="",0,Z196),"0")+IFERROR(IF(Z197="",0,Z197),"0")</f>
        <v>3.7547999999999999</v>
      </c>
      <c r="AA198" s="64"/>
      <c r="AB198" s="64"/>
      <c r="AC198" s="64"/>
    </row>
    <row r="199" spans="1:68" x14ac:dyDescent="0.2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8"/>
      <c r="P199" s="294" t="s">
        <v>40</v>
      </c>
      <c r="Q199" s="295"/>
      <c r="R199" s="295"/>
      <c r="S199" s="295"/>
      <c r="T199" s="295"/>
      <c r="U199" s="295"/>
      <c r="V199" s="296"/>
      <c r="W199" s="40" t="s">
        <v>0</v>
      </c>
      <c r="X199" s="41">
        <f>IFERROR(SUMPRODUCT(X194:X197*H194:H197),"0")</f>
        <v>630</v>
      </c>
      <c r="Y199" s="41">
        <f>IFERROR(SUMPRODUCT(Y194:Y197*H194:H197),"0")</f>
        <v>630</v>
      </c>
      <c r="Z199" s="40"/>
      <c r="AA199" s="64"/>
      <c r="AB199" s="64"/>
      <c r="AC199" s="64"/>
    </row>
    <row r="200" spans="1:68" ht="27.75" hidden="1" customHeight="1" x14ac:dyDescent="0.2">
      <c r="A200" s="317" t="s">
        <v>308</v>
      </c>
      <c r="B200" s="317"/>
      <c r="C200" s="317"/>
      <c r="D200" s="317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  <c r="AA200" s="52"/>
      <c r="AB200" s="52"/>
      <c r="AC200" s="52"/>
    </row>
    <row r="201" spans="1:68" ht="16.5" hidden="1" customHeight="1" x14ac:dyDescent="0.25">
      <c r="A201" s="318" t="s">
        <v>309</v>
      </c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62"/>
      <c r="AB201" s="62"/>
      <c r="AC201" s="62"/>
    </row>
    <row r="202" spans="1:68" ht="14.25" hidden="1" customHeight="1" x14ac:dyDescent="0.25">
      <c r="A202" s="308" t="s">
        <v>115</v>
      </c>
      <c r="B202" s="308"/>
      <c r="C202" s="308"/>
      <c r="D202" s="308"/>
      <c r="E202" s="308"/>
      <c r="F202" s="308"/>
      <c r="G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  <c r="R202" s="308"/>
      <c r="S202" s="308"/>
      <c r="T202" s="308"/>
      <c r="U202" s="308"/>
      <c r="V202" s="308"/>
      <c r="W202" s="308"/>
      <c r="X202" s="308"/>
      <c r="Y202" s="308"/>
      <c r="Z202" s="308"/>
      <c r="AA202" s="63"/>
      <c r="AB202" s="63"/>
      <c r="AC202" s="63"/>
    </row>
    <row r="203" spans="1:68" ht="27" hidden="1" customHeight="1" x14ac:dyDescent="0.25">
      <c r="A203" s="60" t="s">
        <v>310</v>
      </c>
      <c r="B203" s="60" t="s">
        <v>311</v>
      </c>
      <c r="C203" s="34">
        <v>4301132227</v>
      </c>
      <c r="D203" s="290">
        <v>4620207491133</v>
      </c>
      <c r="E203" s="290"/>
      <c r="F203" s="59">
        <v>0.23</v>
      </c>
      <c r="G203" s="35">
        <v>12</v>
      </c>
      <c r="H203" s="59">
        <v>2.76</v>
      </c>
      <c r="I203" s="59">
        <v>2.98</v>
      </c>
      <c r="J203" s="35">
        <v>70</v>
      </c>
      <c r="K203" s="35" t="s">
        <v>120</v>
      </c>
      <c r="L203" s="35" t="s">
        <v>121</v>
      </c>
      <c r="M203" s="36" t="s">
        <v>88</v>
      </c>
      <c r="N203" s="36"/>
      <c r="O203" s="35">
        <v>180</v>
      </c>
      <c r="P203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2"/>
      <c r="R203" s="292"/>
      <c r="S203" s="292"/>
      <c r="T203" s="293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312</v>
      </c>
      <c r="AG203" s="78"/>
      <c r="AJ203" s="82" t="s">
        <v>122</v>
      </c>
      <c r="AK203" s="82">
        <v>14</v>
      </c>
      <c r="BB203" s="229" t="s">
        <v>119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idden="1" x14ac:dyDescent="0.2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8"/>
      <c r="P204" s="294" t="s">
        <v>40</v>
      </c>
      <c r="Q204" s="295"/>
      <c r="R204" s="295"/>
      <c r="S204" s="295"/>
      <c r="T204" s="295"/>
      <c r="U204" s="295"/>
      <c r="V204" s="296"/>
      <c r="W204" s="40" t="s">
        <v>39</v>
      </c>
      <c r="X204" s="41">
        <f>IFERROR(SUM(X203:X203),"0")</f>
        <v>0</v>
      </c>
      <c r="Y204" s="41">
        <f>IFERROR(SUM(Y203:Y203),"0")</f>
        <v>0</v>
      </c>
      <c r="Z204" s="41">
        <f>IFERROR(IF(Z203="",0,Z203),"0")</f>
        <v>0</v>
      </c>
      <c r="AA204" s="64"/>
      <c r="AB204" s="64"/>
      <c r="AC204" s="64"/>
    </row>
    <row r="205" spans="1:68" hidden="1" x14ac:dyDescent="0.2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8"/>
      <c r="P205" s="294" t="s">
        <v>40</v>
      </c>
      <c r="Q205" s="295"/>
      <c r="R205" s="295"/>
      <c r="S205" s="295"/>
      <c r="T205" s="295"/>
      <c r="U205" s="295"/>
      <c r="V205" s="296"/>
      <c r="W205" s="40" t="s">
        <v>0</v>
      </c>
      <c r="X205" s="41">
        <f>IFERROR(SUMPRODUCT(X203:X203*H203:H203),"0")</f>
        <v>0</v>
      </c>
      <c r="Y205" s="41">
        <f>IFERROR(SUMPRODUCT(Y203:Y203*H203:H203),"0")</f>
        <v>0</v>
      </c>
      <c r="Z205" s="40"/>
      <c r="AA205" s="64"/>
      <c r="AB205" s="64"/>
      <c r="AC205" s="64"/>
    </row>
    <row r="206" spans="1:68" ht="14.25" hidden="1" customHeight="1" x14ac:dyDescent="0.25">
      <c r="A206" s="308" t="s">
        <v>159</v>
      </c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  <c r="R206" s="308"/>
      <c r="S206" s="308"/>
      <c r="T206" s="308"/>
      <c r="U206" s="308"/>
      <c r="V206" s="308"/>
      <c r="W206" s="308"/>
      <c r="X206" s="308"/>
      <c r="Y206" s="308"/>
      <c r="Z206" s="308"/>
      <c r="AA206" s="63"/>
      <c r="AB206" s="63"/>
      <c r="AC206" s="63"/>
    </row>
    <row r="207" spans="1:68" ht="27" hidden="1" customHeight="1" x14ac:dyDescent="0.25">
      <c r="A207" s="60" t="s">
        <v>313</v>
      </c>
      <c r="B207" s="60" t="s">
        <v>314</v>
      </c>
      <c r="C207" s="34">
        <v>4301135834</v>
      </c>
      <c r="D207" s="290">
        <v>4620207491188</v>
      </c>
      <c r="E207" s="290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120</v>
      </c>
      <c r="L207" s="35" t="s">
        <v>90</v>
      </c>
      <c r="M207" s="36" t="s">
        <v>88</v>
      </c>
      <c r="N207" s="36"/>
      <c r="O207" s="35">
        <v>180</v>
      </c>
      <c r="P207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2"/>
      <c r="R207" s="292"/>
      <c r="S207" s="292"/>
      <c r="T207" s="293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30" t="s">
        <v>315</v>
      </c>
      <c r="AG207" s="78"/>
      <c r="AJ207" s="82" t="s">
        <v>91</v>
      </c>
      <c r="AK207" s="82">
        <v>1</v>
      </c>
      <c r="BB207" s="231" t="s">
        <v>119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316</v>
      </c>
      <c r="B208" s="60" t="s">
        <v>317</v>
      </c>
      <c r="C208" s="34">
        <v>4301135829</v>
      </c>
      <c r="D208" s="290">
        <v>4620207490235</v>
      </c>
      <c r="E208" s="290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120</v>
      </c>
      <c r="L208" s="35" t="s">
        <v>90</v>
      </c>
      <c r="M208" s="36" t="s">
        <v>88</v>
      </c>
      <c r="N208" s="36"/>
      <c r="O208" s="35">
        <v>180</v>
      </c>
      <c r="P208" s="3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2"/>
      <c r="R208" s="292"/>
      <c r="S208" s="292"/>
      <c r="T208" s="293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2" t="s">
        <v>318</v>
      </c>
      <c r="AG208" s="78"/>
      <c r="AJ208" s="82" t="s">
        <v>91</v>
      </c>
      <c r="AK208" s="82">
        <v>1</v>
      </c>
      <c r="BB208" s="233" t="s">
        <v>119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27" hidden="1" customHeight="1" x14ac:dyDescent="0.25">
      <c r="A209" s="60" t="s">
        <v>319</v>
      </c>
      <c r="B209" s="60" t="s">
        <v>320</v>
      </c>
      <c r="C209" s="34">
        <v>4301135697</v>
      </c>
      <c r="D209" s="290">
        <v>4620207490259</v>
      </c>
      <c r="E209" s="290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120</v>
      </c>
      <c r="L209" s="35" t="s">
        <v>90</v>
      </c>
      <c r="M209" s="36" t="s">
        <v>88</v>
      </c>
      <c r="N209" s="36"/>
      <c r="O209" s="35">
        <v>180</v>
      </c>
      <c r="P209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2"/>
      <c r="R209" s="292"/>
      <c r="S209" s="292"/>
      <c r="T209" s="293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4" t="s">
        <v>321</v>
      </c>
      <c r="AG209" s="78"/>
      <c r="AJ209" s="82" t="s">
        <v>91</v>
      </c>
      <c r="AK209" s="82">
        <v>1</v>
      </c>
      <c r="BB209" s="235" t="s">
        <v>119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8"/>
      <c r="P210" s="294" t="s">
        <v>40</v>
      </c>
      <c r="Q210" s="295"/>
      <c r="R210" s="295"/>
      <c r="S210" s="295"/>
      <c r="T210" s="295"/>
      <c r="U210" s="295"/>
      <c r="V210" s="296"/>
      <c r="W210" s="40" t="s">
        <v>39</v>
      </c>
      <c r="X210" s="41">
        <f>IFERROR(SUM(X207:X209),"0")</f>
        <v>0</v>
      </c>
      <c r="Y210" s="41">
        <f>IFERROR(SUM(Y207:Y209),"0")</f>
        <v>0</v>
      </c>
      <c r="Z210" s="41">
        <f>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8"/>
      <c r="P211" s="294" t="s">
        <v>40</v>
      </c>
      <c r="Q211" s="295"/>
      <c r="R211" s="295"/>
      <c r="S211" s="295"/>
      <c r="T211" s="295"/>
      <c r="U211" s="295"/>
      <c r="V211" s="296"/>
      <c r="W211" s="40" t="s">
        <v>0</v>
      </c>
      <c r="X211" s="41">
        <f>IFERROR(SUMPRODUCT(X207:X209*H207:H209),"0")</f>
        <v>0</v>
      </c>
      <c r="Y211" s="41">
        <f>IFERROR(SUMPRODUCT(Y207:Y209*H207:H209),"0")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18" t="s">
        <v>322</v>
      </c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62"/>
      <c r="AB212" s="62"/>
      <c r="AC212" s="62"/>
    </row>
    <row r="213" spans="1:68" ht="14.25" hidden="1" customHeight="1" x14ac:dyDescent="0.25">
      <c r="A213" s="308" t="s">
        <v>159</v>
      </c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  <c r="AA213" s="63"/>
      <c r="AB213" s="63"/>
      <c r="AC213" s="63"/>
    </row>
    <row r="214" spans="1:68" ht="27" hidden="1" customHeight="1" x14ac:dyDescent="0.25">
      <c r="A214" s="60" t="s">
        <v>323</v>
      </c>
      <c r="B214" s="60" t="s">
        <v>324</v>
      </c>
      <c r="C214" s="34">
        <v>4301135854</v>
      </c>
      <c r="D214" s="290">
        <v>4620207491706</v>
      </c>
      <c r="E214" s="290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120</v>
      </c>
      <c r="L214" s="35" t="s">
        <v>90</v>
      </c>
      <c r="M214" s="36" t="s">
        <v>88</v>
      </c>
      <c r="N214" s="36"/>
      <c r="O214" s="35">
        <v>180</v>
      </c>
      <c r="P214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2"/>
      <c r="R214" s="292"/>
      <c r="S214" s="292"/>
      <c r="T214" s="293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6" t="s">
        <v>325</v>
      </c>
      <c r="AG214" s="78"/>
      <c r="AJ214" s="82" t="s">
        <v>91</v>
      </c>
      <c r="AK214" s="82">
        <v>1</v>
      </c>
      <c r="BB214" s="237" t="s">
        <v>119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hidden="1" customHeight="1" x14ac:dyDescent="0.25">
      <c r="A215" s="60" t="s">
        <v>326</v>
      </c>
      <c r="B215" s="60" t="s">
        <v>327</v>
      </c>
      <c r="C215" s="34">
        <v>4301135895</v>
      </c>
      <c r="D215" s="290">
        <v>4620207491522</v>
      </c>
      <c r="E215" s="290"/>
      <c r="F215" s="59">
        <v>0.28000000000000003</v>
      </c>
      <c r="G215" s="35">
        <v>12</v>
      </c>
      <c r="H215" s="59">
        <v>3.36</v>
      </c>
      <c r="I215" s="59">
        <v>4.0636000000000001</v>
      </c>
      <c r="J215" s="35">
        <v>70</v>
      </c>
      <c r="K215" s="35" t="s">
        <v>120</v>
      </c>
      <c r="L215" s="35" t="s">
        <v>90</v>
      </c>
      <c r="M215" s="36" t="s">
        <v>88</v>
      </c>
      <c r="N215" s="36"/>
      <c r="O215" s="35">
        <v>180</v>
      </c>
      <c r="P215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2"/>
      <c r="R215" s="292"/>
      <c r="S215" s="292"/>
      <c r="T215" s="293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8" t="s">
        <v>328</v>
      </c>
      <c r="AG215" s="78"/>
      <c r="AJ215" s="82" t="s">
        <v>91</v>
      </c>
      <c r="AK215" s="82">
        <v>1</v>
      </c>
      <c r="BB215" s="239" t="s">
        <v>119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8"/>
      <c r="P216" s="294" t="s">
        <v>40</v>
      </c>
      <c r="Q216" s="295"/>
      <c r="R216" s="295"/>
      <c r="S216" s="295"/>
      <c r="T216" s="295"/>
      <c r="U216" s="295"/>
      <c r="V216" s="296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hidden="1" x14ac:dyDescent="0.2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8"/>
      <c r="P217" s="294" t="s">
        <v>40</v>
      </c>
      <c r="Q217" s="295"/>
      <c r="R217" s="295"/>
      <c r="S217" s="295"/>
      <c r="T217" s="295"/>
      <c r="U217" s="295"/>
      <c r="V217" s="296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18" t="s">
        <v>329</v>
      </c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62"/>
      <c r="AB218" s="62"/>
      <c r="AC218" s="62"/>
    </row>
    <row r="219" spans="1:68" ht="14.25" hidden="1" customHeight="1" x14ac:dyDescent="0.25">
      <c r="A219" s="308" t="s">
        <v>82</v>
      </c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  <c r="R219" s="308"/>
      <c r="S219" s="308"/>
      <c r="T219" s="308"/>
      <c r="U219" s="308"/>
      <c r="V219" s="308"/>
      <c r="W219" s="308"/>
      <c r="X219" s="308"/>
      <c r="Y219" s="308"/>
      <c r="Z219" s="308"/>
      <c r="AA219" s="63"/>
      <c r="AB219" s="63"/>
      <c r="AC219" s="63"/>
    </row>
    <row r="220" spans="1:68" ht="27" hidden="1" customHeight="1" x14ac:dyDescent="0.25">
      <c r="A220" s="60" t="s">
        <v>330</v>
      </c>
      <c r="B220" s="60" t="s">
        <v>331</v>
      </c>
      <c r="C220" s="34">
        <v>4301071097</v>
      </c>
      <c r="D220" s="290">
        <v>4620207491096</v>
      </c>
      <c r="E220" s="290"/>
      <c r="F220" s="59">
        <v>1</v>
      </c>
      <c r="G220" s="35">
        <v>5</v>
      </c>
      <c r="H220" s="59">
        <v>5</v>
      </c>
      <c r="I220" s="59">
        <v>5.23</v>
      </c>
      <c r="J220" s="35">
        <v>84</v>
      </c>
      <c r="K220" s="35" t="s">
        <v>89</v>
      </c>
      <c r="L220" s="35" t="s">
        <v>121</v>
      </c>
      <c r="M220" s="36" t="s">
        <v>88</v>
      </c>
      <c r="N220" s="36"/>
      <c r="O220" s="35">
        <v>180</v>
      </c>
      <c r="P22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2"/>
      <c r="R220" s="292"/>
      <c r="S220" s="292"/>
      <c r="T220" s="293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IFERROR(IF(X220="","",X220*0.0155),"")</f>
        <v>0</v>
      </c>
      <c r="AA220" s="65" t="s">
        <v>46</v>
      </c>
      <c r="AB220" s="66" t="s">
        <v>46</v>
      </c>
      <c r="AC220" s="240" t="s">
        <v>332</v>
      </c>
      <c r="AG220" s="78"/>
      <c r="AJ220" s="82" t="s">
        <v>122</v>
      </c>
      <c r="AK220" s="82">
        <v>12</v>
      </c>
      <c r="BB220" s="241" t="s">
        <v>70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8"/>
      <c r="P221" s="294" t="s">
        <v>40</v>
      </c>
      <c r="Q221" s="295"/>
      <c r="R221" s="295"/>
      <c r="S221" s="295"/>
      <c r="T221" s="295"/>
      <c r="U221" s="295"/>
      <c r="V221" s="296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8"/>
      <c r="P222" s="294" t="s">
        <v>40</v>
      </c>
      <c r="Q222" s="295"/>
      <c r="R222" s="295"/>
      <c r="S222" s="295"/>
      <c r="T222" s="295"/>
      <c r="U222" s="295"/>
      <c r="V222" s="296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16.5" hidden="1" customHeight="1" x14ac:dyDescent="0.25">
      <c r="A223" s="318" t="s">
        <v>333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62"/>
      <c r="AB223" s="62"/>
      <c r="AC223" s="62"/>
    </row>
    <row r="224" spans="1:68" ht="14.25" hidden="1" customHeight="1" x14ac:dyDescent="0.25">
      <c r="A224" s="308" t="s">
        <v>159</v>
      </c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  <c r="R224" s="308"/>
      <c r="S224" s="308"/>
      <c r="T224" s="308"/>
      <c r="U224" s="308"/>
      <c r="V224" s="308"/>
      <c r="W224" s="308"/>
      <c r="X224" s="308"/>
      <c r="Y224" s="308"/>
      <c r="Z224" s="308"/>
      <c r="AA224" s="63"/>
      <c r="AB224" s="63"/>
      <c r="AC224" s="63"/>
    </row>
    <row r="225" spans="1:68" ht="27" hidden="1" customHeight="1" x14ac:dyDescent="0.25">
      <c r="A225" s="60" t="s">
        <v>334</v>
      </c>
      <c r="B225" s="60" t="s">
        <v>335</v>
      </c>
      <c r="C225" s="34">
        <v>4301135694</v>
      </c>
      <c r="D225" s="290">
        <v>4620207490501</v>
      </c>
      <c r="E225" s="290"/>
      <c r="F225" s="59">
        <v>0.2</v>
      </c>
      <c r="G225" s="35">
        <v>12</v>
      </c>
      <c r="H225" s="59">
        <v>2.4</v>
      </c>
      <c r="I225" s="59">
        <v>3.1036000000000001</v>
      </c>
      <c r="J225" s="35">
        <v>70</v>
      </c>
      <c r="K225" s="35" t="s">
        <v>120</v>
      </c>
      <c r="L225" s="35" t="s">
        <v>90</v>
      </c>
      <c r="M225" s="36" t="s">
        <v>88</v>
      </c>
      <c r="N225" s="36"/>
      <c r="O225" s="35">
        <v>180</v>
      </c>
      <c r="P225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2"/>
      <c r="R225" s="292"/>
      <c r="S225" s="292"/>
      <c r="T225" s="293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IFERROR(IF(X225="","",X225*0.01788),"")</f>
        <v>0</v>
      </c>
      <c r="AA225" s="65" t="s">
        <v>46</v>
      </c>
      <c r="AB225" s="66" t="s">
        <v>46</v>
      </c>
      <c r="AC225" s="242" t="s">
        <v>336</v>
      </c>
      <c r="AG225" s="78"/>
      <c r="AJ225" s="82" t="s">
        <v>91</v>
      </c>
      <c r="AK225" s="82">
        <v>1</v>
      </c>
      <c r="BB225" s="243" t="s">
        <v>119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idden="1" x14ac:dyDescent="0.2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8"/>
      <c r="P226" s="294" t="s">
        <v>40</v>
      </c>
      <c r="Q226" s="295"/>
      <c r="R226" s="295"/>
      <c r="S226" s="295"/>
      <c r="T226" s="295"/>
      <c r="U226" s="295"/>
      <c r="V226" s="296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idden="1" x14ac:dyDescent="0.2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8"/>
      <c r="P227" s="294" t="s">
        <v>40</v>
      </c>
      <c r="Q227" s="295"/>
      <c r="R227" s="295"/>
      <c r="S227" s="295"/>
      <c r="T227" s="295"/>
      <c r="U227" s="295"/>
      <c r="V227" s="296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17" t="s">
        <v>337</v>
      </c>
      <c r="B228" s="317"/>
      <c r="C228" s="317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  <c r="AA228" s="52"/>
      <c r="AB228" s="52"/>
      <c r="AC228" s="52"/>
    </row>
    <row r="229" spans="1:68" ht="16.5" hidden="1" customHeight="1" x14ac:dyDescent="0.25">
      <c r="A229" s="318" t="s">
        <v>338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62"/>
      <c r="AB229" s="62"/>
      <c r="AC229" s="62"/>
    </row>
    <row r="230" spans="1:68" ht="14.25" hidden="1" customHeight="1" x14ac:dyDescent="0.25">
      <c r="A230" s="308" t="s">
        <v>82</v>
      </c>
      <c r="B230" s="308"/>
      <c r="C230" s="308"/>
      <c r="D230" s="308"/>
      <c r="E230" s="308"/>
      <c r="F230" s="308"/>
      <c r="G230" s="308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  <c r="R230" s="308"/>
      <c r="S230" s="308"/>
      <c r="T230" s="308"/>
      <c r="U230" s="308"/>
      <c r="V230" s="308"/>
      <c r="W230" s="308"/>
      <c r="X230" s="308"/>
      <c r="Y230" s="308"/>
      <c r="Z230" s="308"/>
      <c r="AA230" s="63"/>
      <c r="AB230" s="63"/>
      <c r="AC230" s="63"/>
    </row>
    <row r="231" spans="1:68" ht="27" hidden="1" customHeight="1" x14ac:dyDescent="0.25">
      <c r="A231" s="60" t="s">
        <v>339</v>
      </c>
      <c r="B231" s="60" t="s">
        <v>340</v>
      </c>
      <c r="C231" s="34">
        <v>4301071036</v>
      </c>
      <c r="D231" s="290">
        <v>4607111036162</v>
      </c>
      <c r="E231" s="290"/>
      <c r="F231" s="59">
        <v>0.8</v>
      </c>
      <c r="G231" s="35">
        <v>8</v>
      </c>
      <c r="H231" s="59">
        <v>6.4</v>
      </c>
      <c r="I231" s="59">
        <v>6.6811999999999996</v>
      </c>
      <c r="J231" s="35">
        <v>84</v>
      </c>
      <c r="K231" s="35" t="s">
        <v>89</v>
      </c>
      <c r="L231" s="35" t="s">
        <v>90</v>
      </c>
      <c r="M231" s="36" t="s">
        <v>88</v>
      </c>
      <c r="N231" s="36"/>
      <c r="O231" s="35">
        <v>90</v>
      </c>
      <c r="P231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2"/>
      <c r="R231" s="292"/>
      <c r="S231" s="292"/>
      <c r="T231" s="293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4" t="s">
        <v>341</v>
      </c>
      <c r="AG231" s="78"/>
      <c r="AJ231" s="82" t="s">
        <v>91</v>
      </c>
      <c r="AK231" s="82">
        <v>1</v>
      </c>
      <c r="BB231" s="245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idden="1" x14ac:dyDescent="0.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8"/>
      <c r="P232" s="294" t="s">
        <v>40</v>
      </c>
      <c r="Q232" s="295"/>
      <c r="R232" s="295"/>
      <c r="S232" s="295"/>
      <c r="T232" s="295"/>
      <c r="U232" s="295"/>
      <c r="V232" s="296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idden="1" x14ac:dyDescent="0.2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8"/>
      <c r="P233" s="294" t="s">
        <v>40</v>
      </c>
      <c r="Q233" s="295"/>
      <c r="R233" s="295"/>
      <c r="S233" s="295"/>
      <c r="T233" s="295"/>
      <c r="U233" s="295"/>
      <c r="V233" s="296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17" t="s">
        <v>342</v>
      </c>
      <c r="B234" s="317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52"/>
      <c r="AB234" s="52"/>
      <c r="AC234" s="52"/>
    </row>
    <row r="235" spans="1:68" ht="16.5" hidden="1" customHeight="1" x14ac:dyDescent="0.25">
      <c r="A235" s="318" t="s">
        <v>343</v>
      </c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62"/>
      <c r="AB235" s="62"/>
      <c r="AC235" s="62"/>
    </row>
    <row r="236" spans="1:68" ht="14.25" hidden="1" customHeight="1" x14ac:dyDescent="0.25">
      <c r="A236" s="308" t="s">
        <v>82</v>
      </c>
      <c r="B236" s="308"/>
      <c r="C236" s="308"/>
      <c r="D236" s="308"/>
      <c r="E236" s="308"/>
      <c r="F236" s="308"/>
      <c r="G236" s="308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  <c r="R236" s="308"/>
      <c r="S236" s="308"/>
      <c r="T236" s="308"/>
      <c r="U236" s="308"/>
      <c r="V236" s="308"/>
      <c r="W236" s="308"/>
      <c r="X236" s="308"/>
      <c r="Y236" s="308"/>
      <c r="Z236" s="308"/>
      <c r="AA236" s="63"/>
      <c r="AB236" s="63"/>
      <c r="AC236" s="63"/>
    </row>
    <row r="237" spans="1:68" ht="27" hidden="1" customHeight="1" x14ac:dyDescent="0.25">
      <c r="A237" s="60" t="s">
        <v>344</v>
      </c>
      <c r="B237" s="60" t="s">
        <v>345</v>
      </c>
      <c r="C237" s="34">
        <v>4301071029</v>
      </c>
      <c r="D237" s="290">
        <v>4607111035899</v>
      </c>
      <c r="E237" s="290"/>
      <c r="F237" s="59">
        <v>1</v>
      </c>
      <c r="G237" s="35">
        <v>5</v>
      </c>
      <c r="H237" s="59">
        <v>5</v>
      </c>
      <c r="I237" s="59">
        <v>5.2619999999999996</v>
      </c>
      <c r="J237" s="35">
        <v>84</v>
      </c>
      <c r="K237" s="35" t="s">
        <v>89</v>
      </c>
      <c r="L237" s="35" t="s">
        <v>121</v>
      </c>
      <c r="M237" s="36" t="s">
        <v>88</v>
      </c>
      <c r="N237" s="36"/>
      <c r="O237" s="35">
        <v>180</v>
      </c>
      <c r="P237" s="32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292"/>
      <c r="R237" s="292"/>
      <c r="S237" s="292"/>
      <c r="T237" s="293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IFERROR(IF(X237="","",X237*0.0155),"")</f>
        <v>0</v>
      </c>
      <c r="AA237" s="65" t="s">
        <v>46</v>
      </c>
      <c r="AB237" s="66" t="s">
        <v>46</v>
      </c>
      <c r="AC237" s="246" t="s">
        <v>287</v>
      </c>
      <c r="AG237" s="78"/>
      <c r="AJ237" s="82" t="s">
        <v>122</v>
      </c>
      <c r="AK237" s="82">
        <v>12</v>
      </c>
      <c r="BB237" s="247" t="s">
        <v>70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8"/>
      <c r="P238" s="294" t="s">
        <v>40</v>
      </c>
      <c r="Q238" s="295"/>
      <c r="R238" s="295"/>
      <c r="S238" s="295"/>
      <c r="T238" s="295"/>
      <c r="U238" s="295"/>
      <c r="V238" s="296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8"/>
      <c r="P239" s="294" t="s">
        <v>40</v>
      </c>
      <c r="Q239" s="295"/>
      <c r="R239" s="295"/>
      <c r="S239" s="295"/>
      <c r="T239" s="295"/>
      <c r="U239" s="295"/>
      <c r="V239" s="296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17" t="s">
        <v>346</v>
      </c>
      <c r="B240" s="317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52"/>
      <c r="AB240" s="52"/>
      <c r="AC240" s="52"/>
    </row>
    <row r="241" spans="1:68" ht="16.5" hidden="1" customHeight="1" x14ac:dyDescent="0.25">
      <c r="A241" s="318" t="s">
        <v>347</v>
      </c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62"/>
      <c r="AB241" s="62"/>
      <c r="AC241" s="62"/>
    </row>
    <row r="242" spans="1:68" ht="14.25" hidden="1" customHeight="1" x14ac:dyDescent="0.25">
      <c r="A242" s="308" t="s">
        <v>348</v>
      </c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  <c r="R242" s="308"/>
      <c r="S242" s="308"/>
      <c r="T242" s="308"/>
      <c r="U242" s="308"/>
      <c r="V242" s="308"/>
      <c r="W242" s="308"/>
      <c r="X242" s="308"/>
      <c r="Y242" s="308"/>
      <c r="Z242" s="308"/>
      <c r="AA242" s="63"/>
      <c r="AB242" s="63"/>
      <c r="AC242" s="63"/>
    </row>
    <row r="243" spans="1:68" ht="27" hidden="1" customHeight="1" x14ac:dyDescent="0.25">
      <c r="A243" s="60" t="s">
        <v>349</v>
      </c>
      <c r="B243" s="60" t="s">
        <v>350</v>
      </c>
      <c r="C243" s="34">
        <v>4301133004</v>
      </c>
      <c r="D243" s="290">
        <v>4607111039774</v>
      </c>
      <c r="E243" s="290"/>
      <c r="F243" s="59">
        <v>0.25</v>
      </c>
      <c r="G243" s="35">
        <v>12</v>
      </c>
      <c r="H243" s="59">
        <v>3</v>
      </c>
      <c r="I243" s="59">
        <v>3.22</v>
      </c>
      <c r="J243" s="35">
        <v>70</v>
      </c>
      <c r="K243" s="35" t="s">
        <v>120</v>
      </c>
      <c r="L243" s="35" t="s">
        <v>90</v>
      </c>
      <c r="M243" s="36" t="s">
        <v>88</v>
      </c>
      <c r="N243" s="36"/>
      <c r="O243" s="35">
        <v>180</v>
      </c>
      <c r="P243" s="32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292"/>
      <c r="R243" s="292"/>
      <c r="S243" s="292"/>
      <c r="T243" s="293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8" t="s">
        <v>351</v>
      </c>
      <c r="AG243" s="78"/>
      <c r="AJ243" s="82" t="s">
        <v>91</v>
      </c>
      <c r="AK243" s="82">
        <v>1</v>
      </c>
      <c r="BB243" s="249" t="s">
        <v>119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8"/>
      <c r="P244" s="294" t="s">
        <v>40</v>
      </c>
      <c r="Q244" s="295"/>
      <c r="R244" s="295"/>
      <c r="S244" s="295"/>
      <c r="T244" s="295"/>
      <c r="U244" s="295"/>
      <c r="V244" s="296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8"/>
      <c r="P245" s="294" t="s">
        <v>40</v>
      </c>
      <c r="Q245" s="295"/>
      <c r="R245" s="295"/>
      <c r="S245" s="295"/>
      <c r="T245" s="295"/>
      <c r="U245" s="295"/>
      <c r="V245" s="296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08" t="s">
        <v>159</v>
      </c>
      <c r="B246" s="308"/>
      <c r="C246" s="308"/>
      <c r="D246" s="308"/>
      <c r="E246" s="308"/>
      <c r="F246" s="308"/>
      <c r="G246" s="308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  <c r="AA246" s="63"/>
      <c r="AB246" s="63"/>
      <c r="AC246" s="63"/>
    </row>
    <row r="247" spans="1:68" ht="37.5" hidden="1" customHeight="1" x14ac:dyDescent="0.25">
      <c r="A247" s="60" t="s">
        <v>352</v>
      </c>
      <c r="B247" s="60" t="s">
        <v>353</v>
      </c>
      <c r="C247" s="34">
        <v>4301135400</v>
      </c>
      <c r="D247" s="290">
        <v>4607111039361</v>
      </c>
      <c r="E247" s="290"/>
      <c r="F247" s="59">
        <v>0.25</v>
      </c>
      <c r="G247" s="35">
        <v>12</v>
      </c>
      <c r="H247" s="59">
        <v>3</v>
      </c>
      <c r="I247" s="59">
        <v>3.7035999999999998</v>
      </c>
      <c r="J247" s="35">
        <v>70</v>
      </c>
      <c r="K247" s="35" t="s">
        <v>120</v>
      </c>
      <c r="L247" s="35" t="s">
        <v>90</v>
      </c>
      <c r="M247" s="36" t="s">
        <v>88</v>
      </c>
      <c r="N247" s="36"/>
      <c r="O247" s="35">
        <v>180</v>
      </c>
      <c r="P24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292"/>
      <c r="R247" s="292"/>
      <c r="S247" s="292"/>
      <c r="T247" s="293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IFERROR(IF(X247="","",X247*0.01788),"")</f>
        <v>0</v>
      </c>
      <c r="AA247" s="65" t="s">
        <v>46</v>
      </c>
      <c r="AB247" s="66" t="s">
        <v>46</v>
      </c>
      <c r="AC247" s="250" t="s">
        <v>351</v>
      </c>
      <c r="AG247" s="78"/>
      <c r="AJ247" s="82" t="s">
        <v>91</v>
      </c>
      <c r="AK247" s="82">
        <v>1</v>
      </c>
      <c r="BB247" s="251" t="s">
        <v>119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8"/>
      <c r="P248" s="294" t="s">
        <v>40</v>
      </c>
      <c r="Q248" s="295"/>
      <c r="R248" s="295"/>
      <c r="S248" s="295"/>
      <c r="T248" s="295"/>
      <c r="U248" s="295"/>
      <c r="V248" s="296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8"/>
      <c r="P249" s="294" t="s">
        <v>40</v>
      </c>
      <c r="Q249" s="295"/>
      <c r="R249" s="295"/>
      <c r="S249" s="295"/>
      <c r="T249" s="295"/>
      <c r="U249" s="295"/>
      <c r="V249" s="296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17" t="s">
        <v>354</v>
      </c>
      <c r="B250" s="317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52"/>
      <c r="AB250" s="52"/>
      <c r="AC250" s="52"/>
    </row>
    <row r="251" spans="1:68" ht="16.5" hidden="1" customHeight="1" x14ac:dyDescent="0.25">
      <c r="A251" s="318" t="s">
        <v>354</v>
      </c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62"/>
      <c r="AB251" s="62"/>
      <c r="AC251" s="62"/>
    </row>
    <row r="252" spans="1:68" ht="14.25" hidden="1" customHeight="1" x14ac:dyDescent="0.25">
      <c r="A252" s="308" t="s">
        <v>115</v>
      </c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  <c r="R252" s="308"/>
      <c r="S252" s="308"/>
      <c r="T252" s="308"/>
      <c r="U252" s="308"/>
      <c r="V252" s="308"/>
      <c r="W252" s="308"/>
      <c r="X252" s="308"/>
      <c r="Y252" s="308"/>
      <c r="Z252" s="308"/>
      <c r="AA252" s="63"/>
      <c r="AB252" s="63"/>
      <c r="AC252" s="63"/>
    </row>
    <row r="253" spans="1:68" ht="27" hidden="1" customHeight="1" x14ac:dyDescent="0.25">
      <c r="A253" s="60" t="s">
        <v>355</v>
      </c>
      <c r="B253" s="60" t="s">
        <v>356</v>
      </c>
      <c r="C253" s="34">
        <v>4301132228</v>
      </c>
      <c r="D253" s="290">
        <v>4640242181950</v>
      </c>
      <c r="E253" s="290"/>
      <c r="F253" s="59">
        <v>0.23</v>
      </c>
      <c r="G253" s="35">
        <v>12</v>
      </c>
      <c r="H253" s="59">
        <v>2.76</v>
      </c>
      <c r="I253" s="59">
        <v>3.22</v>
      </c>
      <c r="J253" s="35">
        <v>70</v>
      </c>
      <c r="K253" s="35" t="s">
        <v>120</v>
      </c>
      <c r="L253" s="35" t="s">
        <v>90</v>
      </c>
      <c r="M253" s="36" t="s">
        <v>88</v>
      </c>
      <c r="N253" s="36"/>
      <c r="O253" s="35">
        <v>365</v>
      </c>
      <c r="P253" s="32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292"/>
      <c r="R253" s="292"/>
      <c r="S253" s="292"/>
      <c r="T253" s="293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IFERROR(IF(X253="","",X253*0.01788),"")</f>
        <v>0</v>
      </c>
      <c r="AA253" s="65" t="s">
        <v>46</v>
      </c>
      <c r="AB253" s="66" t="s">
        <v>46</v>
      </c>
      <c r="AC253" s="252" t="s">
        <v>357</v>
      </c>
      <c r="AG253" s="78"/>
      <c r="AJ253" s="82" t="s">
        <v>91</v>
      </c>
      <c r="AK253" s="82">
        <v>1</v>
      </c>
      <c r="BB253" s="253" t="s">
        <v>119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8"/>
      <c r="P254" s="294" t="s">
        <v>40</v>
      </c>
      <c r="Q254" s="295"/>
      <c r="R254" s="295"/>
      <c r="S254" s="295"/>
      <c r="T254" s="295"/>
      <c r="U254" s="295"/>
      <c r="V254" s="296"/>
      <c r="W254" s="40" t="s">
        <v>39</v>
      </c>
      <c r="X254" s="41">
        <f>IFERROR(SUM(X253:X253),"0")</f>
        <v>0</v>
      </c>
      <c r="Y254" s="41">
        <f>IFERROR(SUM(Y253:Y253),"0")</f>
        <v>0</v>
      </c>
      <c r="Z254" s="41">
        <f>IFERROR(IF(Z253="",0,Z253),"0")</f>
        <v>0</v>
      </c>
      <c r="AA254" s="64"/>
      <c r="AB254" s="64"/>
      <c r="AC254" s="64"/>
    </row>
    <row r="255" spans="1:68" hidden="1" x14ac:dyDescent="0.2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8"/>
      <c r="P255" s="294" t="s">
        <v>40</v>
      </c>
      <c r="Q255" s="295"/>
      <c r="R255" s="295"/>
      <c r="S255" s="295"/>
      <c r="T255" s="295"/>
      <c r="U255" s="295"/>
      <c r="V255" s="296"/>
      <c r="W255" s="40" t="s">
        <v>0</v>
      </c>
      <c r="X255" s="41">
        <f>IFERROR(SUMPRODUCT(X253:X253*H253:H253),"0")</f>
        <v>0</v>
      </c>
      <c r="Y255" s="41">
        <f>IFERROR(SUMPRODUCT(Y253:Y253*H253:H253),"0")</f>
        <v>0</v>
      </c>
      <c r="Z255" s="40"/>
      <c r="AA255" s="64"/>
      <c r="AB255" s="64"/>
      <c r="AC255" s="64"/>
    </row>
    <row r="256" spans="1:68" ht="27.75" hidden="1" customHeight="1" x14ac:dyDescent="0.2">
      <c r="A256" s="317" t="s">
        <v>358</v>
      </c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52"/>
      <c r="AB256" s="52"/>
      <c r="AC256" s="52"/>
    </row>
    <row r="257" spans="1:68" ht="16.5" hidden="1" customHeight="1" x14ac:dyDescent="0.25">
      <c r="A257" s="318" t="s">
        <v>358</v>
      </c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62"/>
      <c r="AB257" s="62"/>
      <c r="AC257" s="62"/>
    </row>
    <row r="258" spans="1:68" ht="14.25" hidden="1" customHeight="1" x14ac:dyDescent="0.25">
      <c r="A258" s="308" t="s">
        <v>82</v>
      </c>
      <c r="B258" s="308"/>
      <c r="C258" s="308"/>
      <c r="D258" s="308"/>
      <c r="E258" s="308"/>
      <c r="F258" s="308"/>
      <c r="G258" s="308"/>
      <c r="H258" s="308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08"/>
      <c r="U258" s="308"/>
      <c r="V258" s="308"/>
      <c r="W258" s="308"/>
      <c r="X258" s="308"/>
      <c r="Y258" s="308"/>
      <c r="Z258" s="308"/>
      <c r="AA258" s="63"/>
      <c r="AB258" s="63"/>
      <c r="AC258" s="63"/>
    </row>
    <row r="259" spans="1:68" ht="27" hidden="1" customHeight="1" x14ac:dyDescent="0.25">
      <c r="A259" s="60" t="s">
        <v>359</v>
      </c>
      <c r="B259" s="60" t="s">
        <v>360</v>
      </c>
      <c r="C259" s="34">
        <v>4301071014</v>
      </c>
      <c r="D259" s="290">
        <v>4640242181264</v>
      </c>
      <c r="E259" s="290"/>
      <c r="F259" s="59">
        <v>0.7</v>
      </c>
      <c r="G259" s="35">
        <v>10</v>
      </c>
      <c r="H259" s="59">
        <v>7</v>
      </c>
      <c r="I259" s="59">
        <v>7.28</v>
      </c>
      <c r="J259" s="35">
        <v>84</v>
      </c>
      <c r="K259" s="35" t="s">
        <v>89</v>
      </c>
      <c r="L259" s="35" t="s">
        <v>90</v>
      </c>
      <c r="M259" s="36" t="s">
        <v>88</v>
      </c>
      <c r="N259" s="36"/>
      <c r="O259" s="35">
        <v>180</v>
      </c>
      <c r="P259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2"/>
      <c r="R259" s="292"/>
      <c r="S259" s="292"/>
      <c r="T259" s="293"/>
      <c r="U259" s="37" t="s">
        <v>46</v>
      </c>
      <c r="V259" s="37" t="s">
        <v>46</v>
      </c>
      <c r="W259" s="38" t="s">
        <v>39</v>
      </c>
      <c r="X259" s="56">
        <v>0</v>
      </c>
      <c r="Y259" s="53">
        <f>IFERROR(IF(X259="","",X259),"")</f>
        <v>0</v>
      </c>
      <c r="Z259" s="39">
        <f>IFERROR(IF(X259="","",X259*0.0155),"")</f>
        <v>0</v>
      </c>
      <c r="AA259" s="65" t="s">
        <v>46</v>
      </c>
      <c r="AB259" s="66" t="s">
        <v>46</v>
      </c>
      <c r="AC259" s="254" t="s">
        <v>361</v>
      </c>
      <c r="AG259" s="78"/>
      <c r="AJ259" s="82" t="s">
        <v>91</v>
      </c>
      <c r="AK259" s="82">
        <v>1</v>
      </c>
      <c r="BB259" s="255" t="s">
        <v>70</v>
      </c>
      <c r="BM259" s="78">
        <f>IFERROR(X259*I259,"0")</f>
        <v>0</v>
      </c>
      <c r="BN259" s="78">
        <f>IFERROR(Y259*I259,"0")</f>
        <v>0</v>
      </c>
      <c r="BO259" s="78">
        <f>IFERROR(X259/J259,"0")</f>
        <v>0</v>
      </c>
      <c r="BP259" s="78">
        <f>IFERROR(Y259/J259,"0")</f>
        <v>0</v>
      </c>
    </row>
    <row r="260" spans="1:68" ht="27" hidden="1" customHeight="1" x14ac:dyDescent="0.25">
      <c r="A260" s="60" t="s">
        <v>362</v>
      </c>
      <c r="B260" s="60" t="s">
        <v>363</v>
      </c>
      <c r="C260" s="34">
        <v>4301071021</v>
      </c>
      <c r="D260" s="290">
        <v>4640242181325</v>
      </c>
      <c r="E260" s="290"/>
      <c r="F260" s="59">
        <v>0.7</v>
      </c>
      <c r="G260" s="35">
        <v>10</v>
      </c>
      <c r="H260" s="59">
        <v>7</v>
      </c>
      <c r="I260" s="59">
        <v>7.28</v>
      </c>
      <c r="J260" s="35">
        <v>84</v>
      </c>
      <c r="K260" s="35" t="s">
        <v>89</v>
      </c>
      <c r="L260" s="35" t="s">
        <v>90</v>
      </c>
      <c r="M260" s="36" t="s">
        <v>88</v>
      </c>
      <c r="N260" s="36"/>
      <c r="O260" s="35">
        <v>180</v>
      </c>
      <c r="P260" s="3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292"/>
      <c r="R260" s="292"/>
      <c r="S260" s="292"/>
      <c r="T260" s="293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56" t="s">
        <v>361</v>
      </c>
      <c r="AG260" s="78"/>
      <c r="AJ260" s="82" t="s">
        <v>91</v>
      </c>
      <c r="AK260" s="82">
        <v>1</v>
      </c>
      <c r="BB260" s="257" t="s">
        <v>70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8"/>
      <c r="P261" s="294" t="s">
        <v>40</v>
      </c>
      <c r="Q261" s="295"/>
      <c r="R261" s="295"/>
      <c r="S261" s="295"/>
      <c r="T261" s="295"/>
      <c r="U261" s="295"/>
      <c r="V261" s="296"/>
      <c r="W261" s="40" t="s">
        <v>39</v>
      </c>
      <c r="X261" s="41">
        <f>IFERROR(SUM(X259:X260),"0")</f>
        <v>0</v>
      </c>
      <c r="Y261" s="41">
        <f>IFERROR(SUM(Y259:Y260),"0")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8"/>
      <c r="P262" s="294" t="s">
        <v>40</v>
      </c>
      <c r="Q262" s="295"/>
      <c r="R262" s="295"/>
      <c r="S262" s="295"/>
      <c r="T262" s="295"/>
      <c r="U262" s="295"/>
      <c r="V262" s="296"/>
      <c r="W262" s="40" t="s">
        <v>0</v>
      </c>
      <c r="X262" s="41">
        <f>IFERROR(SUMPRODUCT(X259:X260*H259:H260),"0")</f>
        <v>0</v>
      </c>
      <c r="Y262" s="41">
        <f>IFERROR(SUMPRODUCT(Y259:Y260*H259:H260),"0")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08" t="s">
        <v>115</v>
      </c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63"/>
      <c r="AB263" s="63"/>
      <c r="AC263" s="63"/>
    </row>
    <row r="264" spans="1:68" ht="27" hidden="1" customHeight="1" x14ac:dyDescent="0.25">
      <c r="A264" s="60" t="s">
        <v>364</v>
      </c>
      <c r="B264" s="60" t="s">
        <v>365</v>
      </c>
      <c r="C264" s="34">
        <v>4301132080</v>
      </c>
      <c r="D264" s="290">
        <v>4640242180397</v>
      </c>
      <c r="E264" s="290"/>
      <c r="F264" s="59">
        <v>1</v>
      </c>
      <c r="G264" s="35">
        <v>6</v>
      </c>
      <c r="H264" s="59">
        <v>6</v>
      </c>
      <c r="I264" s="59">
        <v>6.26</v>
      </c>
      <c r="J264" s="35">
        <v>84</v>
      </c>
      <c r="K264" s="35" t="s">
        <v>89</v>
      </c>
      <c r="L264" s="35" t="s">
        <v>121</v>
      </c>
      <c r="M264" s="36" t="s">
        <v>88</v>
      </c>
      <c r="N264" s="36"/>
      <c r="O264" s="35">
        <v>180</v>
      </c>
      <c r="P264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292"/>
      <c r="R264" s="292"/>
      <c r="S264" s="292"/>
      <c r="T264" s="293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IFERROR(IF(X264="","",X264*0.0155),"")</f>
        <v>0</v>
      </c>
      <c r="AA264" s="65" t="s">
        <v>46</v>
      </c>
      <c r="AB264" s="66" t="s">
        <v>46</v>
      </c>
      <c r="AC264" s="258" t="s">
        <v>366</v>
      </c>
      <c r="AG264" s="78"/>
      <c r="AJ264" s="82" t="s">
        <v>122</v>
      </c>
      <c r="AK264" s="82">
        <v>12</v>
      </c>
      <c r="BB264" s="259" t="s">
        <v>119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hidden="1" x14ac:dyDescent="0.2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8"/>
      <c r="P265" s="294" t="s">
        <v>40</v>
      </c>
      <c r="Q265" s="295"/>
      <c r="R265" s="295"/>
      <c r="S265" s="295"/>
      <c r="T265" s="295"/>
      <c r="U265" s="295"/>
      <c r="V265" s="296"/>
      <c r="W265" s="40" t="s">
        <v>39</v>
      </c>
      <c r="X265" s="41">
        <f>IFERROR(SUM(X264:X264),"0")</f>
        <v>0</v>
      </c>
      <c r="Y265" s="41">
        <f>IFERROR(SUM(Y264:Y264),"0")</f>
        <v>0</v>
      </c>
      <c r="Z265" s="41">
        <f>IFERROR(IF(Z264="",0,Z264),"0")</f>
        <v>0</v>
      </c>
      <c r="AA265" s="64"/>
      <c r="AB265" s="64"/>
      <c r="AC265" s="64"/>
    </row>
    <row r="266" spans="1:68" hidden="1" x14ac:dyDescent="0.2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8"/>
      <c r="P266" s="294" t="s">
        <v>40</v>
      </c>
      <c r="Q266" s="295"/>
      <c r="R266" s="295"/>
      <c r="S266" s="295"/>
      <c r="T266" s="295"/>
      <c r="U266" s="295"/>
      <c r="V266" s="296"/>
      <c r="W266" s="40" t="s">
        <v>0</v>
      </c>
      <c r="X266" s="41">
        <f>IFERROR(SUMPRODUCT(X264:X264*H264:H264),"0")</f>
        <v>0</v>
      </c>
      <c r="Y266" s="41">
        <f>IFERROR(SUMPRODUCT(Y264:Y264*H264:H264),"0")</f>
        <v>0</v>
      </c>
      <c r="Z266" s="40"/>
      <c r="AA266" s="64"/>
      <c r="AB266" s="64"/>
      <c r="AC266" s="64"/>
    </row>
    <row r="267" spans="1:68" ht="14.25" hidden="1" customHeight="1" x14ac:dyDescent="0.25">
      <c r="A267" s="308" t="s">
        <v>153</v>
      </c>
      <c r="B267" s="308"/>
      <c r="C267" s="308"/>
      <c r="D267" s="308"/>
      <c r="E267" s="308"/>
      <c r="F267" s="308"/>
      <c r="G267" s="308"/>
      <c r="H267" s="308"/>
      <c r="I267" s="308"/>
      <c r="J267" s="308"/>
      <c r="K267" s="308"/>
      <c r="L267" s="308"/>
      <c r="M267" s="308"/>
      <c r="N267" s="308"/>
      <c r="O267" s="308"/>
      <c r="P267" s="308"/>
      <c r="Q267" s="308"/>
      <c r="R267" s="308"/>
      <c r="S267" s="308"/>
      <c r="T267" s="308"/>
      <c r="U267" s="308"/>
      <c r="V267" s="308"/>
      <c r="W267" s="308"/>
      <c r="X267" s="308"/>
      <c r="Y267" s="308"/>
      <c r="Z267" s="308"/>
      <c r="AA267" s="63"/>
      <c r="AB267" s="63"/>
      <c r="AC267" s="63"/>
    </row>
    <row r="268" spans="1:68" ht="27" hidden="1" customHeight="1" x14ac:dyDescent="0.25">
      <c r="A268" s="60" t="s">
        <v>367</v>
      </c>
      <c r="B268" s="60" t="s">
        <v>368</v>
      </c>
      <c r="C268" s="34">
        <v>4301136051</v>
      </c>
      <c r="D268" s="290">
        <v>4640242180304</v>
      </c>
      <c r="E268" s="290"/>
      <c r="F268" s="59">
        <v>2.7</v>
      </c>
      <c r="G268" s="35">
        <v>1</v>
      </c>
      <c r="H268" s="59">
        <v>2.7</v>
      </c>
      <c r="I268" s="59">
        <v>2.8906000000000001</v>
      </c>
      <c r="J268" s="35">
        <v>126</v>
      </c>
      <c r="K268" s="35" t="s">
        <v>120</v>
      </c>
      <c r="L268" s="35" t="s">
        <v>121</v>
      </c>
      <c r="M268" s="36" t="s">
        <v>88</v>
      </c>
      <c r="N268" s="36"/>
      <c r="O268" s="35">
        <v>180</v>
      </c>
      <c r="P268" s="31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292"/>
      <c r="R268" s="292"/>
      <c r="S268" s="292"/>
      <c r="T268" s="293"/>
      <c r="U268" s="37" t="s">
        <v>46</v>
      </c>
      <c r="V268" s="37" t="s">
        <v>46</v>
      </c>
      <c r="W268" s="38" t="s">
        <v>39</v>
      </c>
      <c r="X268" s="56">
        <v>0</v>
      </c>
      <c r="Y268" s="53">
        <f>IFERROR(IF(X268="","",X268),"")</f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0" t="s">
        <v>369</v>
      </c>
      <c r="AG268" s="78"/>
      <c r="AJ268" s="82" t="s">
        <v>122</v>
      </c>
      <c r="AK268" s="82">
        <v>14</v>
      </c>
      <c r="BB268" s="261" t="s">
        <v>119</v>
      </c>
      <c r="BM268" s="78">
        <f>IFERROR(X268*I268,"0")</f>
        <v>0</v>
      </c>
      <c r="BN268" s="78">
        <f>IFERROR(Y268*I268,"0")</f>
        <v>0</v>
      </c>
      <c r="BO268" s="78">
        <f>IFERROR(X268/J268,"0")</f>
        <v>0</v>
      </c>
      <c r="BP268" s="78">
        <f>IFERROR(Y268/J268,"0")</f>
        <v>0</v>
      </c>
    </row>
    <row r="269" spans="1:68" ht="27" hidden="1" customHeight="1" x14ac:dyDescent="0.25">
      <c r="A269" s="60" t="s">
        <v>370</v>
      </c>
      <c r="B269" s="60" t="s">
        <v>371</v>
      </c>
      <c r="C269" s="34">
        <v>4301136053</v>
      </c>
      <c r="D269" s="290">
        <v>4640242180236</v>
      </c>
      <c r="E269" s="290"/>
      <c r="F269" s="59">
        <v>5</v>
      </c>
      <c r="G269" s="35">
        <v>1</v>
      </c>
      <c r="H269" s="59">
        <v>5</v>
      </c>
      <c r="I269" s="59">
        <v>5.2350000000000003</v>
      </c>
      <c r="J269" s="35">
        <v>84</v>
      </c>
      <c r="K269" s="35" t="s">
        <v>89</v>
      </c>
      <c r="L269" s="35" t="s">
        <v>121</v>
      </c>
      <c r="M269" s="36" t="s">
        <v>88</v>
      </c>
      <c r="N269" s="36"/>
      <c r="O269" s="35">
        <v>180</v>
      </c>
      <c r="P269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292"/>
      <c r="R269" s="292"/>
      <c r="S269" s="292"/>
      <c r="T269" s="293"/>
      <c r="U269" s="37" t="s">
        <v>46</v>
      </c>
      <c r="V269" s="37" t="s">
        <v>46</v>
      </c>
      <c r="W269" s="38" t="s">
        <v>39</v>
      </c>
      <c r="X269" s="56">
        <v>0</v>
      </c>
      <c r="Y269" s="53">
        <f>IFERROR(IF(X269="","",X269),"")</f>
        <v>0</v>
      </c>
      <c r="Z269" s="39">
        <f>IFERROR(IF(X269="","",X269*0.0155),"")</f>
        <v>0</v>
      </c>
      <c r="AA269" s="65" t="s">
        <v>46</v>
      </c>
      <c r="AB269" s="66" t="s">
        <v>46</v>
      </c>
      <c r="AC269" s="262" t="s">
        <v>369</v>
      </c>
      <c r="AG269" s="78"/>
      <c r="AJ269" s="82" t="s">
        <v>122</v>
      </c>
      <c r="AK269" s="82">
        <v>12</v>
      </c>
      <c r="BB269" s="263" t="s">
        <v>119</v>
      </c>
      <c r="BM269" s="78">
        <f>IFERROR(X269*I269,"0")</f>
        <v>0</v>
      </c>
      <c r="BN269" s="78">
        <f>IFERROR(Y269*I269,"0")</f>
        <v>0</v>
      </c>
      <c r="BO269" s="78">
        <f>IFERROR(X269/J269,"0")</f>
        <v>0</v>
      </c>
      <c r="BP269" s="78">
        <f>IFERROR(Y269/J269,"0")</f>
        <v>0</v>
      </c>
    </row>
    <row r="270" spans="1:68" ht="27" hidden="1" customHeight="1" x14ac:dyDescent="0.25">
      <c r="A270" s="60" t="s">
        <v>372</v>
      </c>
      <c r="B270" s="60" t="s">
        <v>373</v>
      </c>
      <c r="C270" s="34">
        <v>4301136052</v>
      </c>
      <c r="D270" s="290">
        <v>4640242180410</v>
      </c>
      <c r="E270" s="290"/>
      <c r="F270" s="59">
        <v>2.2400000000000002</v>
      </c>
      <c r="G270" s="35">
        <v>1</v>
      </c>
      <c r="H270" s="59">
        <v>2.2400000000000002</v>
      </c>
      <c r="I270" s="59">
        <v>2.4319999999999999</v>
      </c>
      <c r="J270" s="35">
        <v>126</v>
      </c>
      <c r="K270" s="35" t="s">
        <v>120</v>
      </c>
      <c r="L270" s="35" t="s">
        <v>121</v>
      </c>
      <c r="M270" s="36" t="s">
        <v>88</v>
      </c>
      <c r="N270" s="36"/>
      <c r="O270" s="35">
        <v>180</v>
      </c>
      <c r="P270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292"/>
      <c r="R270" s="292"/>
      <c r="S270" s="292"/>
      <c r="T270" s="293"/>
      <c r="U270" s="37" t="s">
        <v>46</v>
      </c>
      <c r="V270" s="37" t="s">
        <v>46</v>
      </c>
      <c r="W270" s="38" t="s">
        <v>39</v>
      </c>
      <c r="X270" s="56">
        <v>0</v>
      </c>
      <c r="Y270" s="53">
        <f>IFERROR(IF(X270="","",X270),"")</f>
        <v>0</v>
      </c>
      <c r="Z270" s="39">
        <f>IFERROR(IF(X270="","",X270*0.00936),"")</f>
        <v>0</v>
      </c>
      <c r="AA270" s="65" t="s">
        <v>46</v>
      </c>
      <c r="AB270" s="66" t="s">
        <v>46</v>
      </c>
      <c r="AC270" s="264" t="s">
        <v>369</v>
      </c>
      <c r="AG270" s="78"/>
      <c r="AJ270" s="82" t="s">
        <v>122</v>
      </c>
      <c r="AK270" s="82">
        <v>14</v>
      </c>
      <c r="BB270" s="265" t="s">
        <v>119</v>
      </c>
      <c r="BM270" s="78">
        <f>IFERROR(X270*I270,"0")</f>
        <v>0</v>
      </c>
      <c r="BN270" s="78">
        <f>IFERROR(Y270*I270,"0")</f>
        <v>0</v>
      </c>
      <c r="BO270" s="78">
        <f>IFERROR(X270/J270,"0")</f>
        <v>0</v>
      </c>
      <c r="BP270" s="78">
        <f>IFERROR(Y270/J270,"0")</f>
        <v>0</v>
      </c>
    </row>
    <row r="271" spans="1:68" hidden="1" x14ac:dyDescent="0.2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8"/>
      <c r="P271" s="294" t="s">
        <v>40</v>
      </c>
      <c r="Q271" s="295"/>
      <c r="R271" s="295"/>
      <c r="S271" s="295"/>
      <c r="T271" s="295"/>
      <c r="U271" s="295"/>
      <c r="V271" s="296"/>
      <c r="W271" s="40" t="s">
        <v>39</v>
      </c>
      <c r="X271" s="41">
        <f>IFERROR(SUM(X268:X270),"0")</f>
        <v>0</v>
      </c>
      <c r="Y271" s="41">
        <f>IFERROR(SUM(Y268:Y270),"0")</f>
        <v>0</v>
      </c>
      <c r="Z271" s="41">
        <f>IFERROR(IF(Z268="",0,Z268),"0")+IFERROR(IF(Z269="",0,Z269),"0")+IFERROR(IF(Z270="",0,Z270),"0")</f>
        <v>0</v>
      </c>
      <c r="AA271" s="64"/>
      <c r="AB271" s="64"/>
      <c r="AC271" s="64"/>
    </row>
    <row r="272" spans="1:68" hidden="1" x14ac:dyDescent="0.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8"/>
      <c r="P272" s="294" t="s">
        <v>40</v>
      </c>
      <c r="Q272" s="295"/>
      <c r="R272" s="295"/>
      <c r="S272" s="295"/>
      <c r="T272" s="295"/>
      <c r="U272" s="295"/>
      <c r="V272" s="296"/>
      <c r="W272" s="40" t="s">
        <v>0</v>
      </c>
      <c r="X272" s="41">
        <f>IFERROR(SUMPRODUCT(X268:X270*H268:H270),"0")</f>
        <v>0</v>
      </c>
      <c r="Y272" s="41">
        <f>IFERROR(SUMPRODUCT(Y268:Y270*H268:H270),"0")</f>
        <v>0</v>
      </c>
      <c r="Z272" s="40"/>
      <c r="AA272" s="64"/>
      <c r="AB272" s="64"/>
      <c r="AC272" s="64"/>
    </row>
    <row r="273" spans="1:68" ht="14.25" hidden="1" customHeight="1" x14ac:dyDescent="0.25">
      <c r="A273" s="308" t="s">
        <v>159</v>
      </c>
      <c r="B273" s="308"/>
      <c r="C273" s="308"/>
      <c r="D273" s="308"/>
      <c r="E273" s="308"/>
      <c r="F273" s="308"/>
      <c r="G273" s="308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  <c r="R273" s="308"/>
      <c r="S273" s="308"/>
      <c r="T273" s="308"/>
      <c r="U273" s="308"/>
      <c r="V273" s="308"/>
      <c r="W273" s="308"/>
      <c r="X273" s="308"/>
      <c r="Y273" s="308"/>
      <c r="Z273" s="308"/>
      <c r="AA273" s="63"/>
      <c r="AB273" s="63"/>
      <c r="AC273" s="63"/>
    </row>
    <row r="274" spans="1:68" ht="37.5" hidden="1" customHeight="1" x14ac:dyDescent="0.25">
      <c r="A274" s="60" t="s">
        <v>374</v>
      </c>
      <c r="B274" s="60" t="s">
        <v>375</v>
      </c>
      <c r="C274" s="34">
        <v>4301135504</v>
      </c>
      <c r="D274" s="290">
        <v>4640242181554</v>
      </c>
      <c r="E274" s="290"/>
      <c r="F274" s="59">
        <v>3</v>
      </c>
      <c r="G274" s="35">
        <v>1</v>
      </c>
      <c r="H274" s="59">
        <v>3</v>
      </c>
      <c r="I274" s="59">
        <v>3.1920000000000002</v>
      </c>
      <c r="J274" s="35">
        <v>126</v>
      </c>
      <c r="K274" s="35" t="s">
        <v>120</v>
      </c>
      <c r="L274" s="35" t="s">
        <v>90</v>
      </c>
      <c r="M274" s="36" t="s">
        <v>88</v>
      </c>
      <c r="N274" s="36"/>
      <c r="O274" s="35">
        <v>180</v>
      </c>
      <c r="P274" s="30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292"/>
      <c r="R274" s="292"/>
      <c r="S274" s="292"/>
      <c r="T274" s="293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ref="Y274:Y283" si="18">IFERROR(IF(X274="","",X274),"")</f>
        <v>0</v>
      </c>
      <c r="Z274" s="39">
        <f>IFERROR(IF(X274="","",X274*0.00936),"")</f>
        <v>0</v>
      </c>
      <c r="AA274" s="65" t="s">
        <v>46</v>
      </c>
      <c r="AB274" s="66" t="s">
        <v>46</v>
      </c>
      <c r="AC274" s="266" t="s">
        <v>376</v>
      </c>
      <c r="AG274" s="78"/>
      <c r="AJ274" s="82" t="s">
        <v>91</v>
      </c>
      <c r="AK274" s="82">
        <v>1</v>
      </c>
      <c r="BB274" s="267" t="s">
        <v>119</v>
      </c>
      <c r="BM274" s="78">
        <f t="shared" ref="BM274:BM283" si="19">IFERROR(X274*I274,"0")</f>
        <v>0</v>
      </c>
      <c r="BN274" s="78">
        <f t="shared" ref="BN274:BN283" si="20">IFERROR(Y274*I274,"0")</f>
        <v>0</v>
      </c>
      <c r="BO274" s="78">
        <f t="shared" ref="BO274:BO283" si="21">IFERROR(X274/J274,"0")</f>
        <v>0</v>
      </c>
      <c r="BP274" s="78">
        <f t="shared" ref="BP274:BP283" si="22">IFERROR(Y274/J274,"0")</f>
        <v>0</v>
      </c>
    </row>
    <row r="275" spans="1:68" ht="27" hidden="1" customHeight="1" x14ac:dyDescent="0.25">
      <c r="A275" s="60" t="s">
        <v>377</v>
      </c>
      <c r="B275" s="60" t="s">
        <v>378</v>
      </c>
      <c r="C275" s="34">
        <v>4301135518</v>
      </c>
      <c r="D275" s="290">
        <v>4640242181561</v>
      </c>
      <c r="E275" s="290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120</v>
      </c>
      <c r="L275" s="35" t="s">
        <v>121</v>
      </c>
      <c r="M275" s="36" t="s">
        <v>88</v>
      </c>
      <c r="N275" s="36"/>
      <c r="O275" s="35">
        <v>180</v>
      </c>
      <c r="P275" s="310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292"/>
      <c r="R275" s="292"/>
      <c r="S275" s="292"/>
      <c r="T275" s="293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>IFERROR(IF(X275="","",X275*0.00936),"")</f>
        <v>0</v>
      </c>
      <c r="AA275" s="65" t="s">
        <v>46</v>
      </c>
      <c r="AB275" s="66" t="s">
        <v>46</v>
      </c>
      <c r="AC275" s="268" t="s">
        <v>379</v>
      </c>
      <c r="AG275" s="78"/>
      <c r="AJ275" s="82" t="s">
        <v>122</v>
      </c>
      <c r="AK275" s="82">
        <v>14</v>
      </c>
      <c r="BB275" s="269" t="s">
        <v>119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380</v>
      </c>
      <c r="B276" s="60" t="s">
        <v>381</v>
      </c>
      <c r="C276" s="34">
        <v>4301135374</v>
      </c>
      <c r="D276" s="290">
        <v>4640242181424</v>
      </c>
      <c r="E276" s="290"/>
      <c r="F276" s="59">
        <v>5.5</v>
      </c>
      <c r="G276" s="35">
        <v>1</v>
      </c>
      <c r="H276" s="59">
        <v>5.5</v>
      </c>
      <c r="I276" s="59">
        <v>5.7350000000000003</v>
      </c>
      <c r="J276" s="35">
        <v>84</v>
      </c>
      <c r="K276" s="35" t="s">
        <v>89</v>
      </c>
      <c r="L276" s="35" t="s">
        <v>121</v>
      </c>
      <c r="M276" s="36" t="s">
        <v>88</v>
      </c>
      <c r="N276" s="36"/>
      <c r="O276" s="35">
        <v>180</v>
      </c>
      <c r="P276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292"/>
      <c r="R276" s="292"/>
      <c r="S276" s="292"/>
      <c r="T276" s="293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>IFERROR(IF(X276="","",X276*0.0155),"")</f>
        <v>0</v>
      </c>
      <c r="AA276" s="65" t="s">
        <v>46</v>
      </c>
      <c r="AB276" s="66" t="s">
        <v>46</v>
      </c>
      <c r="AC276" s="270" t="s">
        <v>376</v>
      </c>
      <c r="AG276" s="78"/>
      <c r="AJ276" s="82" t="s">
        <v>122</v>
      </c>
      <c r="AK276" s="82">
        <v>12</v>
      </c>
      <c r="BB276" s="271" t="s">
        <v>119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382</v>
      </c>
      <c r="B277" s="60" t="s">
        <v>383</v>
      </c>
      <c r="C277" s="34">
        <v>4301135405</v>
      </c>
      <c r="D277" s="290">
        <v>4640242181523</v>
      </c>
      <c r="E277" s="290"/>
      <c r="F277" s="59">
        <v>3</v>
      </c>
      <c r="G277" s="35">
        <v>1</v>
      </c>
      <c r="H277" s="59">
        <v>3</v>
      </c>
      <c r="I277" s="59">
        <v>3.1920000000000002</v>
      </c>
      <c r="J277" s="35">
        <v>126</v>
      </c>
      <c r="K277" s="35" t="s">
        <v>120</v>
      </c>
      <c r="L277" s="35" t="s">
        <v>121</v>
      </c>
      <c r="M277" s="36" t="s">
        <v>88</v>
      </c>
      <c r="N277" s="36"/>
      <c r="O277" s="35">
        <v>180</v>
      </c>
      <c r="P277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292"/>
      <c r="R277" s="292"/>
      <c r="S277" s="292"/>
      <c r="T277" s="293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ref="Z277:Z282" si="23">IFERROR(IF(X277="","",X277*0.00936),"")</f>
        <v>0</v>
      </c>
      <c r="AA277" s="65" t="s">
        <v>46</v>
      </c>
      <c r="AB277" s="66" t="s">
        <v>46</v>
      </c>
      <c r="AC277" s="272" t="s">
        <v>379</v>
      </c>
      <c r="AG277" s="78"/>
      <c r="AJ277" s="82" t="s">
        <v>122</v>
      </c>
      <c r="AK277" s="82">
        <v>14</v>
      </c>
      <c r="BB277" s="273" t="s">
        <v>119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384</v>
      </c>
      <c r="B278" s="60" t="s">
        <v>385</v>
      </c>
      <c r="C278" s="34">
        <v>4301135375</v>
      </c>
      <c r="D278" s="290">
        <v>4640242181486</v>
      </c>
      <c r="E278" s="290"/>
      <c r="F278" s="59">
        <v>3.7</v>
      </c>
      <c r="G278" s="35">
        <v>1</v>
      </c>
      <c r="H278" s="59">
        <v>3.7</v>
      </c>
      <c r="I278" s="59">
        <v>3.8919999999999999</v>
      </c>
      <c r="J278" s="35">
        <v>126</v>
      </c>
      <c r="K278" s="35" t="s">
        <v>120</v>
      </c>
      <c r="L278" s="35" t="s">
        <v>121</v>
      </c>
      <c r="M278" s="36" t="s">
        <v>88</v>
      </c>
      <c r="N278" s="36"/>
      <c r="O278" s="35">
        <v>180</v>
      </c>
      <c r="P278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292"/>
      <c r="R278" s="292"/>
      <c r="S278" s="292"/>
      <c r="T278" s="293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 t="shared" si="23"/>
        <v>0</v>
      </c>
      <c r="AA278" s="65" t="s">
        <v>46</v>
      </c>
      <c r="AB278" s="66" t="s">
        <v>46</v>
      </c>
      <c r="AC278" s="274" t="s">
        <v>376</v>
      </c>
      <c r="AG278" s="78"/>
      <c r="AJ278" s="82" t="s">
        <v>122</v>
      </c>
      <c r="AK278" s="82">
        <v>14</v>
      </c>
      <c r="BB278" s="275" t="s">
        <v>119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37.5" hidden="1" customHeight="1" x14ac:dyDescent="0.25">
      <c r="A279" s="60" t="s">
        <v>386</v>
      </c>
      <c r="B279" s="60" t="s">
        <v>387</v>
      </c>
      <c r="C279" s="34">
        <v>4301135402</v>
      </c>
      <c r="D279" s="290">
        <v>4640242181493</v>
      </c>
      <c r="E279" s="290"/>
      <c r="F279" s="59">
        <v>3.7</v>
      </c>
      <c r="G279" s="35">
        <v>1</v>
      </c>
      <c r="H279" s="59">
        <v>3.7</v>
      </c>
      <c r="I279" s="59">
        <v>3.8919999999999999</v>
      </c>
      <c r="J279" s="35">
        <v>126</v>
      </c>
      <c r="K279" s="35" t="s">
        <v>120</v>
      </c>
      <c r="L279" s="35" t="s">
        <v>121</v>
      </c>
      <c r="M279" s="36" t="s">
        <v>88</v>
      </c>
      <c r="N279" s="36"/>
      <c r="O279" s="35">
        <v>180</v>
      </c>
      <c r="P279" s="30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292"/>
      <c r="R279" s="292"/>
      <c r="S279" s="292"/>
      <c r="T279" s="293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 t="shared" si="23"/>
        <v>0</v>
      </c>
      <c r="AA279" s="65" t="s">
        <v>46</v>
      </c>
      <c r="AB279" s="66" t="s">
        <v>46</v>
      </c>
      <c r="AC279" s="276" t="s">
        <v>376</v>
      </c>
      <c r="AG279" s="78"/>
      <c r="AJ279" s="82" t="s">
        <v>122</v>
      </c>
      <c r="AK279" s="82">
        <v>14</v>
      </c>
      <c r="BB279" s="277" t="s">
        <v>119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t="37.5" hidden="1" customHeight="1" x14ac:dyDescent="0.25">
      <c r="A280" s="60" t="s">
        <v>388</v>
      </c>
      <c r="B280" s="60" t="s">
        <v>389</v>
      </c>
      <c r="C280" s="34">
        <v>4301135403</v>
      </c>
      <c r="D280" s="290">
        <v>4640242181509</v>
      </c>
      <c r="E280" s="290"/>
      <c r="F280" s="59">
        <v>3.7</v>
      </c>
      <c r="G280" s="35">
        <v>1</v>
      </c>
      <c r="H280" s="59">
        <v>3.7</v>
      </c>
      <c r="I280" s="59">
        <v>3.8919999999999999</v>
      </c>
      <c r="J280" s="35">
        <v>126</v>
      </c>
      <c r="K280" s="35" t="s">
        <v>120</v>
      </c>
      <c r="L280" s="35" t="s">
        <v>121</v>
      </c>
      <c r="M280" s="36" t="s">
        <v>88</v>
      </c>
      <c r="N280" s="36"/>
      <c r="O280" s="35">
        <v>180</v>
      </c>
      <c r="P280" s="3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292"/>
      <c r="R280" s="292"/>
      <c r="S280" s="292"/>
      <c r="T280" s="293"/>
      <c r="U280" s="37" t="s">
        <v>46</v>
      </c>
      <c r="V280" s="37" t="s">
        <v>46</v>
      </c>
      <c r="W280" s="38" t="s">
        <v>39</v>
      </c>
      <c r="X280" s="56">
        <v>0</v>
      </c>
      <c r="Y280" s="53">
        <f t="shared" si="18"/>
        <v>0</v>
      </c>
      <c r="Z280" s="39">
        <f t="shared" si="23"/>
        <v>0</v>
      </c>
      <c r="AA280" s="65" t="s">
        <v>46</v>
      </c>
      <c r="AB280" s="66" t="s">
        <v>46</v>
      </c>
      <c r="AC280" s="278" t="s">
        <v>376</v>
      </c>
      <c r="AG280" s="78"/>
      <c r="AJ280" s="82" t="s">
        <v>122</v>
      </c>
      <c r="AK280" s="82">
        <v>14</v>
      </c>
      <c r="BB280" s="279" t="s">
        <v>119</v>
      </c>
      <c r="BM280" s="78">
        <f t="shared" si="19"/>
        <v>0</v>
      </c>
      <c r="BN280" s="78">
        <f t="shared" si="20"/>
        <v>0</v>
      </c>
      <c r="BO280" s="78">
        <f t="shared" si="21"/>
        <v>0</v>
      </c>
      <c r="BP280" s="78">
        <f t="shared" si="22"/>
        <v>0</v>
      </c>
    </row>
    <row r="281" spans="1:68" ht="27" hidden="1" customHeight="1" x14ac:dyDescent="0.25">
      <c r="A281" s="60" t="s">
        <v>390</v>
      </c>
      <c r="B281" s="60" t="s">
        <v>391</v>
      </c>
      <c r="C281" s="34">
        <v>4301135304</v>
      </c>
      <c r="D281" s="290">
        <v>4640242181240</v>
      </c>
      <c r="E281" s="290"/>
      <c r="F281" s="59">
        <v>0.3</v>
      </c>
      <c r="G281" s="35">
        <v>9</v>
      </c>
      <c r="H281" s="59">
        <v>2.7</v>
      </c>
      <c r="I281" s="59">
        <v>2.88</v>
      </c>
      <c r="J281" s="35">
        <v>126</v>
      </c>
      <c r="K281" s="35" t="s">
        <v>120</v>
      </c>
      <c r="L281" s="35" t="s">
        <v>90</v>
      </c>
      <c r="M281" s="36" t="s">
        <v>88</v>
      </c>
      <c r="N281" s="36"/>
      <c r="O281" s="35">
        <v>180</v>
      </c>
      <c r="P281" s="30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292"/>
      <c r="R281" s="292"/>
      <c r="S281" s="292"/>
      <c r="T281" s="293"/>
      <c r="U281" s="37" t="s">
        <v>46</v>
      </c>
      <c r="V281" s="37" t="s">
        <v>46</v>
      </c>
      <c r="W281" s="38" t="s">
        <v>39</v>
      </c>
      <c r="X281" s="56">
        <v>0</v>
      </c>
      <c r="Y281" s="53">
        <f t="shared" si="18"/>
        <v>0</v>
      </c>
      <c r="Z281" s="39">
        <f t="shared" si="23"/>
        <v>0</v>
      </c>
      <c r="AA281" s="65" t="s">
        <v>46</v>
      </c>
      <c r="AB281" s="66" t="s">
        <v>46</v>
      </c>
      <c r="AC281" s="280" t="s">
        <v>376</v>
      </c>
      <c r="AG281" s="78"/>
      <c r="AJ281" s="82" t="s">
        <v>91</v>
      </c>
      <c r="AK281" s="82">
        <v>1</v>
      </c>
      <c r="BB281" s="281" t="s">
        <v>119</v>
      </c>
      <c r="BM281" s="78">
        <f t="shared" si="19"/>
        <v>0</v>
      </c>
      <c r="BN281" s="78">
        <f t="shared" si="20"/>
        <v>0</v>
      </c>
      <c r="BO281" s="78">
        <f t="shared" si="21"/>
        <v>0</v>
      </c>
      <c r="BP281" s="78">
        <f t="shared" si="22"/>
        <v>0</v>
      </c>
    </row>
    <row r="282" spans="1:68" ht="27" hidden="1" customHeight="1" x14ac:dyDescent="0.25">
      <c r="A282" s="60" t="s">
        <v>392</v>
      </c>
      <c r="B282" s="60" t="s">
        <v>393</v>
      </c>
      <c r="C282" s="34">
        <v>4301135610</v>
      </c>
      <c r="D282" s="290">
        <v>4640242181318</v>
      </c>
      <c r="E282" s="290"/>
      <c r="F282" s="59">
        <v>0.3</v>
      </c>
      <c r="G282" s="35">
        <v>9</v>
      </c>
      <c r="H282" s="59">
        <v>2.7</v>
      </c>
      <c r="I282" s="59">
        <v>2.988</v>
      </c>
      <c r="J282" s="35">
        <v>126</v>
      </c>
      <c r="K282" s="35" t="s">
        <v>120</v>
      </c>
      <c r="L282" s="35" t="s">
        <v>90</v>
      </c>
      <c r="M282" s="36" t="s">
        <v>88</v>
      </c>
      <c r="N282" s="36"/>
      <c r="O282" s="35">
        <v>180</v>
      </c>
      <c r="P282" s="3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292"/>
      <c r="R282" s="292"/>
      <c r="S282" s="292"/>
      <c r="T282" s="293"/>
      <c r="U282" s="37" t="s">
        <v>46</v>
      </c>
      <c r="V282" s="37" t="s">
        <v>46</v>
      </c>
      <c r="W282" s="38" t="s">
        <v>39</v>
      </c>
      <c r="X282" s="56">
        <v>0</v>
      </c>
      <c r="Y282" s="53">
        <f t="shared" si="18"/>
        <v>0</v>
      </c>
      <c r="Z282" s="39">
        <f t="shared" si="23"/>
        <v>0</v>
      </c>
      <c r="AA282" s="65" t="s">
        <v>46</v>
      </c>
      <c r="AB282" s="66" t="s">
        <v>46</v>
      </c>
      <c r="AC282" s="282" t="s">
        <v>379</v>
      </c>
      <c r="AG282" s="78"/>
      <c r="AJ282" s="82" t="s">
        <v>91</v>
      </c>
      <c r="AK282" s="82">
        <v>1</v>
      </c>
      <c r="BB282" s="283" t="s">
        <v>119</v>
      </c>
      <c r="BM282" s="78">
        <f t="shared" si="19"/>
        <v>0</v>
      </c>
      <c r="BN282" s="78">
        <f t="shared" si="20"/>
        <v>0</v>
      </c>
      <c r="BO282" s="78">
        <f t="shared" si="21"/>
        <v>0</v>
      </c>
      <c r="BP282" s="78">
        <f t="shared" si="22"/>
        <v>0</v>
      </c>
    </row>
    <row r="283" spans="1:68" ht="27" hidden="1" customHeight="1" x14ac:dyDescent="0.25">
      <c r="A283" s="60" t="s">
        <v>394</v>
      </c>
      <c r="B283" s="60" t="s">
        <v>395</v>
      </c>
      <c r="C283" s="34">
        <v>4301135306</v>
      </c>
      <c r="D283" s="290">
        <v>4640242181387</v>
      </c>
      <c r="E283" s="290"/>
      <c r="F283" s="59">
        <v>0.3</v>
      </c>
      <c r="G283" s="35">
        <v>9</v>
      </c>
      <c r="H283" s="59">
        <v>2.7</v>
      </c>
      <c r="I283" s="59">
        <v>2.8450000000000002</v>
      </c>
      <c r="J283" s="35">
        <v>234</v>
      </c>
      <c r="K283" s="35" t="s">
        <v>171</v>
      </c>
      <c r="L283" s="35" t="s">
        <v>90</v>
      </c>
      <c r="M283" s="36" t="s">
        <v>88</v>
      </c>
      <c r="N283" s="36"/>
      <c r="O283" s="35">
        <v>180</v>
      </c>
      <c r="P283" s="29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292"/>
      <c r="R283" s="292"/>
      <c r="S283" s="292"/>
      <c r="T283" s="293"/>
      <c r="U283" s="37" t="s">
        <v>46</v>
      </c>
      <c r="V283" s="37" t="s">
        <v>46</v>
      </c>
      <c r="W283" s="38" t="s">
        <v>39</v>
      </c>
      <c r="X283" s="56">
        <v>0</v>
      </c>
      <c r="Y283" s="53">
        <f t="shared" si="18"/>
        <v>0</v>
      </c>
      <c r="Z283" s="39">
        <f>IFERROR(IF(X283="","",X283*0.00502),"")</f>
        <v>0</v>
      </c>
      <c r="AA283" s="65" t="s">
        <v>46</v>
      </c>
      <c r="AB283" s="66" t="s">
        <v>46</v>
      </c>
      <c r="AC283" s="284" t="s">
        <v>376</v>
      </c>
      <c r="AG283" s="78"/>
      <c r="AJ283" s="82" t="s">
        <v>91</v>
      </c>
      <c r="AK283" s="82">
        <v>1</v>
      </c>
      <c r="BB283" s="285" t="s">
        <v>119</v>
      </c>
      <c r="BM283" s="78">
        <f t="shared" si="19"/>
        <v>0</v>
      </c>
      <c r="BN283" s="78">
        <f t="shared" si="20"/>
        <v>0</v>
      </c>
      <c r="BO283" s="78">
        <f t="shared" si="21"/>
        <v>0</v>
      </c>
      <c r="BP283" s="78">
        <f t="shared" si="22"/>
        <v>0</v>
      </c>
    </row>
    <row r="284" spans="1:68" hidden="1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8"/>
      <c r="P284" s="294" t="s">
        <v>40</v>
      </c>
      <c r="Q284" s="295"/>
      <c r="R284" s="295"/>
      <c r="S284" s="295"/>
      <c r="T284" s="295"/>
      <c r="U284" s="295"/>
      <c r="V284" s="296"/>
      <c r="W284" s="40" t="s">
        <v>39</v>
      </c>
      <c r="X284" s="41">
        <f>IFERROR(SUM(X274:X283),"0")</f>
        <v>0</v>
      </c>
      <c r="Y284" s="41">
        <f>IFERROR(SUM(Y274:Y283),"0")</f>
        <v>0</v>
      </c>
      <c r="Z284" s="41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4"/>
      <c r="AB284" s="64"/>
      <c r="AC284" s="64"/>
    </row>
    <row r="285" spans="1:68" hidden="1" x14ac:dyDescent="0.2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8"/>
      <c r="P285" s="294" t="s">
        <v>40</v>
      </c>
      <c r="Q285" s="295"/>
      <c r="R285" s="295"/>
      <c r="S285" s="295"/>
      <c r="T285" s="295"/>
      <c r="U285" s="295"/>
      <c r="V285" s="296"/>
      <c r="W285" s="40" t="s">
        <v>0</v>
      </c>
      <c r="X285" s="41">
        <f>IFERROR(SUMPRODUCT(X274:X283*H274:H283),"0")</f>
        <v>0</v>
      </c>
      <c r="Y285" s="41">
        <f>IFERROR(SUMPRODUCT(Y274:Y283*H274:H283),"0")</f>
        <v>0</v>
      </c>
      <c r="Z285" s="40"/>
      <c r="AA285" s="64"/>
      <c r="AB285" s="64"/>
      <c r="AC285" s="64"/>
    </row>
    <row r="286" spans="1:68" ht="15" customHeight="1" x14ac:dyDescent="0.2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302"/>
      <c r="P286" s="299" t="s">
        <v>33</v>
      </c>
      <c r="Q286" s="300"/>
      <c r="R286" s="300"/>
      <c r="S286" s="300"/>
      <c r="T286" s="300"/>
      <c r="U286" s="300"/>
      <c r="V286" s="301"/>
      <c r="W286" s="40" t="s">
        <v>0</v>
      </c>
      <c r="X286" s="41">
        <f>IFERROR(X31+X37+X44+X51+X59+X64+X68+X73+X79+X85+X90+X96+X106+X112+X124+X128+X132+X139+X145+X151+X157+X163+X168+X173+X178+X185+X190+X199+X205+X211+X217+X222+X227+X233+X239+X245+X249+X255+X262+X266+X272+X285,"0")</f>
        <v>10284</v>
      </c>
      <c r="Y286" s="41">
        <f>IFERROR(Y31+Y37+Y44+Y51+Y59+Y64+Y68+Y73+Y79+Y85+Y90+Y96+Y106+Y112+Y124+Y128+Y132+Y139+Y145+Y151+Y157+Y163+Y168+Y173+Y178+Y185+Y190+Y199+Y205+Y211+Y217+Y222+Y227+Y233+Y239+Y245+Y249+Y255+Y262+Y266+Y272+Y285,"0")</f>
        <v>10284</v>
      </c>
      <c r="Z286" s="40"/>
      <c r="AA286" s="64"/>
      <c r="AB286" s="64"/>
      <c r="AC286" s="64"/>
    </row>
    <row r="287" spans="1:68" x14ac:dyDescent="0.2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302"/>
      <c r="P287" s="299" t="s">
        <v>34</v>
      </c>
      <c r="Q287" s="300"/>
      <c r="R287" s="300"/>
      <c r="S287" s="300"/>
      <c r="T287" s="300"/>
      <c r="U287" s="300"/>
      <c r="V287" s="301"/>
      <c r="W287" s="40" t="s">
        <v>0</v>
      </c>
      <c r="X287" s="41">
        <f>IFERROR(SUM(BM22:BM283),"0")</f>
        <v>11500.064799999998</v>
      </c>
      <c r="Y287" s="41">
        <f>IFERROR(SUM(BN22:BN283),"0")</f>
        <v>11500.064799999998</v>
      </c>
      <c r="Z287" s="40"/>
      <c r="AA287" s="64"/>
      <c r="AB287" s="64"/>
      <c r="AC287" s="64"/>
    </row>
    <row r="288" spans="1:68" x14ac:dyDescent="0.2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302"/>
      <c r="P288" s="299" t="s">
        <v>35</v>
      </c>
      <c r="Q288" s="300"/>
      <c r="R288" s="300"/>
      <c r="S288" s="300"/>
      <c r="T288" s="300"/>
      <c r="U288" s="300"/>
      <c r="V288" s="301"/>
      <c r="W288" s="40" t="s">
        <v>20</v>
      </c>
      <c r="X288" s="42">
        <f>ROUNDUP(SUM(BO22:BO283),0)</f>
        <v>32</v>
      </c>
      <c r="Y288" s="42">
        <f>ROUNDUP(SUM(BP22:BP283),0)</f>
        <v>32</v>
      </c>
      <c r="Z288" s="40"/>
      <c r="AA288" s="64"/>
      <c r="AB288" s="64"/>
      <c r="AC288" s="64"/>
    </row>
    <row r="289" spans="1:32" x14ac:dyDescent="0.2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302"/>
      <c r="P289" s="299" t="s">
        <v>36</v>
      </c>
      <c r="Q289" s="300"/>
      <c r="R289" s="300"/>
      <c r="S289" s="300"/>
      <c r="T289" s="300"/>
      <c r="U289" s="300"/>
      <c r="V289" s="301"/>
      <c r="W289" s="40" t="s">
        <v>0</v>
      </c>
      <c r="X289" s="41">
        <f>GrossWeightTotal+PalletQtyTotal*25</f>
        <v>12300.064799999998</v>
      </c>
      <c r="Y289" s="41">
        <f>GrossWeightTotalR+PalletQtyTotalR*25</f>
        <v>12300.064799999998</v>
      </c>
      <c r="Z289" s="40"/>
      <c r="AA289" s="64"/>
      <c r="AB289" s="64"/>
      <c r="AC289" s="64"/>
    </row>
    <row r="290" spans="1:32" x14ac:dyDescent="0.2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302"/>
      <c r="P290" s="299" t="s">
        <v>37</v>
      </c>
      <c r="Q290" s="300"/>
      <c r="R290" s="300"/>
      <c r="S290" s="300"/>
      <c r="T290" s="300"/>
      <c r="U290" s="300"/>
      <c r="V290" s="301"/>
      <c r="W290" s="40" t="s">
        <v>20</v>
      </c>
      <c r="X290" s="41">
        <f>IFERROR(X30+X36+X43+X50+X58+X63+X67+X72+X78+X84+X89+X95+X105+X111+X123+X127+X131+X138+X144+X150+X156+X162+X167+X172+X177+X184+X189+X198+X204+X210+X216+X221+X226+X232+X238+X244+X248+X254+X261+X265+X271+X284,"0")</f>
        <v>2534</v>
      </c>
      <c r="Y290" s="41">
        <f>IFERROR(Y30+Y36+Y43+Y50+Y58+Y63+Y67+Y72+Y78+Y84+Y89+Y95+Y105+Y111+Y123+Y127+Y131+Y138+Y144+Y150+Y156+Y162+Y167+Y172+Y177+Y184+Y189+Y198+Y204+Y210+Y216+Y221+Y226+Y232+Y238+Y244+Y248+Y254+Y261+Y265+Y271+Y284,"0")</f>
        <v>2534</v>
      </c>
      <c r="Z290" s="40"/>
      <c r="AA290" s="64"/>
      <c r="AB290" s="64"/>
      <c r="AC290" s="64"/>
    </row>
    <row r="291" spans="1:32" ht="14.25" hidden="1" x14ac:dyDescent="0.2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302"/>
      <c r="P291" s="299" t="s">
        <v>38</v>
      </c>
      <c r="Q291" s="300"/>
      <c r="R291" s="300"/>
      <c r="S291" s="300"/>
      <c r="T291" s="300"/>
      <c r="U291" s="300"/>
      <c r="V291" s="301"/>
      <c r="W291" s="43" t="s">
        <v>52</v>
      </c>
      <c r="X291" s="40"/>
      <c r="Y291" s="40"/>
      <c r="Z291" s="40">
        <f>IFERROR(Z30+Z36+Z43+Z50+Z58+Z63+Z67+Z72+Z78+Z84+Z89+Z95+Z105+Z111+Z123+Z127+Z131+Z138+Z144+Z150+Z156+Z162+Z167+Z172+Z177+Z184+Z189+Z198+Z204+Z210+Z216+Z221+Z226+Z232+Z238+Z244+Z248+Z254+Z261+Z265+Z271+Z284,"0")</f>
        <v>40.577880000000007</v>
      </c>
      <c r="AA291" s="64"/>
      <c r="AB291" s="64"/>
      <c r="AC291" s="64"/>
    </row>
    <row r="292" spans="1:32" ht="13.5" thickBot="1" x14ac:dyDescent="0.25"/>
    <row r="293" spans="1:32" ht="27" thickTop="1" thickBot="1" x14ac:dyDescent="0.25">
      <c r="A293" s="44" t="s">
        <v>9</v>
      </c>
      <c r="B293" s="286" t="s">
        <v>81</v>
      </c>
      <c r="C293" s="286" t="s">
        <v>81</v>
      </c>
      <c r="D293" s="286" t="s">
        <v>45</v>
      </c>
      <c r="E293" s="286" t="s">
        <v>45</v>
      </c>
      <c r="F293" s="286" t="s">
        <v>45</v>
      </c>
      <c r="G293" s="286" t="s">
        <v>45</v>
      </c>
      <c r="H293" s="286" t="s">
        <v>45</v>
      </c>
      <c r="I293" s="286" t="s">
        <v>45</v>
      </c>
      <c r="J293" s="286" t="s">
        <v>45</v>
      </c>
      <c r="K293" s="286" t="s">
        <v>45</v>
      </c>
      <c r="L293" s="286" t="s">
        <v>45</v>
      </c>
      <c r="M293" s="286" t="s">
        <v>45</v>
      </c>
      <c r="N293" s="287"/>
      <c r="O293" s="286" t="s">
        <v>45</v>
      </c>
      <c r="P293" s="286" t="s">
        <v>45</v>
      </c>
      <c r="Q293" s="286" t="s">
        <v>45</v>
      </c>
      <c r="R293" s="286" t="s">
        <v>45</v>
      </c>
      <c r="S293" s="286" t="s">
        <v>45</v>
      </c>
      <c r="T293" s="286" t="s">
        <v>45</v>
      </c>
      <c r="U293" s="286" t="s">
        <v>45</v>
      </c>
      <c r="V293" s="83" t="s">
        <v>280</v>
      </c>
      <c r="W293" s="83" t="s">
        <v>294</v>
      </c>
      <c r="X293" s="286" t="s">
        <v>308</v>
      </c>
      <c r="Y293" s="286" t="s">
        <v>308</v>
      </c>
      <c r="Z293" s="286" t="s">
        <v>308</v>
      </c>
      <c r="AA293" s="286" t="s">
        <v>308</v>
      </c>
      <c r="AB293" s="83" t="s">
        <v>337</v>
      </c>
      <c r="AC293" s="83" t="s">
        <v>342</v>
      </c>
      <c r="AD293" s="83" t="s">
        <v>346</v>
      </c>
      <c r="AE293" s="83" t="s">
        <v>354</v>
      </c>
      <c r="AF293" s="83" t="s">
        <v>358</v>
      </c>
    </row>
    <row r="294" spans="1:32" ht="14.25" customHeight="1" thickTop="1" x14ac:dyDescent="0.2">
      <c r="A294" s="288" t="s">
        <v>10</v>
      </c>
      <c r="B294" s="286" t="s">
        <v>81</v>
      </c>
      <c r="C294" s="286" t="s">
        <v>108</v>
      </c>
      <c r="D294" s="286" t="s">
        <v>114</v>
      </c>
      <c r="E294" s="286" t="s">
        <v>125</v>
      </c>
      <c r="F294" s="286" t="s">
        <v>135</v>
      </c>
      <c r="G294" s="286" t="s">
        <v>146</v>
      </c>
      <c r="H294" s="286" t="s">
        <v>167</v>
      </c>
      <c r="I294" s="286" t="s">
        <v>174</v>
      </c>
      <c r="J294" s="286" t="s">
        <v>178</v>
      </c>
      <c r="K294" s="286" t="s">
        <v>186</v>
      </c>
      <c r="L294" s="286" t="s">
        <v>201</v>
      </c>
      <c r="M294" s="286" t="s">
        <v>207</v>
      </c>
      <c r="N294" s="1"/>
      <c r="O294" s="286" t="s">
        <v>235</v>
      </c>
      <c r="P294" s="286" t="s">
        <v>251</v>
      </c>
      <c r="Q294" s="286" t="s">
        <v>257</v>
      </c>
      <c r="R294" s="286" t="s">
        <v>264</v>
      </c>
      <c r="S294" s="286" t="s">
        <v>269</v>
      </c>
      <c r="T294" s="286" t="s">
        <v>273</v>
      </c>
      <c r="U294" s="286" t="s">
        <v>276</v>
      </c>
      <c r="V294" s="286" t="s">
        <v>281</v>
      </c>
      <c r="W294" s="286" t="s">
        <v>295</v>
      </c>
      <c r="X294" s="286" t="s">
        <v>309</v>
      </c>
      <c r="Y294" s="286" t="s">
        <v>322</v>
      </c>
      <c r="Z294" s="286" t="s">
        <v>329</v>
      </c>
      <c r="AA294" s="286" t="s">
        <v>333</v>
      </c>
      <c r="AB294" s="286" t="s">
        <v>338</v>
      </c>
      <c r="AC294" s="286" t="s">
        <v>343</v>
      </c>
      <c r="AD294" s="286" t="s">
        <v>347</v>
      </c>
      <c r="AE294" s="286" t="s">
        <v>354</v>
      </c>
      <c r="AF294" s="286" t="s">
        <v>358</v>
      </c>
    </row>
    <row r="295" spans="1:32" ht="13.5" thickBot="1" x14ac:dyDescent="0.25">
      <c r="A295" s="289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1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</row>
    <row r="296" spans="1:32" ht="18" thickTop="1" thickBot="1" x14ac:dyDescent="0.25">
      <c r="A296" s="44" t="s">
        <v>13</v>
      </c>
      <c r="B296" s="50">
        <f>IFERROR(X22*H22,"0")+IFERROR(X23*H23,"0")+IFERROR(X24*H24,"0")+IFERROR(X25*H25,"0")+IFERROR(X26*H26,"0")+IFERROR(X27*H27,"0")+IFERROR(X28*H28,"0")+IFERROR(X29*H29,"0")</f>
        <v>0</v>
      </c>
      <c r="C296" s="50">
        <f>IFERROR(X34*H34,"0")+IFERROR(X35*H35,"0")</f>
        <v>0</v>
      </c>
      <c r="D296" s="50">
        <f>IFERROR(X41*H41,"0")+IFERROR(X42*H42,"0")</f>
        <v>378</v>
      </c>
      <c r="E296" s="50">
        <f>IFERROR(X47*H47,"0")+IFERROR(X48*H48,"0")+IFERROR(X49*H49,"0")</f>
        <v>1075.1999999999998</v>
      </c>
      <c r="F296" s="50">
        <f>IFERROR(X54*H54,"0")+IFERROR(X55*H55,"0")+IFERROR(X56*H56,"0")+IFERROR(X57*H57,"0")</f>
        <v>840</v>
      </c>
      <c r="G296" s="50">
        <f>IFERROR(X62*H62,"0")+IFERROR(X66*H66,"0")+IFERROR(X70*H70,"0")+IFERROR(X71*H71,"0")+IFERROR(X75*H75,"0")+IFERROR(X76*H76,"0")+IFERROR(X77*H77,"0")</f>
        <v>0</v>
      </c>
      <c r="H296" s="50">
        <f>IFERROR(X82*H82,"0")+IFERROR(X83*H83,"0")</f>
        <v>0</v>
      </c>
      <c r="I296" s="50">
        <f>IFERROR(X88*H88,"0")</f>
        <v>252</v>
      </c>
      <c r="J296" s="50">
        <f>IFERROR(X93*H93,"0")+IFERROR(X94*H94,"0")</f>
        <v>705.6</v>
      </c>
      <c r="K296" s="50">
        <f>IFERROR(X99*H99,"0")+IFERROR(X100*H100,"0")+IFERROR(X101*H101,"0")+IFERROR(X102*H102,"0")+IFERROR(X103*H103,"0")+IFERROR(X104*H104,"0")</f>
        <v>840</v>
      </c>
      <c r="L296" s="50">
        <f>IFERROR(X109*H109,"0")+IFERROR(X110*H110,"0")</f>
        <v>151.20000000000002</v>
      </c>
      <c r="M296" s="50">
        <f>IFERROR(X115*H115,"0")+IFERROR(X116*H116,"0")+IFERROR(X117*H117,"0")+IFERROR(X118*H118,"0")+IFERROR(X119*H119,"0")+IFERROR(X120*H120,"0")+IFERROR(X121*H121,"0")+IFERROR(X122*H122,"0")+IFERROR(X126*H126,"0")+IFERROR(X130*H130,"0")</f>
        <v>3580.8</v>
      </c>
      <c r="N296" s="1"/>
      <c r="O296" s="50">
        <f>IFERROR(X135*H135,"0")+IFERROR(X136*H136,"0")+IFERROR(X137*H137,"0")+IFERROR(X141*H141,"0")+IFERROR(X142*H142,"0")+IFERROR(X143*H143,"0")</f>
        <v>0</v>
      </c>
      <c r="P296" s="50">
        <f>IFERROR(X148*H148,"0")+IFERROR(X149*H149,"0")</f>
        <v>924</v>
      </c>
      <c r="Q296" s="50">
        <f>IFERROR(X154*H154,"0")+IFERROR(X155*H155,"0")</f>
        <v>420</v>
      </c>
      <c r="R296" s="50">
        <f>IFERROR(X160*H160,"0")+IFERROR(X161*H161,"0")</f>
        <v>235.2</v>
      </c>
      <c r="S296" s="50">
        <f>IFERROR(X166*H166,"0")</f>
        <v>252</v>
      </c>
      <c r="T296" s="50">
        <f>IFERROR(X171*H171,"0")</f>
        <v>0</v>
      </c>
      <c r="U296" s="50">
        <f>IFERROR(X176*H176,"0")</f>
        <v>0</v>
      </c>
      <c r="V296" s="50">
        <f>IFERROR(X182*H182,"0")+IFERROR(X183*H183,"0")+IFERROR(X187*H187,"0")+IFERROR(X188*H188,"0")</f>
        <v>0</v>
      </c>
      <c r="W296" s="50">
        <f>IFERROR(X194*H194,"0")+IFERROR(X195*H195,"0")+IFERROR(X196*H196,"0")+IFERROR(X197*H197,"0")</f>
        <v>630</v>
      </c>
      <c r="X296" s="50">
        <f>IFERROR(X203*H203,"0")+IFERROR(X207*H207,"0")+IFERROR(X208*H208,"0")+IFERROR(X209*H209,"0")</f>
        <v>0</v>
      </c>
      <c r="Y296" s="50">
        <f>IFERROR(X214*H214,"0")+IFERROR(X215*H215,"0")</f>
        <v>0</v>
      </c>
      <c r="Z296" s="50">
        <f>IFERROR(X220*H220,"0")</f>
        <v>0</v>
      </c>
      <c r="AA296" s="50">
        <f>IFERROR(X225*H225,"0")</f>
        <v>0</v>
      </c>
      <c r="AB296" s="50">
        <f>IFERROR(X231*H231,"0")</f>
        <v>0</v>
      </c>
      <c r="AC296" s="50">
        <f>IFERROR(X237*H237,"0")</f>
        <v>0</v>
      </c>
      <c r="AD296" s="50">
        <f>IFERROR(X243*H243,"0")+IFERROR(X247*H247,"0")</f>
        <v>0</v>
      </c>
      <c r="AE296" s="50">
        <f>IFERROR(X253*H253,"0")</f>
        <v>0</v>
      </c>
      <c r="AF296" s="50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0</v>
      </c>
    </row>
    <row r="297" spans="1:32" ht="13.5" thickTop="1" x14ac:dyDescent="0.2">
      <c r="C297" s="1"/>
    </row>
    <row r="298" spans="1:32" ht="19.5" customHeight="1" x14ac:dyDescent="0.2">
      <c r="A298" s="67" t="s">
        <v>62</v>
      </c>
      <c r="B298" s="67" t="s">
        <v>63</v>
      </c>
      <c r="C298" s="67" t="s">
        <v>65</v>
      </c>
    </row>
    <row r="299" spans="1:32" x14ac:dyDescent="0.2">
      <c r="A299" s="68">
        <f>SUMPRODUCT(--(BB:BB="ЗПФ"),--(W:W="кор"),H:H,Y:Y)+SUMPRODUCT(--(BB:BB="ЗПФ"),--(W:W="кг"),Y:Y)</f>
        <v>5496</v>
      </c>
      <c r="B299" s="69">
        <f>SUMPRODUCT(--(BB:BB="ПГП"),--(W:W="кор"),H:H,Y:Y)+SUMPRODUCT(--(BB:BB="ПГП"),--(W:W="кг"),Y:Y)</f>
        <v>4788</v>
      </c>
      <c r="C299" s="69">
        <f>SUMPRODUCT(--(BB:BB="КИЗ"),--(W:W="кор"),H:H,Y:Y)+SUMPRODUCT(--(BB:BB="КИЗ"),--(W:W="кг"),Y:Y)</f>
        <v>0</v>
      </c>
    </row>
  </sheetData>
  <sheetProtection algorithmName="SHA-512" hashValue="7urGGNK+g5WHx6fpCmjARGrMq02E2BjnbtPzJrVQ6xi270Aa0JUbn8u3iEntxwCORABcCZqwhbGrQAJd2b3XBA==" saltValue="HQm0V9DIeqefhyYp4IDRng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5,20"/>
        <filter val="10 284,00"/>
        <filter val="108,00"/>
        <filter val="11 500,06"/>
        <filter val="112,00"/>
        <filter val="12 300,06"/>
        <filter val="120,00"/>
        <filter val="140,00"/>
        <filter val="151,20"/>
        <filter val="154,00"/>
        <filter val="168,00"/>
        <filter val="192,00"/>
        <filter val="196,00"/>
        <filter val="2 534,00"/>
        <filter val="210,00"/>
        <filter val="235,20"/>
        <filter val="252,00"/>
        <filter val="266,00"/>
        <filter val="3 580,80"/>
        <filter val="308,00"/>
        <filter val="32"/>
        <filter val="378,00"/>
        <filter val="420,00"/>
        <filter val="528,00"/>
        <filter val="56,00"/>
        <filter val="630,00"/>
        <filter val="70,00"/>
        <filter val="705,60"/>
        <filter val="84,00"/>
        <filter val="840,00"/>
        <filter val="924,00"/>
        <filter val="96,00"/>
        <filter val="98,00"/>
      </filters>
    </filterColumn>
    <filterColumn colId="29" showButton="0"/>
    <filterColumn colId="30" showButton="0"/>
  </autoFilter>
  <dataConsolidate/>
  <mergeCells count="51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B293:C293"/>
    <mergeCell ref="D293:U293"/>
    <mergeCell ref="X293:AA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AF294:AF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1:X283 X274 X259:X260 X253 X247 X243 X231 X225 X214:X215 X207:X209 X197 X187:X188 X182 X176 X154 X141:X143 X135:X137 X130 X126 X119:X120 X116 X101 X99 X75:X77 X70:X71 X66 X62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80 X268:X270 X264 X237 X220 X203 X194:X196 X183 X171 X166 X160:X161 X155 X148:X149 X121:X122 X117:X118 X115 X109:X110 X102:X104 X100 X93:X94 X88 X82:X83 X54:X57 X49 X47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1" t="s">
        <v>397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399</v>
      </c>
      <c r="D6" s="51" t="s">
        <v>400</v>
      </c>
      <c r="E6" s="51" t="s">
        <v>46</v>
      </c>
    </row>
    <row r="8" spans="2:8" x14ac:dyDescent="0.2">
      <c r="B8" s="51" t="s">
        <v>80</v>
      </c>
      <c r="C8" s="51" t="s">
        <v>399</v>
      </c>
      <c r="D8" s="51" t="s">
        <v>46</v>
      </c>
      <c r="E8" s="51" t="s">
        <v>46</v>
      </c>
    </row>
    <row r="10" spans="2:8" x14ac:dyDescent="0.2">
      <c r="B10" s="51" t="s">
        <v>401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402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403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404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410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411</v>
      </c>
      <c r="C20" s="51" t="s">
        <v>46</v>
      </c>
      <c r="D20" s="51" t="s">
        <v>46</v>
      </c>
      <c r="E20" s="51" t="s">
        <v>46</v>
      </c>
    </row>
  </sheetData>
  <sheetProtection algorithmName="SHA-512" hashValue="mEGyPmp0HJNj2sjfvRDQT+Q++DyGnCY8RXAxyB77X3/tm1TEO0e1zqcUmT4BAwShDSVANVWZVHUd4t7U72Es3A==" saltValue="FEzpanVH3lPA9gDAXGKj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