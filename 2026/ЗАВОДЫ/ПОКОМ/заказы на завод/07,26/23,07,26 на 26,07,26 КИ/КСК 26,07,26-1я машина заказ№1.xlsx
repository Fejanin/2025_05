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1D6C41-5E83-4CC5-A7CC-AA04D4C0194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Z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Y79" i="2" l="1"/>
  <c r="BN82" i="2"/>
  <c r="BN155" i="2"/>
  <c r="BN231" i="2"/>
  <c r="BN364" i="2"/>
  <c r="BN416" i="2"/>
  <c r="BN457" i="2"/>
  <c r="Z35" i="2"/>
  <c r="Z36" i="2" s="1"/>
  <c r="BN106" i="2"/>
  <c r="Z185" i="2"/>
  <c r="BN186" i="2"/>
  <c r="BN214" i="2"/>
  <c r="Y262" i="2"/>
  <c r="BN264" i="2"/>
  <c r="Z283" i="2"/>
  <c r="BN288" i="2"/>
  <c r="Z302" i="2"/>
  <c r="BN396" i="2"/>
  <c r="BN446" i="2"/>
  <c r="BN463" i="2"/>
  <c r="BN515" i="2"/>
  <c r="Z356" i="2"/>
  <c r="Z363" i="2"/>
  <c r="BN389" i="2"/>
  <c r="Y532" i="2"/>
  <c r="BN517" i="2"/>
  <c r="Z504" i="2"/>
  <c r="BN498" i="2"/>
  <c r="BN473" i="2"/>
  <c r="BN472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83" i="2"/>
  <c r="BN374" i="2"/>
  <c r="BN373" i="2"/>
  <c r="Z373" i="2"/>
  <c r="BN368" i="2"/>
  <c r="Z364" i="2"/>
  <c r="BP363" i="2"/>
  <c r="Y360" i="2"/>
  <c r="BN358" i="2"/>
  <c r="BN351" i="2"/>
  <c r="Z346" i="2"/>
  <c r="Z336" i="2"/>
  <c r="Z328" i="2"/>
  <c r="Z320" i="2"/>
  <c r="Z304" i="2"/>
  <c r="BP304" i="2"/>
  <c r="Z290" i="2"/>
  <c r="BN290" i="2"/>
  <c r="BN284" i="2"/>
  <c r="BP283" i="2"/>
  <c r="Z280" i="2"/>
  <c r="BN274" i="2"/>
  <c r="Z273" i="2"/>
  <c r="BP273" i="2"/>
  <c r="Z270" i="2"/>
  <c r="Z264" i="2"/>
  <c r="BN259" i="2"/>
  <c r="Z250" i="2"/>
  <c r="Z244" i="2"/>
  <c r="BN235" i="2"/>
  <c r="Z231" i="2"/>
  <c r="Z230" i="2"/>
  <c r="BN226" i="2"/>
  <c r="BN209" i="2"/>
  <c r="Y204" i="2"/>
  <c r="Z192" i="2"/>
  <c r="BP187" i="2"/>
  <c r="BP185" i="2"/>
  <c r="Z182" i="2"/>
  <c r="Z173" i="2"/>
  <c r="Z167" i="2"/>
  <c r="Z157" i="2"/>
  <c r="Z156" i="2"/>
  <c r="Y158" i="2"/>
  <c r="Y151" i="2"/>
  <c r="BN148" i="2"/>
  <c r="Z134" i="2"/>
  <c r="Z132" i="2"/>
  <c r="BN132" i="2"/>
  <c r="Y128" i="2"/>
  <c r="BP127" i="2"/>
  <c r="Z122" i="2"/>
  <c r="Z124" i="2" s="1"/>
  <c r="BN120" i="2"/>
  <c r="BN115" i="2"/>
  <c r="Z113" i="2"/>
  <c r="F561" i="2"/>
  <c r="Z90" i="2"/>
  <c r="BN77" i="2"/>
  <c r="BN72" i="2"/>
  <c r="BN61" i="2"/>
  <c r="Z59" i="2"/>
  <c r="Y55" i="2"/>
  <c r="X555" i="2"/>
  <c r="Y37" i="2"/>
  <c r="BP35" i="2"/>
  <c r="BN30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77" i="2" s="1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8" i="2" l="1"/>
  <c r="Z251" i="2"/>
  <c r="Z322" i="2"/>
  <c r="Z174" i="2"/>
  <c r="Z369" i="2"/>
  <c r="Z405" i="2"/>
  <c r="Z480" i="2"/>
  <c r="Z475" i="2"/>
  <c r="Z464" i="2"/>
  <c r="Z386" i="2"/>
  <c r="Z338" i="2"/>
  <c r="Z292" i="2"/>
  <c r="Z215" i="2"/>
  <c r="Z117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<sst xmlns="http://schemas.openxmlformats.org/spreadsheetml/2006/main" count="4194" uniqueCount="891">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</sst>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46229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872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Воскресенье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0.375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50</v>
      </c>
      <c r="Y55" s="43">
        <f>IFERROR(Y51/H51,"0")+IFERROR(Y52/H52,"0")+IFERROR(Y53/H53,"0")+IFERROR(Y54/H54,"0")</f>
        <v>50</v>
      </c>
      <c r="Z55" s="43">
        <f>IFERROR(IF(Z51="",0,Z51),"0")+IFERROR(IF(Z52="",0,Z52),"0")+IFERROR(IF(Z53="",0,Z53),"0")+IFERROR(IF(Z54="",0,Z54),"0")</f>
        <v>0.45100000000000001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200</v>
      </c>
      <c r="Y56" s="43">
        <f>IFERROR(SUM(Y51:Y54),"0")</f>
        <v>200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50</v>
      </c>
      <c r="Y67" s="43">
        <f>IFERROR(Y59/H59,"0")+IFERROR(Y60/H60,"0")+IFERROR(Y61/H61,"0")+IFERROR(Y62/H62,"0")+IFERROR(Y63/H63,"0")+IFERROR(Y64/H64,"0")+IFERROR(Y65/H65,"0")+IFERROR(Y66/H66,"0")</f>
        <v>50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0.45100000000000001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225</v>
      </c>
      <c r="Y68" s="43">
        <f>IFERROR(SUM(Y59:Y66),"0")</f>
        <v>225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180</v>
      </c>
      <c r="Y73" s="55">
        <f>IFERROR(IF(X73="",0,CEILING((X73/$H73),1)*$H73),"")</f>
        <v>180.9</v>
      </c>
      <c r="Z73" s="41">
        <f>IFERROR(IF(Y73=0,"",ROUNDUP(Y73/H73,0)*0.00651),"")</f>
        <v>0.43617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191.99999999999997</v>
      </c>
      <c r="BN73" s="78">
        <f>IFERROR(Y73*I73/H73,"0")</f>
        <v>192.95999999999998</v>
      </c>
      <c r="BO73" s="78">
        <f>IFERROR(1/J73*(X73/H73),"0")</f>
        <v>0.36630036630036628</v>
      </c>
      <c r="BP73" s="78">
        <f>IFERROR(1/J73*(Y73/H73),"0")</f>
        <v>0.36813186813186816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75.925925925925924</v>
      </c>
      <c r="Y74" s="43">
        <f>IFERROR(Y70/H70,"0")+IFERROR(Y71/H71,"0")+IFERROR(Y72/H72,"0")+IFERROR(Y73/H73,"0")</f>
        <v>77</v>
      </c>
      <c r="Z74" s="43">
        <f>IFERROR(IF(Z70="",0,Z70),"0")+IFERROR(IF(Z71="",0,Z71),"0")+IFERROR(IF(Z72="",0,Z72),"0")+IFERROR(IF(Z73="",0,Z73),"0")</f>
        <v>0.62597000000000003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280</v>
      </c>
      <c r="Y75" s="43">
        <f>IFERROR(SUM(Y70:Y73),"0")</f>
        <v>288.89999999999998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50</v>
      </c>
      <c r="Y82" s="55">
        <f>IFERROR(IF(X82="",0,CEILING((X82/$H82),1)*$H82),"")</f>
        <v>54.6</v>
      </c>
      <c r="Z82" s="41">
        <f>IFERROR(IF(Y82=0,"",ROUNDUP(Y82/H82,0)*0.01898),"")</f>
        <v>0.13286000000000001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52.628205128205138</v>
      </c>
      <c r="BN82" s="78">
        <f>IFERROR(Y82*I82/H82,"0")</f>
        <v>57.470000000000013</v>
      </c>
      <c r="BO82" s="78">
        <f>IFERROR(1/J82*(X82/H82),"0")</f>
        <v>0.10016025641025642</v>
      </c>
      <c r="BP82" s="78">
        <f>IFERROR(1/J82*(Y82/H82),"0")</f>
        <v>0.109375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6.4102564102564106</v>
      </c>
      <c r="Y84" s="43">
        <f>IFERROR(Y82/H82,"0")+IFERROR(Y83/H83,"0")</f>
        <v>7</v>
      </c>
      <c r="Z84" s="43">
        <f>IFERROR(IF(Z82="",0,Z82),"0")+IFERROR(IF(Z83="",0,Z83),"0")</f>
        <v>0.13286000000000001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50</v>
      </c>
      <c r="Y85" s="43">
        <f>IFERROR(SUM(Y82:Y83),"0")</f>
        <v>54.6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225</v>
      </c>
      <c r="Y91" s="55">
        <f>IFERROR(IF(X91="",0,CEILING((X91/$H91),1)*$H91),"")</f>
        <v>225</v>
      </c>
      <c r="Z91" s="41">
        <f>IFERROR(IF(Y91=0,"",ROUNDUP(Y91/H91,0)*0.00902),"")</f>
        <v>0.45100000000000001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234.5</v>
      </c>
      <c r="BN91" s="78">
        <f>IFERROR(Y91*I91/H91,"0")</f>
        <v>234.5</v>
      </c>
      <c r="BO91" s="78">
        <f>IFERROR(1/J91*(X91/H91),"0")</f>
        <v>0.37878787878787878</v>
      </c>
      <c r="BP91" s="78">
        <f>IFERROR(1/J91*(Y91/H91),"0")</f>
        <v>0.37878787878787878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50</v>
      </c>
      <c r="Y92" s="43">
        <f>IFERROR(Y88/H88,"0")+IFERROR(Y89/H89,"0")+IFERROR(Y90/H90,"0")+IFERROR(Y91/H91,"0")</f>
        <v>50</v>
      </c>
      <c r="Z92" s="43">
        <f>IFERROR(IF(Z88="",0,Z88),"0")+IFERROR(IF(Z89="",0,Z89),"0")+IFERROR(IF(Z90="",0,Z90),"0")+IFERROR(IF(Z91="",0,Z91),"0")</f>
        <v>0.45100000000000001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225</v>
      </c>
      <c r="Y93" s="43">
        <f>IFERROR(SUM(Y88:Y91),"0")</f>
        <v>225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4.6296296296296298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9.4899999999999998E-2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50</v>
      </c>
      <c r="Y110" s="43">
        <f>IFERROR(SUM(Y103:Y108),"0")</f>
        <v>54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90</v>
      </c>
      <c r="Y123" s="55">
        <f>IFERROR(IF(X123="",0,CEILING((X123/$H123),1)*$H123),"")</f>
        <v>90</v>
      </c>
      <c r="Z123" s="41">
        <f>IFERROR(IF(Y123=0,"",ROUNDUP(Y123/H123,0)*0.00651),"")</f>
        <v>0.32550000000000001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98.999999999999986</v>
      </c>
      <c r="BN123" s="78">
        <f>IFERROR(Y123*I123/H123,"0")</f>
        <v>98.999999999999986</v>
      </c>
      <c r="BO123" s="78">
        <f>IFERROR(1/J123*(X123/H123),"0")</f>
        <v>0.27472527472527475</v>
      </c>
      <c r="BP123" s="78">
        <f>IFERROR(1/J123*(Y123/H123),"0")</f>
        <v>0.27472527472527475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50</v>
      </c>
      <c r="Y124" s="43">
        <f>IFERROR(Y120/H120,"0")+IFERROR(Y121/H121,"0")+IFERROR(Y122/H122,"0")+IFERROR(Y123/H123,"0")</f>
        <v>50</v>
      </c>
      <c r="Z124" s="43">
        <f>IFERROR(IF(Z120="",0,Z120),"0")+IFERROR(IF(Z121="",0,Z121),"0")+IFERROR(IF(Z122="",0,Z122),"0")+IFERROR(IF(Z123="",0,Z123),"0")</f>
        <v>0.32550000000000001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90</v>
      </c>
      <c r="Y125" s="43">
        <f>IFERROR(SUM(Y120:Y123),"0")</f>
        <v>90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132</v>
      </c>
      <c r="Y127" s="55">
        <f>IFERROR(IF(X127="",0,CEILING((X127/$H127),1)*$H127),"")</f>
        <v>132.66</v>
      </c>
      <c r="Z127" s="41">
        <f>IFERROR(IF(Y127=0,"",ROUNDUP(Y127/H127,0)*0.00651),"")</f>
        <v>0.43617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149.19999999999999</v>
      </c>
      <c r="BN127" s="78">
        <f>IFERROR(Y127*I127/H127,"0")</f>
        <v>149.946</v>
      </c>
      <c r="BO127" s="78">
        <f>IFERROR(1/J127*(X127/H127),"0")</f>
        <v>0.36630036630036633</v>
      </c>
      <c r="BP127" s="78">
        <f>IFERROR(1/J127*(Y127/H127),"0")</f>
        <v>0.36813186813186816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66.666666666666671</v>
      </c>
      <c r="Y128" s="43">
        <f>IFERROR(Y127/H127,"0")</f>
        <v>67</v>
      </c>
      <c r="Z128" s="43">
        <f>IFERROR(IF(Z127="",0,Z127),"0")</f>
        <v>0.43617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132</v>
      </c>
      <c r="Y129" s="43">
        <f>IFERROR(SUM(Y127:Y127),"0")</f>
        <v>132.66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160</v>
      </c>
      <c r="Y135" s="55">
        <f>IFERROR(IF(X135="",0,CEILING((X135/$H135),1)*$H135),"")</f>
        <v>160</v>
      </c>
      <c r="Z135" s="41">
        <f>IFERROR(IF(Y135=0,"",ROUNDUP(Y135/H135,0)*0.00651),"")</f>
        <v>0.32550000000000001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168.99999999999997</v>
      </c>
      <c r="BN135" s="78">
        <f>IFERROR(Y135*I135/H135,"0")</f>
        <v>168.99999999999997</v>
      </c>
      <c r="BO135" s="78">
        <f>IFERROR(1/J135*(X135/H135),"0")</f>
        <v>0.27472527472527475</v>
      </c>
      <c r="BP135" s="78">
        <f>IFERROR(1/J135*(Y135/H135),"0")</f>
        <v>0.27472527472527475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50</v>
      </c>
      <c r="Y136" s="43">
        <f>IFERROR(Y132/H132,"0")+IFERROR(Y133/H133,"0")+IFERROR(Y134/H134,"0")+IFERROR(Y135/H135,"0")</f>
        <v>50</v>
      </c>
      <c r="Z136" s="43">
        <f>IFERROR(IF(Z132="",0,Z132),"0")+IFERROR(IF(Z133="",0,Z133),"0")+IFERROR(IF(Z134="",0,Z134),"0")+IFERROR(IF(Z135="",0,Z135),"0")</f>
        <v>0.32550000000000001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160</v>
      </c>
      <c r="Y137" s="43">
        <f>IFERROR(SUM(Y132:Y135),"0")</f>
        <v>160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98</v>
      </c>
      <c r="Y141" s="55">
        <f>IFERROR(IF(X141="",0,CEILING((X141/$H141),1)*$H141),"")</f>
        <v>98</v>
      </c>
      <c r="Z141" s="41">
        <f>IFERROR(IF(Y141=0,"",ROUNDUP(Y141/H141,0)*0.00651),"")</f>
        <v>0.22785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107.38</v>
      </c>
      <c r="BN141" s="78">
        <f>IFERROR(Y141*I141/H141,"0")</f>
        <v>107.38</v>
      </c>
      <c r="BO141" s="78">
        <f>IFERROR(1/J141*(X141/H141),"0")</f>
        <v>0.19230769230769232</v>
      </c>
      <c r="BP141" s="78">
        <f>IFERROR(1/J141*(Y141/H141),"0")</f>
        <v>0.19230769230769232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35</v>
      </c>
      <c r="Y143" s="43">
        <f>IFERROR(Y139/H139,"0")+IFERROR(Y140/H140,"0")+IFERROR(Y141/H141,"0")+IFERROR(Y142/H142,"0")</f>
        <v>35</v>
      </c>
      <c r="Z143" s="43">
        <f>IFERROR(IF(Z139="",0,Z139),"0")+IFERROR(IF(Z140="",0,Z140),"0")+IFERROR(IF(Z141="",0,Z141),"0")+IFERROR(IF(Z142="",0,Z142),"0")</f>
        <v>0.22785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98</v>
      </c>
      <c r="Y144" s="43">
        <f>IFERROR(SUM(Y139:Y142),"0")</f>
        <v>98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49.5</v>
      </c>
      <c r="Y148" s="55">
        <f>IFERROR(IF(X148="",0,CEILING((X148/$H148),1)*$H148),"")</f>
        <v>50.160000000000004</v>
      </c>
      <c r="Z148" s="41">
        <f>IFERROR(IF(Y148=0,"",ROUNDUP(Y148/H148,0)*0.00651),"")</f>
        <v>0.12369000000000001</v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54.524999999999999</v>
      </c>
      <c r="BN148" s="78">
        <f>IFERROR(Y148*I148/H148,"0")</f>
        <v>55.252000000000002</v>
      </c>
      <c r="BO148" s="78">
        <f>IFERROR(1/J148*(X148/H148),"0")</f>
        <v>0.10302197802197803</v>
      </c>
      <c r="BP148" s="78">
        <f>IFERROR(1/J148*(Y148/H148),"0")</f>
        <v>0.1043956043956044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18.75</v>
      </c>
      <c r="Y150" s="43">
        <f>IFERROR(Y146/H146,"0")+IFERROR(Y147/H147,"0")+IFERROR(Y148/H148,"0")+IFERROR(Y149/H149,"0")</f>
        <v>19</v>
      </c>
      <c r="Z150" s="43">
        <f>IFERROR(IF(Z146="",0,Z146),"0")+IFERROR(IF(Z147="",0,Z147),"0")+IFERROR(IF(Z148="",0,Z148),"0")+IFERROR(IF(Z149="",0,Z149),"0")</f>
        <v>0.12369000000000001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49.5</v>
      </c>
      <c r="Y151" s="43">
        <f>IFERROR(SUM(Y146:Y149),"0")</f>
        <v>50.160000000000004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400</v>
      </c>
      <c r="Y177" s="55">
        <f t="shared" ref="Y177:Y187" si="10">IFERROR(IF(X177="",0,CEILING((X177/$H177),1)*$H177),"")</f>
        <v>402.5</v>
      </c>
      <c r="Z177" s="41">
        <f>IFERROR(IF(Y177=0,"",ROUNDUP(Y177/H177,0)*0.00902),"")</f>
        <v>1.0373000000000001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421.71428571428572</v>
      </c>
      <c r="BN177" s="78">
        <f t="shared" ref="BN177:BN187" si="12">IFERROR(Y177*I177/H177,"0")</f>
        <v>424.34999999999997</v>
      </c>
      <c r="BO177" s="78">
        <f t="shared" ref="BO177:BO187" si="13">IFERROR(1/J177*(X177/H177),"0")</f>
        <v>0.8658008658008659</v>
      </c>
      <c r="BP177" s="78">
        <f t="shared" ref="BP177:BP187" si="14">IFERROR(1/J177*(Y177/H177),"0")</f>
        <v>0.87121212121212122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300</v>
      </c>
      <c r="Y179" s="55">
        <f t="shared" si="10"/>
        <v>301</v>
      </c>
      <c r="Z179" s="41">
        <f>IFERROR(IF(Y179=0,"",ROUNDUP(Y179/H179,0)*0.00902),"")</f>
        <v>0.77571999999999997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316.28571428571428</v>
      </c>
      <c r="BN179" s="78">
        <f t="shared" si="12"/>
        <v>317.34000000000003</v>
      </c>
      <c r="BO179" s="78">
        <f t="shared" si="13"/>
        <v>0.64935064935064934</v>
      </c>
      <c r="BP179" s="78">
        <f t="shared" si="14"/>
        <v>0.65151515151515149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150</v>
      </c>
      <c r="Y180" s="55">
        <f t="shared" si="10"/>
        <v>150.5</v>
      </c>
      <c r="Z180" s="41">
        <f>IFERROR(IF(Y180=0,"",ROUNDUP(Y180/H180,0)*0.00902),"")</f>
        <v>0.38785999999999998</v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158.14285714285714</v>
      </c>
      <c r="BN180" s="78">
        <f t="shared" si="12"/>
        <v>158.67000000000002</v>
      </c>
      <c r="BO180" s="78">
        <f t="shared" si="13"/>
        <v>0.32467532467532467</v>
      </c>
      <c r="BP180" s="78">
        <f t="shared" si="14"/>
        <v>0.32575757575757575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0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89.000000000000028</v>
      </c>
      <c r="BN185" s="78">
        <f t="shared" si="12"/>
        <v>89.000000000000014</v>
      </c>
      <c r="BO185" s="78">
        <f t="shared" si="13"/>
        <v>0.21367521367521372</v>
      </c>
      <c r="BP185" s="78">
        <f t="shared" si="14"/>
        <v>0.21367521367521369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56.000000000000007</v>
      </c>
      <c r="Y187" s="55">
        <f t="shared" si="10"/>
        <v>57.12</v>
      </c>
      <c r="Z187" s="41">
        <f>IFERROR(IF(Y187=0,"",ROUNDUP(Y187/H187,0)*0.00502),"")</f>
        <v>0.17068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59.33333333333335</v>
      </c>
      <c r="BN187" s="78">
        <f t="shared" si="12"/>
        <v>60.519999999999996</v>
      </c>
      <c r="BO187" s="78">
        <f t="shared" si="13"/>
        <v>0.14245014245014248</v>
      </c>
      <c r="BP187" s="78">
        <f t="shared" si="14"/>
        <v>0.14529914529914531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326.1904761904762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328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2.62256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990</v>
      </c>
      <c r="Y189" s="43">
        <f>IFERROR(SUM(Y177:Y187),"0")</f>
        <v>995.12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70</v>
      </c>
      <c r="Y223" s="55">
        <f t="shared" ref="Y223:Y236" si="21">IFERROR(IF(X223="",0,CEILING((X223/$H223),1)*$H223),"")</f>
        <v>71.400000000000006</v>
      </c>
      <c r="Z223" s="41">
        <f>IFERROR(IF(Y223=0,"",ROUNDUP(Y223/H223,0)*0.00902),"")</f>
        <v>0.15334</v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74.166666666666657</v>
      </c>
      <c r="BN223" s="78">
        <f t="shared" ref="BN223:BN236" si="23">IFERROR(Y223*I223/H223,"0")</f>
        <v>75.650000000000006</v>
      </c>
      <c r="BO223" s="78">
        <f t="shared" ref="BO223:BO236" si="24">IFERROR(1/J223*(X223/H223),"0")</f>
        <v>0.12626262626262624</v>
      </c>
      <c r="BP223" s="78">
        <f t="shared" ref="BP223:BP236" si="25">IFERROR(1/J223*(Y223/H223),"0")</f>
        <v>0.12878787878787878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30</v>
      </c>
      <c r="Y224" s="55">
        <f t="shared" si="21"/>
        <v>33.6</v>
      </c>
      <c r="Z224" s="41">
        <f>IFERROR(IF(Y224=0,"",ROUNDUP(Y224/H224,0)*0.00902),"")</f>
        <v>7.2160000000000002E-2</v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31.785714285714285</v>
      </c>
      <c r="BN224" s="78">
        <f t="shared" si="23"/>
        <v>35.6</v>
      </c>
      <c r="BO224" s="78">
        <f t="shared" si="24"/>
        <v>5.4112554112554112E-2</v>
      </c>
      <c r="BP224" s="78">
        <f t="shared" si="25"/>
        <v>6.0606060606060608E-2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100</v>
      </c>
      <c r="Y225" s="55">
        <f t="shared" si="21"/>
        <v>100.80000000000001</v>
      </c>
      <c r="Z225" s="41">
        <f>IFERROR(IF(Y225=0,"",ROUNDUP(Y225/H225,0)*0.00902),"")</f>
        <v>0.21648000000000001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104.5238095238095</v>
      </c>
      <c r="BN225" s="78">
        <f t="shared" si="23"/>
        <v>105.36</v>
      </c>
      <c r="BO225" s="78">
        <f t="shared" si="24"/>
        <v>0.18037518037518038</v>
      </c>
      <c r="BP225" s="78">
        <f t="shared" si="25"/>
        <v>0.18181818181818182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8</v>
      </c>
      <c r="Y226" s="55">
        <f t="shared" si="21"/>
        <v>8</v>
      </c>
      <c r="Z226" s="41">
        <f>IFERROR(IF(Y226=0,"",ROUNDUP(Y226/H226,0)*0.00556),"")</f>
        <v>5.5599999999999997E-2</v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9.3000000000000007</v>
      </c>
      <c r="BN226" s="78">
        <f t="shared" si="23"/>
        <v>9.3000000000000007</v>
      </c>
      <c r="BO226" s="78">
        <f t="shared" si="24"/>
        <v>3.968253968253968E-2</v>
      </c>
      <c r="BP226" s="78">
        <f t="shared" si="25"/>
        <v>3.968253968253968E-2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105</v>
      </c>
      <c r="Y227" s="55">
        <f t="shared" si="21"/>
        <v>105</v>
      </c>
      <c r="Z227" s="41">
        <f t="shared" ref="Z227:Z232" si="26">IFERROR(IF(Y227=0,"",ROUNDUP(Y227/H227,0)*0.00502),"")</f>
        <v>0.251</v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111.5</v>
      </c>
      <c r="BN227" s="78">
        <f t="shared" si="23"/>
        <v>111.5</v>
      </c>
      <c r="BO227" s="78">
        <f t="shared" si="24"/>
        <v>0.21367521367521369</v>
      </c>
      <c r="BP227" s="78">
        <f t="shared" si="25"/>
        <v>0.21367521367521369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175</v>
      </c>
      <c r="Y229" s="55">
        <f t="shared" si="21"/>
        <v>176.4</v>
      </c>
      <c r="Z229" s="41">
        <f t="shared" si="26"/>
        <v>0.42168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185.83333333333331</v>
      </c>
      <c r="BN229" s="78">
        <f t="shared" si="23"/>
        <v>187.32</v>
      </c>
      <c r="BO229" s="78">
        <f t="shared" si="24"/>
        <v>0.35612535612535612</v>
      </c>
      <c r="BP229" s="78">
        <f t="shared" si="25"/>
        <v>0.35897435897435903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4</v>
      </c>
      <c r="Y233" s="55">
        <f t="shared" si="21"/>
        <v>4</v>
      </c>
      <c r="Z233" s="41">
        <f>IFERROR(IF(Y233=0,"",ROUNDUP(Y233/H233,0)*0.00417),"")</f>
        <v>2.085E-2</v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5.05</v>
      </c>
      <c r="BN233" s="78">
        <f t="shared" si="23"/>
        <v>5.05</v>
      </c>
      <c r="BO233" s="78">
        <f t="shared" si="24"/>
        <v>1.488095238095238E-2</v>
      </c>
      <c r="BP233" s="78">
        <f t="shared" si="25"/>
        <v>1.488095238095238E-2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175</v>
      </c>
      <c r="Y234" s="55">
        <f t="shared" si="21"/>
        <v>176.4</v>
      </c>
      <c r="Z234" s="41">
        <f>IFERROR(IF(Y234=0,"",ROUNDUP(Y234/H234,0)*0.00502),"")</f>
        <v>0.42168</v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183.33333333333334</v>
      </c>
      <c r="BN234" s="78">
        <f t="shared" si="23"/>
        <v>184.8</v>
      </c>
      <c r="BO234" s="78">
        <f t="shared" si="24"/>
        <v>0.35612535612535612</v>
      </c>
      <c r="BP234" s="78">
        <f t="shared" si="25"/>
        <v>0.35897435897435903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279.28571428571428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282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1.6127900000000002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667</v>
      </c>
      <c r="Y238" s="43">
        <f>IFERROR(SUM(Y223:Y236),"0")</f>
        <v>675.6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7.0000000000000009</v>
      </c>
      <c r="Y248" s="55">
        <f>IFERROR(IF(X248="",0,CEILING((X248/$H248),1)*$H248),"")</f>
        <v>7.5600000000000005</v>
      </c>
      <c r="Z248" s="41">
        <f>IFERROR(IF(Y248=0,"",ROUNDUP(Y248/H248,0)*0.0059),"")</f>
        <v>3.5400000000000001E-2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8.0555555555555554</v>
      </c>
      <c r="BN248" s="78">
        <f>IFERROR(Y248*I248/H248,"0")</f>
        <v>8.6999999999999993</v>
      </c>
      <c r="BO248" s="78">
        <f>IFERROR(1/J248*(X248/H248),"0")</f>
        <v>2.5720164609053499E-2</v>
      </c>
      <c r="BP248" s="78">
        <f>IFERROR(1/J248*(Y248/H248),"0")</f>
        <v>2.7777777777777776E-2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14.000000000000002</v>
      </c>
      <c r="Y249" s="55">
        <f>IFERROR(IF(X249="",0,CEILING((X249/$H249),1)*$H249),"")</f>
        <v>15.120000000000001</v>
      </c>
      <c r="Z249" s="41">
        <f>IFERROR(IF(Y249=0,"",ROUNDUP(Y249/H249,0)*0.0059),"")</f>
        <v>7.0800000000000002E-2</v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16.111111111111111</v>
      </c>
      <c r="BN249" s="78">
        <f>IFERROR(Y249*I249/H249,"0")</f>
        <v>17.399999999999999</v>
      </c>
      <c r="BO249" s="78">
        <f>IFERROR(1/J249*(X249/H249),"0")</f>
        <v>5.1440329218106998E-2</v>
      </c>
      <c r="BP249" s="78">
        <f>IFERROR(1/J249*(Y249/H249),"0")</f>
        <v>5.5555555555555552E-2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7.0000000000000009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2.5720164609053499E-2</v>
      </c>
      <c r="BP250" s="78">
        <f>IFERROR(1/J250*(Y250/H250),"0")</f>
        <v>2.7777777777777776E-2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22.222222222222225</v>
      </c>
      <c r="Y251" s="43">
        <f>IFERROR(Y248/H248,"0")+IFERROR(Y249/H249,"0")+IFERROR(Y250/H250,"0")</f>
        <v>24</v>
      </c>
      <c r="Z251" s="43">
        <f>IFERROR(IF(Z248="",0,Z248),"0")+IFERROR(IF(Z249="",0,Z249),"0")+IFERROR(IF(Z250="",0,Z250),"0")</f>
        <v>0.1416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28.000000000000004</v>
      </c>
      <c r="Y252" s="43">
        <f>IFERROR(SUM(Y248:Y250),"0")</f>
        <v>30.240000000000002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14.000000000000002</v>
      </c>
      <c r="Y254" s="55">
        <f>IFERROR(IF(X254="",0,CEILING((X254/$H254),1)*$H254),"")</f>
        <v>15.120000000000001</v>
      </c>
      <c r="Z254" s="41">
        <f>IFERROR(IF(Y254=0,"",ROUNDUP(Y254/H254,0)*0.0059),"")</f>
        <v>7.0800000000000002E-2</v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16.111111111111111</v>
      </c>
      <c r="BN254" s="78">
        <f>IFERROR(Y254*I254/H254,"0")</f>
        <v>17.399999999999999</v>
      </c>
      <c r="BO254" s="78">
        <f>IFERROR(1/J254*(X254/H254),"0")</f>
        <v>5.1440329218106998E-2</v>
      </c>
      <c r="BP254" s="78">
        <f>IFERROR(1/J254*(Y254/H254),"0")</f>
        <v>5.5555555555555552E-2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11.111111111111112</v>
      </c>
      <c r="Y255" s="43">
        <f>IFERROR(Y254/H254,"0")</f>
        <v>12</v>
      </c>
      <c r="Z255" s="43">
        <f>IFERROR(IF(Z254="",0,Z254),"0")</f>
        <v>7.0800000000000002E-2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14.000000000000002</v>
      </c>
      <c r="Y256" s="43">
        <f>IFERROR(SUM(Y254:Y254),"0")</f>
        <v>15.120000000000001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500</v>
      </c>
      <c r="Y269" s="55">
        <f t="shared" ref="Y269:Y276" si="27">IFERROR(IF(X269="",0,CEILING((X269/$H269),1)*$H269),"")</f>
        <v>502.20000000000005</v>
      </c>
      <c r="Z269" s="41">
        <f>IFERROR(IF(Y269=0,"",ROUNDUP(Y269/H269,0)*0.00902),"")</f>
        <v>0.83886000000000005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517.59259259259261</v>
      </c>
      <c r="BN269" s="78">
        <f t="shared" ref="BN269:BN276" si="29">IFERROR(Y269*I269/H269,"0")</f>
        <v>519.87</v>
      </c>
      <c r="BO269" s="78">
        <f t="shared" ref="BO269:BO276" si="30">IFERROR(1/J269*(X269/H269),"0")</f>
        <v>0.70145903479236804</v>
      </c>
      <c r="BP269" s="78">
        <f t="shared" ref="BP269:BP276" si="31">IFERROR(1/J269*(Y269/H269),"0")</f>
        <v>0.70454545454545459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27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51.759259259259252</v>
      </c>
      <c r="BN270" s="78">
        <f t="shared" si="29"/>
        <v>55.9</v>
      </c>
      <c r="BO270" s="78">
        <f t="shared" si="30"/>
        <v>7.0145903479236812E-2</v>
      </c>
      <c r="BP270" s="78">
        <f t="shared" si="31"/>
        <v>7.575757575757576E-2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27"/>
        <v>102.60000000000001</v>
      </c>
      <c r="Z272" s="41">
        <f>IFERROR(IF(Y272=0,"",ROUNDUP(Y272/H272,0)*0.00902),"")</f>
        <v>0.17138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103.5185185185185</v>
      </c>
      <c r="BN272" s="78">
        <f t="shared" si="29"/>
        <v>106.21</v>
      </c>
      <c r="BO272" s="78">
        <f t="shared" si="30"/>
        <v>0.14029180695847362</v>
      </c>
      <c r="BP272" s="78">
        <f t="shared" si="31"/>
        <v>0.14393939393939395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120</v>
      </c>
      <c r="Y273" s="55">
        <f t="shared" si="27"/>
        <v>120.60000000000001</v>
      </c>
      <c r="Z273" s="41">
        <f>IFERROR(IF(Y273=0,"",ROUNDUP(Y273/H273,0)*0.00502),"")</f>
        <v>0.33634000000000003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128.66666666666666</v>
      </c>
      <c r="BN273" s="78">
        <f t="shared" si="29"/>
        <v>129.31</v>
      </c>
      <c r="BO273" s="78">
        <f t="shared" si="30"/>
        <v>0.28490028490028496</v>
      </c>
      <c r="BP273" s="78">
        <f t="shared" si="31"/>
        <v>0.28632478632478636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27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31.666666666666664</v>
      </c>
      <c r="BN274" s="78">
        <f t="shared" si="29"/>
        <v>32.299999999999997</v>
      </c>
      <c r="BO274" s="78">
        <f t="shared" si="30"/>
        <v>7.122507122507124E-2</v>
      </c>
      <c r="BP274" s="78">
        <f t="shared" si="31"/>
        <v>7.2649572649572655E-2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203.7037037037037</v>
      </c>
      <c r="Y277" s="43">
        <f>IFERROR(Y269/H269,"0")+IFERROR(Y270/H270,"0")+IFERROR(Y271/H271,"0")+IFERROR(Y272/H272,"0")+IFERROR(Y273/H273,"0")+IFERROR(Y274/H274,"0")+IFERROR(Y275/H275,"0")+IFERROR(Y276/H276,"0")</f>
        <v>206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1.5221200000000001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800</v>
      </c>
      <c r="Y278" s="43">
        <f>IFERROR(SUM(Y269:Y276),"0")</f>
        <v>810.00000000000011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700</v>
      </c>
      <c r="Y282" s="55">
        <f t="shared" si="32"/>
        <v>704.69999999999993</v>
      </c>
      <c r="Z282" s="41">
        <f>IFERROR(IF(Y282=0,"",ROUNDUP(Y282/H282,0)*0.01898),"")</f>
        <v>1.53738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739.74712643678174</v>
      </c>
      <c r="BN282" s="78">
        <f t="shared" si="34"/>
        <v>744.71400000000006</v>
      </c>
      <c r="BO282" s="78">
        <f t="shared" si="35"/>
        <v>1.257183908045977</v>
      </c>
      <c r="BP282" s="78">
        <f t="shared" si="36"/>
        <v>1.265625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200</v>
      </c>
      <c r="Y286" s="55">
        <f t="shared" si="32"/>
        <v>201.6</v>
      </c>
      <c r="Z286" s="41">
        <f>IFERROR(IF(Y286=0,"",ROUNDUP(Y286/H286,0)*0.00651),"")</f>
        <v>0.54683999999999999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221</v>
      </c>
      <c r="BN286" s="78">
        <f t="shared" si="34"/>
        <v>222.768</v>
      </c>
      <c r="BO286" s="78">
        <f t="shared" si="35"/>
        <v>0.45787545787545797</v>
      </c>
      <c r="BP286" s="78">
        <f t="shared" si="36"/>
        <v>0.46153846153846156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80</v>
      </c>
      <c r="Y289" s="55">
        <f t="shared" si="32"/>
        <v>81.599999999999994</v>
      </c>
      <c r="Z289" s="41">
        <f>IFERROR(IF(Y289=0,"",ROUNDUP(Y289/H289,0)*0.00651),"")</f>
        <v>0.22134000000000001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88.40000000000002</v>
      </c>
      <c r="BN289" s="78">
        <f t="shared" si="34"/>
        <v>90.168000000000006</v>
      </c>
      <c r="BO289" s="78">
        <f t="shared" si="35"/>
        <v>0.18315018315018317</v>
      </c>
      <c r="BP289" s="78">
        <f t="shared" si="36"/>
        <v>0.18681318681318682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400</v>
      </c>
      <c r="Y290" s="55">
        <f t="shared" si="32"/>
        <v>400.8</v>
      </c>
      <c r="Z290" s="41">
        <f>IFERROR(IF(Y290=0,"",ROUNDUP(Y290/H290,0)*0.00651),"")</f>
        <v>1.08717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443.00000000000006</v>
      </c>
      <c r="BN290" s="78">
        <f t="shared" si="34"/>
        <v>443.88599999999997</v>
      </c>
      <c r="BO290" s="78">
        <f t="shared" si="35"/>
        <v>0.91575091575091594</v>
      </c>
      <c r="BP290" s="78">
        <f t="shared" si="36"/>
        <v>0.91758241758241765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363.79310344827593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366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3.3927300000000002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1380</v>
      </c>
      <c r="Y293" s="43">
        <f>IFERROR(SUM(Y280:Y291),"0")</f>
        <v>1388.7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60</v>
      </c>
      <c r="Y295" s="55">
        <f>IFERROR(IF(X295="",0,CEILING((X295/$H295),1)*$H295),"")</f>
        <v>60</v>
      </c>
      <c r="Z295" s="41">
        <f>IFERROR(IF(Y295=0,"",ROUNDUP(Y295/H295,0)*0.00651),"")</f>
        <v>0.16275000000000001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66.300000000000011</v>
      </c>
      <c r="BN295" s="78">
        <f>IFERROR(Y295*I295/H295,"0")</f>
        <v>66.300000000000011</v>
      </c>
      <c r="BO295" s="78">
        <f>IFERROR(1/J295*(X295/H295),"0")</f>
        <v>0.13736263736263737</v>
      </c>
      <c r="BP295" s="78">
        <f>IFERROR(1/J295*(Y295/H295),"0")</f>
        <v>0.13736263736263737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240</v>
      </c>
      <c r="Y296" s="55">
        <f>IFERROR(IF(X296="",0,CEILING((X296/$H296),1)*$H296),"")</f>
        <v>240</v>
      </c>
      <c r="Z296" s="41">
        <f>IFERROR(IF(Y296=0,"",ROUNDUP(Y296/H296,0)*0.00651),"")</f>
        <v>0.65100000000000002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265.20000000000005</v>
      </c>
      <c r="BN296" s="78">
        <f>IFERROR(Y296*I296/H296,"0")</f>
        <v>265.20000000000005</v>
      </c>
      <c r="BO296" s="78">
        <f>IFERROR(1/J296*(X296/H296),"0")</f>
        <v>0.5494505494505495</v>
      </c>
      <c r="BP296" s="78">
        <f>IFERROR(1/J296*(Y296/H296),"0")</f>
        <v>0.5494505494505495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125</v>
      </c>
      <c r="Y297" s="43">
        <f>IFERROR(Y295/H295,"0")+IFERROR(Y296/H296,"0")</f>
        <v>125</v>
      </c>
      <c r="Z297" s="43">
        <f>IFERROR(IF(Z295="",0,Z295),"0")+IFERROR(IF(Z296="",0,Z296),"0")</f>
        <v>0.81374999999999997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300</v>
      </c>
      <c r="Y298" s="43">
        <f>IFERROR(SUM(Y295:Y296),"0")</f>
        <v>300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100</v>
      </c>
      <c r="Y303" s="55">
        <f t="shared" si="37"/>
        <v>104.39999999999999</v>
      </c>
      <c r="Z303" s="41">
        <f>IFERROR(IF(Y303=0,"",ROUNDUP(Y303/H303,0)*0.01898),"")</f>
        <v>0.17082</v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103.5344827586207</v>
      </c>
      <c r="BN303" s="78">
        <f t="shared" si="39"/>
        <v>108.08999999999999</v>
      </c>
      <c r="BO303" s="78">
        <f t="shared" si="40"/>
        <v>0.13469827586206898</v>
      </c>
      <c r="BP303" s="78">
        <f t="shared" si="41"/>
        <v>0.140625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20</v>
      </c>
      <c r="Y304" s="55">
        <f t="shared" si="37"/>
        <v>20</v>
      </c>
      <c r="Z304" s="41">
        <f>IFERROR(IF(Y304=0,"",ROUNDUP(Y304/H304,0)*0.00902),"")</f>
        <v>4.5100000000000001E-2</v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20.950000000000003</v>
      </c>
      <c r="BN304" s="78">
        <f t="shared" si="39"/>
        <v>20.950000000000003</v>
      </c>
      <c r="BO304" s="78">
        <f t="shared" si="40"/>
        <v>3.787878787878788E-2</v>
      </c>
      <c r="BP304" s="78">
        <f t="shared" si="41"/>
        <v>3.787878787878788E-2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13.620689655172415</v>
      </c>
      <c r="Y308" s="43">
        <f>IFERROR(Y301/H301,"0")+IFERROR(Y302/H302,"0")+IFERROR(Y303/H303,"0")+IFERROR(Y304/H304,"0")+IFERROR(Y305/H305,"0")+IFERROR(Y306/H306,"0")+IFERROR(Y307/H307,"0")</f>
        <v>14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0.21592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120</v>
      </c>
      <c r="Y309" s="43">
        <f>IFERROR(SUM(Y301:Y307),"0")</f>
        <v>124.39999999999999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18</v>
      </c>
      <c r="Y315" s="55">
        <f>IFERROR(IF(X315="",0,CEILING((X315/$H315),1)*$H315),"")</f>
        <v>18</v>
      </c>
      <c r="Z315" s="41">
        <f>IFERROR(IF(Y315=0,"",ROUNDUP(Y315/H315,0)*0.0059),"")</f>
        <v>5.8999999999999997E-2</v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19.750000000000004</v>
      </c>
      <c r="BN315" s="78">
        <f>IFERROR(Y315*I315/H315,"0")</f>
        <v>19.750000000000004</v>
      </c>
      <c r="BO315" s="78">
        <f>IFERROR(1/J315*(X315/H315),"0")</f>
        <v>4.6296296296296294E-2</v>
      </c>
      <c r="BP315" s="78">
        <f>IFERROR(1/J315*(Y315/H315),"0")</f>
        <v>4.6296296296296294E-2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10</v>
      </c>
      <c r="Y316" s="43">
        <f>IFERROR(Y315/H315,"0")</f>
        <v>10</v>
      </c>
      <c r="Z316" s="43">
        <f>IFERROR(IF(Z315="",0,Z315),"0")</f>
        <v>5.8999999999999997E-2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18</v>
      </c>
      <c r="Y317" s="43">
        <f>IFERROR(SUM(Y315:Y315),"0")</f>
        <v>18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120</v>
      </c>
      <c r="Y336" s="55">
        <f>IFERROR(IF(X336="",0,CEILING((X336/$H336),1)*$H336),"")</f>
        <v>120</v>
      </c>
      <c r="Z336" s="41">
        <f>IFERROR(IF(Y336=0,"",ROUNDUP(Y336/H336,0)*0.00651),"")</f>
        <v>0.32550000000000001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132.60000000000002</v>
      </c>
      <c r="BN336" s="78">
        <f>IFERROR(Y336*I336/H336,"0")</f>
        <v>132.60000000000002</v>
      </c>
      <c r="BO336" s="78">
        <f>IFERROR(1/J336*(X336/H336),"0")</f>
        <v>0.27472527472527475</v>
      </c>
      <c r="BP336" s="78">
        <f>IFERROR(1/J336*(Y336/H336),"0")</f>
        <v>0.27472527472527475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640</v>
      </c>
      <c r="Y337" s="55">
        <f>IFERROR(IF(X337="",0,CEILING((X337/$H337),1)*$H337),"")</f>
        <v>640.79999999999995</v>
      </c>
      <c r="Z337" s="41">
        <f>IFERROR(IF(Y337=0,"",ROUNDUP(Y337/H337,0)*0.00651),"")</f>
        <v>1.73817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688</v>
      </c>
      <c r="BN337" s="78">
        <f>IFERROR(Y337*I337/H337,"0")</f>
        <v>688.86</v>
      </c>
      <c r="BO337" s="78">
        <f>IFERROR(1/J337*(X337/H337),"0")</f>
        <v>1.4652014652014653</v>
      </c>
      <c r="BP337" s="78">
        <f>IFERROR(1/J337*(Y337/H337),"0")</f>
        <v>1.4670329670329672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316.66666666666669</v>
      </c>
      <c r="Y338" s="43">
        <f>IFERROR(Y335/H335,"0")+IFERROR(Y336/H336,"0")+IFERROR(Y337/H337,"0")</f>
        <v>317</v>
      </c>
      <c r="Z338" s="43">
        <f>IFERROR(IF(Z335="",0,Z335),"0")+IFERROR(IF(Z336="",0,Z336),"0")+IFERROR(IF(Z337="",0,Z337),"0")</f>
        <v>2.0636700000000001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760</v>
      </c>
      <c r="Y339" s="43">
        <f>IFERROR(SUM(Y335:Y337),"0")</f>
        <v>760.8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200</v>
      </c>
      <c r="Y356" s="55">
        <f>IFERROR(IF(X356="",0,CEILING((X356/$H356),1)*$H356),"")</f>
        <v>202.79999999999998</v>
      </c>
      <c r="Z356" s="41">
        <f>IFERROR(IF(Y356=0,"",ROUNDUP(Y356/H356,0)*0.01898),"")</f>
        <v>0.49348000000000003</v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210.51282051282055</v>
      </c>
      <c r="BN356" s="78">
        <f>IFERROR(Y356*I356/H356,"0")</f>
        <v>213.46</v>
      </c>
      <c r="BO356" s="78">
        <f>IFERROR(1/J356*(X356/H356),"0")</f>
        <v>0.40064102564102566</v>
      </c>
      <c r="BP356" s="78">
        <f>IFERROR(1/J356*(Y356/H356),"0")</f>
        <v>0.40625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200</v>
      </c>
      <c r="Y357" s="55">
        <f>IFERROR(IF(X357="",0,CEILING((X357/$H357),1)*$H357),"")</f>
        <v>202.79999999999998</v>
      </c>
      <c r="Z357" s="41">
        <f>IFERROR(IF(Y357=0,"",ROUNDUP(Y357/H357,0)*0.01898),"")</f>
        <v>0.49348000000000003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210.51282051282055</v>
      </c>
      <c r="BN357" s="78">
        <f>IFERROR(Y357*I357/H357,"0")</f>
        <v>213.46</v>
      </c>
      <c r="BO357" s="78">
        <f>IFERROR(1/J357*(X357/H357),"0")</f>
        <v>0.40064102564102566</v>
      </c>
      <c r="BP357" s="78">
        <f>IFERROR(1/J357*(Y357/H357),"0")</f>
        <v>0.40625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51.282051282051285</v>
      </c>
      <c r="Y359" s="43">
        <f>IFERROR(Y356/H356,"0")+IFERROR(Y357/H357,"0")+IFERROR(Y358/H358,"0")</f>
        <v>52</v>
      </c>
      <c r="Z359" s="43">
        <f>IFERROR(IF(Z356="",0,Z356),"0")+IFERROR(IF(Z357="",0,Z357),"0")+IFERROR(IF(Z358="",0,Z358),"0")</f>
        <v>0.98696000000000006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400</v>
      </c>
      <c r="Y360" s="43">
        <f>IFERROR(SUM(Y356:Y358),"0")</f>
        <v>405.59999999999997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30</v>
      </c>
      <c r="Y363" s="55">
        <f t="shared" ref="Y363:Y368" si="42">IFERROR(IF(X363="",0,CEILING((X363/$H363),1)*$H363),"")</f>
        <v>32.400000000000006</v>
      </c>
      <c r="Z363" s="41">
        <f>IFERROR(IF(Y363=0,"",ROUNDUP(Y363/H363,0)*0.01898),"")</f>
        <v>5.6940000000000004E-2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31.138888888888889</v>
      </c>
      <c r="BN363" s="78">
        <f t="shared" ref="BN363:BN368" si="44">IFERROR(Y363*I363/H363,"0")</f>
        <v>33.630000000000003</v>
      </c>
      <c r="BO363" s="78">
        <f t="shared" ref="BO363:BO368" si="45">IFERROR(1/J363*(X363/H363),"0")</f>
        <v>4.3402777777777776E-2</v>
      </c>
      <c r="BP363" s="78">
        <f t="shared" ref="BP363:BP368" si="46">IFERROR(1/J363*(Y363/H363),"0")</f>
        <v>4.6875000000000007E-2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2.7777777777777777</v>
      </c>
      <c r="Y369" s="43">
        <f>IFERROR(Y363/H363,"0")+IFERROR(Y364/H364,"0")+IFERROR(Y365/H365,"0")+IFERROR(Y366/H366,"0")+IFERROR(Y367/H367,"0")+IFERROR(Y368/H368,"0")</f>
        <v>3.0000000000000004</v>
      </c>
      <c r="Z369" s="43">
        <f>IFERROR(IF(Z363="",0,Z363),"0")+IFERROR(IF(Z364="",0,Z364),"0")+IFERROR(IF(Z365="",0,Z365),"0")+IFERROR(IF(Z366="",0,Z366),"0")+IFERROR(IF(Z367="",0,Z367),"0")+IFERROR(IF(Z368="",0,Z368),"0")</f>
        <v>5.6940000000000004E-2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30</v>
      </c>
      <c r="Y370" s="43">
        <f>IFERROR(SUM(Y363:Y368),"0")</f>
        <v>32.400000000000006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105</v>
      </c>
      <c r="Y376" s="55">
        <f t="shared" si="47"/>
        <v>105</v>
      </c>
      <c r="Z376" s="41">
        <f>IFERROR(IF(Y376=0,"",ROUNDUP(Y376/H376,0)*0.00502),"")</f>
        <v>0.251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110.00000000000001</v>
      </c>
      <c r="BN376" s="78">
        <f t="shared" si="49"/>
        <v>110.00000000000001</v>
      </c>
      <c r="BO376" s="78">
        <f t="shared" si="50"/>
        <v>0.21367521367521369</v>
      </c>
      <c r="BP376" s="78">
        <f t="shared" si="51"/>
        <v>0.21367521367521369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50</v>
      </c>
      <c r="Y379" s="43">
        <f>IFERROR(Y372/H372,"0")+IFERROR(Y373/H373,"0")+IFERROR(Y374/H374,"0")+IFERROR(Y375/H375,"0")+IFERROR(Y376/H376,"0")+IFERROR(Y377/H377,"0")+IFERROR(Y378/H378,"0")</f>
        <v>50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0.251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105</v>
      </c>
      <c r="Y380" s="43">
        <f>IFERROR(SUM(Y372:Y378),"0")</f>
        <v>105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700</v>
      </c>
      <c r="Y389" s="55">
        <f>IFERROR(IF(X389="",0,CEILING((X389/$H389),1)*$H389),"")</f>
        <v>705.6</v>
      </c>
      <c r="Z389" s="41">
        <f>IFERROR(IF(Y389=0,"",ROUNDUP(Y389/H389,0)*0.01898),"")</f>
        <v>1.59432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741.16666666666663</v>
      </c>
      <c r="BN389" s="78">
        <f>IFERROR(Y389*I389/H389,"0")</f>
        <v>747.096</v>
      </c>
      <c r="BO389" s="78">
        <f>IFERROR(1/J389*(X389/H389),"0")</f>
        <v>1.3020833333333333</v>
      </c>
      <c r="BP389" s="78">
        <f>IFERROR(1/J389*(Y389/H389),"0")</f>
        <v>1.3125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600</v>
      </c>
      <c r="Y390" s="55">
        <f>IFERROR(IF(X390="",0,CEILING((X390/$H390),1)*$H390),"")</f>
        <v>600.6</v>
      </c>
      <c r="Z390" s="41">
        <f>IFERROR(IF(Y390=0,"",ROUNDUP(Y390/H390,0)*0.01898),"")</f>
        <v>1.46146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638.00000000000011</v>
      </c>
      <c r="BN390" s="78">
        <f>IFERROR(Y390*I390/H390,"0")</f>
        <v>638.63800000000003</v>
      </c>
      <c r="BO390" s="78">
        <f>IFERROR(1/J390*(X390/H390),"0")</f>
        <v>1.2019230769230769</v>
      </c>
      <c r="BP390" s="78">
        <f>IFERROR(1/J390*(Y390/H390),"0")</f>
        <v>1.203125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150</v>
      </c>
      <c r="Y391" s="55">
        <f>IFERROR(IF(X391="",0,CEILING((X391/$H391),1)*$H391),"")</f>
        <v>151.20000000000002</v>
      </c>
      <c r="Z391" s="41">
        <f>IFERROR(IF(Y391=0,"",ROUNDUP(Y391/H391,0)*0.01898),"")</f>
        <v>0.34164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158.82142857142856</v>
      </c>
      <c r="BN391" s="78">
        <f>IFERROR(Y391*I391/H391,"0")</f>
        <v>160.09200000000001</v>
      </c>
      <c r="BO391" s="78">
        <f>IFERROR(1/J391*(X391/H391),"0")</f>
        <v>0.27901785714285715</v>
      </c>
      <c r="BP391" s="78">
        <f>IFERROR(1/J391*(Y391/H391),"0")</f>
        <v>0.28125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178.11355311355311</v>
      </c>
      <c r="Y392" s="43">
        <f>IFERROR(Y389/H389,"0")+IFERROR(Y390/H390,"0")+IFERROR(Y391/H391,"0")</f>
        <v>179</v>
      </c>
      <c r="Z392" s="43">
        <f>IFERROR(IF(Z389="",0,Z389),"0")+IFERROR(IF(Z390="",0,Z390),"0")+IFERROR(IF(Z391="",0,Z391),"0")</f>
        <v>3.3974199999999999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1450</v>
      </c>
      <c r="Y393" s="43">
        <f>IFERROR(SUM(Y389:Y391),"0")</f>
        <v>1457.4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30</v>
      </c>
      <c r="Y395" s="55">
        <f>IFERROR(IF(X395="",0,CEILING((X395/$H395),1)*$H395),"")</f>
        <v>30.4</v>
      </c>
      <c r="Z395" s="41">
        <f>IFERROR(IF(Y395=0,"",ROUNDUP(Y395/H395,0)*0.00902),"")</f>
        <v>9.0200000000000002E-2</v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32.664473684210527</v>
      </c>
      <c r="BN395" s="78">
        <f>IFERROR(Y395*I395/H395,"0")</f>
        <v>33.1</v>
      </c>
      <c r="BO395" s="78">
        <f>IFERROR(1/J395*(X395/H395),"0")</f>
        <v>7.4760765550239236E-2</v>
      </c>
      <c r="BP395" s="78">
        <f>IFERROR(1/J395*(Y395/H395),"0")</f>
        <v>7.575757575757576E-2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85</v>
      </c>
      <c r="Y397" s="55">
        <f>IFERROR(IF(X397="",0,CEILING((X397/$H397),1)*$H397),"")</f>
        <v>86.699999999999989</v>
      </c>
      <c r="Z397" s="41">
        <f>IFERROR(IF(Y397=0,"",ROUNDUP(Y397/H397,0)*0.00651),"")</f>
        <v>0.22134000000000001</v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98.500000000000014</v>
      </c>
      <c r="BN397" s="78">
        <f>IFERROR(Y397*I397/H397,"0")</f>
        <v>100.47</v>
      </c>
      <c r="BO397" s="78">
        <f>IFERROR(1/J397*(X397/H397),"0")</f>
        <v>0.18315018315018317</v>
      </c>
      <c r="BP397" s="78">
        <f>IFERROR(1/J397*(Y397/H397),"0")</f>
        <v>0.18681318681318682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43.201754385964918</v>
      </c>
      <c r="Y399" s="43">
        <f>IFERROR(Y395/H395,"0")+IFERROR(Y396/H396,"0")+IFERROR(Y397/H397,"0")+IFERROR(Y398/H398,"0")</f>
        <v>44</v>
      </c>
      <c r="Z399" s="43">
        <f>IFERROR(IF(Z395="",0,Z395),"0")+IFERROR(IF(Z396="",0,Z396),"0")+IFERROR(IF(Z397="",0,Z397),"0")+IFERROR(IF(Z398="",0,Z398),"0")</f>
        <v>0.31154000000000004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115</v>
      </c>
      <c r="Y400" s="43">
        <f>IFERROR(SUM(Y395:Y398),"0")</f>
        <v>117.1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50</v>
      </c>
      <c r="Y402" s="55">
        <f>IFERROR(IF(X402="",0,CEILING((X402/$H402),1)*$H402),"")</f>
        <v>50</v>
      </c>
      <c r="Z402" s="41">
        <f>IFERROR(IF(Y402=0,"",ROUNDUP(Y402/H402,0)*0.00474),"")</f>
        <v>0.11850000000000001</v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56.000000000000007</v>
      </c>
      <c r="BN402" s="78">
        <f>IFERROR(Y402*I402/H402,"0")</f>
        <v>56.000000000000007</v>
      </c>
      <c r="BO402" s="78">
        <f>IFERROR(1/J402*(X402/H402),"0")</f>
        <v>0.10504201680672269</v>
      </c>
      <c r="BP402" s="78">
        <f>IFERROR(1/J402*(Y402/H402),"0")</f>
        <v>0.10504201680672269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50</v>
      </c>
      <c r="Y403" s="55">
        <f>IFERROR(IF(X403="",0,CEILING((X403/$H403),1)*$H403),"")</f>
        <v>50</v>
      </c>
      <c r="Z403" s="41">
        <f>IFERROR(IF(Y403=0,"",ROUNDUP(Y403/H403,0)*0.00474),"")</f>
        <v>0.11850000000000001</v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56.000000000000007</v>
      </c>
      <c r="BN403" s="78">
        <f>IFERROR(Y403*I403/H403,"0")</f>
        <v>56.000000000000007</v>
      </c>
      <c r="BO403" s="78">
        <f>IFERROR(1/J403*(X403/H403),"0")</f>
        <v>0.10504201680672269</v>
      </c>
      <c r="BP403" s="78">
        <f>IFERROR(1/J403*(Y403/H403),"0")</f>
        <v>0.10504201680672269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50</v>
      </c>
      <c r="Y404" s="55">
        <f>IFERROR(IF(X404="",0,CEILING((X404/$H404),1)*$H404),"")</f>
        <v>50</v>
      </c>
      <c r="Z404" s="41">
        <f>IFERROR(IF(Y404=0,"",ROUNDUP(Y404/H404,0)*0.00474),"")</f>
        <v>0.11850000000000001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56.000000000000007</v>
      </c>
      <c r="BN404" s="78">
        <f>IFERROR(Y404*I404/H404,"0")</f>
        <v>56.000000000000007</v>
      </c>
      <c r="BO404" s="78">
        <f>IFERROR(1/J404*(X404/H404),"0")</f>
        <v>0.10504201680672269</v>
      </c>
      <c r="BP404" s="78">
        <f>IFERROR(1/J404*(Y404/H404),"0")</f>
        <v>0.10504201680672269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75</v>
      </c>
      <c r="Y405" s="43">
        <f>IFERROR(Y402/H402,"0")+IFERROR(Y403/H403,"0")+IFERROR(Y404/H404,"0")</f>
        <v>75</v>
      </c>
      <c r="Z405" s="43">
        <f>IFERROR(IF(Z402="",0,Z402),"0")+IFERROR(IF(Z403="",0,Z403),"0")+IFERROR(IF(Z404="",0,Z404),"0")</f>
        <v>0.35550000000000004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150</v>
      </c>
      <c r="Y406" s="43">
        <f>IFERROR(SUM(Y402:Y404),"0")</f>
        <v>150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350</v>
      </c>
      <c r="Y417" s="55">
        <f>IFERROR(IF(X417="",0,CEILING((X417/$H417),1)*$H417),"")</f>
        <v>350.7</v>
      </c>
      <c r="Z417" s="41">
        <f>IFERROR(IF(Y417=0,"",ROUNDUP(Y417/H417,0)*0.00651),"")</f>
        <v>1.08717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390</v>
      </c>
      <c r="BN417" s="78">
        <f>IFERROR(Y417*I417/H417,"0")</f>
        <v>390.78</v>
      </c>
      <c r="BO417" s="78">
        <f>IFERROR(1/J417*(X417/H417),"0")</f>
        <v>0.91575091575091572</v>
      </c>
      <c r="BP417" s="78">
        <f>IFERROR(1/J417*(Y417/H417),"0")</f>
        <v>0.91758241758241765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166.66666666666666</v>
      </c>
      <c r="Y418" s="43">
        <f>IFERROR(Y415/H415,"0")+IFERROR(Y416/H416,"0")+IFERROR(Y417/H417,"0")</f>
        <v>167</v>
      </c>
      <c r="Z418" s="43">
        <f>IFERROR(IF(Z415="",0,Z415),"0")+IFERROR(IF(Z416="",0,Z416),"0")+IFERROR(IF(Z417="",0,Z417),"0")</f>
        <v>1.08717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350</v>
      </c>
      <c r="Y419" s="43">
        <f>IFERROR(SUM(Y415:Y417),"0")</f>
        <v>350.7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400</v>
      </c>
      <c r="Y423" s="55">
        <f t="shared" ref="Y423:Y430" si="52">IFERROR(IF(X423="",0,CEILING((X423/$H423),1)*$H423),"")</f>
        <v>405</v>
      </c>
      <c r="Z423" s="41">
        <f>IFERROR(IF(Y423=0,"",ROUNDUP(Y423/H423,0)*0.02175),"")</f>
        <v>0.58724999999999994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412.53333333333336</v>
      </c>
      <c r="BN423" s="78">
        <f t="shared" ref="BN423:BN430" si="54">IFERROR(Y423*I423/H423,"0")</f>
        <v>417.69</v>
      </c>
      <c r="BO423" s="78">
        <f t="shared" ref="BO423:BO430" si="55">IFERROR(1/J423*(X423/H423),"0")</f>
        <v>0.55555555555555558</v>
      </c>
      <c r="BP423" s="78">
        <f t="shared" ref="BP423:BP430" si="56">IFERROR(1/J423*(Y423/H423),"0")</f>
        <v>0.5625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1700</v>
      </c>
      <c r="Y425" s="55">
        <f t="shared" si="52"/>
        <v>1710</v>
      </c>
      <c r="Z425" s="41">
        <f>IFERROR(IF(Y425=0,"",ROUNDUP(Y425/H425,0)*0.02175),"")</f>
        <v>2.4794999999999998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1753.2666666666667</v>
      </c>
      <c r="BN425" s="78">
        <f t="shared" si="54"/>
        <v>1763.5800000000002</v>
      </c>
      <c r="BO425" s="78">
        <f t="shared" si="55"/>
        <v>2.3611111111111107</v>
      </c>
      <c r="BP425" s="78">
        <f t="shared" si="56"/>
        <v>2.375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35</v>
      </c>
      <c r="Y430" s="55">
        <f t="shared" si="52"/>
        <v>35</v>
      </c>
      <c r="Z430" s="41">
        <f>IFERROR(IF(Y430=0,"",ROUNDUP(Y430/H430,0)*0.00902),"")</f>
        <v>6.3140000000000002E-2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36.33</v>
      </c>
      <c r="BN430" s="78">
        <f t="shared" si="54"/>
        <v>36.33</v>
      </c>
      <c r="BO430" s="78">
        <f t="shared" si="55"/>
        <v>5.3030303030303032E-2</v>
      </c>
      <c r="BP430" s="78">
        <f t="shared" si="56"/>
        <v>5.3030303030303032E-2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147</v>
      </c>
      <c r="Y431" s="43">
        <f>IFERROR(Y423/H423,"0")+IFERROR(Y424/H424,"0")+IFERROR(Y425/H425,"0")+IFERROR(Y426/H426,"0")+IFERROR(Y427/H427,"0")+IFERROR(Y428/H428,"0")+IFERROR(Y429/H429,"0")+IFERROR(Y430/H430,"0")</f>
        <v>148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3.1298900000000001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2135</v>
      </c>
      <c r="Y432" s="43">
        <f>IFERROR(SUM(Y423:Y430),"0")</f>
        <v>2150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200</v>
      </c>
      <c r="Y441" s="55">
        <f>IFERROR(IF(X441="",0,CEILING((X441/$H441),1)*$H441),"")</f>
        <v>207</v>
      </c>
      <c r="Z441" s="41">
        <f>IFERROR(IF(Y441=0,"",ROUNDUP(Y441/H441,0)*0.01898),"")</f>
        <v>0.43653999999999998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210.97777777777776</v>
      </c>
      <c r="BN441" s="78">
        <f>IFERROR(Y441*I441/H441,"0")</f>
        <v>218.36199999999999</v>
      </c>
      <c r="BO441" s="78">
        <f>IFERROR(1/J441*(X441/H441),"0")</f>
        <v>0.34722222222222221</v>
      </c>
      <c r="BP441" s="78">
        <f>IFERROR(1/J441*(Y441/H441),"0")</f>
        <v>0.359375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22.222222222222221</v>
      </c>
      <c r="Y443" s="43">
        <f>IFERROR(Y440/H440,"0")+IFERROR(Y441/H441,"0")+IFERROR(Y442/H442,"0")</f>
        <v>23</v>
      </c>
      <c r="Z443" s="43">
        <f>IFERROR(IF(Z440="",0,Z440),"0")+IFERROR(IF(Z441="",0,Z441),"0")+IFERROR(IF(Z442="",0,Z442),"0")</f>
        <v>0.43653999999999998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200</v>
      </c>
      <c r="Y444" s="43">
        <f>IFERROR(SUM(Y440:Y442),"0")</f>
        <v>207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80</v>
      </c>
      <c r="Y452" s="55">
        <f>IFERROR(IF(X452="",0,CEILING((X452/$H452),1)*$H452),"")</f>
        <v>84</v>
      </c>
      <c r="Z452" s="41">
        <f>IFERROR(IF(Y452=0,"",ROUNDUP(Y452/H452,0)*0.01898),"")</f>
        <v>0.13286000000000001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82.733333333333334</v>
      </c>
      <c r="BN452" s="78">
        <f>IFERROR(Y452*I452/H452,"0")</f>
        <v>86.87</v>
      </c>
      <c r="BO452" s="78">
        <f>IFERROR(1/J452*(X452/H452),"0")</f>
        <v>0.10416666666666667</v>
      </c>
      <c r="BP452" s="78">
        <f>IFERROR(1/J452*(Y452/H452),"0")</f>
        <v>0.109375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6.666666666666667</v>
      </c>
      <c r="Y454" s="43">
        <f>IFERROR(Y452/H452,"0")+IFERROR(Y453/H453,"0")</f>
        <v>7</v>
      </c>
      <c r="Z454" s="43">
        <f>IFERROR(IF(Z452="",0,Z452),"0")+IFERROR(IF(Z453="",0,Z453),"0")</f>
        <v>0.13286000000000001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80</v>
      </c>
      <c r="Y455" s="43">
        <f>IFERROR(SUM(Y452:Y453),"0")</f>
        <v>84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200</v>
      </c>
      <c r="Y461" s="55">
        <f>IFERROR(IF(X461="",0,CEILING((X461/$H461),1)*$H461),"")</f>
        <v>207</v>
      </c>
      <c r="Z461" s="41">
        <f>IFERROR(IF(Y461=0,"",ROUNDUP(Y461/H461,0)*0.01898),"")</f>
        <v>0.43653999999999998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210.97777777777776</v>
      </c>
      <c r="BN461" s="78">
        <f>IFERROR(Y461*I461/H461,"0")</f>
        <v>218.36199999999999</v>
      </c>
      <c r="BO461" s="78">
        <f>IFERROR(1/J461*(X461/H461),"0")</f>
        <v>0.34722222222222221</v>
      </c>
      <c r="BP461" s="78">
        <f>IFERROR(1/J461*(Y461/H461),"0")</f>
        <v>0.359375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22.222222222222221</v>
      </c>
      <c r="Y464" s="43">
        <f>IFERROR(Y461/H461,"0")+IFERROR(Y462/H462,"0")+IFERROR(Y463/H463,"0")</f>
        <v>23</v>
      </c>
      <c r="Z464" s="43">
        <f>IFERROR(IF(Z461="",0,Z461),"0")+IFERROR(IF(Z462="",0,Z462),"0")+IFERROR(IF(Z463="",0,Z463),"0")</f>
        <v>0.43653999999999998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200</v>
      </c>
      <c r="Y465" s="43">
        <f>IFERROR(SUM(Y461:Y463),"0")</f>
        <v>207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200</v>
      </c>
      <c r="Y501" s="55">
        <f t="shared" si="62"/>
        <v>200.64000000000001</v>
      </c>
      <c r="Z501" s="41">
        <f t="shared" si="63"/>
        <v>0.45448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213.25757575757575</v>
      </c>
      <c r="BN501" s="78">
        <f t="shared" si="65"/>
        <v>213.94</v>
      </c>
      <c r="BO501" s="78">
        <f t="shared" si="66"/>
        <v>0.36421911421911418</v>
      </c>
      <c r="BP501" s="78">
        <f t="shared" si="67"/>
        <v>0.36538461538461542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90</v>
      </c>
      <c r="Y503" s="55">
        <f t="shared" si="62"/>
        <v>91.2</v>
      </c>
      <c r="Z503" s="41">
        <f>IFERROR(IF(Y503=0,"",ROUNDUP(Y503/H503,0)*0.00902),"")</f>
        <v>0.17138</v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129.5625</v>
      </c>
      <c r="BN503" s="78">
        <f t="shared" si="65"/>
        <v>131.29000000000002</v>
      </c>
      <c r="BO503" s="78">
        <f t="shared" si="66"/>
        <v>0.14204545454545456</v>
      </c>
      <c r="BP503" s="78">
        <f t="shared" si="67"/>
        <v>0.14393939393939395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270</v>
      </c>
      <c r="Y504" s="55">
        <f t="shared" si="62"/>
        <v>273.59999999999997</v>
      </c>
      <c r="Z504" s="41">
        <f>IFERROR(IF(Y504=0,"",ROUNDUP(Y504/H504,0)*0.00902),"")</f>
        <v>0.51414000000000004</v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388.6875</v>
      </c>
      <c r="BN504" s="78">
        <f t="shared" si="65"/>
        <v>393.86999999999995</v>
      </c>
      <c r="BO504" s="78">
        <f t="shared" si="66"/>
        <v>0.42613636363636365</v>
      </c>
      <c r="BP504" s="78">
        <f t="shared" si="67"/>
        <v>0.43181818181818177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112.87878787878788</v>
      </c>
      <c r="Y505" s="43">
        <f>IFERROR(Y496/H496,"0")+IFERROR(Y497/H497,"0")+IFERROR(Y498/H498,"0")+IFERROR(Y499/H499,"0")+IFERROR(Y500/H500,"0")+IFERROR(Y501/H501,"0")+IFERROR(Y502/H502,"0")+IFERROR(Y503/H503,"0")+IFERROR(Y504/H504,"0")</f>
        <v>114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1.1400000000000001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560</v>
      </c>
      <c r="Y506" s="43">
        <f>IFERROR(SUM(Y496:Y504),"0")</f>
        <v>565.44000000000005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120</v>
      </c>
      <c r="Y510" s="55">
        <f>IFERROR(IF(X510="",0,CEILING((X510/$H510),1)*$H510),"")</f>
        <v>120</v>
      </c>
      <c r="Z510" s="41">
        <f>IFERROR(IF(Y510=0,"",ROUNDUP(Y510/H510,0)*0.00902),"")</f>
        <v>0.22550000000000001</v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172.75000000000003</v>
      </c>
      <c r="BN510" s="78">
        <f>IFERROR(Y510*I510/H510,"0")</f>
        <v>172.75000000000003</v>
      </c>
      <c r="BO510" s="78">
        <f>IFERROR(1/J510*(X510/H510),"0")</f>
        <v>0.18939393939393939</v>
      </c>
      <c r="BP510" s="78">
        <f>IFERROR(1/J510*(Y510/H510),"0")</f>
        <v>0.18939393939393939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25</v>
      </c>
      <c r="Y511" s="43">
        <f>IFERROR(Y508/H508,"0")+IFERROR(Y509/H509,"0")+IFERROR(Y510/H510,"0")</f>
        <v>25</v>
      </c>
      <c r="Z511" s="43">
        <f>IFERROR(IF(Z508="",0,Z508),"0")+IFERROR(IF(Z509="",0,Z509),"0")+IFERROR(IF(Z510="",0,Z510),"0")</f>
        <v>0.22550000000000001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120</v>
      </c>
      <c r="Y512" s="43">
        <f>IFERROR(SUM(Y508:Y510),"0")</f>
        <v>120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250</v>
      </c>
      <c r="Y516" s="55">
        <f t="shared" si="68"/>
        <v>253.44</v>
      </c>
      <c r="Z516" s="41">
        <f>IFERROR(IF(Y516=0,"",ROUNDUP(Y516/H516,0)*0.01196),"")</f>
        <v>0.57408000000000003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266.57196969696969</v>
      </c>
      <c r="BN516" s="78">
        <f t="shared" si="70"/>
        <v>270.23999999999995</v>
      </c>
      <c r="BO516" s="78">
        <f t="shared" si="71"/>
        <v>0.45527389277389274</v>
      </c>
      <c r="BP516" s="78">
        <f t="shared" si="72"/>
        <v>0.46153846153846156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54</v>
      </c>
      <c r="Y517" s="55">
        <f t="shared" si="68"/>
        <v>57.599999999999994</v>
      </c>
      <c r="Z517" s="41">
        <f>IFERROR(IF(Y517=0,"",ROUNDUP(Y517/H517,0)*0.00902),"")</f>
        <v>0.10824</v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77.737499999999997</v>
      </c>
      <c r="BN517" s="78">
        <f t="shared" si="70"/>
        <v>82.92</v>
      </c>
      <c r="BO517" s="78">
        <f t="shared" si="71"/>
        <v>8.5227272727272735E-2</v>
      </c>
      <c r="BP517" s="78">
        <f t="shared" si="72"/>
        <v>9.0909090909090912E-2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24</v>
      </c>
      <c r="Y519" s="55">
        <f t="shared" si="68"/>
        <v>24</v>
      </c>
      <c r="Z519" s="41">
        <f>IFERROR(IF(Y519=0,"",ROUNDUP(Y519/H519,0)*0.00902),"")</f>
        <v>4.5100000000000001E-2</v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33.35</v>
      </c>
      <c r="BN519" s="78">
        <f t="shared" si="70"/>
        <v>33.35</v>
      </c>
      <c r="BO519" s="78">
        <f t="shared" si="71"/>
        <v>3.787878787878788E-2</v>
      </c>
      <c r="BP519" s="78">
        <f t="shared" si="72"/>
        <v>3.787878787878788E-2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270</v>
      </c>
      <c r="Y520" s="55">
        <f t="shared" si="68"/>
        <v>273.59999999999997</v>
      </c>
      <c r="Z520" s="41">
        <f>IFERROR(IF(Y520=0,"",ROUNDUP(Y520/H520,0)*0.00902),"")</f>
        <v>0.51414000000000004</v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375.18750000000006</v>
      </c>
      <c r="BN520" s="78">
        <f t="shared" si="70"/>
        <v>380.19</v>
      </c>
      <c r="BO520" s="78">
        <f t="shared" si="71"/>
        <v>0.42613636363636365</v>
      </c>
      <c r="BP520" s="78">
        <f t="shared" si="72"/>
        <v>0.43181818181818177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119.84848484848484</v>
      </c>
      <c r="Y521" s="43">
        <f>IFERROR(Y514/H514,"0")+IFERROR(Y515/H515,"0")+IFERROR(Y516/H516,"0")+IFERROR(Y517/H517,"0")+IFERROR(Y518/H518,"0")+IFERROR(Y519/H519,"0")+IFERROR(Y520/H520,"0")</f>
        <v>122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1.2415600000000002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598</v>
      </c>
      <c r="Y522" s="43">
        <f>IFERROR(SUM(Y514:Y520),"0")</f>
        <v>608.63999999999987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1800</v>
      </c>
      <c r="Y538" s="55">
        <f>IFERROR(IF(X538="",0,CEILING((X538/$H538),1)*$H538),"")</f>
        <v>1800</v>
      </c>
      <c r="Z538" s="41">
        <f>IFERROR(IF(Y538=0,"",ROUNDUP(Y538/H538,0)*0.01898),"")</f>
        <v>3.7960000000000003</v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1898.8000000000002</v>
      </c>
      <c r="BN538" s="78">
        <f>IFERROR(Y538*I538/H538,"0")</f>
        <v>1898.8000000000002</v>
      </c>
      <c r="BO538" s="78">
        <f>IFERROR(1/J538*(X538/H538),"0")</f>
        <v>3.125</v>
      </c>
      <c r="BP538" s="78">
        <f>IFERROR(1/J538*(Y538/H538),"0")</f>
        <v>3.125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200</v>
      </c>
      <c r="Y539" s="43">
        <f>IFERROR(Y538/H538,"0")</f>
        <v>200</v>
      </c>
      <c r="Z539" s="43">
        <f>IFERROR(IF(Z538="",0,Z538),"0")</f>
        <v>3.7960000000000003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1800</v>
      </c>
      <c r="Y540" s="43">
        <f>IFERROR(SUM(Y538:Y538),"0")</f>
        <v>1800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14929.5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15056.58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16129.955876604407</v>
      </c>
      <c r="Y552" s="43">
        <f>IFERROR(SUM(BN22:BN548),"0")</f>
        <v>16268.464000000007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28</v>
      </c>
      <c r="Y553" s="44">
        <f>ROUNDUP(SUM(BP22:BP548),0)</f>
        <v>29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16829.955876604407</v>
      </c>
      <c r="Y554" s="43">
        <f>GrossWeightTotalR+PalletQtyTotalR*25</f>
        <v>16993.464000000007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3351.8563529802186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3376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33.145800000000008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200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568.5</v>
      </c>
      <c r="F561" s="52">
        <f>IFERROR(Y88*1,"0")+IFERROR(Y89*1,"0")+IFERROR(Y90*1,"0")+IFERROR(Y91*1,"0")+IFERROR(Y95*1,"0")+IFERROR(Y96*1,"0")+IFERROR(Y97*1,"0")+IFERROR(Y98*1,"0")</f>
        <v>225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276.65999999999997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308.16000000000003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995.12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720.95999999999992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2498.6999999999998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142.39999999999998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760.8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405.59999999999997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1861.9</v>
      </c>
      <c r="U561" s="52">
        <f>IFERROR(Y415*1,"0")+IFERROR(Y416*1,"0")+IFERROR(Y417*1,"0")</f>
        <v>350.7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2357</v>
      </c>
      <c r="W561" s="52">
        <f>IFERROR(Y452*1,"0")+IFERROR(Y453*1,"0")+IFERROR(Y457*1,"0")+IFERROR(Y461*1,"0")+IFERROR(Y462*1,"0")+IFERROR(Y463*1,"0")</f>
        <v>291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1294.0800000000002</v>
      </c>
      <c r="AA561" s="52">
        <f>IFERROR(Y526*1,"0")+IFERROR(Y530*1,"0")+IFERROR(Y534*1,"0")+IFERROR(Y538*1,"0")+IFERROR(Y542*1,"0")+IFERROR(Y543*1,"0")</f>
        <v>1800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0,00"/>
        <filter val="1 450,00"/>
        <filter val="1 700,00"/>
        <filter val="1 800,00"/>
        <filter val="10,00"/>
        <filter val="100,00"/>
        <filter val="105,00"/>
        <filter val="11,11"/>
        <filter val="112,88"/>
        <filter val="115,00"/>
        <filter val="119,85"/>
        <filter val="120,00"/>
        <filter val="125,00"/>
        <filter val="13,62"/>
        <filter val="132,00"/>
        <filter val="14 929,50"/>
        <filter val="14,00"/>
        <filter val="147,00"/>
        <filter val="150,00"/>
        <filter val="16 129,96"/>
        <filter val="16 829,96"/>
        <filter val="160,00"/>
        <filter val="166,67"/>
        <filter val="175,00"/>
        <filter val="178,11"/>
        <filter val="18,00"/>
        <filter val="18,75"/>
        <filter val="180,00"/>
        <filter val="2 135,00"/>
        <filter val="2,78"/>
        <filter val="20,00"/>
        <filter val="200,00"/>
        <filter val="203,70"/>
        <filter val="22,22"/>
        <filter val="225,00"/>
        <filter val="24,00"/>
        <filter val="240,00"/>
        <filter val="25,00"/>
        <filter val="250,00"/>
        <filter val="270,00"/>
        <filter val="279,29"/>
        <filter val="28"/>
        <filter val="28,00"/>
        <filter val="280,00"/>
        <filter val="3 351,86"/>
        <filter val="30,00"/>
        <filter val="300,00"/>
        <filter val="316,67"/>
        <filter val="326,19"/>
        <filter val="35,00"/>
        <filter val="350,00"/>
        <filter val="363,79"/>
        <filter val="4,00"/>
        <filter val="4,63"/>
        <filter val="400,00"/>
        <filter val="43,20"/>
        <filter val="49,50"/>
        <filter val="50,00"/>
        <filter val="500,00"/>
        <filter val="51,28"/>
        <filter val="54,00"/>
        <filter val="56,00"/>
        <filter val="560,00"/>
        <filter val="598,00"/>
        <filter val="6,41"/>
        <filter val="6,67"/>
        <filter val="60,00"/>
        <filter val="600,00"/>
        <filter val="640,00"/>
        <filter val="66,67"/>
        <filter val="667,00"/>
        <filter val="7,00"/>
        <filter val="70,00"/>
        <filter val="700,00"/>
        <filter val="75,00"/>
        <filter val="75,93"/>
        <filter val="760,00"/>
        <filter val="8,00"/>
        <filter val="80,00"/>
        <filter val="800,00"/>
        <filter val="84,00"/>
        <filter val="85,00"/>
        <filter val="90,00"/>
        <filter val="98,00"/>
        <filter val="990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