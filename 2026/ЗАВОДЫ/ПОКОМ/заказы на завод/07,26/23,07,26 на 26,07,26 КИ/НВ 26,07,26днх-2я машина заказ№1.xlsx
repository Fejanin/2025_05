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02DA797-F3B2-471B-A4F4-D54F77454D3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AB560" i="1" s="1"/>
  <c r="P547" i="1"/>
  <c r="X544" i="1"/>
  <c r="X543" i="1"/>
  <c r="BO542" i="1"/>
  <c r="BM542" i="1"/>
  <c r="Y542" i="1"/>
  <c r="BP542" i="1" s="1"/>
  <c r="P542" i="1"/>
  <c r="BO541" i="1"/>
  <c r="BM541" i="1"/>
  <c r="Y541" i="1"/>
  <c r="Y543" i="1" s="1"/>
  <c r="P541" i="1"/>
  <c r="X539" i="1"/>
  <c r="X538" i="1"/>
  <c r="BO537" i="1"/>
  <c r="BM537" i="1"/>
  <c r="Y537" i="1"/>
  <c r="Y539" i="1" s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Y531" i="1" s="1"/>
  <c r="P529" i="1"/>
  <c r="X527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BP516" i="1" s="1"/>
  <c r="P516" i="1"/>
  <c r="BO515" i="1"/>
  <c r="BM515" i="1"/>
  <c r="Y515" i="1"/>
  <c r="BP515" i="1" s="1"/>
  <c r="P515" i="1"/>
  <c r="BO514" i="1"/>
  <c r="BM514" i="1"/>
  <c r="Y514" i="1"/>
  <c r="BP514" i="1" s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BP508" i="1" s="1"/>
  <c r="P508" i="1"/>
  <c r="BO507" i="1"/>
  <c r="BM507" i="1"/>
  <c r="Y507" i="1"/>
  <c r="P507" i="1"/>
  <c r="X505" i="1"/>
  <c r="X504" i="1"/>
  <c r="BO503" i="1"/>
  <c r="BM503" i="1"/>
  <c r="Y503" i="1"/>
  <c r="BP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X485" i="1"/>
  <c r="X484" i="1"/>
  <c r="BO483" i="1"/>
  <c r="BM483" i="1"/>
  <c r="Y483" i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BP473" i="1" s="1"/>
  <c r="P473" i="1"/>
  <c r="BO472" i="1"/>
  <c r="BM472" i="1"/>
  <c r="Y472" i="1"/>
  <c r="BP472" i="1" s="1"/>
  <c r="P472" i="1"/>
  <c r="BO471" i="1"/>
  <c r="BM471" i="1"/>
  <c r="Y471" i="1"/>
  <c r="BP471" i="1" s="1"/>
  <c r="P471" i="1"/>
  <c r="BP470" i="1"/>
  <c r="BO470" i="1"/>
  <c r="BN470" i="1"/>
  <c r="BM470" i="1"/>
  <c r="Z470" i="1"/>
  <c r="Y470" i="1"/>
  <c r="P470" i="1"/>
  <c r="BO469" i="1"/>
  <c r="BM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X437" i="1"/>
  <c r="Y436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N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X392" i="1"/>
  <c r="X391" i="1"/>
  <c r="BO390" i="1"/>
  <c r="BM390" i="1"/>
  <c r="Y390" i="1"/>
  <c r="BP390" i="1" s="1"/>
  <c r="P390" i="1"/>
  <c r="BO389" i="1"/>
  <c r="BM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BN381" i="1" s="1"/>
  <c r="P381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P375" i="1" s="1"/>
  <c r="P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Y353" i="1" s="1"/>
  <c r="P350" i="1"/>
  <c r="X348" i="1"/>
  <c r="X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BP296" i="1" s="1"/>
  <c r="P296" i="1"/>
  <c r="BO295" i="1"/>
  <c r="BM295" i="1"/>
  <c r="Y295" i="1"/>
  <c r="BN295" i="1" s="1"/>
  <c r="P295" i="1"/>
  <c r="X293" i="1"/>
  <c r="X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N248" i="1"/>
  <c r="BM248" i="1"/>
  <c r="Z248" i="1"/>
  <c r="Y248" i="1"/>
  <c r="P248" i="1"/>
  <c r="X246" i="1"/>
  <c r="X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P223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M208" i="1"/>
  <c r="Y208" i="1"/>
  <c r="P208" i="1"/>
  <c r="X204" i="1"/>
  <c r="X203" i="1"/>
  <c r="BO202" i="1"/>
  <c r="BM202" i="1"/>
  <c r="Y202" i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Z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O154" i="1"/>
  <c r="BM154" i="1"/>
  <c r="Z154" i="1"/>
  <c r="Y154" i="1"/>
  <c r="BN154" i="1" s="1"/>
  <c r="P154" i="1"/>
  <c r="X151" i="1"/>
  <c r="X150" i="1"/>
  <c r="BO149" i="1"/>
  <c r="BM149" i="1"/>
  <c r="Y149" i="1"/>
  <c r="P149" i="1"/>
  <c r="BO148" i="1"/>
  <c r="BM148" i="1"/>
  <c r="Y148" i="1"/>
  <c r="BP148" i="1" s="1"/>
  <c r="P148" i="1"/>
  <c r="BP147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O139" i="1"/>
  <c r="BM139" i="1"/>
  <c r="Z139" i="1"/>
  <c r="Y139" i="1"/>
  <c r="BN139" i="1" s="1"/>
  <c r="P139" i="1"/>
  <c r="X137" i="1"/>
  <c r="X136" i="1"/>
  <c r="BO135" i="1"/>
  <c r="BM135" i="1"/>
  <c r="Y135" i="1"/>
  <c r="P135" i="1"/>
  <c r="BO134" i="1"/>
  <c r="BM134" i="1"/>
  <c r="Y134" i="1"/>
  <c r="BP134" i="1" s="1"/>
  <c r="P134" i="1"/>
  <c r="BO133" i="1"/>
  <c r="BM133" i="1"/>
  <c r="Y133" i="1"/>
  <c r="P133" i="1"/>
  <c r="BO132" i="1"/>
  <c r="BM132" i="1"/>
  <c r="Y132" i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P123" i="1"/>
  <c r="BO122" i="1"/>
  <c r="BM122" i="1"/>
  <c r="Y122" i="1"/>
  <c r="P122" i="1"/>
  <c r="BO121" i="1"/>
  <c r="BM121" i="1"/>
  <c r="Y121" i="1"/>
  <c r="P121" i="1"/>
  <c r="BO120" i="1"/>
  <c r="BM120" i="1"/>
  <c r="Y120" i="1"/>
  <c r="BN120" i="1" s="1"/>
  <c r="P120" i="1"/>
  <c r="X118" i="1"/>
  <c r="X117" i="1"/>
  <c r="BO116" i="1"/>
  <c r="BM116" i="1"/>
  <c r="Y116" i="1"/>
  <c r="BN116" i="1" s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P107" i="1"/>
  <c r="BO106" i="1"/>
  <c r="BM106" i="1"/>
  <c r="Y106" i="1"/>
  <c r="P106" i="1"/>
  <c r="BO105" i="1"/>
  <c r="BM105" i="1"/>
  <c r="Y105" i="1"/>
  <c r="P105" i="1"/>
  <c r="BP104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Z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N82" i="1" s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550" i="1" s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35" i="1" l="1"/>
  <c r="BP41" i="1"/>
  <c r="BP66" i="1"/>
  <c r="BP72" i="1"/>
  <c r="BP95" i="1"/>
  <c r="BP97" i="1"/>
  <c r="BN97" i="1"/>
  <c r="BP106" i="1"/>
  <c r="BN106" i="1"/>
  <c r="Z106" i="1"/>
  <c r="BP112" i="1"/>
  <c r="BN112" i="1"/>
  <c r="Z112" i="1"/>
  <c r="BN133" i="1"/>
  <c r="Z133" i="1"/>
  <c r="BP149" i="1"/>
  <c r="BN149" i="1"/>
  <c r="Z149" i="1"/>
  <c r="BN167" i="1"/>
  <c r="BN180" i="1"/>
  <c r="Y204" i="1"/>
  <c r="Y203" i="1"/>
  <c r="BN202" i="1"/>
  <c r="BP210" i="1"/>
  <c r="BN210" i="1"/>
  <c r="Z210" i="1"/>
  <c r="BP219" i="1"/>
  <c r="Y220" i="1"/>
  <c r="BN219" i="1"/>
  <c r="BP225" i="1"/>
  <c r="BN225" i="1"/>
  <c r="Z225" i="1"/>
  <c r="BN231" i="1"/>
  <c r="Z231" i="1"/>
  <c r="Y256" i="1"/>
  <c r="Y255" i="1"/>
  <c r="BN254" i="1"/>
  <c r="BP269" i="1"/>
  <c r="BN269" i="1"/>
  <c r="Z269" i="1"/>
  <c r="BN273" i="1"/>
  <c r="BN302" i="1"/>
  <c r="BN329" i="1"/>
  <c r="BP365" i="1"/>
  <c r="BN365" i="1"/>
  <c r="Z365" i="1"/>
  <c r="BP371" i="1"/>
  <c r="BN371" i="1"/>
  <c r="Z371" i="1"/>
  <c r="BN375" i="1"/>
  <c r="BN402" i="1"/>
  <c r="BN427" i="1"/>
  <c r="BN441" i="1"/>
  <c r="Y458" i="1"/>
  <c r="Y457" i="1"/>
  <c r="BN456" i="1"/>
  <c r="BN472" i="1"/>
  <c r="BN488" i="1"/>
  <c r="BN498" i="1"/>
  <c r="BN516" i="1"/>
  <c r="BN23" i="1"/>
  <c r="Z27" i="1"/>
  <c r="BN27" i="1"/>
  <c r="BN29" i="1"/>
  <c r="Y36" i="1"/>
  <c r="Z41" i="1"/>
  <c r="Z43" i="1"/>
  <c r="BN43" i="1"/>
  <c r="BN45" i="1"/>
  <c r="Z51" i="1"/>
  <c r="BN51" i="1"/>
  <c r="BN53" i="1"/>
  <c r="Z60" i="1"/>
  <c r="BN60" i="1"/>
  <c r="BN62" i="1"/>
  <c r="Z66" i="1"/>
  <c r="Z72" i="1"/>
  <c r="BP89" i="1"/>
  <c r="BN91" i="1"/>
  <c r="Z95" i="1"/>
  <c r="Z97" i="1"/>
  <c r="BN104" i="1"/>
  <c r="Z104" i="1"/>
  <c r="BP133" i="1"/>
  <c r="BP135" i="1"/>
  <c r="BN135" i="1"/>
  <c r="Z135" i="1"/>
  <c r="Y150" i="1"/>
  <c r="BN147" i="1"/>
  <c r="Z147" i="1"/>
  <c r="Y195" i="1"/>
  <c r="BN192" i="1"/>
  <c r="Z192" i="1"/>
  <c r="BN208" i="1"/>
  <c r="Z208" i="1"/>
  <c r="BN223" i="1"/>
  <c r="Z223" i="1"/>
  <c r="BP231" i="1"/>
  <c r="BP233" i="1"/>
  <c r="BN233" i="1"/>
  <c r="Z233" i="1"/>
  <c r="BN241" i="1"/>
  <c r="BN265" i="1"/>
  <c r="BP285" i="1"/>
  <c r="BN285" i="1"/>
  <c r="Z285" i="1"/>
  <c r="BN289" i="1"/>
  <c r="BN320" i="1"/>
  <c r="BP343" i="1"/>
  <c r="BN343" i="1"/>
  <c r="Z343" i="1"/>
  <c r="BP351" i="1"/>
  <c r="BN351" i="1"/>
  <c r="Z351" i="1"/>
  <c r="BN389" i="1"/>
  <c r="BP415" i="1"/>
  <c r="BN415" i="1"/>
  <c r="Z415" i="1"/>
  <c r="BP462" i="1"/>
  <c r="BN462" i="1"/>
  <c r="Z462" i="1"/>
  <c r="BN508" i="1"/>
  <c r="BP139" i="1"/>
  <c r="BP154" i="1"/>
  <c r="Y175" i="1"/>
  <c r="BP184" i="1"/>
  <c r="BN212" i="1"/>
  <c r="BN227" i="1"/>
  <c r="BN235" i="1"/>
  <c r="BN250" i="1"/>
  <c r="BN271" i="1"/>
  <c r="BN281" i="1"/>
  <c r="BN287" i="1"/>
  <c r="BN304" i="1"/>
  <c r="BN327" i="1"/>
  <c r="BN336" i="1"/>
  <c r="BN345" i="1"/>
  <c r="BN367" i="1"/>
  <c r="BN373" i="1"/>
  <c r="BN395" i="1"/>
  <c r="BN408" i="1"/>
  <c r="BN429" i="1"/>
  <c r="BN435" i="1"/>
  <c r="BN500" i="1"/>
  <c r="BN514" i="1"/>
  <c r="BN423" i="1"/>
  <c r="BP423" i="1"/>
  <c r="Z423" i="1"/>
  <c r="BN502" i="1"/>
  <c r="BP502" i="1"/>
  <c r="Z502" i="1"/>
  <c r="B560" i="1"/>
  <c r="Z31" i="1"/>
  <c r="BP31" i="1"/>
  <c r="Z64" i="1"/>
  <c r="BP64" i="1"/>
  <c r="Z70" i="1"/>
  <c r="BP70" i="1"/>
  <c r="Z78" i="1"/>
  <c r="BP114" i="1"/>
  <c r="Z114" i="1"/>
  <c r="BN198" i="1"/>
  <c r="BP198" i="1"/>
  <c r="Z198" i="1"/>
  <c r="BN214" i="1"/>
  <c r="BP214" i="1"/>
  <c r="Z214" i="1"/>
  <c r="BN229" i="1"/>
  <c r="BP229" i="1"/>
  <c r="Z229" i="1"/>
  <c r="BN259" i="1"/>
  <c r="BP259" i="1"/>
  <c r="Z259" i="1"/>
  <c r="BN383" i="1"/>
  <c r="BP383" i="1"/>
  <c r="Z383" i="1"/>
  <c r="Y464" i="1"/>
  <c r="BN460" i="1"/>
  <c r="BP460" i="1"/>
  <c r="Z460" i="1"/>
  <c r="BN483" i="1"/>
  <c r="BP483" i="1"/>
  <c r="Z483" i="1"/>
  <c r="Z484" i="1" s="1"/>
  <c r="BN275" i="1"/>
  <c r="BP275" i="1"/>
  <c r="Z275" i="1"/>
  <c r="X551" i="1"/>
  <c r="Z23" i="1"/>
  <c r="Y33" i="1"/>
  <c r="Z29" i="1"/>
  <c r="Z35" i="1"/>
  <c r="Z36" i="1" s="1"/>
  <c r="BP35" i="1"/>
  <c r="Z45" i="1"/>
  <c r="Z53" i="1"/>
  <c r="E560" i="1"/>
  <c r="Z62" i="1"/>
  <c r="BP116" i="1"/>
  <c r="Y124" i="1"/>
  <c r="BP120" i="1"/>
  <c r="Z120" i="1"/>
  <c r="BN182" i="1"/>
  <c r="BP182" i="1"/>
  <c r="Z182" i="1"/>
  <c r="Y359" i="1"/>
  <c r="BN356" i="1"/>
  <c r="BP356" i="1"/>
  <c r="Z356" i="1"/>
  <c r="BN377" i="1"/>
  <c r="BP377" i="1"/>
  <c r="Z377" i="1"/>
  <c r="BN468" i="1"/>
  <c r="BP468" i="1"/>
  <c r="Z468" i="1"/>
  <c r="Y485" i="1"/>
  <c r="BN291" i="1"/>
  <c r="BP291" i="1"/>
  <c r="Z291" i="1"/>
  <c r="X552" i="1"/>
  <c r="X554" i="1"/>
  <c r="BN70" i="1"/>
  <c r="BN78" i="1"/>
  <c r="BP108" i="1"/>
  <c r="Z108" i="1"/>
  <c r="BN114" i="1"/>
  <c r="Z116" i="1"/>
  <c r="BN122" i="1"/>
  <c r="BP122" i="1"/>
  <c r="Z122" i="1"/>
  <c r="BN283" i="1"/>
  <c r="BP283" i="1"/>
  <c r="Z283" i="1"/>
  <c r="BN306" i="1"/>
  <c r="BP306" i="1"/>
  <c r="Z306" i="1"/>
  <c r="Y368" i="1"/>
  <c r="BN363" i="1"/>
  <c r="BP363" i="1"/>
  <c r="Z363" i="1"/>
  <c r="BN396" i="1"/>
  <c r="BP396" i="1"/>
  <c r="Z396" i="1"/>
  <c r="BN452" i="1"/>
  <c r="BP452" i="1"/>
  <c r="Z452" i="1"/>
  <c r="BN518" i="1"/>
  <c r="BP518" i="1"/>
  <c r="Z518" i="1"/>
  <c r="J560" i="1"/>
  <c r="Y174" i="1"/>
  <c r="Y297" i="1"/>
  <c r="Y322" i="1"/>
  <c r="Y385" i="1"/>
  <c r="Y391" i="1"/>
  <c r="Y511" i="1"/>
  <c r="Y84" i="1"/>
  <c r="Y118" i="1"/>
  <c r="Y144" i="1"/>
  <c r="Y159" i="1"/>
  <c r="Z167" i="1"/>
  <c r="Z172" i="1"/>
  <c r="BP172" i="1"/>
  <c r="Y189" i="1"/>
  <c r="Z180" i="1"/>
  <c r="Z202" i="1"/>
  <c r="Z203" i="1" s="1"/>
  <c r="BP202" i="1"/>
  <c r="Z212" i="1"/>
  <c r="Z219" i="1"/>
  <c r="Z220" i="1" s="1"/>
  <c r="Z227" i="1"/>
  <c r="Z235" i="1"/>
  <c r="Y246" i="1"/>
  <c r="Z250" i="1"/>
  <c r="Z265" i="1"/>
  <c r="Y278" i="1"/>
  <c r="Z273" i="1"/>
  <c r="Z281" i="1"/>
  <c r="Z289" i="1"/>
  <c r="Z295" i="1"/>
  <c r="BP295" i="1"/>
  <c r="O560" i="1"/>
  <c r="Z304" i="1"/>
  <c r="Z320" i="1"/>
  <c r="P560" i="1"/>
  <c r="Z329" i="1"/>
  <c r="Q560" i="1"/>
  <c r="Z375" i="1"/>
  <c r="Z381" i="1"/>
  <c r="BP381" i="1"/>
  <c r="Z389" i="1"/>
  <c r="Y398" i="1"/>
  <c r="Z402" i="1"/>
  <c r="Y411" i="1"/>
  <c r="Z429" i="1"/>
  <c r="Y437" i="1"/>
  <c r="Z435" i="1"/>
  <c r="Z500" i="1"/>
  <c r="Z508" i="1"/>
  <c r="Y521" i="1"/>
  <c r="Z516" i="1"/>
  <c r="Z82" i="1"/>
  <c r="BP82" i="1"/>
  <c r="F560" i="1"/>
  <c r="Z91" i="1"/>
  <c r="Y99" i="1"/>
  <c r="H560" i="1"/>
  <c r="Y143" i="1"/>
  <c r="Y238" i="1"/>
  <c r="Z241" i="1"/>
  <c r="Y252" i="1"/>
  <c r="Z254" i="1"/>
  <c r="Z255" i="1" s="1"/>
  <c r="BP254" i="1"/>
  <c r="Z271" i="1"/>
  <c r="Z287" i="1"/>
  <c r="Z302" i="1"/>
  <c r="Z327" i="1"/>
  <c r="Z336" i="1"/>
  <c r="R560" i="1"/>
  <c r="Z345" i="1"/>
  <c r="Z367" i="1"/>
  <c r="Y379" i="1"/>
  <c r="Z373" i="1"/>
  <c r="Z395" i="1"/>
  <c r="Z408" i="1"/>
  <c r="Z427" i="1"/>
  <c r="Z433" i="1"/>
  <c r="BP433" i="1"/>
  <c r="Z441" i="1"/>
  <c r="Y447" i="1"/>
  <c r="Z456" i="1"/>
  <c r="Z457" i="1" s="1"/>
  <c r="BP456" i="1"/>
  <c r="Z472" i="1"/>
  <c r="Z488" i="1"/>
  <c r="Z498" i="1"/>
  <c r="Z514" i="1"/>
  <c r="H9" i="1"/>
  <c r="A10" i="1"/>
  <c r="Y24" i="1"/>
  <c r="Y32" i="1"/>
  <c r="Y46" i="1"/>
  <c r="Y56" i="1"/>
  <c r="Y67" i="1"/>
  <c r="Y75" i="1"/>
  <c r="Y79" i="1"/>
  <c r="Y85" i="1"/>
  <c r="Y92" i="1"/>
  <c r="Y100" i="1"/>
  <c r="G560" i="1"/>
  <c r="Y110" i="1"/>
  <c r="BP103" i="1"/>
  <c r="BN103" i="1"/>
  <c r="BP105" i="1"/>
  <c r="BN105" i="1"/>
  <c r="Z105" i="1"/>
  <c r="Y109" i="1"/>
  <c r="BP113" i="1"/>
  <c r="BN113" i="1"/>
  <c r="Z113" i="1"/>
  <c r="Y117" i="1"/>
  <c r="Y125" i="1"/>
  <c r="BP121" i="1"/>
  <c r="BN121" i="1"/>
  <c r="Z121" i="1"/>
  <c r="F9" i="1"/>
  <c r="J9" i="1"/>
  <c r="Z22" i="1"/>
  <c r="Z24" i="1" s="1"/>
  <c r="BN22" i="1"/>
  <c r="BP22" i="1"/>
  <c r="Y25" i="1"/>
  <c r="Z28" i="1"/>
  <c r="BN28" i="1"/>
  <c r="Z30" i="1"/>
  <c r="BN30" i="1"/>
  <c r="C560" i="1"/>
  <c r="Z42" i="1"/>
  <c r="BN42" i="1"/>
  <c r="Z44" i="1"/>
  <c r="BN44" i="1"/>
  <c r="Y47" i="1"/>
  <c r="D560" i="1"/>
  <c r="Z52" i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BN83" i="1"/>
  <c r="Z88" i="1"/>
  <c r="BN88" i="1"/>
  <c r="BP88" i="1"/>
  <c r="Z90" i="1"/>
  <c r="BN90" i="1"/>
  <c r="Y93" i="1"/>
  <c r="Z96" i="1"/>
  <c r="BN96" i="1"/>
  <c r="Z98" i="1"/>
  <c r="BN98" i="1"/>
  <c r="Z103" i="1"/>
  <c r="BP107" i="1"/>
  <c r="BN107" i="1"/>
  <c r="Z107" i="1"/>
  <c r="BP115" i="1"/>
  <c r="BN115" i="1"/>
  <c r="Z115" i="1"/>
  <c r="BP123" i="1"/>
  <c r="BN123" i="1"/>
  <c r="Z123" i="1"/>
  <c r="Z127" i="1"/>
  <c r="Z128" i="1" s="1"/>
  <c r="BN127" i="1"/>
  <c r="BP127" i="1"/>
  <c r="Y128" i="1"/>
  <c r="Z132" i="1"/>
  <c r="BN132" i="1"/>
  <c r="BP132" i="1"/>
  <c r="Z134" i="1"/>
  <c r="BN134" i="1"/>
  <c r="Y137" i="1"/>
  <c r="Z140" i="1"/>
  <c r="BN140" i="1"/>
  <c r="BP140" i="1"/>
  <c r="Z142" i="1"/>
  <c r="BN142" i="1"/>
  <c r="Z146" i="1"/>
  <c r="BN146" i="1"/>
  <c r="BP146" i="1"/>
  <c r="Z148" i="1"/>
  <c r="BN148" i="1"/>
  <c r="Y151" i="1"/>
  <c r="I560" i="1"/>
  <c r="Z155" i="1"/>
  <c r="BN155" i="1"/>
  <c r="BP155" i="1"/>
  <c r="Z157" i="1"/>
  <c r="BN157" i="1"/>
  <c r="Y158" i="1"/>
  <c r="Z161" i="1"/>
  <c r="Z162" i="1" s="1"/>
  <c r="BN161" i="1"/>
  <c r="BP161" i="1"/>
  <c r="Y162" i="1"/>
  <c r="Z166" i="1"/>
  <c r="BN166" i="1"/>
  <c r="BP166" i="1"/>
  <c r="Z168" i="1"/>
  <c r="BN168" i="1"/>
  <c r="Y169" i="1"/>
  <c r="Z173" i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BN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Y245" i="1"/>
  <c r="BP248" i="1"/>
  <c r="BP249" i="1"/>
  <c r="BN249" i="1"/>
  <c r="Y251" i="1"/>
  <c r="BP260" i="1"/>
  <c r="BN260" i="1"/>
  <c r="Z260" i="1"/>
  <c r="Y262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Y136" i="1"/>
  <c r="Y170" i="1"/>
  <c r="Y215" i="1"/>
  <c r="Z243" i="1"/>
  <c r="BN243" i="1"/>
  <c r="Z249" i="1"/>
  <c r="Z251" i="1" s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Y298" i="1"/>
  <c r="Y309" i="1"/>
  <c r="Y313" i="1"/>
  <c r="Y317" i="1"/>
  <c r="Y323" i="1"/>
  <c r="Y332" i="1"/>
  <c r="Y339" i="1"/>
  <c r="Y348" i="1"/>
  <c r="Y352" i="1"/>
  <c r="Y378" i="1"/>
  <c r="Y386" i="1"/>
  <c r="Y392" i="1"/>
  <c r="BP397" i="1"/>
  <c r="BN397" i="1"/>
  <c r="Z397" i="1"/>
  <c r="Y399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Z442" i="1"/>
  <c r="BP440" i="1"/>
  <c r="BN440" i="1"/>
  <c r="Z440" i="1"/>
  <c r="Z463" i="1"/>
  <c r="BP461" i="1"/>
  <c r="BN461" i="1"/>
  <c r="Z461" i="1"/>
  <c r="M560" i="1"/>
  <c r="Y261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BN326" i="1"/>
  <c r="BP326" i="1"/>
  <c r="Z328" i="1"/>
  <c r="BN328" i="1"/>
  <c r="Z330" i="1"/>
  <c r="BN330" i="1"/>
  <c r="Y331" i="1"/>
  <c r="Z335" i="1"/>
  <c r="BN335" i="1"/>
  <c r="BP335" i="1"/>
  <c r="Z337" i="1"/>
  <c r="BN337" i="1"/>
  <c r="Y338" i="1"/>
  <c r="Z342" i="1"/>
  <c r="BN342" i="1"/>
  <c r="BP342" i="1"/>
  <c r="Z344" i="1"/>
  <c r="BN344" i="1"/>
  <c r="Z346" i="1"/>
  <c r="BN346" i="1"/>
  <c r="Y347" i="1"/>
  <c r="Z350" i="1"/>
  <c r="BN350" i="1"/>
  <c r="BP350" i="1"/>
  <c r="S560" i="1"/>
  <c r="Z357" i="1"/>
  <c r="Z359" i="1" s="1"/>
  <c r="BN357" i="1"/>
  <c r="Y360" i="1"/>
  <c r="T560" i="1"/>
  <c r="Z364" i="1"/>
  <c r="BN364" i="1"/>
  <c r="Z366" i="1"/>
  <c r="BN366" i="1"/>
  <c r="Y369" i="1"/>
  <c r="Z372" i="1"/>
  <c r="BN372" i="1"/>
  <c r="Z374" i="1"/>
  <c r="BN374" i="1"/>
  <c r="Z376" i="1"/>
  <c r="BN376" i="1"/>
  <c r="Z382" i="1"/>
  <c r="BN382" i="1"/>
  <c r="Z384" i="1"/>
  <c r="BN384" i="1"/>
  <c r="Z388" i="1"/>
  <c r="Z391" i="1" s="1"/>
  <c r="BN388" i="1"/>
  <c r="BP388" i="1"/>
  <c r="Z390" i="1"/>
  <c r="BN390" i="1"/>
  <c r="Z394" i="1"/>
  <c r="BN394" i="1"/>
  <c r="BP394" i="1"/>
  <c r="BP403" i="1"/>
  <c r="BN403" i="1"/>
  <c r="Z403" i="1"/>
  <c r="Y405" i="1"/>
  <c r="Y410" i="1"/>
  <c r="BP407" i="1"/>
  <c r="BN407" i="1"/>
  <c r="Z407" i="1"/>
  <c r="BP416" i="1"/>
  <c r="BN416" i="1"/>
  <c r="Z416" i="1"/>
  <c r="Y418" i="1"/>
  <c r="V560" i="1"/>
  <c r="Y431" i="1"/>
  <c r="BP422" i="1"/>
  <c r="BN422" i="1"/>
  <c r="Z422" i="1"/>
  <c r="Z430" i="1" s="1"/>
  <c r="BP426" i="1"/>
  <c r="BN426" i="1"/>
  <c r="Z426" i="1"/>
  <c r="Y430" i="1"/>
  <c r="BP434" i="1"/>
  <c r="BN434" i="1"/>
  <c r="Z434" i="1"/>
  <c r="Y443" i="1"/>
  <c r="Y442" i="1"/>
  <c r="BP446" i="1"/>
  <c r="BN446" i="1"/>
  <c r="Z446" i="1"/>
  <c r="Z447" i="1" s="1"/>
  <c r="Y448" i="1"/>
  <c r="W560" i="1"/>
  <c r="Y454" i="1"/>
  <c r="BP451" i="1"/>
  <c r="BN451" i="1"/>
  <c r="Z451" i="1"/>
  <c r="Z453" i="1" s="1"/>
  <c r="Y463" i="1"/>
  <c r="Y475" i="1"/>
  <c r="Y479" i="1"/>
  <c r="Y490" i="1"/>
  <c r="BP487" i="1"/>
  <c r="BN487" i="1"/>
  <c r="Z487" i="1"/>
  <c r="BP497" i="1"/>
  <c r="BN497" i="1"/>
  <c r="Z497" i="1"/>
  <c r="BP501" i="1"/>
  <c r="BN501" i="1"/>
  <c r="Z501" i="1"/>
  <c r="X560" i="1"/>
  <c r="Z469" i="1"/>
  <c r="BN469" i="1"/>
  <c r="Z471" i="1"/>
  <c r="BN471" i="1"/>
  <c r="Z473" i="1"/>
  <c r="BN473" i="1"/>
  <c r="Y474" i="1"/>
  <c r="Z477" i="1"/>
  <c r="Z479" i="1" s="1"/>
  <c r="BN477" i="1"/>
  <c r="BP477" i="1"/>
  <c r="Y560" i="1"/>
  <c r="Y484" i="1"/>
  <c r="BP489" i="1"/>
  <c r="BN489" i="1"/>
  <c r="Z489" i="1"/>
  <c r="Y491" i="1"/>
  <c r="Z560" i="1"/>
  <c r="Y505" i="1"/>
  <c r="Y504" i="1"/>
  <c r="BP495" i="1"/>
  <c r="BN495" i="1"/>
  <c r="Z495" i="1"/>
  <c r="BP499" i="1"/>
  <c r="BN499" i="1"/>
  <c r="Z499" i="1"/>
  <c r="Z503" i="1"/>
  <c r="BN503" i="1"/>
  <c r="Z507" i="1"/>
  <c r="Z510" i="1" s="1"/>
  <c r="BN507" i="1"/>
  <c r="BP507" i="1"/>
  <c r="Z509" i="1"/>
  <c r="BN509" i="1"/>
  <c r="Y510" i="1"/>
  <c r="Z513" i="1"/>
  <c r="Z520" i="1" s="1"/>
  <c r="BN513" i="1"/>
  <c r="BP513" i="1"/>
  <c r="Z515" i="1"/>
  <c r="BN515" i="1"/>
  <c r="Z517" i="1"/>
  <c r="BN517" i="1"/>
  <c r="Z519" i="1"/>
  <c r="BN519" i="1"/>
  <c r="Y520" i="1"/>
  <c r="Z525" i="1"/>
  <c r="Z526" i="1" s="1"/>
  <c r="BN525" i="1"/>
  <c r="BP525" i="1"/>
  <c r="Y526" i="1"/>
  <c r="Z529" i="1"/>
  <c r="Z530" i="1" s="1"/>
  <c r="BN529" i="1"/>
  <c r="BP529" i="1"/>
  <c r="Y530" i="1"/>
  <c r="Z533" i="1"/>
  <c r="Z534" i="1" s="1"/>
  <c r="BN533" i="1"/>
  <c r="BP533" i="1"/>
  <c r="Y534" i="1"/>
  <c r="Z537" i="1"/>
  <c r="Z538" i="1" s="1"/>
  <c r="BN537" i="1"/>
  <c r="BP537" i="1"/>
  <c r="Y538" i="1"/>
  <c r="Z541" i="1"/>
  <c r="BN541" i="1"/>
  <c r="BP541" i="1"/>
  <c r="Y544" i="1"/>
  <c r="Y549" i="1"/>
  <c r="AA560" i="1"/>
  <c r="Z542" i="1"/>
  <c r="BN542" i="1"/>
  <c r="Z547" i="1"/>
  <c r="Z548" i="1" s="1"/>
  <c r="BN547" i="1"/>
  <c r="BP547" i="1"/>
  <c r="Y548" i="1"/>
  <c r="Z385" i="1" l="1"/>
  <c r="Z237" i="1"/>
  <c r="Z74" i="1"/>
  <c r="Z436" i="1"/>
  <c r="Z368" i="1"/>
  <c r="Z352" i="1"/>
  <c r="Z277" i="1"/>
  <c r="Z174" i="1"/>
  <c r="Z55" i="1"/>
  <c r="Z46" i="1"/>
  <c r="X553" i="1"/>
  <c r="Z117" i="1"/>
  <c r="Z215" i="1"/>
  <c r="Z158" i="1"/>
  <c r="Z143" i="1"/>
  <c r="Z99" i="1"/>
  <c r="Z84" i="1"/>
  <c r="Z322" i="1"/>
  <c r="Z32" i="1"/>
  <c r="Z124" i="1"/>
  <c r="Z378" i="1"/>
  <c r="Z308" i="1"/>
  <c r="Z474" i="1"/>
  <c r="Z261" i="1"/>
  <c r="Z169" i="1"/>
  <c r="Z136" i="1"/>
  <c r="Z543" i="1"/>
  <c r="Z504" i="1"/>
  <c r="Z245" i="1"/>
  <c r="Y552" i="1"/>
  <c r="Y554" i="1"/>
  <c r="Z490" i="1"/>
  <c r="Z410" i="1"/>
  <c r="Z398" i="1"/>
  <c r="Z347" i="1"/>
  <c r="Z338" i="1"/>
  <c r="Z331" i="1"/>
  <c r="Z417" i="1"/>
  <c r="Z404" i="1"/>
  <c r="Z292" i="1"/>
  <c r="Z194" i="1"/>
  <c r="Z188" i="1"/>
  <c r="Z150" i="1"/>
  <c r="Z109" i="1"/>
  <c r="Z92" i="1"/>
  <c r="Y550" i="1"/>
  <c r="Y551" i="1"/>
  <c r="Y553" i="1" l="1"/>
  <c r="Z555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<sst xmlns="http://schemas.openxmlformats.org/spreadsheetml/2006/main" count="2502" uniqueCount="908">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</sst>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46229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Воскресенье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0.41666666666666669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6</v>
      </c>
      <c r="Y30" s="628">
        <f>IFERROR(IF(X30="",0,CEILING((X30/$H30),1)*$H30),"")</f>
        <v>7.2</v>
      </c>
      <c r="Z30" s="36">
        <f>IFERROR(IF(Y30=0,"",ROUNDUP(Y30/H30,0)*0.00651),"")</f>
        <v>2.6040000000000001E-2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10.600000000000001</v>
      </c>
      <c r="BN30" s="64">
        <f>IFERROR(Y30*I30/H30,"0")</f>
        <v>12.72</v>
      </c>
      <c r="BO30" s="64">
        <f>IFERROR(1/J30*(X30/H30),"0")</f>
        <v>1.8315018315018316E-2</v>
      </c>
      <c r="BP30" s="64">
        <f>IFERROR(1/J30*(Y30/H30),"0")</f>
        <v>2.197802197802198E-2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3.333333333333333</v>
      </c>
      <c r="Y32" s="629">
        <f>IFERROR(Y27/H27,"0")+IFERROR(Y28/H28,"0")+IFERROR(Y29/H29,"0")+IFERROR(Y30/H30,"0")+IFERROR(Y31/H31,"0")</f>
        <v>4</v>
      </c>
      <c r="Z32" s="629">
        <f>IFERROR(IF(Z27="",0,Z27),"0")+IFERROR(IF(Z28="",0,Z28),"0")+IFERROR(IF(Z29="",0,Z29),"0")+IFERROR(IF(Z30="",0,Z30),"0")+IFERROR(IF(Z31="",0,Z31),"0")</f>
        <v>2.6040000000000001E-2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6</v>
      </c>
      <c r="Y33" s="629">
        <f>IFERROR(SUM(Y27:Y31),"0")</f>
        <v>7.2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775</v>
      </c>
      <c r="Y51" s="628">
        <f>IFERROR(IF(X51="",0,CEILING((X51/$H51),1)*$H51),"")</f>
        <v>777.6</v>
      </c>
      <c r="Z51" s="36">
        <f>IFERROR(IF(Y51=0,"",ROUNDUP(Y51/H51,0)*0.01898),"")</f>
        <v>1.36656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804.42129629629619</v>
      </c>
      <c r="BN51" s="64">
        <f>IFERROR(Y51*I51/H51,"0")</f>
        <v>807.12</v>
      </c>
      <c r="BO51" s="64">
        <f>IFERROR(1/J51*(X51/H51),"0")</f>
        <v>1.1212384259259258</v>
      </c>
      <c r="BP51" s="64">
        <f>IFERROR(1/J51*(Y51/H51),"0")</f>
        <v>1.125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14</v>
      </c>
      <c r="Y54" s="628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14.718918918918918</v>
      </c>
      <c r="BN54" s="64">
        <f>IFERROR(Y54*I54/H54,"0")</f>
        <v>15.56</v>
      </c>
      <c r="BO54" s="64">
        <f>IFERROR(1/J54*(X54/H54),"0")</f>
        <v>2.8665028665028666E-2</v>
      </c>
      <c r="BP54" s="64">
        <f>IFERROR(1/J54*(Y54/H54),"0")</f>
        <v>3.0303030303030304E-2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75.543043043043042</v>
      </c>
      <c r="Y55" s="629">
        <f>IFERROR(Y51/H51,"0")+IFERROR(Y52/H52,"0")+IFERROR(Y53/H53,"0")+IFERROR(Y54/H54,"0")</f>
        <v>76</v>
      </c>
      <c r="Z55" s="629">
        <f>IFERROR(IF(Z51="",0,Z51),"0")+IFERROR(IF(Z52="",0,Z52),"0")+IFERROR(IF(Z53="",0,Z53),"0")+IFERROR(IF(Z54="",0,Z54),"0")</f>
        <v>1.4026399999999999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789</v>
      </c>
      <c r="Y56" s="629">
        <f>IFERROR(SUM(Y51:Y54),"0")</f>
        <v>792.4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494</v>
      </c>
      <c r="Y61" s="628">
        <f t="shared" si="0"/>
        <v>496.8</v>
      </c>
      <c r="Z61" s="36">
        <f>IFERROR(IF(Y61=0,"",ROUNDUP(Y61/H61,0)*0.01898),"")</f>
        <v>0.87307999999999997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512.75370370370376</v>
      </c>
      <c r="BN61" s="64">
        <f t="shared" si="2"/>
        <v>515.66</v>
      </c>
      <c r="BO61" s="64">
        <f t="shared" si="3"/>
        <v>0.71469907407407407</v>
      </c>
      <c r="BP61" s="64">
        <f t="shared" si="4"/>
        <v>0.71875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45.74074074074074</v>
      </c>
      <c r="Y67" s="629">
        <f>IFERROR(Y59/H59,"0")+IFERROR(Y60/H60,"0")+IFERROR(Y61/H61,"0")+IFERROR(Y62/H62,"0")+IFERROR(Y63/H63,"0")+IFERROR(Y64/H64,"0")+IFERROR(Y65/H65,"0")+IFERROR(Y66/H66,"0")</f>
        <v>46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0.87307999999999997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494</v>
      </c>
      <c r="Y68" s="629">
        <f>IFERROR(SUM(Y59:Y66),"0")</f>
        <v>496.8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272</v>
      </c>
      <c r="Y88" s="628">
        <f>IFERROR(IF(X88="",0,CEILING((X88/$H88),1)*$H88),"")</f>
        <v>280.8</v>
      </c>
      <c r="Z88" s="36">
        <f>IFERROR(IF(Y88=0,"",ROUNDUP(Y88/H88,0)*0.01898),"")</f>
        <v>0.49348000000000003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282.32592592592596</v>
      </c>
      <c r="BN88" s="64">
        <f>IFERROR(Y88*I88/H88,"0")</f>
        <v>291.46000000000004</v>
      </c>
      <c r="BO88" s="64">
        <f>IFERROR(1/J88*(X88/H88),"0")</f>
        <v>0.39351851851851849</v>
      </c>
      <c r="BP88" s="64">
        <f>IFERROR(1/J88*(Y88/H88),"0")</f>
        <v>0.40625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25.185185185185183</v>
      </c>
      <c r="Y92" s="629">
        <f>IFERROR(Y88/H88,"0")+IFERROR(Y89/H89,"0")+IFERROR(Y90/H90,"0")+IFERROR(Y91/H91,"0")</f>
        <v>26</v>
      </c>
      <c r="Z92" s="629">
        <f>IFERROR(IF(Z88="",0,Z88),"0")+IFERROR(IF(Z89="",0,Z89),"0")+IFERROR(IF(Z90="",0,Z90),"0")+IFERROR(IF(Z91="",0,Z91),"0")</f>
        <v>0.49348000000000003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272</v>
      </c>
      <c r="Y93" s="629">
        <f>IFERROR(SUM(Y88:Y91),"0")</f>
        <v>280.8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2</v>
      </c>
      <c r="Y104" s="628">
        <f t="shared" si="5"/>
        <v>2.2000000000000002</v>
      </c>
      <c r="Z104" s="36">
        <f>IFERROR(IF(Y104=0,"",ROUNDUP(Y104/H104,0)*0.00726),"")</f>
        <v>1.452E-2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2.3818181818181818</v>
      </c>
      <c r="BN104" s="64">
        <f t="shared" si="7"/>
        <v>2.62</v>
      </c>
      <c r="BO104" s="64">
        <f t="shared" si="8"/>
        <v>9.4696969696969682E-3</v>
      </c>
      <c r="BP104" s="64">
        <f t="shared" si="9"/>
        <v>1.0416666666666666E-2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1.8181818181818181</v>
      </c>
      <c r="Y109" s="629">
        <f>IFERROR(Y103/H103,"0")+IFERROR(Y104/H104,"0")+IFERROR(Y105/H105,"0")+IFERROR(Y106/H106,"0")+IFERROR(Y107/H107,"0")+IFERROR(Y108/H108,"0")</f>
        <v>2</v>
      </c>
      <c r="Z109" s="629">
        <f>IFERROR(IF(Z103="",0,Z103),"0")+IFERROR(IF(Z104="",0,Z104),"0")+IFERROR(IF(Z105="",0,Z105),"0")+IFERROR(IF(Z106="",0,Z106),"0")+IFERROR(IF(Z107="",0,Z107),"0")+IFERROR(IF(Z108="",0,Z108),"0")</f>
        <v>1.452E-2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2</v>
      </c>
      <c r="Y110" s="629">
        <f>IFERROR(SUM(Y103:Y108),"0")</f>
        <v>2.2000000000000002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1</v>
      </c>
      <c r="Y116" s="628">
        <f>IFERROR(IF(X116="",0,CEILING((X116/$H116),1)*$H116),"")</f>
        <v>2.4</v>
      </c>
      <c r="Z116" s="36">
        <f>IFERROR(IF(Y116=0,"",ROUNDUP(Y116/H116,0)*0.00651),"")</f>
        <v>6.5100000000000002E-3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1.0750000000000002</v>
      </c>
      <c r="BN116" s="64">
        <f>IFERROR(Y116*I116/H116,"0")</f>
        <v>2.58</v>
      </c>
      <c r="BO116" s="64">
        <f>IFERROR(1/J116*(X116/H116),"0")</f>
        <v>2.2893772893772895E-3</v>
      </c>
      <c r="BP116" s="64">
        <f>IFERROR(1/J116*(Y116/H116),"0")</f>
        <v>5.4945054945054949E-3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0.41666666666666669</v>
      </c>
      <c r="Y117" s="629">
        <f>IFERROR(Y112/H112,"0")+IFERROR(Y113/H113,"0")+IFERROR(Y114/H114,"0")+IFERROR(Y115/H115,"0")+IFERROR(Y116/H116,"0")</f>
        <v>1</v>
      </c>
      <c r="Z117" s="629">
        <f>IFERROR(IF(Z112="",0,Z112),"0")+IFERROR(IF(Z113="",0,Z113),"0")+IFERROR(IF(Z114="",0,Z114),"0")+IFERROR(IF(Z115="",0,Z115),"0")+IFERROR(IF(Z116="",0,Z116),"0")</f>
        <v>6.5100000000000002E-3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1</v>
      </c>
      <c r="Y118" s="629">
        <f>IFERROR(SUM(Y112:Y116),"0")</f>
        <v>2.4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34</v>
      </c>
      <c r="Y120" s="628">
        <f>IFERROR(IF(X120="",0,CEILING((X120/$H120),1)*$H120),"")</f>
        <v>40.5</v>
      </c>
      <c r="Z120" s="36">
        <f>IFERROR(IF(Y120=0,"",ROUNDUP(Y120/H120,0)*0.01898),"")</f>
        <v>9.4899999999999998E-2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36.048395061728392</v>
      </c>
      <c r="BN120" s="64">
        <f>IFERROR(Y120*I120/H120,"0")</f>
        <v>42.94</v>
      </c>
      <c r="BO120" s="64">
        <f>IFERROR(1/J120*(X120/H120),"0")</f>
        <v>6.558641975308642E-2</v>
      </c>
      <c r="BP120" s="64">
        <f>IFERROR(1/J120*(Y120/H120),"0")</f>
        <v>7.8125E-2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4.1975308641975309</v>
      </c>
      <c r="Y124" s="629">
        <f>IFERROR(Y120/H120,"0")+IFERROR(Y121/H121,"0")+IFERROR(Y122/H122,"0")+IFERROR(Y123/H123,"0")</f>
        <v>5</v>
      </c>
      <c r="Z124" s="629">
        <f>IFERROR(IF(Z120="",0,Z120),"0")+IFERROR(IF(Z121="",0,Z121),"0")+IFERROR(IF(Z122="",0,Z122),"0")+IFERROR(IF(Z123="",0,Z123),"0")</f>
        <v>9.4899999999999998E-2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34</v>
      </c>
      <c r="Y125" s="629">
        <f>IFERROR(SUM(Y120:Y123),"0")</f>
        <v>40.5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44</v>
      </c>
      <c r="Y127" s="628">
        <f>IFERROR(IF(X127="",0,CEILING((X127/$H127),1)*$H127),"")</f>
        <v>45.54</v>
      </c>
      <c r="Z127" s="36">
        <f>IFERROR(IF(Y127=0,"",ROUNDUP(Y127/H127,0)*0.00651),"")</f>
        <v>0.14973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49.733333333333334</v>
      </c>
      <c r="BN127" s="64">
        <f>IFERROR(Y127*I127/H127,"0")</f>
        <v>51.474000000000004</v>
      </c>
      <c r="BO127" s="64">
        <f>IFERROR(1/J127*(X127/H127),"0")</f>
        <v>0.12210012210012211</v>
      </c>
      <c r="BP127" s="64">
        <f>IFERROR(1/J127*(Y127/H127),"0")</f>
        <v>0.1263736263736264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22.222222222222221</v>
      </c>
      <c r="Y128" s="629">
        <f>IFERROR(Y127/H127,"0")</f>
        <v>23</v>
      </c>
      <c r="Z128" s="629">
        <f>IFERROR(IF(Z127="",0,Z127),"0")</f>
        <v>0.14973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44</v>
      </c>
      <c r="Y129" s="629">
        <f>IFERROR(SUM(Y127:Y127),"0")</f>
        <v>45.54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16</v>
      </c>
      <c r="Y167" s="628">
        <f>IFERROR(IF(X167="",0,CEILING((X167/$H167),1)*$H167),"")</f>
        <v>25.6</v>
      </c>
      <c r="Z167" s="36">
        <f>IFERROR(IF(Y167=0,"",ROUNDUP(Y167/H167,0)*0.01898),"")</f>
        <v>3.7960000000000001E-2</v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16.512499999999999</v>
      </c>
      <c r="BN167" s="64">
        <f>IFERROR(Y167*I167/H167,"0")</f>
        <v>26.42</v>
      </c>
      <c r="BO167" s="64">
        <f>IFERROR(1/J167*(X167/H167),"0")</f>
        <v>1.953125E-2</v>
      </c>
      <c r="BP167" s="64">
        <f>IFERROR(1/J167*(Y167/H167),"0")</f>
        <v>3.125E-2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1.25</v>
      </c>
      <c r="Y169" s="629">
        <f>IFERROR(Y166/H166,"0")+IFERROR(Y167/H167,"0")+IFERROR(Y168/H168,"0")</f>
        <v>2</v>
      </c>
      <c r="Z169" s="629">
        <f>IFERROR(IF(Z166="",0,Z166),"0")+IFERROR(IF(Z167="",0,Z167),"0")+IFERROR(IF(Z168="",0,Z168),"0")</f>
        <v>3.7960000000000001E-2</v>
      </c>
      <c r="AA169" s="630"/>
      <c r="AB169" s="630"/>
      <c r="AC169" s="630"/>
    </row>
    <row r="170" spans="1:68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16</v>
      </c>
      <c r="Y170" s="629">
        <f>IFERROR(SUM(Y166:Y168),"0")</f>
        <v>25.6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1</v>
      </c>
      <c r="Y181" s="628">
        <f t="shared" si="10"/>
        <v>1.8</v>
      </c>
      <c r="Z181" s="36">
        <f>IFERROR(IF(Y181=0,"",ROUNDUP(Y181/H181,0)*0.00417),"")</f>
        <v>8.3400000000000002E-3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1.2333333333333334</v>
      </c>
      <c r="BN181" s="64">
        <f t="shared" si="12"/>
        <v>2.2200000000000002</v>
      </c>
      <c r="BO181" s="64">
        <f t="shared" si="13"/>
        <v>3.3068783068783067E-3</v>
      </c>
      <c r="BP181" s="64">
        <f t="shared" si="14"/>
        <v>5.9523809523809521E-3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5</v>
      </c>
      <c r="Y183" s="628">
        <f t="shared" si="10"/>
        <v>5.4</v>
      </c>
      <c r="Z183" s="36">
        <f>IFERROR(IF(Y183=0,"",ROUNDUP(Y183/H183,0)*0.00417),"")</f>
        <v>2.5020000000000001E-2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6.166666666666667</v>
      </c>
      <c r="BN183" s="64">
        <f t="shared" si="12"/>
        <v>6.66</v>
      </c>
      <c r="BO183" s="64">
        <f t="shared" si="13"/>
        <v>1.6534391534391533E-2</v>
      </c>
      <c r="BP183" s="64">
        <f t="shared" si="14"/>
        <v>1.7857142857142856E-2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6.6666666666666661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3.3360000000000001E-2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6</v>
      </c>
      <c r="Y189" s="629">
        <f>IFERROR(SUM(Y177:Y187),"0")</f>
        <v>7.2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15</v>
      </c>
      <c r="Y223" s="628">
        <f t="shared" ref="Y223:Y236" si="21">IFERROR(IF(X223="",0,CEILING((X223/$H223),1)*$H223),"")</f>
        <v>16.8</v>
      </c>
      <c r="Z223" s="36">
        <f>IFERROR(IF(Y223=0,"",ROUNDUP(Y223/H223,0)*0.00902),"")</f>
        <v>3.6080000000000001E-2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15.892857142857142</v>
      </c>
      <c r="BN223" s="64">
        <f t="shared" ref="BN223:BN236" si="23">IFERROR(Y223*I223/H223,"0")</f>
        <v>17.8</v>
      </c>
      <c r="BO223" s="64">
        <f t="shared" ref="BO223:BO236" si="24">IFERROR(1/J223*(X223/H223),"0")</f>
        <v>2.7056277056277056E-2</v>
      </c>
      <c r="BP223" s="64">
        <f t="shared" ref="BP223:BP236" si="25">IFERROR(1/J223*(Y223/H223),"0")</f>
        <v>3.0303030303030304E-2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10</v>
      </c>
      <c r="Y233" s="628">
        <f t="shared" si="21"/>
        <v>10.4</v>
      </c>
      <c r="Z233" s="36">
        <f>IFERROR(IF(Y233=0,"",ROUNDUP(Y233/H233,0)*0.00417),"")</f>
        <v>5.4210000000000001E-2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12.624999999999998</v>
      </c>
      <c r="BN233" s="64">
        <f t="shared" si="23"/>
        <v>13.13</v>
      </c>
      <c r="BO233" s="64">
        <f t="shared" si="24"/>
        <v>3.7202380952380952E-2</v>
      </c>
      <c r="BP233" s="64">
        <f t="shared" si="25"/>
        <v>3.8690476190476192E-2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16.071428571428569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9.0290000000000009E-2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25</v>
      </c>
      <c r="Y238" s="629">
        <f>IFERROR(SUM(Y223:Y236),"0")</f>
        <v>27.200000000000003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9</v>
      </c>
      <c r="Y250" s="628">
        <f>IFERROR(IF(X250="",0,CEILING((X250/$H250),1)*$H250),"")</f>
        <v>10.08</v>
      </c>
      <c r="Z250" s="36">
        <f>IFERROR(IF(Y250=0,"",ROUNDUP(Y250/H250,0)*0.0059),"")</f>
        <v>4.7199999999999999E-2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10.357142857142856</v>
      </c>
      <c r="BN250" s="64">
        <f>IFERROR(Y250*I250/H250,"0")</f>
        <v>11.6</v>
      </c>
      <c r="BO250" s="64">
        <f>IFERROR(1/J250*(X250/H250),"0")</f>
        <v>3.3068783068783067E-2</v>
      </c>
      <c r="BP250" s="64">
        <f>IFERROR(1/J250*(Y250/H250),"0")</f>
        <v>3.7037037037037035E-2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7.1428571428571432</v>
      </c>
      <c r="Y251" s="629">
        <f>IFERROR(Y248/H248,"0")+IFERROR(Y249/H249,"0")+IFERROR(Y250/H250,"0")</f>
        <v>8</v>
      </c>
      <c r="Z251" s="629">
        <f>IFERROR(IF(Z248="",0,Z248),"0")+IFERROR(IF(Z249="",0,Z249),"0")+IFERROR(IF(Z250="",0,Z250),"0")</f>
        <v>4.7199999999999999E-2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9</v>
      </c>
      <c r="Y252" s="629">
        <f>IFERROR(SUM(Y248:Y250),"0")</f>
        <v>10.08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69</v>
      </c>
      <c r="Y270" s="628">
        <f t="shared" si="27"/>
        <v>70.2</v>
      </c>
      <c r="Z270" s="36">
        <f>IFERROR(IF(Y270=0,"",ROUNDUP(Y270/H270,0)*0.00902),"")</f>
        <v>0.11726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71.427777777777763</v>
      </c>
      <c r="BN270" s="64">
        <f t="shared" si="29"/>
        <v>72.67</v>
      </c>
      <c r="BO270" s="64">
        <f t="shared" si="30"/>
        <v>9.6801346801346791E-2</v>
      </c>
      <c r="BP270" s="64">
        <f t="shared" si="31"/>
        <v>9.8484848484848481E-2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285</v>
      </c>
      <c r="Y271" s="628">
        <f t="shared" si="27"/>
        <v>286.20000000000005</v>
      </c>
      <c r="Z271" s="36">
        <f>IFERROR(IF(Y271=0,"",ROUNDUP(Y271/H271,0)*0.00902),"")</f>
        <v>0.47806000000000004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295.02777777777771</v>
      </c>
      <c r="BN271" s="64">
        <f t="shared" si="29"/>
        <v>296.27000000000004</v>
      </c>
      <c r="BO271" s="64">
        <f t="shared" si="30"/>
        <v>0.39983164983164982</v>
      </c>
      <c r="BP271" s="64">
        <f t="shared" si="31"/>
        <v>0.4015151515151516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12</v>
      </c>
      <c r="Y274" s="628">
        <f t="shared" si="27"/>
        <v>12.6</v>
      </c>
      <c r="Z274" s="36">
        <f>IFERROR(IF(Y274=0,"",ROUNDUP(Y274/H274,0)*0.00502),"")</f>
        <v>3.5140000000000005E-2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12.666666666666664</v>
      </c>
      <c r="BN274" s="64">
        <f t="shared" si="29"/>
        <v>13.299999999999999</v>
      </c>
      <c r="BO274" s="64">
        <f t="shared" si="30"/>
        <v>2.8490028490028491E-2</v>
      </c>
      <c r="BP274" s="64">
        <f t="shared" si="31"/>
        <v>2.9914529914529919E-2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72.222222222222214</v>
      </c>
      <c r="Y277" s="629">
        <f>IFERROR(Y269/H269,"0")+IFERROR(Y270/H270,"0")+IFERROR(Y271/H271,"0")+IFERROR(Y272/H272,"0")+IFERROR(Y273/H273,"0")+IFERROR(Y274/H274,"0")+IFERROR(Y275/H275,"0")+IFERROR(Y276/H276,"0")</f>
        <v>73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0.63046000000000002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366</v>
      </c>
      <c r="Y278" s="629">
        <f>IFERROR(SUM(Y269:Y276),"0")</f>
        <v>369.00000000000006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21</v>
      </c>
      <c r="Y280" s="628">
        <f t="shared" ref="Y280:Y291" si="32">IFERROR(IF(X280="",0,CEILING((X280/$H280),1)*$H280),"")</f>
        <v>24.299999999999997</v>
      </c>
      <c r="Z280" s="36">
        <f>IFERROR(IF(Y280=0,"",ROUNDUP(Y280/H280,0)*0.01898),"")</f>
        <v>5.6940000000000004E-2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22.28074074074074</v>
      </c>
      <c r="BN280" s="64">
        <f t="shared" ref="BN280:BN291" si="34">IFERROR(Y280*I280/H280,"0")</f>
        <v>25.781999999999996</v>
      </c>
      <c r="BO280" s="64">
        <f t="shared" ref="BO280:BO291" si="35">IFERROR(1/J280*(X280/H280),"0")</f>
        <v>4.0509259259259259E-2</v>
      </c>
      <c r="BP280" s="64">
        <f t="shared" ref="BP280:BP291" si="36">IFERROR(1/J280*(Y280/H280),"0")</f>
        <v>4.6875E-2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108</v>
      </c>
      <c r="Y283" s="628">
        <f t="shared" si="32"/>
        <v>108</v>
      </c>
      <c r="Z283" s="36">
        <f>IFERROR(IF(Y283=0,"",ROUNDUP(Y283/H283,0)*0.00651),"")</f>
        <v>0.29294999999999999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120.15</v>
      </c>
      <c r="BN283" s="64">
        <f t="shared" si="34"/>
        <v>120.15</v>
      </c>
      <c r="BO283" s="64">
        <f t="shared" si="35"/>
        <v>0.24725274725274726</v>
      </c>
      <c r="BP283" s="64">
        <f t="shared" si="36"/>
        <v>0.24725274725274726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173</v>
      </c>
      <c r="Y290" s="628">
        <f t="shared" si="32"/>
        <v>175.2</v>
      </c>
      <c r="Z290" s="36">
        <f>IFERROR(IF(Y290=0,"",ROUNDUP(Y290/H290,0)*0.00651),"")</f>
        <v>0.47522999999999999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191.5975</v>
      </c>
      <c r="BN290" s="64">
        <f t="shared" si="34"/>
        <v>194.03399999999999</v>
      </c>
      <c r="BO290" s="64">
        <f t="shared" si="35"/>
        <v>0.39606227106227115</v>
      </c>
      <c r="BP290" s="64">
        <f t="shared" si="36"/>
        <v>0.40109890109890112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119.67592592592594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121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0.82511999999999996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302</v>
      </c>
      <c r="Y293" s="629">
        <f>IFERROR(SUM(Y280:Y291),"0")</f>
        <v>307.5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2</v>
      </c>
      <c r="Y295" s="628">
        <f>IFERROR(IF(X295="",0,CEILING((X295/$H295),1)*$H295),"")</f>
        <v>2.4</v>
      </c>
      <c r="Z295" s="36">
        <f>IFERROR(IF(Y295=0,"",ROUNDUP(Y295/H295,0)*0.00651),"")</f>
        <v>6.5100000000000002E-3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2.2100000000000004</v>
      </c>
      <c r="BN295" s="64">
        <f>IFERROR(Y295*I295/H295,"0")</f>
        <v>2.6520000000000001</v>
      </c>
      <c r="BO295" s="64">
        <f>IFERROR(1/J295*(X295/H295),"0")</f>
        <v>4.578754578754579E-3</v>
      </c>
      <c r="BP295" s="64">
        <f>IFERROR(1/J295*(Y295/H295),"0")</f>
        <v>5.4945054945054949E-3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0.83333333333333337</v>
      </c>
      <c r="Y297" s="629">
        <f>IFERROR(Y295/H295,"0")+IFERROR(Y296/H296,"0")</f>
        <v>1</v>
      </c>
      <c r="Z297" s="629">
        <f>IFERROR(IF(Z295="",0,Z295),"0")+IFERROR(IF(Z296="",0,Z296),"0")</f>
        <v>6.5100000000000002E-3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2</v>
      </c>
      <c r="Y298" s="629">
        <f>IFERROR(SUM(Y295:Y296),"0")</f>
        <v>2.4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58</v>
      </c>
      <c r="Y337" s="628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62.350000000000009</v>
      </c>
      <c r="BN337" s="64">
        <f>IFERROR(Y337*I337/H337,"0")</f>
        <v>64.500000000000014</v>
      </c>
      <c r="BO337" s="64">
        <f>IFERROR(1/J337*(X337/H337),"0")</f>
        <v>0.13278388278388281</v>
      </c>
      <c r="BP337" s="64">
        <f>IFERROR(1/J337*(Y337/H337),"0")</f>
        <v>0.13736263736263737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24.166666666666668</v>
      </c>
      <c r="Y338" s="629">
        <f>IFERROR(Y335/H335,"0")+IFERROR(Y336/H336,"0")+IFERROR(Y337/H337,"0")</f>
        <v>25</v>
      </c>
      <c r="Z338" s="629">
        <f>IFERROR(IF(Z335="",0,Z335),"0")+IFERROR(IF(Z336="",0,Z336),"0")+IFERROR(IF(Z337="",0,Z337),"0")</f>
        <v>0.16275000000000001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58</v>
      </c>
      <c r="Y339" s="629">
        <f>IFERROR(SUM(Y335:Y337),"0")</f>
        <v>60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44</v>
      </c>
      <c r="Y365" s="628">
        <f>IFERROR(IF(X365="",0,CEILING((X365/$H365),1)*$H365),"")</f>
        <v>54</v>
      </c>
      <c r="Z365" s="36">
        <f>IFERROR(IF(Y365=0,"",ROUNDUP(Y365/H365,0)*0.01898),"")</f>
        <v>9.4899999999999998E-2</v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45.670370370370371</v>
      </c>
      <c r="BN365" s="64">
        <f>IFERROR(Y365*I365/H365,"0")</f>
        <v>56.05</v>
      </c>
      <c r="BO365" s="64">
        <f>IFERROR(1/J365*(X365/H365),"0")</f>
        <v>6.3657407407407399E-2</v>
      </c>
      <c r="BP365" s="64">
        <f>IFERROR(1/J365*(Y365/H365),"0")</f>
        <v>7.8125E-2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4.0740740740740735</v>
      </c>
      <c r="Y368" s="629">
        <f>IFERROR(Y363/H363,"0")+IFERROR(Y364/H364,"0")+IFERROR(Y365/H365,"0")+IFERROR(Y366/H366,"0")+IFERROR(Y367/H367,"0")</f>
        <v>5</v>
      </c>
      <c r="Z368" s="629">
        <f>IFERROR(IF(Z363="",0,Z363),"0")+IFERROR(IF(Z364="",0,Z364),"0")+IFERROR(IF(Z365="",0,Z365),"0")+IFERROR(IF(Z366="",0,Z366),"0")+IFERROR(IF(Z367="",0,Z367),"0")</f>
        <v>9.4899999999999998E-2</v>
      </c>
      <c r="AA368" s="630"/>
      <c r="AB368" s="630"/>
      <c r="AC368" s="630"/>
    </row>
    <row r="369" spans="1:68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44</v>
      </c>
      <c r="Y369" s="629">
        <f>IFERROR(SUM(Y363:Y367),"0")</f>
        <v>54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2103</v>
      </c>
      <c r="Y389" s="628">
        <f>IFERROR(IF(X389="",0,CEILING((X389/$H389),1)*$H389),"")</f>
        <v>2106</v>
      </c>
      <c r="Z389" s="36">
        <f>IFERROR(IF(Y389=0,"",ROUNDUP(Y389/H389,0)*0.01898),"")</f>
        <v>5.1246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2236.19</v>
      </c>
      <c r="BN389" s="64">
        <f>IFERROR(Y389*I389/H389,"0")</f>
        <v>2239.38</v>
      </c>
      <c r="BO389" s="64">
        <f>IFERROR(1/J389*(X389/H389),"0")</f>
        <v>4.212740384615385</v>
      </c>
      <c r="BP389" s="64">
        <f>IFERROR(1/J389*(Y389/H389),"0")</f>
        <v>4.21875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269.61538461538464</v>
      </c>
      <c r="Y391" s="629">
        <f>IFERROR(Y388/H388,"0")+IFERROR(Y389/H389,"0")+IFERROR(Y390/H390,"0")</f>
        <v>270</v>
      </c>
      <c r="Z391" s="629">
        <f>IFERROR(IF(Z388="",0,Z388),"0")+IFERROR(IF(Z389="",0,Z389),"0")+IFERROR(IF(Z390="",0,Z390),"0")</f>
        <v>5.1246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2103</v>
      </c>
      <c r="Y392" s="629">
        <f>IFERROR(SUM(Y388:Y390),"0")</f>
        <v>2106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2</v>
      </c>
      <c r="Y403" s="628">
        <f>IFERROR(IF(X403="",0,CEILING((X403/$H403),1)*$H403),"")</f>
        <v>2</v>
      </c>
      <c r="Z403" s="36">
        <f>IFERROR(IF(Y403=0,"",ROUNDUP(Y403/H403,0)*0.00474),"")</f>
        <v>4.7400000000000003E-3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2.2400000000000002</v>
      </c>
      <c r="BN403" s="64">
        <f>IFERROR(Y403*I403/H403,"0")</f>
        <v>2.2400000000000002</v>
      </c>
      <c r="BO403" s="64">
        <f>IFERROR(1/J403*(X403/H403),"0")</f>
        <v>4.2016806722689074E-3</v>
      </c>
      <c r="BP403" s="64">
        <f>IFERROR(1/J403*(Y403/H403),"0")</f>
        <v>4.2016806722689074E-3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1</v>
      </c>
      <c r="Y404" s="629">
        <f>IFERROR(Y401/H401,"0")+IFERROR(Y402/H402,"0")+IFERROR(Y403/H403,"0")</f>
        <v>1</v>
      </c>
      <c r="Z404" s="629">
        <f>IFERROR(IF(Z401="",0,Z401),"0")+IFERROR(IF(Z402="",0,Z402),"0")+IFERROR(IF(Z403="",0,Z403),"0")</f>
        <v>4.7400000000000003E-3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2</v>
      </c>
      <c r="Y405" s="629">
        <f>IFERROR(SUM(Y401:Y403),"0")</f>
        <v>2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50</v>
      </c>
      <c r="Y407" s="628">
        <f>IFERROR(IF(X407="",0,CEILING((X407/$H407),1)*$H407),"")</f>
        <v>51</v>
      </c>
      <c r="Z407" s="36">
        <f>IFERROR(IF(Y407=0,"",ROUNDUP(Y407/H407,0)*0.0045),"")</f>
        <v>7.6499999999999999E-2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53.666666666666664</v>
      </c>
      <c r="BN407" s="64">
        <f>IFERROR(Y407*I407/H407,"0")</f>
        <v>54.74</v>
      </c>
      <c r="BO407" s="64">
        <f>IFERROR(1/J407*(X407/H407),"0")</f>
        <v>7.4404761904761904E-2</v>
      </c>
      <c r="BP407" s="64">
        <f>IFERROR(1/J407*(Y407/H407),"0")</f>
        <v>7.5892857142857137E-2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65</v>
      </c>
      <c r="Y408" s="628">
        <f>IFERROR(IF(X408="",0,CEILING((X408/$H408),1)*$H408),"")</f>
        <v>66.3</v>
      </c>
      <c r="Z408" s="36">
        <f>IFERROR(IF(Y408=0,"",ROUNDUP(Y408/H408,0)*0.006),"")</f>
        <v>0.10200000000000001</v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69.5</v>
      </c>
      <c r="BN408" s="64">
        <f>IFERROR(Y408*I408/H408,"0")</f>
        <v>70.89</v>
      </c>
      <c r="BO408" s="64">
        <f>IFERROR(1/J408*(X408/H408),"0")</f>
        <v>0.11574074074074074</v>
      </c>
      <c r="BP408" s="64">
        <f>IFERROR(1/J408*(Y408/H408),"0")</f>
        <v>0.11805555555555555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50</v>
      </c>
      <c r="Y409" s="628">
        <f>IFERROR(IF(X409="",0,CEILING((X409/$H409),1)*$H409),"")</f>
        <v>51</v>
      </c>
      <c r="Z409" s="36">
        <f>IFERROR(IF(Y409=0,"",ROUNDUP(Y409/H409,0)*0.0045),"")</f>
        <v>7.6499999999999999E-2</v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53.666666666666664</v>
      </c>
      <c r="BN409" s="64">
        <f>IFERROR(Y409*I409/H409,"0")</f>
        <v>54.74</v>
      </c>
      <c r="BO409" s="64">
        <f>IFERROR(1/J409*(X409/H409),"0")</f>
        <v>7.4404761904761904E-2</v>
      </c>
      <c r="BP409" s="64">
        <f>IFERROR(1/J409*(Y409/H409),"0")</f>
        <v>7.5892857142857137E-2</v>
      </c>
    </row>
    <row r="410" spans="1:68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50</v>
      </c>
      <c r="Y410" s="629">
        <f>IFERROR(Y407/H407,"0")+IFERROR(Y408/H408,"0")+IFERROR(Y409/H409,"0")</f>
        <v>51</v>
      </c>
      <c r="Z410" s="629">
        <f>IFERROR(IF(Z407="",0,Z407),"0")+IFERROR(IF(Z408="",0,Z408),"0")+IFERROR(IF(Z409="",0,Z409),"0")</f>
        <v>0.255</v>
      </c>
      <c r="AA410" s="630"/>
      <c r="AB410" s="630"/>
      <c r="AC410" s="630"/>
    </row>
    <row r="411" spans="1:68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165</v>
      </c>
      <c r="Y411" s="629">
        <f>IFERROR(SUM(Y407:Y409),"0")</f>
        <v>168.3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140</v>
      </c>
      <c r="Y415" s="628">
        <f>IFERROR(IF(X415="",0,CEILING((X415/$H415),1)*$H415),"")</f>
        <v>140.70000000000002</v>
      </c>
      <c r="Z415" s="36">
        <f>IFERROR(IF(Y415=0,"",ROUNDUP(Y415/H415,0)*0.00651),"")</f>
        <v>0.43617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156.79999999999998</v>
      </c>
      <c r="BN415" s="64">
        <f>IFERROR(Y415*I415/H415,"0")</f>
        <v>157.584</v>
      </c>
      <c r="BO415" s="64">
        <f>IFERROR(1/J415*(X415/H415),"0")</f>
        <v>0.36630036630036628</v>
      </c>
      <c r="BP415" s="64">
        <f>IFERROR(1/J415*(Y415/H415),"0")</f>
        <v>0.36813186813186816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134</v>
      </c>
      <c r="Y416" s="628">
        <f>IFERROR(IF(X416="",0,CEILING((X416/$H416),1)*$H416),"")</f>
        <v>134.4</v>
      </c>
      <c r="Z416" s="36">
        <f>IFERROR(IF(Y416=0,"",ROUNDUP(Y416/H416,0)*0.00651),"")</f>
        <v>0.41664000000000001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149.31428571428572</v>
      </c>
      <c r="BN416" s="64">
        <f>IFERROR(Y416*I416/H416,"0")</f>
        <v>149.76</v>
      </c>
      <c r="BO416" s="64">
        <f>IFERROR(1/J416*(X416/H416),"0")</f>
        <v>0.35060177917320778</v>
      </c>
      <c r="BP416" s="64">
        <f>IFERROR(1/J416*(Y416/H416),"0")</f>
        <v>0.35164835164835168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130.47619047619048</v>
      </c>
      <c r="Y417" s="629">
        <f>IFERROR(Y414/H414,"0")+IFERROR(Y415/H415,"0")+IFERROR(Y416/H416,"0")</f>
        <v>131</v>
      </c>
      <c r="Z417" s="629">
        <f>IFERROR(IF(Z414="",0,Z414),"0")+IFERROR(IF(Z415="",0,Z415),"0")+IFERROR(IF(Z416="",0,Z416),"0")</f>
        <v>0.85281000000000007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274</v>
      </c>
      <c r="Y418" s="629">
        <f>IFERROR(SUM(Y414:Y416),"0")</f>
        <v>275.10000000000002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151</v>
      </c>
      <c r="Y424" s="628">
        <f t="shared" si="47"/>
        <v>165</v>
      </c>
      <c r="Z424" s="36">
        <f>IFERROR(IF(Y424=0,"",ROUNDUP(Y424/H424,0)*0.02175),"")</f>
        <v>0.23924999999999999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155.73133333333334</v>
      </c>
      <c r="BN424" s="64">
        <f t="shared" si="49"/>
        <v>170.17000000000002</v>
      </c>
      <c r="BO424" s="64">
        <f t="shared" si="50"/>
        <v>0.2097222222222222</v>
      </c>
      <c r="BP424" s="64">
        <f t="shared" si="51"/>
        <v>0.22916666666666666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10.066666666666666</v>
      </c>
      <c r="Y430" s="629">
        <f>IFERROR(Y422/H422,"0")+IFERROR(Y423/H423,"0")+IFERROR(Y424/H424,"0")+IFERROR(Y425/H425,"0")+IFERROR(Y426/H426,"0")+IFERROR(Y427/H427,"0")+IFERROR(Y428/H428,"0")+IFERROR(Y429/H429,"0")</f>
        <v>11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0.23924999999999999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151</v>
      </c>
      <c r="Y431" s="629">
        <f>IFERROR(SUM(Y422:Y429),"0")</f>
        <v>165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3165</v>
      </c>
      <c r="Y433" s="628">
        <f>IFERROR(IF(X433="",0,CEILING((X433/$H433),1)*$H433),"")</f>
        <v>3165</v>
      </c>
      <c r="Z433" s="36">
        <f>IFERROR(IF(Y433=0,"",ROUNDUP(Y433/H433,0)*0.02175),"")</f>
        <v>4.5892499999999998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3264.17</v>
      </c>
      <c r="BN433" s="64">
        <f>IFERROR(Y433*I433/H433,"0")</f>
        <v>3264.17</v>
      </c>
      <c r="BO433" s="64">
        <f>IFERROR(1/J433*(X433/H433),"0")</f>
        <v>4.395833333333333</v>
      </c>
      <c r="BP433" s="64">
        <f>IFERROR(1/J433*(Y433/H433),"0")</f>
        <v>4.395833333333333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211</v>
      </c>
      <c r="Y436" s="629">
        <f>IFERROR(Y433/H433,"0")+IFERROR(Y434/H434,"0")+IFERROR(Y435/H435,"0")</f>
        <v>211</v>
      </c>
      <c r="Z436" s="629">
        <f>IFERROR(IF(Z433="",0,Z433),"0")+IFERROR(IF(Z434="",0,Z434),"0")+IFERROR(IF(Z435="",0,Z435),"0")</f>
        <v>4.5892499999999998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3165</v>
      </c>
      <c r="Y437" s="629">
        <f>IFERROR(SUM(Y433:Y435),"0")</f>
        <v>3165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4509</v>
      </c>
      <c r="Y460" s="628">
        <f>IFERROR(IF(X460="",0,CEILING((X460/$H460),1)*$H460),"")</f>
        <v>4509</v>
      </c>
      <c r="Z460" s="36">
        <f>IFERROR(IF(Y460=0,"",ROUNDUP(Y460/H460,0)*0.01898),"")</f>
        <v>9.5089799999999993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4756.4939999999997</v>
      </c>
      <c r="BN460" s="64">
        <f>IFERROR(Y460*I460/H460,"0")</f>
        <v>4756.4939999999997</v>
      </c>
      <c r="BO460" s="64">
        <f>IFERROR(1/J460*(X460/H460),"0")</f>
        <v>7.828125</v>
      </c>
      <c r="BP460" s="64">
        <f>IFERROR(1/J460*(Y460/H460),"0")</f>
        <v>7.828125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60</v>
      </c>
      <c r="Y461" s="628">
        <f>IFERROR(IF(X461="",0,CEILING((X461/$H461),1)*$H461),"")</f>
        <v>60</v>
      </c>
      <c r="Z461" s="36">
        <f>IFERROR(IF(Y461=0,"",ROUNDUP(Y461/H461,0)*0.00651),"")</f>
        <v>0.16275000000000001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66.600000000000009</v>
      </c>
      <c r="BN461" s="64">
        <f>IFERROR(Y461*I461/H461,"0")</f>
        <v>66.600000000000009</v>
      </c>
      <c r="BO461" s="64">
        <f>IFERROR(1/J461*(X461/H461),"0")</f>
        <v>0.13736263736263737</v>
      </c>
      <c r="BP461" s="64">
        <f>IFERROR(1/J461*(Y461/H461),"0")</f>
        <v>0.13736263736263737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526</v>
      </c>
      <c r="Y463" s="629">
        <f>IFERROR(Y460/H460,"0")+IFERROR(Y461/H461,"0")+IFERROR(Y462/H462,"0")</f>
        <v>526</v>
      </c>
      <c r="Z463" s="629">
        <f>IFERROR(IF(Z460="",0,Z460),"0")+IFERROR(IF(Z461="",0,Z461),"0")+IFERROR(IF(Z462="",0,Z462),"0")</f>
        <v>9.6717300000000002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4569</v>
      </c>
      <c r="Y464" s="629">
        <f>IFERROR(SUM(Y460:Y462),"0")</f>
        <v>4569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1400</v>
      </c>
      <c r="Y500" s="628">
        <f t="shared" si="57"/>
        <v>1404.48</v>
      </c>
      <c r="Z500" s="36">
        <f t="shared" si="58"/>
        <v>3.1813600000000002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1492.8030303030303</v>
      </c>
      <c r="BN500" s="64">
        <f t="shared" si="60"/>
        <v>1497.58</v>
      </c>
      <c r="BO500" s="64">
        <f t="shared" si="61"/>
        <v>2.5495337995337994</v>
      </c>
      <c r="BP500" s="64">
        <f t="shared" si="62"/>
        <v>2.5576923076923079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265.15151515151513</v>
      </c>
      <c r="Y504" s="629">
        <f>IFERROR(Y495/H495,"0")+IFERROR(Y496/H496,"0")+IFERROR(Y497/H497,"0")+IFERROR(Y498/H498,"0")+IFERROR(Y499/H499,"0")+IFERROR(Y500/H500,"0")+IFERROR(Y501/H501,"0")+IFERROR(Y502/H502,"0")+IFERROR(Y503/H503,"0")</f>
        <v>266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3.1813600000000002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1400</v>
      </c>
      <c r="Y505" s="629">
        <f>IFERROR(SUM(Y495:Y503),"0")</f>
        <v>1404.48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126</v>
      </c>
      <c r="Y513" s="628">
        <f t="shared" ref="Y513:Y519" si="63">IFERROR(IF(X513="",0,CEILING((X513/$H513),1)*$H513),"")</f>
        <v>126.72</v>
      </c>
      <c r="Z513" s="36">
        <f>IFERROR(IF(Y513=0,"",ROUNDUP(Y513/H513,0)*0.01196),"")</f>
        <v>0.28704000000000002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134.35227272727272</v>
      </c>
      <c r="BN513" s="64">
        <f t="shared" ref="BN513:BN519" si="65">IFERROR(Y513*I513/H513,"0")</f>
        <v>135.11999999999998</v>
      </c>
      <c r="BO513" s="64">
        <f t="shared" ref="BO513:BO519" si="66">IFERROR(1/J513*(X513/H513),"0")</f>
        <v>0.22945804195804198</v>
      </c>
      <c r="BP513" s="64">
        <f t="shared" ref="BP513:BP519" si="67">IFERROR(1/J513*(Y513/H513),"0")</f>
        <v>0.23076923076923078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80</v>
      </c>
      <c r="Y515" s="628">
        <f t="shared" si="63"/>
        <v>84.48</v>
      </c>
      <c r="Z515" s="36">
        <f>IFERROR(IF(Y515=0,"",ROUNDUP(Y515/H515,0)*0.01196),"")</f>
        <v>0.19136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85.303030303030297</v>
      </c>
      <c r="BN515" s="64">
        <f t="shared" si="65"/>
        <v>90.08</v>
      </c>
      <c r="BO515" s="64">
        <f t="shared" si="66"/>
        <v>0.14568764568764569</v>
      </c>
      <c r="BP515" s="64">
        <f t="shared" si="67"/>
        <v>0.15384615384615385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39.015151515151516</v>
      </c>
      <c r="Y520" s="629">
        <f>IFERROR(Y513/H513,"0")+IFERROR(Y514/H514,"0")+IFERROR(Y515/H515,"0")+IFERROR(Y516/H516,"0")+IFERROR(Y517/H517,"0")+IFERROR(Y518/H518,"0")+IFERROR(Y519/H519,"0")</f>
        <v>40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0.47840000000000005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206</v>
      </c>
      <c r="Y521" s="629">
        <f>IFERROR(SUM(Y513:Y519),"0")</f>
        <v>211.2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14505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14596.900000000001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15277.058010469342</v>
      </c>
      <c r="Y551" s="629">
        <f>IFERROR(SUM(BN22:BN547),"0")</f>
        <v>15374.920000000002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25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15902.058010469342</v>
      </c>
      <c r="Y553" s="629">
        <f>GrossWeightTotalR+PalletQtyTotalR*25</f>
        <v>15999.920000000002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1932.8849869016535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1950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29.386590000000002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7.2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792.4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496.8</v>
      </c>
      <c r="F560" s="46">
        <f>IFERROR(Y88*1,"0")+IFERROR(Y89*1,"0")+IFERROR(Y90*1,"0")+IFERROR(Y91*1,"0")+IFERROR(Y95*1,"0")+IFERROR(Y96*1,"0")+IFERROR(Y97*1,"0")+IFERROR(Y98*1,"0")</f>
        <v>280.8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90.64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32.800000000000004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37.28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678.9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60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2330.3000000000002</v>
      </c>
      <c r="U560" s="46">
        <f>IFERROR(Y414*1,"0")+IFERROR(Y415*1,"0")+IFERROR(Y416*1,"0")</f>
        <v>275.10000000000002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3330</v>
      </c>
      <c r="W560" s="46">
        <f>IFERROR(Y451*1,"0")+IFERROR(Y452*1,"0")+IFERROR(Y456*1,"0")+IFERROR(Y460*1,"0")+IFERROR(Y461*1,"0")+IFERROR(Y462*1,"0")</f>
        <v>4569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1615.68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2"/>
        <filter val="0,83"/>
        <filter val="1 400,00"/>
        <filter val="1 932,88"/>
        <filter val="1,00"/>
        <filter val="1,25"/>
        <filter val="1,82"/>
        <filter val="10,00"/>
        <filter val="10,07"/>
        <filter val="108,00"/>
        <filter val="119,68"/>
        <filter val="12,00"/>
        <filter val="126,00"/>
        <filter val="130,48"/>
        <filter val="134,00"/>
        <filter val="14 505,00"/>
        <filter val="14,00"/>
        <filter val="140,00"/>
        <filter val="15 277,06"/>
        <filter val="15 902,06"/>
        <filter val="15,00"/>
        <filter val="151,00"/>
        <filter val="16,00"/>
        <filter val="16,07"/>
        <filter val="165,00"/>
        <filter val="173,00"/>
        <filter val="2 103,00"/>
        <filter val="2,00"/>
        <filter val="206,00"/>
        <filter val="21,00"/>
        <filter val="211,00"/>
        <filter val="22,22"/>
        <filter val="24,17"/>
        <filter val="25"/>
        <filter val="25,00"/>
        <filter val="25,19"/>
        <filter val="265,15"/>
        <filter val="269,62"/>
        <filter val="272,00"/>
        <filter val="274,00"/>
        <filter val="285,00"/>
        <filter val="3 165,00"/>
        <filter val="3,33"/>
        <filter val="302,00"/>
        <filter val="34,00"/>
        <filter val="366,00"/>
        <filter val="39,02"/>
        <filter val="4 509,00"/>
        <filter val="4 569,00"/>
        <filter val="4,07"/>
        <filter val="4,20"/>
        <filter val="44,00"/>
        <filter val="45,74"/>
        <filter val="494,00"/>
        <filter val="5,00"/>
        <filter val="50,00"/>
        <filter val="526,00"/>
        <filter val="58,00"/>
        <filter val="6,00"/>
        <filter val="6,67"/>
        <filter val="60,00"/>
        <filter val="65,00"/>
        <filter val="69,00"/>
        <filter val="7,14"/>
        <filter val="72,22"/>
        <filter val="75,54"/>
        <filter val="775,00"/>
        <filter val="789,00"/>
        <filter val="80,00"/>
        <filter val="9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