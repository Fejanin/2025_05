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1107C1-4028-4A42-877D-724C0529132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O437" i="2"/>
  <c r="BM437" i="2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BN426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N414" i="2" s="1"/>
  <c r="P414" i="2"/>
  <c r="BO413" i="2"/>
  <c r="BM413" i="2"/>
  <c r="Z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P402" i="2" s="1"/>
  <c r="P402" i="2"/>
  <c r="BO401" i="2"/>
  <c r="BM401" i="2"/>
  <c r="Y401" i="2"/>
  <c r="Z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Y392" i="2"/>
  <c r="Z392" i="2" s="1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P371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M317" i="2"/>
  <c r="Y317" i="2"/>
  <c r="BP317" i="2" s="1"/>
  <c r="P317" i="2"/>
  <c r="BP316" i="2"/>
  <c r="BO316" i="2"/>
  <c r="BM316" i="2"/>
  <c r="Y316" i="2"/>
  <c r="BN316" i="2" s="1"/>
  <c r="BO315" i="2"/>
  <c r="BM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BP312" i="2" s="1"/>
  <c r="BO311" i="2"/>
  <c r="BM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Z304" i="2" s="1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79" i="2"/>
  <c r="X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P112" i="2"/>
  <c r="BO111" i="2"/>
  <c r="BM111" i="2"/>
  <c r="Y111" i="2"/>
  <c r="BN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190" i="2" l="1"/>
  <c r="BN402" i="2"/>
  <c r="BN107" i="2"/>
  <c r="Z113" i="2"/>
  <c r="Y428" i="2"/>
  <c r="Z136" i="2"/>
  <c r="Z183" i="2"/>
  <c r="Z189" i="2"/>
  <c r="Z229" i="2"/>
  <c r="Z414" i="2"/>
  <c r="BP414" i="2"/>
  <c r="Z451" i="2"/>
  <c r="Z493" i="2"/>
  <c r="Y24" i="2"/>
  <c r="Z106" i="2"/>
  <c r="Z159" i="2"/>
  <c r="Z190" i="2"/>
  <c r="Z206" i="2"/>
  <c r="Z233" i="2"/>
  <c r="Z236" i="2"/>
  <c r="Z283" i="2"/>
  <c r="Z299" i="2"/>
  <c r="Y398" i="2"/>
  <c r="Z402" i="2"/>
  <c r="Z107" i="2"/>
  <c r="Z251" i="2"/>
  <c r="Z300" i="2"/>
  <c r="Y335" i="2"/>
  <c r="U512" i="2"/>
  <c r="Z411" i="2"/>
  <c r="Y427" i="2"/>
  <c r="BN23" i="2"/>
  <c r="BN28" i="2"/>
  <c r="Z30" i="2"/>
  <c r="Z31" i="2"/>
  <c r="BN31" i="2"/>
  <c r="Z67" i="2"/>
  <c r="BN67" i="2"/>
  <c r="Z90" i="2"/>
  <c r="BN98" i="2"/>
  <c r="BP106" i="2"/>
  <c r="Z111" i="2"/>
  <c r="Y115" i="2"/>
  <c r="Z121" i="2"/>
  <c r="Z140" i="2"/>
  <c r="Z146" i="2"/>
  <c r="BP182" i="2"/>
  <c r="BN185" i="2"/>
  <c r="BP189" i="2"/>
  <c r="Z196" i="2"/>
  <c r="Z212" i="2"/>
  <c r="Z222" i="2"/>
  <c r="BN222" i="2"/>
  <c r="Z240" i="2"/>
  <c r="Z248" i="2"/>
  <c r="BN248" i="2"/>
  <c r="BP251" i="2"/>
  <c r="Y257" i="2"/>
  <c r="Z267" i="2"/>
  <c r="BN267" i="2"/>
  <c r="BP277" i="2"/>
  <c r="Z285" i="2"/>
  <c r="BN285" i="2"/>
  <c r="BP299" i="2"/>
  <c r="Y307" i="2"/>
  <c r="Z311" i="2"/>
  <c r="BN314" i="2"/>
  <c r="Z315" i="2"/>
  <c r="Z317" i="2"/>
  <c r="BN317" i="2"/>
  <c r="BN331" i="2"/>
  <c r="Z333" i="2"/>
  <c r="Z352" i="2"/>
  <c r="BN352" i="2"/>
  <c r="Z372" i="2"/>
  <c r="Y387" i="2"/>
  <c r="Y404" i="2"/>
  <c r="BP401" i="2"/>
  <c r="Z409" i="2"/>
  <c r="BP413" i="2"/>
  <c r="Z437" i="2"/>
  <c r="Z438" i="2" s="1"/>
  <c r="BN437" i="2"/>
  <c r="BP437" i="2"/>
  <c r="BN481" i="2"/>
  <c r="BP30" i="2"/>
  <c r="BP90" i="2"/>
  <c r="BN104" i="2"/>
  <c r="Y143" i="2"/>
  <c r="BN187" i="2"/>
  <c r="BP212" i="2"/>
  <c r="BN231" i="2"/>
  <c r="BP240" i="2"/>
  <c r="Y301" i="2"/>
  <c r="BP315" i="2"/>
  <c r="BN327" i="2"/>
  <c r="BP333" i="2"/>
  <c r="BN358" i="2"/>
  <c r="BN400" i="2"/>
  <c r="BN412" i="2"/>
  <c r="BN416" i="2"/>
  <c r="BN449" i="2"/>
  <c r="BN459" i="2"/>
  <c r="BN468" i="2"/>
  <c r="Y486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Z422" i="2" s="1"/>
  <c r="Y434" i="2"/>
  <c r="Z446" i="2"/>
  <c r="Z466" i="2"/>
  <c r="Y495" i="2"/>
  <c r="K512" i="2"/>
  <c r="Y70" i="2"/>
  <c r="Z77" i="2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Z478" i="2" s="1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Z198" i="2" s="1"/>
  <c r="Y209" i="2"/>
  <c r="Z218" i="2"/>
  <c r="Z228" i="2"/>
  <c r="Y269" i="2"/>
  <c r="Z305" i="2"/>
  <c r="Z306" i="2" s="1"/>
  <c r="Z346" i="2"/>
  <c r="Z381" i="2"/>
  <c r="Z383" i="2" s="1"/>
  <c r="BN408" i="2"/>
  <c r="Z416" i="2"/>
  <c r="Z452" i="2"/>
  <c r="Z499" i="2"/>
  <c r="Z500" i="2" s="1"/>
  <c r="Y214" i="2"/>
  <c r="Y286" i="2"/>
  <c r="S512" i="2"/>
  <c r="BN218" i="2"/>
  <c r="BN228" i="2"/>
  <c r="Z241" i="2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9" i="2"/>
  <c r="Y74" i="2"/>
  <c r="Z131" i="2"/>
  <c r="Z132" i="2" s="1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78" i="2" l="1"/>
  <c r="Z242" i="2"/>
  <c r="Z79" i="2"/>
  <c r="Z403" i="2"/>
  <c r="Z301" i="2"/>
  <c r="Z335" i="2"/>
  <c r="Z63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<sst xmlns="http://schemas.openxmlformats.org/spreadsheetml/2006/main" count="3742" uniqueCount="803">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</sst>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2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72" t="s">
        <v>26</v>
      </c>
      <c r="E1" s="572"/>
      <c r="F1" s="572"/>
      <c r="G1" s="14" t="s">
        <v>67</v>
      </c>
      <c r="H1" s="572" t="s">
        <v>47</v>
      </c>
      <c r="I1" s="572"/>
      <c r="J1" s="572"/>
      <c r="K1" s="572"/>
      <c r="L1" s="572"/>
      <c r="M1" s="572"/>
      <c r="N1" s="572"/>
      <c r="O1" s="572"/>
      <c r="P1" s="572"/>
      <c r="Q1" s="572"/>
      <c r="R1" s="573" t="s">
        <v>68</v>
      </c>
      <c r="S1" s="574"/>
      <c r="T1" s="5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5"/>
      <c r="R2" s="575"/>
      <c r="S2" s="575"/>
      <c r="T2" s="575"/>
      <c r="U2" s="575"/>
      <c r="V2" s="575"/>
      <c r="W2" s="5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5"/>
      <c r="Q3" s="575"/>
      <c r="R3" s="575"/>
      <c r="S3" s="575"/>
      <c r="T3" s="575"/>
      <c r="U3" s="575"/>
      <c r="V3" s="575"/>
      <c r="W3" s="5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76" t="s">
        <v>8</v>
      </c>
      <c r="B5" s="576"/>
      <c r="C5" s="576"/>
      <c r="D5" s="577"/>
      <c r="E5" s="577"/>
      <c r="F5" s="578" t="s">
        <v>14</v>
      </c>
      <c r="G5" s="578"/>
      <c r="H5" s="577" t="s">
        <v>802</v>
      </c>
      <c r="I5" s="577"/>
      <c r="J5" s="577"/>
      <c r="K5" s="577"/>
      <c r="L5" s="577"/>
      <c r="M5" s="577"/>
      <c r="N5" s="72"/>
      <c r="P5" s="27" t="s">
        <v>4</v>
      </c>
      <c r="Q5" s="579">
        <v>46229</v>
      </c>
      <c r="R5" s="579"/>
      <c r="T5" s="580" t="s">
        <v>3</v>
      </c>
      <c r="U5" s="581"/>
      <c r="V5" s="582" t="s">
        <v>783</v>
      </c>
      <c r="W5" s="583"/>
      <c r="AB5" s="59"/>
      <c r="AC5" s="59"/>
      <c r="AD5" s="59"/>
      <c r="AE5" s="59"/>
    </row>
    <row r="6" spans="1:32" s="17" customFormat="1" ht="24" customHeight="1" x14ac:dyDescent="0.2">
      <c r="A6" s="576" t="s">
        <v>1</v>
      </c>
      <c r="B6" s="576"/>
      <c r="C6" s="576"/>
      <c r="D6" s="584" t="s">
        <v>784</v>
      </c>
      <c r="E6" s="584"/>
      <c r="F6" s="584"/>
      <c r="G6" s="584"/>
      <c r="H6" s="584"/>
      <c r="I6" s="584"/>
      <c r="J6" s="584"/>
      <c r="K6" s="584"/>
      <c r="L6" s="584"/>
      <c r="M6" s="584"/>
      <c r="N6" s="73"/>
      <c r="P6" s="27" t="s">
        <v>27</v>
      </c>
      <c r="Q6" s="585" t="str">
        <f>IF(Q5=0," ",CHOOSE(WEEKDAY(Q5,2),"Понедельник","Вторник","Среда","Четверг","Пятница","Суббота","Воскресенье"))</f>
        <v>Воскресенье</v>
      </c>
      <c r="R6" s="585"/>
      <c r="T6" s="586" t="s">
        <v>5</v>
      </c>
      <c r="U6" s="587"/>
      <c r="V6" s="588" t="s">
        <v>70</v>
      </c>
      <c r="W6" s="58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4" t="str">
        <f>IFERROR(VLOOKUP(DeliveryAddress,Table,3,0),1)</f>
        <v>1</v>
      </c>
      <c r="E7" s="595"/>
      <c r="F7" s="595"/>
      <c r="G7" s="595"/>
      <c r="H7" s="595"/>
      <c r="I7" s="595"/>
      <c r="J7" s="595"/>
      <c r="K7" s="595"/>
      <c r="L7" s="595"/>
      <c r="M7" s="596"/>
      <c r="N7" s="74"/>
      <c r="P7" s="29"/>
      <c r="Q7" s="48"/>
      <c r="R7" s="48"/>
      <c r="T7" s="586"/>
      <c r="U7" s="587"/>
      <c r="V7" s="590"/>
      <c r="W7" s="591"/>
      <c r="AB7" s="59"/>
      <c r="AC7" s="59"/>
      <c r="AD7" s="59"/>
      <c r="AE7" s="59"/>
    </row>
    <row r="8" spans="1:32" s="17" customFormat="1" ht="25.5" customHeight="1" x14ac:dyDescent="0.2">
      <c r="A8" s="597" t="s">
        <v>58</v>
      </c>
      <c r="B8" s="597"/>
      <c r="C8" s="597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75"/>
      <c r="P8" s="27" t="s">
        <v>11</v>
      </c>
      <c r="Q8" s="599">
        <v>0.375</v>
      </c>
      <c r="R8" s="599"/>
      <c r="T8" s="586"/>
      <c r="U8" s="587"/>
      <c r="V8" s="590"/>
      <c r="W8" s="591"/>
      <c r="AB8" s="59"/>
      <c r="AC8" s="59"/>
      <c r="AD8" s="59"/>
      <c r="AE8" s="59"/>
    </row>
    <row r="9" spans="1:32" s="17" customFormat="1" ht="39.950000000000003" customHeight="1" x14ac:dyDescent="0.2">
      <c r="A9" s="6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0"/>
      <c r="C9" s="600"/>
      <c r="D9" s="601" t="s">
        <v>46</v>
      </c>
      <c r="E9" s="602"/>
      <c r="F9" s="6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0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86"/>
      <c r="U9" s="587"/>
      <c r="V9" s="592"/>
      <c r="W9" s="59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0"/>
      <c r="C10" s="600"/>
      <c r="D10" s="601"/>
      <c r="E10" s="602"/>
      <c r="F10" s="6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0"/>
      <c r="H10" s="605" t="str">
        <f>IFERROR(VLOOKUP($D$10,Proxy,2,FALSE),"")</f>
        <v/>
      </c>
      <c r="I10" s="605"/>
      <c r="J10" s="605"/>
      <c r="K10" s="605"/>
      <c r="L10" s="605"/>
      <c r="M10" s="605"/>
      <c r="N10" s="71"/>
      <c r="P10" s="31" t="s">
        <v>32</v>
      </c>
      <c r="Q10" s="606"/>
      <c r="R10" s="606"/>
      <c r="U10" s="29" t="s">
        <v>12</v>
      </c>
      <c r="V10" s="607" t="s">
        <v>71</v>
      </c>
      <c r="W10" s="60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9"/>
      <c r="R11" s="609"/>
      <c r="U11" s="29" t="s">
        <v>28</v>
      </c>
      <c r="V11" s="610" t="s">
        <v>55</v>
      </c>
      <c r="W11" s="61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11" t="s">
        <v>72</v>
      </c>
      <c r="B12" s="611"/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76"/>
      <c r="P12" s="27" t="s">
        <v>30</v>
      </c>
      <c r="Q12" s="599"/>
      <c r="R12" s="599"/>
      <c r="S12" s="28"/>
      <c r="T12"/>
      <c r="U12" s="29" t="s">
        <v>46</v>
      </c>
      <c r="V12" s="612"/>
      <c r="W12" s="612"/>
      <c r="X12"/>
      <c r="AB12" s="59"/>
      <c r="AC12" s="59"/>
      <c r="AD12" s="59"/>
      <c r="AE12" s="59"/>
    </row>
    <row r="13" spans="1:32" s="17" customFormat="1" ht="23.25" customHeight="1" x14ac:dyDescent="0.2">
      <c r="A13" s="611" t="s">
        <v>73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76"/>
      <c r="O13" s="31"/>
      <c r="P13" s="31" t="s">
        <v>31</v>
      </c>
      <c r="Q13" s="610"/>
      <c r="R13" s="61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11" t="s">
        <v>74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13" t="s">
        <v>75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613"/>
      <c r="N15" s="77"/>
      <c r="O15"/>
      <c r="P15" s="614" t="s">
        <v>61</v>
      </c>
      <c r="Q15" s="614"/>
      <c r="R15" s="614"/>
      <c r="S15" s="614"/>
      <c r="T15" s="6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5"/>
      <c r="Q16" s="615"/>
      <c r="R16" s="615"/>
      <c r="S16" s="615"/>
      <c r="T16" s="6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8" t="s">
        <v>59</v>
      </c>
      <c r="B17" s="618" t="s">
        <v>49</v>
      </c>
      <c r="C17" s="620" t="s">
        <v>48</v>
      </c>
      <c r="D17" s="622" t="s">
        <v>50</v>
      </c>
      <c r="E17" s="623"/>
      <c r="F17" s="618" t="s">
        <v>21</v>
      </c>
      <c r="G17" s="618" t="s">
        <v>24</v>
      </c>
      <c r="H17" s="618" t="s">
        <v>22</v>
      </c>
      <c r="I17" s="618" t="s">
        <v>23</v>
      </c>
      <c r="J17" s="618" t="s">
        <v>16</v>
      </c>
      <c r="K17" s="618" t="s">
        <v>66</v>
      </c>
      <c r="L17" s="618" t="s">
        <v>64</v>
      </c>
      <c r="M17" s="618" t="s">
        <v>2</v>
      </c>
      <c r="N17" s="618" t="s">
        <v>63</v>
      </c>
      <c r="O17" s="618" t="s">
        <v>25</v>
      </c>
      <c r="P17" s="622" t="s">
        <v>17</v>
      </c>
      <c r="Q17" s="626"/>
      <c r="R17" s="626"/>
      <c r="S17" s="626"/>
      <c r="T17" s="623"/>
      <c r="U17" s="616" t="s">
        <v>56</v>
      </c>
      <c r="V17" s="617"/>
      <c r="W17" s="618" t="s">
        <v>6</v>
      </c>
      <c r="X17" s="618" t="s">
        <v>41</v>
      </c>
      <c r="Y17" s="628" t="s">
        <v>54</v>
      </c>
      <c r="Z17" s="630" t="s">
        <v>18</v>
      </c>
      <c r="AA17" s="632" t="s">
        <v>60</v>
      </c>
      <c r="AB17" s="632" t="s">
        <v>19</v>
      </c>
      <c r="AC17" s="632" t="s">
        <v>65</v>
      </c>
      <c r="AD17" s="634" t="s">
        <v>57</v>
      </c>
      <c r="AE17" s="635"/>
      <c r="AF17" s="636"/>
      <c r="AG17" s="82"/>
      <c r="BD17" s="81" t="s">
        <v>62</v>
      </c>
    </row>
    <row r="18" spans="1:68" ht="14.25" customHeight="1" x14ac:dyDescent="0.2">
      <c r="A18" s="619"/>
      <c r="B18" s="619"/>
      <c r="C18" s="621"/>
      <c r="D18" s="624"/>
      <c r="E18" s="625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24"/>
      <c r="Q18" s="627"/>
      <c r="R18" s="627"/>
      <c r="S18" s="627"/>
      <c r="T18" s="625"/>
      <c r="U18" s="83" t="s">
        <v>44</v>
      </c>
      <c r="V18" s="83" t="s">
        <v>43</v>
      </c>
      <c r="W18" s="619"/>
      <c r="X18" s="619"/>
      <c r="Y18" s="629"/>
      <c r="Z18" s="631"/>
      <c r="AA18" s="633"/>
      <c r="AB18" s="633"/>
      <c r="AC18" s="633"/>
      <c r="AD18" s="637"/>
      <c r="AE18" s="638"/>
      <c r="AF18" s="639"/>
      <c r="AG18" s="82"/>
      <c r="BD18" s="81"/>
    </row>
    <row r="19" spans="1:68" ht="27.75" hidden="1" customHeight="1" x14ac:dyDescent="0.2">
      <c r="A19" s="640" t="s">
        <v>76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54"/>
      <c r="AB19" s="54"/>
      <c r="AC19" s="54"/>
    </row>
    <row r="20" spans="1:68" ht="16.5" hidden="1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5"/>
      <c r="AB20" s="65"/>
      <c r="AC20" s="79"/>
    </row>
    <row r="21" spans="1:68" ht="14.25" hidden="1" customHeight="1" x14ac:dyDescent="0.25">
      <c r="A21" s="642" t="s">
        <v>77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4301031446</v>
      </c>
      <c r="D22" s="643">
        <v>4680115887510</v>
      </c>
      <c r="E22" s="64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5"/>
      <c r="R22" s="645"/>
      <c r="S22" s="645"/>
      <c r="T22" s="64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4301031278</v>
      </c>
      <c r="D23" s="643">
        <v>4680115886643</v>
      </c>
      <c r="E23" s="64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5"/>
      <c r="R23" s="645"/>
      <c r="S23" s="645"/>
      <c r="T23" s="64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42" t="s">
        <v>87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6"/>
      <c r="AB26" s="66"/>
      <c r="AC26" s="80"/>
    </row>
    <row r="27" spans="1:68" ht="27" hidden="1" customHeight="1" x14ac:dyDescent="0.25">
      <c r="A27" s="63" t="s">
        <v>88</v>
      </c>
      <c r="B27" s="63" t="s">
        <v>89</v>
      </c>
      <c r="C27" s="36">
        <v>4301051866</v>
      </c>
      <c r="D27" s="643">
        <v>4680115885912</v>
      </c>
      <c r="E27" s="64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6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5"/>
      <c r="R27" s="645"/>
      <c r="S27" s="645"/>
      <c r="T27" s="64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43">
        <v>4607091388237</v>
      </c>
      <c r="E28" s="64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6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5"/>
      <c r="R28" s="645"/>
      <c r="S28" s="645"/>
      <c r="T28" s="64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43">
        <v>4680115887350</v>
      </c>
      <c r="E29" s="64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6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5"/>
      <c r="R29" s="645"/>
      <c r="S29" s="645"/>
      <c r="T29" s="64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43">
        <v>4680115885905</v>
      </c>
      <c r="E30" s="64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5"/>
      <c r="R30" s="645"/>
      <c r="S30" s="645"/>
      <c r="T30" s="64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43">
        <v>4680115887657</v>
      </c>
      <c r="E31" s="64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65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5"/>
      <c r="R31" s="645"/>
      <c r="S31" s="645"/>
      <c r="T31" s="64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4301052197</v>
      </c>
      <c r="D32" s="643">
        <v>4680115888326</v>
      </c>
      <c r="E32" s="64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658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5"/>
      <c r="R32" s="645"/>
      <c r="S32" s="645"/>
      <c r="T32" s="64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hidden="1" customHeight="1" x14ac:dyDescent="0.25">
      <c r="A33" s="63" t="s">
        <v>107</v>
      </c>
      <c r="B33" s="63" t="s">
        <v>108</v>
      </c>
      <c r="C33" s="36">
        <v>4301052071</v>
      </c>
      <c r="D33" s="643">
        <v>4680115887619</v>
      </c>
      <c r="E33" s="643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5"/>
      <c r="R33" s="645"/>
      <c r="S33" s="645"/>
      <c r="T33" s="64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idden="1" x14ac:dyDescent="0.2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2"/>
      <c r="P34" s="648" t="s">
        <v>40</v>
      </c>
      <c r="Q34" s="649"/>
      <c r="R34" s="649"/>
      <c r="S34" s="649"/>
      <c r="T34" s="649"/>
      <c r="U34" s="649"/>
      <c r="V34" s="650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hidden="1" x14ac:dyDescent="0.2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2"/>
      <c r="P35" s="648" t="s">
        <v>40</v>
      </c>
      <c r="Q35" s="649"/>
      <c r="R35" s="649"/>
      <c r="S35" s="649"/>
      <c r="T35" s="649"/>
      <c r="U35" s="649"/>
      <c r="V35" s="650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hidden="1" customHeight="1" x14ac:dyDescent="0.25">
      <c r="A36" s="642" t="s">
        <v>110</v>
      </c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6"/>
      <c r="AB36" s="66"/>
      <c r="AC36" s="80"/>
    </row>
    <row r="37" spans="1:68" ht="27" hidden="1" customHeight="1" x14ac:dyDescent="0.25">
      <c r="A37" s="63" t="s">
        <v>111</v>
      </c>
      <c r="B37" s="63" t="s">
        <v>112</v>
      </c>
      <c r="C37" s="36">
        <v>4301032013</v>
      </c>
      <c r="D37" s="643">
        <v>4607091388503</v>
      </c>
      <c r="E37" s="643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5"/>
      <c r="R37" s="645"/>
      <c r="S37" s="645"/>
      <c r="T37" s="64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idden="1" x14ac:dyDescent="0.2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2"/>
      <c r="P38" s="648" t="s">
        <v>40</v>
      </c>
      <c r="Q38" s="649"/>
      <c r="R38" s="649"/>
      <c r="S38" s="649"/>
      <c r="T38" s="649"/>
      <c r="U38" s="649"/>
      <c r="V38" s="650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hidden="1" x14ac:dyDescent="0.2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2"/>
      <c r="P39" s="648" t="s">
        <v>40</v>
      </c>
      <c r="Q39" s="649"/>
      <c r="R39" s="649"/>
      <c r="S39" s="649"/>
      <c r="T39" s="649"/>
      <c r="U39" s="649"/>
      <c r="V39" s="650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hidden="1" customHeight="1" x14ac:dyDescent="0.2">
      <c r="A40" s="640" t="s">
        <v>45</v>
      </c>
      <c r="B40" s="640"/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54"/>
      <c r="AB40" s="54"/>
      <c r="AC40" s="54"/>
    </row>
    <row r="41" spans="1:68" ht="16.5" hidden="1" customHeight="1" x14ac:dyDescent="0.25">
      <c r="A41" s="641" t="s">
        <v>116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5"/>
      <c r="AB41" s="65"/>
      <c r="AC41" s="79"/>
    </row>
    <row r="42" spans="1:68" ht="14.25" hidden="1" customHeight="1" x14ac:dyDescent="0.25">
      <c r="A42" s="642" t="s">
        <v>87</v>
      </c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6"/>
      <c r="AB42" s="66"/>
      <c r="AC42" s="80"/>
    </row>
    <row r="43" spans="1:68" ht="27" hidden="1" customHeight="1" x14ac:dyDescent="0.25">
      <c r="A43" s="63" t="s">
        <v>117</v>
      </c>
      <c r="B43" s="63" t="s">
        <v>118</v>
      </c>
      <c r="C43" s="36">
        <v>4301052184</v>
      </c>
      <c r="D43" s="643">
        <v>4680115888272</v>
      </c>
      <c r="E43" s="64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6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5"/>
      <c r="R43" s="645"/>
      <c r="S43" s="645"/>
      <c r="T43" s="646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idden="1" x14ac:dyDescent="0.2">
      <c r="A44" s="651"/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2"/>
      <c r="P44" s="648" t="s">
        <v>40</v>
      </c>
      <c r="Q44" s="649"/>
      <c r="R44" s="649"/>
      <c r="S44" s="649"/>
      <c r="T44" s="649"/>
      <c r="U44" s="649"/>
      <c r="V44" s="650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hidden="1" x14ac:dyDescent="0.2">
      <c r="A45" s="651"/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2"/>
      <c r="P45" s="648" t="s">
        <v>40</v>
      </c>
      <c r="Q45" s="649"/>
      <c r="R45" s="649"/>
      <c r="S45" s="649"/>
      <c r="T45" s="649"/>
      <c r="U45" s="649"/>
      <c r="V45" s="650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hidden="1" customHeight="1" x14ac:dyDescent="0.2">
      <c r="A46" s="640" t="s">
        <v>120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54"/>
      <c r="AB46" s="54"/>
      <c r="AC46" s="54"/>
    </row>
    <row r="47" spans="1:68" ht="16.5" hidden="1" customHeight="1" x14ac:dyDescent="0.25">
      <c r="A47" s="641" t="s">
        <v>121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5"/>
      <c r="AB47" s="65"/>
      <c r="AC47" s="79"/>
    </row>
    <row r="48" spans="1:68" ht="14.25" hidden="1" customHeight="1" x14ac:dyDescent="0.25">
      <c r="A48" s="642" t="s">
        <v>122</v>
      </c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643">
        <v>4607091385670</v>
      </c>
      <c r="E49" s="643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645"/>
      <c r="R49" s="645"/>
      <c r="S49" s="645"/>
      <c r="T49" s="646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21.6</v>
      </c>
      <c r="Z49" s="41">
        <f>IFERROR(IF(Y49=0,"",ROUNDUP(Y49/H49,0)*0.01898),"")</f>
        <v>3.7960000000000001E-2</v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20.75925925925926</v>
      </c>
      <c r="BN49" s="78">
        <f>IFERROR(Y49*I49/H49,"0")</f>
        <v>22.42</v>
      </c>
      <c r="BO49" s="78">
        <f>IFERROR(1/J49*(X49/H49),"0")</f>
        <v>2.8935185185185182E-2</v>
      </c>
      <c r="BP49" s="78">
        <f>IFERROR(1/J49*(Y49/H49),"0")</f>
        <v>3.125E-2</v>
      </c>
    </row>
    <row r="50" spans="1:68" ht="27" hidden="1" customHeight="1" x14ac:dyDescent="0.25">
      <c r="A50" s="63" t="s">
        <v>128</v>
      </c>
      <c r="B50" s="63" t="s">
        <v>129</v>
      </c>
      <c r="C50" s="36">
        <v>4301012053</v>
      </c>
      <c r="D50" s="643">
        <v>4680115887725</v>
      </c>
      <c r="E50" s="643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6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645"/>
      <c r="R50" s="645"/>
      <c r="S50" s="645"/>
      <c r="T50" s="64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132</v>
      </c>
      <c r="B51" s="63" t="s">
        <v>133</v>
      </c>
      <c r="C51" s="36">
        <v>4301011382</v>
      </c>
      <c r="D51" s="643">
        <v>4607091385687</v>
      </c>
      <c r="E51" s="643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6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645"/>
      <c r="R51" s="645"/>
      <c r="S51" s="645"/>
      <c r="T51" s="64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4301011565</v>
      </c>
      <c r="D52" s="643">
        <v>4680115882539</v>
      </c>
      <c r="E52" s="643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6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645"/>
      <c r="R52" s="645"/>
      <c r="S52" s="645"/>
      <c r="T52" s="64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">
      <c r="A53" s="651"/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2"/>
      <c r="P53" s="648" t="s">
        <v>40</v>
      </c>
      <c r="Q53" s="649"/>
      <c r="R53" s="649"/>
      <c r="S53" s="649"/>
      <c r="T53" s="649"/>
      <c r="U53" s="649"/>
      <c r="V53" s="650"/>
      <c r="W53" s="42" t="s">
        <v>39</v>
      </c>
      <c r="X53" s="43">
        <f>IFERROR(X49/H49,"0")+IFERROR(X50/H50,"0")+IFERROR(X51/H51,"0")+IFERROR(X52/H52,"0")</f>
        <v>1.8518518518518516</v>
      </c>
      <c r="Y53" s="43">
        <f>IFERROR(Y49/H49,"0")+IFERROR(Y50/H50,"0")+IFERROR(Y51/H51,"0")+IFERROR(Y52/H52,"0")</f>
        <v>2</v>
      </c>
      <c r="Z53" s="43">
        <f>IFERROR(IF(Z49="",0,Z49),"0")+IFERROR(IF(Z50="",0,Z50),"0")+IFERROR(IF(Z51="",0,Z51),"0")+IFERROR(IF(Z52="",0,Z52),"0")</f>
        <v>3.7960000000000001E-2</v>
      </c>
      <c r="AA53" s="67"/>
      <c r="AB53" s="67"/>
      <c r="AC53" s="67"/>
    </row>
    <row r="54" spans="1:68" x14ac:dyDescent="0.2">
      <c r="A54" s="651"/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2"/>
      <c r="P54" s="648" t="s">
        <v>40</v>
      </c>
      <c r="Q54" s="649"/>
      <c r="R54" s="649"/>
      <c r="S54" s="649"/>
      <c r="T54" s="649"/>
      <c r="U54" s="649"/>
      <c r="V54" s="650"/>
      <c r="W54" s="42" t="s">
        <v>0</v>
      </c>
      <c r="X54" s="43">
        <f>IFERROR(SUM(X49:X52),"0")</f>
        <v>20</v>
      </c>
      <c r="Y54" s="43">
        <f>IFERROR(SUM(Y49:Y52),"0")</f>
        <v>21.6</v>
      </c>
      <c r="Z54" s="42"/>
      <c r="AA54" s="67"/>
      <c r="AB54" s="67"/>
      <c r="AC54" s="67"/>
    </row>
    <row r="55" spans="1:68" ht="16.5" hidden="1" customHeight="1" x14ac:dyDescent="0.25">
      <c r="A55" s="641" t="s">
        <v>137</v>
      </c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5"/>
      <c r="AB55" s="65"/>
      <c r="AC55" s="79"/>
    </row>
    <row r="56" spans="1:68" ht="14.25" hidden="1" customHeight="1" x14ac:dyDescent="0.25">
      <c r="A56" s="642" t="s">
        <v>122</v>
      </c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6"/>
      <c r="AB56" s="66"/>
      <c r="AC56" s="80"/>
    </row>
    <row r="57" spans="1:68" ht="27" hidden="1" customHeight="1" x14ac:dyDescent="0.25">
      <c r="A57" s="63" t="s">
        <v>138</v>
      </c>
      <c r="B57" s="63" t="s">
        <v>139</v>
      </c>
      <c r="C57" s="36">
        <v>4301012030</v>
      </c>
      <c r="D57" s="643">
        <v>4680115885882</v>
      </c>
      <c r="E57" s="643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645"/>
      <c r="R57" s="645"/>
      <c r="S57" s="645"/>
      <c r="T57" s="64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643">
        <v>4680115881426</v>
      </c>
      <c r="E58" s="643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645"/>
      <c r="R58" s="645"/>
      <c r="S58" s="645"/>
      <c r="T58" s="646"/>
      <c r="U58" s="39" t="s">
        <v>46</v>
      </c>
      <c r="V58" s="39" t="s">
        <v>46</v>
      </c>
      <c r="W58" s="40" t="s">
        <v>0</v>
      </c>
      <c r="X58" s="58">
        <v>80</v>
      </c>
      <c r="Y58" s="55">
        <f t="shared" si="6"/>
        <v>86.4</v>
      </c>
      <c r="Z58" s="41">
        <f>IFERROR(IF(Y58=0,"",ROUNDUP(Y58/H58,0)*0.01898),"")</f>
        <v>0.15184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83.037037037037038</v>
      </c>
      <c r="BN58" s="78">
        <f t="shared" si="8"/>
        <v>89.68</v>
      </c>
      <c r="BO58" s="78">
        <f t="shared" si="9"/>
        <v>0.11574074074074073</v>
      </c>
      <c r="BP58" s="78">
        <f t="shared" si="10"/>
        <v>0.125</v>
      </c>
    </row>
    <row r="59" spans="1:68" ht="27" hidden="1" customHeight="1" x14ac:dyDescent="0.25">
      <c r="A59" s="63" t="s">
        <v>144</v>
      </c>
      <c r="B59" s="63" t="s">
        <v>145</v>
      </c>
      <c r="C59" s="36">
        <v>4301011386</v>
      </c>
      <c r="D59" s="643">
        <v>4680115880283</v>
      </c>
      <c r="E59" s="64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66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645"/>
      <c r="R59" s="645"/>
      <c r="S59" s="645"/>
      <c r="T59" s="64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147</v>
      </c>
      <c r="B60" s="63" t="s">
        <v>148</v>
      </c>
      <c r="C60" s="36">
        <v>4301011806</v>
      </c>
      <c r="D60" s="643">
        <v>4680115881525</v>
      </c>
      <c r="E60" s="64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6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5"/>
      <c r="R60" s="645"/>
      <c r="S60" s="645"/>
      <c r="T60" s="64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4301011589</v>
      </c>
      <c r="D61" s="643">
        <v>4680115885899</v>
      </c>
      <c r="E61" s="64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645"/>
      <c r="R61" s="645"/>
      <c r="S61" s="645"/>
      <c r="T61" s="64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643">
        <v>4680115881419</v>
      </c>
      <c r="E62" s="64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6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5"/>
      <c r="R62" s="645"/>
      <c r="S62" s="645"/>
      <c r="T62" s="646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IFERROR(X57/H57,"0")+IFERROR(X58/H58,"0")+IFERROR(X59/H59,"0")+IFERROR(X60/H60,"0")+IFERROR(X61/H61,"0")+IFERROR(X62/H62,"0")</f>
        <v>17.407407407407405</v>
      </c>
      <c r="Y63" s="43">
        <f>IFERROR(Y57/H57,"0")+IFERROR(Y58/H58,"0")+IFERROR(Y59/H59,"0")+IFERROR(Y60/H60,"0")+IFERROR(Y61/H61,"0")+IFERROR(Y62/H62,"0")</f>
        <v>18</v>
      </c>
      <c r="Z63" s="43">
        <f>IFERROR(IF(Z57="",0,Z57),"0")+IFERROR(IF(Z58="",0,Z58),"0")+IFERROR(IF(Z59="",0,Z59),"0")+IFERROR(IF(Z60="",0,Z60),"0")+IFERROR(IF(Z61="",0,Z61),"0")+IFERROR(IF(Z62="",0,Z62),"0")</f>
        <v>0.24204000000000001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IFERROR(SUM(X57:X62),"0")</f>
        <v>125</v>
      </c>
      <c r="Y64" s="43">
        <f>IFERROR(SUM(Y57:Y62),"0")</f>
        <v>131.4</v>
      </c>
      <c r="Z64" s="42"/>
      <c r="AA64" s="67"/>
      <c r="AB64" s="67"/>
      <c r="AC64" s="67"/>
    </row>
    <row r="65" spans="1:68" ht="14.25" hidden="1" customHeight="1" x14ac:dyDescent="0.25">
      <c r="A65" s="642" t="s">
        <v>156</v>
      </c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6"/>
      <c r="AB65" s="66"/>
      <c r="AC65" s="80"/>
    </row>
    <row r="66" spans="1:68" ht="16.5" hidden="1" customHeight="1" x14ac:dyDescent="0.25">
      <c r="A66" s="63" t="s">
        <v>157</v>
      </c>
      <c r="B66" s="63" t="s">
        <v>158</v>
      </c>
      <c r="C66" s="36">
        <v>4301020298</v>
      </c>
      <c r="D66" s="643">
        <v>4680115881440</v>
      </c>
      <c r="E66" s="64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5"/>
      <c r="R66" s="645"/>
      <c r="S66" s="645"/>
      <c r="T66" s="646"/>
      <c r="U66" s="39" t="s">
        <v>46</v>
      </c>
      <c r="V66" s="39" t="s">
        <v>46</v>
      </c>
      <c r="W66" s="40" t="s">
        <v>0</v>
      </c>
      <c r="X66" s="58"/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160</v>
      </c>
      <c r="B67" s="63" t="s">
        <v>161</v>
      </c>
      <c r="C67" s="36">
        <v>4301020358</v>
      </c>
      <c r="D67" s="643">
        <v>4680115885950</v>
      </c>
      <c r="E67" s="64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6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5"/>
      <c r="R67" s="645"/>
      <c r="S67" s="645"/>
      <c r="T67" s="64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162</v>
      </c>
      <c r="B68" s="63" t="s">
        <v>163</v>
      </c>
      <c r="C68" s="36">
        <v>4301020371</v>
      </c>
      <c r="D68" s="643">
        <v>4680115887688</v>
      </c>
      <c r="E68" s="64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5"/>
      <c r="R68" s="645"/>
      <c r="S68" s="645"/>
      <c r="T68" s="64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165</v>
      </c>
      <c r="B69" s="63" t="s">
        <v>166</v>
      </c>
      <c r="C69" s="36">
        <v>4301020296</v>
      </c>
      <c r="D69" s="643">
        <v>4680115881433</v>
      </c>
      <c r="E69" s="64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67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5"/>
      <c r="R69" s="645"/>
      <c r="S69" s="645"/>
      <c r="T69" s="64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42" t="s">
        <v>77</v>
      </c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6"/>
      <c r="AB72" s="66"/>
      <c r="AC72" s="80"/>
    </row>
    <row r="73" spans="1:68" ht="27" hidden="1" customHeight="1" x14ac:dyDescent="0.25">
      <c r="A73" s="63" t="s">
        <v>167</v>
      </c>
      <c r="B73" s="63" t="s">
        <v>168</v>
      </c>
      <c r="C73" s="36">
        <v>4301031316</v>
      </c>
      <c r="D73" s="643">
        <v>4680115885097</v>
      </c>
      <c r="E73" s="643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645"/>
      <c r="R73" s="645"/>
      <c r="S73" s="645"/>
      <c r="T73" s="64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hidden="1" customHeight="1" x14ac:dyDescent="0.25">
      <c r="A76" s="642" t="s">
        <v>87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6"/>
      <c r="AB76" s="66"/>
      <c r="AC76" s="80"/>
    </row>
    <row r="77" spans="1:68" ht="16.5" hidden="1" customHeight="1" x14ac:dyDescent="0.25">
      <c r="A77" s="63" t="s">
        <v>170</v>
      </c>
      <c r="B77" s="63" t="s">
        <v>171</v>
      </c>
      <c r="C77" s="36">
        <v>4301051837</v>
      </c>
      <c r="D77" s="643">
        <v>4680115884311</v>
      </c>
      <c r="E77" s="64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6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5"/>
      <c r="R77" s="645"/>
      <c r="S77" s="645"/>
      <c r="T77" s="64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174</v>
      </c>
      <c r="C78" s="36">
        <v>4301051929</v>
      </c>
      <c r="D78" s="643">
        <v>4680115884403</v>
      </c>
      <c r="E78" s="64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6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5"/>
      <c r="R78" s="645"/>
      <c r="S78" s="645"/>
      <c r="T78" s="64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51"/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2"/>
      <c r="P79" s="648" t="s">
        <v>40</v>
      </c>
      <c r="Q79" s="649"/>
      <c r="R79" s="649"/>
      <c r="S79" s="649"/>
      <c r="T79" s="649"/>
      <c r="U79" s="649"/>
      <c r="V79" s="65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42" t="s">
        <v>176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6"/>
      <c r="AB81" s="66"/>
      <c r="AC81" s="80"/>
    </row>
    <row r="82" spans="1:68" ht="27" hidden="1" customHeight="1" x14ac:dyDescent="0.25">
      <c r="A82" s="63" t="s">
        <v>177</v>
      </c>
      <c r="B82" s="63" t="s">
        <v>178</v>
      </c>
      <c r="C82" s="36">
        <v>4301060455</v>
      </c>
      <c r="D82" s="643">
        <v>4680115881532</v>
      </c>
      <c r="E82" s="64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5"/>
      <c r="R82" s="645"/>
      <c r="S82" s="645"/>
      <c r="T82" s="646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180</v>
      </c>
      <c r="B83" s="63" t="s">
        <v>181</v>
      </c>
      <c r="C83" s="36">
        <v>4301060351</v>
      </c>
      <c r="D83" s="643">
        <v>4680115881464</v>
      </c>
      <c r="E83" s="64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5"/>
      <c r="R83" s="645"/>
      <c r="S83" s="645"/>
      <c r="T83" s="64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51"/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2"/>
      <c r="P85" s="648" t="s">
        <v>40</v>
      </c>
      <c r="Q85" s="649"/>
      <c r="R85" s="649"/>
      <c r="S85" s="649"/>
      <c r="T85" s="649"/>
      <c r="U85" s="649"/>
      <c r="V85" s="650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41" t="s">
        <v>183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5"/>
      <c r="AB86" s="65"/>
      <c r="AC86" s="79"/>
    </row>
    <row r="87" spans="1:68" ht="14.25" hidden="1" customHeight="1" x14ac:dyDescent="0.25">
      <c r="A87" s="642" t="s">
        <v>122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643">
        <v>4680115881327</v>
      </c>
      <c r="E88" s="64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5"/>
      <c r="R88" s="645"/>
      <c r="S88" s="645"/>
      <c r="T88" s="646"/>
      <c r="U88" s="39" t="s">
        <v>46</v>
      </c>
      <c r="V88" s="39" t="s">
        <v>46</v>
      </c>
      <c r="W88" s="40" t="s">
        <v>0</v>
      </c>
      <c r="X88" s="58">
        <v>20</v>
      </c>
      <c r="Y88" s="55">
        <f>IFERROR(IF(X88="",0,CEILING((X88/$H88),1)*$H88),"")</f>
        <v>21.6</v>
      </c>
      <c r="Z88" s="41">
        <f>IFERROR(IF(Y88=0,"",ROUNDUP(Y88/H88,0)*0.01898),"")</f>
        <v>3.7960000000000001E-2</v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20.75925925925926</v>
      </c>
      <c r="BN88" s="78">
        <f>IFERROR(Y88*I88/H88,"0")</f>
        <v>22.42</v>
      </c>
      <c r="BO88" s="78">
        <f>IFERROR(1/J88*(X88/H88),"0")</f>
        <v>2.8935185185185182E-2</v>
      </c>
      <c r="BP88" s="78">
        <f>IFERROR(1/J88*(Y88/H88),"0")</f>
        <v>3.125E-2</v>
      </c>
    </row>
    <row r="89" spans="1:68" ht="27" hidden="1" customHeight="1" x14ac:dyDescent="0.25">
      <c r="A89" s="63" t="s">
        <v>187</v>
      </c>
      <c r="B89" s="63" t="s">
        <v>188</v>
      </c>
      <c r="C89" s="36">
        <v>4301011261</v>
      </c>
      <c r="D89" s="643">
        <v>4680115887732</v>
      </c>
      <c r="E89" s="643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5"/>
      <c r="R89" s="645"/>
      <c r="S89" s="645"/>
      <c r="T89" s="64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190</v>
      </c>
      <c r="B90" s="63" t="s">
        <v>191</v>
      </c>
      <c r="C90" s="36">
        <v>4301011476</v>
      </c>
      <c r="D90" s="643">
        <v>4680115881518</v>
      </c>
      <c r="E90" s="64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6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5"/>
      <c r="R90" s="645"/>
      <c r="S90" s="645"/>
      <c r="T90" s="64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643">
        <v>4680115881303</v>
      </c>
      <c r="E91" s="64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6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5"/>
      <c r="R91" s="645"/>
      <c r="S91" s="645"/>
      <c r="T91" s="646"/>
      <c r="U91" s="39" t="s">
        <v>46</v>
      </c>
      <c r="V91" s="39" t="s">
        <v>46</v>
      </c>
      <c r="W91" s="40" t="s">
        <v>0</v>
      </c>
      <c r="X91" s="58">
        <v>36</v>
      </c>
      <c r="Y91" s="55">
        <f>IFERROR(IF(X91="",0,CEILING((X91/$H91),1)*$H91),"")</f>
        <v>36</v>
      </c>
      <c r="Z91" s="41">
        <f>IFERROR(IF(Y91=0,"",ROUNDUP(Y91/H91,0)*0.00902),"")</f>
        <v>7.2160000000000002E-2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37.520000000000003</v>
      </c>
      <c r="BN91" s="78">
        <f>IFERROR(Y91*I91/H91,"0")</f>
        <v>37.520000000000003</v>
      </c>
      <c r="BO91" s="78">
        <f>IFERROR(1/J91*(X91/H91),"0")</f>
        <v>6.0606060606060608E-2</v>
      </c>
      <c r="BP91" s="78">
        <f>IFERROR(1/J91*(Y91/H91),"0")</f>
        <v>6.0606060606060608E-2</v>
      </c>
    </row>
    <row r="92" spans="1:68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2" t="s">
        <v>39</v>
      </c>
      <c r="X92" s="43">
        <f>IFERROR(X88/H88,"0")+IFERROR(X89/H89,"0")+IFERROR(X90/H90,"0")+IFERROR(X91/H91,"0")</f>
        <v>9.8518518518518512</v>
      </c>
      <c r="Y92" s="43">
        <f>IFERROR(Y88/H88,"0")+IFERROR(Y89/H89,"0")+IFERROR(Y90/H90,"0")+IFERROR(Y91/H91,"0")</f>
        <v>10</v>
      </c>
      <c r="Z92" s="43">
        <f>IFERROR(IF(Z88="",0,Z88),"0")+IFERROR(IF(Z89="",0,Z89),"0")+IFERROR(IF(Z90="",0,Z90),"0")+IFERROR(IF(Z91="",0,Z91),"0")</f>
        <v>0.11012</v>
      </c>
      <c r="AA92" s="67"/>
      <c r="AB92" s="67"/>
      <c r="AC92" s="67"/>
    </row>
    <row r="93" spans="1:68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2" t="s">
        <v>0</v>
      </c>
      <c r="X93" s="43">
        <f>IFERROR(SUM(X88:X91),"0")</f>
        <v>56</v>
      </c>
      <c r="Y93" s="43">
        <f>IFERROR(SUM(Y88:Y91),"0")</f>
        <v>57.6</v>
      </c>
      <c r="Z93" s="42"/>
      <c r="AA93" s="67"/>
      <c r="AB93" s="67"/>
      <c r="AC93" s="67"/>
    </row>
    <row r="94" spans="1:68" ht="14.25" hidden="1" customHeight="1" x14ac:dyDescent="0.25">
      <c r="A94" s="642" t="s">
        <v>87</v>
      </c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643">
        <v>4607091386967</v>
      </c>
      <c r="E95" s="64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5"/>
      <c r="R95" s="645"/>
      <c r="S95" s="645"/>
      <c r="T95" s="646"/>
      <c r="U95" s="39" t="s">
        <v>46</v>
      </c>
      <c r="V95" s="39" t="s">
        <v>46</v>
      </c>
      <c r="W95" s="40" t="s">
        <v>0</v>
      </c>
      <c r="X95" s="58">
        <v>8</v>
      </c>
      <c r="Y95" s="55">
        <f>IFERROR(IF(X95="",0,CEILING((X95/$H95),1)*$H95),"")</f>
        <v>8.1</v>
      </c>
      <c r="Z95" s="41">
        <f>IFERROR(IF(Y95=0,"",ROUNDUP(Y95/H95,0)*0.01898),"")</f>
        <v>1.898E-2</v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8.4879012345679019</v>
      </c>
      <c r="BN95" s="78">
        <f>IFERROR(Y95*I95/H95,"0")</f>
        <v>8.5939999999999994</v>
      </c>
      <c r="BO95" s="78">
        <f>IFERROR(1/J95*(X95/H95),"0")</f>
        <v>1.54320987654321E-2</v>
      </c>
      <c r="BP95" s="78">
        <f>IFERROR(1/J95*(Y95/H95),"0")</f>
        <v>1.5625E-2</v>
      </c>
    </row>
    <row r="96" spans="1:68" ht="27" hidden="1" customHeight="1" x14ac:dyDescent="0.25">
      <c r="A96" s="63" t="s">
        <v>197</v>
      </c>
      <c r="B96" s="63" t="s">
        <v>198</v>
      </c>
      <c r="C96" s="36">
        <v>4301051788</v>
      </c>
      <c r="D96" s="643">
        <v>4680115884953</v>
      </c>
      <c r="E96" s="64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68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5"/>
      <c r="R96" s="645"/>
      <c r="S96" s="645"/>
      <c r="T96" s="64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199</v>
      </c>
      <c r="B97" s="63" t="s">
        <v>200</v>
      </c>
      <c r="C97" s="36">
        <v>4301051718</v>
      </c>
      <c r="D97" s="643">
        <v>4607091385731</v>
      </c>
      <c r="E97" s="64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5"/>
      <c r="R97" s="645"/>
      <c r="S97" s="645"/>
      <c r="T97" s="646"/>
      <c r="U97" s="39" t="s">
        <v>46</v>
      </c>
      <c r="V97" s="39" t="s">
        <v>46</v>
      </c>
      <c r="W97" s="40" t="s">
        <v>0</v>
      </c>
      <c r="X97" s="58"/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201</v>
      </c>
      <c r="B98" s="63" t="s">
        <v>202</v>
      </c>
      <c r="C98" s="36">
        <v>4301052092</v>
      </c>
      <c r="D98" s="643">
        <v>4680115880894</v>
      </c>
      <c r="E98" s="64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688" t="s">
        <v>203</v>
      </c>
      <c r="Q98" s="645"/>
      <c r="R98" s="645"/>
      <c r="S98" s="645"/>
      <c r="T98" s="64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2" t="s">
        <v>39</v>
      </c>
      <c r="X99" s="43">
        <f>IFERROR(X95/H95,"0")+IFERROR(X96/H96,"0")+IFERROR(X97/H97,"0")+IFERROR(X98/H98,"0")</f>
        <v>0.98765432098765438</v>
      </c>
      <c r="Y99" s="43">
        <f>IFERROR(Y95/H95,"0")+IFERROR(Y96/H96,"0")+IFERROR(Y97/H97,"0")+IFERROR(Y98/H98,"0")</f>
        <v>1</v>
      </c>
      <c r="Z99" s="43">
        <f>IFERROR(IF(Z95="",0,Z95),"0")+IFERROR(IF(Z96="",0,Z96),"0")+IFERROR(IF(Z97="",0,Z97),"0")+IFERROR(IF(Z98="",0,Z98),"0")</f>
        <v>1.898E-2</v>
      </c>
      <c r="AA99" s="67"/>
      <c r="AB99" s="67"/>
      <c r="AC99" s="67"/>
    </row>
    <row r="100" spans="1:68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2" t="s">
        <v>0</v>
      </c>
      <c r="X100" s="43">
        <f>IFERROR(SUM(X95:X98),"0")</f>
        <v>8</v>
      </c>
      <c r="Y100" s="43">
        <f>IFERROR(SUM(Y95:Y98),"0")</f>
        <v>8.1</v>
      </c>
      <c r="Z100" s="42"/>
      <c r="AA100" s="67"/>
      <c r="AB100" s="67"/>
      <c r="AC100" s="67"/>
    </row>
    <row r="101" spans="1:68" ht="16.5" hidden="1" customHeight="1" x14ac:dyDescent="0.25">
      <c r="A101" s="641" t="s">
        <v>205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5"/>
      <c r="AB101" s="65"/>
      <c r="AC101" s="79"/>
    </row>
    <row r="102" spans="1:68" ht="14.25" hidden="1" customHeight="1" x14ac:dyDescent="0.25">
      <c r="A102" s="642" t="s">
        <v>122</v>
      </c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6"/>
      <c r="AB102" s="66"/>
      <c r="AC102" s="80"/>
    </row>
    <row r="103" spans="1:68" ht="37.5" hidden="1" customHeight="1" x14ac:dyDescent="0.25">
      <c r="A103" s="63" t="s">
        <v>206</v>
      </c>
      <c r="B103" s="63" t="s">
        <v>207</v>
      </c>
      <c r="C103" s="36">
        <v>4301011514</v>
      </c>
      <c r="D103" s="643">
        <v>4680115882133</v>
      </c>
      <c r="E103" s="64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5"/>
      <c r="R103" s="645"/>
      <c r="S103" s="645"/>
      <c r="T103" s="646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hidden="1" customHeight="1" x14ac:dyDescent="0.25">
      <c r="A104" s="63" t="s">
        <v>209</v>
      </c>
      <c r="B104" s="63" t="s">
        <v>210</v>
      </c>
      <c r="C104" s="36">
        <v>4301012051</v>
      </c>
      <c r="D104" s="643">
        <v>4680115887718</v>
      </c>
      <c r="E104" s="64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6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5"/>
      <c r="R104" s="645"/>
      <c r="S104" s="645"/>
      <c r="T104" s="646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4301011417</v>
      </c>
      <c r="D105" s="643">
        <v>4680115880269</v>
      </c>
      <c r="E105" s="643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6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5"/>
      <c r="R105" s="645"/>
      <c r="S105" s="645"/>
      <c r="T105" s="646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hidden="1" customHeight="1" x14ac:dyDescent="0.25">
      <c r="A106" s="63" t="s">
        <v>214</v>
      </c>
      <c r="B106" s="63" t="s">
        <v>215</v>
      </c>
      <c r="C106" s="36">
        <v>4301011415</v>
      </c>
      <c r="D106" s="643">
        <v>4680115880429</v>
      </c>
      <c r="E106" s="643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6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5"/>
      <c r="R106" s="645"/>
      <c r="S106" s="645"/>
      <c r="T106" s="646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hidden="1" customHeight="1" x14ac:dyDescent="0.25">
      <c r="A107" s="63" t="s">
        <v>216</v>
      </c>
      <c r="B107" s="63" t="s">
        <v>217</v>
      </c>
      <c r="C107" s="36">
        <v>4301011462</v>
      </c>
      <c r="D107" s="643">
        <v>4680115881457</v>
      </c>
      <c r="E107" s="64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6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5"/>
      <c r="R107" s="645"/>
      <c r="S107" s="645"/>
      <c r="T107" s="646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idden="1" x14ac:dyDescent="0.2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  <c r="M108" s="651"/>
      <c r="N108" s="651"/>
      <c r="O108" s="652"/>
      <c r="P108" s="648" t="s">
        <v>40</v>
      </c>
      <c r="Q108" s="649"/>
      <c r="R108" s="649"/>
      <c r="S108" s="649"/>
      <c r="T108" s="649"/>
      <c r="U108" s="649"/>
      <c r="V108" s="650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51"/>
      <c r="B109" s="651"/>
      <c r="C109" s="651"/>
      <c r="D109" s="651"/>
      <c r="E109" s="651"/>
      <c r="F109" s="651"/>
      <c r="G109" s="651"/>
      <c r="H109" s="651"/>
      <c r="I109" s="651"/>
      <c r="J109" s="651"/>
      <c r="K109" s="651"/>
      <c r="L109" s="651"/>
      <c r="M109" s="651"/>
      <c r="N109" s="651"/>
      <c r="O109" s="652"/>
      <c r="P109" s="648" t="s">
        <v>40</v>
      </c>
      <c r="Q109" s="649"/>
      <c r="R109" s="649"/>
      <c r="S109" s="649"/>
      <c r="T109" s="649"/>
      <c r="U109" s="649"/>
      <c r="V109" s="650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42" t="s">
        <v>156</v>
      </c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6"/>
      <c r="AB110" s="66"/>
      <c r="AC110" s="80"/>
    </row>
    <row r="111" spans="1:68" ht="16.5" hidden="1" customHeight="1" x14ac:dyDescent="0.25">
      <c r="A111" s="63" t="s">
        <v>218</v>
      </c>
      <c r="B111" s="63" t="s">
        <v>219</v>
      </c>
      <c r="C111" s="36">
        <v>4301020345</v>
      </c>
      <c r="D111" s="643">
        <v>4680115881488</v>
      </c>
      <c r="E111" s="64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6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5"/>
      <c r="R111" s="645"/>
      <c r="S111" s="645"/>
      <c r="T111" s="646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221</v>
      </c>
      <c r="B112" s="63" t="s">
        <v>222</v>
      </c>
      <c r="C112" s="36">
        <v>4301020186</v>
      </c>
      <c r="D112" s="643">
        <v>4680115887664</v>
      </c>
      <c r="E112" s="64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6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5"/>
      <c r="R112" s="645"/>
      <c r="S112" s="645"/>
      <c r="T112" s="64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hidden="1" customHeight="1" x14ac:dyDescent="0.25">
      <c r="A113" s="63" t="s">
        <v>225</v>
      </c>
      <c r="B113" s="63" t="s">
        <v>226</v>
      </c>
      <c r="C113" s="36">
        <v>4301020346</v>
      </c>
      <c r="D113" s="643">
        <v>4680115882775</v>
      </c>
      <c r="E113" s="643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5"/>
      <c r="R113" s="645"/>
      <c r="S113" s="645"/>
      <c r="T113" s="64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hidden="1" customHeight="1" x14ac:dyDescent="0.25">
      <c r="A114" s="63" t="s">
        <v>227</v>
      </c>
      <c r="B114" s="63" t="s">
        <v>228</v>
      </c>
      <c r="C114" s="36">
        <v>4301020344</v>
      </c>
      <c r="D114" s="643">
        <v>4680115880658</v>
      </c>
      <c r="E114" s="643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5"/>
      <c r="R114" s="645"/>
      <c r="S114" s="645"/>
      <c r="T114" s="64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1"/>
      <c r="B116" s="651"/>
      <c r="C116" s="651"/>
      <c r="D116" s="651"/>
      <c r="E116" s="651"/>
      <c r="F116" s="651"/>
      <c r="G116" s="651"/>
      <c r="H116" s="651"/>
      <c r="I116" s="651"/>
      <c r="J116" s="651"/>
      <c r="K116" s="651"/>
      <c r="L116" s="651"/>
      <c r="M116" s="651"/>
      <c r="N116" s="651"/>
      <c r="O116" s="652"/>
      <c r="P116" s="648" t="s">
        <v>40</v>
      </c>
      <c r="Q116" s="649"/>
      <c r="R116" s="649"/>
      <c r="S116" s="649"/>
      <c r="T116" s="649"/>
      <c r="U116" s="649"/>
      <c r="V116" s="650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2" t="s">
        <v>87</v>
      </c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643">
        <v>4607091385168</v>
      </c>
      <c r="E118" s="643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6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5"/>
      <c r="R118" s="645"/>
      <c r="S118" s="645"/>
      <c r="T118" s="646"/>
      <c r="U118" s="39" t="s">
        <v>46</v>
      </c>
      <c r="V118" s="39" t="s">
        <v>46</v>
      </c>
      <c r="W118" s="40" t="s">
        <v>0</v>
      </c>
      <c r="X118" s="58">
        <v>90</v>
      </c>
      <c r="Y118" s="55">
        <f>IFERROR(IF(X118="",0,CEILING((X118/$H118),1)*$H118),"")</f>
        <v>97.199999999999989</v>
      </c>
      <c r="Z118" s="41">
        <f>IFERROR(IF(Y118=0,"",ROUNDUP(Y118/H118,0)*0.01898),"")</f>
        <v>0.22776000000000002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95.422222222222217</v>
      </c>
      <c r="BN118" s="78">
        <f>IFERROR(Y118*I118/H118,"0")</f>
        <v>103.05599999999998</v>
      </c>
      <c r="BO118" s="78">
        <f>IFERROR(1/J118*(X118/H118),"0")</f>
        <v>0.1736111111111111</v>
      </c>
      <c r="BP118" s="78">
        <f>IFERROR(1/J118*(Y118/H118),"0")</f>
        <v>0.1875</v>
      </c>
    </row>
    <row r="119" spans="1:68" ht="27" hidden="1" customHeight="1" x14ac:dyDescent="0.25">
      <c r="A119" s="63" t="s">
        <v>232</v>
      </c>
      <c r="B119" s="63" t="s">
        <v>233</v>
      </c>
      <c r="C119" s="36">
        <v>4301051730</v>
      </c>
      <c r="D119" s="643">
        <v>4607091383256</v>
      </c>
      <c r="E119" s="643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6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5"/>
      <c r="R119" s="645"/>
      <c r="S119" s="645"/>
      <c r="T119" s="64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643">
        <v>4607091385748</v>
      </c>
      <c r="E120" s="643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5"/>
      <c r="R120" s="645"/>
      <c r="S120" s="645"/>
      <c r="T120" s="646"/>
      <c r="U120" s="39" t="s">
        <v>46</v>
      </c>
      <c r="V120" s="39" t="s">
        <v>46</v>
      </c>
      <c r="W120" s="40" t="s">
        <v>0</v>
      </c>
      <c r="X120" s="58">
        <v>13.5</v>
      </c>
      <c r="Y120" s="55">
        <f>IFERROR(IF(X120="",0,CEILING((X120/$H120),1)*$H120),"")</f>
        <v>13.5</v>
      </c>
      <c r="Z120" s="41">
        <f>IFERROR(IF(Y120=0,"",ROUNDUP(Y120/H120,0)*0.00651),"")</f>
        <v>3.2550000000000003E-2</v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14.759999999999998</v>
      </c>
      <c r="BN120" s="78">
        <f>IFERROR(Y120*I120/H120,"0")</f>
        <v>14.759999999999998</v>
      </c>
      <c r="BO120" s="78">
        <f>IFERROR(1/J120*(X120/H120),"0")</f>
        <v>2.7472527472527476E-2</v>
      </c>
      <c r="BP120" s="78">
        <f>IFERROR(1/J120*(Y120/H120),"0")</f>
        <v>2.7472527472527476E-2</v>
      </c>
    </row>
    <row r="121" spans="1:68" ht="16.5" hidden="1" customHeight="1" x14ac:dyDescent="0.25">
      <c r="A121" s="63" t="s">
        <v>236</v>
      </c>
      <c r="B121" s="63" t="s">
        <v>237</v>
      </c>
      <c r="C121" s="36">
        <v>4301051740</v>
      </c>
      <c r="D121" s="643">
        <v>4680115884533</v>
      </c>
      <c r="E121" s="643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5"/>
      <c r="R121" s="645"/>
      <c r="S121" s="645"/>
      <c r="T121" s="64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39</v>
      </c>
      <c r="X122" s="43">
        <f>IFERROR(X118/H118,"0")+IFERROR(X119/H119,"0")+IFERROR(X120/H120,"0")+IFERROR(X121/H121,"0")</f>
        <v>16.111111111111111</v>
      </c>
      <c r="Y122" s="43">
        <f>IFERROR(Y118/H118,"0")+IFERROR(Y119/H119,"0")+IFERROR(Y120/H120,"0")+IFERROR(Y121/H121,"0")</f>
        <v>17</v>
      </c>
      <c r="Z122" s="43">
        <f>IFERROR(IF(Z118="",0,Z118),"0")+IFERROR(IF(Z119="",0,Z119),"0")+IFERROR(IF(Z120="",0,Z120),"0")+IFERROR(IF(Z121="",0,Z121),"0")</f>
        <v>0.26031000000000004</v>
      </c>
      <c r="AA122" s="67"/>
      <c r="AB122" s="67"/>
      <c r="AC122" s="67"/>
    </row>
    <row r="123" spans="1:68" x14ac:dyDescent="0.2">
      <c r="A123" s="651"/>
      <c r="B123" s="651"/>
      <c r="C123" s="651"/>
      <c r="D123" s="651"/>
      <c r="E123" s="651"/>
      <c r="F123" s="651"/>
      <c r="G123" s="651"/>
      <c r="H123" s="651"/>
      <c r="I123" s="651"/>
      <c r="J123" s="651"/>
      <c r="K123" s="651"/>
      <c r="L123" s="651"/>
      <c r="M123" s="651"/>
      <c r="N123" s="651"/>
      <c r="O123" s="652"/>
      <c r="P123" s="648" t="s">
        <v>40</v>
      </c>
      <c r="Q123" s="649"/>
      <c r="R123" s="649"/>
      <c r="S123" s="649"/>
      <c r="T123" s="649"/>
      <c r="U123" s="649"/>
      <c r="V123" s="650"/>
      <c r="W123" s="42" t="s">
        <v>0</v>
      </c>
      <c r="X123" s="43">
        <f>IFERROR(SUM(X118:X121),"0")</f>
        <v>103.5</v>
      </c>
      <c r="Y123" s="43">
        <f>IFERROR(SUM(Y118:Y121),"0")</f>
        <v>110.69999999999999</v>
      </c>
      <c r="Z123" s="42"/>
      <c r="AA123" s="67"/>
      <c r="AB123" s="67"/>
      <c r="AC123" s="67"/>
    </row>
    <row r="124" spans="1:68" ht="14.25" hidden="1" customHeight="1" x14ac:dyDescent="0.25">
      <c r="A124" s="642" t="s">
        <v>176</v>
      </c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6"/>
      <c r="AB124" s="66"/>
      <c r="AC124" s="80"/>
    </row>
    <row r="125" spans="1:68" ht="16.5" hidden="1" customHeight="1" x14ac:dyDescent="0.25">
      <c r="A125" s="63" t="s">
        <v>239</v>
      </c>
      <c r="B125" s="63" t="s">
        <v>240</v>
      </c>
      <c r="C125" s="36">
        <v>4301060317</v>
      </c>
      <c r="D125" s="643">
        <v>4680115880238</v>
      </c>
      <c r="E125" s="643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5"/>
      <c r="R125" s="645"/>
      <c r="S125" s="645"/>
      <c r="T125" s="64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2"/>
      <c r="P127" s="648" t="s">
        <v>40</v>
      </c>
      <c r="Q127" s="649"/>
      <c r="R127" s="649"/>
      <c r="S127" s="649"/>
      <c r="T127" s="649"/>
      <c r="U127" s="649"/>
      <c r="V127" s="650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1" t="s">
        <v>242</v>
      </c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5"/>
      <c r="AB128" s="65"/>
      <c r="AC128" s="79"/>
    </row>
    <row r="129" spans="1:68" ht="14.25" hidden="1" customHeight="1" x14ac:dyDescent="0.25">
      <c r="A129" s="642" t="s">
        <v>122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6"/>
      <c r="AB129" s="66"/>
      <c r="AC129" s="80"/>
    </row>
    <row r="130" spans="1:68" ht="27" hidden="1" customHeight="1" x14ac:dyDescent="0.25">
      <c r="A130" s="63" t="s">
        <v>243</v>
      </c>
      <c r="B130" s="63" t="s">
        <v>244</v>
      </c>
      <c r="C130" s="36">
        <v>4301011564</v>
      </c>
      <c r="D130" s="643">
        <v>4680115882577</v>
      </c>
      <c r="E130" s="64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5"/>
      <c r="R130" s="645"/>
      <c r="S130" s="645"/>
      <c r="T130" s="64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243</v>
      </c>
      <c r="B131" s="63" t="s">
        <v>246</v>
      </c>
      <c r="C131" s="36">
        <v>4301011562</v>
      </c>
      <c r="D131" s="643">
        <v>4680115882577</v>
      </c>
      <c r="E131" s="64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5"/>
      <c r="R131" s="645"/>
      <c r="S131" s="645"/>
      <c r="T131" s="64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2" t="s">
        <v>77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6"/>
      <c r="AB134" s="66"/>
      <c r="AC134" s="80"/>
    </row>
    <row r="135" spans="1:68" ht="27" hidden="1" customHeight="1" x14ac:dyDescent="0.25">
      <c r="A135" s="63" t="s">
        <v>247</v>
      </c>
      <c r="B135" s="63" t="s">
        <v>248</v>
      </c>
      <c r="C135" s="36">
        <v>4301031234</v>
      </c>
      <c r="D135" s="643">
        <v>4680115883444</v>
      </c>
      <c r="E135" s="64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5"/>
      <c r="R135" s="645"/>
      <c r="S135" s="645"/>
      <c r="T135" s="64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247</v>
      </c>
      <c r="B136" s="63" t="s">
        <v>250</v>
      </c>
      <c r="C136" s="36">
        <v>4301031235</v>
      </c>
      <c r="D136" s="643">
        <v>4680115883444</v>
      </c>
      <c r="E136" s="64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5"/>
      <c r="R136" s="645"/>
      <c r="S136" s="645"/>
      <c r="T136" s="64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52"/>
      <c r="P137" s="648" t="s">
        <v>40</v>
      </c>
      <c r="Q137" s="649"/>
      <c r="R137" s="649"/>
      <c r="S137" s="649"/>
      <c r="T137" s="649"/>
      <c r="U137" s="649"/>
      <c r="V137" s="65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1"/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2"/>
      <c r="P138" s="648" t="s">
        <v>40</v>
      </c>
      <c r="Q138" s="649"/>
      <c r="R138" s="649"/>
      <c r="S138" s="649"/>
      <c r="T138" s="649"/>
      <c r="U138" s="649"/>
      <c r="V138" s="65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2" t="s">
        <v>87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6"/>
      <c r="AB139" s="66"/>
      <c r="AC139" s="80"/>
    </row>
    <row r="140" spans="1:68" ht="16.5" hidden="1" customHeight="1" x14ac:dyDescent="0.25">
      <c r="A140" s="63" t="s">
        <v>251</v>
      </c>
      <c r="B140" s="63" t="s">
        <v>252</v>
      </c>
      <c r="C140" s="36">
        <v>4301051477</v>
      </c>
      <c r="D140" s="643">
        <v>4680115882584</v>
      </c>
      <c r="E140" s="643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645"/>
      <c r="R140" s="645"/>
      <c r="S140" s="645"/>
      <c r="T140" s="64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251</v>
      </c>
      <c r="B141" s="63" t="s">
        <v>253</v>
      </c>
      <c r="C141" s="36">
        <v>4301051476</v>
      </c>
      <c r="D141" s="643">
        <v>4680115882584</v>
      </c>
      <c r="E141" s="64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5"/>
      <c r="R141" s="645"/>
      <c r="S141" s="645"/>
      <c r="T141" s="64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52"/>
      <c r="P142" s="648" t="s">
        <v>40</v>
      </c>
      <c r="Q142" s="649"/>
      <c r="R142" s="649"/>
      <c r="S142" s="649"/>
      <c r="T142" s="649"/>
      <c r="U142" s="649"/>
      <c r="V142" s="65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1"/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2"/>
      <c r="P143" s="648" t="s">
        <v>40</v>
      </c>
      <c r="Q143" s="649"/>
      <c r="R143" s="649"/>
      <c r="S143" s="649"/>
      <c r="T143" s="649"/>
      <c r="U143" s="649"/>
      <c r="V143" s="65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1" t="s">
        <v>120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5"/>
      <c r="AB144" s="65"/>
      <c r="AC144" s="79"/>
    </row>
    <row r="145" spans="1:68" ht="14.25" hidden="1" customHeight="1" x14ac:dyDescent="0.25">
      <c r="A145" s="642" t="s">
        <v>122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6"/>
      <c r="AB145" s="66"/>
      <c r="AC145" s="80"/>
    </row>
    <row r="146" spans="1:68" ht="27" hidden="1" customHeight="1" x14ac:dyDescent="0.25">
      <c r="A146" s="63" t="s">
        <v>254</v>
      </c>
      <c r="B146" s="63" t="s">
        <v>255</v>
      </c>
      <c r="C146" s="36">
        <v>4301012244</v>
      </c>
      <c r="D146" s="643">
        <v>4680115887374</v>
      </c>
      <c r="E146" s="643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5"/>
      <c r="R146" s="645"/>
      <c r="S146" s="645"/>
      <c r="T146" s="64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257</v>
      </c>
      <c r="B147" s="63" t="s">
        <v>258</v>
      </c>
      <c r="C147" s="36">
        <v>4301011705</v>
      </c>
      <c r="D147" s="643">
        <v>4607091384604</v>
      </c>
      <c r="E147" s="643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5"/>
      <c r="R147" s="645"/>
      <c r="S147" s="645"/>
      <c r="T147" s="64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51"/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2"/>
      <c r="P148" s="648" t="s">
        <v>40</v>
      </c>
      <c r="Q148" s="649"/>
      <c r="R148" s="649"/>
      <c r="S148" s="649"/>
      <c r="T148" s="649"/>
      <c r="U148" s="649"/>
      <c r="V148" s="650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51"/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2"/>
      <c r="P149" s="648" t="s">
        <v>40</v>
      </c>
      <c r="Q149" s="649"/>
      <c r="R149" s="649"/>
      <c r="S149" s="649"/>
      <c r="T149" s="649"/>
      <c r="U149" s="649"/>
      <c r="V149" s="650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hidden="1" customHeight="1" x14ac:dyDescent="0.25">
      <c r="A150" s="642" t="s">
        <v>156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6"/>
      <c r="AB150" s="66"/>
      <c r="AC150" s="80"/>
    </row>
    <row r="151" spans="1:68" ht="16.5" hidden="1" customHeight="1" x14ac:dyDescent="0.25">
      <c r="A151" s="63" t="s">
        <v>260</v>
      </c>
      <c r="B151" s="63" t="s">
        <v>261</v>
      </c>
      <c r="C151" s="36">
        <v>4301020410</v>
      </c>
      <c r="D151" s="643">
        <v>4680115887695</v>
      </c>
      <c r="E151" s="643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5"/>
      <c r="R151" s="645"/>
      <c r="S151" s="645"/>
      <c r="T151" s="64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51"/>
      <c r="B152" s="651"/>
      <c r="C152" s="651"/>
      <c r="D152" s="651"/>
      <c r="E152" s="651"/>
      <c r="F152" s="651"/>
      <c r="G152" s="651"/>
      <c r="H152" s="651"/>
      <c r="I152" s="651"/>
      <c r="J152" s="651"/>
      <c r="K152" s="651"/>
      <c r="L152" s="651"/>
      <c r="M152" s="651"/>
      <c r="N152" s="651"/>
      <c r="O152" s="652"/>
      <c r="P152" s="648" t="s">
        <v>40</v>
      </c>
      <c r="Q152" s="649"/>
      <c r="R152" s="649"/>
      <c r="S152" s="649"/>
      <c r="T152" s="649"/>
      <c r="U152" s="649"/>
      <c r="V152" s="650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hidden="1" x14ac:dyDescent="0.2">
      <c r="A153" s="651"/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2"/>
      <c r="P153" s="648" t="s">
        <v>40</v>
      </c>
      <c r="Q153" s="649"/>
      <c r="R153" s="649"/>
      <c r="S153" s="649"/>
      <c r="T153" s="649"/>
      <c r="U153" s="649"/>
      <c r="V153" s="650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hidden="1" customHeight="1" x14ac:dyDescent="0.25">
      <c r="A154" s="642" t="s">
        <v>77</v>
      </c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6"/>
      <c r="AB154" s="66"/>
      <c r="AC154" s="80"/>
    </row>
    <row r="155" spans="1:68" ht="27" customHeight="1" x14ac:dyDescent="0.25">
      <c r="A155" s="63" t="s">
        <v>263</v>
      </c>
      <c r="B155" s="63" t="s">
        <v>264</v>
      </c>
      <c r="C155" s="36">
        <v>4301031450</v>
      </c>
      <c r="D155" s="643">
        <v>4680115887428</v>
      </c>
      <c r="E155" s="643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1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5"/>
      <c r="R155" s="645"/>
      <c r="S155" s="645"/>
      <c r="T155" s="646"/>
      <c r="U155" s="39" t="s">
        <v>46</v>
      </c>
      <c r="V155" s="39" t="s">
        <v>46</v>
      </c>
      <c r="W155" s="40" t="s">
        <v>0</v>
      </c>
      <c r="X155" s="58">
        <v>30</v>
      </c>
      <c r="Y155" s="55">
        <f t="shared" ref="Y155:Y164" si="11">IFERROR(IF(X155="",0,CEILING((X155/$H155),1)*$H155),"")</f>
        <v>33.6</v>
      </c>
      <c r="Z155" s="41">
        <f>IFERROR(IF(Y155=0,"",ROUNDUP(Y155/H155,0)*0.00902),"")</f>
        <v>7.2160000000000002E-2</v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31.357142857142854</v>
      </c>
      <c r="BN155" s="78">
        <f t="shared" ref="BN155:BN164" si="13">IFERROR(Y155*I155/H155,"0")</f>
        <v>35.119999999999997</v>
      </c>
      <c r="BO155" s="78">
        <f t="shared" ref="BO155:BO164" si="14">IFERROR(1/J155*(X155/H155),"0")</f>
        <v>5.4112554112554112E-2</v>
      </c>
      <c r="BP155" s="78">
        <f t="shared" ref="BP155:BP164" si="15">IFERROR(1/J155*(Y155/H155),"0")</f>
        <v>6.0606060606060608E-2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643">
        <v>4680115887336</v>
      </c>
      <c r="E156" s="643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1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645"/>
      <c r="R156" s="645"/>
      <c r="S156" s="645"/>
      <c r="T156" s="646"/>
      <c r="U156" s="39" t="s">
        <v>46</v>
      </c>
      <c r="V156" s="39" t="s">
        <v>46</v>
      </c>
      <c r="W156" s="40" t="s">
        <v>0</v>
      </c>
      <c r="X156" s="58">
        <v>35</v>
      </c>
      <c r="Y156" s="55">
        <f t="shared" si="11"/>
        <v>37.800000000000004</v>
      </c>
      <c r="Z156" s="41">
        <f>IFERROR(IF(Y156=0,"",ROUNDUP(Y156/H156,0)*0.00902),"")</f>
        <v>8.1180000000000002E-2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36.583333333333329</v>
      </c>
      <c r="BN156" s="78">
        <f t="shared" si="13"/>
        <v>39.51</v>
      </c>
      <c r="BO156" s="78">
        <f t="shared" si="14"/>
        <v>6.3131313131313122E-2</v>
      </c>
      <c r="BP156" s="78">
        <f t="shared" si="15"/>
        <v>6.8181818181818177E-2</v>
      </c>
    </row>
    <row r="157" spans="1:68" ht="27" hidden="1" customHeight="1" x14ac:dyDescent="0.25">
      <c r="A157" s="63" t="s">
        <v>269</v>
      </c>
      <c r="B157" s="63" t="s">
        <v>270</v>
      </c>
      <c r="C157" s="36">
        <v>4301030963</v>
      </c>
      <c r="D157" s="643">
        <v>4607091382426</v>
      </c>
      <c r="E157" s="643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5"/>
      <c r="R157" s="645"/>
      <c r="S157" s="645"/>
      <c r="T157" s="646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customHeight="1" x14ac:dyDescent="0.25">
      <c r="A158" s="63" t="s">
        <v>272</v>
      </c>
      <c r="B158" s="63" t="s">
        <v>273</v>
      </c>
      <c r="C158" s="36">
        <v>4301031456</v>
      </c>
      <c r="D158" s="643">
        <v>4680115887398</v>
      </c>
      <c r="E158" s="643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5"/>
      <c r="R158" s="645"/>
      <c r="S158" s="645"/>
      <c r="T158" s="646"/>
      <c r="U158" s="39" t="s">
        <v>46</v>
      </c>
      <c r="V158" s="39" t="s">
        <v>46</v>
      </c>
      <c r="W158" s="40" t="s">
        <v>0</v>
      </c>
      <c r="X158" s="58">
        <v>30</v>
      </c>
      <c r="Y158" s="55">
        <f t="shared" si="11"/>
        <v>33.6</v>
      </c>
      <c r="Z158" s="41">
        <f>IFERROR(IF(Y158=0,"",ROUNDUP(Y158/H158,0)*0.00902),"")</f>
        <v>7.2160000000000002E-2</v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31.357142857142854</v>
      </c>
      <c r="BN158" s="78">
        <f t="shared" si="13"/>
        <v>35.119999999999997</v>
      </c>
      <c r="BO158" s="78">
        <f t="shared" si="14"/>
        <v>5.4112554112554112E-2</v>
      </c>
      <c r="BP158" s="78">
        <f t="shared" si="15"/>
        <v>6.0606060606060608E-2</v>
      </c>
    </row>
    <row r="159" spans="1:68" ht="16.5" hidden="1" customHeight="1" x14ac:dyDescent="0.25">
      <c r="A159" s="63" t="s">
        <v>275</v>
      </c>
      <c r="B159" s="63" t="s">
        <v>276</v>
      </c>
      <c r="C159" s="36">
        <v>4301032049</v>
      </c>
      <c r="D159" s="643">
        <v>4680115887787</v>
      </c>
      <c r="E159" s="643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645"/>
      <c r="R159" s="645"/>
      <c r="S159" s="645"/>
      <c r="T159" s="64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643">
        <v>4680115887503</v>
      </c>
      <c r="E160" s="643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645"/>
      <c r="R160" s="645"/>
      <c r="S160" s="645"/>
      <c r="T160" s="646"/>
      <c r="U160" s="39" t="s">
        <v>46</v>
      </c>
      <c r="V160" s="39" t="s">
        <v>46</v>
      </c>
      <c r="W160" s="40" t="s">
        <v>0</v>
      </c>
      <c r="X160" s="58">
        <v>11.76</v>
      </c>
      <c r="Y160" s="55">
        <f t="shared" si="11"/>
        <v>11.76</v>
      </c>
      <c r="Z160" s="41">
        <f>IFERROR(IF(Y160=0,"",ROUNDUP(Y160/H160,0)*0.00502),"")</f>
        <v>3.5140000000000005E-2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12.46</v>
      </c>
      <c r="BN160" s="78">
        <f t="shared" si="13"/>
        <v>12.46</v>
      </c>
      <c r="BO160" s="78">
        <f t="shared" si="14"/>
        <v>2.9914529914529919E-2</v>
      </c>
      <c r="BP160" s="78">
        <f t="shared" si="15"/>
        <v>2.9914529914529919E-2</v>
      </c>
    </row>
    <row r="161" spans="1:68" ht="27" hidden="1" customHeight="1" x14ac:dyDescent="0.25">
      <c r="A161" s="63" t="s">
        <v>280</v>
      </c>
      <c r="B161" s="63" t="s">
        <v>281</v>
      </c>
      <c r="C161" s="36">
        <v>4301031389</v>
      </c>
      <c r="D161" s="643">
        <v>4680115887763</v>
      </c>
      <c r="E161" s="643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645"/>
      <c r="R161" s="645"/>
      <c r="S161" s="645"/>
      <c r="T161" s="64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643">
        <v>4680115887480</v>
      </c>
      <c r="E162" s="643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1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645"/>
      <c r="R162" s="645"/>
      <c r="S162" s="645"/>
      <c r="T162" s="646"/>
      <c r="U162" s="39" t="s">
        <v>46</v>
      </c>
      <c r="V162" s="39" t="s">
        <v>46</v>
      </c>
      <c r="W162" s="40" t="s">
        <v>0</v>
      </c>
      <c r="X162" s="58">
        <v>8.4</v>
      </c>
      <c r="Y162" s="55">
        <f t="shared" si="11"/>
        <v>8.4</v>
      </c>
      <c r="Z162" s="41">
        <f>IFERROR(IF(Y162=0,"",ROUNDUP(Y162/H162,0)*0.00502),"")</f>
        <v>2.5100000000000001E-2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8.9000000000000021</v>
      </c>
      <c r="BN162" s="78">
        <f t="shared" si="13"/>
        <v>8.9000000000000021</v>
      </c>
      <c r="BO162" s="78">
        <f t="shared" si="14"/>
        <v>2.1367521367521368E-2</v>
      </c>
      <c r="BP162" s="78">
        <f t="shared" si="15"/>
        <v>2.1367521367521368E-2</v>
      </c>
    </row>
    <row r="163" spans="1:68" ht="27" hidden="1" customHeight="1" x14ac:dyDescent="0.25">
      <c r="A163" s="63" t="s">
        <v>285</v>
      </c>
      <c r="B163" s="63" t="s">
        <v>286</v>
      </c>
      <c r="C163" s="36">
        <v>4301031434</v>
      </c>
      <c r="D163" s="643">
        <v>4680115888067</v>
      </c>
      <c r="E163" s="643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645"/>
      <c r="R163" s="645"/>
      <c r="S163" s="645"/>
      <c r="T163" s="646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643">
        <v>4680115887435</v>
      </c>
      <c r="E164" s="643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2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645"/>
      <c r="R164" s="645"/>
      <c r="S164" s="645"/>
      <c r="T164" s="646"/>
      <c r="U164" s="39" t="s">
        <v>46</v>
      </c>
      <c r="V164" s="39" t="s">
        <v>46</v>
      </c>
      <c r="W164" s="40" t="s">
        <v>0</v>
      </c>
      <c r="X164" s="58">
        <v>8.4</v>
      </c>
      <c r="Y164" s="55">
        <f t="shared" si="11"/>
        <v>8.4</v>
      </c>
      <c r="Z164" s="41">
        <f>IFERROR(IF(Y164=0,"",ROUNDUP(Y164/H164,0)*0.00502),"")</f>
        <v>2.5100000000000001E-2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8.9000000000000021</v>
      </c>
      <c r="BN164" s="78">
        <f t="shared" si="13"/>
        <v>8.9000000000000021</v>
      </c>
      <c r="BO164" s="78">
        <f t="shared" si="14"/>
        <v>2.1367521367521368E-2</v>
      </c>
      <c r="BP164" s="78">
        <f t="shared" si="15"/>
        <v>2.1367521367521368E-2</v>
      </c>
    </row>
    <row r="165" spans="1:68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39.61904761904762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42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0.31084000000000001</v>
      </c>
      <c r="AA165" s="67"/>
      <c r="AB165" s="67"/>
      <c r="AC165" s="67"/>
    </row>
    <row r="166" spans="1:68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2" t="s">
        <v>0</v>
      </c>
      <c r="X166" s="43">
        <f>IFERROR(SUM(X155:X164),"0")</f>
        <v>123.56000000000002</v>
      </c>
      <c r="Y166" s="43">
        <f>IFERROR(SUM(Y155:Y164),"0")</f>
        <v>133.56</v>
      </c>
      <c r="Z166" s="42"/>
      <c r="AA166" s="67"/>
      <c r="AB166" s="67"/>
      <c r="AC166" s="67"/>
    </row>
    <row r="167" spans="1:68" ht="14.25" hidden="1" customHeight="1" x14ac:dyDescent="0.25">
      <c r="A167" s="642" t="s">
        <v>87</v>
      </c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4301052064</v>
      </c>
      <c r="D168" s="643">
        <v>4680115887459</v>
      </c>
      <c r="E168" s="643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645"/>
      <c r="R168" s="645"/>
      <c r="S168" s="645"/>
      <c r="T168" s="64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52"/>
      <c r="P169" s="648" t="s">
        <v>40</v>
      </c>
      <c r="Q169" s="649"/>
      <c r="R169" s="649"/>
      <c r="S169" s="649"/>
      <c r="T169" s="649"/>
      <c r="U169" s="649"/>
      <c r="V169" s="650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651"/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2"/>
      <c r="P170" s="648" t="s">
        <v>40</v>
      </c>
      <c r="Q170" s="649"/>
      <c r="R170" s="649"/>
      <c r="S170" s="649"/>
      <c r="T170" s="649"/>
      <c r="U170" s="649"/>
      <c r="V170" s="650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hidden="1" customHeight="1" x14ac:dyDescent="0.2">
      <c r="A171" s="640" t="s">
        <v>293</v>
      </c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54"/>
      <c r="AB171" s="54"/>
      <c r="AC171" s="54"/>
    </row>
    <row r="172" spans="1:68" ht="16.5" hidden="1" customHeight="1" x14ac:dyDescent="0.25">
      <c r="A172" s="641" t="s">
        <v>294</v>
      </c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5"/>
      <c r="AB172" s="65"/>
      <c r="AC172" s="79"/>
    </row>
    <row r="173" spans="1:68" ht="14.25" hidden="1" customHeight="1" x14ac:dyDescent="0.25">
      <c r="A173" s="642" t="s">
        <v>156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6"/>
      <c r="AB173" s="66"/>
      <c r="AC173" s="80"/>
    </row>
    <row r="174" spans="1:68" ht="27" hidden="1" customHeight="1" x14ac:dyDescent="0.25">
      <c r="A174" s="63" t="s">
        <v>295</v>
      </c>
      <c r="B174" s="63" t="s">
        <v>296</v>
      </c>
      <c r="C174" s="36">
        <v>4301020323</v>
      </c>
      <c r="D174" s="643">
        <v>4680115886223</v>
      </c>
      <c r="E174" s="643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645"/>
      <c r="R174" s="645"/>
      <c r="S174" s="645"/>
      <c r="T174" s="646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idden="1" x14ac:dyDescent="0.2">
      <c r="A175" s="651"/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2"/>
      <c r="P175" s="648" t="s">
        <v>40</v>
      </c>
      <c r="Q175" s="649"/>
      <c r="R175" s="649"/>
      <c r="S175" s="649"/>
      <c r="T175" s="649"/>
      <c r="U175" s="649"/>
      <c r="V175" s="650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hidden="1" x14ac:dyDescent="0.2">
      <c r="A176" s="651"/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2"/>
      <c r="P176" s="648" t="s">
        <v>40</v>
      </c>
      <c r="Q176" s="649"/>
      <c r="R176" s="649"/>
      <c r="S176" s="649"/>
      <c r="T176" s="649"/>
      <c r="U176" s="649"/>
      <c r="V176" s="650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hidden="1" customHeight="1" x14ac:dyDescent="0.25">
      <c r="A177" s="642" t="s">
        <v>77</v>
      </c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6"/>
      <c r="AB177" s="66"/>
      <c r="AC177" s="80"/>
    </row>
    <row r="178" spans="1:68" ht="27" hidden="1" customHeight="1" x14ac:dyDescent="0.25">
      <c r="A178" s="63" t="s">
        <v>298</v>
      </c>
      <c r="B178" s="63" t="s">
        <v>299</v>
      </c>
      <c r="C178" s="36">
        <v>4301031191</v>
      </c>
      <c r="D178" s="643">
        <v>4680115880993</v>
      </c>
      <c r="E178" s="643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645"/>
      <c r="R178" s="645"/>
      <c r="S178" s="645"/>
      <c r="T178" s="64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hidden="1" customHeight="1" x14ac:dyDescent="0.25">
      <c r="A179" s="63" t="s">
        <v>301</v>
      </c>
      <c r="B179" s="63" t="s">
        <v>302</v>
      </c>
      <c r="C179" s="36">
        <v>4301031204</v>
      </c>
      <c r="D179" s="643">
        <v>4680115881761</v>
      </c>
      <c r="E179" s="643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645"/>
      <c r="R179" s="645"/>
      <c r="S179" s="645"/>
      <c r="T179" s="64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304</v>
      </c>
      <c r="B180" s="63" t="s">
        <v>305</v>
      </c>
      <c r="C180" s="36">
        <v>4301031201</v>
      </c>
      <c r="D180" s="643">
        <v>4680115881563</v>
      </c>
      <c r="E180" s="643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645"/>
      <c r="R180" s="645"/>
      <c r="S180" s="645"/>
      <c r="T180" s="64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hidden="1" customHeight="1" x14ac:dyDescent="0.25">
      <c r="A181" s="63" t="s">
        <v>307</v>
      </c>
      <c r="B181" s="63" t="s">
        <v>308</v>
      </c>
      <c r="C181" s="36">
        <v>4301031447</v>
      </c>
      <c r="D181" s="643">
        <v>4680115887565</v>
      </c>
      <c r="E181" s="643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645"/>
      <c r="R181" s="645"/>
      <c r="S181" s="645"/>
      <c r="T181" s="64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310</v>
      </c>
      <c r="B182" s="63" t="s">
        <v>311</v>
      </c>
      <c r="C182" s="36">
        <v>4301031199</v>
      </c>
      <c r="D182" s="643">
        <v>4680115880986</v>
      </c>
      <c r="E182" s="643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645"/>
      <c r="R182" s="645"/>
      <c r="S182" s="645"/>
      <c r="T182" s="64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312</v>
      </c>
      <c r="B183" s="63" t="s">
        <v>313</v>
      </c>
      <c r="C183" s="36">
        <v>4301031443</v>
      </c>
      <c r="D183" s="643">
        <v>4680115887213</v>
      </c>
      <c r="E183" s="643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645"/>
      <c r="R183" s="645"/>
      <c r="S183" s="645"/>
      <c r="T183" s="64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315</v>
      </c>
      <c r="B184" s="63" t="s">
        <v>316</v>
      </c>
      <c r="C184" s="36">
        <v>4301031205</v>
      </c>
      <c r="D184" s="643">
        <v>4680115881785</v>
      </c>
      <c r="E184" s="643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645"/>
      <c r="R184" s="645"/>
      <c r="S184" s="645"/>
      <c r="T184" s="64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317</v>
      </c>
      <c r="B185" s="63" t="s">
        <v>318</v>
      </c>
      <c r="C185" s="36">
        <v>4301031499</v>
      </c>
      <c r="D185" s="643">
        <v>4680115888432</v>
      </c>
      <c r="E185" s="643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31" t="s">
        <v>319</v>
      </c>
      <c r="Q185" s="645"/>
      <c r="R185" s="645"/>
      <c r="S185" s="645"/>
      <c r="T185" s="64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321</v>
      </c>
      <c r="B186" s="63" t="s">
        <v>322</v>
      </c>
      <c r="C186" s="36">
        <v>4301031427</v>
      </c>
      <c r="D186" s="643">
        <v>4680115888104</v>
      </c>
      <c r="E186" s="643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645"/>
      <c r="R186" s="645"/>
      <c r="S186" s="645"/>
      <c r="T186" s="64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324</v>
      </c>
      <c r="B187" s="63" t="s">
        <v>325</v>
      </c>
      <c r="C187" s="36">
        <v>4301031399</v>
      </c>
      <c r="D187" s="643">
        <v>4680115886537</v>
      </c>
      <c r="E187" s="643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645"/>
      <c r="R187" s="645"/>
      <c r="S187" s="645"/>
      <c r="T187" s="64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hidden="1" customHeight="1" x14ac:dyDescent="0.25">
      <c r="A188" s="63" t="s">
        <v>327</v>
      </c>
      <c r="B188" s="63" t="s">
        <v>328</v>
      </c>
      <c r="C188" s="36">
        <v>4301031279</v>
      </c>
      <c r="D188" s="643">
        <v>4680115887596</v>
      </c>
      <c r="E188" s="643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645"/>
      <c r="R188" s="645"/>
      <c r="S188" s="645"/>
      <c r="T188" s="64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hidden="1" customHeight="1" x14ac:dyDescent="0.25">
      <c r="A189" s="63" t="s">
        <v>330</v>
      </c>
      <c r="B189" s="63" t="s">
        <v>331</v>
      </c>
      <c r="C189" s="36">
        <v>4301031202</v>
      </c>
      <c r="D189" s="643">
        <v>4680115881679</v>
      </c>
      <c r="E189" s="643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645"/>
      <c r="R189" s="645"/>
      <c r="S189" s="645"/>
      <c r="T189" s="64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hidden="1" customHeight="1" x14ac:dyDescent="0.25">
      <c r="A190" s="63" t="s">
        <v>332</v>
      </c>
      <c r="B190" s="63" t="s">
        <v>333</v>
      </c>
      <c r="C190" s="36">
        <v>4301031158</v>
      </c>
      <c r="D190" s="643">
        <v>4680115880191</v>
      </c>
      <c r="E190" s="643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645"/>
      <c r="R190" s="645"/>
      <c r="S190" s="645"/>
      <c r="T190" s="64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4301031245</v>
      </c>
      <c r="D191" s="643">
        <v>4680115883963</v>
      </c>
      <c r="E191" s="64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645"/>
      <c r="R191" s="645"/>
      <c r="S191" s="645"/>
      <c r="T191" s="64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42" t="s">
        <v>110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6"/>
      <c r="AB194" s="66"/>
      <c r="AC194" s="80"/>
    </row>
    <row r="195" spans="1:68" ht="27" hidden="1" customHeight="1" x14ac:dyDescent="0.25">
      <c r="A195" s="63" t="s">
        <v>337</v>
      </c>
      <c r="B195" s="63" t="s">
        <v>338</v>
      </c>
      <c r="C195" s="36">
        <v>4301032053</v>
      </c>
      <c r="D195" s="643">
        <v>4680115886780</v>
      </c>
      <c r="E195" s="643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645"/>
      <c r="R195" s="645"/>
      <c r="S195" s="645"/>
      <c r="T195" s="64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342</v>
      </c>
      <c r="B196" s="63" t="s">
        <v>343</v>
      </c>
      <c r="C196" s="36">
        <v>4301032051</v>
      </c>
      <c r="D196" s="643">
        <v>4680115886742</v>
      </c>
      <c r="E196" s="643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645"/>
      <c r="R196" s="645"/>
      <c r="S196" s="645"/>
      <c r="T196" s="64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345</v>
      </c>
      <c r="B197" s="63" t="s">
        <v>346</v>
      </c>
      <c r="C197" s="36">
        <v>4301032052</v>
      </c>
      <c r="D197" s="643">
        <v>4680115886766</v>
      </c>
      <c r="E197" s="643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645"/>
      <c r="R197" s="645"/>
      <c r="S197" s="645"/>
      <c r="T197" s="64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42" t="s">
        <v>347</v>
      </c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4301170013</v>
      </c>
      <c r="D201" s="643">
        <v>4680115886797</v>
      </c>
      <c r="E201" s="643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645"/>
      <c r="R201" s="645"/>
      <c r="S201" s="645"/>
      <c r="T201" s="64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41" t="s">
        <v>350</v>
      </c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5"/>
      <c r="AB204" s="65"/>
      <c r="AC204" s="79"/>
    </row>
    <row r="205" spans="1:68" ht="14.25" hidden="1" customHeight="1" x14ac:dyDescent="0.25">
      <c r="A205" s="642" t="s">
        <v>122</v>
      </c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6"/>
      <c r="AB205" s="66"/>
      <c r="AC205" s="80"/>
    </row>
    <row r="206" spans="1:68" ht="27" hidden="1" customHeight="1" x14ac:dyDescent="0.25">
      <c r="A206" s="63" t="s">
        <v>351</v>
      </c>
      <c r="B206" s="63" t="s">
        <v>352</v>
      </c>
      <c r="C206" s="36">
        <v>4301011450</v>
      </c>
      <c r="D206" s="643">
        <v>4680115881402</v>
      </c>
      <c r="E206" s="643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645"/>
      <c r="R206" s="645"/>
      <c r="S206" s="645"/>
      <c r="T206" s="64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4301011768</v>
      </c>
      <c r="D207" s="643">
        <v>4680115881396</v>
      </c>
      <c r="E207" s="643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645"/>
      <c r="R207" s="645"/>
      <c r="S207" s="645"/>
      <c r="T207" s="64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hidden="1" x14ac:dyDescent="0.2">
      <c r="A208" s="651"/>
      <c r="B208" s="651"/>
      <c r="C208" s="651"/>
      <c r="D208" s="651"/>
      <c r="E208" s="651"/>
      <c r="F208" s="651"/>
      <c r="G208" s="651"/>
      <c r="H208" s="651"/>
      <c r="I208" s="651"/>
      <c r="J208" s="651"/>
      <c r="K208" s="651"/>
      <c r="L208" s="651"/>
      <c r="M208" s="651"/>
      <c r="N208" s="651"/>
      <c r="O208" s="652"/>
      <c r="P208" s="648" t="s">
        <v>40</v>
      </c>
      <c r="Q208" s="649"/>
      <c r="R208" s="649"/>
      <c r="S208" s="649"/>
      <c r="T208" s="649"/>
      <c r="U208" s="649"/>
      <c r="V208" s="650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hidden="1" x14ac:dyDescent="0.2">
      <c r="A209" s="651"/>
      <c r="B209" s="651"/>
      <c r="C209" s="651"/>
      <c r="D209" s="651"/>
      <c r="E209" s="651"/>
      <c r="F209" s="651"/>
      <c r="G209" s="651"/>
      <c r="H209" s="651"/>
      <c r="I209" s="651"/>
      <c r="J209" s="651"/>
      <c r="K209" s="651"/>
      <c r="L209" s="651"/>
      <c r="M209" s="651"/>
      <c r="N209" s="651"/>
      <c r="O209" s="652"/>
      <c r="P209" s="648" t="s">
        <v>40</v>
      </c>
      <c r="Q209" s="649"/>
      <c r="R209" s="649"/>
      <c r="S209" s="649"/>
      <c r="T209" s="649"/>
      <c r="U209" s="649"/>
      <c r="V209" s="650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hidden="1" customHeight="1" x14ac:dyDescent="0.25">
      <c r="A210" s="642" t="s">
        <v>156</v>
      </c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6"/>
      <c r="AB210" s="66"/>
      <c r="AC210" s="80"/>
    </row>
    <row r="211" spans="1:68" ht="16.5" hidden="1" customHeight="1" x14ac:dyDescent="0.25">
      <c r="A211" s="63" t="s">
        <v>356</v>
      </c>
      <c r="B211" s="63" t="s">
        <v>357</v>
      </c>
      <c r="C211" s="36">
        <v>4301020261</v>
      </c>
      <c r="D211" s="643">
        <v>4680115882935</v>
      </c>
      <c r="E211" s="64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645"/>
      <c r="R211" s="645"/>
      <c r="S211" s="645"/>
      <c r="T211" s="646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hidden="1" customHeight="1" x14ac:dyDescent="0.25">
      <c r="A212" s="63" t="s">
        <v>359</v>
      </c>
      <c r="B212" s="63" t="s">
        <v>360</v>
      </c>
      <c r="C212" s="36">
        <v>4301020220</v>
      </c>
      <c r="D212" s="643">
        <v>4680115880764</v>
      </c>
      <c r="E212" s="643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645"/>
      <c r="R212" s="645"/>
      <c r="S212" s="645"/>
      <c r="T212" s="646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hidden="1" customHeight="1" x14ac:dyDescent="0.25">
      <c r="A215" s="642" t="s">
        <v>77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643">
        <v>4680115882683</v>
      </c>
      <c r="E216" s="643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645"/>
      <c r="R216" s="645"/>
      <c r="S216" s="645"/>
      <c r="T216" s="646"/>
      <c r="U216" s="39" t="s">
        <v>46</v>
      </c>
      <c r="V216" s="39" t="s">
        <v>46</v>
      </c>
      <c r="W216" s="40" t="s">
        <v>0</v>
      </c>
      <c r="X216" s="58">
        <v>75</v>
      </c>
      <c r="Y216" s="55">
        <f t="shared" ref="Y216:Y223" si="22">IFERROR(IF(X216="",0,CEILING((X216/$H216),1)*$H216),"")</f>
        <v>75.600000000000009</v>
      </c>
      <c r="Z216" s="41">
        <f>IFERROR(IF(Y216=0,"",ROUNDUP(Y216/H216,0)*0.00902),"")</f>
        <v>0.12628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77.638888888888886</v>
      </c>
      <c r="BN216" s="78">
        <f t="shared" ref="BN216:BN223" si="24">IFERROR(Y216*I216/H216,"0")</f>
        <v>78.260000000000005</v>
      </c>
      <c r="BO216" s="78">
        <f t="shared" ref="BO216:BO223" si="25">IFERROR(1/J216*(X216/H216),"0")</f>
        <v>0.10521885521885521</v>
      </c>
      <c r="BP216" s="78">
        <f t="shared" ref="BP216:BP223" si="26">IFERROR(1/J216*(Y216/H216),"0")</f>
        <v>0.10606060606060606</v>
      </c>
    </row>
    <row r="217" spans="1:68" ht="27" hidden="1" customHeight="1" x14ac:dyDescent="0.25">
      <c r="A217" s="63" t="s">
        <v>364</v>
      </c>
      <c r="B217" s="63" t="s">
        <v>365</v>
      </c>
      <c r="C217" s="36">
        <v>4301031230</v>
      </c>
      <c r="D217" s="643">
        <v>4680115882690</v>
      </c>
      <c r="E217" s="643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645"/>
      <c r="R217" s="645"/>
      <c r="S217" s="645"/>
      <c r="T217" s="646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hidden="1" customHeight="1" x14ac:dyDescent="0.25">
      <c r="A218" s="63" t="s">
        <v>367</v>
      </c>
      <c r="B218" s="63" t="s">
        <v>368</v>
      </c>
      <c r="C218" s="36">
        <v>4301031220</v>
      </c>
      <c r="D218" s="643">
        <v>4680115882669</v>
      </c>
      <c r="E218" s="643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645"/>
      <c r="R218" s="645"/>
      <c r="S218" s="645"/>
      <c r="T218" s="646"/>
      <c r="U218" s="39" t="s">
        <v>46</v>
      </c>
      <c r="V218" s="39" t="s">
        <v>46</v>
      </c>
      <c r="W218" s="40" t="s">
        <v>0</v>
      </c>
      <c r="X218" s="58"/>
      <c r="Y218" s="55">
        <f t="shared" si="22"/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0</v>
      </c>
      <c r="BN218" s="78">
        <f t="shared" si="24"/>
        <v>0</v>
      </c>
      <c r="BO218" s="78">
        <f t="shared" si="25"/>
        <v>0</v>
      </c>
      <c r="BP218" s="78">
        <f t="shared" si="26"/>
        <v>0</v>
      </c>
    </row>
    <row r="219" spans="1:68" ht="27" hidden="1" customHeight="1" x14ac:dyDescent="0.25">
      <c r="A219" s="63" t="s">
        <v>370</v>
      </c>
      <c r="B219" s="63" t="s">
        <v>371</v>
      </c>
      <c r="C219" s="36">
        <v>4301031221</v>
      </c>
      <c r="D219" s="643">
        <v>4680115882676</v>
      </c>
      <c r="E219" s="643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645"/>
      <c r="R219" s="645"/>
      <c r="S219" s="645"/>
      <c r="T219" s="646"/>
      <c r="U219" s="39" t="s">
        <v>46</v>
      </c>
      <c r="V219" s="39" t="s">
        <v>46</v>
      </c>
      <c r="W219" s="40" t="s">
        <v>0</v>
      </c>
      <c r="X219" s="58"/>
      <c r="Y219" s="55">
        <f t="shared" si="2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0</v>
      </c>
      <c r="BN219" s="78">
        <f t="shared" si="24"/>
        <v>0</v>
      </c>
      <c r="BO219" s="78">
        <f t="shared" si="25"/>
        <v>0</v>
      </c>
      <c r="BP219" s="78">
        <f t="shared" si="26"/>
        <v>0</v>
      </c>
    </row>
    <row r="220" spans="1:68" ht="27" hidden="1" customHeight="1" x14ac:dyDescent="0.25">
      <c r="A220" s="63" t="s">
        <v>373</v>
      </c>
      <c r="B220" s="63" t="s">
        <v>374</v>
      </c>
      <c r="C220" s="36">
        <v>4301031223</v>
      </c>
      <c r="D220" s="643">
        <v>4680115884014</v>
      </c>
      <c r="E220" s="64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645"/>
      <c r="R220" s="645"/>
      <c r="S220" s="645"/>
      <c r="T220" s="64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hidden="1" customHeight="1" x14ac:dyDescent="0.25">
      <c r="A221" s="63" t="s">
        <v>375</v>
      </c>
      <c r="B221" s="63" t="s">
        <v>376</v>
      </c>
      <c r="C221" s="36">
        <v>4301031222</v>
      </c>
      <c r="D221" s="643">
        <v>4680115884007</v>
      </c>
      <c r="E221" s="643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645"/>
      <c r="R221" s="645"/>
      <c r="S221" s="645"/>
      <c r="T221" s="64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4301031229</v>
      </c>
      <c r="D222" s="643">
        <v>4680115884038</v>
      </c>
      <c r="E222" s="643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645"/>
      <c r="R222" s="645"/>
      <c r="S222" s="645"/>
      <c r="T222" s="64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4301031225</v>
      </c>
      <c r="D223" s="643">
        <v>4680115884021</v>
      </c>
      <c r="E223" s="64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645"/>
      <c r="R223" s="645"/>
      <c r="S223" s="645"/>
      <c r="T223" s="64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13.888888888888888</v>
      </c>
      <c r="Y224" s="43">
        <f>IFERROR(Y216/H216,"0")+IFERROR(Y217/H217,"0")+IFERROR(Y218/H218,"0")+IFERROR(Y219/H219,"0")+IFERROR(Y220/H220,"0")+IFERROR(Y221/H221,"0")+IFERROR(Y222/H222,"0")+IFERROR(Y223/H223,"0")</f>
        <v>14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0.12628</v>
      </c>
      <c r="AA224" s="67"/>
      <c r="AB224" s="67"/>
      <c r="AC224" s="67"/>
    </row>
    <row r="225" spans="1:68" x14ac:dyDescent="0.2">
      <c r="A225" s="651"/>
      <c r="B225" s="651"/>
      <c r="C225" s="651"/>
      <c r="D225" s="651"/>
      <c r="E225" s="651"/>
      <c r="F225" s="651"/>
      <c r="G225" s="651"/>
      <c r="H225" s="651"/>
      <c r="I225" s="651"/>
      <c r="J225" s="651"/>
      <c r="K225" s="651"/>
      <c r="L225" s="651"/>
      <c r="M225" s="651"/>
      <c r="N225" s="651"/>
      <c r="O225" s="652"/>
      <c r="P225" s="648" t="s">
        <v>40</v>
      </c>
      <c r="Q225" s="649"/>
      <c r="R225" s="649"/>
      <c r="S225" s="649"/>
      <c r="T225" s="649"/>
      <c r="U225" s="649"/>
      <c r="V225" s="650"/>
      <c r="W225" s="42" t="s">
        <v>0</v>
      </c>
      <c r="X225" s="43">
        <f>IFERROR(SUM(X216:X223),"0")</f>
        <v>75</v>
      </c>
      <c r="Y225" s="43">
        <f>IFERROR(SUM(Y216:Y223),"0")</f>
        <v>75.600000000000009</v>
      </c>
      <c r="Z225" s="42"/>
      <c r="AA225" s="67"/>
      <c r="AB225" s="67"/>
      <c r="AC225" s="67"/>
    </row>
    <row r="226" spans="1:68" ht="14.25" hidden="1" customHeight="1" x14ac:dyDescent="0.25">
      <c r="A226" s="642" t="s">
        <v>87</v>
      </c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643">
        <v>4680115881594</v>
      </c>
      <c r="E227" s="643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645"/>
      <c r="R227" s="645"/>
      <c r="S227" s="645"/>
      <c r="T227" s="646"/>
      <c r="U227" s="39" t="s">
        <v>46</v>
      </c>
      <c r="V227" s="39" t="s">
        <v>46</v>
      </c>
      <c r="W227" s="40" t="s">
        <v>0</v>
      </c>
      <c r="X227" s="58">
        <v>15</v>
      </c>
      <c r="Y227" s="55">
        <f t="shared" ref="Y227:Y236" si="27">IFERROR(IF(X227="",0,CEILING((X227/$H227),1)*$H227),"")</f>
        <v>16.2</v>
      </c>
      <c r="Z227" s="41">
        <f>IFERROR(IF(Y227=0,"",ROUNDUP(Y227/H227,0)*0.01898),"")</f>
        <v>3.7960000000000001E-2</v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15.914814814814815</v>
      </c>
      <c r="BN227" s="78">
        <f t="shared" ref="BN227:BN236" si="29">IFERROR(Y227*I227/H227,"0")</f>
        <v>17.187999999999999</v>
      </c>
      <c r="BO227" s="78">
        <f t="shared" ref="BO227:BO236" si="30">IFERROR(1/J227*(X227/H227),"0")</f>
        <v>2.8935185185185185E-2</v>
      </c>
      <c r="BP227" s="78">
        <f t="shared" ref="BP227:BP236" si="31">IFERROR(1/J227*(Y227/H227),"0")</f>
        <v>3.125E-2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643">
        <v>4680115881617</v>
      </c>
      <c r="E228" s="643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645"/>
      <c r="R228" s="645"/>
      <c r="S228" s="645"/>
      <c r="T228" s="646"/>
      <c r="U228" s="39" t="s">
        <v>46</v>
      </c>
      <c r="V228" s="39" t="s">
        <v>46</v>
      </c>
      <c r="W228" s="40" t="s">
        <v>0</v>
      </c>
      <c r="X228" s="58">
        <v>24</v>
      </c>
      <c r="Y228" s="55">
        <f t="shared" si="27"/>
        <v>24.299999999999997</v>
      </c>
      <c r="Z228" s="41">
        <f>IFERROR(IF(Y228=0,"",ROUNDUP(Y228/H228,0)*0.01898),"")</f>
        <v>5.6940000000000004E-2</v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25.410370370370373</v>
      </c>
      <c r="BN228" s="78">
        <f t="shared" si="29"/>
        <v>25.727999999999998</v>
      </c>
      <c r="BO228" s="78">
        <f t="shared" si="30"/>
        <v>4.6296296296296301E-2</v>
      </c>
      <c r="BP228" s="78">
        <f t="shared" si="31"/>
        <v>4.6875E-2</v>
      </c>
    </row>
    <row r="229" spans="1:68" ht="27" hidden="1" customHeight="1" x14ac:dyDescent="0.25">
      <c r="A229" s="63" t="s">
        <v>387</v>
      </c>
      <c r="B229" s="63" t="s">
        <v>388</v>
      </c>
      <c r="C229" s="36">
        <v>4301051656</v>
      </c>
      <c r="D229" s="643">
        <v>4680115880573</v>
      </c>
      <c r="E229" s="643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645"/>
      <c r="R229" s="645"/>
      <c r="S229" s="645"/>
      <c r="T229" s="64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4301051407</v>
      </c>
      <c r="D230" s="643">
        <v>4680115882195</v>
      </c>
      <c r="E230" s="643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645"/>
      <c r="R230" s="645"/>
      <c r="S230" s="645"/>
      <c r="T230" s="646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392</v>
      </c>
      <c r="B231" s="63" t="s">
        <v>393</v>
      </c>
      <c r="C231" s="36">
        <v>4301051752</v>
      </c>
      <c r="D231" s="643">
        <v>4680115882607</v>
      </c>
      <c r="E231" s="643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645"/>
      <c r="R231" s="645"/>
      <c r="S231" s="645"/>
      <c r="T231" s="64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394</v>
      </c>
      <c r="B232" s="63" t="s">
        <v>395</v>
      </c>
      <c r="C232" s="36">
        <v>4301051666</v>
      </c>
      <c r="D232" s="643">
        <v>4680115880092</v>
      </c>
      <c r="E232" s="643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5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645"/>
      <c r="R232" s="645"/>
      <c r="S232" s="645"/>
      <c r="T232" s="646"/>
      <c r="U232" s="39" t="s">
        <v>46</v>
      </c>
      <c r="V232" s="39" t="s">
        <v>46</v>
      </c>
      <c r="W232" s="40" t="s">
        <v>0</v>
      </c>
      <c r="X232" s="58">
        <v>7.2</v>
      </c>
      <c r="Y232" s="55">
        <f t="shared" si="27"/>
        <v>7.1999999999999993</v>
      </c>
      <c r="Z232" s="41">
        <f t="shared" si="32"/>
        <v>1.9529999999999999E-2</v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7.9560000000000004</v>
      </c>
      <c r="BN232" s="78">
        <f t="shared" si="29"/>
        <v>7.9560000000000004</v>
      </c>
      <c r="BO232" s="78">
        <f t="shared" si="30"/>
        <v>1.6483516483516484E-2</v>
      </c>
      <c r="BP232" s="78">
        <f t="shared" si="31"/>
        <v>1.6483516483516484E-2</v>
      </c>
    </row>
    <row r="233" spans="1:68" ht="27" hidden="1" customHeight="1" x14ac:dyDescent="0.25">
      <c r="A233" s="63" t="s">
        <v>396</v>
      </c>
      <c r="B233" s="63" t="s">
        <v>397</v>
      </c>
      <c r="C233" s="36">
        <v>4301051668</v>
      </c>
      <c r="D233" s="643">
        <v>4680115880221</v>
      </c>
      <c r="E233" s="643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645"/>
      <c r="R233" s="645"/>
      <c r="S233" s="645"/>
      <c r="T233" s="64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398</v>
      </c>
      <c r="B234" s="63" t="s">
        <v>399</v>
      </c>
      <c r="C234" s="36">
        <v>4301051945</v>
      </c>
      <c r="D234" s="643">
        <v>4680115880504</v>
      </c>
      <c r="E234" s="643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645"/>
      <c r="R234" s="645"/>
      <c r="S234" s="645"/>
      <c r="T234" s="64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401</v>
      </c>
      <c r="B235" s="63" t="s">
        <v>402</v>
      </c>
      <c r="C235" s="36">
        <v>4301051410</v>
      </c>
      <c r="D235" s="643">
        <v>4680115882164</v>
      </c>
      <c r="E235" s="643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645"/>
      <c r="R235" s="645"/>
      <c r="S235" s="645"/>
      <c r="T235" s="64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404</v>
      </c>
      <c r="B236" s="63" t="s">
        <v>405</v>
      </c>
      <c r="C236" s="36">
        <v>4301052180</v>
      </c>
      <c r="D236" s="643">
        <v>4680115888340</v>
      </c>
      <c r="E236" s="643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63" t="s">
        <v>406</v>
      </c>
      <c r="Q236" s="645"/>
      <c r="R236" s="645"/>
      <c r="S236" s="645"/>
      <c r="T236" s="64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651"/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2"/>
      <c r="P237" s="648" t="s">
        <v>40</v>
      </c>
      <c r="Q237" s="649"/>
      <c r="R237" s="649"/>
      <c r="S237" s="649"/>
      <c r="T237" s="649"/>
      <c r="U237" s="649"/>
      <c r="V237" s="650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7.8148148148148149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8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0.11443</v>
      </c>
      <c r="AA237" s="67"/>
      <c r="AB237" s="67"/>
      <c r="AC237" s="67"/>
    </row>
    <row r="238" spans="1:68" x14ac:dyDescent="0.2">
      <c r="A238" s="651"/>
      <c r="B238" s="651"/>
      <c r="C238" s="651"/>
      <c r="D238" s="651"/>
      <c r="E238" s="651"/>
      <c r="F238" s="651"/>
      <c r="G238" s="651"/>
      <c r="H238" s="651"/>
      <c r="I238" s="651"/>
      <c r="J238" s="651"/>
      <c r="K238" s="651"/>
      <c r="L238" s="651"/>
      <c r="M238" s="651"/>
      <c r="N238" s="651"/>
      <c r="O238" s="652"/>
      <c r="P238" s="648" t="s">
        <v>40</v>
      </c>
      <c r="Q238" s="649"/>
      <c r="R238" s="649"/>
      <c r="S238" s="649"/>
      <c r="T238" s="649"/>
      <c r="U238" s="649"/>
      <c r="V238" s="650"/>
      <c r="W238" s="42" t="s">
        <v>0</v>
      </c>
      <c r="X238" s="43">
        <f>IFERROR(SUM(X227:X236),"0")</f>
        <v>46.2</v>
      </c>
      <c r="Y238" s="43">
        <f>IFERROR(SUM(Y227:Y236),"0")</f>
        <v>47.7</v>
      </c>
      <c r="Z238" s="42"/>
      <c r="AA238" s="67"/>
      <c r="AB238" s="67"/>
      <c r="AC238" s="67"/>
    </row>
    <row r="239" spans="1:68" ht="14.25" hidden="1" customHeight="1" x14ac:dyDescent="0.25">
      <c r="A239" s="642" t="s">
        <v>176</v>
      </c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6"/>
      <c r="AB239" s="66"/>
      <c r="AC239" s="80"/>
    </row>
    <row r="240" spans="1:68" ht="27" hidden="1" customHeight="1" x14ac:dyDescent="0.25">
      <c r="A240" s="63" t="s">
        <v>408</v>
      </c>
      <c r="B240" s="63" t="s">
        <v>409</v>
      </c>
      <c r="C240" s="36">
        <v>4301060463</v>
      </c>
      <c r="D240" s="643">
        <v>4680115880818</v>
      </c>
      <c r="E240" s="643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645"/>
      <c r="R240" s="645"/>
      <c r="S240" s="645"/>
      <c r="T240" s="64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hidden="1" customHeight="1" x14ac:dyDescent="0.25">
      <c r="A241" s="63" t="s">
        <v>411</v>
      </c>
      <c r="B241" s="63" t="s">
        <v>412</v>
      </c>
      <c r="C241" s="36">
        <v>4301060389</v>
      </c>
      <c r="D241" s="643">
        <v>4680115880801</v>
      </c>
      <c r="E241" s="643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645"/>
      <c r="R241" s="645"/>
      <c r="S241" s="645"/>
      <c r="T241" s="64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idden="1" x14ac:dyDescent="0.2">
      <c r="A242" s="651"/>
      <c r="B242" s="651"/>
      <c r="C242" s="651"/>
      <c r="D242" s="651"/>
      <c r="E242" s="651"/>
      <c r="F242" s="651"/>
      <c r="G242" s="651"/>
      <c r="H242" s="651"/>
      <c r="I242" s="651"/>
      <c r="J242" s="651"/>
      <c r="K242" s="651"/>
      <c r="L242" s="651"/>
      <c r="M242" s="651"/>
      <c r="N242" s="651"/>
      <c r="O242" s="652"/>
      <c r="P242" s="648" t="s">
        <v>40</v>
      </c>
      <c r="Q242" s="649"/>
      <c r="R242" s="649"/>
      <c r="S242" s="649"/>
      <c r="T242" s="649"/>
      <c r="U242" s="649"/>
      <c r="V242" s="650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hidden="1" customHeight="1" x14ac:dyDescent="0.25">
      <c r="A244" s="641" t="s">
        <v>414</v>
      </c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5"/>
      <c r="AB244" s="65"/>
      <c r="AC244" s="79"/>
    </row>
    <row r="245" spans="1:68" ht="14.25" hidden="1" customHeight="1" x14ac:dyDescent="0.25">
      <c r="A245" s="642" t="s">
        <v>122</v>
      </c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6"/>
      <c r="AB245" s="66"/>
      <c r="AC245" s="80"/>
    </row>
    <row r="246" spans="1:68" ht="27" hidden="1" customHeight="1" x14ac:dyDescent="0.25">
      <c r="A246" s="63" t="s">
        <v>415</v>
      </c>
      <c r="B246" s="63" t="s">
        <v>416</v>
      </c>
      <c r="C246" s="36">
        <v>4301011826</v>
      </c>
      <c r="D246" s="643">
        <v>4680115884137</v>
      </c>
      <c r="E246" s="643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645"/>
      <c r="R246" s="645"/>
      <c r="S246" s="645"/>
      <c r="T246" s="64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hidden="1" customHeight="1" x14ac:dyDescent="0.25">
      <c r="A247" s="63" t="s">
        <v>418</v>
      </c>
      <c r="B247" s="63" t="s">
        <v>419</v>
      </c>
      <c r="C247" s="36">
        <v>4301011724</v>
      </c>
      <c r="D247" s="643">
        <v>4680115884236</v>
      </c>
      <c r="E247" s="643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645"/>
      <c r="R247" s="645"/>
      <c r="S247" s="645"/>
      <c r="T247" s="64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421</v>
      </c>
      <c r="B248" s="63" t="s">
        <v>422</v>
      </c>
      <c r="C248" s="36">
        <v>4301011721</v>
      </c>
      <c r="D248" s="643">
        <v>4680115884175</v>
      </c>
      <c r="E248" s="643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645"/>
      <c r="R248" s="645"/>
      <c r="S248" s="645"/>
      <c r="T248" s="646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hidden="1" customHeight="1" x14ac:dyDescent="0.25">
      <c r="A249" s="63" t="s">
        <v>424</v>
      </c>
      <c r="B249" s="63" t="s">
        <v>425</v>
      </c>
      <c r="C249" s="36">
        <v>4301011824</v>
      </c>
      <c r="D249" s="643">
        <v>4680115884144</v>
      </c>
      <c r="E249" s="643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645"/>
      <c r="R249" s="645"/>
      <c r="S249" s="645"/>
      <c r="T249" s="646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hidden="1" customHeight="1" x14ac:dyDescent="0.25">
      <c r="A250" s="63" t="s">
        <v>426</v>
      </c>
      <c r="B250" s="63" t="s">
        <v>427</v>
      </c>
      <c r="C250" s="36">
        <v>4301012149</v>
      </c>
      <c r="D250" s="643">
        <v>4680115886551</v>
      </c>
      <c r="E250" s="643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645"/>
      <c r="R250" s="645"/>
      <c r="S250" s="645"/>
      <c r="T250" s="646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hidden="1" customHeight="1" x14ac:dyDescent="0.25">
      <c r="A251" s="63" t="s">
        <v>429</v>
      </c>
      <c r="B251" s="63" t="s">
        <v>430</v>
      </c>
      <c r="C251" s="36">
        <v>4301012228</v>
      </c>
      <c r="D251" s="643">
        <v>4680115887282</v>
      </c>
      <c r="E251" s="643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645"/>
      <c r="R251" s="645"/>
      <c r="S251" s="645"/>
      <c r="T251" s="64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hidden="1" customHeight="1" x14ac:dyDescent="0.25">
      <c r="A252" s="63" t="s">
        <v>432</v>
      </c>
      <c r="B252" s="63" t="s">
        <v>433</v>
      </c>
      <c r="C252" s="36">
        <v>4301011722</v>
      </c>
      <c r="D252" s="643">
        <v>4680115884205</v>
      </c>
      <c r="E252" s="643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645"/>
      <c r="R252" s="645"/>
      <c r="S252" s="645"/>
      <c r="T252" s="64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42" t="s">
        <v>156</v>
      </c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6"/>
      <c r="AB255" s="66"/>
      <c r="AC255" s="80"/>
    </row>
    <row r="256" spans="1:68" ht="27" hidden="1" customHeight="1" x14ac:dyDescent="0.25">
      <c r="A256" s="63" t="s">
        <v>434</v>
      </c>
      <c r="B256" s="63" t="s">
        <v>435</v>
      </c>
      <c r="C256" s="36">
        <v>4301020377</v>
      </c>
      <c r="D256" s="643">
        <v>4680115885981</v>
      </c>
      <c r="E256" s="643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7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645"/>
      <c r="R256" s="645"/>
      <c r="S256" s="645"/>
      <c r="T256" s="64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2" t="s">
        <v>437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6"/>
      <c r="AB259" s="66"/>
      <c r="AC259" s="80"/>
    </row>
    <row r="260" spans="1:68" ht="27" hidden="1" customHeight="1" x14ac:dyDescent="0.25">
      <c r="A260" s="63" t="s">
        <v>438</v>
      </c>
      <c r="B260" s="63" t="s">
        <v>439</v>
      </c>
      <c r="C260" s="36">
        <v>4301040362</v>
      </c>
      <c r="D260" s="643">
        <v>4680115886803</v>
      </c>
      <c r="E260" s="643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645"/>
      <c r="R260" s="645"/>
      <c r="S260" s="645"/>
      <c r="T260" s="64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51"/>
      <c r="B261" s="651"/>
      <c r="C261" s="651"/>
      <c r="D261" s="651"/>
      <c r="E261" s="651"/>
      <c r="F261" s="651"/>
      <c r="G261" s="651"/>
      <c r="H261" s="651"/>
      <c r="I261" s="651"/>
      <c r="J261" s="651"/>
      <c r="K261" s="651"/>
      <c r="L261" s="651"/>
      <c r="M261" s="651"/>
      <c r="N261" s="651"/>
      <c r="O261" s="652"/>
      <c r="P261" s="648" t="s">
        <v>40</v>
      </c>
      <c r="Q261" s="649"/>
      <c r="R261" s="649"/>
      <c r="S261" s="649"/>
      <c r="T261" s="649"/>
      <c r="U261" s="649"/>
      <c r="V261" s="650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651"/>
      <c r="B262" s="651"/>
      <c r="C262" s="651"/>
      <c r="D262" s="651"/>
      <c r="E262" s="651"/>
      <c r="F262" s="651"/>
      <c r="G262" s="651"/>
      <c r="H262" s="651"/>
      <c r="I262" s="651"/>
      <c r="J262" s="651"/>
      <c r="K262" s="651"/>
      <c r="L262" s="651"/>
      <c r="M262" s="651"/>
      <c r="N262" s="651"/>
      <c r="O262" s="652"/>
      <c r="P262" s="648" t="s">
        <v>40</v>
      </c>
      <c r="Q262" s="649"/>
      <c r="R262" s="649"/>
      <c r="S262" s="649"/>
      <c r="T262" s="649"/>
      <c r="U262" s="649"/>
      <c r="V262" s="650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42" t="s">
        <v>441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6"/>
      <c r="AB263" s="66"/>
      <c r="AC263" s="80"/>
    </row>
    <row r="264" spans="1:68" ht="27" hidden="1" customHeight="1" x14ac:dyDescent="0.25">
      <c r="A264" s="63" t="s">
        <v>442</v>
      </c>
      <c r="B264" s="63" t="s">
        <v>443</v>
      </c>
      <c r="C264" s="36">
        <v>4301041004</v>
      </c>
      <c r="D264" s="643">
        <v>4680115886704</v>
      </c>
      <c r="E264" s="643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645"/>
      <c r="R264" s="645"/>
      <c r="S264" s="645"/>
      <c r="T264" s="64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445</v>
      </c>
      <c r="B265" s="63" t="s">
        <v>446</v>
      </c>
      <c r="C265" s="36">
        <v>4301041008</v>
      </c>
      <c r="D265" s="643">
        <v>4680115886681</v>
      </c>
      <c r="E265" s="643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645"/>
      <c r="R265" s="645"/>
      <c r="S265" s="645"/>
      <c r="T265" s="64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4301041007</v>
      </c>
      <c r="D266" s="643">
        <v>4680115886735</v>
      </c>
      <c r="E266" s="643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645"/>
      <c r="R266" s="645"/>
      <c r="S266" s="645"/>
      <c r="T266" s="64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4301041006</v>
      </c>
      <c r="D267" s="643">
        <v>4680115886728</v>
      </c>
      <c r="E267" s="643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645"/>
      <c r="R267" s="645"/>
      <c r="S267" s="645"/>
      <c r="T267" s="64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4301041005</v>
      </c>
      <c r="D268" s="643">
        <v>4680115886711</v>
      </c>
      <c r="E268" s="643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7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645"/>
      <c r="R268" s="645"/>
      <c r="S268" s="645"/>
      <c r="T268" s="64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hidden="1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hidden="1" customHeight="1" x14ac:dyDescent="0.25">
      <c r="A271" s="641" t="s">
        <v>453</v>
      </c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5"/>
      <c r="AB271" s="65"/>
      <c r="AC271" s="79"/>
    </row>
    <row r="272" spans="1:68" ht="14.25" hidden="1" customHeight="1" x14ac:dyDescent="0.25">
      <c r="A272" s="642" t="s">
        <v>122</v>
      </c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6"/>
      <c r="AB272" s="66"/>
      <c r="AC272" s="80"/>
    </row>
    <row r="273" spans="1:68" ht="27" hidden="1" customHeight="1" x14ac:dyDescent="0.25">
      <c r="A273" s="63" t="s">
        <v>454</v>
      </c>
      <c r="B273" s="63" t="s">
        <v>455</v>
      </c>
      <c r="C273" s="36">
        <v>4301011855</v>
      </c>
      <c r="D273" s="643">
        <v>4680115885837</v>
      </c>
      <c r="E273" s="64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645"/>
      <c r="R273" s="645"/>
      <c r="S273" s="645"/>
      <c r="T273" s="646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457</v>
      </c>
      <c r="B274" s="63" t="s">
        <v>458</v>
      </c>
      <c r="C274" s="36">
        <v>4301012234</v>
      </c>
      <c r="D274" s="643">
        <v>4680115887237</v>
      </c>
      <c r="E274" s="64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645"/>
      <c r="R274" s="645"/>
      <c r="S274" s="645"/>
      <c r="T274" s="646"/>
      <c r="U274" s="39" t="s">
        <v>46</v>
      </c>
      <c r="V274" s="39" t="s">
        <v>46</v>
      </c>
      <c r="W274" s="40" t="s">
        <v>0</v>
      </c>
      <c r="X274" s="58">
        <v>20</v>
      </c>
      <c r="Y274" s="55">
        <f>IFERROR(IF(X274="",0,CEILING((X274/$H274),1)*$H274),"")</f>
        <v>21.6</v>
      </c>
      <c r="Z274" s="41">
        <f>IFERROR(IF(Y274=0,"",ROUNDUP(Y274/H274,0)*0.01898),"")</f>
        <v>3.7960000000000001E-2</v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20.75925925925926</v>
      </c>
      <c r="BN274" s="78">
        <f>IFERROR(Y274*I274/H274,"0")</f>
        <v>22.42</v>
      </c>
      <c r="BO274" s="78">
        <f>IFERROR(1/J274*(X274/H274),"0")</f>
        <v>2.8935185185185182E-2</v>
      </c>
      <c r="BP274" s="78">
        <f>IFERROR(1/J274*(Y274/H274),"0")</f>
        <v>3.125E-2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643">
        <v>4680115885806</v>
      </c>
      <c r="E275" s="64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645"/>
      <c r="R275" s="645"/>
      <c r="S275" s="645"/>
      <c r="T275" s="646"/>
      <c r="U275" s="39" t="s">
        <v>46</v>
      </c>
      <c r="V275" s="39" t="s">
        <v>46</v>
      </c>
      <c r="W275" s="40" t="s">
        <v>0</v>
      </c>
      <c r="X275" s="58">
        <v>60</v>
      </c>
      <c r="Y275" s="55">
        <f>IFERROR(IF(X275="",0,CEILING((X275/$H275),1)*$H275),"")</f>
        <v>64.800000000000011</v>
      </c>
      <c r="Z275" s="41">
        <f>IFERROR(IF(Y275=0,"",ROUNDUP(Y275/H275,0)*0.01898),"")</f>
        <v>0.11388000000000001</v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62.277777777777779</v>
      </c>
      <c r="BN275" s="78">
        <f>IFERROR(Y275*I275/H275,"0")</f>
        <v>67.260000000000005</v>
      </c>
      <c r="BO275" s="78">
        <f>IFERROR(1/J275*(X275/H275),"0")</f>
        <v>8.6805555555555552E-2</v>
      </c>
      <c r="BP275" s="78">
        <f>IFERROR(1/J275*(Y275/H275),"0")</f>
        <v>9.3750000000000014E-2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4301011852</v>
      </c>
      <c r="D276" s="643">
        <v>4680115885844</v>
      </c>
      <c r="E276" s="643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645"/>
      <c r="R276" s="645"/>
      <c r="S276" s="645"/>
      <c r="T276" s="646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hidden="1" customHeight="1" x14ac:dyDescent="0.25">
      <c r="A277" s="63" t="s">
        <v>466</v>
      </c>
      <c r="B277" s="63" t="s">
        <v>467</v>
      </c>
      <c r="C277" s="36">
        <v>4301011851</v>
      </c>
      <c r="D277" s="643">
        <v>4680115885820</v>
      </c>
      <c r="E277" s="643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7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645"/>
      <c r="R277" s="645"/>
      <c r="S277" s="645"/>
      <c r="T277" s="64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651"/>
      <c r="B278" s="651"/>
      <c r="C278" s="651"/>
      <c r="D278" s="651"/>
      <c r="E278" s="651"/>
      <c r="F278" s="651"/>
      <c r="G278" s="651"/>
      <c r="H278" s="651"/>
      <c r="I278" s="651"/>
      <c r="J278" s="651"/>
      <c r="K278" s="651"/>
      <c r="L278" s="651"/>
      <c r="M278" s="651"/>
      <c r="N278" s="651"/>
      <c r="O278" s="652"/>
      <c r="P278" s="648" t="s">
        <v>40</v>
      </c>
      <c r="Q278" s="649"/>
      <c r="R278" s="649"/>
      <c r="S278" s="649"/>
      <c r="T278" s="649"/>
      <c r="U278" s="649"/>
      <c r="V278" s="650"/>
      <c r="W278" s="42" t="s">
        <v>39</v>
      </c>
      <c r="X278" s="43">
        <f>IFERROR(X273/H273,"0")+IFERROR(X274/H274,"0")+IFERROR(X275/H275,"0")+IFERROR(X276/H276,"0")+IFERROR(X277/H277,"0")</f>
        <v>7.4074074074074066</v>
      </c>
      <c r="Y278" s="43">
        <f>IFERROR(Y273/H273,"0")+IFERROR(Y274/H274,"0")+IFERROR(Y275/H275,"0")+IFERROR(Y276/H276,"0")+IFERROR(Y277/H277,"0")</f>
        <v>8</v>
      </c>
      <c r="Z278" s="43">
        <f>IFERROR(IF(Z273="",0,Z273),"0")+IFERROR(IF(Z274="",0,Z274),"0")+IFERROR(IF(Z275="",0,Z275),"0")+IFERROR(IF(Z276="",0,Z276),"0")+IFERROR(IF(Z277="",0,Z277),"0")</f>
        <v>0.15184</v>
      </c>
      <c r="AA278" s="67"/>
      <c r="AB278" s="67"/>
      <c r="AC278" s="67"/>
    </row>
    <row r="279" spans="1:68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2" t="s">
        <v>0</v>
      </c>
      <c r="X279" s="43">
        <f>IFERROR(SUM(X273:X277),"0")</f>
        <v>80</v>
      </c>
      <c r="Y279" s="43">
        <f>IFERROR(SUM(Y273:Y277),"0")</f>
        <v>86.4</v>
      </c>
      <c r="Z279" s="42"/>
      <c r="AA279" s="67"/>
      <c r="AB279" s="67"/>
      <c r="AC279" s="67"/>
    </row>
    <row r="280" spans="1:68" ht="16.5" hidden="1" customHeight="1" x14ac:dyDescent="0.25">
      <c r="A280" s="641" t="s">
        <v>469</v>
      </c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5"/>
      <c r="AB280" s="65"/>
      <c r="AC280" s="79"/>
    </row>
    <row r="281" spans="1:68" ht="14.25" hidden="1" customHeight="1" x14ac:dyDescent="0.25">
      <c r="A281" s="642" t="s">
        <v>122</v>
      </c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6"/>
      <c r="AB281" s="66"/>
      <c r="AC281" s="80"/>
    </row>
    <row r="282" spans="1:68" ht="27" hidden="1" customHeight="1" x14ac:dyDescent="0.25">
      <c r="A282" s="63" t="s">
        <v>470</v>
      </c>
      <c r="B282" s="63" t="s">
        <v>471</v>
      </c>
      <c r="C282" s="36">
        <v>4301011223</v>
      </c>
      <c r="D282" s="643">
        <v>4607091383423</v>
      </c>
      <c r="E282" s="643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645"/>
      <c r="R282" s="645"/>
      <c r="S282" s="645"/>
      <c r="T282" s="64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hidden="1" customHeight="1" x14ac:dyDescent="0.25">
      <c r="A283" s="63" t="s">
        <v>472</v>
      </c>
      <c r="B283" s="63" t="s">
        <v>473</v>
      </c>
      <c r="C283" s="36">
        <v>4301012199</v>
      </c>
      <c r="D283" s="643">
        <v>4680115886957</v>
      </c>
      <c r="E283" s="643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645"/>
      <c r="R283" s="645"/>
      <c r="S283" s="645"/>
      <c r="T283" s="646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4301012098</v>
      </c>
      <c r="D284" s="643">
        <v>4680115885660</v>
      </c>
      <c r="E284" s="643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78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645"/>
      <c r="R284" s="645"/>
      <c r="S284" s="645"/>
      <c r="T284" s="646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hidden="1" customHeight="1" x14ac:dyDescent="0.25">
      <c r="A285" s="63" t="s">
        <v>477</v>
      </c>
      <c r="B285" s="63" t="s">
        <v>478</v>
      </c>
      <c r="C285" s="36">
        <v>4301012176</v>
      </c>
      <c r="D285" s="643">
        <v>4680115886773</v>
      </c>
      <c r="E285" s="643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7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645"/>
      <c r="R285" s="645"/>
      <c r="S285" s="645"/>
      <c r="T285" s="646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idden="1" x14ac:dyDescent="0.2">
      <c r="A286" s="651"/>
      <c r="B286" s="651"/>
      <c r="C286" s="651"/>
      <c r="D286" s="651"/>
      <c r="E286" s="651"/>
      <c r="F286" s="651"/>
      <c r="G286" s="651"/>
      <c r="H286" s="651"/>
      <c r="I286" s="651"/>
      <c r="J286" s="651"/>
      <c r="K286" s="651"/>
      <c r="L286" s="651"/>
      <c r="M286" s="651"/>
      <c r="N286" s="651"/>
      <c r="O286" s="652"/>
      <c r="P286" s="648" t="s">
        <v>40</v>
      </c>
      <c r="Q286" s="649"/>
      <c r="R286" s="649"/>
      <c r="S286" s="649"/>
      <c r="T286" s="649"/>
      <c r="U286" s="649"/>
      <c r="V286" s="650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651"/>
      <c r="B287" s="651"/>
      <c r="C287" s="651"/>
      <c r="D287" s="651"/>
      <c r="E287" s="651"/>
      <c r="F287" s="651"/>
      <c r="G287" s="651"/>
      <c r="H287" s="651"/>
      <c r="I287" s="651"/>
      <c r="J287" s="651"/>
      <c r="K287" s="651"/>
      <c r="L287" s="651"/>
      <c r="M287" s="651"/>
      <c r="N287" s="651"/>
      <c r="O287" s="652"/>
      <c r="P287" s="648" t="s">
        <v>40</v>
      </c>
      <c r="Q287" s="649"/>
      <c r="R287" s="649"/>
      <c r="S287" s="649"/>
      <c r="T287" s="649"/>
      <c r="U287" s="649"/>
      <c r="V287" s="650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hidden="1" customHeight="1" x14ac:dyDescent="0.25">
      <c r="A288" s="641" t="s">
        <v>480</v>
      </c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5"/>
      <c r="AB288" s="65"/>
      <c r="AC288" s="79"/>
    </row>
    <row r="289" spans="1:68" ht="14.25" hidden="1" customHeight="1" x14ac:dyDescent="0.25">
      <c r="A289" s="642" t="s">
        <v>87</v>
      </c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6"/>
      <c r="AB289" s="66"/>
      <c r="AC289" s="80"/>
    </row>
    <row r="290" spans="1:68" ht="27" hidden="1" customHeight="1" x14ac:dyDescent="0.25">
      <c r="A290" s="63" t="s">
        <v>481</v>
      </c>
      <c r="B290" s="63" t="s">
        <v>482</v>
      </c>
      <c r="C290" s="36">
        <v>4301051893</v>
      </c>
      <c r="D290" s="643">
        <v>4680115886186</v>
      </c>
      <c r="E290" s="643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645"/>
      <c r="R290" s="645"/>
      <c r="S290" s="645"/>
      <c r="T290" s="64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hidden="1" customHeight="1" x14ac:dyDescent="0.25">
      <c r="A291" s="63" t="s">
        <v>484</v>
      </c>
      <c r="B291" s="63" t="s">
        <v>485</v>
      </c>
      <c r="C291" s="36">
        <v>4301051795</v>
      </c>
      <c r="D291" s="643">
        <v>4680115881228</v>
      </c>
      <c r="E291" s="64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7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645"/>
      <c r="R291" s="645"/>
      <c r="S291" s="645"/>
      <c r="T291" s="64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487</v>
      </c>
      <c r="B292" s="63" t="s">
        <v>488</v>
      </c>
      <c r="C292" s="36">
        <v>4301051388</v>
      </c>
      <c r="D292" s="643">
        <v>4680115881211</v>
      </c>
      <c r="E292" s="64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645"/>
      <c r="R292" s="645"/>
      <c r="S292" s="645"/>
      <c r="T292" s="64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51"/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2"/>
      <c r="P293" s="648" t="s">
        <v>40</v>
      </c>
      <c r="Q293" s="649"/>
      <c r="R293" s="649"/>
      <c r="S293" s="649"/>
      <c r="T293" s="649"/>
      <c r="U293" s="649"/>
      <c r="V293" s="650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hidden="1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41" t="s">
        <v>489</v>
      </c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5"/>
      <c r="AB295" s="65"/>
      <c r="AC295" s="79"/>
    </row>
    <row r="296" spans="1:68" ht="14.25" hidden="1" customHeight="1" x14ac:dyDescent="0.25">
      <c r="A296" s="642" t="s">
        <v>77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6"/>
      <c r="AB296" s="66"/>
      <c r="AC296" s="80"/>
    </row>
    <row r="297" spans="1:68" ht="27" hidden="1" customHeight="1" x14ac:dyDescent="0.25">
      <c r="A297" s="63" t="s">
        <v>490</v>
      </c>
      <c r="B297" s="63" t="s">
        <v>491</v>
      </c>
      <c r="C297" s="36">
        <v>4301031445</v>
      </c>
      <c r="D297" s="643">
        <v>4680115888319</v>
      </c>
      <c r="E297" s="643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792" t="s">
        <v>492</v>
      </c>
      <c r="Q297" s="645"/>
      <c r="R297" s="645"/>
      <c r="S297" s="645"/>
      <c r="T297" s="64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493</v>
      </c>
      <c r="B298" s="63" t="s">
        <v>494</v>
      </c>
      <c r="C298" s="36">
        <v>4301031424</v>
      </c>
      <c r="D298" s="643">
        <v>4680115884700</v>
      </c>
      <c r="E298" s="643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79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645"/>
      <c r="R298" s="645"/>
      <c r="S298" s="645"/>
      <c r="T298" s="64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496</v>
      </c>
      <c r="B299" s="63" t="s">
        <v>497</v>
      </c>
      <c r="C299" s="36">
        <v>4301031307</v>
      </c>
      <c r="D299" s="643">
        <v>4680115880344</v>
      </c>
      <c r="E299" s="643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645"/>
      <c r="R299" s="645"/>
      <c r="S299" s="645"/>
      <c r="T299" s="64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499</v>
      </c>
      <c r="B300" s="63" t="s">
        <v>500</v>
      </c>
      <c r="C300" s="36">
        <v>4301031429</v>
      </c>
      <c r="D300" s="643">
        <v>4680115886919</v>
      </c>
      <c r="E300" s="64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7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645"/>
      <c r="R300" s="645"/>
      <c r="S300" s="645"/>
      <c r="T300" s="64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hidden="1" x14ac:dyDescent="0.2">
      <c r="A302" s="651"/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2"/>
      <c r="P302" s="648" t="s">
        <v>40</v>
      </c>
      <c r="Q302" s="649"/>
      <c r="R302" s="649"/>
      <c r="S302" s="649"/>
      <c r="T302" s="649"/>
      <c r="U302" s="649"/>
      <c r="V302" s="650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hidden="1" customHeight="1" x14ac:dyDescent="0.25">
      <c r="A303" s="642" t="s">
        <v>87</v>
      </c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6"/>
      <c r="AB303" s="66"/>
      <c r="AC303" s="80"/>
    </row>
    <row r="304" spans="1:68" ht="37.5" hidden="1" customHeight="1" x14ac:dyDescent="0.25">
      <c r="A304" s="63" t="s">
        <v>502</v>
      </c>
      <c r="B304" s="63" t="s">
        <v>503</v>
      </c>
      <c r="C304" s="36">
        <v>4301051782</v>
      </c>
      <c r="D304" s="643">
        <v>4680115884618</v>
      </c>
      <c r="E304" s="643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7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645"/>
      <c r="R304" s="645"/>
      <c r="S304" s="645"/>
      <c r="T304" s="64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hidden="1" customHeight="1" x14ac:dyDescent="0.25">
      <c r="A305" s="63" t="s">
        <v>505</v>
      </c>
      <c r="B305" s="63" t="s">
        <v>506</v>
      </c>
      <c r="C305" s="36">
        <v>4301052057</v>
      </c>
      <c r="D305" s="643">
        <v>4680115887114</v>
      </c>
      <c r="E305" s="643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7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645"/>
      <c r="R305" s="645"/>
      <c r="S305" s="645"/>
      <c r="T305" s="64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hidden="1" customHeight="1" x14ac:dyDescent="0.25">
      <c r="A308" s="641" t="s">
        <v>508</v>
      </c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5"/>
      <c r="AB308" s="65"/>
      <c r="AC308" s="79"/>
    </row>
    <row r="309" spans="1:68" ht="14.25" hidden="1" customHeight="1" x14ac:dyDescent="0.25">
      <c r="A309" s="642" t="s">
        <v>122</v>
      </c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6"/>
      <c r="AB309" s="66"/>
      <c r="AC309" s="80"/>
    </row>
    <row r="310" spans="1:68" ht="27" hidden="1" customHeight="1" x14ac:dyDescent="0.25">
      <c r="A310" s="63" t="s">
        <v>509</v>
      </c>
      <c r="B310" s="63" t="s">
        <v>510</v>
      </c>
      <c r="C310" s="36">
        <v>4301012126</v>
      </c>
      <c r="D310" s="643">
        <v>4607091386004</v>
      </c>
      <c r="E310" s="64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645"/>
      <c r="R310" s="645"/>
      <c r="S310" s="645"/>
      <c r="T310" s="64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hidden="1" customHeight="1" x14ac:dyDescent="0.25">
      <c r="A311" s="63" t="s">
        <v>512</v>
      </c>
      <c r="B311" s="63" t="s">
        <v>513</v>
      </c>
      <c r="C311" s="36">
        <v>4301012024</v>
      </c>
      <c r="D311" s="643">
        <v>4680115885615</v>
      </c>
      <c r="E311" s="64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79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5"/>
      <c r="R311" s="645"/>
      <c r="S311" s="645"/>
      <c r="T311" s="64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hidden="1" customHeight="1" x14ac:dyDescent="0.25">
      <c r="A312" s="63" t="s">
        <v>515</v>
      </c>
      <c r="B312" s="63" t="s">
        <v>516</v>
      </c>
      <c r="C312" s="36">
        <v>4301012235</v>
      </c>
      <c r="D312" s="643">
        <v>4680115887190</v>
      </c>
      <c r="E312" s="64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800" t="s">
        <v>517</v>
      </c>
      <c r="Q312" s="645"/>
      <c r="R312" s="645"/>
      <c r="S312" s="645"/>
      <c r="T312" s="64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hidden="1" customHeight="1" x14ac:dyDescent="0.25">
      <c r="A313" s="63" t="s">
        <v>519</v>
      </c>
      <c r="B313" s="63" t="s">
        <v>520</v>
      </c>
      <c r="C313" s="36">
        <v>4301012233</v>
      </c>
      <c r="D313" s="643">
        <v>4680115887138</v>
      </c>
      <c r="E313" s="64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645"/>
      <c r="R313" s="645"/>
      <c r="S313" s="645"/>
      <c r="T313" s="64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hidden="1" customHeight="1" x14ac:dyDescent="0.25">
      <c r="A314" s="63" t="s">
        <v>522</v>
      </c>
      <c r="B314" s="63" t="s">
        <v>523</v>
      </c>
      <c r="C314" s="36">
        <v>4301012016</v>
      </c>
      <c r="D314" s="643">
        <v>4680115885554</v>
      </c>
      <c r="E314" s="64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8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645"/>
      <c r="R314" s="645"/>
      <c r="S314" s="645"/>
      <c r="T314" s="64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4301011857</v>
      </c>
      <c r="D315" s="643">
        <v>4680115885622</v>
      </c>
      <c r="E315" s="64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5"/>
      <c r="R315" s="645"/>
      <c r="S315" s="645"/>
      <c r="T315" s="646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hidden="1" customHeight="1" x14ac:dyDescent="0.25">
      <c r="A316" s="63" t="s">
        <v>527</v>
      </c>
      <c r="B316" s="63" t="s">
        <v>528</v>
      </c>
      <c r="C316" s="36">
        <v>4301012236</v>
      </c>
      <c r="D316" s="643">
        <v>4680115887220</v>
      </c>
      <c r="E316" s="64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804" t="s">
        <v>529</v>
      </c>
      <c r="Q316" s="645"/>
      <c r="R316" s="645"/>
      <c r="S316" s="645"/>
      <c r="T316" s="646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hidden="1" customHeight="1" x14ac:dyDescent="0.25">
      <c r="A317" s="63" t="s">
        <v>530</v>
      </c>
      <c r="B317" s="63" t="s">
        <v>531</v>
      </c>
      <c r="C317" s="36">
        <v>4301011859</v>
      </c>
      <c r="D317" s="643">
        <v>4680115885608</v>
      </c>
      <c r="E317" s="64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8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645"/>
      <c r="R317" s="645"/>
      <c r="S317" s="645"/>
      <c r="T317" s="646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42" t="s">
        <v>77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643">
        <v>4607091387193</v>
      </c>
      <c r="E321" s="643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8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645"/>
      <c r="R321" s="645"/>
      <c r="S321" s="645"/>
      <c r="T321" s="646"/>
      <c r="U321" s="39" t="s">
        <v>46</v>
      </c>
      <c r="V321" s="39" t="s">
        <v>46</v>
      </c>
      <c r="W321" s="40" t="s">
        <v>0</v>
      </c>
      <c r="X321" s="58">
        <v>20</v>
      </c>
      <c r="Y321" s="55">
        <f t="shared" ref="Y321:Y327" si="43">IFERROR(IF(X321="",0,CEILING((X321/$H321),1)*$H321),"")</f>
        <v>21</v>
      </c>
      <c r="Z321" s="41">
        <f>IFERROR(IF(Y321=0,"",ROUNDUP(Y321/H321,0)*0.00902),"")</f>
        <v>4.5100000000000001E-2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21.19047619047619</v>
      </c>
      <c r="BN321" s="78">
        <f t="shared" ref="BN321:BN327" si="45">IFERROR(Y321*I321/H321,"0")</f>
        <v>22.25</v>
      </c>
      <c r="BO321" s="78">
        <f t="shared" ref="BO321:BO327" si="46">IFERROR(1/J321*(X321/H321),"0")</f>
        <v>3.6075036075036072E-2</v>
      </c>
      <c r="BP321" s="78">
        <f t="shared" ref="BP321:BP327" si="47">IFERROR(1/J321*(Y321/H321),"0")</f>
        <v>3.787878787878788E-2</v>
      </c>
    </row>
    <row r="322" spans="1:68" ht="27" hidden="1" customHeight="1" x14ac:dyDescent="0.25">
      <c r="A322" s="63" t="s">
        <v>536</v>
      </c>
      <c r="B322" s="63" t="s">
        <v>537</v>
      </c>
      <c r="C322" s="36">
        <v>4301031153</v>
      </c>
      <c r="D322" s="643">
        <v>4607091387230</v>
      </c>
      <c r="E322" s="643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645"/>
      <c r="R322" s="645"/>
      <c r="S322" s="645"/>
      <c r="T322" s="64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4301031154</v>
      </c>
      <c r="D323" s="643">
        <v>4607091387292</v>
      </c>
      <c r="E323" s="643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8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645"/>
      <c r="R323" s="645"/>
      <c r="S323" s="645"/>
      <c r="T323" s="64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hidden="1" customHeight="1" x14ac:dyDescent="0.25">
      <c r="A324" s="63" t="s">
        <v>542</v>
      </c>
      <c r="B324" s="63" t="s">
        <v>543</v>
      </c>
      <c r="C324" s="36">
        <v>4301031152</v>
      </c>
      <c r="D324" s="643">
        <v>4607091387285</v>
      </c>
      <c r="E324" s="643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8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645"/>
      <c r="R324" s="645"/>
      <c r="S324" s="645"/>
      <c r="T324" s="64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4301031305</v>
      </c>
      <c r="D325" s="643">
        <v>4607091389845</v>
      </c>
      <c r="E325" s="643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8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645"/>
      <c r="R325" s="645"/>
      <c r="S325" s="645"/>
      <c r="T325" s="64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4301031460</v>
      </c>
      <c r="D326" s="643">
        <v>4680115887442</v>
      </c>
      <c r="E326" s="643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645"/>
      <c r="R326" s="645"/>
      <c r="S326" s="645"/>
      <c r="T326" s="64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4301031066</v>
      </c>
      <c r="D327" s="643">
        <v>4607091383836</v>
      </c>
      <c r="E327" s="643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645"/>
      <c r="R327" s="645"/>
      <c r="S327" s="645"/>
      <c r="T327" s="64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651"/>
      <c r="B328" s="651"/>
      <c r="C328" s="651"/>
      <c r="D328" s="651"/>
      <c r="E328" s="651"/>
      <c r="F328" s="651"/>
      <c r="G328" s="651"/>
      <c r="H328" s="651"/>
      <c r="I328" s="651"/>
      <c r="J328" s="651"/>
      <c r="K328" s="651"/>
      <c r="L328" s="651"/>
      <c r="M328" s="651"/>
      <c r="N328" s="651"/>
      <c r="O328" s="652"/>
      <c r="P328" s="648" t="s">
        <v>40</v>
      </c>
      <c r="Q328" s="649"/>
      <c r="R328" s="649"/>
      <c r="S328" s="649"/>
      <c r="T328" s="649"/>
      <c r="U328" s="649"/>
      <c r="V328" s="650"/>
      <c r="W328" s="42" t="s">
        <v>39</v>
      </c>
      <c r="X328" s="43">
        <f>IFERROR(X321/H321,"0")+IFERROR(X322/H322,"0")+IFERROR(X323/H323,"0")+IFERROR(X324/H324,"0")+IFERROR(X325/H325,"0")+IFERROR(X326/H326,"0")+IFERROR(X327/H327,"0")</f>
        <v>4.7619047619047619</v>
      </c>
      <c r="Y328" s="43">
        <f>IFERROR(Y321/H321,"0")+IFERROR(Y322/H322,"0")+IFERROR(Y323/H323,"0")+IFERROR(Y324/H324,"0")+IFERROR(Y325/H325,"0")+IFERROR(Y326/H326,"0")+IFERROR(Y327/H327,"0")</f>
        <v>5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4.5100000000000001E-2</v>
      </c>
      <c r="AA328" s="67"/>
      <c r="AB328" s="67"/>
      <c r="AC328" s="67"/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0</v>
      </c>
      <c r="X329" s="43">
        <f>IFERROR(SUM(X321:X327),"0")</f>
        <v>20</v>
      </c>
      <c r="Y329" s="43">
        <f>IFERROR(SUM(Y321:Y327),"0")</f>
        <v>21</v>
      </c>
      <c r="Z329" s="42"/>
      <c r="AA329" s="67"/>
      <c r="AB329" s="67"/>
      <c r="AC329" s="67"/>
    </row>
    <row r="330" spans="1:68" ht="14.25" hidden="1" customHeight="1" x14ac:dyDescent="0.25">
      <c r="A330" s="642" t="s">
        <v>87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6"/>
      <c r="AB330" s="66"/>
      <c r="AC330" s="80"/>
    </row>
    <row r="331" spans="1:68" ht="27" hidden="1" customHeight="1" x14ac:dyDescent="0.25">
      <c r="A331" s="63" t="s">
        <v>552</v>
      </c>
      <c r="B331" s="63" t="s">
        <v>553</v>
      </c>
      <c r="C331" s="36">
        <v>4301051100</v>
      </c>
      <c r="D331" s="643">
        <v>4607091387766</v>
      </c>
      <c r="E331" s="643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645"/>
      <c r="R331" s="645"/>
      <c r="S331" s="645"/>
      <c r="T331" s="64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4301051818</v>
      </c>
      <c r="D332" s="643">
        <v>4607091387957</v>
      </c>
      <c r="E332" s="643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8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645"/>
      <c r="R332" s="645"/>
      <c r="S332" s="645"/>
      <c r="T332" s="64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558</v>
      </c>
      <c r="B333" s="63" t="s">
        <v>559</v>
      </c>
      <c r="C333" s="36">
        <v>4301051819</v>
      </c>
      <c r="D333" s="643">
        <v>4607091387964</v>
      </c>
      <c r="E333" s="643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8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645"/>
      <c r="R333" s="645"/>
      <c r="S333" s="645"/>
      <c r="T333" s="64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561</v>
      </c>
      <c r="B334" s="63" t="s">
        <v>562</v>
      </c>
      <c r="C334" s="36">
        <v>4301051734</v>
      </c>
      <c r="D334" s="643">
        <v>4680115884588</v>
      </c>
      <c r="E334" s="643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8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645"/>
      <c r="R334" s="645"/>
      <c r="S334" s="645"/>
      <c r="T334" s="64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hidden="1" customHeight="1" x14ac:dyDescent="0.25">
      <c r="A337" s="642" t="s">
        <v>176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4301060387</v>
      </c>
      <c r="D338" s="643">
        <v>4607091380880</v>
      </c>
      <c r="E338" s="643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645"/>
      <c r="R338" s="645"/>
      <c r="S338" s="645"/>
      <c r="T338" s="64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643">
        <v>4607091384482</v>
      </c>
      <c r="E339" s="643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645"/>
      <c r="R339" s="645"/>
      <c r="S339" s="645"/>
      <c r="T339" s="646"/>
      <c r="U339" s="39" t="s">
        <v>46</v>
      </c>
      <c r="V339" s="39" t="s">
        <v>46</v>
      </c>
      <c r="W339" s="40" t="s">
        <v>0</v>
      </c>
      <c r="X339" s="58">
        <v>50</v>
      </c>
      <c r="Y339" s="55">
        <f>IFERROR(IF(X339="",0,CEILING((X339/$H339),1)*$H339),"")</f>
        <v>54.6</v>
      </c>
      <c r="Z339" s="41">
        <f>IFERROR(IF(Y339=0,"",ROUNDUP(Y339/H339,0)*0.01898),"")</f>
        <v>0.13286000000000001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53.166666666666671</v>
      </c>
      <c r="BN339" s="78">
        <f>IFERROR(Y339*I339/H339,"0")</f>
        <v>58.058000000000007</v>
      </c>
      <c r="BO339" s="78">
        <f>IFERROR(1/J339*(X339/H339),"0")</f>
        <v>0.10016025641025642</v>
      </c>
      <c r="BP339" s="78">
        <f>IFERROR(1/J339*(Y339/H339),"0")</f>
        <v>0.109375</v>
      </c>
    </row>
    <row r="340" spans="1:68" ht="16.5" hidden="1" customHeight="1" x14ac:dyDescent="0.25">
      <c r="A340" s="63" t="s">
        <v>570</v>
      </c>
      <c r="B340" s="63" t="s">
        <v>571</v>
      </c>
      <c r="C340" s="36">
        <v>4301060484</v>
      </c>
      <c r="D340" s="643">
        <v>4607091380897</v>
      </c>
      <c r="E340" s="643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8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645"/>
      <c r="R340" s="645"/>
      <c r="S340" s="645"/>
      <c r="T340" s="646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2" t="s">
        <v>39</v>
      </c>
      <c r="X341" s="43">
        <f>IFERROR(X338/H338,"0")+IFERROR(X339/H339,"0")+IFERROR(X340/H340,"0")</f>
        <v>6.4102564102564106</v>
      </c>
      <c r="Y341" s="43">
        <f>IFERROR(Y338/H338,"0")+IFERROR(Y339/H339,"0")+IFERROR(Y340/H340,"0")</f>
        <v>7</v>
      </c>
      <c r="Z341" s="43">
        <f>IFERROR(IF(Z338="",0,Z338),"0")+IFERROR(IF(Z339="",0,Z339),"0")+IFERROR(IF(Z340="",0,Z340),"0")</f>
        <v>0.13286000000000001</v>
      </c>
      <c r="AA341" s="67"/>
      <c r="AB341" s="67"/>
      <c r="AC341" s="67"/>
    </row>
    <row r="342" spans="1:68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2" t="s">
        <v>0</v>
      </c>
      <c r="X342" s="43">
        <f>IFERROR(SUM(X338:X340),"0")</f>
        <v>50</v>
      </c>
      <c r="Y342" s="43">
        <f>IFERROR(SUM(Y338:Y340),"0")</f>
        <v>54.6</v>
      </c>
      <c r="Z342" s="42"/>
      <c r="AA342" s="67"/>
      <c r="AB342" s="67"/>
      <c r="AC342" s="67"/>
    </row>
    <row r="343" spans="1:68" ht="14.25" hidden="1" customHeight="1" x14ac:dyDescent="0.25">
      <c r="A343" s="642" t="s">
        <v>110</v>
      </c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6"/>
      <c r="AB343" s="66"/>
      <c r="AC343" s="80"/>
    </row>
    <row r="344" spans="1:68" ht="27" hidden="1" customHeight="1" x14ac:dyDescent="0.25">
      <c r="A344" s="63" t="s">
        <v>573</v>
      </c>
      <c r="B344" s="63" t="s">
        <v>574</v>
      </c>
      <c r="C344" s="36">
        <v>4301030235</v>
      </c>
      <c r="D344" s="643">
        <v>4607091388381</v>
      </c>
      <c r="E344" s="643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645"/>
      <c r="R344" s="645"/>
      <c r="S344" s="645"/>
      <c r="T344" s="646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576</v>
      </c>
      <c r="B345" s="63" t="s">
        <v>577</v>
      </c>
      <c r="C345" s="36">
        <v>4301030232</v>
      </c>
      <c r="D345" s="643">
        <v>4607091388374</v>
      </c>
      <c r="E345" s="643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8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645"/>
      <c r="R345" s="645"/>
      <c r="S345" s="645"/>
      <c r="T345" s="646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4301032015</v>
      </c>
      <c r="D346" s="643">
        <v>4607091383102</v>
      </c>
      <c r="E346" s="643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645"/>
      <c r="R346" s="645"/>
      <c r="S346" s="645"/>
      <c r="T346" s="64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4301030233</v>
      </c>
      <c r="D347" s="643">
        <v>4607091388404</v>
      </c>
      <c r="E347" s="643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8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645"/>
      <c r="R347" s="645"/>
      <c r="S347" s="645"/>
      <c r="T347" s="64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42" t="s">
        <v>582</v>
      </c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6"/>
      <c r="AB350" s="66"/>
      <c r="AC350" s="80"/>
    </row>
    <row r="351" spans="1:68" ht="16.5" hidden="1" customHeight="1" x14ac:dyDescent="0.25">
      <c r="A351" s="63" t="s">
        <v>583</v>
      </c>
      <c r="B351" s="63" t="s">
        <v>584</v>
      </c>
      <c r="C351" s="36">
        <v>4301180007</v>
      </c>
      <c r="D351" s="643">
        <v>4680115881808</v>
      </c>
      <c r="E351" s="643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645"/>
      <c r="R351" s="645"/>
      <c r="S351" s="645"/>
      <c r="T351" s="64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587</v>
      </c>
      <c r="B352" s="63" t="s">
        <v>588</v>
      </c>
      <c r="C352" s="36">
        <v>4301180006</v>
      </c>
      <c r="D352" s="643">
        <v>4680115881822</v>
      </c>
      <c r="E352" s="643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8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645"/>
      <c r="R352" s="645"/>
      <c r="S352" s="645"/>
      <c r="T352" s="64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589</v>
      </c>
      <c r="B353" s="63" t="s">
        <v>590</v>
      </c>
      <c r="C353" s="36">
        <v>4301180001</v>
      </c>
      <c r="D353" s="643">
        <v>4680115880016</v>
      </c>
      <c r="E353" s="643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645"/>
      <c r="R353" s="645"/>
      <c r="S353" s="645"/>
      <c r="T353" s="64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hidden="1" customHeight="1" x14ac:dyDescent="0.25">
      <c r="A356" s="641" t="s">
        <v>591</v>
      </c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5"/>
      <c r="AB356" s="65"/>
      <c r="AC356" s="79"/>
    </row>
    <row r="357" spans="1:68" ht="14.25" hidden="1" customHeight="1" x14ac:dyDescent="0.25">
      <c r="A357" s="642" t="s">
        <v>87</v>
      </c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6"/>
      <c r="AB357" s="66"/>
      <c r="AC357" s="80"/>
    </row>
    <row r="358" spans="1:68" ht="27" hidden="1" customHeight="1" x14ac:dyDescent="0.25">
      <c r="A358" s="63" t="s">
        <v>592</v>
      </c>
      <c r="B358" s="63" t="s">
        <v>593</v>
      </c>
      <c r="C358" s="36">
        <v>4301051489</v>
      </c>
      <c r="D358" s="643">
        <v>4607091387919</v>
      </c>
      <c r="E358" s="643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645"/>
      <c r="R358" s="645"/>
      <c r="S358" s="645"/>
      <c r="T358" s="64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643">
        <v>4680115883604</v>
      </c>
      <c r="E359" s="643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8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645"/>
      <c r="R359" s="645"/>
      <c r="S359" s="645"/>
      <c r="T359" s="646"/>
      <c r="U359" s="39" t="s">
        <v>46</v>
      </c>
      <c r="V359" s="39" t="s">
        <v>46</v>
      </c>
      <c r="W359" s="40" t="s">
        <v>0</v>
      </c>
      <c r="X359" s="58">
        <v>14.7</v>
      </c>
      <c r="Y359" s="55">
        <f>IFERROR(IF(X359="",0,CEILING((X359/$H359),1)*$H359),"")</f>
        <v>14.700000000000001</v>
      </c>
      <c r="Z359" s="41">
        <f>IFERROR(IF(Y359=0,"",ROUNDUP(Y359/H359,0)*0.00651),"")</f>
        <v>4.5569999999999999E-2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16.463999999999999</v>
      </c>
      <c r="BN359" s="78">
        <f>IFERROR(Y359*I359/H359,"0")</f>
        <v>16.463999999999999</v>
      </c>
      <c r="BO359" s="78">
        <f>IFERROR(1/J359*(X359/H359),"0")</f>
        <v>3.8461538461538457E-2</v>
      </c>
      <c r="BP359" s="78">
        <f>IFERROR(1/J359*(Y359/H359),"0")</f>
        <v>3.8461538461538464E-2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643">
        <v>4680115883567</v>
      </c>
      <c r="E360" s="643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645"/>
      <c r="R360" s="645"/>
      <c r="S360" s="645"/>
      <c r="T360" s="646"/>
      <c r="U360" s="39" t="s">
        <v>46</v>
      </c>
      <c r="V360" s="39" t="s">
        <v>46</v>
      </c>
      <c r="W360" s="40" t="s">
        <v>0</v>
      </c>
      <c r="X360" s="58">
        <v>2.1</v>
      </c>
      <c r="Y360" s="55">
        <f>IFERROR(IF(X360="",0,CEILING((X360/$H360),1)*$H360),"")</f>
        <v>2.1</v>
      </c>
      <c r="Z360" s="41">
        <f>IFERROR(IF(Y360=0,"",ROUNDUP(Y360/H360,0)*0.00651),"")</f>
        <v>6.5100000000000002E-3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2.34</v>
      </c>
      <c r="BN360" s="78">
        <f>IFERROR(Y360*I360/H360,"0")</f>
        <v>2.34</v>
      </c>
      <c r="BO360" s="78">
        <f>IFERROR(1/J360*(X360/H360),"0")</f>
        <v>5.4945054945054949E-3</v>
      </c>
      <c r="BP360" s="78">
        <f>IFERROR(1/J360*(Y360/H360),"0")</f>
        <v>5.4945054945054949E-3</v>
      </c>
    </row>
    <row r="361" spans="1:68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2" t="s">
        <v>39</v>
      </c>
      <c r="X361" s="43">
        <f>IFERROR(X358/H358,"0")+IFERROR(X359/H359,"0")+IFERROR(X360/H360,"0")</f>
        <v>7.9999999999999991</v>
      </c>
      <c r="Y361" s="43">
        <f>IFERROR(Y358/H358,"0")+IFERROR(Y359/H359,"0")+IFERROR(Y360/H360,"0")</f>
        <v>8</v>
      </c>
      <c r="Z361" s="43">
        <f>IFERROR(IF(Z358="",0,Z358),"0")+IFERROR(IF(Z359="",0,Z359),"0")+IFERROR(IF(Z360="",0,Z360),"0")</f>
        <v>5.2080000000000001E-2</v>
      </c>
      <c r="AA361" s="67"/>
      <c r="AB361" s="67"/>
      <c r="AC361" s="67"/>
    </row>
    <row r="362" spans="1:68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2" t="s">
        <v>0</v>
      </c>
      <c r="X362" s="43">
        <f>IFERROR(SUM(X358:X360),"0")</f>
        <v>16.8</v>
      </c>
      <c r="Y362" s="43">
        <f>IFERROR(SUM(Y358:Y360),"0")</f>
        <v>16.8</v>
      </c>
      <c r="Z362" s="42"/>
      <c r="AA362" s="67"/>
      <c r="AB362" s="67"/>
      <c r="AC362" s="67"/>
    </row>
    <row r="363" spans="1:68" ht="27.75" hidden="1" customHeight="1" x14ac:dyDescent="0.2">
      <c r="A363" s="640" t="s">
        <v>601</v>
      </c>
      <c r="B363" s="640"/>
      <c r="C363" s="640"/>
      <c r="D363" s="640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54"/>
      <c r="AB363" s="54"/>
      <c r="AC363" s="54"/>
    </row>
    <row r="364" spans="1:68" ht="16.5" hidden="1" customHeight="1" x14ac:dyDescent="0.25">
      <c r="A364" s="641" t="s">
        <v>602</v>
      </c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5"/>
      <c r="AB364" s="65"/>
      <c r="AC364" s="79"/>
    </row>
    <row r="365" spans="1:68" ht="14.25" hidden="1" customHeight="1" x14ac:dyDescent="0.25">
      <c r="A365" s="642" t="s">
        <v>122</v>
      </c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6"/>
      <c r="AB365" s="66"/>
      <c r="AC365" s="80"/>
    </row>
    <row r="366" spans="1:68" ht="37.5" hidden="1" customHeight="1" x14ac:dyDescent="0.25">
      <c r="A366" s="63" t="s">
        <v>603</v>
      </c>
      <c r="B366" s="63" t="s">
        <v>604</v>
      </c>
      <c r="C366" s="36">
        <v>4301011869</v>
      </c>
      <c r="D366" s="643">
        <v>4680115884847</v>
      </c>
      <c r="E366" s="643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645"/>
      <c r="R366" s="645"/>
      <c r="S366" s="645"/>
      <c r="T366" s="646"/>
      <c r="U366" s="39" t="s">
        <v>46</v>
      </c>
      <c r="V366" s="39" t="s">
        <v>46</v>
      </c>
      <c r="W366" s="40" t="s">
        <v>0</v>
      </c>
      <c r="X366" s="58"/>
      <c r="Y366" s="55">
        <f t="shared" ref="Y366:Y372" si="48">IFERROR(IF(X366="",0,CEILING((X366/$H366),1)*$H366),"")</f>
        <v>0</v>
      </c>
      <c r="Z366" s="41" t="str">
        <f>IFERROR(IF(Y366=0,"",ROUNDUP(Y366/H366,0)*0.02175),"")</f>
        <v/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0</v>
      </c>
      <c r="BN366" s="78">
        <f t="shared" ref="BN366:BN372" si="50">IFERROR(Y366*I366/H366,"0")</f>
        <v>0</v>
      </c>
      <c r="BO366" s="78">
        <f t="shared" ref="BO366:BO372" si="51">IFERROR(1/J366*(X366/H366),"0")</f>
        <v>0</v>
      </c>
      <c r="BP366" s="78">
        <f t="shared" ref="BP366:BP372" si="52">IFERROR(1/J366*(Y366/H366),"0")</f>
        <v>0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643">
        <v>4680115884854</v>
      </c>
      <c r="E367" s="643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645"/>
      <c r="R367" s="645"/>
      <c r="S367" s="645"/>
      <c r="T367" s="646"/>
      <c r="U367" s="39" t="s">
        <v>46</v>
      </c>
      <c r="V367" s="39" t="s">
        <v>46</v>
      </c>
      <c r="W367" s="40" t="s">
        <v>0</v>
      </c>
      <c r="X367" s="58">
        <v>75</v>
      </c>
      <c r="Y367" s="55">
        <f t="shared" si="48"/>
        <v>75</v>
      </c>
      <c r="Z367" s="41">
        <f>IFERROR(IF(Y367=0,"",ROUNDUP(Y367/H367,0)*0.02175),"")</f>
        <v>0.10874999999999999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77.349999999999994</v>
      </c>
      <c r="BN367" s="78">
        <f t="shared" si="50"/>
        <v>77.349999999999994</v>
      </c>
      <c r="BO367" s="78">
        <f t="shared" si="51"/>
        <v>0.10416666666666666</v>
      </c>
      <c r="BP367" s="78">
        <f t="shared" si="52"/>
        <v>0.10416666666666666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643">
        <v>4680115884830</v>
      </c>
      <c r="E368" s="643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645"/>
      <c r="R368" s="645"/>
      <c r="S368" s="645"/>
      <c r="T368" s="646"/>
      <c r="U368" s="39" t="s">
        <v>46</v>
      </c>
      <c r="V368" s="39" t="s">
        <v>46</v>
      </c>
      <c r="W368" s="40" t="s">
        <v>0</v>
      </c>
      <c r="X368" s="58">
        <v>250</v>
      </c>
      <c r="Y368" s="55">
        <f t="shared" si="48"/>
        <v>255</v>
      </c>
      <c r="Z368" s="41">
        <f>IFERROR(IF(Y368=0,"",ROUNDUP(Y368/H368,0)*0.02175),"")</f>
        <v>0.36974999999999997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257.83333333333331</v>
      </c>
      <c r="BN368" s="78">
        <f t="shared" si="50"/>
        <v>262.99</v>
      </c>
      <c r="BO368" s="78">
        <f t="shared" si="51"/>
        <v>0.34722222222222221</v>
      </c>
      <c r="BP368" s="78">
        <f t="shared" si="52"/>
        <v>0.35416666666666663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4301012215</v>
      </c>
      <c r="D369" s="643">
        <v>4680115887046</v>
      </c>
      <c r="E369" s="643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645"/>
      <c r="R369" s="645"/>
      <c r="S369" s="645"/>
      <c r="T369" s="64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4301011433</v>
      </c>
      <c r="D370" s="643">
        <v>4680115882638</v>
      </c>
      <c r="E370" s="64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645"/>
      <c r="R370" s="645"/>
      <c r="S370" s="645"/>
      <c r="T370" s="64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4301011952</v>
      </c>
      <c r="D371" s="643">
        <v>4680115884922</v>
      </c>
      <c r="E371" s="643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645"/>
      <c r="R371" s="645"/>
      <c r="S371" s="645"/>
      <c r="T371" s="64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hidden="1" customHeight="1" x14ac:dyDescent="0.25">
      <c r="A372" s="63" t="s">
        <v>621</v>
      </c>
      <c r="B372" s="63" t="s">
        <v>622</v>
      </c>
      <c r="C372" s="36">
        <v>4301011868</v>
      </c>
      <c r="D372" s="643">
        <v>4680115884861</v>
      </c>
      <c r="E372" s="643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645"/>
      <c r="R372" s="645"/>
      <c r="S372" s="645"/>
      <c r="T372" s="64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651"/>
      <c r="B373" s="651"/>
      <c r="C373" s="651"/>
      <c r="D373" s="651"/>
      <c r="E373" s="651"/>
      <c r="F373" s="651"/>
      <c r="G373" s="651"/>
      <c r="H373" s="651"/>
      <c r="I373" s="651"/>
      <c r="J373" s="651"/>
      <c r="K373" s="651"/>
      <c r="L373" s="651"/>
      <c r="M373" s="651"/>
      <c r="N373" s="651"/>
      <c r="O373" s="652"/>
      <c r="P373" s="648" t="s">
        <v>40</v>
      </c>
      <c r="Q373" s="649"/>
      <c r="R373" s="649"/>
      <c r="S373" s="649"/>
      <c r="T373" s="649"/>
      <c r="U373" s="649"/>
      <c r="V373" s="650"/>
      <c r="W373" s="42" t="s">
        <v>39</v>
      </c>
      <c r="X373" s="43">
        <f>IFERROR(X366/H366,"0")+IFERROR(X367/H367,"0")+IFERROR(X368/H368,"0")+IFERROR(X369/H369,"0")+IFERROR(X370/H370,"0")+IFERROR(X371/H371,"0")+IFERROR(X372/H372,"0")</f>
        <v>21.666666666666668</v>
      </c>
      <c r="Y373" s="43">
        <f>IFERROR(Y366/H366,"0")+IFERROR(Y367/H367,"0")+IFERROR(Y368/H368,"0")+IFERROR(Y369/H369,"0")+IFERROR(Y370/H370,"0")+IFERROR(Y371/H371,"0")+IFERROR(Y372/H372,"0")</f>
        <v>22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0.47849999999999993</v>
      </c>
      <c r="AA373" s="67"/>
      <c r="AB373" s="67"/>
      <c r="AC373" s="67"/>
    </row>
    <row r="374" spans="1:68" x14ac:dyDescent="0.2">
      <c r="A374" s="651"/>
      <c r="B374" s="651"/>
      <c r="C374" s="651"/>
      <c r="D374" s="651"/>
      <c r="E374" s="651"/>
      <c r="F374" s="651"/>
      <c r="G374" s="651"/>
      <c r="H374" s="651"/>
      <c r="I374" s="651"/>
      <c r="J374" s="651"/>
      <c r="K374" s="651"/>
      <c r="L374" s="651"/>
      <c r="M374" s="651"/>
      <c r="N374" s="651"/>
      <c r="O374" s="652"/>
      <c r="P374" s="648" t="s">
        <v>40</v>
      </c>
      <c r="Q374" s="649"/>
      <c r="R374" s="649"/>
      <c r="S374" s="649"/>
      <c r="T374" s="649"/>
      <c r="U374" s="649"/>
      <c r="V374" s="650"/>
      <c r="W374" s="42" t="s">
        <v>0</v>
      </c>
      <c r="X374" s="43">
        <f>IFERROR(SUM(X366:X372),"0")</f>
        <v>325</v>
      </c>
      <c r="Y374" s="43">
        <f>IFERROR(SUM(Y366:Y372),"0")</f>
        <v>330</v>
      </c>
      <c r="Z374" s="42"/>
      <c r="AA374" s="67"/>
      <c r="AB374" s="67"/>
      <c r="AC374" s="67"/>
    </row>
    <row r="375" spans="1:68" ht="14.25" hidden="1" customHeight="1" x14ac:dyDescent="0.25">
      <c r="A375" s="642" t="s">
        <v>156</v>
      </c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643">
        <v>4607091383980</v>
      </c>
      <c r="E376" s="643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8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645"/>
      <c r="R376" s="645"/>
      <c r="S376" s="645"/>
      <c r="T376" s="646"/>
      <c r="U376" s="39" t="s">
        <v>46</v>
      </c>
      <c r="V376" s="39" t="s">
        <v>46</v>
      </c>
      <c r="W376" s="40" t="s">
        <v>0</v>
      </c>
      <c r="X376" s="58">
        <v>150</v>
      </c>
      <c r="Y376" s="55">
        <f>IFERROR(IF(X376="",0,CEILING((X376/$H376),1)*$H376),"")</f>
        <v>150</v>
      </c>
      <c r="Z376" s="41">
        <f>IFERROR(IF(Y376=0,"",ROUNDUP(Y376/H376,0)*0.02175),"")</f>
        <v>0.21749999999999997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154.69999999999999</v>
      </c>
      <c r="BN376" s="78">
        <f>IFERROR(Y376*I376/H376,"0")</f>
        <v>154.69999999999999</v>
      </c>
      <c r="BO376" s="78">
        <f>IFERROR(1/J376*(X376/H376),"0")</f>
        <v>0.20833333333333331</v>
      </c>
      <c r="BP376" s="78">
        <f>IFERROR(1/J376*(Y376/H376),"0")</f>
        <v>0.20833333333333331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4301020179</v>
      </c>
      <c r="D377" s="643">
        <v>4607091384178</v>
      </c>
      <c r="E377" s="643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8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645"/>
      <c r="R377" s="645"/>
      <c r="S377" s="645"/>
      <c r="T377" s="64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39</v>
      </c>
      <c r="X378" s="43">
        <f>IFERROR(X376/H376,"0")+IFERROR(X377/H377,"0")</f>
        <v>10</v>
      </c>
      <c r="Y378" s="43">
        <f>IFERROR(Y376/H376,"0")+IFERROR(Y377/H377,"0")</f>
        <v>10</v>
      </c>
      <c r="Z378" s="43">
        <f>IFERROR(IF(Z376="",0,Z376),"0")+IFERROR(IF(Z377="",0,Z377),"0")</f>
        <v>0.21749999999999997</v>
      </c>
      <c r="AA378" s="67"/>
      <c r="AB378" s="67"/>
      <c r="AC378" s="67"/>
    </row>
    <row r="379" spans="1:68" x14ac:dyDescent="0.2">
      <c r="A379" s="651"/>
      <c r="B379" s="651"/>
      <c r="C379" s="651"/>
      <c r="D379" s="651"/>
      <c r="E379" s="651"/>
      <c r="F379" s="651"/>
      <c r="G379" s="651"/>
      <c r="H379" s="651"/>
      <c r="I379" s="651"/>
      <c r="J379" s="651"/>
      <c r="K379" s="651"/>
      <c r="L379" s="651"/>
      <c r="M379" s="651"/>
      <c r="N379" s="651"/>
      <c r="O379" s="652"/>
      <c r="P379" s="648" t="s">
        <v>40</v>
      </c>
      <c r="Q379" s="649"/>
      <c r="R379" s="649"/>
      <c r="S379" s="649"/>
      <c r="T379" s="649"/>
      <c r="U379" s="649"/>
      <c r="V379" s="650"/>
      <c r="W379" s="42" t="s">
        <v>0</v>
      </c>
      <c r="X379" s="43">
        <f>IFERROR(SUM(X376:X377),"0")</f>
        <v>150</v>
      </c>
      <c r="Y379" s="43">
        <f>IFERROR(SUM(Y376:Y377),"0")</f>
        <v>150</v>
      </c>
      <c r="Z379" s="42"/>
      <c r="AA379" s="67"/>
      <c r="AB379" s="67"/>
      <c r="AC379" s="67"/>
    </row>
    <row r="380" spans="1:68" ht="14.25" hidden="1" customHeight="1" x14ac:dyDescent="0.25">
      <c r="A380" s="642" t="s">
        <v>87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6"/>
      <c r="AB380" s="66"/>
      <c r="AC380" s="80"/>
    </row>
    <row r="381" spans="1:68" ht="27" hidden="1" customHeight="1" x14ac:dyDescent="0.25">
      <c r="A381" s="63" t="s">
        <v>629</v>
      </c>
      <c r="B381" s="63" t="s">
        <v>630</v>
      </c>
      <c r="C381" s="36">
        <v>4301051903</v>
      </c>
      <c r="D381" s="643">
        <v>4607091383928</v>
      </c>
      <c r="E381" s="643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8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645"/>
      <c r="R381" s="645"/>
      <c r="S381" s="645"/>
      <c r="T381" s="64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632</v>
      </c>
      <c r="B382" s="63" t="s">
        <v>633</v>
      </c>
      <c r="C382" s="36">
        <v>4301051897</v>
      </c>
      <c r="D382" s="643">
        <v>4607091384260</v>
      </c>
      <c r="E382" s="64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8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645"/>
      <c r="R382" s="645"/>
      <c r="S382" s="645"/>
      <c r="T382" s="64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51"/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2"/>
      <c r="P383" s="648" t="s">
        <v>40</v>
      </c>
      <c r="Q383" s="649"/>
      <c r="R383" s="649"/>
      <c r="S383" s="649"/>
      <c r="T383" s="649"/>
      <c r="U383" s="649"/>
      <c r="V383" s="650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42" t="s">
        <v>176</v>
      </c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6"/>
      <c r="AB385" s="66"/>
      <c r="AC385" s="80"/>
    </row>
    <row r="386" spans="1:68" ht="16.5" hidden="1" customHeight="1" x14ac:dyDescent="0.25">
      <c r="A386" s="63" t="s">
        <v>635</v>
      </c>
      <c r="B386" s="63" t="s">
        <v>636</v>
      </c>
      <c r="C386" s="36">
        <v>4301060524</v>
      </c>
      <c r="D386" s="643">
        <v>4607091384673</v>
      </c>
      <c r="E386" s="643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645"/>
      <c r="R386" s="645"/>
      <c r="S386" s="645"/>
      <c r="T386" s="64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651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2"/>
      <c r="P387" s="648" t="s">
        <v>40</v>
      </c>
      <c r="Q387" s="649"/>
      <c r="R387" s="649"/>
      <c r="S387" s="649"/>
      <c r="T387" s="649"/>
      <c r="U387" s="649"/>
      <c r="V387" s="650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hidden="1" customHeight="1" x14ac:dyDescent="0.25">
      <c r="A389" s="641" t="s">
        <v>638</v>
      </c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5"/>
      <c r="AB389" s="65"/>
      <c r="AC389" s="79"/>
    </row>
    <row r="390" spans="1:68" ht="14.25" hidden="1" customHeight="1" x14ac:dyDescent="0.25">
      <c r="A390" s="642" t="s">
        <v>122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6"/>
      <c r="AB390" s="66"/>
      <c r="AC390" s="80"/>
    </row>
    <row r="391" spans="1:68" ht="37.5" hidden="1" customHeight="1" x14ac:dyDescent="0.25">
      <c r="A391" s="63" t="s">
        <v>639</v>
      </c>
      <c r="B391" s="63" t="s">
        <v>640</v>
      </c>
      <c r="C391" s="36">
        <v>4301011875</v>
      </c>
      <c r="D391" s="643">
        <v>4680115884885</v>
      </c>
      <c r="E391" s="643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8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645"/>
      <c r="R391" s="645"/>
      <c r="S391" s="645"/>
      <c r="T391" s="646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hidden="1" customHeight="1" x14ac:dyDescent="0.25">
      <c r="A392" s="63" t="s">
        <v>642</v>
      </c>
      <c r="B392" s="63" t="s">
        <v>643</v>
      </c>
      <c r="C392" s="36">
        <v>4301011871</v>
      </c>
      <c r="D392" s="643">
        <v>4680115884908</v>
      </c>
      <c r="E392" s="643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8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645"/>
      <c r="R392" s="645"/>
      <c r="S392" s="645"/>
      <c r="T392" s="64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51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52"/>
      <c r="P393" s="648" t="s">
        <v>40</v>
      </c>
      <c r="Q393" s="649"/>
      <c r="R393" s="649"/>
      <c r="S393" s="649"/>
      <c r="T393" s="649"/>
      <c r="U393" s="649"/>
      <c r="V393" s="650"/>
      <c r="W393" s="42" t="s">
        <v>39</v>
      </c>
      <c r="X393" s="43">
        <f>IFERROR(X391/H391,"0")+IFERROR(X392/H392,"0")</f>
        <v>0</v>
      </c>
      <c r="Y393" s="43">
        <f>IFERROR(Y391/H391,"0")+IFERROR(Y392/H392,"0")</f>
        <v>0</v>
      </c>
      <c r="Z393" s="43">
        <f>IFERROR(IF(Z391="",0,Z391),"0")+IFERROR(IF(Z392="",0,Z392),"0")</f>
        <v>0</v>
      </c>
      <c r="AA393" s="67"/>
      <c r="AB393" s="67"/>
      <c r="AC393" s="67"/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2" t="s">
        <v>0</v>
      </c>
      <c r="X394" s="43">
        <f>IFERROR(SUM(X391:X392),"0")</f>
        <v>0</v>
      </c>
      <c r="Y394" s="43">
        <f>IFERROR(SUM(Y391:Y392),"0")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42" t="s">
        <v>77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6"/>
      <c r="AB395" s="66"/>
      <c r="AC395" s="80"/>
    </row>
    <row r="396" spans="1:68" ht="27" hidden="1" customHeight="1" x14ac:dyDescent="0.25">
      <c r="A396" s="63" t="s">
        <v>644</v>
      </c>
      <c r="B396" s="63" t="s">
        <v>645</v>
      </c>
      <c r="C396" s="36">
        <v>4301031457</v>
      </c>
      <c r="D396" s="643">
        <v>4607091384802</v>
      </c>
      <c r="E396" s="643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8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645"/>
      <c r="R396" s="645"/>
      <c r="S396" s="645"/>
      <c r="T396" s="64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42" t="s">
        <v>87</v>
      </c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6"/>
      <c r="AB399" s="66"/>
      <c r="AC399" s="80"/>
    </row>
    <row r="400" spans="1:68" ht="27" hidden="1" customHeight="1" x14ac:dyDescent="0.25">
      <c r="A400" s="63" t="s">
        <v>647</v>
      </c>
      <c r="B400" s="63" t="s">
        <v>648</v>
      </c>
      <c r="C400" s="36">
        <v>4301051899</v>
      </c>
      <c r="D400" s="643">
        <v>4607091384246</v>
      </c>
      <c r="E400" s="643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8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645"/>
      <c r="R400" s="645"/>
      <c r="S400" s="645"/>
      <c r="T400" s="64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650</v>
      </c>
      <c r="B401" s="63" t="s">
        <v>651</v>
      </c>
      <c r="C401" s="36">
        <v>4301051660</v>
      </c>
      <c r="D401" s="643">
        <v>4607091384253</v>
      </c>
      <c r="E401" s="643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645"/>
      <c r="R401" s="645"/>
      <c r="S401" s="645"/>
      <c r="T401" s="64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650</v>
      </c>
      <c r="B402" s="63" t="s">
        <v>652</v>
      </c>
      <c r="C402" s="36">
        <v>4301052069</v>
      </c>
      <c r="D402" s="643">
        <v>4607091384253</v>
      </c>
      <c r="E402" s="643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84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645"/>
      <c r="R402" s="645"/>
      <c r="S402" s="645"/>
      <c r="T402" s="64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hidden="1" customHeight="1" x14ac:dyDescent="0.2">
      <c r="A405" s="640" t="s">
        <v>654</v>
      </c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54"/>
      <c r="AB405" s="54"/>
      <c r="AC405" s="54"/>
    </row>
    <row r="406" spans="1:68" ht="16.5" hidden="1" customHeight="1" x14ac:dyDescent="0.25">
      <c r="A406" s="641" t="s">
        <v>655</v>
      </c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5"/>
      <c r="AB406" s="65"/>
      <c r="AC406" s="79"/>
    </row>
    <row r="407" spans="1:68" ht="14.25" hidden="1" customHeight="1" x14ac:dyDescent="0.25">
      <c r="A407" s="642" t="s">
        <v>77</v>
      </c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643">
        <v>4680115886100</v>
      </c>
      <c r="E408" s="64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645"/>
      <c r="R408" s="645"/>
      <c r="S408" s="645"/>
      <c r="T408" s="646"/>
      <c r="U408" s="39" t="s">
        <v>46</v>
      </c>
      <c r="V408" s="39" t="s">
        <v>46</v>
      </c>
      <c r="W408" s="40" t="s">
        <v>0</v>
      </c>
      <c r="X408" s="58">
        <v>15</v>
      </c>
      <c r="Y408" s="55">
        <f t="shared" ref="Y408:Y416" si="53">IFERROR(IF(X408="",0,CEILING((X408/$H408),1)*$H408),"")</f>
        <v>16.200000000000003</v>
      </c>
      <c r="Z408" s="41">
        <f>IFERROR(IF(Y408=0,"",ROUNDUP(Y408/H408,0)*0.00902),"")</f>
        <v>2.7060000000000001E-2</v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15.527777777777775</v>
      </c>
      <c r="BN408" s="78">
        <f t="shared" ref="BN408:BN416" si="55">IFERROR(Y408*I408/H408,"0")</f>
        <v>16.77</v>
      </c>
      <c r="BO408" s="78">
        <f t="shared" ref="BO408:BO416" si="56">IFERROR(1/J408*(X408/H408),"0")</f>
        <v>2.1043771043771045E-2</v>
      </c>
      <c r="BP408" s="78">
        <f t="shared" ref="BP408:BP416" si="57">IFERROR(1/J408*(Y408/H408),"0")</f>
        <v>2.2727272727272731E-2</v>
      </c>
    </row>
    <row r="409" spans="1:68" ht="27" hidden="1" customHeight="1" x14ac:dyDescent="0.25">
      <c r="A409" s="63" t="s">
        <v>659</v>
      </c>
      <c r="B409" s="63" t="s">
        <v>660</v>
      </c>
      <c r="C409" s="36">
        <v>4301031406</v>
      </c>
      <c r="D409" s="643">
        <v>4680115886117</v>
      </c>
      <c r="E409" s="643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645"/>
      <c r="R409" s="645"/>
      <c r="S409" s="645"/>
      <c r="T409" s="64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643">
        <v>4680115886124</v>
      </c>
      <c r="E410" s="643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8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645"/>
      <c r="R410" s="645"/>
      <c r="S410" s="645"/>
      <c r="T410" s="646"/>
      <c r="U410" s="39" t="s">
        <v>46</v>
      </c>
      <c r="V410" s="39" t="s">
        <v>46</v>
      </c>
      <c r="W410" s="40" t="s">
        <v>0</v>
      </c>
      <c r="X410" s="58">
        <v>15</v>
      </c>
      <c r="Y410" s="55">
        <f t="shared" si="53"/>
        <v>16.200000000000003</v>
      </c>
      <c r="Z410" s="41">
        <f>IFERROR(IF(Y410=0,"",ROUNDUP(Y410/H410,0)*0.00902),"")</f>
        <v>2.7060000000000001E-2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15.527777777777775</v>
      </c>
      <c r="BN410" s="78">
        <f t="shared" si="55"/>
        <v>16.77</v>
      </c>
      <c r="BO410" s="78">
        <f t="shared" si="56"/>
        <v>2.1043771043771045E-2</v>
      </c>
      <c r="BP410" s="78">
        <f t="shared" si="57"/>
        <v>2.2727272727272731E-2</v>
      </c>
    </row>
    <row r="411" spans="1:68" ht="27" hidden="1" customHeight="1" x14ac:dyDescent="0.25">
      <c r="A411" s="63" t="s">
        <v>665</v>
      </c>
      <c r="B411" s="63" t="s">
        <v>666</v>
      </c>
      <c r="C411" s="36">
        <v>4301031366</v>
      </c>
      <c r="D411" s="643">
        <v>4680115883147</v>
      </c>
      <c r="E411" s="643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8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645"/>
      <c r="R411" s="645"/>
      <c r="S411" s="645"/>
      <c r="T411" s="646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hidden="1" customHeight="1" x14ac:dyDescent="0.25">
      <c r="A412" s="63" t="s">
        <v>667</v>
      </c>
      <c r="B412" s="63" t="s">
        <v>668</v>
      </c>
      <c r="C412" s="36">
        <v>4301031362</v>
      </c>
      <c r="D412" s="643">
        <v>4607091384338</v>
      </c>
      <c r="E412" s="643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8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645"/>
      <c r="R412" s="645"/>
      <c r="S412" s="645"/>
      <c r="T412" s="646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hidden="1" customHeight="1" x14ac:dyDescent="0.25">
      <c r="A413" s="63" t="s">
        <v>669</v>
      </c>
      <c r="B413" s="63" t="s">
        <v>670</v>
      </c>
      <c r="C413" s="36">
        <v>4301031361</v>
      </c>
      <c r="D413" s="643">
        <v>4607091389524</v>
      </c>
      <c r="E413" s="64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8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645"/>
      <c r="R413" s="645"/>
      <c r="S413" s="645"/>
      <c r="T413" s="646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hidden="1" customHeight="1" x14ac:dyDescent="0.25">
      <c r="A414" s="63" t="s">
        <v>672</v>
      </c>
      <c r="B414" s="63" t="s">
        <v>673</v>
      </c>
      <c r="C414" s="36">
        <v>4301031364</v>
      </c>
      <c r="D414" s="643">
        <v>4680115883161</v>
      </c>
      <c r="E414" s="64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8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645"/>
      <c r="R414" s="645"/>
      <c r="S414" s="645"/>
      <c r="T414" s="646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hidden="1" customHeight="1" x14ac:dyDescent="0.25">
      <c r="A415" s="63" t="s">
        <v>675</v>
      </c>
      <c r="B415" s="63" t="s">
        <v>676</v>
      </c>
      <c r="C415" s="36">
        <v>4301031358</v>
      </c>
      <c r="D415" s="643">
        <v>4607091389531</v>
      </c>
      <c r="E415" s="64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645"/>
      <c r="R415" s="645"/>
      <c r="S415" s="645"/>
      <c r="T415" s="646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hidden="1" customHeight="1" x14ac:dyDescent="0.25">
      <c r="A416" s="63" t="s">
        <v>678</v>
      </c>
      <c r="B416" s="63" t="s">
        <v>679</v>
      </c>
      <c r="C416" s="36">
        <v>4301031360</v>
      </c>
      <c r="D416" s="643">
        <v>4607091384345</v>
      </c>
      <c r="E416" s="64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8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645"/>
      <c r="R416" s="645"/>
      <c r="S416" s="645"/>
      <c r="T416" s="646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651"/>
      <c r="B417" s="651"/>
      <c r="C417" s="651"/>
      <c r="D417" s="651"/>
      <c r="E417" s="651"/>
      <c r="F417" s="651"/>
      <c r="G417" s="651"/>
      <c r="H417" s="651"/>
      <c r="I417" s="651"/>
      <c r="J417" s="651"/>
      <c r="K417" s="651"/>
      <c r="L417" s="651"/>
      <c r="M417" s="651"/>
      <c r="N417" s="651"/>
      <c r="O417" s="652"/>
      <c r="P417" s="648" t="s">
        <v>40</v>
      </c>
      <c r="Q417" s="649"/>
      <c r="R417" s="649"/>
      <c r="S417" s="649"/>
      <c r="T417" s="649"/>
      <c r="U417" s="649"/>
      <c r="V417" s="650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5.5555555555555554</v>
      </c>
      <c r="Y417" s="43">
        <f>IFERROR(Y408/H408,"0")+IFERROR(Y409/H409,"0")+IFERROR(Y410/H410,"0")+IFERROR(Y411/H411,"0")+IFERROR(Y412/H412,"0")+IFERROR(Y413/H413,"0")+IFERROR(Y414/H414,"0")+IFERROR(Y415/H415,"0")+IFERROR(Y416/H416,"0")</f>
        <v>6.0000000000000009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5.4120000000000001E-2</v>
      </c>
      <c r="AA417" s="67"/>
      <c r="AB417" s="67"/>
      <c r="AC417" s="67"/>
    </row>
    <row r="418" spans="1:68" x14ac:dyDescent="0.2">
      <c r="A418" s="651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2"/>
      <c r="P418" s="648" t="s">
        <v>40</v>
      </c>
      <c r="Q418" s="649"/>
      <c r="R418" s="649"/>
      <c r="S418" s="649"/>
      <c r="T418" s="649"/>
      <c r="U418" s="649"/>
      <c r="V418" s="650"/>
      <c r="W418" s="42" t="s">
        <v>0</v>
      </c>
      <c r="X418" s="43">
        <f>IFERROR(SUM(X408:X416),"0")</f>
        <v>30</v>
      </c>
      <c r="Y418" s="43">
        <f>IFERROR(SUM(Y408:Y416),"0")</f>
        <v>32.400000000000006</v>
      </c>
      <c r="Z418" s="42"/>
      <c r="AA418" s="67"/>
      <c r="AB418" s="67"/>
      <c r="AC418" s="67"/>
    </row>
    <row r="419" spans="1:68" ht="14.25" hidden="1" customHeight="1" x14ac:dyDescent="0.25">
      <c r="A419" s="642" t="s">
        <v>87</v>
      </c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6"/>
      <c r="AB419" s="66"/>
      <c r="AC419" s="80"/>
    </row>
    <row r="420" spans="1:68" ht="27" hidden="1" customHeight="1" x14ac:dyDescent="0.25">
      <c r="A420" s="63" t="s">
        <v>680</v>
      </c>
      <c r="B420" s="63" t="s">
        <v>681</v>
      </c>
      <c r="C420" s="36">
        <v>4301051284</v>
      </c>
      <c r="D420" s="643">
        <v>4607091384352</v>
      </c>
      <c r="E420" s="643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645"/>
      <c r="R420" s="645"/>
      <c r="S420" s="645"/>
      <c r="T420" s="64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683</v>
      </c>
      <c r="B421" s="63" t="s">
        <v>684</v>
      </c>
      <c r="C421" s="36">
        <v>4301051431</v>
      </c>
      <c r="D421" s="643">
        <v>4607091389654</v>
      </c>
      <c r="E421" s="643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8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645"/>
      <c r="R421" s="645"/>
      <c r="S421" s="645"/>
      <c r="T421" s="64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hidden="1" customHeight="1" x14ac:dyDescent="0.25">
      <c r="A424" s="641" t="s">
        <v>686</v>
      </c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5"/>
      <c r="AB424" s="65"/>
      <c r="AC424" s="79"/>
    </row>
    <row r="425" spans="1:68" ht="14.25" hidden="1" customHeight="1" x14ac:dyDescent="0.25">
      <c r="A425" s="642" t="s">
        <v>156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6"/>
      <c r="AB425" s="66"/>
      <c r="AC425" s="80"/>
    </row>
    <row r="426" spans="1:68" ht="27" hidden="1" customHeight="1" x14ac:dyDescent="0.25">
      <c r="A426" s="63" t="s">
        <v>687</v>
      </c>
      <c r="B426" s="63" t="s">
        <v>688</v>
      </c>
      <c r="C426" s="36">
        <v>4301020416</v>
      </c>
      <c r="D426" s="643">
        <v>4680115885240</v>
      </c>
      <c r="E426" s="643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8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645"/>
      <c r="R426" s="645"/>
      <c r="S426" s="645"/>
      <c r="T426" s="64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hidden="1" x14ac:dyDescent="0.2">
      <c r="A428" s="651"/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2"/>
      <c r="P428" s="648" t="s">
        <v>40</v>
      </c>
      <c r="Q428" s="649"/>
      <c r="R428" s="649"/>
      <c r="S428" s="649"/>
      <c r="T428" s="649"/>
      <c r="U428" s="649"/>
      <c r="V428" s="650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42" t="s">
        <v>77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6"/>
      <c r="AB429" s="66"/>
      <c r="AC429" s="80"/>
    </row>
    <row r="430" spans="1:68" ht="27" customHeight="1" x14ac:dyDescent="0.25">
      <c r="A430" s="63" t="s">
        <v>690</v>
      </c>
      <c r="B430" s="63" t="s">
        <v>691</v>
      </c>
      <c r="C430" s="36">
        <v>4301031407</v>
      </c>
      <c r="D430" s="643">
        <v>4680115886094</v>
      </c>
      <c r="E430" s="643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8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645"/>
      <c r="R430" s="645"/>
      <c r="S430" s="645"/>
      <c r="T430" s="646"/>
      <c r="U430" s="39" t="s">
        <v>46</v>
      </c>
      <c r="V430" s="39" t="s">
        <v>46</v>
      </c>
      <c r="W430" s="40" t="s">
        <v>0</v>
      </c>
      <c r="X430" s="58">
        <v>10</v>
      </c>
      <c r="Y430" s="55">
        <f>IFERROR(IF(X430="",0,CEILING((X430/$H430),1)*$H430),"")</f>
        <v>10.8</v>
      </c>
      <c r="Z430" s="41">
        <f>IFERROR(IF(Y430=0,"",ROUNDUP(Y430/H430,0)*0.00902),"")</f>
        <v>1.804E-2</v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10.351851851851851</v>
      </c>
      <c r="BN430" s="78">
        <f>IFERROR(Y430*I430/H430,"0")</f>
        <v>11.18</v>
      </c>
      <c r="BO430" s="78">
        <f>IFERROR(1/J430*(X430/H430),"0")</f>
        <v>1.4029180695847361E-2</v>
      </c>
      <c r="BP430" s="78">
        <f>IFERROR(1/J430*(Y430/H430),"0")</f>
        <v>1.5151515151515152E-2</v>
      </c>
    </row>
    <row r="431" spans="1:68" ht="27" hidden="1" customHeight="1" x14ac:dyDescent="0.25">
      <c r="A431" s="63" t="s">
        <v>693</v>
      </c>
      <c r="B431" s="63" t="s">
        <v>694</v>
      </c>
      <c r="C431" s="36">
        <v>4301031373</v>
      </c>
      <c r="D431" s="643">
        <v>4680115880771</v>
      </c>
      <c r="E431" s="643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86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645"/>
      <c r="R431" s="645"/>
      <c r="S431" s="645"/>
      <c r="T431" s="64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696</v>
      </c>
      <c r="B432" s="63" t="s">
        <v>697</v>
      </c>
      <c r="C432" s="36">
        <v>4301031359</v>
      </c>
      <c r="D432" s="643">
        <v>4607091389500</v>
      </c>
      <c r="E432" s="643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645"/>
      <c r="R432" s="645"/>
      <c r="S432" s="645"/>
      <c r="T432" s="64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51"/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2"/>
      <c r="P433" s="648" t="s">
        <v>40</v>
      </c>
      <c r="Q433" s="649"/>
      <c r="R433" s="649"/>
      <c r="S433" s="649"/>
      <c r="T433" s="649"/>
      <c r="U433" s="649"/>
      <c r="V433" s="650"/>
      <c r="W433" s="42" t="s">
        <v>39</v>
      </c>
      <c r="X433" s="43">
        <f>IFERROR(X430/H430,"0")+IFERROR(X431/H431,"0")+IFERROR(X432/H432,"0")</f>
        <v>1.8518518518518516</v>
      </c>
      <c r="Y433" s="43">
        <f>IFERROR(Y430/H430,"0")+IFERROR(Y431/H431,"0")+IFERROR(Y432/H432,"0")</f>
        <v>2</v>
      </c>
      <c r="Z433" s="43">
        <f>IFERROR(IF(Z430="",0,Z430),"0")+IFERROR(IF(Z431="",0,Z431),"0")+IFERROR(IF(Z432="",0,Z432),"0")</f>
        <v>1.804E-2</v>
      </c>
      <c r="AA433" s="67"/>
      <c r="AB433" s="67"/>
      <c r="AC433" s="67"/>
    </row>
    <row r="434" spans="1:68" x14ac:dyDescent="0.2">
      <c r="A434" s="651"/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2"/>
      <c r="P434" s="648" t="s">
        <v>40</v>
      </c>
      <c r="Q434" s="649"/>
      <c r="R434" s="649"/>
      <c r="S434" s="649"/>
      <c r="T434" s="649"/>
      <c r="U434" s="649"/>
      <c r="V434" s="650"/>
      <c r="W434" s="42" t="s">
        <v>0</v>
      </c>
      <c r="X434" s="43">
        <f>IFERROR(SUM(X430:X432),"0")</f>
        <v>10</v>
      </c>
      <c r="Y434" s="43">
        <f>IFERROR(SUM(Y430:Y432),"0")</f>
        <v>10.8</v>
      </c>
      <c r="Z434" s="42"/>
      <c r="AA434" s="67"/>
      <c r="AB434" s="67"/>
      <c r="AC434" s="67"/>
    </row>
    <row r="435" spans="1:68" ht="16.5" hidden="1" customHeight="1" x14ac:dyDescent="0.25">
      <c r="A435" s="641" t="s">
        <v>698</v>
      </c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5"/>
      <c r="AB435" s="65"/>
      <c r="AC435" s="79"/>
    </row>
    <row r="436" spans="1:68" ht="14.25" hidden="1" customHeight="1" x14ac:dyDescent="0.25">
      <c r="A436" s="642" t="s">
        <v>77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6"/>
      <c r="AB436" s="66"/>
      <c r="AC436" s="80"/>
    </row>
    <row r="437" spans="1:68" ht="27" hidden="1" customHeight="1" x14ac:dyDescent="0.25">
      <c r="A437" s="63" t="s">
        <v>699</v>
      </c>
      <c r="B437" s="63" t="s">
        <v>700</v>
      </c>
      <c r="C437" s="36">
        <v>4301031347</v>
      </c>
      <c r="D437" s="643">
        <v>4680115885110</v>
      </c>
      <c r="E437" s="643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8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645"/>
      <c r="R437" s="645"/>
      <c r="S437" s="645"/>
      <c r="T437" s="64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51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52"/>
      <c r="P438" s="648" t="s">
        <v>40</v>
      </c>
      <c r="Q438" s="649"/>
      <c r="R438" s="649"/>
      <c r="S438" s="649"/>
      <c r="T438" s="649"/>
      <c r="U438" s="649"/>
      <c r="V438" s="650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hidden="1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hidden="1" customHeight="1" x14ac:dyDescent="0.2">
      <c r="A440" s="640" t="s">
        <v>702</v>
      </c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54"/>
      <c r="AB440" s="54"/>
      <c r="AC440" s="54"/>
    </row>
    <row r="441" spans="1:68" ht="16.5" hidden="1" customHeight="1" x14ac:dyDescent="0.25">
      <c r="A441" s="641" t="s">
        <v>702</v>
      </c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5"/>
      <c r="AB441" s="65"/>
      <c r="AC441" s="79"/>
    </row>
    <row r="442" spans="1:68" ht="14.25" hidden="1" customHeight="1" x14ac:dyDescent="0.25">
      <c r="A442" s="642" t="s">
        <v>122</v>
      </c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6"/>
      <c r="AB442" s="66"/>
      <c r="AC442" s="80"/>
    </row>
    <row r="443" spans="1:68" ht="27" hidden="1" customHeight="1" x14ac:dyDescent="0.25">
      <c r="A443" s="63" t="s">
        <v>703</v>
      </c>
      <c r="B443" s="63" t="s">
        <v>704</v>
      </c>
      <c r="C443" s="36">
        <v>4301011769</v>
      </c>
      <c r="D443" s="643">
        <v>4607091389067</v>
      </c>
      <c r="E443" s="64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645"/>
      <c r="R443" s="645"/>
      <c r="S443" s="645"/>
      <c r="T443" s="646"/>
      <c r="U443" s="39" t="s">
        <v>46</v>
      </c>
      <c r="V443" s="39" t="s">
        <v>46</v>
      </c>
      <c r="W443" s="40" t="s">
        <v>0</v>
      </c>
      <c r="X443" s="58"/>
      <c r="Y443" s="55">
        <f t="shared" ref="Y443:Y453" si="59">IFERROR(IF(X443="",0,CEILING((X443/$H443),1)*$H443),"")</f>
        <v>0</v>
      </c>
      <c r="Z443" s="41" t="str">
        <f t="shared" ref="Z443:Z448" si="60">IFERROR(IF(Y443=0,"",ROUNDUP(Y443/H443,0)*0.01196),"")</f>
        <v/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0</v>
      </c>
      <c r="BN443" s="78">
        <f t="shared" ref="BN443:BN453" si="62">IFERROR(Y443*I443/H443,"0")</f>
        <v>0</v>
      </c>
      <c r="BO443" s="78">
        <f t="shared" ref="BO443:BO453" si="63">IFERROR(1/J443*(X443/H443),"0")</f>
        <v>0</v>
      </c>
      <c r="BP443" s="78">
        <f t="shared" ref="BP443:BP453" si="64">IFERROR(1/J443*(Y443/H443),"0")</f>
        <v>0</v>
      </c>
    </row>
    <row r="444" spans="1:68" ht="27" hidden="1" customHeight="1" x14ac:dyDescent="0.25">
      <c r="A444" s="63" t="s">
        <v>705</v>
      </c>
      <c r="B444" s="63" t="s">
        <v>706</v>
      </c>
      <c r="C444" s="36">
        <v>4301012210</v>
      </c>
      <c r="D444" s="643">
        <v>4607091383522</v>
      </c>
      <c r="E444" s="64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86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645"/>
      <c r="R444" s="645"/>
      <c r="S444" s="645"/>
      <c r="T444" s="64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643">
        <v>4680115885271</v>
      </c>
      <c r="E445" s="643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645"/>
      <c r="R445" s="645"/>
      <c r="S445" s="645"/>
      <c r="T445" s="646"/>
      <c r="U445" s="39" t="s">
        <v>46</v>
      </c>
      <c r="V445" s="39" t="s">
        <v>46</v>
      </c>
      <c r="W445" s="40" t="s">
        <v>0</v>
      </c>
      <c r="X445" s="58">
        <v>5</v>
      </c>
      <c r="Y445" s="55">
        <f t="shared" si="59"/>
        <v>5.28</v>
      </c>
      <c r="Z445" s="41">
        <f t="shared" si="60"/>
        <v>1.196E-2</v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5.3314393939393936</v>
      </c>
      <c r="BN445" s="78">
        <f t="shared" si="62"/>
        <v>5.63</v>
      </c>
      <c r="BO445" s="78">
        <f t="shared" si="63"/>
        <v>9.1054778554778559E-3</v>
      </c>
      <c r="BP445" s="78">
        <f t="shared" si="64"/>
        <v>9.6153846153846159E-3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643">
        <v>4680115885226</v>
      </c>
      <c r="E446" s="643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645"/>
      <c r="R446" s="645"/>
      <c r="S446" s="645"/>
      <c r="T446" s="646"/>
      <c r="U446" s="39" t="s">
        <v>46</v>
      </c>
      <c r="V446" s="39" t="s">
        <v>46</v>
      </c>
      <c r="W446" s="40" t="s">
        <v>0</v>
      </c>
      <c r="X446" s="58">
        <v>70</v>
      </c>
      <c r="Y446" s="55">
        <f t="shared" si="59"/>
        <v>73.92</v>
      </c>
      <c r="Z446" s="41">
        <f t="shared" si="60"/>
        <v>0.16744000000000001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74.640151515151501</v>
      </c>
      <c r="BN446" s="78">
        <f t="shared" si="62"/>
        <v>78.819999999999993</v>
      </c>
      <c r="BO446" s="78">
        <f t="shared" si="63"/>
        <v>0.12747668997668998</v>
      </c>
      <c r="BP446" s="78">
        <f t="shared" si="64"/>
        <v>0.13461538461538464</v>
      </c>
    </row>
    <row r="447" spans="1:68" ht="16.5" hidden="1" customHeight="1" x14ac:dyDescent="0.25">
      <c r="A447" s="63" t="s">
        <v>714</v>
      </c>
      <c r="B447" s="63" t="s">
        <v>715</v>
      </c>
      <c r="C447" s="36">
        <v>4301011797</v>
      </c>
      <c r="D447" s="643">
        <v>4680115884502</v>
      </c>
      <c r="E447" s="64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645"/>
      <c r="R447" s="645"/>
      <c r="S447" s="645"/>
      <c r="T447" s="64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643">
        <v>4607091389104</v>
      </c>
      <c r="E448" s="64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8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645"/>
      <c r="R448" s="645"/>
      <c r="S448" s="645"/>
      <c r="T448" s="646"/>
      <c r="U448" s="39" t="s">
        <v>46</v>
      </c>
      <c r="V448" s="39" t="s">
        <v>46</v>
      </c>
      <c r="W448" s="40" t="s">
        <v>0</v>
      </c>
      <c r="X448" s="58">
        <v>70</v>
      </c>
      <c r="Y448" s="55">
        <f t="shared" si="59"/>
        <v>73.92</v>
      </c>
      <c r="Z448" s="41">
        <f t="shared" si="60"/>
        <v>0.16744000000000001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74.640151515151501</v>
      </c>
      <c r="BN448" s="78">
        <f t="shared" si="62"/>
        <v>78.819999999999993</v>
      </c>
      <c r="BO448" s="78">
        <f t="shared" si="63"/>
        <v>0.12747668997668998</v>
      </c>
      <c r="BP448" s="78">
        <f t="shared" si="64"/>
        <v>0.13461538461538464</v>
      </c>
    </row>
    <row r="449" spans="1:68" ht="27" hidden="1" customHeight="1" x14ac:dyDescent="0.25">
      <c r="A449" s="63" t="s">
        <v>720</v>
      </c>
      <c r="B449" s="63" t="s">
        <v>721</v>
      </c>
      <c r="C449" s="36">
        <v>4301012125</v>
      </c>
      <c r="D449" s="643">
        <v>4680115886391</v>
      </c>
      <c r="E449" s="643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8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645"/>
      <c r="R449" s="645"/>
      <c r="S449" s="645"/>
      <c r="T449" s="64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hidden="1" customHeight="1" x14ac:dyDescent="0.25">
      <c r="A450" s="63" t="s">
        <v>722</v>
      </c>
      <c r="B450" s="63" t="s">
        <v>723</v>
      </c>
      <c r="C450" s="36">
        <v>4301012048</v>
      </c>
      <c r="D450" s="643">
        <v>4680115880603</v>
      </c>
      <c r="E450" s="64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8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645"/>
      <c r="R450" s="645"/>
      <c r="S450" s="645"/>
      <c r="T450" s="64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hidden="1" customHeight="1" x14ac:dyDescent="0.25">
      <c r="A451" s="63" t="s">
        <v>724</v>
      </c>
      <c r="B451" s="63" t="s">
        <v>725</v>
      </c>
      <c r="C451" s="36">
        <v>4301012036</v>
      </c>
      <c r="D451" s="643">
        <v>4680115882782</v>
      </c>
      <c r="E451" s="643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645"/>
      <c r="R451" s="645"/>
      <c r="S451" s="645"/>
      <c r="T451" s="64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hidden="1" customHeight="1" x14ac:dyDescent="0.25">
      <c r="A452" s="63" t="s">
        <v>726</v>
      </c>
      <c r="B452" s="63" t="s">
        <v>727</v>
      </c>
      <c r="C452" s="36">
        <v>4301012050</v>
      </c>
      <c r="D452" s="643">
        <v>4680115885479</v>
      </c>
      <c r="E452" s="643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87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645"/>
      <c r="R452" s="645"/>
      <c r="S452" s="645"/>
      <c r="T452" s="64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hidden="1" customHeight="1" x14ac:dyDescent="0.25">
      <c r="A453" s="63" t="s">
        <v>728</v>
      </c>
      <c r="B453" s="63" t="s">
        <v>729</v>
      </c>
      <c r="C453" s="36">
        <v>4301012034</v>
      </c>
      <c r="D453" s="643">
        <v>4607091389982</v>
      </c>
      <c r="E453" s="64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645"/>
      <c r="R453" s="645"/>
      <c r="S453" s="645"/>
      <c r="T453" s="646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651"/>
      <c r="B454" s="651"/>
      <c r="C454" s="651"/>
      <c r="D454" s="651"/>
      <c r="E454" s="651"/>
      <c r="F454" s="651"/>
      <c r="G454" s="651"/>
      <c r="H454" s="651"/>
      <c r="I454" s="651"/>
      <c r="J454" s="651"/>
      <c r="K454" s="651"/>
      <c r="L454" s="651"/>
      <c r="M454" s="651"/>
      <c r="N454" s="651"/>
      <c r="O454" s="652"/>
      <c r="P454" s="648" t="s">
        <v>40</v>
      </c>
      <c r="Q454" s="649"/>
      <c r="R454" s="649"/>
      <c r="S454" s="649"/>
      <c r="T454" s="649"/>
      <c r="U454" s="649"/>
      <c r="V454" s="650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27.462121212121211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29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0.34684000000000004</v>
      </c>
      <c r="AA454" s="67"/>
      <c r="AB454" s="67"/>
      <c r="AC454" s="67"/>
    </row>
    <row r="455" spans="1:68" x14ac:dyDescent="0.2">
      <c r="A455" s="651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52"/>
      <c r="P455" s="648" t="s">
        <v>40</v>
      </c>
      <c r="Q455" s="649"/>
      <c r="R455" s="649"/>
      <c r="S455" s="649"/>
      <c r="T455" s="649"/>
      <c r="U455" s="649"/>
      <c r="V455" s="650"/>
      <c r="W455" s="42" t="s">
        <v>0</v>
      </c>
      <c r="X455" s="43">
        <f>IFERROR(SUM(X443:X453),"0")</f>
        <v>145</v>
      </c>
      <c r="Y455" s="43">
        <f>IFERROR(SUM(Y443:Y453),"0")</f>
        <v>153.12</v>
      </c>
      <c r="Z455" s="42"/>
      <c r="AA455" s="67"/>
      <c r="AB455" s="67"/>
      <c r="AC455" s="67"/>
    </row>
    <row r="456" spans="1:68" ht="14.25" hidden="1" customHeight="1" x14ac:dyDescent="0.25">
      <c r="A456" s="642" t="s">
        <v>156</v>
      </c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643">
        <v>4607091388930</v>
      </c>
      <c r="E457" s="643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645"/>
      <c r="R457" s="645"/>
      <c r="S457" s="645"/>
      <c r="T457" s="646"/>
      <c r="U457" s="39" t="s">
        <v>46</v>
      </c>
      <c r="V457" s="39" t="s">
        <v>46</v>
      </c>
      <c r="W457" s="40" t="s">
        <v>0</v>
      </c>
      <c r="X457" s="58">
        <v>75</v>
      </c>
      <c r="Y457" s="55">
        <f>IFERROR(IF(X457="",0,CEILING((X457/$H457),1)*$H457),"")</f>
        <v>79.2</v>
      </c>
      <c r="Z457" s="41">
        <f>IFERROR(IF(Y457=0,"",ROUNDUP(Y457/H457,0)*0.01196),"")</f>
        <v>0.1794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79.971590909090907</v>
      </c>
      <c r="BN457" s="78">
        <f>IFERROR(Y457*I457/H457,"0")</f>
        <v>84.45</v>
      </c>
      <c r="BO457" s="78">
        <f>IFERROR(1/J457*(X457/H457),"0")</f>
        <v>0.13658216783216784</v>
      </c>
      <c r="BP457" s="78">
        <f>IFERROR(1/J457*(Y457/H457),"0")</f>
        <v>0.14423076923076925</v>
      </c>
    </row>
    <row r="458" spans="1:68" ht="16.5" hidden="1" customHeight="1" x14ac:dyDescent="0.25">
      <c r="A458" s="63" t="s">
        <v>733</v>
      </c>
      <c r="B458" s="63" t="s">
        <v>734</v>
      </c>
      <c r="C458" s="36">
        <v>4301020374</v>
      </c>
      <c r="D458" s="643">
        <v>4680115886407</v>
      </c>
      <c r="E458" s="643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645"/>
      <c r="R458" s="645"/>
      <c r="S458" s="645"/>
      <c r="T458" s="64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735</v>
      </c>
      <c r="B459" s="63" t="s">
        <v>736</v>
      </c>
      <c r="C459" s="36">
        <v>4301020385</v>
      </c>
      <c r="D459" s="643">
        <v>4680115880054</v>
      </c>
      <c r="E459" s="643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645"/>
      <c r="R459" s="645"/>
      <c r="S459" s="645"/>
      <c r="T459" s="64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51"/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2"/>
      <c r="P460" s="648" t="s">
        <v>40</v>
      </c>
      <c r="Q460" s="649"/>
      <c r="R460" s="649"/>
      <c r="S460" s="649"/>
      <c r="T460" s="649"/>
      <c r="U460" s="649"/>
      <c r="V460" s="650"/>
      <c r="W460" s="42" t="s">
        <v>39</v>
      </c>
      <c r="X460" s="43">
        <f>IFERROR(X457/H457,"0")+IFERROR(X458/H458,"0")+IFERROR(X459/H459,"0")</f>
        <v>14.204545454545453</v>
      </c>
      <c r="Y460" s="43">
        <f>IFERROR(Y457/H457,"0")+IFERROR(Y458/H458,"0")+IFERROR(Y459/H459,"0")</f>
        <v>15</v>
      </c>
      <c r="Z460" s="43">
        <f>IFERROR(IF(Z457="",0,Z457),"0")+IFERROR(IF(Z458="",0,Z458),"0")+IFERROR(IF(Z459="",0,Z459),"0")</f>
        <v>0.1794</v>
      </c>
      <c r="AA460" s="67"/>
      <c r="AB460" s="67"/>
      <c r="AC460" s="67"/>
    </row>
    <row r="461" spans="1:68" x14ac:dyDescent="0.2">
      <c r="A461" s="651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2"/>
      <c r="P461" s="648" t="s">
        <v>40</v>
      </c>
      <c r="Q461" s="649"/>
      <c r="R461" s="649"/>
      <c r="S461" s="649"/>
      <c r="T461" s="649"/>
      <c r="U461" s="649"/>
      <c r="V461" s="650"/>
      <c r="W461" s="42" t="s">
        <v>0</v>
      </c>
      <c r="X461" s="43">
        <f>IFERROR(SUM(X457:X459),"0")</f>
        <v>75</v>
      </c>
      <c r="Y461" s="43">
        <f>IFERROR(SUM(Y457:Y459),"0")</f>
        <v>79.2</v>
      </c>
      <c r="Z461" s="42"/>
      <c r="AA461" s="67"/>
      <c r="AB461" s="67"/>
      <c r="AC461" s="67"/>
    </row>
    <row r="462" spans="1:68" ht="14.25" hidden="1" customHeight="1" x14ac:dyDescent="0.25">
      <c r="A462" s="642" t="s">
        <v>77</v>
      </c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6"/>
      <c r="AB462" s="66"/>
      <c r="AC462" s="80"/>
    </row>
    <row r="463" spans="1:68" ht="27" hidden="1" customHeight="1" x14ac:dyDescent="0.25">
      <c r="A463" s="63" t="s">
        <v>737</v>
      </c>
      <c r="B463" s="63" t="s">
        <v>738</v>
      </c>
      <c r="C463" s="36">
        <v>4301031349</v>
      </c>
      <c r="D463" s="643">
        <v>4680115883116</v>
      </c>
      <c r="E463" s="643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645"/>
      <c r="R463" s="645"/>
      <c r="S463" s="645"/>
      <c r="T463" s="646"/>
      <c r="U463" s="39" t="s">
        <v>46</v>
      </c>
      <c r="V463" s="39" t="s">
        <v>46</v>
      </c>
      <c r="W463" s="40" t="s">
        <v>0</v>
      </c>
      <c r="X463" s="58"/>
      <c r="Y463" s="55">
        <f t="shared" ref="Y463:Y469" si="65">IFERROR(IF(X463="",0,CEILING((X463/$H463),1)*$H463),"")</f>
        <v>0</v>
      </c>
      <c r="Z463" s="41" t="str">
        <f>IFERROR(IF(Y463=0,"",ROUNDUP(Y463/H463,0)*0.01196),"")</f>
        <v/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0</v>
      </c>
      <c r="BN463" s="78">
        <f t="shared" ref="BN463:BN469" si="67">IFERROR(Y463*I463/H463,"0")</f>
        <v>0</v>
      </c>
      <c r="BO463" s="78">
        <f t="shared" ref="BO463:BO469" si="68">IFERROR(1/J463*(X463/H463),"0")</f>
        <v>0</v>
      </c>
      <c r="BP463" s="78">
        <f t="shared" ref="BP463:BP469" si="69">IFERROR(1/J463*(Y463/H463),"0")</f>
        <v>0</v>
      </c>
    </row>
    <row r="464" spans="1:68" ht="27" hidden="1" customHeight="1" x14ac:dyDescent="0.25">
      <c r="A464" s="63" t="s">
        <v>740</v>
      </c>
      <c r="B464" s="63" t="s">
        <v>741</v>
      </c>
      <c r="C464" s="36">
        <v>4301031350</v>
      </c>
      <c r="D464" s="643">
        <v>4680115883093</v>
      </c>
      <c r="E464" s="643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8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645"/>
      <c r="R464" s="645"/>
      <c r="S464" s="645"/>
      <c r="T464" s="646"/>
      <c r="U464" s="39" t="s">
        <v>46</v>
      </c>
      <c r="V464" s="39" t="s">
        <v>46</v>
      </c>
      <c r="W464" s="40" t="s">
        <v>0</v>
      </c>
      <c r="X464" s="58"/>
      <c r="Y464" s="55">
        <f t="shared" si="65"/>
        <v>0</v>
      </c>
      <c r="Z464" s="41" t="str">
        <f>IFERROR(IF(Y464=0,"",ROUNDUP(Y464/H464,0)*0.01196),"")</f>
        <v/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0</v>
      </c>
      <c r="BN464" s="78">
        <f t="shared" si="67"/>
        <v>0</v>
      </c>
      <c r="BO464" s="78">
        <f t="shared" si="68"/>
        <v>0</v>
      </c>
      <c r="BP464" s="78">
        <f t="shared" si="69"/>
        <v>0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643">
        <v>4680115883109</v>
      </c>
      <c r="E465" s="643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8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645"/>
      <c r="R465" s="645"/>
      <c r="S465" s="645"/>
      <c r="T465" s="646"/>
      <c r="U465" s="39" t="s">
        <v>46</v>
      </c>
      <c r="V465" s="39" t="s">
        <v>46</v>
      </c>
      <c r="W465" s="40" t="s">
        <v>0</v>
      </c>
      <c r="X465" s="58">
        <v>50</v>
      </c>
      <c r="Y465" s="55">
        <f t="shared" si="65"/>
        <v>52.800000000000004</v>
      </c>
      <c r="Z465" s="41">
        <f>IFERROR(IF(Y465=0,"",ROUNDUP(Y465/H465,0)*0.01196),"")</f>
        <v>0.1196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53.314393939393938</v>
      </c>
      <c r="BN465" s="78">
        <f t="shared" si="67"/>
        <v>56.3</v>
      </c>
      <c r="BO465" s="78">
        <f t="shared" si="68"/>
        <v>9.1054778554778545E-2</v>
      </c>
      <c r="BP465" s="78">
        <f t="shared" si="69"/>
        <v>9.6153846153846159E-2</v>
      </c>
    </row>
    <row r="466" spans="1:68" ht="27" hidden="1" customHeight="1" x14ac:dyDescent="0.25">
      <c r="A466" s="63" t="s">
        <v>746</v>
      </c>
      <c r="B466" s="63" t="s">
        <v>747</v>
      </c>
      <c r="C466" s="36">
        <v>4301031419</v>
      </c>
      <c r="D466" s="643">
        <v>4680115882072</v>
      </c>
      <c r="E466" s="643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645"/>
      <c r="R466" s="645"/>
      <c r="S466" s="645"/>
      <c r="T466" s="646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4301031352</v>
      </c>
      <c r="D467" s="643">
        <v>4680115882102</v>
      </c>
      <c r="E467" s="643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8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645"/>
      <c r="R467" s="645"/>
      <c r="S467" s="645"/>
      <c r="T467" s="646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hidden="1" customHeight="1" x14ac:dyDescent="0.25">
      <c r="A468" s="63" t="s">
        <v>748</v>
      </c>
      <c r="B468" s="63" t="s">
        <v>750</v>
      </c>
      <c r="C468" s="36">
        <v>4301031418</v>
      </c>
      <c r="D468" s="643">
        <v>4680115882102</v>
      </c>
      <c r="E468" s="643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8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645"/>
      <c r="R468" s="645"/>
      <c r="S468" s="645"/>
      <c r="T468" s="646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hidden="1" customHeight="1" x14ac:dyDescent="0.25">
      <c r="A469" s="63" t="s">
        <v>751</v>
      </c>
      <c r="B469" s="63" t="s">
        <v>752</v>
      </c>
      <c r="C469" s="36">
        <v>4301031417</v>
      </c>
      <c r="D469" s="643">
        <v>4680115882096</v>
      </c>
      <c r="E469" s="643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8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645"/>
      <c r="R469" s="645"/>
      <c r="S469" s="645"/>
      <c r="T469" s="646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651"/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2"/>
      <c r="P470" s="648" t="s">
        <v>40</v>
      </c>
      <c r="Q470" s="649"/>
      <c r="R470" s="649"/>
      <c r="S470" s="649"/>
      <c r="T470" s="649"/>
      <c r="U470" s="649"/>
      <c r="V470" s="650"/>
      <c r="W470" s="42" t="s">
        <v>39</v>
      </c>
      <c r="X470" s="43">
        <f>IFERROR(X463/H463,"0")+IFERROR(X464/H464,"0")+IFERROR(X465/H465,"0")+IFERROR(X466/H466,"0")+IFERROR(X467/H467,"0")+IFERROR(X468/H468,"0")+IFERROR(X469/H469,"0")</f>
        <v>9.4696969696969688</v>
      </c>
      <c r="Y470" s="43">
        <f>IFERROR(Y463/H463,"0")+IFERROR(Y464/H464,"0")+IFERROR(Y465/H465,"0")+IFERROR(Y466/H466,"0")+IFERROR(Y467/H467,"0")+IFERROR(Y468/H468,"0")+IFERROR(Y469/H469,"0")</f>
        <v>10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0.1196</v>
      </c>
      <c r="AA470" s="67"/>
      <c r="AB470" s="67"/>
      <c r="AC470" s="67"/>
    </row>
    <row r="471" spans="1:68" x14ac:dyDescent="0.2">
      <c r="A471" s="651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52"/>
      <c r="P471" s="648" t="s">
        <v>40</v>
      </c>
      <c r="Q471" s="649"/>
      <c r="R471" s="649"/>
      <c r="S471" s="649"/>
      <c r="T471" s="649"/>
      <c r="U471" s="649"/>
      <c r="V471" s="650"/>
      <c r="W471" s="42" t="s">
        <v>0</v>
      </c>
      <c r="X471" s="43">
        <f>IFERROR(SUM(X463:X469),"0")</f>
        <v>50</v>
      </c>
      <c r="Y471" s="43">
        <f>IFERROR(SUM(Y463:Y469),"0")</f>
        <v>52.800000000000004</v>
      </c>
      <c r="Z471" s="42"/>
      <c r="AA471" s="67"/>
      <c r="AB471" s="67"/>
      <c r="AC471" s="67"/>
    </row>
    <row r="472" spans="1:68" ht="27.75" hidden="1" customHeight="1" x14ac:dyDescent="0.2">
      <c r="A472" s="640" t="s">
        <v>753</v>
      </c>
      <c r="B472" s="640"/>
      <c r="C472" s="640"/>
      <c r="D472" s="640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54"/>
      <c r="AB472" s="54"/>
      <c r="AC472" s="54"/>
    </row>
    <row r="473" spans="1:68" ht="16.5" hidden="1" customHeight="1" x14ac:dyDescent="0.25">
      <c r="A473" s="641" t="s">
        <v>753</v>
      </c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5"/>
      <c r="AB473" s="65"/>
      <c r="AC473" s="79"/>
    </row>
    <row r="474" spans="1:68" ht="14.25" hidden="1" customHeight="1" x14ac:dyDescent="0.25">
      <c r="A474" s="642" t="s">
        <v>122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6"/>
      <c r="AB474" s="66"/>
      <c r="AC474" s="80"/>
    </row>
    <row r="475" spans="1:68" ht="27" hidden="1" customHeight="1" x14ac:dyDescent="0.25">
      <c r="A475" s="63" t="s">
        <v>754</v>
      </c>
      <c r="B475" s="63" t="s">
        <v>755</v>
      </c>
      <c r="C475" s="36">
        <v>4301011763</v>
      </c>
      <c r="D475" s="643">
        <v>4640242181011</v>
      </c>
      <c r="E475" s="643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8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645"/>
      <c r="R475" s="645"/>
      <c r="S475" s="645"/>
      <c r="T475" s="64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643">
        <v>4640242180564</v>
      </c>
      <c r="E476" s="643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8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645"/>
      <c r="R476" s="645"/>
      <c r="S476" s="645"/>
      <c r="T476" s="646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hidden="1" customHeight="1" x14ac:dyDescent="0.25">
      <c r="A477" s="63" t="s">
        <v>760</v>
      </c>
      <c r="B477" s="63" t="s">
        <v>761</v>
      </c>
      <c r="C477" s="36">
        <v>4301011764</v>
      </c>
      <c r="D477" s="643">
        <v>4640242181189</v>
      </c>
      <c r="E477" s="643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88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645"/>
      <c r="R477" s="645"/>
      <c r="S477" s="645"/>
      <c r="T477" s="64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51"/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2"/>
      <c r="P478" s="648" t="s">
        <v>40</v>
      </c>
      <c r="Q478" s="649"/>
      <c r="R478" s="649"/>
      <c r="S478" s="649"/>
      <c r="T478" s="649"/>
      <c r="U478" s="649"/>
      <c r="V478" s="650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hidden="1" customHeight="1" x14ac:dyDescent="0.25">
      <c r="A480" s="642" t="s">
        <v>156</v>
      </c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6"/>
      <c r="AB480" s="66"/>
      <c r="AC480" s="80"/>
    </row>
    <row r="481" spans="1:68" ht="27" hidden="1" customHeight="1" x14ac:dyDescent="0.25">
      <c r="A481" s="63" t="s">
        <v>762</v>
      </c>
      <c r="B481" s="63" t="s">
        <v>763</v>
      </c>
      <c r="C481" s="36">
        <v>4301020400</v>
      </c>
      <c r="D481" s="643">
        <v>4640242180519</v>
      </c>
      <c r="E481" s="643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8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645"/>
      <c r="R481" s="645"/>
      <c r="S481" s="645"/>
      <c r="T481" s="64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51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2"/>
      <c r="P482" s="648" t="s">
        <v>40</v>
      </c>
      <c r="Q482" s="649"/>
      <c r="R482" s="649"/>
      <c r="S482" s="649"/>
      <c r="T482" s="649"/>
      <c r="U482" s="649"/>
      <c r="V482" s="650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hidden="1" customHeight="1" x14ac:dyDescent="0.25">
      <c r="A484" s="642" t="s">
        <v>77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6"/>
      <c r="AB484" s="66"/>
      <c r="AC484" s="80"/>
    </row>
    <row r="485" spans="1:68" ht="27" hidden="1" customHeight="1" x14ac:dyDescent="0.25">
      <c r="A485" s="63" t="s">
        <v>765</v>
      </c>
      <c r="B485" s="63" t="s">
        <v>766</v>
      </c>
      <c r="C485" s="36">
        <v>4301031467</v>
      </c>
      <c r="D485" s="643">
        <v>4640242180595</v>
      </c>
      <c r="E485" s="643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88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645"/>
      <c r="R485" s="645"/>
      <c r="S485" s="645"/>
      <c r="T485" s="64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51"/>
      <c r="B486" s="651"/>
      <c r="C486" s="651"/>
      <c r="D486" s="651"/>
      <c r="E486" s="651"/>
      <c r="F486" s="651"/>
      <c r="G486" s="651"/>
      <c r="H486" s="651"/>
      <c r="I486" s="651"/>
      <c r="J486" s="651"/>
      <c r="K486" s="651"/>
      <c r="L486" s="651"/>
      <c r="M486" s="651"/>
      <c r="N486" s="651"/>
      <c r="O486" s="652"/>
      <c r="P486" s="648" t="s">
        <v>40</v>
      </c>
      <c r="Q486" s="649"/>
      <c r="R486" s="649"/>
      <c r="S486" s="649"/>
      <c r="T486" s="649"/>
      <c r="U486" s="649"/>
      <c r="V486" s="650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51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2"/>
      <c r="P487" s="648" t="s">
        <v>40</v>
      </c>
      <c r="Q487" s="649"/>
      <c r="R487" s="649"/>
      <c r="S487" s="649"/>
      <c r="T487" s="649"/>
      <c r="U487" s="649"/>
      <c r="V487" s="650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642" t="s">
        <v>87</v>
      </c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643">
        <v>4640242180533</v>
      </c>
      <c r="E489" s="643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89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645"/>
      <c r="R489" s="645"/>
      <c r="S489" s="645"/>
      <c r="T489" s="646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 x14ac:dyDescent="0.2">
      <c r="A491" s="651"/>
      <c r="B491" s="651"/>
      <c r="C491" s="651"/>
      <c r="D491" s="651"/>
      <c r="E491" s="651"/>
      <c r="F491" s="651"/>
      <c r="G491" s="651"/>
      <c r="H491" s="651"/>
      <c r="I491" s="651"/>
      <c r="J491" s="651"/>
      <c r="K491" s="651"/>
      <c r="L491" s="651"/>
      <c r="M491" s="651"/>
      <c r="N491" s="651"/>
      <c r="O491" s="652"/>
      <c r="P491" s="648" t="s">
        <v>40</v>
      </c>
      <c r="Q491" s="649"/>
      <c r="R491" s="649"/>
      <c r="S491" s="649"/>
      <c r="T491" s="649"/>
      <c r="U491" s="649"/>
      <c r="V491" s="650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hidden="1" customHeight="1" x14ac:dyDescent="0.25">
      <c r="A492" s="642" t="s">
        <v>176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6"/>
      <c r="AB492" s="66"/>
      <c r="AC492" s="80"/>
    </row>
    <row r="493" spans="1:68" ht="27" hidden="1" customHeight="1" x14ac:dyDescent="0.25">
      <c r="A493" s="63" t="s">
        <v>771</v>
      </c>
      <c r="B493" s="63" t="s">
        <v>772</v>
      </c>
      <c r="C493" s="36">
        <v>4301060491</v>
      </c>
      <c r="D493" s="643">
        <v>4640242180120</v>
      </c>
      <c r="E493" s="643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8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645"/>
      <c r="R493" s="645"/>
      <c r="S493" s="645"/>
      <c r="T493" s="64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774</v>
      </c>
      <c r="B494" s="63" t="s">
        <v>775</v>
      </c>
      <c r="C494" s="36">
        <v>4301060493</v>
      </c>
      <c r="D494" s="643">
        <v>4640242180137</v>
      </c>
      <c r="E494" s="643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89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645"/>
      <c r="R494" s="645"/>
      <c r="S494" s="645"/>
      <c r="T494" s="64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41" t="s">
        <v>777</v>
      </c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5"/>
      <c r="AB497" s="65"/>
      <c r="AC497" s="79"/>
    </row>
    <row r="498" spans="1:68" ht="14.25" hidden="1" customHeight="1" x14ac:dyDescent="0.25">
      <c r="A498" s="642" t="s">
        <v>156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6"/>
      <c r="AB498" s="66"/>
      <c r="AC498" s="80"/>
    </row>
    <row r="499" spans="1:68" ht="27" hidden="1" customHeight="1" x14ac:dyDescent="0.25">
      <c r="A499" s="63" t="s">
        <v>778</v>
      </c>
      <c r="B499" s="63" t="s">
        <v>779</v>
      </c>
      <c r="C499" s="36">
        <v>4301020314</v>
      </c>
      <c r="D499" s="643">
        <v>4640242180090</v>
      </c>
      <c r="E499" s="643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8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645"/>
      <c r="R499" s="645"/>
      <c r="S499" s="645"/>
      <c r="T499" s="64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51"/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2"/>
      <c r="P501" s="648" t="s">
        <v>40</v>
      </c>
      <c r="Q501" s="649"/>
      <c r="R501" s="649"/>
      <c r="S501" s="649"/>
      <c r="T501" s="649"/>
      <c r="U501" s="649"/>
      <c r="V501" s="650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651"/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897"/>
      <c r="P502" s="894" t="s">
        <v>33</v>
      </c>
      <c r="Q502" s="895"/>
      <c r="R502" s="895"/>
      <c r="S502" s="895"/>
      <c r="T502" s="895"/>
      <c r="U502" s="895"/>
      <c r="V502" s="896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1619.06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1693.38</v>
      </c>
      <c r="Z502" s="42"/>
      <c r="AA502" s="67"/>
      <c r="AB502" s="67"/>
      <c r="AC502" s="67"/>
    </row>
    <row r="503" spans="1:68" x14ac:dyDescent="0.2">
      <c r="A503" s="651"/>
      <c r="B503" s="651"/>
      <c r="C503" s="651"/>
      <c r="D503" s="651"/>
      <c r="E503" s="651"/>
      <c r="F503" s="651"/>
      <c r="G503" s="651"/>
      <c r="H503" s="651"/>
      <c r="I503" s="651"/>
      <c r="J503" s="651"/>
      <c r="K503" s="651"/>
      <c r="L503" s="651"/>
      <c r="M503" s="651"/>
      <c r="N503" s="651"/>
      <c r="O503" s="897"/>
      <c r="P503" s="894" t="s">
        <v>34</v>
      </c>
      <c r="Q503" s="895"/>
      <c r="R503" s="895"/>
      <c r="S503" s="895"/>
      <c r="T503" s="895"/>
      <c r="U503" s="895"/>
      <c r="V503" s="896"/>
      <c r="W503" s="42" t="s">
        <v>0</v>
      </c>
      <c r="X503" s="43">
        <f>IFERROR(SUM(BM22:BM499),"0")</f>
        <v>1695.3405755972426</v>
      </c>
      <c r="Y503" s="43">
        <f>IFERROR(SUM(BN22:BN499),"0")</f>
        <v>1773.402</v>
      </c>
      <c r="Z503" s="42"/>
      <c r="AA503" s="67"/>
      <c r="AB503" s="67"/>
      <c r="AC503" s="67"/>
    </row>
    <row r="504" spans="1:68" x14ac:dyDescent="0.2">
      <c r="A504" s="651"/>
      <c r="B504" s="651"/>
      <c r="C504" s="651"/>
      <c r="D504" s="651"/>
      <c r="E504" s="651"/>
      <c r="F504" s="651"/>
      <c r="G504" s="651"/>
      <c r="H504" s="651"/>
      <c r="I504" s="651"/>
      <c r="J504" s="651"/>
      <c r="K504" s="651"/>
      <c r="L504" s="651"/>
      <c r="M504" s="651"/>
      <c r="N504" s="651"/>
      <c r="O504" s="897"/>
      <c r="P504" s="894" t="s">
        <v>35</v>
      </c>
      <c r="Q504" s="895"/>
      <c r="R504" s="895"/>
      <c r="S504" s="895"/>
      <c r="T504" s="895"/>
      <c r="U504" s="895"/>
      <c r="V504" s="896"/>
      <c r="W504" s="42" t="s">
        <v>20</v>
      </c>
      <c r="X504" s="44">
        <f>ROUNDUP(SUM(BO22:BO499),0)</f>
        <v>3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">
      <c r="A505" s="651"/>
      <c r="B505" s="651"/>
      <c r="C505" s="651"/>
      <c r="D505" s="651"/>
      <c r="E505" s="651"/>
      <c r="F505" s="651"/>
      <c r="G505" s="651"/>
      <c r="H505" s="651"/>
      <c r="I505" s="651"/>
      <c r="J505" s="651"/>
      <c r="K505" s="651"/>
      <c r="L505" s="651"/>
      <c r="M505" s="651"/>
      <c r="N505" s="651"/>
      <c r="O505" s="897"/>
      <c r="P505" s="894" t="s">
        <v>36</v>
      </c>
      <c r="Q505" s="895"/>
      <c r="R505" s="895"/>
      <c r="S505" s="895"/>
      <c r="T505" s="895"/>
      <c r="U505" s="895"/>
      <c r="V505" s="896"/>
      <c r="W505" s="42" t="s">
        <v>0</v>
      </c>
      <c r="X505" s="43">
        <f>GrossWeightTotal+PalletQtyTotal*25</f>
        <v>1770.3405755972426</v>
      </c>
      <c r="Y505" s="43">
        <f>GrossWeightTotalR+PalletQtyTotalR*25</f>
        <v>1848.402</v>
      </c>
      <c r="Z505" s="42"/>
      <c r="AA505" s="67"/>
      <c r="AB505" s="67"/>
      <c r="AC505" s="67"/>
    </row>
    <row r="506" spans="1:68" x14ac:dyDescent="0.2">
      <c r="A506" s="651"/>
      <c r="B506" s="651"/>
      <c r="C506" s="651"/>
      <c r="D506" s="651"/>
      <c r="E506" s="651"/>
      <c r="F506" s="651"/>
      <c r="G506" s="651"/>
      <c r="H506" s="651"/>
      <c r="I506" s="651"/>
      <c r="J506" s="651"/>
      <c r="K506" s="651"/>
      <c r="L506" s="651"/>
      <c r="M506" s="651"/>
      <c r="N506" s="651"/>
      <c r="O506" s="897"/>
      <c r="P506" s="894" t="s">
        <v>37</v>
      </c>
      <c r="Q506" s="895"/>
      <c r="R506" s="895"/>
      <c r="S506" s="895"/>
      <c r="T506" s="895"/>
      <c r="U506" s="895"/>
      <c r="V506" s="896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236.26707860041191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247</v>
      </c>
      <c r="Z506" s="42"/>
      <c r="AA506" s="67"/>
      <c r="AB506" s="67"/>
      <c r="AC506" s="67"/>
    </row>
    <row r="507" spans="1:68" ht="14.25" hidden="1" x14ac:dyDescent="0.2">
      <c r="A507" s="651"/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897"/>
      <c r="P507" s="894" t="s">
        <v>38</v>
      </c>
      <c r="Q507" s="895"/>
      <c r="R507" s="895"/>
      <c r="S507" s="895"/>
      <c r="T507" s="895"/>
      <c r="U507" s="895"/>
      <c r="V507" s="896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3.2635800000000001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900" t="s">
        <v>120</v>
      </c>
      <c r="E509" s="900" t="s">
        <v>120</v>
      </c>
      <c r="F509" s="900" t="s">
        <v>120</v>
      </c>
      <c r="G509" s="900" t="s">
        <v>120</v>
      </c>
      <c r="H509" s="900" t="s">
        <v>120</v>
      </c>
      <c r="I509" s="900" t="s">
        <v>120</v>
      </c>
      <c r="J509" s="900" t="s">
        <v>293</v>
      </c>
      <c r="K509" s="900" t="s">
        <v>293</v>
      </c>
      <c r="L509" s="900" t="s">
        <v>293</v>
      </c>
      <c r="M509" s="900" t="s">
        <v>293</v>
      </c>
      <c r="N509" s="901"/>
      <c r="O509" s="900" t="s">
        <v>293</v>
      </c>
      <c r="P509" s="900" t="s">
        <v>293</v>
      </c>
      <c r="Q509" s="900" t="s">
        <v>293</v>
      </c>
      <c r="R509" s="900" t="s">
        <v>293</v>
      </c>
      <c r="S509" s="900" t="s">
        <v>293</v>
      </c>
      <c r="T509" s="900" t="s">
        <v>601</v>
      </c>
      <c r="U509" s="900" t="s">
        <v>601</v>
      </c>
      <c r="V509" s="900" t="s">
        <v>654</v>
      </c>
      <c r="W509" s="900" t="s">
        <v>654</v>
      </c>
      <c r="X509" s="900" t="s">
        <v>654</v>
      </c>
      <c r="Y509" s="85" t="s">
        <v>702</v>
      </c>
      <c r="Z509" s="900" t="s">
        <v>753</v>
      </c>
      <c r="AA509" s="900" t="s">
        <v>753</v>
      </c>
      <c r="AB509" s="60"/>
      <c r="AC509" s="60"/>
      <c r="AF509" s="1"/>
    </row>
    <row r="510" spans="1:68" ht="14.25" customHeight="1" thickTop="1" x14ac:dyDescent="0.2">
      <c r="A510" s="898" t="s">
        <v>10</v>
      </c>
      <c r="B510" s="900" t="s">
        <v>76</v>
      </c>
      <c r="C510" s="900" t="s">
        <v>116</v>
      </c>
      <c r="D510" s="900" t="s">
        <v>121</v>
      </c>
      <c r="E510" s="900" t="s">
        <v>137</v>
      </c>
      <c r="F510" s="900" t="s">
        <v>183</v>
      </c>
      <c r="G510" s="900" t="s">
        <v>205</v>
      </c>
      <c r="H510" s="900" t="s">
        <v>242</v>
      </c>
      <c r="I510" s="900" t="s">
        <v>120</v>
      </c>
      <c r="J510" s="900" t="s">
        <v>294</v>
      </c>
      <c r="K510" s="900" t="s">
        <v>350</v>
      </c>
      <c r="L510" s="900" t="s">
        <v>414</v>
      </c>
      <c r="M510" s="900" t="s">
        <v>453</v>
      </c>
      <c r="N510" s="1"/>
      <c r="O510" s="900" t="s">
        <v>469</v>
      </c>
      <c r="P510" s="900" t="s">
        <v>480</v>
      </c>
      <c r="Q510" s="900" t="s">
        <v>489</v>
      </c>
      <c r="R510" s="900" t="s">
        <v>508</v>
      </c>
      <c r="S510" s="900" t="s">
        <v>591</v>
      </c>
      <c r="T510" s="900" t="s">
        <v>602</v>
      </c>
      <c r="U510" s="900" t="s">
        <v>638</v>
      </c>
      <c r="V510" s="900" t="s">
        <v>655</v>
      </c>
      <c r="W510" s="900" t="s">
        <v>686</v>
      </c>
      <c r="X510" s="900" t="s">
        <v>698</v>
      </c>
      <c r="Y510" s="900" t="s">
        <v>702</v>
      </c>
      <c r="Z510" s="900" t="s">
        <v>753</v>
      </c>
      <c r="AA510" s="900" t="s">
        <v>777</v>
      </c>
      <c r="AB510" s="60"/>
      <c r="AC510" s="60"/>
      <c r="AF510" s="1"/>
    </row>
    <row r="511" spans="1:68" ht="13.5" thickBot="1" x14ac:dyDescent="0.25">
      <c r="A511" s="899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1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21.6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131.4</v>
      </c>
      <c r="F512" s="52">
        <f>IFERROR(Y88*1,"0")+IFERROR(Y89*1,"0")+IFERROR(Y90*1,"0")+IFERROR(Y91*1,"0")+IFERROR(Y95*1,"0")+IFERROR(Y96*1,"0")+IFERROR(Y97*1,"0")+IFERROR(Y98*1,"0")</f>
        <v>65.7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110.69999999999999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133.56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123.30000000000001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86.4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75.599999999999994</v>
      </c>
      <c r="S512" s="52">
        <f>IFERROR(Y358*1,"0")+IFERROR(Y359*1,"0")+IFERROR(Y360*1,"0")</f>
        <v>16.8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480</v>
      </c>
      <c r="U512" s="52">
        <f>IFERROR(Y391*1,"0")+IFERROR(Y392*1,"0")+IFERROR(Y396*1,"0")+IFERROR(Y400*1,"0")+IFERROR(Y401*1,"0")+IFERROR(Y402*1,"0")</f>
        <v>0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32.400000000000006</v>
      </c>
      <c r="W512" s="52">
        <f>IFERROR(Y426*1,"0")+IFERROR(Y430*1,"0")+IFERROR(Y431*1,"0")+IFERROR(Y432*1,"0")</f>
        <v>10.8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285.12</v>
      </c>
      <c r="Z512" s="52">
        <f>IFERROR(Y475*1,"0")+IFERROR(Y476*1,"0")+IFERROR(Y477*1,"0")+IFERROR(Y481*1,"0")+IFERROR(Y485*1,"0")+IFERROR(Y489*1,"0")+IFERROR(Y493*1,"0")+IFERROR(Y494*1,"0")</f>
        <v>120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50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99"/>
        <filter val="1 619,06"/>
        <filter val="1 695,34"/>
        <filter val="1 770,34"/>
        <filter val="1,85"/>
        <filter val="10,00"/>
        <filter val="100,00"/>
        <filter val="103,50"/>
        <filter val="11,11"/>
        <filter val="11,76"/>
        <filter val="123,56"/>
        <filter val="125,00"/>
        <filter val="13,50"/>
        <filter val="13,89"/>
        <filter val="14,20"/>
        <filter val="14,70"/>
        <filter val="145,00"/>
        <filter val="15,00"/>
        <filter val="150,00"/>
        <filter val="16,11"/>
        <filter val="16,80"/>
        <filter val="17,41"/>
        <filter val="2,10"/>
        <filter val="20,00"/>
        <filter val="21,67"/>
        <filter val="236,27"/>
        <filter val="24,00"/>
        <filter val="250,00"/>
        <filter val="27,46"/>
        <filter val="3"/>
        <filter val="30,00"/>
        <filter val="325,00"/>
        <filter val="35,00"/>
        <filter val="36,00"/>
        <filter val="39,62"/>
        <filter val="4,76"/>
        <filter val="45,00"/>
        <filter val="46,20"/>
        <filter val="5,00"/>
        <filter val="5,56"/>
        <filter val="50,00"/>
        <filter val="56,00"/>
        <filter val="6,41"/>
        <filter val="60,00"/>
        <filter val="7,20"/>
        <filter val="7,41"/>
        <filter val="7,81"/>
        <filter val="70,00"/>
        <filter val="75,00"/>
        <filter val="8,00"/>
        <filter val="8,40"/>
        <filter val="80,00"/>
        <filter val="9,47"/>
        <filter val="9,85"/>
        <filter val="90,00"/>
      </filters>
    </filterColumn>
    <filterColumn colId="29" showButton="0"/>
    <filterColumn colId="30" showButton="0"/>
  </autoFilter>
  <dataConsolidate/>
  <mergeCells count="899"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1015</vt:i4>
      </vt:variant>
    </vt:vector>
  </HeadingPairs>
  <TitlesOfParts>
    <vt:vector size="101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