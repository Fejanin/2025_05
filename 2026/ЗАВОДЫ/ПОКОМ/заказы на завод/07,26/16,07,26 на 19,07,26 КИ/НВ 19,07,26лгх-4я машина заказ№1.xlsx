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C8A0EF-0C21-4E5A-AE56-AFA1CE7E67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Z496" i="1"/>
  <c r="Y496" i="1"/>
  <c r="BN496" i="1" s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BN480" i="1" s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N470" i="1" s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X429" i="1"/>
  <c r="BO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Z412" i="1"/>
  <c r="Y412" i="1"/>
  <c r="BN412" i="1" s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X338" i="1"/>
  <c r="X337" i="1"/>
  <c r="BP336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P327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BP316" i="1" s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P296" i="1"/>
  <c r="BO295" i="1"/>
  <c r="BM295" i="1"/>
  <c r="Y295" i="1"/>
  <c r="BP295" i="1" s="1"/>
  <c r="P295" i="1"/>
  <c r="BO294" i="1"/>
  <c r="BM294" i="1"/>
  <c r="Y294" i="1"/>
  <c r="P294" i="1"/>
  <c r="BO293" i="1"/>
  <c r="BM293" i="1"/>
  <c r="Z293" i="1"/>
  <c r="Y293" i="1"/>
  <c r="BN293" i="1" s="1"/>
  <c r="P293" i="1"/>
  <c r="BO292" i="1"/>
  <c r="BM292" i="1"/>
  <c r="Y292" i="1"/>
  <c r="P292" i="1"/>
  <c r="BO291" i="1"/>
  <c r="BM291" i="1"/>
  <c r="Z291" i="1"/>
  <c r="Y291" i="1"/>
  <c r="BN291" i="1" s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Z278" i="1"/>
  <c r="Y278" i="1"/>
  <c r="BN278" i="1" s="1"/>
  <c r="P278" i="1"/>
  <c r="BO277" i="1"/>
  <c r="BM277" i="1"/>
  <c r="Y277" i="1"/>
  <c r="P277" i="1"/>
  <c r="BO276" i="1"/>
  <c r="BM276" i="1"/>
  <c r="Z276" i="1"/>
  <c r="Y276" i="1"/>
  <c r="BN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8" i="1"/>
  <c r="X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Z262" i="1"/>
  <c r="Y262" i="1"/>
  <c r="BN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Z254" i="1"/>
  <c r="Y254" i="1"/>
  <c r="Y256" i="1" s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Z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P198" i="1"/>
  <c r="X194" i="1"/>
  <c r="Y193" i="1"/>
  <c r="X193" i="1"/>
  <c r="BO192" i="1"/>
  <c r="BM192" i="1"/>
  <c r="Y192" i="1"/>
  <c r="Y194" i="1" s="1"/>
  <c r="P192" i="1"/>
  <c r="X190" i="1"/>
  <c r="X189" i="1"/>
  <c r="BO188" i="1"/>
  <c r="BM188" i="1"/>
  <c r="Y188" i="1"/>
  <c r="BP188" i="1" s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N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Y165" i="1" s="1"/>
  <c r="P163" i="1"/>
  <c r="X161" i="1"/>
  <c r="X160" i="1"/>
  <c r="BO159" i="1"/>
  <c r="BM159" i="1"/>
  <c r="Y159" i="1"/>
  <c r="P159" i="1"/>
  <c r="BO158" i="1"/>
  <c r="BM158" i="1"/>
  <c r="Y158" i="1"/>
  <c r="BN158" i="1" s="1"/>
  <c r="P158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Z151" i="1"/>
  <c r="Y151" i="1"/>
  <c r="BN151" i="1" s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P115" i="1"/>
  <c r="BO115" i="1"/>
  <c r="BM115" i="1"/>
  <c r="Y115" i="1"/>
  <c r="P115" i="1"/>
  <c r="BO114" i="1"/>
  <c r="BM114" i="1"/>
  <c r="Y114" i="1"/>
  <c r="P114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Z107" i="1"/>
  <c r="Y107" i="1"/>
  <c r="BN107" i="1" s="1"/>
  <c r="P107" i="1"/>
  <c r="BO106" i="1"/>
  <c r="BM106" i="1"/>
  <c r="Y106" i="1"/>
  <c r="P106" i="1"/>
  <c r="BO105" i="1"/>
  <c r="BM105" i="1"/>
  <c r="Y105" i="1"/>
  <c r="BN105" i="1" s="1"/>
  <c r="P105" i="1"/>
  <c r="BO104" i="1"/>
  <c r="BM104" i="1"/>
  <c r="Y104" i="1"/>
  <c r="P104" i="1"/>
  <c r="BO103" i="1"/>
  <c r="BM103" i="1"/>
  <c r="Y103" i="1"/>
  <c r="Y110" i="1" s="1"/>
  <c r="P103" i="1"/>
  <c r="X100" i="1"/>
  <c r="X99" i="1"/>
  <c r="BO98" i="1"/>
  <c r="BM98" i="1"/>
  <c r="Y98" i="1"/>
  <c r="BP98" i="1" s="1"/>
  <c r="P98" i="1"/>
  <c r="BO97" i="1"/>
  <c r="BM97" i="1"/>
  <c r="Z97" i="1"/>
  <c r="Y97" i="1"/>
  <c r="BN97" i="1" s="1"/>
  <c r="P97" i="1"/>
  <c r="BO96" i="1"/>
  <c r="BM96" i="1"/>
  <c r="Y96" i="1"/>
  <c r="P96" i="1"/>
  <c r="BO95" i="1"/>
  <c r="BM95" i="1"/>
  <c r="Y95" i="1"/>
  <c r="Z95" i="1" s="1"/>
  <c r="P95" i="1"/>
  <c r="X93" i="1"/>
  <c r="X92" i="1"/>
  <c r="BP91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P64" i="1"/>
  <c r="BO63" i="1"/>
  <c r="BM63" i="1"/>
  <c r="Y63" i="1"/>
  <c r="BP63" i="1" s="1"/>
  <c r="P63" i="1"/>
  <c r="BP62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P52" i="1"/>
  <c r="BO51" i="1"/>
  <c r="BM51" i="1"/>
  <c r="Y51" i="1"/>
  <c r="BN51" i="1" s="1"/>
  <c r="P51" i="1"/>
  <c r="X47" i="1"/>
  <c r="X46" i="1"/>
  <c r="BP45" i="1"/>
  <c r="BO45" i="1"/>
  <c r="BM45" i="1"/>
  <c r="Y45" i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N23" i="1" s="1"/>
  <c r="P23" i="1"/>
  <c r="BO22" i="1"/>
  <c r="BM22" i="1"/>
  <c r="Y22" i="1"/>
  <c r="B543" i="1" s="1"/>
  <c r="P22" i="1"/>
  <c r="H10" i="1"/>
  <c r="A9" i="1"/>
  <c r="A10" i="1" s="1"/>
  <c r="D7" i="1"/>
  <c r="Q6" i="1"/>
  <c r="P2" i="1"/>
  <c r="BN53" i="1" l="1"/>
  <c r="Z53" i="1"/>
  <c r="BP64" i="1"/>
  <c r="BN64" i="1"/>
  <c r="Z64" i="1"/>
  <c r="Y84" i="1"/>
  <c r="Z82" i="1"/>
  <c r="BN117" i="1"/>
  <c r="BN125" i="1"/>
  <c r="Y146" i="1"/>
  <c r="BP144" i="1"/>
  <c r="BN144" i="1"/>
  <c r="Z144" i="1"/>
  <c r="BN170" i="1"/>
  <c r="BN188" i="1"/>
  <c r="BP209" i="1"/>
  <c r="Y210" i="1"/>
  <c r="BN209" i="1"/>
  <c r="BN239" i="1"/>
  <c r="Z239" i="1"/>
  <c r="BN266" i="1"/>
  <c r="BN272" i="1"/>
  <c r="Y307" i="1"/>
  <c r="Z305" i="1"/>
  <c r="Z306" i="1" s="1"/>
  <c r="BN320" i="1"/>
  <c r="Z320" i="1"/>
  <c r="BN334" i="1"/>
  <c r="Z334" i="1"/>
  <c r="Y342" i="1"/>
  <c r="Z340" i="1"/>
  <c r="BN366" i="1"/>
  <c r="Z366" i="1"/>
  <c r="BN380" i="1"/>
  <c r="Z380" i="1"/>
  <c r="BN45" i="1"/>
  <c r="Z45" i="1"/>
  <c r="BP53" i="1"/>
  <c r="BN62" i="1"/>
  <c r="Z62" i="1"/>
  <c r="BP82" i="1"/>
  <c r="F543" i="1"/>
  <c r="BN91" i="1"/>
  <c r="Z91" i="1"/>
  <c r="BN115" i="1"/>
  <c r="Z115" i="1"/>
  <c r="BP153" i="1"/>
  <c r="BN153" i="1"/>
  <c r="Z153" i="1"/>
  <c r="BN202" i="1"/>
  <c r="BP215" i="1"/>
  <c r="BN215" i="1"/>
  <c r="Z215" i="1"/>
  <c r="BN219" i="1"/>
  <c r="BN225" i="1"/>
  <c r="BP239" i="1"/>
  <c r="BP250" i="1"/>
  <c r="BN250" i="1"/>
  <c r="Z250" i="1"/>
  <c r="BP286" i="1"/>
  <c r="Z286" i="1"/>
  <c r="Y303" i="1"/>
  <c r="Y302" i="1"/>
  <c r="BN301" i="1"/>
  <c r="BP305" i="1"/>
  <c r="BN309" i="1"/>
  <c r="BP320" i="1"/>
  <c r="BN327" i="1"/>
  <c r="Z327" i="1"/>
  <c r="BP334" i="1"/>
  <c r="BN336" i="1"/>
  <c r="Z336" i="1"/>
  <c r="BP340" i="1"/>
  <c r="BN354" i="1"/>
  <c r="BP366" i="1"/>
  <c r="BN374" i="1"/>
  <c r="Z374" i="1"/>
  <c r="BP380" i="1"/>
  <c r="BN386" i="1"/>
  <c r="Z386" i="1"/>
  <c r="BP386" i="1"/>
  <c r="BN399" i="1"/>
  <c r="BN408" i="1"/>
  <c r="BP455" i="1"/>
  <c r="BP470" i="1"/>
  <c r="BP480" i="1"/>
  <c r="BN500" i="1"/>
  <c r="X537" i="1"/>
  <c r="Y32" i="1"/>
  <c r="BN78" i="1"/>
  <c r="BP97" i="1"/>
  <c r="BP107" i="1"/>
  <c r="Y126" i="1"/>
  <c r="BP129" i="1"/>
  <c r="BN140" i="1"/>
  <c r="I543" i="1"/>
  <c r="BN192" i="1"/>
  <c r="BN204" i="1"/>
  <c r="BN217" i="1"/>
  <c r="Y236" i="1"/>
  <c r="BP231" i="1"/>
  <c r="BP254" i="1"/>
  <c r="BP262" i="1"/>
  <c r="BP276" i="1"/>
  <c r="BP278" i="1"/>
  <c r="BN280" i="1"/>
  <c r="BP291" i="1"/>
  <c r="BP293" i="1"/>
  <c r="BN295" i="1"/>
  <c r="Y312" i="1"/>
  <c r="BN316" i="1"/>
  <c r="BN362" i="1"/>
  <c r="BP412" i="1"/>
  <c r="BN424" i="1"/>
  <c r="BP428" i="1"/>
  <c r="BN433" i="1"/>
  <c r="Z451" i="1"/>
  <c r="BN451" i="1"/>
  <c r="Z455" i="1"/>
  <c r="Z470" i="1"/>
  <c r="Z480" i="1"/>
  <c r="Z482" i="1"/>
  <c r="BN482" i="1"/>
  <c r="BN484" i="1"/>
  <c r="Z490" i="1"/>
  <c r="BN490" i="1"/>
  <c r="BP496" i="1"/>
  <c r="Y37" i="1"/>
  <c r="Y36" i="1"/>
  <c r="BP51" i="1"/>
  <c r="BP134" i="1"/>
  <c r="Z134" i="1"/>
  <c r="BP172" i="1"/>
  <c r="Z172" i="1"/>
  <c r="BP182" i="1"/>
  <c r="BN318" i="1"/>
  <c r="BP318" i="1"/>
  <c r="Z318" i="1"/>
  <c r="BN325" i="1"/>
  <c r="BP325" i="1"/>
  <c r="Z325" i="1"/>
  <c r="BN332" i="1"/>
  <c r="BP332" i="1"/>
  <c r="Z332" i="1"/>
  <c r="BN364" i="1"/>
  <c r="BP364" i="1"/>
  <c r="Z364" i="1"/>
  <c r="BN372" i="1"/>
  <c r="BP372" i="1"/>
  <c r="Z372" i="1"/>
  <c r="Y382" i="1"/>
  <c r="BN378" i="1"/>
  <c r="BP378" i="1"/>
  <c r="Z378" i="1"/>
  <c r="Y388" i="1"/>
  <c r="BN384" i="1"/>
  <c r="BP384" i="1"/>
  <c r="Z384" i="1"/>
  <c r="BN392" i="1"/>
  <c r="BP392" i="1"/>
  <c r="Z392" i="1"/>
  <c r="BN443" i="1"/>
  <c r="BP443" i="1"/>
  <c r="Z443" i="1"/>
  <c r="BN453" i="1"/>
  <c r="BP453" i="1"/>
  <c r="Z453" i="1"/>
  <c r="BN459" i="1"/>
  <c r="BP459" i="1"/>
  <c r="Z459" i="1"/>
  <c r="BN478" i="1"/>
  <c r="BP478" i="1"/>
  <c r="Z478" i="1"/>
  <c r="X534" i="1"/>
  <c r="Z23" i="1"/>
  <c r="BP23" i="1"/>
  <c r="Y33" i="1"/>
  <c r="Z29" i="1"/>
  <c r="BP29" i="1"/>
  <c r="Z35" i="1"/>
  <c r="Z36" i="1" s="1"/>
  <c r="BP35" i="1"/>
  <c r="BP41" i="1"/>
  <c r="Z41" i="1"/>
  <c r="Z51" i="1"/>
  <c r="BP66" i="1"/>
  <c r="Z66" i="1"/>
  <c r="BP89" i="1"/>
  <c r="BP105" i="1"/>
  <c r="Y137" i="1"/>
  <c r="BP174" i="1"/>
  <c r="Z182" i="1"/>
  <c r="BN311" i="1"/>
  <c r="BP311" i="1"/>
  <c r="Z311" i="1"/>
  <c r="BN356" i="1"/>
  <c r="BP356" i="1"/>
  <c r="Z356" i="1"/>
  <c r="BN410" i="1"/>
  <c r="BP410" i="1"/>
  <c r="Z410" i="1"/>
  <c r="BN418" i="1"/>
  <c r="BP418" i="1"/>
  <c r="Z418" i="1"/>
  <c r="Z27" i="1"/>
  <c r="BP27" i="1"/>
  <c r="Y46" i="1"/>
  <c r="BP43" i="1"/>
  <c r="E543" i="1"/>
  <c r="BP60" i="1"/>
  <c r="Z89" i="1"/>
  <c r="Z105" i="1"/>
  <c r="BN134" i="1"/>
  <c r="BP158" i="1"/>
  <c r="BN172" i="1"/>
  <c r="Z174" i="1"/>
  <c r="Y228" i="1"/>
  <c r="BN213" i="1"/>
  <c r="BP213" i="1"/>
  <c r="Z213" i="1"/>
  <c r="BN297" i="1"/>
  <c r="BP297" i="1"/>
  <c r="Z297" i="1"/>
  <c r="BN347" i="1"/>
  <c r="BP347" i="1"/>
  <c r="Z347" i="1"/>
  <c r="X535" i="1"/>
  <c r="X533" i="1"/>
  <c r="BN35" i="1"/>
  <c r="BN41" i="1"/>
  <c r="Z43" i="1"/>
  <c r="Z60" i="1"/>
  <c r="BN66" i="1"/>
  <c r="Y75" i="1"/>
  <c r="BP72" i="1"/>
  <c r="Z72" i="1"/>
  <c r="Y99" i="1"/>
  <c r="BN95" i="1"/>
  <c r="BP95" i="1"/>
  <c r="BP113" i="1"/>
  <c r="BP151" i="1"/>
  <c r="Z158" i="1"/>
  <c r="BN198" i="1"/>
  <c r="BP198" i="1"/>
  <c r="Z198" i="1"/>
  <c r="BN221" i="1"/>
  <c r="BP221" i="1"/>
  <c r="Z221" i="1"/>
  <c r="BN260" i="1"/>
  <c r="BP260" i="1"/>
  <c r="Z260" i="1"/>
  <c r="BN274" i="1"/>
  <c r="BP274" i="1"/>
  <c r="Z274" i="1"/>
  <c r="Y522" i="1"/>
  <c r="Y521" i="1"/>
  <c r="BN520" i="1"/>
  <c r="BP520" i="1"/>
  <c r="Z520" i="1"/>
  <c r="Z521" i="1" s="1"/>
  <c r="BN286" i="1"/>
  <c r="T543" i="1"/>
  <c r="Y368" i="1"/>
  <c r="U543" i="1"/>
  <c r="BN516" i="1"/>
  <c r="BN524" i="1"/>
  <c r="Y74" i="1"/>
  <c r="BN82" i="1"/>
  <c r="Y85" i="1"/>
  <c r="BN129" i="1"/>
  <c r="Y130" i="1"/>
  <c r="Y147" i="1"/>
  <c r="Z188" i="1"/>
  <c r="Z204" i="1"/>
  <c r="Z219" i="1"/>
  <c r="BN254" i="1"/>
  <c r="Z266" i="1"/>
  <c r="Y282" i="1"/>
  <c r="Z272" i="1"/>
  <c r="Z280" i="1"/>
  <c r="Z295" i="1"/>
  <c r="Z301" i="1"/>
  <c r="Z302" i="1" s="1"/>
  <c r="BP301" i="1"/>
  <c r="BN305" i="1"/>
  <c r="Y306" i="1"/>
  <c r="Z309" i="1"/>
  <c r="Z316" i="1"/>
  <c r="BN340" i="1"/>
  <c r="Z354" i="1"/>
  <c r="Z362" i="1"/>
  <c r="Z399" i="1"/>
  <c r="Z408" i="1"/>
  <c r="Z424" i="1"/>
  <c r="BN428" i="1"/>
  <c r="Y429" i="1"/>
  <c r="Z433" i="1"/>
  <c r="Z484" i="1"/>
  <c r="Z500" i="1"/>
  <c r="Y56" i="1"/>
  <c r="Z78" i="1"/>
  <c r="Y100" i="1"/>
  <c r="Z117" i="1"/>
  <c r="Z125" i="1"/>
  <c r="Z140" i="1"/>
  <c r="Y161" i="1"/>
  <c r="Y179" i="1"/>
  <c r="Z170" i="1"/>
  <c r="Z192" i="1"/>
  <c r="Z193" i="1" s="1"/>
  <c r="BP192" i="1"/>
  <c r="Z202" i="1"/>
  <c r="Z209" i="1"/>
  <c r="Z210" i="1" s="1"/>
  <c r="Z217" i="1"/>
  <c r="Z225" i="1"/>
  <c r="Y299" i="1"/>
  <c r="Z516" i="1"/>
  <c r="Z524" i="1"/>
  <c r="F9" i="1"/>
  <c r="J9" i="1"/>
  <c r="F10" i="1"/>
  <c r="Z22" i="1"/>
  <c r="BN22" i="1"/>
  <c r="BP22" i="1"/>
  <c r="Y25" i="1"/>
  <c r="Z28" i="1"/>
  <c r="BN28" i="1"/>
  <c r="BP28" i="1"/>
  <c r="Z30" i="1"/>
  <c r="BN30" i="1"/>
  <c r="C543" i="1"/>
  <c r="Z42" i="1"/>
  <c r="BN42" i="1"/>
  <c r="BP42" i="1"/>
  <c r="Z44" i="1"/>
  <c r="BN44" i="1"/>
  <c r="Y47" i="1"/>
  <c r="D543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BP104" i="1"/>
  <c r="BN104" i="1"/>
  <c r="Z104" i="1"/>
  <c r="BP108" i="1"/>
  <c r="BN108" i="1"/>
  <c r="Z108" i="1"/>
  <c r="Y120" i="1"/>
  <c r="Y119" i="1"/>
  <c r="BP112" i="1"/>
  <c r="BN112" i="1"/>
  <c r="Z112" i="1"/>
  <c r="BP116" i="1"/>
  <c r="BN116" i="1"/>
  <c r="Z116" i="1"/>
  <c r="H9" i="1"/>
  <c r="Y24" i="1"/>
  <c r="Y67" i="1"/>
  <c r="Y92" i="1"/>
  <c r="G543" i="1"/>
  <c r="Y109" i="1"/>
  <c r="BP106" i="1"/>
  <c r="BN106" i="1"/>
  <c r="Z106" i="1"/>
  <c r="BP114" i="1"/>
  <c r="BN114" i="1"/>
  <c r="Z114" i="1"/>
  <c r="Z118" i="1"/>
  <c r="BN118" i="1"/>
  <c r="Z122" i="1"/>
  <c r="BN122" i="1"/>
  <c r="BP122" i="1"/>
  <c r="Z124" i="1"/>
  <c r="BN124" i="1"/>
  <c r="Y127" i="1"/>
  <c r="H543" i="1"/>
  <c r="Z135" i="1"/>
  <c r="Z136" i="1" s="1"/>
  <c r="BN135" i="1"/>
  <c r="BP135" i="1"/>
  <c r="Y136" i="1"/>
  <c r="Z139" i="1"/>
  <c r="Z141" i="1" s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Y155" i="1"/>
  <c r="J543" i="1"/>
  <c r="Z159" i="1"/>
  <c r="BN159" i="1"/>
  <c r="BP159" i="1"/>
  <c r="Y160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BN181" i="1"/>
  <c r="BP181" i="1"/>
  <c r="Z183" i="1"/>
  <c r="BN183" i="1"/>
  <c r="Y184" i="1"/>
  <c r="Z187" i="1"/>
  <c r="BN187" i="1"/>
  <c r="BP187" i="1"/>
  <c r="Y190" i="1"/>
  <c r="K543" i="1"/>
  <c r="Z199" i="1"/>
  <c r="BN199" i="1"/>
  <c r="Z201" i="1"/>
  <c r="BN201" i="1"/>
  <c r="Z203" i="1"/>
  <c r="BN203" i="1"/>
  <c r="Y206" i="1"/>
  <c r="L543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Y154" i="1"/>
  <c r="Y205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Y298" i="1"/>
  <c r="BP310" i="1"/>
  <c r="BN310" i="1"/>
  <c r="Z310" i="1"/>
  <c r="Z312" i="1" s="1"/>
  <c r="Y321" i="1"/>
  <c r="Y328" i="1"/>
  <c r="Y337" i="1"/>
  <c r="Y343" i="1"/>
  <c r="Y350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O543" i="1"/>
  <c r="W543" i="1"/>
  <c r="P543" i="1"/>
  <c r="Z317" i="1"/>
  <c r="BN317" i="1"/>
  <c r="Z319" i="1"/>
  <c r="BN319" i="1"/>
  <c r="Y322" i="1"/>
  <c r="Q543" i="1"/>
  <c r="Z326" i="1"/>
  <c r="Z328" i="1" s="1"/>
  <c r="BN326" i="1"/>
  <c r="Y329" i="1"/>
  <c r="R543" i="1"/>
  <c r="Z333" i="1"/>
  <c r="BN333" i="1"/>
  <c r="Z335" i="1"/>
  <c r="BN335" i="1"/>
  <c r="Y338" i="1"/>
  <c r="Z341" i="1"/>
  <c r="BN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Z375" i="1" s="1"/>
  <c r="BN371" i="1"/>
  <c r="BP371" i="1"/>
  <c r="Z373" i="1"/>
  <c r="BN373" i="1"/>
  <c r="Z379" i="1"/>
  <c r="BN379" i="1"/>
  <c r="Z385" i="1"/>
  <c r="BN385" i="1"/>
  <c r="Z387" i="1"/>
  <c r="BN387" i="1"/>
  <c r="Z391" i="1"/>
  <c r="BN391" i="1"/>
  <c r="BP391" i="1"/>
  <c r="Z393" i="1"/>
  <c r="BN393" i="1"/>
  <c r="Z398" i="1"/>
  <c r="Z401" i="1" s="1"/>
  <c r="BN398" i="1"/>
  <c r="BP398" i="1"/>
  <c r="Z400" i="1"/>
  <c r="BN400" i="1"/>
  <c r="Y401" i="1"/>
  <c r="BP407" i="1"/>
  <c r="BN407" i="1"/>
  <c r="Z407" i="1"/>
  <c r="Z414" i="1" s="1"/>
  <c r="BP411" i="1"/>
  <c r="BN411" i="1"/>
  <c r="Z411" i="1"/>
  <c r="BP419" i="1"/>
  <c r="BN419" i="1"/>
  <c r="Z419" i="1"/>
  <c r="Y421" i="1"/>
  <c r="Y426" i="1"/>
  <c r="BP423" i="1"/>
  <c r="BN423" i="1"/>
  <c r="Z423" i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Y526" i="1"/>
  <c r="Z321" i="1" l="1"/>
  <c r="Z205" i="1"/>
  <c r="Z517" i="1"/>
  <c r="Z492" i="1"/>
  <c r="Z425" i="1"/>
  <c r="Z381" i="1"/>
  <c r="Z342" i="1"/>
  <c r="Z189" i="1"/>
  <c r="Z184" i="1"/>
  <c r="Z160" i="1"/>
  <c r="Z24" i="1"/>
  <c r="Z282" i="1"/>
  <c r="Z92" i="1"/>
  <c r="Z74" i="1"/>
  <c r="Z55" i="1"/>
  <c r="Z46" i="1"/>
  <c r="Z227" i="1"/>
  <c r="X536" i="1"/>
  <c r="Z388" i="1"/>
  <c r="Z298" i="1"/>
  <c r="Z99" i="1"/>
  <c r="Z67" i="1"/>
  <c r="Z32" i="1"/>
  <c r="Z337" i="1"/>
  <c r="Z178" i="1"/>
  <c r="Z79" i="1"/>
  <c r="Z486" i="1"/>
  <c r="Z502" i="1"/>
  <c r="Z420" i="1"/>
  <c r="Z267" i="1"/>
  <c r="Y537" i="1"/>
  <c r="Z119" i="1"/>
  <c r="Y533" i="1"/>
  <c r="Y534" i="1"/>
  <c r="Z456" i="1"/>
  <c r="Z394" i="1"/>
  <c r="Z368" i="1"/>
  <c r="Z358" i="1"/>
  <c r="Z349" i="1"/>
  <c r="Z472" i="1"/>
  <c r="Z445" i="1"/>
  <c r="Z241" i="1"/>
  <c r="Z235" i="1"/>
  <c r="Z154" i="1"/>
  <c r="Z126" i="1"/>
  <c r="Z109" i="1"/>
  <c r="Y535" i="1"/>
  <c r="Z538" i="1" l="1"/>
  <c r="Y536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<sst xmlns="http://schemas.openxmlformats.org/spreadsheetml/2006/main" count="2409" uniqueCount="873">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</sst>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46222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848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Воскресенье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6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1000</v>
      </c>
      <c r="Y51" s="606">
        <f>IFERROR(IF(X51="",0,CEILING((X51/$H51),1)*$H51),"")</f>
        <v>1004.4000000000001</v>
      </c>
      <c r="Z51" s="36">
        <f>IFERROR(IF(Y51=0,"",ROUNDUP(Y51/H51,0)*0.01898),"")</f>
        <v>1.7651399999999999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1037.9629629629628</v>
      </c>
      <c r="BN51" s="64">
        <f>IFERROR(Y51*I51/H51,"0")</f>
        <v>1042.5300000000002</v>
      </c>
      <c r="BO51" s="64">
        <f>IFERROR(1/J51*(X51/H51),"0")</f>
        <v>1.4467592592592591</v>
      </c>
      <c r="BP51" s="64">
        <f>IFERROR(1/J51*(Y51/H51),"0")</f>
        <v>1.453125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92.592592592592581</v>
      </c>
      <c r="Y55" s="607">
        <f>IFERROR(Y51/H51,"0")+IFERROR(Y52/H52,"0")+IFERROR(Y53/H53,"0")+IFERROR(Y54/H54,"0")</f>
        <v>93</v>
      </c>
      <c r="Z55" s="607">
        <f>IFERROR(IF(Z51="",0,Z51),"0")+IFERROR(IF(Z52="",0,Z52),"0")+IFERROR(IF(Z53="",0,Z53),"0")+IFERROR(IF(Z54="",0,Z54),"0")</f>
        <v>1.7651399999999999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1000</v>
      </c>
      <c r="Y56" s="607">
        <f>IFERROR(SUM(Y51:Y54),"0")</f>
        <v>1004.4000000000001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0</v>
      </c>
      <c r="Y61" s="60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0</v>
      </c>
      <c r="Y64" s="60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0</v>
      </c>
      <c r="Y66" s="60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0</v>
      </c>
      <c r="Y67" s="607">
        <f>IFERROR(Y59/H59,"0")+IFERROR(Y60/H60,"0")+IFERROR(Y61/H61,"0")+IFERROR(Y62/H62,"0")+IFERROR(Y63/H63,"0")+IFERROR(Y64/H64,"0")+IFERROR(Y65/H65,"0")+IFERROR(Y66/H66,"0")</f>
        <v>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hidden="1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0</v>
      </c>
      <c r="Y68" s="607">
        <f>IFERROR(SUM(Y59:Y66),"0")</f>
        <v>0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hidden="1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hidden="1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hidden="1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0</v>
      </c>
      <c r="Y95" s="60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0</v>
      </c>
      <c r="Y99" s="607">
        <f>IFERROR(Y95/H95,"0")+IFERROR(Y96/H96,"0")+IFERROR(Y97/H97,"0")+IFERROR(Y98/H98,"0")</f>
        <v>0</v>
      </c>
      <c r="Z99" s="607">
        <f>IFERROR(IF(Z95="",0,Z95),"0")+IFERROR(IF(Z96="",0,Z96),"0")+IFERROR(IF(Z97="",0,Z97),"0")+IFERROR(IF(Z98="",0,Z98),"0")</f>
        <v>0</v>
      </c>
      <c r="AA99" s="608"/>
      <c r="AB99" s="608"/>
      <c r="AC99" s="608"/>
    </row>
    <row r="100" spans="1:68" hidden="1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0</v>
      </c>
      <c r="Y100" s="607">
        <f>IFERROR(SUM(Y95:Y98),"0")</f>
        <v>0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hidden="1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hidden="1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0</v>
      </c>
      <c r="Y122" s="606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0</v>
      </c>
      <c r="Y126" s="607">
        <f>IFERROR(Y122/H122,"0")+IFERROR(Y123/H123,"0")+IFERROR(Y124/H124,"0")+IFERROR(Y125/H125,"0")</f>
        <v>0</v>
      </c>
      <c r="Z126" s="607">
        <f>IFERROR(IF(Z122="",0,Z122),"0")+IFERROR(IF(Z123="",0,Z123),"0")+IFERROR(IF(Z124="",0,Z124),"0")+IFERROR(IF(Z125="",0,Z125),"0")</f>
        <v>0</v>
      </c>
      <c r="AA126" s="608"/>
      <c r="AB126" s="608"/>
      <c r="AC126" s="608"/>
    </row>
    <row r="127" spans="1:68" hidden="1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0</v>
      </c>
      <c r="Y127" s="607">
        <f>IFERROR(SUM(Y122:Y125),"0")</f>
        <v>0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hidden="1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0</v>
      </c>
      <c r="Y139" s="60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0</v>
      </c>
      <c r="Y141" s="607">
        <f>IFERROR(Y139/H139,"0")+IFERROR(Y140/H140,"0")</f>
        <v>0</v>
      </c>
      <c r="Z141" s="607">
        <f>IFERROR(IF(Z139="",0,Z139),"0")+IFERROR(IF(Z140="",0,Z140),"0")</f>
        <v>0</v>
      </c>
      <c r="AA141" s="608"/>
      <c r="AB141" s="608"/>
      <c r="AC141" s="608"/>
    </row>
    <row r="142" spans="1:68" hidden="1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0</v>
      </c>
      <c r="Y142" s="607">
        <f>IFERROR(SUM(Y139:Y140),"0")</f>
        <v>0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hidden="1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0</v>
      </c>
      <c r="Y167" s="606">
        <f t="shared" ref="Y167:Y177" si="15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0</v>
      </c>
      <c r="BN167" s="64">
        <f t="shared" ref="BN167:BN177" si="17">IFERROR(Y167*I167/H167,"0")</f>
        <v>0</v>
      </c>
      <c r="BO167" s="64">
        <f t="shared" ref="BO167:BO177" si="18">IFERROR(1/J167*(X167/H167),"0")</f>
        <v>0</v>
      </c>
      <c r="BP167" s="64">
        <f t="shared" ref="BP167:BP177" si="19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0</v>
      </c>
      <c r="Y169" s="606">
        <f t="shared" si="15"/>
        <v>0</v>
      </c>
      <c r="Z169" s="36" t="str">
        <f>IFERROR(IF(Y169=0,"",ROUNDUP(Y169/H169,0)*0.00902),"")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0</v>
      </c>
      <c r="BN169" s="64">
        <f t="shared" si="17"/>
        <v>0</v>
      </c>
      <c r="BO169" s="64">
        <f t="shared" si="18"/>
        <v>0</v>
      </c>
      <c r="BP169" s="64">
        <f t="shared" si="19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0</v>
      </c>
      <c r="Y170" s="606">
        <f t="shared" si="15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0</v>
      </c>
      <c r="BN170" s="64">
        <f t="shared" si="17"/>
        <v>0</v>
      </c>
      <c r="BO170" s="64">
        <f t="shared" si="18"/>
        <v>0</v>
      </c>
      <c r="BP170" s="64">
        <f t="shared" si="19"/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0</v>
      </c>
      <c r="Y172" s="606">
        <f t="shared" si="15"/>
        <v>0</v>
      </c>
      <c r="Z172" s="36" t="str">
        <f>IFERROR(IF(Y172=0,"",ROUNDUP(Y172/H172,0)*0.00502),"")</f>
        <v/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0</v>
      </c>
      <c r="Y177" s="606">
        <f t="shared" si="15"/>
        <v>0</v>
      </c>
      <c r="Z177" s="36" t="str">
        <f>IFERROR(IF(Y177=0,"",ROUNDUP(Y177/H177,0)*0.00502),"")</f>
        <v/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idden="1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8"/>
      <c r="AB178" s="608"/>
      <c r="AC178" s="608"/>
    </row>
    <row r="179" spans="1:68" hidden="1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0</v>
      </c>
      <c r="Y179" s="607">
        <f>IFERROR(SUM(Y167:Y177),"0")</f>
        <v>0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hidden="1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hidden="1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0</v>
      </c>
      <c r="Y216" s="606">
        <f t="shared" si="26"/>
        <v>0</v>
      </c>
      <c r="Z216" s="36" t="str">
        <f>IFERROR(IF(Y216=0,"",ROUNDUP(Y216/H216,0)*0.00556),"")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0</v>
      </c>
      <c r="Y217" s="606">
        <f t="shared" si="26"/>
        <v>0</v>
      </c>
      <c r="Z217" s="36" t="str">
        <f t="shared" ref="Z217:Z222" si="31">IFERROR(IF(Y217=0,"",ROUNDUP(Y217/H217,0)*0.00502),"")</f>
        <v/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08"/>
      <c r="AB227" s="608"/>
      <c r="AC227" s="608"/>
    </row>
    <row r="228" spans="1:68" hidden="1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0</v>
      </c>
      <c r="Y228" s="607">
        <f>IFERROR(SUM(Y213:Y226),"0")</f>
        <v>0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0</v>
      </c>
      <c r="Y262" s="606">
        <f t="shared" si="32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0</v>
      </c>
      <c r="Y263" s="606">
        <f t="shared" si="32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0</v>
      </c>
      <c r="BN263" s="64">
        <f t="shared" si="34"/>
        <v>0</v>
      </c>
      <c r="BO263" s="64">
        <f t="shared" si="35"/>
        <v>0</v>
      </c>
      <c r="BP263" s="64">
        <f t="shared" si="36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0</v>
      </c>
      <c r="Y264" s="606">
        <f t="shared" si="32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0</v>
      </c>
      <c r="BN264" s="64">
        <f t="shared" si="34"/>
        <v>0</v>
      </c>
      <c r="BO264" s="64">
        <f t="shared" si="35"/>
        <v>0</v>
      </c>
      <c r="BP264" s="64">
        <f t="shared" si="36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idden="1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hidden="1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0</v>
      </c>
      <c r="Y270" s="606">
        <f t="shared" ref="Y270:Y281" si="37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0</v>
      </c>
      <c r="BN270" s="64">
        <f t="shared" ref="BN270:BN281" si="39">IFERROR(Y270*I270/H270,"0")</f>
        <v>0</v>
      </c>
      <c r="BO270" s="64">
        <f t="shared" ref="BO270:BO281" si="40">IFERROR(1/J270*(X270/H270),"0")</f>
        <v>0</v>
      </c>
      <c r="BP270" s="64">
        <f t="shared" ref="BP270:BP281" si="41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0</v>
      </c>
      <c r="Y273" s="606">
        <f t="shared" si="37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400</v>
      </c>
      <c r="Y276" s="606">
        <f t="shared" si="37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442</v>
      </c>
      <c r="BN276" s="64">
        <f t="shared" si="39"/>
        <v>442.88400000000007</v>
      </c>
      <c r="BO276" s="64">
        <f t="shared" si="40"/>
        <v>0.91575091575091594</v>
      </c>
      <c r="BP276" s="64">
        <f t="shared" si="41"/>
        <v>0.91758241758241765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0</v>
      </c>
      <c r="Y278" s="606">
        <f t="shared" si="37"/>
        <v>0</v>
      </c>
      <c r="Z278" s="36" t="str">
        <f>IFERROR(IF(Y278=0,"",ROUNDUP(Y278/H278,0)*0.00651),"")</f>
        <v/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0</v>
      </c>
      <c r="BN278" s="64">
        <f t="shared" si="39"/>
        <v>0</v>
      </c>
      <c r="BO278" s="64">
        <f t="shared" si="40"/>
        <v>0</v>
      </c>
      <c r="BP278" s="64">
        <f t="shared" si="41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0</v>
      </c>
      <c r="Y280" s="606">
        <f t="shared" si="37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0</v>
      </c>
      <c r="BN280" s="64">
        <f t="shared" si="39"/>
        <v>0</v>
      </c>
      <c r="BO280" s="64">
        <f t="shared" si="40"/>
        <v>0</v>
      </c>
      <c r="BP280" s="64">
        <f t="shared" si="41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166.66666666666669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167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1.08717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400</v>
      </c>
      <c r="Y283" s="607">
        <f>IFERROR(SUM(Y270:Y281),"0")</f>
        <v>400.8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hidden="1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1000</v>
      </c>
      <c r="Y379" s="606">
        <f>IFERROR(IF(X379="",0,CEILING((X379/$H379),1)*$H379),"")</f>
        <v>1006.1999999999999</v>
      </c>
      <c r="Z379" s="36">
        <f>IFERROR(IF(Y379=0,"",ROUNDUP(Y379/H379,0)*0.01898),"")</f>
        <v>2.44842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1063.3333333333333</v>
      </c>
      <c r="BN379" s="64">
        <f>IFERROR(Y379*I379/H379,"0")</f>
        <v>1069.9260000000002</v>
      </c>
      <c r="BO379" s="64">
        <f>IFERROR(1/J379*(X379/H379),"0")</f>
        <v>2.0032051282051282</v>
      </c>
      <c r="BP379" s="64">
        <f>IFERROR(1/J379*(Y379/H379),"0")</f>
        <v>2.015625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128.2051282051282</v>
      </c>
      <c r="Y381" s="607">
        <f>IFERROR(Y378/H378,"0")+IFERROR(Y379/H379,"0")+IFERROR(Y380/H380,"0")</f>
        <v>129</v>
      </c>
      <c r="Z381" s="607">
        <f>IFERROR(IF(Z378="",0,Z378),"0")+IFERROR(IF(Z379="",0,Z379),"0")+IFERROR(IF(Z380="",0,Z380),"0")</f>
        <v>2.44842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1000</v>
      </c>
      <c r="Y382" s="607">
        <f>IFERROR(SUM(Y378:Y380),"0")</f>
        <v>1006.1999999999999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1000</v>
      </c>
      <c r="Y407" s="606">
        <f t="shared" si="52"/>
        <v>1005</v>
      </c>
      <c r="Z407" s="36">
        <f>IFERROR(IF(Y407=0,"",ROUNDUP(Y407/H407,0)*0.02175),"")</f>
        <v>1.4572499999999999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1031.3333333333333</v>
      </c>
      <c r="BN407" s="64">
        <f t="shared" si="54"/>
        <v>1036.49</v>
      </c>
      <c r="BO407" s="64">
        <f t="shared" si="55"/>
        <v>1.3888888888888888</v>
      </c>
      <c r="BP407" s="64">
        <f t="shared" si="56"/>
        <v>1.3958333333333333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1000</v>
      </c>
      <c r="Y408" s="606">
        <f t="shared" si="52"/>
        <v>1005</v>
      </c>
      <c r="Z408" s="36">
        <f>IFERROR(IF(Y408=0,"",ROUNDUP(Y408/H408,0)*0.02175),"")</f>
        <v>1.4572499999999999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1031.3333333333333</v>
      </c>
      <c r="BN408" s="64">
        <f t="shared" si="54"/>
        <v>1036.49</v>
      </c>
      <c r="BO408" s="64">
        <f t="shared" si="55"/>
        <v>1.3888888888888888</v>
      </c>
      <c r="BP408" s="64">
        <f t="shared" si="56"/>
        <v>1.3958333333333333</v>
      </c>
    </row>
    <row r="409" spans="1:68" ht="27" hidden="1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0</v>
      </c>
      <c r="Y409" s="606">
        <f t="shared" si="52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133.33333333333334</v>
      </c>
      <c r="Y414" s="607">
        <f>IFERROR(Y406/H406,"0")+IFERROR(Y407/H407,"0")+IFERROR(Y408/H408,"0")+IFERROR(Y409/H409,"0")+IFERROR(Y410/H410,"0")+IFERROR(Y411/H411,"0")+IFERROR(Y412/H412,"0")+IFERROR(Y413/H413,"0")</f>
        <v>134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2.9144999999999999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2000</v>
      </c>
      <c r="Y415" s="607">
        <f>IFERROR(SUM(Y406:Y413),"0")</f>
        <v>2010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2000</v>
      </c>
      <c r="Y417" s="606">
        <f>IFERROR(IF(X417="",0,CEILING((X417/$H417),1)*$H417),"")</f>
        <v>2010</v>
      </c>
      <c r="Z417" s="36">
        <f>IFERROR(IF(Y417=0,"",ROUNDUP(Y417/H417,0)*0.02175),"")</f>
        <v>2.9144999999999999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2062.6666666666665</v>
      </c>
      <c r="BN417" s="64">
        <f>IFERROR(Y417*I417/H417,"0")</f>
        <v>2072.98</v>
      </c>
      <c r="BO417" s="64">
        <f>IFERROR(1/J417*(X417/H417),"0")</f>
        <v>2.7777777777777777</v>
      </c>
      <c r="BP417" s="64">
        <f>IFERROR(1/J417*(Y417/H417),"0")</f>
        <v>2.7916666666666665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133.33333333333334</v>
      </c>
      <c r="Y420" s="607">
        <f>IFERROR(Y417/H417,"0")+IFERROR(Y418/H418,"0")+IFERROR(Y419/H419,"0")</f>
        <v>134</v>
      </c>
      <c r="Z420" s="607">
        <f>IFERROR(IF(Z417="",0,Z417),"0")+IFERROR(IF(Z418="",0,Z418),"0")+IFERROR(IF(Z419="",0,Z419),"0")</f>
        <v>2.9144999999999999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2000</v>
      </c>
      <c r="Y421" s="607">
        <f>IFERROR(SUM(Y417:Y419),"0")</f>
        <v>2010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2000</v>
      </c>
      <c r="Y442" s="606">
        <f>IFERROR(IF(X442="",0,CEILING((X442/$H442),1)*$H442),"")</f>
        <v>2007</v>
      </c>
      <c r="Z442" s="36">
        <f>IFERROR(IF(Y442=0,"",ROUNDUP(Y442/H442,0)*0.01898),"")</f>
        <v>4.2325400000000002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2109.7777777777778</v>
      </c>
      <c r="BN442" s="64">
        <f>IFERROR(Y442*I442/H442,"0")</f>
        <v>2117.1619999999998</v>
      </c>
      <c r="BO442" s="64">
        <f>IFERROR(1/J442*(X442/H442),"0")</f>
        <v>3.4722222222222223</v>
      </c>
      <c r="BP442" s="64">
        <f>IFERROR(1/J442*(Y442/H442),"0")</f>
        <v>3.484375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222.22222222222223</v>
      </c>
      <c r="Y445" s="607">
        <f>IFERROR(Y442/H442,"0")+IFERROR(Y443/H443,"0")+IFERROR(Y444/H444,"0")</f>
        <v>223</v>
      </c>
      <c r="Z445" s="607">
        <f>IFERROR(IF(Z442="",0,Z442),"0")+IFERROR(IF(Z443="",0,Z443),"0")+IFERROR(IF(Z444="",0,Z444),"0")</f>
        <v>4.2325400000000002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2000</v>
      </c>
      <c r="Y446" s="607">
        <f>IFERROR(SUM(Y442:Y444),"0")</f>
        <v>2007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0</v>
      </c>
      <c r="Y480" s="606">
        <f t="shared" si="62"/>
        <v>0</v>
      </c>
      <c r="Z480" s="36" t="str">
        <f t="shared" si="63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hidden="1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0</v>
      </c>
      <c r="Y482" s="606">
        <f t="shared" si="62"/>
        <v>0</v>
      </c>
      <c r="Z482" s="36" t="str">
        <f t="shared" si="63"/>
        <v/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0</v>
      </c>
      <c r="BN482" s="64">
        <f t="shared" si="65"/>
        <v>0</v>
      </c>
      <c r="BO482" s="64">
        <f t="shared" si="66"/>
        <v>0</v>
      </c>
      <c r="BP482" s="64">
        <f t="shared" si="67"/>
        <v>0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0</v>
      </c>
      <c r="Y484" s="606">
        <f t="shared" si="62"/>
        <v>0</v>
      </c>
      <c r="Z484" s="36" t="str">
        <f>IFERROR(IF(Y484=0,"",ROUNDUP(Y484/H484,0)*0.00902),"")</f>
        <v/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0</v>
      </c>
      <c r="BN484" s="64">
        <f t="shared" si="65"/>
        <v>0</v>
      </c>
      <c r="BO484" s="64">
        <f t="shared" si="66"/>
        <v>0</v>
      </c>
      <c r="BP484" s="64">
        <f t="shared" si="67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0</v>
      </c>
      <c r="Y485" s="606">
        <f t="shared" si="62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0</v>
      </c>
      <c r="BN485" s="64">
        <f t="shared" si="65"/>
        <v>0</v>
      </c>
      <c r="BO485" s="64">
        <f t="shared" si="66"/>
        <v>0</v>
      </c>
      <c r="BP485" s="64">
        <f t="shared" si="67"/>
        <v>0</v>
      </c>
    </row>
    <row r="486" spans="1:68" hidden="1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0</v>
      </c>
      <c r="Y486" s="607">
        <f>IFERROR(Y477/H477,"0")+IFERROR(Y478/H478,"0")+IFERROR(Y479/H479,"0")+IFERROR(Y480/H480,"0")+IFERROR(Y481/H481,"0")+IFERROR(Y482/H482,"0")+IFERROR(Y483/H483,"0")+IFERROR(Y484/H484,"0")+IFERROR(Y485/H485,"0")</f>
        <v>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08"/>
      <c r="AB486" s="608"/>
      <c r="AC486" s="608"/>
    </row>
    <row r="487" spans="1:68" hidden="1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0</v>
      </c>
      <c r="Y487" s="607">
        <f>IFERROR(SUM(Y477:Y485),"0")</f>
        <v>0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hidden="1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0</v>
      </c>
      <c r="Y489" s="606">
        <f>IFERROR(IF(X489="",0,CEILING((X489/$H489),1)*$H489),"")</f>
        <v>0</v>
      </c>
      <c r="Z489" s="36" t="str">
        <f>IFERROR(IF(Y489=0,"",ROUNDUP(Y489/H489,0)*0.01196),"")</f>
        <v/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0</v>
      </c>
      <c r="Y492" s="607">
        <f>IFERROR(Y489/H489,"0")+IFERROR(Y490/H490,"0")+IFERROR(Y491/H491,"0")</f>
        <v>0</v>
      </c>
      <c r="Z492" s="607">
        <f>IFERROR(IF(Z489="",0,Z489),"0")+IFERROR(IF(Z490="",0,Z490),"0")+IFERROR(IF(Z491="",0,Z491),"0")</f>
        <v>0</v>
      </c>
      <c r="AA492" s="608"/>
      <c r="AB492" s="608"/>
      <c r="AC492" s="608"/>
    </row>
    <row r="493" spans="1:68" hidden="1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0</v>
      </c>
      <c r="Y493" s="607">
        <f>IFERROR(SUM(Y489:Y491),"0")</f>
        <v>0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0</v>
      </c>
      <c r="Y496" s="606">
        <f t="shared" si="68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0</v>
      </c>
      <c r="Y497" s="606">
        <f t="shared" si="68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hidden="1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hidden="1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8400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8438.4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8778.4074074074069</v>
      </c>
      <c r="Y534" s="607">
        <f>IFERROR(SUM(BN22:BN530),"0")</f>
        <v>8818.4619999999995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14</v>
      </c>
      <c r="Y535" s="38">
        <f>ROUNDUP(SUM(BP22:BP530),0)</f>
        <v>14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9128.4074074074069</v>
      </c>
      <c r="Y536" s="607">
        <f>GrossWeightTotalR+PalletQtyTotalR*25</f>
        <v>9168.4619999999995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876.35327635327644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880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15.362270000000001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1004.4000000000001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0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3" s="46">
        <f>IFERROR(Y134*1,"0")+IFERROR(Y135*1,"0")+IFERROR(Y139*1,"0")+IFERROR(Y140*1,"0")+IFERROR(Y144*1,"0")+IFERROR(Y145*1,"0")</f>
        <v>0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400.8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1006.1999999999999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4020</v>
      </c>
      <c r="W543" s="46">
        <f>IFERROR(Y433*1,"0")+IFERROR(Y434*1,"0")+IFERROR(Y438*1,"0")+IFERROR(Y442*1,"0")+IFERROR(Y443*1,"0")+IFERROR(Y444*1,"0")</f>
        <v>2007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0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28,21"/>
        <filter val="133,33"/>
        <filter val="14"/>
        <filter val="166,67"/>
        <filter val="2 000,00"/>
        <filter val="222,22"/>
        <filter val="400,00"/>
        <filter val="8 400,00"/>
        <filter val="8 778,41"/>
        <filter val="876,35"/>
        <filter val="9 128,41"/>
        <filter val="92,59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