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6EB596-2136-42CA-B739-C9095F4E1CA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N411" i="2" s="1"/>
  <c r="P411" i="2"/>
  <c r="BP410" i="2"/>
  <c r="BO410" i="2"/>
  <c r="BM410" i="2"/>
  <c r="Y410" i="2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P317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Z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P27" i="2" l="1"/>
  <c r="BN65" i="2"/>
  <c r="BP117" i="2"/>
  <c r="BN278" i="2"/>
  <c r="BN336" i="2"/>
  <c r="BN445" i="2"/>
  <c r="Z27" i="2"/>
  <c r="BN73" i="2"/>
  <c r="Z89" i="2"/>
  <c r="BN113" i="2"/>
  <c r="Z117" i="2"/>
  <c r="Z152" i="2"/>
  <c r="BN152" i="2"/>
  <c r="BN159" i="2"/>
  <c r="BP199" i="2"/>
  <c r="Z222" i="2"/>
  <c r="BN225" i="2"/>
  <c r="Z232" i="2"/>
  <c r="Z235" i="2" s="1"/>
  <c r="Z275" i="2"/>
  <c r="Z309" i="2"/>
  <c r="Z320" i="2"/>
  <c r="BN357" i="2"/>
  <c r="Z393" i="2"/>
  <c r="BN454" i="2"/>
  <c r="Y462" i="2"/>
  <c r="BN499" i="2"/>
  <c r="Z516" i="2"/>
  <c r="BP411" i="2"/>
  <c r="Z411" i="2"/>
  <c r="BN346" i="2"/>
  <c r="Y350" i="2"/>
  <c r="Z176" i="2"/>
  <c r="BP176" i="2"/>
  <c r="Z419" i="2"/>
  <c r="Z421" i="2" s="1"/>
  <c r="BN407" i="2"/>
  <c r="BP353" i="2"/>
  <c r="BN310" i="2"/>
  <c r="BN264" i="2"/>
  <c r="BP294" i="2"/>
  <c r="Z129" i="2"/>
  <c r="Z130" i="2" s="1"/>
  <c r="BP129" i="2"/>
  <c r="Y131" i="2"/>
  <c r="Y493" i="2"/>
  <c r="BN262" i="2"/>
  <c r="BN217" i="2"/>
  <c r="BN366" i="2"/>
  <c r="BP418" i="2"/>
  <c r="BP517" i="2"/>
  <c r="Z512" i="2"/>
  <c r="Z513" i="2" s="1"/>
  <c r="BN497" i="2"/>
  <c r="BN482" i="2"/>
  <c r="Y463" i="2"/>
  <c r="Z460" i="2"/>
  <c r="BP460" i="2"/>
  <c r="BN452" i="2"/>
  <c r="Y430" i="2"/>
  <c r="BN429" i="2"/>
  <c r="BP413" i="2"/>
  <c r="Z413" i="2"/>
  <c r="Z409" i="2"/>
  <c r="BP408" i="2"/>
  <c r="Z407" i="2"/>
  <c r="BN400" i="2"/>
  <c r="Z399" i="2"/>
  <c r="BP399" i="2"/>
  <c r="BN394" i="2"/>
  <c r="BP393" i="2"/>
  <c r="Y395" i="2"/>
  <c r="BN387" i="2"/>
  <c r="Y383" i="2"/>
  <c r="Z381" i="2"/>
  <c r="BN380" i="2"/>
  <c r="Z374" i="2"/>
  <c r="BP373" i="2"/>
  <c r="BP372" i="2"/>
  <c r="Z372" i="2"/>
  <c r="Z368" i="2"/>
  <c r="BP368" i="2"/>
  <c r="Z365" i="2"/>
  <c r="BN362" i="2"/>
  <c r="BP356" i="2"/>
  <c r="Z356" i="2"/>
  <c r="Z354" i="2"/>
  <c r="Z327" i="2"/>
  <c r="BP327" i="2"/>
  <c r="BN320" i="2"/>
  <c r="Z318" i="2"/>
  <c r="BP309" i="2"/>
  <c r="BP297" i="2"/>
  <c r="Z297" i="2"/>
  <c r="Z295" i="2"/>
  <c r="BN293" i="2"/>
  <c r="Z293" i="2"/>
  <c r="BN276" i="2"/>
  <c r="Z271" i="2"/>
  <c r="Z264" i="2"/>
  <c r="Z262" i="2"/>
  <c r="Y268" i="2"/>
  <c r="Z254" i="2"/>
  <c r="BP231" i="2"/>
  <c r="Z231" i="2"/>
  <c r="BP221" i="2"/>
  <c r="Z221" i="2"/>
  <c r="BP219" i="2"/>
  <c r="Z219" i="2"/>
  <c r="Z218" i="2"/>
  <c r="Y228" i="2"/>
  <c r="Z209" i="2"/>
  <c r="Z210" i="2" s="1"/>
  <c r="BP209" i="2"/>
  <c r="Y211" i="2"/>
  <c r="BN209" i="2"/>
  <c r="BN203" i="2"/>
  <c r="BP202" i="2"/>
  <c r="Z201" i="2"/>
  <c r="BN192" i="2"/>
  <c r="Y193" i="2"/>
  <c r="Z192" i="2"/>
  <c r="Z193" i="2" s="1"/>
  <c r="BP192" i="2"/>
  <c r="BN174" i="2"/>
  <c r="Z174" i="2"/>
  <c r="BN170" i="2"/>
  <c r="Z163" i="2"/>
  <c r="Z164" i="2" s="1"/>
  <c r="Y165" i="2"/>
  <c r="Z139" i="2"/>
  <c r="BN129" i="2"/>
  <c r="BN123" i="2"/>
  <c r="BP108" i="2"/>
  <c r="BN91" i="2"/>
  <c r="Y92" i="2"/>
  <c r="Z73" i="2"/>
  <c r="Z65" i="2"/>
  <c r="BN63" i="2"/>
  <c r="Z63" i="2"/>
  <c r="BP53" i="2"/>
  <c r="BP42" i="2"/>
  <c r="Z42" i="2"/>
  <c r="X536" i="2"/>
  <c r="X538" i="2"/>
  <c r="Y37" i="2"/>
  <c r="X534" i="2"/>
  <c r="X535" i="2"/>
  <c r="X537" i="2" s="1"/>
  <c r="Y24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Z92" i="2" s="1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76" i="2" s="1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98" i="2"/>
  <c r="BN61" i="2"/>
  <c r="Y32" i="2"/>
  <c r="Z53" i="2"/>
  <c r="Z64" i="2"/>
  <c r="BP66" i="2"/>
  <c r="Y79" i="2"/>
  <c r="BP89" i="2"/>
  <c r="Z97" i="2"/>
  <c r="Z99" i="2" s="1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Z154" i="2" s="1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349" i="2" l="1"/>
  <c r="Z205" i="2"/>
  <c r="Z402" i="2"/>
  <c r="Z321" i="2"/>
  <c r="Z312" i="2"/>
  <c r="Z473" i="2"/>
  <c r="Z426" i="2"/>
  <c r="Z415" i="2"/>
  <c r="Z389" i="2"/>
  <c r="Z382" i="2"/>
  <c r="Z369" i="2"/>
  <c r="Z359" i="2"/>
  <c r="Z282" i="2"/>
  <c r="Z267" i="2"/>
  <c r="Z251" i="2"/>
  <c r="Z141" i="2"/>
  <c r="Z55" i="2"/>
  <c r="Z46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<sst xmlns="http://schemas.openxmlformats.org/spreadsheetml/2006/main" count="4040" uniqueCount="856">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</sst>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46222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Воскресенье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80</v>
      </c>
      <c r="Y53" s="55">
        <f>IFERROR(IF(X53="",0,CEILING((X53/$H53),1)*$H53),"")</f>
        <v>80</v>
      </c>
      <c r="Z53" s="41">
        <f>IFERROR(IF(Y53=0,"",ROUNDUP(Y53/H53,0)*0.00902),"")</f>
        <v>0.1804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83.800000000000011</v>
      </c>
      <c r="BN53" s="78">
        <f>IFERROR(Y53*I53/H53,"0")</f>
        <v>83.800000000000011</v>
      </c>
      <c r="BO53" s="78">
        <f>IFERROR(1/J53*(X53/H53),"0")</f>
        <v>0.15151515151515152</v>
      </c>
      <c r="BP53" s="78">
        <f>IFERROR(1/J53*(Y53/H53),"0")</f>
        <v>0.15151515151515152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33.888888888888886</v>
      </c>
      <c r="Y55" s="43">
        <f>IFERROR(Y51/H51,"0")+IFERROR(Y52/H52,"0")+IFERROR(Y53/H53,"0")+IFERROR(Y54/H54,"0")</f>
        <v>34</v>
      </c>
      <c r="Z55" s="43">
        <f>IFERROR(IF(Z51="",0,Z51),"0")+IFERROR(IF(Z52="",0,Z52),"0")+IFERROR(IF(Z53="",0,Z53),"0")+IFERROR(IF(Z54="",0,Z54),"0")</f>
        <v>0.44612000000000002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230</v>
      </c>
      <c r="Y56" s="43">
        <f>IFERROR(SUM(Y51:Y54),"0")</f>
        <v>231.20000000000002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100</v>
      </c>
      <c r="Y61" s="55">
        <f t="shared" si="0"/>
        <v>108</v>
      </c>
      <c r="Z61" s="41">
        <f>IFERROR(IF(Y61=0,"",ROUNDUP(Y61/H61,0)*0.01898),"")</f>
        <v>0.1898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103.79629629629629</v>
      </c>
      <c r="BN61" s="78">
        <f t="shared" si="2"/>
        <v>112.1</v>
      </c>
      <c r="BO61" s="78">
        <f t="shared" si="3"/>
        <v>0.14467592592592593</v>
      </c>
      <c r="BP61" s="78">
        <f t="shared" si="4"/>
        <v>0.15625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90</v>
      </c>
      <c r="Y66" s="55">
        <f t="shared" si="0"/>
        <v>90</v>
      </c>
      <c r="Z66" s="41">
        <f>IFERROR(IF(Y66=0,"",ROUNDUP(Y66/H66,0)*0.00902),"")</f>
        <v>0.1804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93.800000000000011</v>
      </c>
      <c r="BN66" s="78">
        <f t="shared" si="2"/>
        <v>93.800000000000011</v>
      </c>
      <c r="BO66" s="78">
        <f t="shared" si="3"/>
        <v>0.15151515151515152</v>
      </c>
      <c r="BP66" s="78">
        <f t="shared" si="4"/>
        <v>0.15151515151515152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29.25925925925926</v>
      </c>
      <c r="Y67" s="43">
        <f>IFERROR(Y59/H59,"0")+IFERROR(Y60/H60,"0")+IFERROR(Y61/H61,"0")+IFERROR(Y62/H62,"0")+IFERROR(Y63/H63,"0")+IFERROR(Y64/H64,"0")+IFERROR(Y65/H65,"0")+IFERROR(Y66/H66,"0")</f>
        <v>30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0.37019999999999997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190</v>
      </c>
      <c r="Y68" s="43">
        <f>IFERROR(SUM(Y59:Y66),"0")</f>
        <v>198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67.5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72</v>
      </c>
      <c r="BN73" s="78">
        <f>IFERROR(Y73*I73/H73,"0")</f>
        <v>72</v>
      </c>
      <c r="BO73" s="78">
        <f>IFERROR(1/J73*(X73/H73),"0")</f>
        <v>0.13736263736263737</v>
      </c>
      <c r="BP73" s="78">
        <f>IFERROR(1/J73*(Y73/H73),"0")</f>
        <v>0.13736263736263737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27.777777777777779</v>
      </c>
      <c r="Y74" s="43">
        <f>IFERROR(Y70/H70,"0")+IFERROR(Y71/H71,"0")+IFERROR(Y72/H72,"0")+IFERROR(Y73/H73,"0")</f>
        <v>28</v>
      </c>
      <c r="Z74" s="43">
        <f>IFERROR(IF(Z70="",0,Z70),"0")+IFERROR(IF(Z71="",0,Z71),"0")+IFERROR(IF(Z72="",0,Z72),"0")+IFERROR(IF(Z73="",0,Z73),"0")</f>
        <v>0.21969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97.5</v>
      </c>
      <c r="Y75" s="43">
        <f>IFERROR(SUM(Y70:Y73),"0")</f>
        <v>99.9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30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31.57692307692308</v>
      </c>
      <c r="BN82" s="78">
        <f>IFERROR(Y82*I82/H82,"0")</f>
        <v>32.840000000000003</v>
      </c>
      <c r="BO82" s="78">
        <f>IFERROR(1/J82*(X82/H82),"0")</f>
        <v>6.0096153846153848E-2</v>
      </c>
      <c r="BP82" s="78">
        <f>IFERROR(1/J82*(Y82/H82),"0")</f>
        <v>6.25E-2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3.8461538461538463</v>
      </c>
      <c r="Y84" s="43">
        <f>IFERROR(Y82/H82,"0")+IFERROR(Y83/H83,"0")</f>
        <v>4</v>
      </c>
      <c r="Z84" s="43">
        <f>IFERROR(IF(Z82="",0,Z82),"0")+IFERROR(IF(Z83="",0,Z83),"0")</f>
        <v>7.5920000000000001E-2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30</v>
      </c>
      <c r="Y85" s="43">
        <f>IFERROR(SUM(Y82:Y83),"0")</f>
        <v>31.2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180</v>
      </c>
      <c r="Y91" s="55">
        <f>IFERROR(IF(X91="",0,CEILING((X91/$H91),1)*$H91),"")</f>
        <v>180</v>
      </c>
      <c r="Z91" s="41">
        <f>IFERROR(IF(Y91=0,"",ROUNDUP(Y91/H91,0)*0.00902),"")</f>
        <v>0.36080000000000001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187.60000000000002</v>
      </c>
      <c r="BN91" s="78">
        <f>IFERROR(Y91*I91/H91,"0")</f>
        <v>187.60000000000002</v>
      </c>
      <c r="BO91" s="78">
        <f>IFERROR(1/J91*(X91/H91),"0")</f>
        <v>0.30303030303030304</v>
      </c>
      <c r="BP91" s="78">
        <f>IFERROR(1/J91*(Y91/H91),"0")</f>
        <v>0.30303030303030304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40</v>
      </c>
      <c r="Y92" s="43">
        <f>IFERROR(Y88/H88,"0")+IFERROR(Y89/H89,"0")+IFERROR(Y90/H90,"0")+IFERROR(Y91/H91,"0")</f>
        <v>40</v>
      </c>
      <c r="Z92" s="43">
        <f>IFERROR(IF(Z88="",0,Z88),"0")+IFERROR(IF(Z89="",0,Z89),"0")+IFERROR(IF(Z90="",0,Z90),"0")+IFERROR(IF(Z91="",0,Z91),"0")</f>
        <v>0.36080000000000001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180</v>
      </c>
      <c r="Y93" s="43">
        <f>IFERROR(SUM(Y88:Y91),"0")</f>
        <v>180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300</v>
      </c>
      <c r="Y95" s="55">
        <f>IFERROR(IF(X95="",0,CEILING((X95/$H95),1)*$H95),"")</f>
        <v>307.8</v>
      </c>
      <c r="Z95" s="41">
        <f>IFERROR(IF(Y95=0,"",ROUNDUP(Y95/H95,0)*0.01898),"")</f>
        <v>0.72123999999999999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318.2962962962963</v>
      </c>
      <c r="BN95" s="78">
        <f>IFERROR(Y95*I95/H95,"0")</f>
        <v>326.572</v>
      </c>
      <c r="BO95" s="78">
        <f>IFERROR(1/J95*(X95/H95),"0")</f>
        <v>0.57870370370370372</v>
      </c>
      <c r="BP95" s="78">
        <f>IFERROR(1/J95*(Y95/H95),"0")</f>
        <v>0.59375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225</v>
      </c>
      <c r="Y97" s="55">
        <f>IFERROR(IF(X97="",0,CEILING((X97/$H97),1)*$H97),"")</f>
        <v>226.8</v>
      </c>
      <c r="Z97" s="41">
        <f>IFERROR(IF(Y97=0,"",ROUNDUP(Y97/H97,0)*0.00651),"")</f>
        <v>0.54683999999999999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246</v>
      </c>
      <c r="BN97" s="78">
        <f>IFERROR(Y97*I97/H97,"0")</f>
        <v>247.96799999999999</v>
      </c>
      <c r="BO97" s="78">
        <f>IFERROR(1/J97*(X97/H97),"0")</f>
        <v>0.45787545787545786</v>
      </c>
      <c r="BP97" s="78">
        <f>IFERROR(1/J97*(Y97/H97),"0")</f>
        <v>0.46153846153846156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120.37037037037037</v>
      </c>
      <c r="Y99" s="43">
        <f>IFERROR(Y95/H95,"0")+IFERROR(Y96/H96,"0")+IFERROR(Y97/H97,"0")+IFERROR(Y98/H98,"0")</f>
        <v>122</v>
      </c>
      <c r="Z99" s="43">
        <f>IFERROR(IF(Z95="",0,Z95),"0")+IFERROR(IF(Z96="",0,Z96),"0")+IFERROR(IF(Z97="",0,Z97),"0")+IFERROR(IF(Z98="",0,Z98),"0")</f>
        <v>1.2680799999999999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525</v>
      </c>
      <c r="Y100" s="43">
        <f>IFERROR(SUM(Y95:Y98),"0")</f>
        <v>534.6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90</v>
      </c>
      <c r="Y107" s="55">
        <f t="shared" si="5"/>
        <v>90</v>
      </c>
      <c r="Z107" s="41">
        <f>IFERROR(IF(Y107=0,"",ROUNDUP(Y107/H107,0)*0.00902),"")</f>
        <v>0.1804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93.800000000000011</v>
      </c>
      <c r="BN107" s="78">
        <f t="shared" si="7"/>
        <v>93.800000000000011</v>
      </c>
      <c r="BO107" s="78">
        <f t="shared" si="8"/>
        <v>0.15151515151515152</v>
      </c>
      <c r="BP107" s="78">
        <f t="shared" si="9"/>
        <v>0.15151515151515152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20</v>
      </c>
      <c r="Y109" s="43">
        <f>IFERROR(Y103/H103,"0")+IFERROR(Y104/H104,"0")+IFERROR(Y105/H105,"0")+IFERROR(Y106/H106,"0")+IFERROR(Y107/H107,"0")+IFERROR(Y108/H108,"0")</f>
        <v>20</v>
      </c>
      <c r="Z109" s="43">
        <f>IFERROR(IF(Z103="",0,Z103),"0")+IFERROR(IF(Z104="",0,Z104),"0")+IFERROR(IF(Z105="",0,Z105),"0")+IFERROR(IF(Z106="",0,Z106),"0")+IFERROR(IF(Z107="",0,Z107),"0")+IFERROR(IF(Z108="",0,Z108),"0")</f>
        <v>0.1804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90</v>
      </c>
      <c r="Y110" s="43">
        <f>IFERROR(SUM(Y103:Y108),"0")</f>
        <v>90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270</v>
      </c>
      <c r="Y124" s="55">
        <f>IFERROR(IF(X124="",0,CEILING((X124/$H124),1)*$H124),"")</f>
        <v>270</v>
      </c>
      <c r="Z124" s="41">
        <f>IFERROR(IF(Y124=0,"",ROUNDUP(Y124/H124,0)*0.00651),"")</f>
        <v>0.65100000000000002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295.2</v>
      </c>
      <c r="BN124" s="78">
        <f>IFERROR(Y124*I124/H124,"0")</f>
        <v>295.2</v>
      </c>
      <c r="BO124" s="78">
        <f>IFERROR(1/J124*(X124/H124),"0")</f>
        <v>0.5494505494505495</v>
      </c>
      <c r="BP124" s="78">
        <f>IFERROR(1/J124*(Y124/H124),"0")</f>
        <v>0.5494505494505495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21</v>
      </c>
      <c r="Y125" s="55">
        <f>IFERROR(IF(X125="",0,CEILING((X125/$H125),1)*$H125),"")</f>
        <v>21.6</v>
      </c>
      <c r="Z125" s="41">
        <f>IFERROR(IF(Y125=0,"",ROUNDUP(Y125/H125,0)*0.00651),"")</f>
        <v>7.8119999999999995E-2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23.099999999999998</v>
      </c>
      <c r="BN125" s="78">
        <f>IFERROR(Y125*I125/H125,"0")</f>
        <v>23.76</v>
      </c>
      <c r="BO125" s="78">
        <f>IFERROR(1/J125*(X125/H125),"0")</f>
        <v>6.4102564102564111E-2</v>
      </c>
      <c r="BP125" s="78">
        <f>IFERROR(1/J125*(Y125/H125),"0")</f>
        <v>6.5934065934065936E-2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161.04938271604937</v>
      </c>
      <c r="Y126" s="43">
        <f>IFERROR(Y122/H122,"0")+IFERROR(Y123/H123,"0")+IFERROR(Y124/H124,"0")+IFERROR(Y125/H125,"0")</f>
        <v>162</v>
      </c>
      <c r="Z126" s="43">
        <f>IFERROR(IF(Z122="",0,Z122),"0")+IFERROR(IF(Z123="",0,Z123),"0")+IFERROR(IF(Z124="",0,Z124),"0")+IFERROR(IF(Z125="",0,Z125),"0")</f>
        <v>1.6781200000000001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691</v>
      </c>
      <c r="Y127" s="43">
        <f>IFERROR(SUM(Y122:Y125),"0")</f>
        <v>696.6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33</v>
      </c>
      <c r="Y129" s="55">
        <f>IFERROR(IF(X129="",0,CEILING((X129/$H129),1)*$H129),"")</f>
        <v>33.659999999999997</v>
      </c>
      <c r="Z129" s="41">
        <f>IFERROR(IF(Y129=0,"",ROUNDUP(Y129/H129,0)*0.00651),"")</f>
        <v>0.11067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37.299999999999997</v>
      </c>
      <c r="BN129" s="78">
        <f>IFERROR(Y129*I129/H129,"0")</f>
        <v>38.045999999999992</v>
      </c>
      <c r="BO129" s="78">
        <f>IFERROR(1/J129*(X129/H129),"0")</f>
        <v>9.1575091575091583E-2</v>
      </c>
      <c r="BP129" s="78">
        <f>IFERROR(1/J129*(Y129/H129),"0")</f>
        <v>9.3406593406593408E-2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16.666666666666668</v>
      </c>
      <c r="Y130" s="43">
        <f>IFERROR(Y129/H129,"0")</f>
        <v>17</v>
      </c>
      <c r="Z130" s="43">
        <f>IFERROR(IF(Z129="",0,Z129),"0")</f>
        <v>0.11067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33</v>
      </c>
      <c r="Y131" s="43">
        <f>IFERROR(SUM(Y129:Y129),"0")</f>
        <v>33.659999999999997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60</v>
      </c>
      <c r="Y135" s="55">
        <f>IFERROR(IF(X135="",0,CEILING((X135/$H135),1)*$H135),"")</f>
        <v>60.800000000000004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63.374999999999993</v>
      </c>
      <c r="BN135" s="78">
        <f>IFERROR(Y135*I135/H135,"0")</f>
        <v>64.22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18.75</v>
      </c>
      <c r="Y136" s="43">
        <f>IFERROR(Y134/H134,"0")+IFERROR(Y135/H135,"0")</f>
        <v>19</v>
      </c>
      <c r="Z136" s="43">
        <f>IFERROR(IF(Z134="",0,Z134),"0")+IFERROR(IF(Z135="",0,Z135),"0")</f>
        <v>0.12369000000000001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60</v>
      </c>
      <c r="Y137" s="43">
        <f>IFERROR(SUM(Y134:Y135),"0")</f>
        <v>60.800000000000004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52.5</v>
      </c>
      <c r="Y139" s="55">
        <f>IFERROR(IF(X139="",0,CEILING((X139/$H139),1)*$H139),"")</f>
        <v>53.199999999999996</v>
      </c>
      <c r="Z139" s="41">
        <f>IFERROR(IF(Y139=0,"",ROUNDUP(Y139/H139,0)*0.00651),"")</f>
        <v>0.12369000000000001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57.524999999999999</v>
      </c>
      <c r="BN139" s="78">
        <f>IFERROR(Y139*I139/H139,"0")</f>
        <v>58.291999999999994</v>
      </c>
      <c r="BO139" s="78">
        <f>IFERROR(1/J139*(X139/H139),"0")</f>
        <v>0.10302197802197803</v>
      </c>
      <c r="BP139" s="78">
        <f>IFERROR(1/J139*(Y139/H139),"0")</f>
        <v>0.1043956043956044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18.75</v>
      </c>
      <c r="Y141" s="43">
        <f>IFERROR(Y139/H139,"0")+IFERROR(Y140/H140,"0")</f>
        <v>19</v>
      </c>
      <c r="Z141" s="43">
        <f>IFERROR(IF(Z139="",0,Z139),"0")+IFERROR(IF(Z140="",0,Z140),"0")</f>
        <v>0.12369000000000001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52.5</v>
      </c>
      <c r="Y142" s="43">
        <f>IFERROR(SUM(Y139:Y140),"0")</f>
        <v>53.199999999999996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49.5</v>
      </c>
      <c r="Y144" s="55">
        <f>IFERROR(IF(X144="",0,CEILING((X144/$H144),1)*$H144),"")</f>
        <v>50.160000000000004</v>
      </c>
      <c r="Z144" s="41">
        <f>IFERROR(IF(Y144=0,"",ROUNDUP(Y144/H144,0)*0.00651),"")</f>
        <v>0.12369000000000001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54.524999999999999</v>
      </c>
      <c r="BN144" s="78">
        <f>IFERROR(Y144*I144/H144,"0")</f>
        <v>55.252000000000002</v>
      </c>
      <c r="BO144" s="78">
        <f>IFERROR(1/J144*(X144/H144),"0")</f>
        <v>0.10302197802197803</v>
      </c>
      <c r="BP144" s="78">
        <f>IFERROR(1/J144*(Y144/H144),"0")</f>
        <v>0.1043956043956044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18.75</v>
      </c>
      <c r="Y146" s="43">
        <f>IFERROR(Y144/H144,"0")+IFERROR(Y145/H145,"0")</f>
        <v>19</v>
      </c>
      <c r="Z146" s="43">
        <f>IFERROR(IF(Z144="",0,Z144),"0")+IFERROR(IF(Z145="",0,Z145),"0")</f>
        <v>0.12369000000000001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49.5</v>
      </c>
      <c r="Y147" s="43">
        <f>IFERROR(SUM(Y144:Y145),"0")</f>
        <v>50.160000000000004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3.5999999999999996</v>
      </c>
      <c r="Y163" s="55">
        <f>IFERROR(IF(X163="",0,CEILING((X163/$H163),1)*$H163),"")</f>
        <v>3.5999999999999996</v>
      </c>
      <c r="Z163" s="41">
        <f>IFERROR(IF(Y163=0,"",ROUNDUP(Y163/H163,0)*0.00556),"")</f>
        <v>2.7799999999999998E-2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4.25</v>
      </c>
      <c r="BN163" s="78">
        <f>IFERROR(Y163*I163/H163,"0")</f>
        <v>4.25</v>
      </c>
      <c r="BO163" s="78">
        <f>IFERROR(1/J163*(X163/H163),"0")</f>
        <v>1.984126984126984E-2</v>
      </c>
      <c r="BP163" s="78">
        <f>IFERROR(1/J163*(Y163/H163),"0")</f>
        <v>1.984126984126984E-2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5</v>
      </c>
      <c r="Y164" s="43">
        <f>IFERROR(Y163/H163,"0")</f>
        <v>5</v>
      </c>
      <c r="Z164" s="43">
        <f>IFERROR(IF(Z163="",0,Z163),"0")</f>
        <v>2.7799999999999998E-2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3.5999999999999996</v>
      </c>
      <c r="Y165" s="43">
        <f>IFERROR(SUM(Y163:Y163),"0")</f>
        <v>3.5999999999999996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200</v>
      </c>
      <c r="Y167" s="55">
        <f t="shared" ref="Y167:Y177" si="15">IFERROR(IF(X167="",0,CEILING((X167/$H167),1)*$H167),"")</f>
        <v>203</v>
      </c>
      <c r="Z167" s="41">
        <f>IFERROR(IF(Y167=0,"",ROUNDUP(Y167/H167,0)*0.00902),"")</f>
        <v>0.52316000000000007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210.85714285714286</v>
      </c>
      <c r="BN167" s="78">
        <f t="shared" ref="BN167:BN177" si="17">IFERROR(Y167*I167/H167,"0")</f>
        <v>214.01999999999998</v>
      </c>
      <c r="BO167" s="78">
        <f t="shared" ref="BO167:BO177" si="18">IFERROR(1/J167*(X167/H167),"0")</f>
        <v>0.43290043290043295</v>
      </c>
      <c r="BP167" s="78">
        <f t="shared" ref="BP167:BP177" si="19">IFERROR(1/J167*(Y167/H167),"0")</f>
        <v>0.43939393939393939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270</v>
      </c>
      <c r="Y169" s="55">
        <f t="shared" si="15"/>
        <v>273</v>
      </c>
      <c r="Z169" s="41">
        <f>IFERROR(IF(Y169=0,"",ROUNDUP(Y169/H169,0)*0.00902),"")</f>
        <v>0.70355999999999996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284.65714285714284</v>
      </c>
      <c r="BN169" s="78">
        <f t="shared" si="17"/>
        <v>287.82</v>
      </c>
      <c r="BO169" s="78">
        <f t="shared" si="18"/>
        <v>0.58441558441558439</v>
      </c>
      <c r="BP169" s="78">
        <f t="shared" si="19"/>
        <v>0.59090909090909094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300</v>
      </c>
      <c r="Y170" s="55">
        <f t="shared" si="15"/>
        <v>301</v>
      </c>
      <c r="Z170" s="41">
        <f>IFERROR(IF(Y170=0,"",ROUNDUP(Y170/H170,0)*0.00902),"")</f>
        <v>0.77571999999999997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316.28571428571428</v>
      </c>
      <c r="BN170" s="78">
        <f t="shared" si="17"/>
        <v>317.34000000000003</v>
      </c>
      <c r="BO170" s="78">
        <f t="shared" si="18"/>
        <v>0.64935064935064934</v>
      </c>
      <c r="BP170" s="78">
        <f t="shared" si="19"/>
        <v>0.65151515151515149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3.5999999999999996</v>
      </c>
      <c r="Y171" s="55">
        <f t="shared" si="15"/>
        <v>3.6</v>
      </c>
      <c r="Z171" s="41">
        <f>IFERROR(IF(Y171=0,"",ROUNDUP(Y171/H171,0)*0.00417),"")</f>
        <v>1.668E-2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4.4399999999999995</v>
      </c>
      <c r="BN171" s="78">
        <f t="shared" si="17"/>
        <v>4.4400000000000004</v>
      </c>
      <c r="BO171" s="78">
        <f t="shared" si="18"/>
        <v>1.1904761904761902E-2</v>
      </c>
      <c r="BP171" s="78">
        <f t="shared" si="19"/>
        <v>1.1904761904761904E-2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2.6999999999999997</v>
      </c>
      <c r="Y173" s="55">
        <f t="shared" si="15"/>
        <v>2.7</v>
      </c>
      <c r="Z173" s="41">
        <f>IFERROR(IF(Y173=0,"",ROUNDUP(Y173/H173,0)*0.00417),"")</f>
        <v>1.251E-2</v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3.3299999999999996</v>
      </c>
      <c r="BN173" s="78">
        <f t="shared" si="17"/>
        <v>3.33</v>
      </c>
      <c r="BO173" s="78">
        <f t="shared" si="18"/>
        <v>8.9285714285714263E-3</v>
      </c>
      <c r="BP173" s="78">
        <f t="shared" si="19"/>
        <v>8.9285714285714281E-3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61.600000000000009</v>
      </c>
      <c r="Y175" s="55">
        <f t="shared" si="15"/>
        <v>62.16</v>
      </c>
      <c r="Z175" s="41">
        <f>IFERROR(IF(Y175=0,"",ROUNDUP(Y175/H175,0)*0.00502),"")</f>
        <v>0.18574000000000002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65.26666666666668</v>
      </c>
      <c r="BN175" s="78">
        <f t="shared" si="17"/>
        <v>65.86</v>
      </c>
      <c r="BO175" s="78">
        <f t="shared" si="18"/>
        <v>0.15669515669515674</v>
      </c>
      <c r="BP175" s="78">
        <f t="shared" si="19"/>
        <v>0.15811965811965814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2.6999999999999997</v>
      </c>
      <c r="Y176" s="55">
        <f t="shared" si="15"/>
        <v>2.7</v>
      </c>
      <c r="Z176" s="41">
        <f>IFERROR(IF(Y176=0,"",ROUNDUP(Y176/H176,0)*0.00417),"")</f>
        <v>1.251E-2</v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2.9999999999999996</v>
      </c>
      <c r="BN176" s="78">
        <f t="shared" si="17"/>
        <v>3</v>
      </c>
      <c r="BO176" s="78">
        <f t="shared" si="18"/>
        <v>8.9285714285714263E-3</v>
      </c>
      <c r="BP176" s="78">
        <f t="shared" si="19"/>
        <v>8.9285714285714281E-3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33.6</v>
      </c>
      <c r="Y177" s="55">
        <f t="shared" si="15"/>
        <v>33.6</v>
      </c>
      <c r="Z177" s="41">
        <f>IFERROR(IF(Y177=0,"",ROUNDUP(Y177/H177,0)*0.00502),"")</f>
        <v>0.1004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35.600000000000009</v>
      </c>
      <c r="BN177" s="78">
        <f t="shared" si="17"/>
        <v>35.600000000000009</v>
      </c>
      <c r="BO177" s="78">
        <f t="shared" si="18"/>
        <v>8.5470085470085472E-2</v>
      </c>
      <c r="BP177" s="78">
        <f t="shared" si="19"/>
        <v>8.5470085470085472E-2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336.66666666666669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339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2.5812799999999996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958.20000000000016</v>
      </c>
      <c r="Y179" s="43">
        <f>IFERROR(SUM(Y167:Y177),"0")</f>
        <v>965.7600000000001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20</v>
      </c>
      <c r="Y214" s="55">
        <f t="shared" si="26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21.19047619047619</v>
      </c>
      <c r="BN214" s="78">
        <f t="shared" si="28"/>
        <v>22.25</v>
      </c>
      <c r="BO214" s="78">
        <f t="shared" si="29"/>
        <v>3.6075036075036072E-2</v>
      </c>
      <c r="BP214" s="78">
        <f t="shared" si="30"/>
        <v>3.787878787878788E-2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6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31.357142857142854</v>
      </c>
      <c r="BN215" s="78">
        <f t="shared" si="28"/>
        <v>35.119999999999997</v>
      </c>
      <c r="BO215" s="78">
        <f t="shared" si="29"/>
        <v>5.4112554112554112E-2</v>
      </c>
      <c r="BP215" s="78">
        <f t="shared" si="30"/>
        <v>6.0606060606060608E-2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6.4</v>
      </c>
      <c r="Y216" s="55">
        <f t="shared" si="26"/>
        <v>6.4</v>
      </c>
      <c r="Z216" s="41">
        <f>IFERROR(IF(Y216=0,"",ROUNDUP(Y216/H216,0)*0.00556),"")</f>
        <v>4.4479999999999999E-2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7.44</v>
      </c>
      <c r="BN216" s="78">
        <f t="shared" si="28"/>
        <v>7.44</v>
      </c>
      <c r="BO216" s="78">
        <f t="shared" si="29"/>
        <v>3.1746031746031744E-2</v>
      </c>
      <c r="BP216" s="78">
        <f t="shared" si="30"/>
        <v>3.1746031746031744E-2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105</v>
      </c>
      <c r="Y217" s="55">
        <f t="shared" si="26"/>
        <v>105</v>
      </c>
      <c r="Z217" s="41">
        <f t="shared" ref="Z217:Z222" si="31">IFERROR(IF(Y217=0,"",ROUNDUP(Y217/H217,0)*0.00502),"")</f>
        <v>0.251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111.5</v>
      </c>
      <c r="BN217" s="78">
        <f t="shared" si="28"/>
        <v>111.5</v>
      </c>
      <c r="BO217" s="78">
        <f t="shared" si="29"/>
        <v>0.21367521367521369</v>
      </c>
      <c r="BP217" s="78">
        <f t="shared" si="30"/>
        <v>0.21367521367521369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70</v>
      </c>
      <c r="Y219" s="55">
        <f t="shared" si="26"/>
        <v>71.400000000000006</v>
      </c>
      <c r="Z219" s="41">
        <f t="shared" si="31"/>
        <v>0.17068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74.333333333333329</v>
      </c>
      <c r="BN219" s="78">
        <f t="shared" si="28"/>
        <v>75.820000000000007</v>
      </c>
      <c r="BO219" s="78">
        <f t="shared" si="29"/>
        <v>0.14245014245014245</v>
      </c>
      <c r="BP219" s="78">
        <f t="shared" si="30"/>
        <v>0.14529914529914531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4.8</v>
      </c>
      <c r="Y223" s="55">
        <f t="shared" si="26"/>
        <v>4.8000000000000007</v>
      </c>
      <c r="Z223" s="41">
        <f>IFERROR(IF(Y223=0,"",ROUNDUP(Y223/H223,0)*0.00417),"")</f>
        <v>2.5020000000000001E-2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6.06</v>
      </c>
      <c r="BN223" s="78">
        <f t="shared" si="28"/>
        <v>6.0600000000000005</v>
      </c>
      <c r="BO223" s="78">
        <f t="shared" si="29"/>
        <v>1.7857142857142853E-2</v>
      </c>
      <c r="BP223" s="78">
        <f t="shared" si="30"/>
        <v>1.785714285714286E-2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159.23809523809524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161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0.85944000000000009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341.20000000000005</v>
      </c>
      <c r="Y228" s="43">
        <f>IFERROR(SUM(Y213:Y226),"0")</f>
        <v>347.20000000000005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4.2</v>
      </c>
      <c r="Y239" s="55">
        <f>IFERROR(IF(X239="",0,CEILING((X239/$H239),1)*$H239),"")</f>
        <v>5.04</v>
      </c>
      <c r="Z239" s="41">
        <f>IFERROR(IF(Y239=0,"",ROUNDUP(Y239/H239,0)*0.0059),"")</f>
        <v>2.3599999999999999E-2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4.833333333333333</v>
      </c>
      <c r="BN239" s="78">
        <f>IFERROR(Y239*I239/H239,"0")</f>
        <v>5.8</v>
      </c>
      <c r="BO239" s="78">
        <f>IFERROR(1/J239*(X239/H239),"0")</f>
        <v>1.5432098765432098E-2</v>
      </c>
      <c r="BP239" s="78">
        <f>IFERROR(1/J239*(Y239/H239),"0")</f>
        <v>1.8518518518518517E-2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8.8888888888888893</v>
      </c>
      <c r="Y241" s="43">
        <f>IFERROR(Y238/H238,"0")+IFERROR(Y239/H239,"0")+IFERROR(Y240/H240,"0")</f>
        <v>10</v>
      </c>
      <c r="Z241" s="43">
        <f>IFERROR(IF(Z238="",0,Z238),"0")+IFERROR(IF(Z239="",0,Z239),"0")+IFERROR(IF(Z240="",0,Z240),"0")</f>
        <v>5.8999999999999997E-2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11.200000000000001</v>
      </c>
      <c r="Y242" s="43">
        <f>IFERROR(SUM(Y238:Y240),"0")</f>
        <v>12.600000000000001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4.2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4.833333333333333</v>
      </c>
      <c r="BN244" s="78">
        <f>IFERROR(Y244*I244/H244,"0")</f>
        <v>5.8</v>
      </c>
      <c r="BO244" s="78">
        <f>IFERROR(1/J244*(X244/H244),"0")</f>
        <v>1.5432098765432098E-2</v>
      </c>
      <c r="BP244" s="78">
        <f>IFERROR(1/J244*(Y244/H244),"0")</f>
        <v>1.8518518518518517E-2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3.3333333333333335</v>
      </c>
      <c r="Y245" s="43">
        <f>IFERROR(Y244/H244,"0")</f>
        <v>4</v>
      </c>
      <c r="Z245" s="43">
        <f>IFERROR(IF(Z244="",0,Z244),"0")</f>
        <v>2.3599999999999999E-2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4.2</v>
      </c>
      <c r="Y246" s="43">
        <f>IFERROR(SUM(Y244:Y244),"0")</f>
        <v>5.04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2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310.55555555555554</v>
      </c>
      <c r="BN259" s="78">
        <f t="shared" ref="BN259:BN266" si="34">IFERROR(Y259*I259/H259,"0")</f>
        <v>313.04000000000002</v>
      </c>
      <c r="BO259" s="78">
        <f t="shared" ref="BO259:BO266" si="35">IFERROR(1/J259*(X259/H259),"0")</f>
        <v>0.42087542087542085</v>
      </c>
      <c r="BP259" s="78">
        <f t="shared" ref="BP259:BP266" si="36">IFERROR(1/J259*(Y259/H259),"0")</f>
        <v>0.42424242424242425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60</v>
      </c>
      <c r="Y260" s="55">
        <f t="shared" si="32"/>
        <v>64.800000000000011</v>
      </c>
      <c r="Z260" s="41">
        <f>IFERROR(IF(Y260=0,"",ROUNDUP(Y260/H260,0)*0.00902),"")</f>
        <v>0.10824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62.1111111111111</v>
      </c>
      <c r="BN260" s="78">
        <f t="shared" si="34"/>
        <v>67.08</v>
      </c>
      <c r="BO260" s="78">
        <f t="shared" si="35"/>
        <v>8.4175084175084181E-2</v>
      </c>
      <c r="BP260" s="78">
        <f t="shared" si="36"/>
        <v>9.0909090909090925E-2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140</v>
      </c>
      <c r="Y261" s="55">
        <f t="shared" si="32"/>
        <v>140.4</v>
      </c>
      <c r="Z261" s="41">
        <f>IFERROR(IF(Y261=0,"",ROUNDUP(Y261/H261,0)*0.00902),"")</f>
        <v>0.23452000000000001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144.92592592592592</v>
      </c>
      <c r="BN261" s="78">
        <f t="shared" si="34"/>
        <v>145.34</v>
      </c>
      <c r="BO261" s="78">
        <f t="shared" si="35"/>
        <v>0.19640852974186307</v>
      </c>
      <c r="BP261" s="78">
        <f t="shared" si="36"/>
        <v>0.19696969696969696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2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62.1111111111111</v>
      </c>
      <c r="BN262" s="78">
        <f t="shared" si="34"/>
        <v>67.08</v>
      </c>
      <c r="BO262" s="78">
        <f t="shared" si="35"/>
        <v>8.4175084175084181E-2</v>
      </c>
      <c r="BP262" s="78">
        <f t="shared" si="36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120</v>
      </c>
      <c r="Y263" s="55">
        <f t="shared" si="32"/>
        <v>120.60000000000001</v>
      </c>
      <c r="Z263" s="41">
        <f>IFERROR(IF(Y263=0,"",ROUNDUP(Y263/H263,0)*0.00502),"")</f>
        <v>0.33634000000000003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128.66666666666666</v>
      </c>
      <c r="BN263" s="78">
        <f t="shared" si="34"/>
        <v>129.31</v>
      </c>
      <c r="BO263" s="78">
        <f t="shared" si="35"/>
        <v>0.28490028490028496</v>
      </c>
      <c r="BP263" s="78">
        <f t="shared" si="36"/>
        <v>0.28632478632478636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2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63.333333333333329</v>
      </c>
      <c r="BN264" s="78">
        <f t="shared" si="34"/>
        <v>64.599999999999994</v>
      </c>
      <c r="BO264" s="78">
        <f t="shared" si="35"/>
        <v>0.14245014245014248</v>
      </c>
      <c r="BP264" s="78">
        <f t="shared" si="36"/>
        <v>0.14529914529914531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2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95</v>
      </c>
      <c r="BN265" s="78">
        <f t="shared" si="34"/>
        <v>95</v>
      </c>
      <c r="BO265" s="78">
        <f t="shared" si="35"/>
        <v>0.21367521367521369</v>
      </c>
      <c r="BP265" s="78">
        <f t="shared" si="36"/>
        <v>0.21367521367521369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2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63.333333333333329</v>
      </c>
      <c r="BN266" s="78">
        <f t="shared" si="34"/>
        <v>64.599999999999994</v>
      </c>
      <c r="BO266" s="78">
        <f t="shared" si="35"/>
        <v>0.14245014245014248</v>
      </c>
      <c r="BP266" s="78">
        <f t="shared" si="36"/>
        <v>0.14529914529914531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287.03703703703707</v>
      </c>
      <c r="Y267" s="43">
        <f>IFERROR(Y259/H259,"0")+IFERROR(Y260/H260,"0")+IFERROR(Y261/H261,"0")+IFERROR(Y262/H262,"0")+IFERROR(Y263/H263,"0")+IFERROR(Y264/H264,"0")+IFERROR(Y265/H265,"0")+IFERROR(Y266/H266,"0")</f>
        <v>291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1.8848199999999999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890</v>
      </c>
      <c r="Y268" s="43">
        <f>IFERROR(SUM(Y259:Y266),"0")</f>
        <v>905.4000000000002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7"/>
        <v>252.29999999999998</v>
      </c>
      <c r="Z272" s="41">
        <f>IFERROR(IF(Y272=0,"",ROUNDUP(Y272/H272,0)*0.01898),"")</f>
        <v>0.55042000000000002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264.19540229885058</v>
      </c>
      <c r="BN272" s="78">
        <f t="shared" si="39"/>
        <v>266.62600000000003</v>
      </c>
      <c r="BO272" s="78">
        <f t="shared" si="40"/>
        <v>0.44899425287356326</v>
      </c>
      <c r="BP272" s="78">
        <f t="shared" si="41"/>
        <v>0.453125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160</v>
      </c>
      <c r="Y273" s="55">
        <f t="shared" si="37"/>
        <v>160.79999999999998</v>
      </c>
      <c r="Z273" s="41">
        <f>IFERROR(IF(Y273=0,"",ROUNDUP(Y273/H273,0)*0.00651),"")</f>
        <v>0.43617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178</v>
      </c>
      <c r="BN273" s="78">
        <f t="shared" si="39"/>
        <v>178.89</v>
      </c>
      <c r="BO273" s="78">
        <f t="shared" si="40"/>
        <v>0.36630036630036633</v>
      </c>
      <c r="BP273" s="78">
        <f t="shared" si="41"/>
        <v>0.36813186813186816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7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353.60000000000008</v>
      </c>
      <c r="BN276" s="78">
        <f t="shared" si="39"/>
        <v>355.36799999999999</v>
      </c>
      <c r="BO276" s="78">
        <f t="shared" si="40"/>
        <v>0.73260073260073266</v>
      </c>
      <c r="BP276" s="78">
        <f t="shared" si="41"/>
        <v>0.73626373626373631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37"/>
        <v>81.599999999999994</v>
      </c>
      <c r="Z279" s="41">
        <f>IFERROR(IF(Y279=0,"",ROUNDUP(Y279/H279,0)*0.00651),"")</f>
        <v>0.22134000000000001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88.40000000000002</v>
      </c>
      <c r="BN279" s="78">
        <f t="shared" si="39"/>
        <v>90.168000000000006</v>
      </c>
      <c r="BO279" s="78">
        <f t="shared" si="40"/>
        <v>0.18315018315018317</v>
      </c>
      <c r="BP279" s="78">
        <f t="shared" si="41"/>
        <v>0.18681318681318682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40</v>
      </c>
      <c r="Y280" s="55">
        <f t="shared" si="37"/>
        <v>40.799999999999997</v>
      </c>
      <c r="Z280" s="41">
        <f>IFERROR(IF(Y280=0,"",ROUNDUP(Y280/H280,0)*0.00651),"")</f>
        <v>0.11067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44.3</v>
      </c>
      <c r="BN280" s="78">
        <f t="shared" si="39"/>
        <v>45.185999999999993</v>
      </c>
      <c r="BO280" s="78">
        <f t="shared" si="40"/>
        <v>9.1575091575091583E-2</v>
      </c>
      <c r="BP280" s="78">
        <f t="shared" si="41"/>
        <v>9.3406593406593408E-2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278.73563218390808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2.1909399999999999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850</v>
      </c>
      <c r="Y283" s="43">
        <f>IFERROR(SUM(Y270:Y281),"0")</f>
        <v>857.09999999999991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32</v>
      </c>
      <c r="Y285" s="55">
        <f>IFERROR(IF(X285="",0,CEILING((X285/$H285),1)*$H285),"")</f>
        <v>33.6</v>
      </c>
      <c r="Z285" s="41">
        <f>IFERROR(IF(Y285=0,"",ROUNDUP(Y285/H285,0)*0.00651),"")</f>
        <v>9.1139999999999999E-2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35.360000000000007</v>
      </c>
      <c r="BN285" s="78">
        <f>IFERROR(Y285*I285/H285,"0")</f>
        <v>37.128000000000007</v>
      </c>
      <c r="BO285" s="78">
        <f>IFERROR(1/J285*(X285/H285),"0")</f>
        <v>7.3260073260073263E-2</v>
      </c>
      <c r="BP285" s="78">
        <f>IFERROR(1/J285*(Y285/H285),"0")</f>
        <v>7.6923076923076941E-2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100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110.5</v>
      </c>
      <c r="BN286" s="78">
        <f>IFERROR(Y286*I286/H286,"0")</f>
        <v>111.384</v>
      </c>
      <c r="BO286" s="78">
        <f>IFERROR(1/J286*(X286/H286),"0")</f>
        <v>0.22893772893772898</v>
      </c>
      <c r="BP286" s="78">
        <f>IFERROR(1/J286*(Y286/H286),"0")</f>
        <v>0.23076923076923078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55.000000000000007</v>
      </c>
      <c r="Y287" s="43">
        <f>IFERROR(Y285/H285,"0")+IFERROR(Y286/H286,"0")</f>
        <v>56</v>
      </c>
      <c r="Z287" s="43">
        <f>IFERROR(IF(Z285="",0,Z285),"0")+IFERROR(IF(Z286="",0,Z286),"0")</f>
        <v>0.36456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132</v>
      </c>
      <c r="Y288" s="43">
        <f>IFERROR(SUM(Y285:Y286),"0")</f>
        <v>134.4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30</v>
      </c>
      <c r="Y293" s="55">
        <f t="shared" si="42"/>
        <v>34.799999999999997</v>
      </c>
      <c r="Z293" s="41">
        <f>IFERROR(IF(Y293=0,"",ROUNDUP(Y293/H293,0)*0.01898),"")</f>
        <v>5.6940000000000004E-2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31.06034482758621</v>
      </c>
      <c r="BN293" s="78">
        <f t="shared" si="44"/>
        <v>36.03</v>
      </c>
      <c r="BO293" s="78">
        <f t="shared" si="45"/>
        <v>4.0409482758620691E-2</v>
      </c>
      <c r="BP293" s="78">
        <f t="shared" si="46"/>
        <v>4.6875E-2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12</v>
      </c>
      <c r="Y294" s="55">
        <f t="shared" si="42"/>
        <v>12</v>
      </c>
      <c r="Z294" s="41">
        <f>IFERROR(IF(Y294=0,"",ROUNDUP(Y294/H294,0)*0.00902),"")</f>
        <v>2.7060000000000001E-2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12.57</v>
      </c>
      <c r="BN294" s="78">
        <f t="shared" si="44"/>
        <v>12.57</v>
      </c>
      <c r="BO294" s="78">
        <f t="shared" si="45"/>
        <v>2.2727272727272728E-2</v>
      </c>
      <c r="BP294" s="78">
        <f t="shared" si="46"/>
        <v>2.2727272727272728E-2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2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83.800000000000011</v>
      </c>
      <c r="BN297" s="78">
        <f t="shared" si="44"/>
        <v>83.800000000000011</v>
      </c>
      <c r="BO297" s="78">
        <f t="shared" si="45"/>
        <v>0.15151515151515152</v>
      </c>
      <c r="BP297" s="78">
        <f t="shared" si="46"/>
        <v>0.15151515151515152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25.586206896551722</v>
      </c>
      <c r="Y298" s="43">
        <f>IFERROR(Y291/H291,"0")+IFERROR(Y292/H292,"0")+IFERROR(Y293/H293,"0")+IFERROR(Y294/H294,"0")+IFERROR(Y295/H295,"0")+IFERROR(Y296/H296,"0")+IFERROR(Y297/H297,"0")</f>
        <v>26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0.26440000000000002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122</v>
      </c>
      <c r="Y299" s="43">
        <f>IFERROR(SUM(Y291:Y297),"0")</f>
        <v>126.8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24</v>
      </c>
      <c r="Y310" s="55">
        <f>IFERROR(IF(X310="",0,CEILING((X310/$H310),1)*$H310),"")</f>
        <v>25.2</v>
      </c>
      <c r="Z310" s="41">
        <f>IFERROR(IF(Y310=0,"",ROUNDUP(Y310/H310,0)*0.0059),"")</f>
        <v>8.2599999999999993E-2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26.333333333333336</v>
      </c>
      <c r="BN310" s="78">
        <f>IFERROR(Y310*I310/H310,"0")</f>
        <v>27.650000000000002</v>
      </c>
      <c r="BO310" s="78">
        <f>IFERROR(1/J310*(X310/H310),"0")</f>
        <v>6.1728395061728385E-2</v>
      </c>
      <c r="BP310" s="78">
        <f>IFERROR(1/J310*(Y310/H310),"0")</f>
        <v>6.4814814814814811E-2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5</v>
      </c>
      <c r="Y311" s="55">
        <f>IFERROR(IF(X311="",0,CEILING((X311/$H311),1)*$H311),"")</f>
        <v>5.4</v>
      </c>
      <c r="Z311" s="41">
        <f>IFERROR(IF(Y311=0,"",ROUNDUP(Y311/H311,0)*0.0059),"")</f>
        <v>3.5400000000000001E-2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6.0555555555555554</v>
      </c>
      <c r="BN311" s="78">
        <f>IFERROR(Y311*I311/H311,"0")</f>
        <v>6.5400000000000009</v>
      </c>
      <c r="BO311" s="78">
        <f>IFERROR(1/J311*(X311/H311),"0")</f>
        <v>2.5720164609053495E-2</v>
      </c>
      <c r="BP311" s="78">
        <f>IFERROR(1/J311*(Y311/H311),"0")</f>
        <v>2.7777777777777776E-2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18.888888888888886</v>
      </c>
      <c r="Y312" s="43">
        <f>IFERROR(Y309/H309,"0")+IFERROR(Y310/H310,"0")+IFERROR(Y311/H311,"0")</f>
        <v>20</v>
      </c>
      <c r="Z312" s="43">
        <f>IFERROR(IF(Z309="",0,Z309),"0")+IFERROR(IF(Z310="",0,Z310),"0")+IFERROR(IF(Z311="",0,Z311),"0")</f>
        <v>0.11799999999999999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29</v>
      </c>
      <c r="Y313" s="43">
        <f>IFERROR(SUM(Y309:Y311),"0")</f>
        <v>30.6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120</v>
      </c>
      <c r="Y326" s="55">
        <f>IFERROR(IF(X326="",0,CEILING((X326/$H326),1)*$H326),"")</f>
        <v>120</v>
      </c>
      <c r="Z326" s="41">
        <f>IFERROR(IF(Y326=0,"",ROUNDUP(Y326/H326,0)*0.00651),"")</f>
        <v>0.32550000000000001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132.60000000000002</v>
      </c>
      <c r="BN326" s="78">
        <f>IFERROR(Y326*I326/H326,"0")</f>
        <v>132.60000000000002</v>
      </c>
      <c r="BO326" s="78">
        <f>IFERROR(1/J326*(X326/H326),"0")</f>
        <v>0.27472527472527475</v>
      </c>
      <c r="BP326" s="78">
        <f>IFERROR(1/J326*(Y326/H326),"0")</f>
        <v>0.27472527472527475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80</v>
      </c>
      <c r="Y327" s="55">
        <f>IFERROR(IF(X327="",0,CEILING((X327/$H327),1)*$H327),"")</f>
        <v>81.599999999999994</v>
      </c>
      <c r="Z327" s="41">
        <f>IFERROR(IF(Y327=0,"",ROUNDUP(Y327/H327,0)*0.00651),"")</f>
        <v>0.22134000000000001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86</v>
      </c>
      <c r="BN327" s="78">
        <f>IFERROR(Y327*I327/H327,"0")</f>
        <v>87.72</v>
      </c>
      <c r="BO327" s="78">
        <f>IFERROR(1/J327*(X327/H327),"0")</f>
        <v>0.18315018315018317</v>
      </c>
      <c r="BP327" s="78">
        <f>IFERROR(1/J327*(Y327/H327),"0")</f>
        <v>0.18681318681318682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83.333333333333343</v>
      </c>
      <c r="Y328" s="43">
        <f>IFERROR(Y325/H325,"0")+IFERROR(Y326/H326,"0")+IFERROR(Y327/H327,"0")</f>
        <v>84</v>
      </c>
      <c r="Z328" s="43">
        <f>IFERROR(IF(Z325="",0,Z325),"0")+IFERROR(IF(Z326="",0,Z326),"0")+IFERROR(IF(Z327="",0,Z327),"0")</f>
        <v>0.54683999999999999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200</v>
      </c>
      <c r="Y329" s="43">
        <f>IFERROR(SUM(Y325:Y327),"0")</f>
        <v>201.6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200</v>
      </c>
      <c r="Y346" s="55">
        <f>IFERROR(IF(X346="",0,CEILING((X346/$H346),1)*$H346),"")</f>
        <v>202.79999999999998</v>
      </c>
      <c r="Z346" s="41">
        <f>IFERROR(IF(Y346=0,"",ROUNDUP(Y346/H346,0)*0.01898),"")</f>
        <v>0.49348000000000003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210.51282051282055</v>
      </c>
      <c r="BN346" s="78">
        <f>IFERROR(Y346*I346/H346,"0")</f>
        <v>213.46</v>
      </c>
      <c r="BO346" s="78">
        <f>IFERROR(1/J346*(X346/H346),"0")</f>
        <v>0.40064102564102566</v>
      </c>
      <c r="BP346" s="78">
        <f>IFERROR(1/J346*(Y346/H346),"0")</f>
        <v>0.40625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220</v>
      </c>
      <c r="Y347" s="55">
        <f>IFERROR(IF(X347="",0,CEILING((X347/$H347),1)*$H347),"")</f>
        <v>226.2</v>
      </c>
      <c r="Z347" s="41">
        <f>IFERROR(IF(Y347=0,"",ROUNDUP(Y347/H347,0)*0.01898),"")</f>
        <v>0.55042000000000002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231.5641025641026</v>
      </c>
      <c r="BN347" s="78">
        <f>IFERROR(Y347*I347/H347,"0")</f>
        <v>238.09</v>
      </c>
      <c r="BO347" s="78">
        <f>IFERROR(1/J347*(X347/H347),"0")</f>
        <v>0.44070512820512819</v>
      </c>
      <c r="BP347" s="78">
        <f>IFERROR(1/J347*(Y347/H347),"0")</f>
        <v>0.453125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150</v>
      </c>
      <c r="Y348" s="55">
        <f>IFERROR(IF(X348="",0,CEILING((X348/$H348),1)*$H348),"")</f>
        <v>156</v>
      </c>
      <c r="Z348" s="41">
        <f>IFERROR(IF(Y348=0,"",ROUNDUP(Y348/H348,0)*0.01898),"")</f>
        <v>0.37959999999999999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157.88461538461542</v>
      </c>
      <c r="BN348" s="78">
        <f>IFERROR(Y348*I348/H348,"0")</f>
        <v>164.20000000000005</v>
      </c>
      <c r="BO348" s="78">
        <f>IFERROR(1/J348*(X348/H348),"0")</f>
        <v>0.30048076923076922</v>
      </c>
      <c r="BP348" s="78">
        <f>IFERROR(1/J348*(Y348/H348),"0")</f>
        <v>0.3125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73.07692307692308</v>
      </c>
      <c r="Y349" s="43">
        <f>IFERROR(Y346/H346,"0")+IFERROR(Y347/H347,"0")+IFERROR(Y348/H348,"0")</f>
        <v>75</v>
      </c>
      <c r="Z349" s="43">
        <f>IFERROR(IF(Z346="",0,Z346),"0")+IFERROR(IF(Z347="",0,Z347),"0")+IFERROR(IF(Z348="",0,Z348),"0")</f>
        <v>1.4235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570</v>
      </c>
      <c r="Y350" s="43">
        <f>IFERROR(SUM(Y346:Y348),"0")</f>
        <v>585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50</v>
      </c>
      <c r="Y353" s="55">
        <f t="shared" ref="Y353:Y358" si="47">IFERROR(IF(X353="",0,CEILING((X353/$H353),1)*$H353),"")</f>
        <v>54</v>
      </c>
      <c r="Z353" s="41">
        <f>IFERROR(IF(Y353=0,"",ROUNDUP(Y353/H353,0)*0.01898),"")</f>
        <v>9.4899999999999998E-2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51.898148148148145</v>
      </c>
      <c r="BN353" s="78">
        <f t="shared" ref="BN353:BN358" si="49">IFERROR(Y353*I353/H353,"0")</f>
        <v>56.05</v>
      </c>
      <c r="BO353" s="78">
        <f t="shared" ref="BO353:BO358" si="50">IFERROR(1/J353*(X353/H353),"0")</f>
        <v>7.2337962962962965E-2</v>
      </c>
      <c r="BP353" s="78">
        <f t="shared" ref="BP353:BP358" si="51">IFERROR(1/J353*(Y353/H353),"0")</f>
        <v>7.8125E-2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4.6296296296296298</v>
      </c>
      <c r="Y359" s="43">
        <f>IFERROR(Y353/H353,"0")+IFERROR(Y354/H354,"0")+IFERROR(Y355/H355,"0")+IFERROR(Y356/H356,"0")+IFERROR(Y357/H357,"0")+IFERROR(Y358/H358,"0")</f>
        <v>5</v>
      </c>
      <c r="Z359" s="43">
        <f>IFERROR(IF(Z353="",0,Z353),"0")+IFERROR(IF(Z354="",0,Z354),"0")+IFERROR(IF(Z355="",0,Z355),"0")+IFERROR(IF(Z356="",0,Z356),"0")+IFERROR(IF(Z357="",0,Z357),"0")+IFERROR(IF(Z358="",0,Z358),"0")</f>
        <v>9.4899999999999998E-2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50</v>
      </c>
      <c r="Y360" s="43">
        <f>IFERROR(SUM(Y353:Y358),"0")</f>
        <v>54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175</v>
      </c>
      <c r="Y366" s="55">
        <f t="shared" si="52"/>
        <v>176.4</v>
      </c>
      <c r="Z366" s="41">
        <f>IFERROR(IF(Y366=0,"",ROUNDUP(Y366/H366,0)*0.00502),"")</f>
        <v>0.42168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183.33333333333334</v>
      </c>
      <c r="BN366" s="78">
        <f t="shared" si="54"/>
        <v>184.8</v>
      </c>
      <c r="BO366" s="78">
        <f t="shared" si="55"/>
        <v>0.35612535612535612</v>
      </c>
      <c r="BP366" s="78">
        <f t="shared" si="56"/>
        <v>0.35897435897435903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15</v>
      </c>
      <c r="Y368" s="55">
        <f t="shared" si="52"/>
        <v>16.2</v>
      </c>
      <c r="Z368" s="41">
        <f>IFERROR(IF(Y368=0,"",ROUNDUP(Y368/H368,0)*0.00651),"")</f>
        <v>5.8590000000000003E-2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16.900000000000002</v>
      </c>
      <c r="BN368" s="78">
        <f t="shared" si="54"/>
        <v>18.251999999999999</v>
      </c>
      <c r="BO368" s="78">
        <f t="shared" si="55"/>
        <v>4.5787545787545791E-2</v>
      </c>
      <c r="BP368" s="78">
        <f t="shared" si="56"/>
        <v>4.9450549450549455E-2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91.666666666666657</v>
      </c>
      <c r="Y369" s="43">
        <f>IFERROR(Y362/H362,"0")+IFERROR(Y363/H363,"0")+IFERROR(Y364/H364,"0")+IFERROR(Y365/H365,"0")+IFERROR(Y366/H366,"0")+IFERROR(Y367/H367,"0")+IFERROR(Y368/H368,"0")</f>
        <v>93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0.48026999999999997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190</v>
      </c>
      <c r="Y370" s="43">
        <f>IFERROR(SUM(Y362:Y368),"0")</f>
        <v>192.6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450</v>
      </c>
      <c r="Y379" s="55">
        <f>IFERROR(IF(X379="",0,CEILING((X379/$H379),1)*$H379),"")</f>
        <v>453.6</v>
      </c>
      <c r="Z379" s="41">
        <f>IFERROR(IF(Y379=0,"",ROUNDUP(Y379/H379,0)*0.01898),"")</f>
        <v>1.0249200000000001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476.46428571428572</v>
      </c>
      <c r="BN379" s="78">
        <f>IFERROR(Y379*I379/H379,"0")</f>
        <v>480.27600000000001</v>
      </c>
      <c r="BO379" s="78">
        <f>IFERROR(1/J379*(X379/H379),"0")</f>
        <v>0.8370535714285714</v>
      </c>
      <c r="BP379" s="78">
        <f>IFERROR(1/J379*(Y379/H379),"0")</f>
        <v>0.84375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400</v>
      </c>
      <c r="Y380" s="55">
        <f>IFERROR(IF(X380="",0,CEILING((X380/$H380),1)*$H380),"")</f>
        <v>405.59999999999997</v>
      </c>
      <c r="Z380" s="41">
        <f>IFERROR(IF(Y380=0,"",ROUNDUP(Y380/H380,0)*0.01898),"")</f>
        <v>0.98696000000000006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425.33333333333337</v>
      </c>
      <c r="BN380" s="78">
        <f>IFERROR(Y380*I380/H380,"0")</f>
        <v>431.28799999999995</v>
      </c>
      <c r="BO380" s="78">
        <f>IFERROR(1/J380*(X380/H380),"0")</f>
        <v>0.80128205128205132</v>
      </c>
      <c r="BP380" s="78">
        <f>IFERROR(1/J380*(Y380/H380),"0")</f>
        <v>0.8125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111.99633699633699</v>
      </c>
      <c r="Y382" s="43">
        <f>IFERROR(Y379/H379,"0")+IFERROR(Y380/H380,"0")+IFERROR(Y381/H381,"0")</f>
        <v>114</v>
      </c>
      <c r="Z382" s="43">
        <f>IFERROR(IF(Z379="",0,Z379),"0")+IFERROR(IF(Z380="",0,Z380),"0")+IFERROR(IF(Z381="",0,Z381),"0")</f>
        <v>2.1637200000000001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910</v>
      </c>
      <c r="Y383" s="43">
        <f>IFERROR(SUM(Y379:Y381),"0")</f>
        <v>926.40000000000009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30</v>
      </c>
      <c r="Y385" s="55">
        <f>IFERROR(IF(X385="",0,CEILING((X385/$H385),1)*$H385),"")</f>
        <v>30.4</v>
      </c>
      <c r="Z385" s="41">
        <f>IFERROR(IF(Y385=0,"",ROUNDUP(Y385/H385,0)*0.00902),"")</f>
        <v>9.0200000000000002E-2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32.664473684210527</v>
      </c>
      <c r="BN385" s="78">
        <f>IFERROR(Y385*I385/H385,"0")</f>
        <v>33.1</v>
      </c>
      <c r="BO385" s="78">
        <f>IFERROR(1/J385*(X385/H385),"0")</f>
        <v>7.4760765550239236E-2</v>
      </c>
      <c r="BP385" s="78">
        <f>IFERROR(1/J385*(Y385/H385),"0")</f>
        <v>7.575757575757576E-2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9.8684210526315788</v>
      </c>
      <c r="Y389" s="43">
        <f>IFERROR(Y385/H385,"0")+IFERROR(Y386/H386,"0")+IFERROR(Y387/H387,"0")+IFERROR(Y388/H388,"0")</f>
        <v>10</v>
      </c>
      <c r="Z389" s="43">
        <f>IFERROR(IF(Z385="",0,Z385),"0")+IFERROR(IF(Z386="",0,Z386),"0")+IFERROR(IF(Z387="",0,Z387),"0")+IFERROR(IF(Z388="",0,Z388),"0")</f>
        <v>9.0200000000000002E-2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30</v>
      </c>
      <c r="Y390" s="43">
        <f>IFERROR(SUM(Y385:Y388),"0")</f>
        <v>30.4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50</v>
      </c>
      <c r="Y392" s="55">
        <f>IFERROR(IF(X392="",0,CEILING((X392/$H392),1)*$H392),"")</f>
        <v>50</v>
      </c>
      <c r="Z392" s="41">
        <f>IFERROR(IF(Y392=0,"",ROUNDUP(Y392/H392,0)*0.00474),"")</f>
        <v>0.11850000000000001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56.000000000000007</v>
      </c>
      <c r="BN392" s="78">
        <f>IFERROR(Y392*I392/H392,"0")</f>
        <v>56.000000000000007</v>
      </c>
      <c r="BO392" s="78">
        <f>IFERROR(1/J392*(X392/H392),"0")</f>
        <v>0.10504201680672269</v>
      </c>
      <c r="BP392" s="78">
        <f>IFERROR(1/J392*(Y392/H392),"0")</f>
        <v>0.10504201680672269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25</v>
      </c>
      <c r="Y395" s="43">
        <f>IFERROR(Y392/H392,"0")+IFERROR(Y393/H393,"0")+IFERROR(Y394/H394,"0")</f>
        <v>25</v>
      </c>
      <c r="Z395" s="43">
        <f>IFERROR(IF(Z392="",0,Z392),"0")+IFERROR(IF(Z393="",0,Z393),"0")+IFERROR(IF(Z394="",0,Z394),"0")</f>
        <v>0.11850000000000001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50</v>
      </c>
      <c r="Y396" s="43">
        <f>IFERROR(SUM(Y392:Y394),"0")</f>
        <v>50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700</v>
      </c>
      <c r="Y400" s="55">
        <f>IFERROR(IF(X400="",0,CEILING((X400/$H400),1)*$H400),"")</f>
        <v>701.4</v>
      </c>
      <c r="Z400" s="41">
        <f>IFERROR(IF(Y400=0,"",ROUNDUP(Y400/H400,0)*0.00651),"")</f>
        <v>2.1743399999999999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783.99999999999989</v>
      </c>
      <c r="BN400" s="78">
        <f>IFERROR(Y400*I400/H400,"0")</f>
        <v>785.56799999999987</v>
      </c>
      <c r="BO400" s="78">
        <f>IFERROR(1/J400*(X400/H400),"0")</f>
        <v>1.8315018315018314</v>
      </c>
      <c r="BP400" s="78">
        <f>IFERROR(1/J400*(Y400/H400),"0")</f>
        <v>1.8351648351648353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385</v>
      </c>
      <c r="Y401" s="55">
        <f>IFERROR(IF(X401="",0,CEILING((X401/$H401),1)*$H401),"")</f>
        <v>386.40000000000003</v>
      </c>
      <c r="Z401" s="41">
        <f>IFERROR(IF(Y401=0,"",ROUNDUP(Y401/H401,0)*0.00651),"")</f>
        <v>1.19784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428.99999999999994</v>
      </c>
      <c r="BN401" s="78">
        <f>IFERROR(Y401*I401/H401,"0")</f>
        <v>430.56</v>
      </c>
      <c r="BO401" s="78">
        <f>IFERROR(1/J401*(X401/H401),"0")</f>
        <v>1.0073260073260073</v>
      </c>
      <c r="BP401" s="78">
        <f>IFERROR(1/J401*(Y401/H401),"0")</f>
        <v>1.0109890109890112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516.66666666666663</v>
      </c>
      <c r="Y402" s="43">
        <f>IFERROR(Y399/H399,"0")+IFERROR(Y400/H400,"0")+IFERROR(Y401/H401,"0")</f>
        <v>518</v>
      </c>
      <c r="Z402" s="43">
        <f>IFERROR(IF(Z399="",0,Z399),"0")+IFERROR(IF(Z400="",0,Z400),"0")+IFERROR(IF(Z401="",0,Z401),"0")</f>
        <v>3.3721800000000002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1085</v>
      </c>
      <c r="Y403" s="43">
        <f>IFERROR(SUM(Y399:Y401),"0")</f>
        <v>1087.8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57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154.69999999999999</v>
      </c>
      <c r="BN407" s="78">
        <f t="shared" ref="BN407:BN414" si="59">IFERROR(Y407*I407/H407,"0")</f>
        <v>154.69999999999999</v>
      </c>
      <c r="BO407" s="78">
        <f t="shared" ref="BO407:BO414" si="60">IFERROR(1/J407*(X407/H407),"0")</f>
        <v>0.20833333333333331</v>
      </c>
      <c r="BP407" s="78">
        <f t="shared" ref="BP407:BP414" si="61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1600</v>
      </c>
      <c r="Y408" s="55">
        <f t="shared" si="57"/>
        <v>1605</v>
      </c>
      <c r="Z408" s="41">
        <f>IFERROR(IF(Y408=0,"",ROUNDUP(Y408/H408,0)*0.02175),"")</f>
        <v>2.3272499999999998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1650.1333333333334</v>
      </c>
      <c r="BN408" s="78">
        <f t="shared" si="59"/>
        <v>1655.2900000000002</v>
      </c>
      <c r="BO408" s="78">
        <f t="shared" si="60"/>
        <v>2.2222222222222223</v>
      </c>
      <c r="BP408" s="78">
        <f t="shared" si="61"/>
        <v>2.2291666666666665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800</v>
      </c>
      <c r="Y409" s="55">
        <f t="shared" si="57"/>
        <v>810</v>
      </c>
      <c r="Z409" s="41">
        <f>IFERROR(IF(Y409=0,"",ROUNDUP(Y409/H409,0)*0.02175),"")</f>
        <v>1.1744999999999999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825.06666666666672</v>
      </c>
      <c r="BN409" s="78">
        <f t="shared" si="59"/>
        <v>835.38</v>
      </c>
      <c r="BO409" s="78">
        <f t="shared" si="60"/>
        <v>1.1111111111111112</v>
      </c>
      <c r="BP409" s="78">
        <f t="shared" si="61"/>
        <v>1.125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900</v>
      </c>
      <c r="Y410" s="55">
        <f t="shared" si="57"/>
        <v>900</v>
      </c>
      <c r="Z410" s="41">
        <f>IFERROR(IF(Y410=0,"",ROUNDUP(Y410/H410,0)*0.02175),"")</f>
        <v>1.3049999999999999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928.2</v>
      </c>
      <c r="BN410" s="78">
        <f t="shared" si="59"/>
        <v>928.2</v>
      </c>
      <c r="BO410" s="78">
        <f t="shared" si="60"/>
        <v>1.25</v>
      </c>
      <c r="BP410" s="78">
        <f t="shared" si="61"/>
        <v>1.25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600</v>
      </c>
      <c r="Y411" s="55">
        <f t="shared" si="57"/>
        <v>600</v>
      </c>
      <c r="Z411" s="41">
        <f>IFERROR(IF(Y411=0,"",ROUNDUP(Y411/H411,0)*0.02175),"")</f>
        <v>0.86999999999999988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618.79999999999995</v>
      </c>
      <c r="BN411" s="78">
        <f t="shared" si="59"/>
        <v>618.79999999999995</v>
      </c>
      <c r="BO411" s="78">
        <f t="shared" si="60"/>
        <v>0.83333333333333326</v>
      </c>
      <c r="BP411" s="78">
        <f t="shared" si="61"/>
        <v>0.83333333333333326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270</v>
      </c>
      <c r="Y415" s="43">
        <f>IFERROR(Y407/H407,"0")+IFERROR(Y408/H408,"0")+IFERROR(Y409/H409,"0")+IFERROR(Y410/H410,"0")+IFERROR(Y411/H411,"0")+IFERROR(Y412/H412,"0")+IFERROR(Y413/H413,"0")+IFERROR(Y414/H414,"0")</f>
        <v>271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5.8942499999999995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4050</v>
      </c>
      <c r="Y416" s="43">
        <f>IFERROR(SUM(Y407:Y414),"0")</f>
        <v>4065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2600</v>
      </c>
      <c r="Y418" s="55">
        <f>IFERROR(IF(X418="",0,CEILING((X418/$H418),1)*$H418),"")</f>
        <v>2610</v>
      </c>
      <c r="Z418" s="41">
        <f>IFERROR(IF(Y418=0,"",ROUNDUP(Y418/H418,0)*0.02175),"")</f>
        <v>3.7844999999999995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2681.4666666666667</v>
      </c>
      <c r="BN418" s="78">
        <f>IFERROR(Y418*I418/H418,"0")</f>
        <v>2691.78</v>
      </c>
      <c r="BO418" s="78">
        <f>IFERROR(1/J418*(X418/H418),"0")</f>
        <v>3.6111111111111112</v>
      </c>
      <c r="BP418" s="78">
        <f>IFERROR(1/J418*(Y418/H418),"0")</f>
        <v>3.625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50</v>
      </c>
      <c r="Y419" s="55">
        <f>IFERROR(IF(X419="",0,CEILING((X419/$H419),1)*$H419),"")</f>
        <v>60</v>
      </c>
      <c r="Z419" s="41">
        <f>IFERROR(IF(Y419=0,"",ROUNDUP(Y419/H419,0)*0.02175),"")</f>
        <v>8.6999999999999994E-2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51.56666666666667</v>
      </c>
      <c r="BN419" s="78">
        <f>IFERROR(Y419*I419/H419,"0")</f>
        <v>61.88</v>
      </c>
      <c r="BO419" s="78">
        <f>IFERROR(1/J419*(X419/H419),"0")</f>
        <v>6.9444444444444448E-2</v>
      </c>
      <c r="BP419" s="78">
        <f>IFERROR(1/J419*(Y419/H419),"0")</f>
        <v>8.3333333333333329E-2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176.66666666666669</v>
      </c>
      <c r="Y421" s="43">
        <f>IFERROR(Y418/H418,"0")+IFERROR(Y419/H419,"0")+IFERROR(Y420/H420,"0")</f>
        <v>178</v>
      </c>
      <c r="Z421" s="43">
        <f>IFERROR(IF(Z418="",0,Z418),"0")+IFERROR(IF(Z419="",0,Z419),"0")+IFERROR(IF(Z420="",0,Z420),"0")</f>
        <v>3.8714999999999997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2650</v>
      </c>
      <c r="Y422" s="43">
        <f>IFERROR(SUM(Y418:Y420),"0")</f>
        <v>2670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50</v>
      </c>
      <c r="Y429" s="55">
        <f>IFERROR(IF(X429="",0,CEILING((X429/$H429),1)*$H429),"")</f>
        <v>54</v>
      </c>
      <c r="Z429" s="41">
        <f>IFERROR(IF(Y429=0,"",ROUNDUP(Y429/H429,0)*0.01898),"")</f>
        <v>0.11388000000000001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52.74444444444444</v>
      </c>
      <c r="BN429" s="78">
        <f>IFERROR(Y429*I429/H429,"0")</f>
        <v>56.963999999999992</v>
      </c>
      <c r="BO429" s="78">
        <f>IFERROR(1/J429*(X429/H429),"0")</f>
        <v>8.6805555555555552E-2</v>
      </c>
      <c r="BP429" s="78">
        <f>IFERROR(1/J429*(Y429/H429),"0")</f>
        <v>9.375E-2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5.5555555555555554</v>
      </c>
      <c r="Y430" s="43">
        <f>IFERROR(Y429/H429,"0")</f>
        <v>6</v>
      </c>
      <c r="Z430" s="43">
        <f>IFERROR(IF(Z429="",0,Z429),"0")</f>
        <v>0.11388000000000001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50</v>
      </c>
      <c r="Y431" s="43">
        <f>IFERROR(SUM(Y429:Y429),"0")</f>
        <v>54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50</v>
      </c>
      <c r="Y434" s="55">
        <f>IFERROR(IF(X434="",0,CEILING((X434/$H434),1)*$H434),"")</f>
        <v>60</v>
      </c>
      <c r="Z434" s="41">
        <f>IFERROR(IF(Y434=0,"",ROUNDUP(Y434/H434,0)*0.01898),"")</f>
        <v>9.4899999999999998E-2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51.708333333333336</v>
      </c>
      <c r="BN434" s="78">
        <f>IFERROR(Y434*I434/H434,"0")</f>
        <v>62.050000000000004</v>
      </c>
      <c r="BO434" s="78">
        <f>IFERROR(1/J434*(X434/H434),"0")</f>
        <v>6.5104166666666671E-2</v>
      </c>
      <c r="BP434" s="78">
        <f>IFERROR(1/J434*(Y434/H434),"0")</f>
        <v>7.8125E-2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4.166666666666667</v>
      </c>
      <c r="Y436" s="43">
        <f>IFERROR(Y434/H434,"0")+IFERROR(Y435/H435,"0")</f>
        <v>5</v>
      </c>
      <c r="Z436" s="43">
        <f>IFERROR(IF(Z434="",0,Z434),"0")+IFERROR(IF(Z435="",0,Z435),"0")</f>
        <v>9.4899999999999998E-2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50</v>
      </c>
      <c r="Y437" s="43">
        <f>IFERROR(SUM(Y434:Y435),"0")</f>
        <v>60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5.5555555555555554</v>
      </c>
      <c r="Y446" s="43">
        <f>IFERROR(Y443/H443,"0")+IFERROR(Y444/H444,"0")+IFERROR(Y445/H445,"0")</f>
        <v>6</v>
      </c>
      <c r="Z446" s="43">
        <f>IFERROR(IF(Z443="",0,Z443),"0")+IFERROR(IF(Z444="",0,Z444),"0")+IFERROR(IF(Z445="",0,Z445),"0")</f>
        <v>0.11388000000000001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50</v>
      </c>
      <c r="Y447" s="43">
        <f>IFERROR(SUM(Y443:Y445),"0")</f>
        <v>54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7</v>
      </c>
      <c r="Y455" s="55">
        <f t="shared" si="62"/>
        <v>8.4</v>
      </c>
      <c r="Z455" s="41">
        <f>IFERROR(IF(Y455=0,"",ROUNDUP(Y455/H455,0)*0.00502),"")</f>
        <v>2.0080000000000001E-2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7.4333333333333327</v>
      </c>
      <c r="BN455" s="78">
        <f t="shared" si="64"/>
        <v>8.92</v>
      </c>
      <c r="BO455" s="78">
        <f t="shared" si="65"/>
        <v>1.4245014245014245E-2</v>
      </c>
      <c r="BP455" s="78">
        <f t="shared" si="66"/>
        <v>1.7094017094017096E-2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3.333333333333333</v>
      </c>
      <c r="Y457" s="43">
        <f>IFERROR(Y451/H451,"0")+IFERROR(Y452/H452,"0")+IFERROR(Y453/H453,"0")+IFERROR(Y454/H454,"0")+IFERROR(Y455/H455,"0")+IFERROR(Y456/H456,"0")</f>
        <v>4</v>
      </c>
      <c r="Z457" s="43">
        <f>IFERROR(IF(Z451="",0,Z451),"0")+IFERROR(IF(Z452="",0,Z452),"0")+IFERROR(IF(Z453="",0,Z453),"0")+IFERROR(IF(Z454="",0,Z454),"0")+IFERROR(IF(Z455="",0,Z455),"0")+IFERROR(IF(Z456="",0,Z456),"0")</f>
        <v>2.0080000000000001E-2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7</v>
      </c>
      <c r="Y458" s="43">
        <f>IFERROR(SUM(Y451:Y456),"0")</f>
        <v>8.4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7</v>
      </c>
      <c r="Y472" s="55">
        <f>IFERROR(IF(X472="",0,CEILING((X472/$H472),1)*$H472),"")</f>
        <v>8.4</v>
      </c>
      <c r="Z472" s="41">
        <f>IFERROR(IF(Y472=0,"",ROUNDUP(Y472/H472,0)*0.00502),"")</f>
        <v>2.0080000000000001E-2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7.4333333333333327</v>
      </c>
      <c r="BN472" s="78">
        <f>IFERROR(Y472*I472/H472,"0")</f>
        <v>8.92</v>
      </c>
      <c r="BO472" s="78">
        <f>IFERROR(1/J472*(X472/H472),"0")</f>
        <v>1.4245014245014245E-2</v>
      </c>
      <c r="BP472" s="78">
        <f>IFERROR(1/J472*(Y472/H472),"0")</f>
        <v>1.7094017094017096E-2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3.333333333333333</v>
      </c>
      <c r="Y473" s="43">
        <f>IFERROR(Y470/H470,"0")+IFERROR(Y471/H471,"0")+IFERROR(Y472/H472,"0")</f>
        <v>4</v>
      </c>
      <c r="Z473" s="43">
        <f>IFERROR(IF(Z470="",0,Z470),"0")+IFERROR(IF(Z471="",0,Z471),"0")+IFERROR(IF(Z472="",0,Z472),"0")</f>
        <v>2.0080000000000001E-2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7</v>
      </c>
      <c r="Y474" s="43">
        <f>IFERROR(SUM(Y470:Y472),"0")</f>
        <v>8.4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80</v>
      </c>
      <c r="Y478" s="55">
        <f t="shared" ref="Y478:Y486" si="67">IFERROR(IF(X478="",0,CEILING((X478/$H478),1)*$H478),"")</f>
        <v>84.48</v>
      </c>
      <c r="Z478" s="41">
        <f t="shared" ref="Z478:Z483" si="68">IFERROR(IF(Y478=0,"",ROUNDUP(Y478/H478,0)*0.01196),"")</f>
        <v>0.19136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85.303030303030297</v>
      </c>
      <c r="BN478" s="78">
        <f t="shared" ref="BN478:BN486" si="70">IFERROR(Y478*I478/H478,"0")</f>
        <v>90.08</v>
      </c>
      <c r="BO478" s="78">
        <f t="shared" ref="BO478:BO486" si="71">IFERROR(1/J478*(X478/H478),"0")</f>
        <v>0.14568764568764569</v>
      </c>
      <c r="BP478" s="78">
        <f t="shared" ref="BP478:BP486" si="72">IFERROR(1/J478*(Y478/H478),"0")</f>
        <v>0.15384615384615385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30</v>
      </c>
      <c r="Y481" s="55">
        <f t="shared" si="67"/>
        <v>31.68</v>
      </c>
      <c r="Z481" s="41">
        <f t="shared" si="68"/>
        <v>7.1760000000000004E-2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31.988636363636363</v>
      </c>
      <c r="BN481" s="78">
        <f t="shared" si="70"/>
        <v>33.779999999999994</v>
      </c>
      <c r="BO481" s="78">
        <f t="shared" si="71"/>
        <v>5.4632867132867136E-2</v>
      </c>
      <c r="BP481" s="78">
        <f t="shared" si="72"/>
        <v>5.7692307692307696E-2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250</v>
      </c>
      <c r="Y483" s="55">
        <f t="shared" si="67"/>
        <v>253.44</v>
      </c>
      <c r="Z483" s="41">
        <f t="shared" si="68"/>
        <v>0.57408000000000003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266.57196969696969</v>
      </c>
      <c r="BN483" s="78">
        <f t="shared" si="70"/>
        <v>270.23999999999995</v>
      </c>
      <c r="BO483" s="78">
        <f t="shared" si="71"/>
        <v>0.45527389277389274</v>
      </c>
      <c r="BP483" s="78">
        <f t="shared" si="72"/>
        <v>0.46153846153846156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42</v>
      </c>
      <c r="Y485" s="55">
        <f t="shared" si="67"/>
        <v>43.199999999999996</v>
      </c>
      <c r="Z485" s="41">
        <f>IFERROR(IF(Y485=0,"",ROUNDUP(Y485/H485,0)*0.00902),"")</f>
        <v>8.1180000000000002E-2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60.462500000000006</v>
      </c>
      <c r="BN485" s="78">
        <f t="shared" si="70"/>
        <v>62.190000000000005</v>
      </c>
      <c r="BO485" s="78">
        <f t="shared" si="71"/>
        <v>6.6287878787878785E-2</v>
      </c>
      <c r="BP485" s="78">
        <f t="shared" si="72"/>
        <v>6.8181818181818177E-2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132</v>
      </c>
      <c r="Y486" s="55">
        <f t="shared" si="67"/>
        <v>134.4</v>
      </c>
      <c r="Z486" s="41">
        <f>IFERROR(IF(Y486=0,"",ROUNDUP(Y486/H486,0)*0.00902),"")</f>
        <v>0.25256000000000001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190.02500000000001</v>
      </c>
      <c r="BN486" s="78">
        <f t="shared" si="70"/>
        <v>193.48000000000002</v>
      </c>
      <c r="BO486" s="78">
        <f t="shared" si="71"/>
        <v>0.20833333333333334</v>
      </c>
      <c r="BP486" s="78">
        <f t="shared" si="72"/>
        <v>0.21212121212121215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104.43181818181817</v>
      </c>
      <c r="Y487" s="43">
        <f>IFERROR(Y478/H478,"0")+IFERROR(Y479/H479,"0")+IFERROR(Y480/H480,"0")+IFERROR(Y481/H481,"0")+IFERROR(Y482/H482,"0")+IFERROR(Y483/H483,"0")+IFERROR(Y484/H484,"0")+IFERROR(Y485/H485,"0")+IFERROR(Y486/H486,"0")</f>
        <v>107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1.1709400000000001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534</v>
      </c>
      <c r="Y488" s="43">
        <f>IFERROR(SUM(Y478:Y486),"0")</f>
        <v>547.20000000000005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300</v>
      </c>
      <c r="Y490" s="55">
        <f>IFERROR(IF(X490="",0,CEILING((X490/$H490),1)*$H490),"")</f>
        <v>300.96000000000004</v>
      </c>
      <c r="Z490" s="41">
        <f>IFERROR(IF(Y490=0,"",ROUNDUP(Y490/H490,0)*0.01196),"")</f>
        <v>0.68171999999999999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319.88636363636363</v>
      </c>
      <c r="BN490" s="78">
        <f>IFERROR(Y490*I490/H490,"0")</f>
        <v>320.91000000000003</v>
      </c>
      <c r="BO490" s="78">
        <f>IFERROR(1/J490*(X490/H490),"0")</f>
        <v>0.54632867132867136</v>
      </c>
      <c r="BP490" s="78">
        <f>IFERROR(1/J490*(Y490/H490),"0")</f>
        <v>0.54807692307692313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90</v>
      </c>
      <c r="Y492" s="55">
        <f>IFERROR(IF(X492="",0,CEILING((X492/$H492),1)*$H492),"")</f>
        <v>91.2</v>
      </c>
      <c r="Z492" s="41">
        <f>IFERROR(IF(Y492=0,"",ROUNDUP(Y492/H492,0)*0.00902),"")</f>
        <v>0.17138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129.5625</v>
      </c>
      <c r="BN492" s="78">
        <f>IFERROR(Y492*I492/H492,"0")</f>
        <v>131.29000000000002</v>
      </c>
      <c r="BO492" s="78">
        <f>IFERROR(1/J492*(X492/H492),"0")</f>
        <v>0.14204545454545456</v>
      </c>
      <c r="BP492" s="78">
        <f>IFERROR(1/J492*(Y492/H492),"0")</f>
        <v>0.14393939393939395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75.568181818181813</v>
      </c>
      <c r="Y493" s="43">
        <f>IFERROR(Y490/H490,"0")+IFERROR(Y491/H491,"0")+IFERROR(Y492/H492,"0")</f>
        <v>76</v>
      </c>
      <c r="Z493" s="43">
        <f>IFERROR(IF(Z490="",0,Z490),"0")+IFERROR(IF(Z491="",0,Z491),"0")+IFERROR(IF(Z492="",0,Z492),"0")</f>
        <v>0.85309999999999997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390</v>
      </c>
      <c r="Y494" s="43">
        <f>IFERROR(SUM(Y490:Y492),"0")</f>
        <v>392.16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20</v>
      </c>
      <c r="Y496" s="55">
        <f t="shared" ref="Y496:Y502" si="73">IFERROR(IF(X496="",0,CEILING((X496/$H496),1)*$H496),"")</f>
        <v>21.12</v>
      </c>
      <c r="Z496" s="41">
        <f>IFERROR(IF(Y496=0,"",ROUNDUP(Y496/H496,0)*0.01196),"")</f>
        <v>4.7840000000000001E-2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21.325757575757574</v>
      </c>
      <c r="BN496" s="78">
        <f t="shared" ref="BN496:BN502" si="75">IFERROR(Y496*I496/H496,"0")</f>
        <v>22.52</v>
      </c>
      <c r="BO496" s="78">
        <f t="shared" ref="BO496:BO502" si="76">IFERROR(1/J496*(X496/H496),"0")</f>
        <v>3.6421911421911424E-2</v>
      </c>
      <c r="BP496" s="78">
        <f t="shared" ref="BP496:BP502" si="77">IFERROR(1/J496*(Y496/H496),"0")</f>
        <v>3.8461538461538464E-2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3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21.325757575757574</v>
      </c>
      <c r="BN497" s="78">
        <f t="shared" si="75"/>
        <v>22.52</v>
      </c>
      <c r="BO497" s="78">
        <f t="shared" si="76"/>
        <v>3.6421911421911424E-2</v>
      </c>
      <c r="BP497" s="78">
        <f t="shared" si="77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200</v>
      </c>
      <c r="Y498" s="55">
        <f t="shared" si="73"/>
        <v>200.64000000000001</v>
      </c>
      <c r="Z498" s="41">
        <f>IFERROR(IF(Y498=0,"",ROUNDUP(Y498/H498,0)*0.01196),"")</f>
        <v>0.45448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213.25757575757575</v>
      </c>
      <c r="BN498" s="78">
        <f t="shared" si="75"/>
        <v>213.94</v>
      </c>
      <c r="BO498" s="78">
        <f t="shared" si="76"/>
        <v>0.36421911421911418</v>
      </c>
      <c r="BP498" s="78">
        <f t="shared" si="77"/>
        <v>0.36538461538461542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72</v>
      </c>
      <c r="Y502" s="55">
        <f t="shared" si="73"/>
        <v>72</v>
      </c>
      <c r="Z502" s="41">
        <f>IFERROR(IF(Y502=0,"",ROUNDUP(Y502/H502,0)*0.00902),"")</f>
        <v>0.1353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100.05000000000001</v>
      </c>
      <c r="BN502" s="78">
        <f t="shared" si="75"/>
        <v>100.05000000000001</v>
      </c>
      <c r="BO502" s="78">
        <f t="shared" si="76"/>
        <v>0.11363636363636365</v>
      </c>
      <c r="BP502" s="78">
        <f t="shared" si="77"/>
        <v>0.11363636363636365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60.454545454545453</v>
      </c>
      <c r="Y503" s="43">
        <f>IFERROR(Y496/H496,"0")+IFERROR(Y497/H497,"0")+IFERROR(Y498/H498,"0")+IFERROR(Y499/H499,"0")+IFERROR(Y500/H500,"0")+IFERROR(Y501/H501,"0")+IFERROR(Y502/H502,"0")</f>
        <v>61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0.68545999999999996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312</v>
      </c>
      <c r="Y504" s="43">
        <f>IFERROR(SUM(Y496:Y502),"0")</f>
        <v>314.88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900</v>
      </c>
      <c r="Y521" s="55">
        <f>IFERROR(IF(X521="",0,CEILING((X521/$H521),1)*$H521),"")</f>
        <v>900</v>
      </c>
      <c r="Z521" s="41">
        <f>IFERROR(IF(Y521=0,"",ROUNDUP(Y521/H521,0)*0.01898),"")</f>
        <v>1.8980000000000001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949.40000000000009</v>
      </c>
      <c r="BN521" s="78">
        <f>IFERROR(Y521*I521/H521,"0")</f>
        <v>949.40000000000009</v>
      </c>
      <c r="BO521" s="78">
        <f>IFERROR(1/J521*(X521/H521),"0")</f>
        <v>1.5625</v>
      </c>
      <c r="BP521" s="78">
        <f>IFERROR(1/J521*(Y521/H521),"0")</f>
        <v>1.5625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100</v>
      </c>
      <c r="Y522" s="43">
        <f>IFERROR(Y521/H521,"0")</f>
        <v>100</v>
      </c>
      <c r="Z522" s="43">
        <f>IFERROR(IF(Z521="",0,Z521),"0")</f>
        <v>1.8980000000000001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900</v>
      </c>
      <c r="Y523" s="43">
        <f>IFERROR(SUM(Y521:Y521),"0")</f>
        <v>900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17666.900000000001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17862.260000000002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18755.134792658551</v>
      </c>
      <c r="Y535" s="43">
        <f>IFERROR(SUM(BN22:BN531),"0")</f>
        <v>18962.949000000001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32</v>
      </c>
      <c r="Y536" s="44">
        <f>ROUNDUP(SUM(BP22:BP531),0)</f>
        <v>32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19555.134792658551</v>
      </c>
      <c r="Y537" s="43">
        <f>GrossWeightTotalR+PalletQtyTotalR*25</f>
        <v>19762.949000000001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3419.4535493130475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3456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36.522390000000001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231.20000000000002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329.09999999999997</v>
      </c>
      <c r="F544" s="52">
        <f>IFERROR(Y88*1,"0")+IFERROR(Y89*1,"0")+IFERROR(Y90*1,"0")+IFERROR(Y91*1,"0")+IFERROR(Y95*1,"0")+IFERROR(Y96*1,"0")+IFERROR(Y97*1,"0")+IFERROR(Y98*1,"0")</f>
        <v>714.6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820.26</v>
      </c>
      <c r="H544" s="52">
        <f>IFERROR(Y134*1,"0")+IFERROR(Y135*1,"0")+IFERROR(Y139*1,"0")+IFERROR(Y140*1,"0")+IFERROR(Y144*1,"0")+IFERROR(Y145*1,"0")</f>
        <v>164.16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969.36000000000013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364.84000000000009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1896.8999999999999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170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201.6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585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1253.4000000000001</v>
      </c>
      <c r="U544" s="52">
        <f>IFERROR(Y399*1,"0")+IFERROR(Y400*1,"0")+IFERROR(Y401*1,"0")</f>
        <v>1087.8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6789</v>
      </c>
      <c r="W544" s="52">
        <f>IFERROR(Y434*1,"0")+IFERROR(Y435*1,"0")+IFERROR(Y439*1,"0")+IFERROR(Y443*1,"0")+IFERROR(Y444*1,"0")+IFERROR(Y445*1,"0")</f>
        <v>114</v>
      </c>
      <c r="X544" s="52">
        <f>IFERROR(Y451*1,"0")+IFERROR(Y452*1,"0")+IFERROR(Y453*1,"0")+IFERROR(Y454*1,"0")+IFERROR(Y455*1,"0")+IFERROR(Y456*1,"0")+IFERROR(Y460*1,"0")+IFERROR(Y461*1,"0")</f>
        <v>8.4</v>
      </c>
      <c r="Y544" s="52">
        <f>IFERROR(Y466*1,"0")+IFERROR(Y470*1,"0")+IFERROR(Y471*1,"0")+IFERROR(Y472*1,"0")</f>
        <v>8.4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1254.2400000000002</v>
      </c>
      <c r="AA544" s="52">
        <f>IFERROR(Y508*1,"0")+IFERROR(Y512*1,"0")+IFERROR(Y516*1,"0")+IFERROR(Y517*1,"0")+IFERROR(Y521*1,"0")+IFERROR(Y525*1,"0")+IFERROR(Y526*1,"0")</f>
        <v>900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5,00"/>
        <filter val="1 600,00"/>
        <filter val="100,00"/>
        <filter val="104,43"/>
        <filter val="105,00"/>
        <filter val="11,20"/>
        <filter val="112,00"/>
        <filter val="12,00"/>
        <filter val="120,00"/>
        <filter val="120,37"/>
        <filter val="122,00"/>
        <filter val="132,00"/>
        <filter val="140,00"/>
        <filter val="15,00"/>
        <filter val="150,00"/>
        <filter val="159,24"/>
        <filter val="16,67"/>
        <filter val="160,00"/>
        <filter val="161,05"/>
        <filter val="17 666,90"/>
        <filter val="175,00"/>
        <filter val="176,67"/>
        <filter val="18 755,13"/>
        <filter val="18,75"/>
        <filter val="18,89"/>
        <filter val="180,00"/>
        <filter val="19 555,13"/>
        <filter val="190,00"/>
        <filter val="2 600,00"/>
        <filter val="2 650,00"/>
        <filter val="2,70"/>
        <filter val="20,00"/>
        <filter val="200,00"/>
        <filter val="21,00"/>
        <filter val="220,00"/>
        <filter val="225,00"/>
        <filter val="230,00"/>
        <filter val="24,00"/>
        <filter val="25,00"/>
        <filter val="25,59"/>
        <filter val="250,00"/>
        <filter val="27,78"/>
        <filter val="270,00"/>
        <filter val="278,74"/>
        <filter val="287,04"/>
        <filter val="29,00"/>
        <filter val="29,26"/>
        <filter val="3 419,45"/>
        <filter val="3,33"/>
        <filter val="3,60"/>
        <filter val="3,85"/>
        <filter val="30,00"/>
        <filter val="300,00"/>
        <filter val="312,00"/>
        <filter val="32"/>
        <filter val="32,00"/>
        <filter val="320,00"/>
        <filter val="33,00"/>
        <filter val="33,60"/>
        <filter val="33,89"/>
        <filter val="336,67"/>
        <filter val="341,20"/>
        <filter val="385,00"/>
        <filter val="390,00"/>
        <filter val="4 050,00"/>
        <filter val="4,17"/>
        <filter val="4,20"/>
        <filter val="4,63"/>
        <filter val="4,80"/>
        <filter val="40,00"/>
        <filter val="400,00"/>
        <filter val="42,00"/>
        <filter val="450,00"/>
        <filter val="49,50"/>
        <filter val="5,00"/>
        <filter val="5,56"/>
        <filter val="50,00"/>
        <filter val="516,67"/>
        <filter val="52,50"/>
        <filter val="525,00"/>
        <filter val="534,00"/>
        <filter val="55,00"/>
        <filter val="570,00"/>
        <filter val="6,40"/>
        <filter val="6,67"/>
        <filter val="60,00"/>
        <filter val="60,45"/>
        <filter val="600,00"/>
        <filter val="61,60"/>
        <filter val="67,50"/>
        <filter val="691,00"/>
        <filter val="7,00"/>
        <filter val="70,00"/>
        <filter val="700,00"/>
        <filter val="72,00"/>
        <filter val="73,08"/>
        <filter val="75,57"/>
        <filter val="8,89"/>
        <filter val="80,00"/>
        <filter val="800,00"/>
        <filter val="83,33"/>
        <filter val="84,00"/>
        <filter val="850,00"/>
        <filter val="890,00"/>
        <filter val="9,87"/>
        <filter val="90,00"/>
        <filter val="900,00"/>
        <filter val="91,67"/>
        <filter val="910,00"/>
        <filter val="958,20"/>
        <filter val="97,5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