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F3711F-996D-4D56-BA1F-8BA1617BAA5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BN533" i="1" s="1"/>
  <c r="P533" i="1"/>
  <c r="BO532" i="1"/>
  <c r="BM532" i="1"/>
  <c r="Y532" i="1"/>
  <c r="P532" i="1"/>
  <c r="X530" i="1"/>
  <c r="Y529" i="1"/>
  <c r="X529" i="1"/>
  <c r="BO528" i="1"/>
  <c r="BM528" i="1"/>
  <c r="Y528" i="1"/>
  <c r="BN528" i="1" s="1"/>
  <c r="P528" i="1"/>
  <c r="X526" i="1"/>
  <c r="X525" i="1"/>
  <c r="BO524" i="1"/>
  <c r="BM524" i="1"/>
  <c r="Y524" i="1"/>
  <c r="BN524" i="1" s="1"/>
  <c r="P524" i="1"/>
  <c r="BO523" i="1"/>
  <c r="BM523" i="1"/>
  <c r="Y523" i="1"/>
  <c r="Y526" i="1" s="1"/>
  <c r="P523" i="1"/>
  <c r="Y521" i="1"/>
  <c r="X521" i="1"/>
  <c r="Y520" i="1"/>
  <c r="X520" i="1"/>
  <c r="BO519" i="1"/>
  <c r="BM519" i="1"/>
  <c r="Y519" i="1"/>
  <c r="BP519" i="1" s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BN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BO503" i="1"/>
  <c r="BM503" i="1"/>
  <c r="Z503" i="1"/>
  <c r="Y503" i="1"/>
  <c r="BN503" i="1" s="1"/>
  <c r="P503" i="1"/>
  <c r="X501" i="1"/>
  <c r="X500" i="1"/>
  <c r="BO499" i="1"/>
  <c r="BM499" i="1"/>
  <c r="Y499" i="1"/>
  <c r="BN499" i="1" s="1"/>
  <c r="P499" i="1"/>
  <c r="BO498" i="1"/>
  <c r="BM498" i="1"/>
  <c r="Y498" i="1"/>
  <c r="P498" i="1"/>
  <c r="BO497" i="1"/>
  <c r="BM497" i="1"/>
  <c r="Y497" i="1"/>
  <c r="BN497" i="1" s="1"/>
  <c r="P497" i="1"/>
  <c r="X495" i="1"/>
  <c r="X494" i="1"/>
  <c r="BO493" i="1"/>
  <c r="BM493" i="1"/>
  <c r="Y493" i="1"/>
  <c r="BP493" i="1" s="1"/>
  <c r="P493" i="1"/>
  <c r="BO492" i="1"/>
  <c r="BM492" i="1"/>
  <c r="Y492" i="1"/>
  <c r="P492" i="1"/>
  <c r="BO491" i="1"/>
  <c r="BM491" i="1"/>
  <c r="Y491" i="1"/>
  <c r="BN491" i="1" s="1"/>
  <c r="P491" i="1"/>
  <c r="BO490" i="1"/>
  <c r="BM490" i="1"/>
  <c r="Y490" i="1"/>
  <c r="P490" i="1"/>
  <c r="BO489" i="1"/>
  <c r="BM489" i="1"/>
  <c r="Y489" i="1"/>
  <c r="BP489" i="1" s="1"/>
  <c r="P489" i="1"/>
  <c r="BO488" i="1"/>
  <c r="BM488" i="1"/>
  <c r="Y488" i="1"/>
  <c r="P488" i="1"/>
  <c r="BO487" i="1"/>
  <c r="BM487" i="1"/>
  <c r="Z487" i="1"/>
  <c r="Y487" i="1"/>
  <c r="BN487" i="1" s="1"/>
  <c r="P487" i="1"/>
  <c r="BO486" i="1"/>
  <c r="BM486" i="1"/>
  <c r="Y486" i="1"/>
  <c r="P486" i="1"/>
  <c r="BO485" i="1"/>
  <c r="BM485" i="1"/>
  <c r="Y485" i="1"/>
  <c r="BP485" i="1" s="1"/>
  <c r="P485" i="1"/>
  <c r="X481" i="1"/>
  <c r="X480" i="1"/>
  <c r="BO479" i="1"/>
  <c r="BM479" i="1"/>
  <c r="Y479" i="1"/>
  <c r="BP479" i="1" s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BN468" i="1" s="1"/>
  <c r="P468" i="1"/>
  <c r="BO467" i="1"/>
  <c r="BM467" i="1"/>
  <c r="Y467" i="1"/>
  <c r="BN467" i="1" s="1"/>
  <c r="P467" i="1"/>
  <c r="X465" i="1"/>
  <c r="X464" i="1"/>
  <c r="BO463" i="1"/>
  <c r="BM463" i="1"/>
  <c r="Y463" i="1"/>
  <c r="BN463" i="1" s="1"/>
  <c r="P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BN460" i="1" s="1"/>
  <c r="P460" i="1"/>
  <c r="BO459" i="1"/>
  <c r="BM459" i="1"/>
  <c r="Y459" i="1"/>
  <c r="BN459" i="1" s="1"/>
  <c r="P459" i="1"/>
  <c r="BO458" i="1"/>
  <c r="BM458" i="1"/>
  <c r="Y458" i="1"/>
  <c r="BN458" i="1" s="1"/>
  <c r="P458" i="1"/>
  <c r="X454" i="1"/>
  <c r="X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BN450" i="1" s="1"/>
  <c r="P450" i="1"/>
  <c r="X448" i="1"/>
  <c r="X447" i="1"/>
  <c r="BO446" i="1"/>
  <c r="BM446" i="1"/>
  <c r="Z446" i="1"/>
  <c r="Z447" i="1" s="1"/>
  <c r="Y446" i="1"/>
  <c r="P446" i="1"/>
  <c r="X444" i="1"/>
  <c r="X443" i="1"/>
  <c r="BO442" i="1"/>
  <c r="BM442" i="1"/>
  <c r="Y442" i="1"/>
  <c r="P442" i="1"/>
  <c r="BP441" i="1"/>
  <c r="BO441" i="1"/>
  <c r="BM441" i="1"/>
  <c r="Y441" i="1"/>
  <c r="P441" i="1"/>
  <c r="X438" i="1"/>
  <c r="X437" i="1"/>
  <c r="BO436" i="1"/>
  <c r="BM436" i="1"/>
  <c r="Y436" i="1"/>
  <c r="BN436" i="1" s="1"/>
  <c r="P436" i="1"/>
  <c r="BO435" i="1"/>
  <c r="BM435" i="1"/>
  <c r="Y435" i="1"/>
  <c r="BN435" i="1" s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BN429" i="1" s="1"/>
  <c r="P429" i="1"/>
  <c r="X427" i="1"/>
  <c r="X426" i="1"/>
  <c r="BO425" i="1"/>
  <c r="BM425" i="1"/>
  <c r="Z425" i="1"/>
  <c r="Y425" i="1"/>
  <c r="BN425" i="1" s="1"/>
  <c r="P425" i="1"/>
  <c r="BO424" i="1"/>
  <c r="BM424" i="1"/>
  <c r="Z424" i="1"/>
  <c r="Y424" i="1"/>
  <c r="BN424" i="1" s="1"/>
  <c r="P424" i="1"/>
  <c r="BO423" i="1"/>
  <c r="BM423" i="1"/>
  <c r="Y423" i="1"/>
  <c r="BN423" i="1" s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BN416" i="1" s="1"/>
  <c r="P416" i="1"/>
  <c r="BO415" i="1"/>
  <c r="BM415" i="1"/>
  <c r="Y415" i="1"/>
  <c r="BN415" i="1" s="1"/>
  <c r="P415" i="1"/>
  <c r="BO414" i="1"/>
  <c r="BM414" i="1"/>
  <c r="Y414" i="1"/>
  <c r="P414" i="1"/>
  <c r="BO413" i="1"/>
  <c r="BM413" i="1"/>
  <c r="Z413" i="1"/>
  <c r="Y413" i="1"/>
  <c r="BN413" i="1" s="1"/>
  <c r="P413" i="1"/>
  <c r="BO412" i="1"/>
  <c r="BM412" i="1"/>
  <c r="Z412" i="1"/>
  <c r="Y412" i="1"/>
  <c r="BN412" i="1" s="1"/>
  <c r="P412" i="1"/>
  <c r="X408" i="1"/>
  <c r="X407" i="1"/>
  <c r="BO406" i="1"/>
  <c r="BM406" i="1"/>
  <c r="Y406" i="1"/>
  <c r="BN406" i="1" s="1"/>
  <c r="P406" i="1"/>
  <c r="BO405" i="1"/>
  <c r="BM405" i="1"/>
  <c r="Y405" i="1"/>
  <c r="BN405" i="1" s="1"/>
  <c r="P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Z386" i="1"/>
  <c r="Y386" i="1"/>
  <c r="BN386" i="1" s="1"/>
  <c r="P386" i="1"/>
  <c r="BO385" i="1"/>
  <c r="BM385" i="1"/>
  <c r="Y385" i="1"/>
  <c r="P385" i="1"/>
  <c r="BO384" i="1"/>
  <c r="BM384" i="1"/>
  <c r="Y384" i="1"/>
  <c r="BP384" i="1" s="1"/>
  <c r="P384" i="1"/>
  <c r="X382" i="1"/>
  <c r="X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Z378" i="1"/>
  <c r="Y378" i="1"/>
  <c r="P378" i="1"/>
  <c r="X376" i="1"/>
  <c r="X375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P363" i="1"/>
  <c r="BP362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P336" i="1"/>
  <c r="BO336" i="1"/>
  <c r="BM336" i="1"/>
  <c r="Y336" i="1"/>
  <c r="P336" i="1"/>
  <c r="BO335" i="1"/>
  <c r="BM335" i="1"/>
  <c r="Y335" i="1"/>
  <c r="P335" i="1"/>
  <c r="BO334" i="1"/>
  <c r="BM334" i="1"/>
  <c r="Y334" i="1"/>
  <c r="BP334" i="1" s="1"/>
  <c r="P334" i="1"/>
  <c r="BO333" i="1"/>
  <c r="BN333" i="1"/>
  <c r="BM333" i="1"/>
  <c r="Z333" i="1"/>
  <c r="Y333" i="1"/>
  <c r="BP333" i="1" s="1"/>
  <c r="P333" i="1"/>
  <c r="BO332" i="1"/>
  <c r="BM332" i="1"/>
  <c r="Z332" i="1"/>
  <c r="Y332" i="1"/>
  <c r="P332" i="1"/>
  <c r="X329" i="1"/>
  <c r="X328" i="1"/>
  <c r="BO327" i="1"/>
  <c r="BM327" i="1"/>
  <c r="Y327" i="1"/>
  <c r="BN327" i="1" s="1"/>
  <c r="P327" i="1"/>
  <c r="BO326" i="1"/>
  <c r="BM326" i="1"/>
  <c r="Y326" i="1"/>
  <c r="BN326" i="1" s="1"/>
  <c r="P326" i="1"/>
  <c r="BO325" i="1"/>
  <c r="BM325" i="1"/>
  <c r="Y325" i="1"/>
  <c r="BN325" i="1" s="1"/>
  <c r="P325" i="1"/>
  <c r="X322" i="1"/>
  <c r="X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BO318" i="1"/>
  <c r="BM318" i="1"/>
  <c r="Y318" i="1"/>
  <c r="BN318" i="1" s="1"/>
  <c r="P318" i="1"/>
  <c r="BO317" i="1"/>
  <c r="BM317" i="1"/>
  <c r="Y317" i="1"/>
  <c r="BN317" i="1" s="1"/>
  <c r="P317" i="1"/>
  <c r="BO316" i="1"/>
  <c r="BM316" i="1"/>
  <c r="Y316" i="1"/>
  <c r="BN316" i="1" s="1"/>
  <c r="P316" i="1"/>
  <c r="X313" i="1"/>
  <c r="X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BN309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Z301" i="1" s="1"/>
  <c r="Z302" i="1" s="1"/>
  <c r="P301" i="1"/>
  <c r="X299" i="1"/>
  <c r="X298" i="1"/>
  <c r="BO297" i="1"/>
  <c r="BM297" i="1"/>
  <c r="Y297" i="1"/>
  <c r="BN297" i="1" s="1"/>
  <c r="P297" i="1"/>
  <c r="BP296" i="1"/>
  <c r="BO296" i="1"/>
  <c r="BN296" i="1"/>
  <c r="BM296" i="1"/>
  <c r="Z296" i="1"/>
  <c r="Y296" i="1"/>
  <c r="P296" i="1"/>
  <c r="BO295" i="1"/>
  <c r="BM295" i="1"/>
  <c r="Y295" i="1"/>
  <c r="BN295" i="1" s="1"/>
  <c r="P295" i="1"/>
  <c r="BO294" i="1"/>
  <c r="BM294" i="1"/>
  <c r="Y294" i="1"/>
  <c r="BP294" i="1" s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N286" i="1" s="1"/>
  <c r="P286" i="1"/>
  <c r="BO285" i="1"/>
  <c r="BM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N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N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Y282" i="1" s="1"/>
  <c r="P270" i="1"/>
  <c r="X268" i="1"/>
  <c r="X267" i="1"/>
  <c r="BO266" i="1"/>
  <c r="BM266" i="1"/>
  <c r="Y266" i="1"/>
  <c r="BN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N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O259" i="1"/>
  <c r="BM259" i="1"/>
  <c r="Y259" i="1"/>
  <c r="Y267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N250" i="1" s="1"/>
  <c r="P250" i="1"/>
  <c r="BO249" i="1"/>
  <c r="BM249" i="1"/>
  <c r="Y249" i="1"/>
  <c r="BP249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N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BN198" i="1" s="1"/>
  <c r="P198" i="1"/>
  <c r="Y194" i="1"/>
  <c r="X194" i="1"/>
  <c r="X193" i="1"/>
  <c r="BO192" i="1"/>
  <c r="BM192" i="1"/>
  <c r="Y192" i="1"/>
  <c r="BP192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Y178" i="1" s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Y164" i="1" s="1"/>
  <c r="P162" i="1"/>
  <c r="X160" i="1"/>
  <c r="X159" i="1"/>
  <c r="BO158" i="1"/>
  <c r="BM158" i="1"/>
  <c r="Y158" i="1"/>
  <c r="P158" i="1"/>
  <c r="BO157" i="1"/>
  <c r="BM157" i="1"/>
  <c r="Y157" i="1"/>
  <c r="P157" i="1"/>
  <c r="BO156" i="1"/>
  <c r="BM156" i="1"/>
  <c r="Y156" i="1"/>
  <c r="BN156" i="1" s="1"/>
  <c r="P156" i="1"/>
  <c r="X153" i="1"/>
  <c r="X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Z148" i="1" s="1"/>
  <c r="P148" i="1"/>
  <c r="X145" i="1"/>
  <c r="X144" i="1"/>
  <c r="BP143" i="1"/>
  <c r="BO143" i="1"/>
  <c r="BM143" i="1"/>
  <c r="Y143" i="1"/>
  <c r="P143" i="1"/>
  <c r="BO142" i="1"/>
  <c r="BM142" i="1"/>
  <c r="Y142" i="1"/>
  <c r="Y144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Y129" i="1"/>
  <c r="X129" i="1"/>
  <c r="Y128" i="1"/>
  <c r="X128" i="1"/>
  <c r="BP127" i="1"/>
  <c r="BO127" i="1"/>
  <c r="BN127" i="1"/>
  <c r="BM127" i="1"/>
  <c r="Z127" i="1"/>
  <c r="Z128" i="1" s="1"/>
  <c r="Y127" i="1"/>
  <c r="P127" i="1"/>
  <c r="X125" i="1"/>
  <c r="X124" i="1"/>
  <c r="BO123" i="1"/>
  <c r="BM123" i="1"/>
  <c r="Y123" i="1"/>
  <c r="P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N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P106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N97" i="1" s="1"/>
  <c r="P97" i="1"/>
  <c r="BO96" i="1"/>
  <c r="BM96" i="1"/>
  <c r="Y96" i="1"/>
  <c r="BP96" i="1" s="1"/>
  <c r="P96" i="1"/>
  <c r="BO95" i="1"/>
  <c r="BM95" i="1"/>
  <c r="Y95" i="1"/>
  <c r="BP95" i="1" s="1"/>
  <c r="P95" i="1"/>
  <c r="X93" i="1"/>
  <c r="X92" i="1"/>
  <c r="BO91" i="1"/>
  <c r="BM91" i="1"/>
  <c r="Y91" i="1"/>
  <c r="BP91" i="1" s="1"/>
  <c r="P91" i="1"/>
  <c r="BO90" i="1"/>
  <c r="BM90" i="1"/>
  <c r="Y90" i="1"/>
  <c r="P90" i="1"/>
  <c r="BP89" i="1"/>
  <c r="BO89" i="1"/>
  <c r="BM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P73" i="1"/>
  <c r="BO72" i="1"/>
  <c r="BM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P66" i="1"/>
  <c r="BO65" i="1"/>
  <c r="BM65" i="1"/>
  <c r="Y65" i="1"/>
  <c r="BN65" i="1" s="1"/>
  <c r="P65" i="1"/>
  <c r="BO64" i="1"/>
  <c r="BM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N61" i="1" s="1"/>
  <c r="P61" i="1"/>
  <c r="BO60" i="1"/>
  <c r="BM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N52" i="1" s="1"/>
  <c r="P52" i="1"/>
  <c r="BO51" i="1"/>
  <c r="BM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P43" i="1"/>
  <c r="BO42" i="1"/>
  <c r="BM42" i="1"/>
  <c r="Y42" i="1"/>
  <c r="BN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N28" i="1" s="1"/>
  <c r="P28" i="1"/>
  <c r="BO27" i="1"/>
  <c r="BM27" i="1"/>
  <c r="Y27" i="1"/>
  <c r="P27" i="1"/>
  <c r="X25" i="1"/>
  <c r="X24" i="1"/>
  <c r="BP23" i="1"/>
  <c r="BO23" i="1"/>
  <c r="BN23" i="1"/>
  <c r="BM23" i="1"/>
  <c r="Z23" i="1"/>
  <c r="Y23" i="1"/>
  <c r="P23" i="1"/>
  <c r="BO22" i="1"/>
  <c r="BM22" i="1"/>
  <c r="Y22" i="1"/>
  <c r="P22" i="1"/>
  <c r="H10" i="1"/>
  <c r="A9" i="1"/>
  <c r="F10" i="1" s="1"/>
  <c r="D7" i="1"/>
  <c r="Q6" i="1"/>
  <c r="P2" i="1"/>
  <c r="BP31" i="1" l="1"/>
  <c r="BN31" i="1"/>
  <c r="Z31" i="1"/>
  <c r="BP51" i="1"/>
  <c r="BN51" i="1"/>
  <c r="Z51" i="1"/>
  <c r="BN64" i="1"/>
  <c r="Z64" i="1"/>
  <c r="BN72" i="1"/>
  <c r="Z72" i="1"/>
  <c r="BN78" i="1"/>
  <c r="BP90" i="1"/>
  <c r="BN90" i="1"/>
  <c r="Z90" i="1"/>
  <c r="BN95" i="1"/>
  <c r="BP107" i="1"/>
  <c r="BN107" i="1"/>
  <c r="Z107" i="1"/>
  <c r="BN112" i="1"/>
  <c r="BN122" i="1"/>
  <c r="Z122" i="1"/>
  <c r="BP132" i="1"/>
  <c r="BN132" i="1"/>
  <c r="Z132" i="1"/>
  <c r="Y134" i="1"/>
  <c r="X541" i="1"/>
  <c r="Y32" i="1"/>
  <c r="BP27" i="1"/>
  <c r="BN27" i="1"/>
  <c r="Z27" i="1"/>
  <c r="BP43" i="1"/>
  <c r="BN43" i="1"/>
  <c r="Z43" i="1"/>
  <c r="E551" i="1"/>
  <c r="BP60" i="1"/>
  <c r="BN60" i="1"/>
  <c r="Z60" i="1"/>
  <c r="BP64" i="1"/>
  <c r="BP66" i="1"/>
  <c r="BN66" i="1"/>
  <c r="Z66" i="1"/>
  <c r="BP72" i="1"/>
  <c r="BP73" i="1"/>
  <c r="BN73" i="1"/>
  <c r="Z73" i="1"/>
  <c r="Y80" i="1"/>
  <c r="F551" i="1"/>
  <c r="BN89" i="1"/>
  <c r="Z89" i="1"/>
  <c r="BP103" i="1"/>
  <c r="BN103" i="1"/>
  <c r="Z103" i="1"/>
  <c r="BN106" i="1"/>
  <c r="Z106" i="1"/>
  <c r="BN116" i="1"/>
  <c r="BP122" i="1"/>
  <c r="BP123" i="1"/>
  <c r="BN123" i="1"/>
  <c r="Z123" i="1"/>
  <c r="BN143" i="1"/>
  <c r="Z143" i="1"/>
  <c r="BP148" i="1"/>
  <c r="BP149" i="1"/>
  <c r="BN149" i="1"/>
  <c r="Z149" i="1"/>
  <c r="BN157" i="1"/>
  <c r="Z157" i="1"/>
  <c r="BP157" i="1"/>
  <c r="BN320" i="1"/>
  <c r="BN340" i="1"/>
  <c r="Z340" i="1"/>
  <c r="Y343" i="1"/>
  <c r="BP346" i="1"/>
  <c r="BN346" i="1"/>
  <c r="Z346" i="1"/>
  <c r="BN354" i="1"/>
  <c r="Z354" i="1"/>
  <c r="BP363" i="1"/>
  <c r="BN363" i="1"/>
  <c r="Z363" i="1"/>
  <c r="BN366" i="1"/>
  <c r="Z366" i="1"/>
  <c r="BN372" i="1"/>
  <c r="BN380" i="1"/>
  <c r="BP391" i="1"/>
  <c r="BN391" i="1"/>
  <c r="Z391" i="1"/>
  <c r="BN398" i="1"/>
  <c r="Z398" i="1"/>
  <c r="BN442" i="1"/>
  <c r="Z442" i="1"/>
  <c r="BP461" i="1"/>
  <c r="BN461" i="1"/>
  <c r="Z461" i="1"/>
  <c r="BN479" i="1"/>
  <c r="BN523" i="1"/>
  <c r="B551" i="1"/>
  <c r="X543" i="1"/>
  <c r="X545" i="1"/>
  <c r="Y74" i="1"/>
  <c r="Y79" i="1"/>
  <c r="Y85" i="1"/>
  <c r="BN82" i="1"/>
  <c r="BN91" i="1"/>
  <c r="BP97" i="1"/>
  <c r="BN104" i="1"/>
  <c r="BN108" i="1"/>
  <c r="BP114" i="1"/>
  <c r="BN120" i="1"/>
  <c r="BN133" i="1"/>
  <c r="Y140" i="1"/>
  <c r="BN137" i="1"/>
  <c r="BN150" i="1"/>
  <c r="Z169" i="1"/>
  <c r="BN169" i="1"/>
  <c r="Z173" i="1"/>
  <c r="BN173" i="1"/>
  <c r="Z177" i="1"/>
  <c r="BN177" i="1"/>
  <c r="Y185" i="1"/>
  <c r="Z183" i="1"/>
  <c r="BN183" i="1"/>
  <c r="Y189" i="1"/>
  <c r="Y190" i="1"/>
  <c r="Z199" i="1"/>
  <c r="BN199" i="1"/>
  <c r="Z203" i="1"/>
  <c r="BN203" i="1"/>
  <c r="Z216" i="1"/>
  <c r="BN216" i="1"/>
  <c r="Z220" i="1"/>
  <c r="BN220" i="1"/>
  <c r="Z224" i="1"/>
  <c r="BN224" i="1"/>
  <c r="Z230" i="1"/>
  <c r="BN230" i="1"/>
  <c r="BP230" i="1"/>
  <c r="Z234" i="1"/>
  <c r="BN234" i="1"/>
  <c r="Y242" i="1"/>
  <c r="Z240" i="1"/>
  <c r="BN240" i="1"/>
  <c r="Y241" i="1"/>
  <c r="Z244" i="1"/>
  <c r="Z245" i="1" s="1"/>
  <c r="BN244" i="1"/>
  <c r="BP244" i="1"/>
  <c r="Y245" i="1"/>
  <c r="Z249" i="1"/>
  <c r="BN249" i="1"/>
  <c r="Z259" i="1"/>
  <c r="BN259" i="1"/>
  <c r="BP259" i="1"/>
  <c r="Z263" i="1"/>
  <c r="BN263" i="1"/>
  <c r="Z271" i="1"/>
  <c r="BN271" i="1"/>
  <c r="Z275" i="1"/>
  <c r="BN275" i="1"/>
  <c r="Z279" i="1"/>
  <c r="BN279" i="1"/>
  <c r="Z285" i="1"/>
  <c r="BN285" i="1"/>
  <c r="BP285" i="1"/>
  <c r="Z294" i="1"/>
  <c r="BN294" i="1"/>
  <c r="Z310" i="1"/>
  <c r="BN310" i="1"/>
  <c r="R551" i="1"/>
  <c r="BP332" i="1"/>
  <c r="BN336" i="1"/>
  <c r="Z336" i="1"/>
  <c r="BP340" i="1"/>
  <c r="BP341" i="1"/>
  <c r="BN341" i="1"/>
  <c r="Z341" i="1"/>
  <c r="BP354" i="1"/>
  <c r="BP355" i="1"/>
  <c r="BN355" i="1"/>
  <c r="Z355" i="1"/>
  <c r="BN362" i="1"/>
  <c r="Z362" i="1"/>
  <c r="BP366" i="1"/>
  <c r="BP367" i="1"/>
  <c r="BN367" i="1"/>
  <c r="Z367" i="1"/>
  <c r="BN384" i="1"/>
  <c r="Y408" i="1"/>
  <c r="BP404" i="1"/>
  <c r="BN404" i="1"/>
  <c r="Z404" i="1"/>
  <c r="BP414" i="1"/>
  <c r="BN414" i="1"/>
  <c r="Z414" i="1"/>
  <c r="BN417" i="1"/>
  <c r="Z417" i="1"/>
  <c r="BP430" i="1"/>
  <c r="BN430" i="1"/>
  <c r="Z430" i="1"/>
  <c r="BN441" i="1"/>
  <c r="Z441" i="1"/>
  <c r="Z443" i="1" s="1"/>
  <c r="BP451" i="1"/>
  <c r="BN451" i="1"/>
  <c r="Z451" i="1"/>
  <c r="BN477" i="1"/>
  <c r="Y480" i="1"/>
  <c r="Z477" i="1"/>
  <c r="BN485" i="1"/>
  <c r="BP488" i="1"/>
  <c r="BN488" i="1"/>
  <c r="Z488" i="1"/>
  <c r="BP492" i="1"/>
  <c r="BN492" i="1"/>
  <c r="Z492" i="1"/>
  <c r="BP504" i="1"/>
  <c r="BN504" i="1"/>
  <c r="Z504" i="1"/>
  <c r="BP508" i="1"/>
  <c r="BN508" i="1"/>
  <c r="Z508" i="1"/>
  <c r="BP515" i="1"/>
  <c r="Y517" i="1"/>
  <c r="Y516" i="1"/>
  <c r="BN515" i="1"/>
  <c r="Y525" i="1"/>
  <c r="BN334" i="1"/>
  <c r="BN347" i="1"/>
  <c r="BN356" i="1"/>
  <c r="BN364" i="1"/>
  <c r="Y375" i="1"/>
  <c r="BP374" i="1"/>
  <c r="Y382" i="1"/>
  <c r="BP378" i="1"/>
  <c r="Y381" i="1"/>
  <c r="BP386" i="1"/>
  <c r="BN393" i="1"/>
  <c r="BP412" i="1"/>
  <c r="BP424" i="1"/>
  <c r="BN452" i="1"/>
  <c r="BN462" i="1"/>
  <c r="BN489" i="1"/>
  <c r="BN493" i="1"/>
  <c r="BN505" i="1"/>
  <c r="BN509" i="1"/>
  <c r="BN519" i="1"/>
  <c r="J9" i="1"/>
  <c r="BN22" i="1"/>
  <c r="Z28" i="1"/>
  <c r="BP28" i="1"/>
  <c r="BN30" i="1"/>
  <c r="C551" i="1"/>
  <c r="Z42" i="1"/>
  <c r="BP42" i="1"/>
  <c r="BN44" i="1"/>
  <c r="D551" i="1"/>
  <c r="Z52" i="1"/>
  <c r="BP52" i="1"/>
  <c r="BN54" i="1"/>
  <c r="Y55" i="1"/>
  <c r="BN59" i="1"/>
  <c r="Z61" i="1"/>
  <c r="BP61" i="1"/>
  <c r="BN63" i="1"/>
  <c r="Z65" i="1"/>
  <c r="BP65" i="1"/>
  <c r="Y68" i="1"/>
  <c r="BN71" i="1"/>
  <c r="BN83" i="1"/>
  <c r="Y84" i="1"/>
  <c r="BN88" i="1"/>
  <c r="Y93" i="1"/>
  <c r="BN96" i="1"/>
  <c r="BN105" i="1"/>
  <c r="Y110" i="1"/>
  <c r="BN113" i="1"/>
  <c r="Y118" i="1"/>
  <c r="BN121" i="1"/>
  <c r="Y135" i="1"/>
  <c r="BN138" i="1"/>
  <c r="Y139" i="1"/>
  <c r="BN142" i="1"/>
  <c r="I551" i="1"/>
  <c r="BN151" i="1"/>
  <c r="Y152" i="1"/>
  <c r="BP172" i="1"/>
  <c r="Z172" i="1"/>
  <c r="BN172" i="1"/>
  <c r="BN200" i="1"/>
  <c r="BP200" i="1"/>
  <c r="Z200" i="1"/>
  <c r="BN213" i="1"/>
  <c r="Y227" i="1"/>
  <c r="Y228" i="1"/>
  <c r="BP213" i="1"/>
  <c r="Z213" i="1"/>
  <c r="BN221" i="1"/>
  <c r="BP221" i="1"/>
  <c r="Z221" i="1"/>
  <c r="A10" i="1"/>
  <c r="Y67" i="1"/>
  <c r="Y75" i="1"/>
  <c r="Y92" i="1"/>
  <c r="Y100" i="1"/>
  <c r="Y109" i="1"/>
  <c r="Y117" i="1"/>
  <c r="Y125" i="1"/>
  <c r="J551" i="1"/>
  <c r="Y159" i="1"/>
  <c r="Y160" i="1"/>
  <c r="BN170" i="1"/>
  <c r="BP170" i="1"/>
  <c r="Z170" i="1"/>
  <c r="L551" i="1"/>
  <c r="Y210" i="1"/>
  <c r="BN209" i="1"/>
  <c r="Y211" i="1"/>
  <c r="BP209" i="1"/>
  <c r="Z209" i="1"/>
  <c r="Z210" i="1" s="1"/>
  <c r="H9" i="1"/>
  <c r="F9" i="1"/>
  <c r="Z22" i="1"/>
  <c r="Z24" i="1" s="1"/>
  <c r="BP22" i="1"/>
  <c r="Y25" i="1"/>
  <c r="Z30" i="1"/>
  <c r="Y33" i="1"/>
  <c r="Z44" i="1"/>
  <c r="Y47" i="1"/>
  <c r="Z54" i="1"/>
  <c r="Z59" i="1"/>
  <c r="BP59" i="1"/>
  <c r="Z63" i="1"/>
  <c r="Z71" i="1"/>
  <c r="Z83" i="1"/>
  <c r="Z88" i="1"/>
  <c r="BP88" i="1"/>
  <c r="Z96" i="1"/>
  <c r="Y99" i="1"/>
  <c r="Z105" i="1"/>
  <c r="Z113" i="1"/>
  <c r="Z121" i="1"/>
  <c r="Y124" i="1"/>
  <c r="Z138" i="1"/>
  <c r="Z142" i="1"/>
  <c r="Z144" i="1" s="1"/>
  <c r="BP142" i="1"/>
  <c r="Y145" i="1"/>
  <c r="Z151" i="1"/>
  <c r="Z156" i="1"/>
  <c r="BP156" i="1"/>
  <c r="BP168" i="1"/>
  <c r="Z168" i="1"/>
  <c r="BN168" i="1"/>
  <c r="BN204" i="1"/>
  <c r="BP204" i="1"/>
  <c r="Z204" i="1"/>
  <c r="BN217" i="1"/>
  <c r="BP217" i="1"/>
  <c r="Z217" i="1"/>
  <c r="BN225" i="1"/>
  <c r="BP225" i="1"/>
  <c r="Z225" i="1"/>
  <c r="X542" i="1"/>
  <c r="X544" i="1" s="1"/>
  <c r="Y24" i="1"/>
  <c r="Y46" i="1"/>
  <c r="Y56" i="1"/>
  <c r="Z78" i="1"/>
  <c r="Z79" i="1" s="1"/>
  <c r="Z82" i="1"/>
  <c r="BP82" i="1"/>
  <c r="Z91" i="1"/>
  <c r="Z95" i="1"/>
  <c r="Z99" i="1" s="1"/>
  <c r="G551" i="1"/>
  <c r="Z104" i="1"/>
  <c r="Z109" i="1" s="1"/>
  <c r="Z108" i="1"/>
  <c r="Z112" i="1"/>
  <c r="Z117" i="1" s="1"/>
  <c r="Z116" i="1"/>
  <c r="Z120" i="1"/>
  <c r="Z124" i="1" s="1"/>
  <c r="H551" i="1"/>
  <c r="Z133" i="1"/>
  <c r="Z134" i="1" s="1"/>
  <c r="Z137" i="1"/>
  <c r="Z139" i="1" s="1"/>
  <c r="BP137" i="1"/>
  <c r="BN148" i="1"/>
  <c r="Z150" i="1"/>
  <c r="Z152" i="1" s="1"/>
  <c r="Y153" i="1"/>
  <c r="BN158" i="1"/>
  <c r="BP158" i="1"/>
  <c r="Z158" i="1"/>
  <c r="Y163" i="1"/>
  <c r="BN162" i="1"/>
  <c r="BP162" i="1"/>
  <c r="Z162" i="1"/>
  <c r="Z163" i="1" s="1"/>
  <c r="Y179" i="1"/>
  <c r="BN166" i="1"/>
  <c r="BP166" i="1"/>
  <c r="Z166" i="1"/>
  <c r="BN174" i="1"/>
  <c r="BP174" i="1"/>
  <c r="Z174" i="1"/>
  <c r="BN182" i="1"/>
  <c r="Y184" i="1"/>
  <c r="BP182" i="1"/>
  <c r="Z182" i="1"/>
  <c r="Z184" i="1" s="1"/>
  <c r="Z241" i="1"/>
  <c r="BN176" i="1"/>
  <c r="BN188" i="1"/>
  <c r="BN192" i="1"/>
  <c r="Y193" i="1"/>
  <c r="BN202" i="1"/>
  <c r="BN215" i="1"/>
  <c r="BN219" i="1"/>
  <c r="BN223" i="1"/>
  <c r="BN231" i="1"/>
  <c r="Z233" i="1"/>
  <c r="BP233" i="1"/>
  <c r="BN239" i="1"/>
  <c r="M551" i="1"/>
  <c r="Z250" i="1"/>
  <c r="Z251" i="1" s="1"/>
  <c r="BP250" i="1"/>
  <c r="Z254" i="1"/>
  <c r="Z256" i="1" s="1"/>
  <c r="BP254" i="1"/>
  <c r="Y257" i="1"/>
  <c r="BN260" i="1"/>
  <c r="Z262" i="1"/>
  <c r="BP262" i="1"/>
  <c r="BN264" i="1"/>
  <c r="Z266" i="1"/>
  <c r="BP266" i="1"/>
  <c r="Z270" i="1"/>
  <c r="BP270" i="1"/>
  <c r="BN272" i="1"/>
  <c r="Z274" i="1"/>
  <c r="BP274" i="1"/>
  <c r="BN276" i="1"/>
  <c r="Z278" i="1"/>
  <c r="BP278" i="1"/>
  <c r="BN280" i="1"/>
  <c r="Z286" i="1"/>
  <c r="Z287" i="1" s="1"/>
  <c r="BP286" i="1"/>
  <c r="Z291" i="1"/>
  <c r="BP291" i="1"/>
  <c r="BN293" i="1"/>
  <c r="Z295" i="1"/>
  <c r="BP295" i="1"/>
  <c r="Z309" i="1"/>
  <c r="BP311" i="1"/>
  <c r="Z311" i="1"/>
  <c r="Z318" i="1"/>
  <c r="Z327" i="1"/>
  <c r="T551" i="1"/>
  <c r="Y358" i="1"/>
  <c r="BN353" i="1"/>
  <c r="Y359" i="1"/>
  <c r="BP353" i="1"/>
  <c r="Z353" i="1"/>
  <c r="K551" i="1"/>
  <c r="Y206" i="1"/>
  <c r="Y235" i="1"/>
  <c r="Y252" i="1"/>
  <c r="Y256" i="1"/>
  <c r="Y268" i="1"/>
  <c r="Y288" i="1"/>
  <c r="BP297" i="1"/>
  <c r="Y299" i="1"/>
  <c r="Y306" i="1"/>
  <c r="BN305" i="1"/>
  <c r="BP305" i="1"/>
  <c r="Y307" i="1"/>
  <c r="Y312" i="1"/>
  <c r="Y321" i="1"/>
  <c r="Q551" i="1"/>
  <c r="BN335" i="1"/>
  <c r="BP335" i="1"/>
  <c r="Z335" i="1"/>
  <c r="Y349" i="1"/>
  <c r="BN348" i="1"/>
  <c r="BP348" i="1"/>
  <c r="Z348" i="1"/>
  <c r="BN361" i="1"/>
  <c r="Y368" i="1"/>
  <c r="BP361" i="1"/>
  <c r="Z361" i="1"/>
  <c r="Y369" i="1"/>
  <c r="Y389" i="1"/>
  <c r="BN385" i="1"/>
  <c r="BP385" i="1"/>
  <c r="Z385" i="1"/>
  <c r="Z176" i="1"/>
  <c r="Z188" i="1"/>
  <c r="Z189" i="1" s="1"/>
  <c r="Z192" i="1"/>
  <c r="Z193" i="1" s="1"/>
  <c r="Z198" i="1"/>
  <c r="BP198" i="1"/>
  <c r="Z202" i="1"/>
  <c r="Y205" i="1"/>
  <c r="Z215" i="1"/>
  <c r="Z219" i="1"/>
  <c r="Z223" i="1"/>
  <c r="Z231" i="1"/>
  <c r="Z235" i="1" s="1"/>
  <c r="Z239" i="1"/>
  <c r="Y251" i="1"/>
  <c r="Z260" i="1"/>
  <c r="Z264" i="1"/>
  <c r="BN270" i="1"/>
  <c r="Z272" i="1"/>
  <c r="Z276" i="1"/>
  <c r="Z280" i="1"/>
  <c r="Y283" i="1"/>
  <c r="Z293" i="1"/>
  <c r="Z297" i="1"/>
  <c r="Z305" i="1"/>
  <c r="Z306" i="1" s="1"/>
  <c r="BN311" i="1"/>
  <c r="BP317" i="1"/>
  <c r="Z317" i="1"/>
  <c r="BP326" i="1"/>
  <c r="Z326" i="1"/>
  <c r="BN357" i="1"/>
  <c r="BP357" i="1"/>
  <c r="Z357" i="1"/>
  <c r="O551" i="1"/>
  <c r="Y298" i="1"/>
  <c r="Y302" i="1"/>
  <c r="BN301" i="1"/>
  <c r="BP301" i="1"/>
  <c r="Y303" i="1"/>
  <c r="BP309" i="1"/>
  <c r="Y313" i="1"/>
  <c r="BP318" i="1"/>
  <c r="Y322" i="1"/>
  <c r="BP327" i="1"/>
  <c r="BN365" i="1"/>
  <c r="BP365" i="1"/>
  <c r="Z365" i="1"/>
  <c r="BN373" i="1"/>
  <c r="BP373" i="1"/>
  <c r="Z373" i="1"/>
  <c r="BP392" i="1"/>
  <c r="Z392" i="1"/>
  <c r="BN392" i="1"/>
  <c r="Y394" i="1"/>
  <c r="Y400" i="1"/>
  <c r="BP419" i="1"/>
  <c r="Z419" i="1"/>
  <c r="Y421" i="1"/>
  <c r="BP429" i="1"/>
  <c r="BP450" i="1"/>
  <c r="Y454" i="1"/>
  <c r="BP460" i="1"/>
  <c r="BP468" i="1"/>
  <c r="BP490" i="1"/>
  <c r="Z490" i="1"/>
  <c r="BP498" i="1"/>
  <c r="Z498" i="1"/>
  <c r="BP506" i="1"/>
  <c r="Z506" i="1"/>
  <c r="Y534" i="1"/>
  <c r="Y535" i="1"/>
  <c r="BP532" i="1"/>
  <c r="Z532" i="1"/>
  <c r="U551" i="1"/>
  <c r="P551" i="1"/>
  <c r="Y329" i="1"/>
  <c r="Y338" i="1"/>
  <c r="Y342" i="1"/>
  <c r="Y376" i="1"/>
  <c r="Y388" i="1"/>
  <c r="Y395" i="1"/>
  <c r="Z397" i="1"/>
  <c r="Z400" i="1" s="1"/>
  <c r="BP397" i="1"/>
  <c r="Z406" i="1"/>
  <c r="BP406" i="1"/>
  <c r="Z416" i="1"/>
  <c r="BP416" i="1"/>
  <c r="Y420" i="1"/>
  <c r="Z429" i="1"/>
  <c r="BP431" i="1"/>
  <c r="Z431" i="1"/>
  <c r="Y433" i="1"/>
  <c r="Z436" i="1"/>
  <c r="BP436" i="1"/>
  <c r="Z450" i="1"/>
  <c r="Z460" i="1"/>
  <c r="Z468" i="1"/>
  <c r="Y474" i="1"/>
  <c r="BN473" i="1"/>
  <c r="Y475" i="1"/>
  <c r="BP473" i="1"/>
  <c r="BP486" i="1"/>
  <c r="Z486" i="1"/>
  <c r="BP491" i="1"/>
  <c r="Y495" i="1"/>
  <c r="BP499" i="1"/>
  <c r="BP507" i="1"/>
  <c r="Y511" i="1"/>
  <c r="BP533" i="1"/>
  <c r="V551" i="1"/>
  <c r="Z316" i="1"/>
  <c r="BP316" i="1"/>
  <c r="Z320" i="1"/>
  <c r="Z325" i="1"/>
  <c r="Z328" i="1" s="1"/>
  <c r="BP325" i="1"/>
  <c r="Y328" i="1"/>
  <c r="BN332" i="1"/>
  <c r="Z334" i="1"/>
  <c r="Y337" i="1"/>
  <c r="S551" i="1"/>
  <c r="Z347" i="1"/>
  <c r="Z349" i="1" s="1"/>
  <c r="Y350" i="1"/>
  <c r="Z356" i="1"/>
  <c r="Z364" i="1"/>
  <c r="Z372" i="1"/>
  <c r="Z375" i="1" s="1"/>
  <c r="BN378" i="1"/>
  <c r="Z380" i="1"/>
  <c r="Z381" i="1" s="1"/>
  <c r="Z384" i="1"/>
  <c r="Z388" i="1" s="1"/>
  <c r="Z393" i="1"/>
  <c r="Y401" i="1"/>
  <c r="BP413" i="1"/>
  <c r="BN419" i="1"/>
  <c r="Y426" i="1"/>
  <c r="BP423" i="1"/>
  <c r="Z423" i="1"/>
  <c r="Z426" i="1" s="1"/>
  <c r="BP425" i="1"/>
  <c r="Y427" i="1"/>
  <c r="Y432" i="1"/>
  <c r="BP442" i="1"/>
  <c r="Y453" i="1"/>
  <c r="X551" i="1"/>
  <c r="BP463" i="1"/>
  <c r="Z463" i="1"/>
  <c r="Z473" i="1"/>
  <c r="Z474" i="1" s="1"/>
  <c r="BP477" i="1"/>
  <c r="Y481" i="1"/>
  <c r="BP487" i="1"/>
  <c r="BN490" i="1"/>
  <c r="Z491" i="1"/>
  <c r="BN498" i="1"/>
  <c r="Z499" i="1"/>
  <c r="BP503" i="1"/>
  <c r="BN506" i="1"/>
  <c r="Z507" i="1"/>
  <c r="BP524" i="1"/>
  <c r="Z524" i="1"/>
  <c r="BN532" i="1"/>
  <c r="Z533" i="1"/>
  <c r="AB551" i="1"/>
  <c r="Y539" i="1"/>
  <c r="BN538" i="1"/>
  <c r="Y540" i="1"/>
  <c r="BP538" i="1"/>
  <c r="Y551" i="1"/>
  <c r="BP398" i="1"/>
  <c r="BP405" i="1"/>
  <c r="Z405" i="1"/>
  <c r="Z407" i="1" s="1"/>
  <c r="Y407" i="1"/>
  <c r="BP415" i="1"/>
  <c r="Z415" i="1"/>
  <c r="BP417" i="1"/>
  <c r="BN431" i="1"/>
  <c r="Y438" i="1"/>
  <c r="BP435" i="1"/>
  <c r="Z435" i="1"/>
  <c r="Z437" i="1" s="1"/>
  <c r="Y437" i="1"/>
  <c r="Y443" i="1"/>
  <c r="W551" i="1"/>
  <c r="Y444" i="1"/>
  <c r="Y447" i="1"/>
  <c r="BN446" i="1"/>
  <c r="Y448" i="1"/>
  <c r="BP446" i="1"/>
  <c r="BP459" i="1"/>
  <c r="Z459" i="1"/>
  <c r="Y464" i="1"/>
  <c r="Y469" i="1"/>
  <c r="Y470" i="1"/>
  <c r="BP467" i="1"/>
  <c r="Z467" i="1"/>
  <c r="Z480" i="1"/>
  <c r="BN486" i="1"/>
  <c r="Y494" i="1"/>
  <c r="Y500" i="1"/>
  <c r="Y510" i="1"/>
  <c r="Y530" i="1"/>
  <c r="BP528" i="1"/>
  <c r="Z528" i="1"/>
  <c r="Z529" i="1" s="1"/>
  <c r="Z538" i="1"/>
  <c r="Z539" i="1" s="1"/>
  <c r="Z551" i="1"/>
  <c r="Y501" i="1"/>
  <c r="AA551" i="1"/>
  <c r="Z452" i="1"/>
  <c r="Z458" i="1"/>
  <c r="BP458" i="1"/>
  <c r="Z462" i="1"/>
  <c r="Y465" i="1"/>
  <c r="Z479" i="1"/>
  <c r="Z485" i="1"/>
  <c r="Z489" i="1"/>
  <c r="Z493" i="1"/>
  <c r="Z497" i="1"/>
  <c r="BP497" i="1"/>
  <c r="Z505" i="1"/>
  <c r="Z509" i="1"/>
  <c r="Z515" i="1"/>
  <c r="Z516" i="1" s="1"/>
  <c r="Z519" i="1"/>
  <c r="Z520" i="1" s="1"/>
  <c r="Z523" i="1"/>
  <c r="Z525" i="1" s="1"/>
  <c r="BP523" i="1"/>
  <c r="Z321" i="1" l="1"/>
  <c r="Z178" i="1"/>
  <c r="Z67" i="1"/>
  <c r="Z510" i="1"/>
  <c r="Z469" i="1"/>
  <c r="Z420" i="1"/>
  <c r="Z337" i="1"/>
  <c r="Z267" i="1"/>
  <c r="Z312" i="1"/>
  <c r="Z84" i="1"/>
  <c r="Z74" i="1"/>
  <c r="Z55" i="1"/>
  <c r="Z46" i="1"/>
  <c r="Z32" i="1"/>
  <c r="Z342" i="1"/>
  <c r="Z453" i="1"/>
  <c r="Z358" i="1"/>
  <c r="Z298" i="1"/>
  <c r="Z494" i="1"/>
  <c r="Z500" i="1"/>
  <c r="Z464" i="1"/>
  <c r="Z432" i="1"/>
  <c r="Z534" i="1"/>
  <c r="Z205" i="1"/>
  <c r="Z159" i="1"/>
  <c r="Y541" i="1"/>
  <c r="Z227" i="1"/>
  <c r="Y542" i="1"/>
  <c r="Z394" i="1"/>
  <c r="Z368" i="1"/>
  <c r="Z282" i="1"/>
  <c r="Y545" i="1"/>
  <c r="Z92" i="1"/>
  <c r="Z546" i="1" s="1"/>
  <c r="Y543" i="1"/>
  <c r="Y544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<sst xmlns="http://schemas.openxmlformats.org/spreadsheetml/2006/main" count="2450" uniqueCount="890">
  <si>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</si>
  <si>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</si>
  <si>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</si>
  <si>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</si>
  <si>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</si>
  <si>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</si>
  <si>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</si>
  <si>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</si>
  <si>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</si>
  <si>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</si>
  <si>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</si>
  <si>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</si>
  <si>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</si>
  <si>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</si>
  <si>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</si>
  <si>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</si>
  <si>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</si>
  <si>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</si>
  <si>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</si>
  <si>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</si>
  <si>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</si>
  <si>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</si>
  <si>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</si>
  <si>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</si>
  <si>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</si>
  <si>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</si>
  <si>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</si>
  <si>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</si>
  <si>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</si>
  <si>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</si>
  <si>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</si>
  <si>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</si>
  <si>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</si>
  <si>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</si>
  <si>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</si>
  <si>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</si>
  <si>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</si>
  <si>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</si>
  <si>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</si>
  <si>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</si>
  <si>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</si>
  <si>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</si>
  <si>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</si>
  <si>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</si>
  <si>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</si>
  <si>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</si>
  <si>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</si>
  <si>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</si>
  <si>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</si>
  <si>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</si>
  <si>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</si>
  <si>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</si>
  <si>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</si>
  <si>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</si>
  <si>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</si>
  <si>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</si>
  <si>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</si>
  <si>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</si>
  <si>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</si>
  <si>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</si>
  <si>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</si>
  <si>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</si>
  <si>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</si>
  <si>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</si>
  <si>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</si>
  <si>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</si>
  <si>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</si>
  <si>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</si>
  <si>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</si>
  <si>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</si>
  <si>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</si>
  <si>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</si>
  <si>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</si>
  <si>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</si>
  <si>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</si>
  <si>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</si>
  <si>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</si>
  <si>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</si>
  <si>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</si>
  <si>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</si>
  <si>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</si>
  <si>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</si>
  <si>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</si>
  <si>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</si>
  <si>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</si>
  <si>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</si>
  <si>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</si>
  <si>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</si>
  <si>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</si>
  <si>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</si>
  <si>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</si>
  <si>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</si>
  <si>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</si>
  <si>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</si>
  <si>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</si>
  <si>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</si>
  <si>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</si>
  <si>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</si>
  <si>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</si>
  <si>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</si>
  <si>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</si>
  <si>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</si>
  <si>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</si>
  <si>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</si>
  <si>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</si>
  <si>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</si>
  <si>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</si>
  <si>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</si>
  <si>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</si>
  <si>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</si>
  <si>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</si>
  <si>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</si>
  <si>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</si>
  <si>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</si>
  <si>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</si>
  <si>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</si>
  <si>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</si>
  <si>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</si>
  <si>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</si>
  <si>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</si>
  <si>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</si>
  <si>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</si>
  <si>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</si>
  <si>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</si>
  <si>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</si>
  <si>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</si>
  <si>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</si>
  <si>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</si>
  <si>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</si>
  <si>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</si>
  <si>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</si>
  <si>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</si>
  <si>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</si>
  <si>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</si>
  <si>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</si>
  <si>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</si>
  <si>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</si>
  <si>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</si>
  <si>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</si>
  <si>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</si>
  <si>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</si>
  <si>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</si>
  <si>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</si>
  <si>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</si>
  <si>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</si>
  <si>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</si>
  <si>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</si>
  <si>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</si>
  <si>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</si>
  <si>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</si>
  <si>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</si>
  <si>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</si>
  <si>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</si>
  <si>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</si>
  <si>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</si>
  <si>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</si>
  <si>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</si>
  <si>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</si>
  <si>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</si>
  <si>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</si>
  <si>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</si>
  <si>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</si>
  <si>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</si>
  <si>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</si>
  <si>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</si>
  <si>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</si>
  <si>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</si>
  <si>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</si>
  <si>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</si>
  <si>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</si>
  <si>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</si>
  <si>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</si>
  <si>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</si>
  <si>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</si>
  <si>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</si>
  <si>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</si>
  <si>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</si>
  <si>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</si>
  <si>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</si>
  <si>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</si>
  <si>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</si>
  <si>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</si>
  <si>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</si>
  <si>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</si>
  <si>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</si>
  <si>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</si>
  <si>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</si>
  <si>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</si>
  <si>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</si>
  <si>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</si>
  <si>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</si>
  <si>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</si>
  <si>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</si>
  <si>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</si>
  <si>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</si>
  <si>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</si>
  <si>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</si>
  <si>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</si>
  <si>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</si>
  <si>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</si>
  <si>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</si>
  <si>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</si>
  <si>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</si>
  <si>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</si>
  <si>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</si>
  <si>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</si>
  <si>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</si>
  <si>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</si>
  <si>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</si>
  <si>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</si>
  <si>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</si>
  <si>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</si>
  <si>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</si>
  <si>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</si>
  <si>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</si>
  <si>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</si>
  <si>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</si>
  <si>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</si>
  <si>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</si>
  <si>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</si>
  <si>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</si>
  <si>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</si>
  <si>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</si>
  <si>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</si>
  <si>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</si>
  <si>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</si>
  <si>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</si>
  <si>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</si>
  <si>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</si>
  <si>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</si>
  <si>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</si>
  <si>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</si>
  <si>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</si>
  <si>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</si>
  <si>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</si>
  <si>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</si>
  <si>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</si>
  <si>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</si>
  <si>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</si>
  <si>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</si>
  <si>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</si>
  <si>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</si>
  <si>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</si>
  <si>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</si>
  <si>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</si>
  <si>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</si>
  <si>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</si>
  <si>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</si>
  <si>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</si>
  <si>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</si>
  <si>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</si>
  <si>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</si>
  <si>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</si>
  <si>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</si>
  <si>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</si>
  <si>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</si>
  <si>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</si>
  <si>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</si>
  <si>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</si>
  <si>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</si>
  <si>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</si>
  <si>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</si>
  <si>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</si>
  <si>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</si>
  <si>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</si>
  <si>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</si>
  <si>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</si>
  <si>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</si>
  <si>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</si>
  <si>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</si>
  <si>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</si>
  <si>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</si>
  <si>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</si>
  <si>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</si>
  <si>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</si>
  <si>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</si>
  <si>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</si>
  <si>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</si>
  <si>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</si>
  <si>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</si>
  <si>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</si>
  <si>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</si>
  <si>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</si>
  <si>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</si>
  <si>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</si>
  <si>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</si>
  <si>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</si>
  <si>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</si>
  <si>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</si>
  <si>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</si>
  <si>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</si>
  <si>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</si>
  <si>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</si>
  <si>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</si>
  <si>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</si>
  <si>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</si>
  <si>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</si>
  <si>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</si>
  <si>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</si>
  <si>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</si>
  <si>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</si>
  <si>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</si>
  <si>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</si>
  <si>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</si>
  <si>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</si>
  <si>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</si>
  <si>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</si>
  <si>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</si>
  <si>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</si>
  <si>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</si>
  <si>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</si>
  <si>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</si>
  <si>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</si>
  <si>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</si>
  <si>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</si>
  <si>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</si>
  <si>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</si>
  <si>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</si>
  <si>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</si>
  <si>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</si>
  <si>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</si>
  <si>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</si>
  <si>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</si>
  <si>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</si>
  <si>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</si>
  <si>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</si>
  <si>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</si>
  <si>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</si>
  <si>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</si>
  <si>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</si>
  <si>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</si>
  <si>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</si>
  <si>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</si>
  <si>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</si>
  <si>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</si>
  <si>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</si>
  <si>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</si>
  <si>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</si>
  <si>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</si>
  <si>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</si>
  <si>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</si>
  <si>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</si>
  <si>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</si>
  <si>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</si>
  <si>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</si>
  <si>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</si>
  <si>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</si>
  <si>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</si>
  <si>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</si>
  <si>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</si>
  <si>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</si>
  <si>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</si>
  <si>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</si>
  <si>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</si>
  <si>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</si>
  <si>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</si>
  <si>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</si>
  <si>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</si>
  <si>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</si>
  <si>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</si>
  <si>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</si>
  <si>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</si>
  <si>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</si>
  <si>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</si>
  <si>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</si>
  <si>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</si>
  <si>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</si>
  <si>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</si>
  <si>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</si>
  <si>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</si>
  <si>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</si>
  <si>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</si>
  <si>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</si>
  <si>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</si>
  <si>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</si>
  <si>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</si>
  <si>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</si>
  <si>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</si>
  <si>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</si>
  <si>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</si>
  <si>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</si>
  <si>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</si>
  <si>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</si>
  <si>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</si>
  <si>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</si>
  <si>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</si>
  <si>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</si>
  <si>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</si>
  <si>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</si>
  <si>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</si>
  <si>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</si>
  <si>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</si>
  <si>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</si>
  <si>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</si>
  <si>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</si>
  <si>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</si>
  <si>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</si>
  <si>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</si>
  <si>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</si>
  <si>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</si>
  <si>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</si>
  <si>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</si>
  <si>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</si>
  <si>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</si>
  <si>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</si>
  <si>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</si>
  <si>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</si>
  <si>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</si>
  <si>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</si>
  <si>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</si>
  <si>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</si>
  <si>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</si>
  <si>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</si>
  <si>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</si>
  <si>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</si>
  <si>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</si>
  <si>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</si>
  <si>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</si>
  <si>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</si>
  <si>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</si>
  <si>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</si>
  <si>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</si>
  <si>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</si>
  <si>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</si>
  <si>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</si>
  <si>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</si>
  <si>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</si>
  <si>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</si>
  <si>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</si>
  <si>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</si>
  <si>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</si>
  <si>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</si>
  <si>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</si>
  <si>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</si>
  <si>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</si>
  <si>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</si>
  <si>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</si>
  <si>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</si>
  <si>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</si>
  <si>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</si>
  <si>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</si>
  <si>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</si>
  <si>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</si>
  <si>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</si>
  <si>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</si>
  <si>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</si>
  <si>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</si>
  <si>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</si>
  <si>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</si>
  <si>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</si>
  <si>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</si>
  <si>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</si>
  <si>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</si>
  <si>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</si>
  <si>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</si>
  <si>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</si>
  <si>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</si>
  <si>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</si>
  <si>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</si>
  <si>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</si>
  <si>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</si>
  <si>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</si>
  <si>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</si>
  <si>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</si>
  <si>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</si>
  <si>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</si>
  <si>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</si>
  <si>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</si>
  <si>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</si>
  <si>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</si>
  <si>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</si>
  <si>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</si>
  <si>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</si>
  <si>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</si>
  <si>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</si>
  <si>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</si>
  <si>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</si>
  <si>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</si>
  <si>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</si>
  <si>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</si>
  <si>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</si>
  <si>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</si>
  <si>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</si>
  <si>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</si>
  <si>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</si>
  <si>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</si>
  <si>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</si>
  <si>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</si>
  <si>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</si>
  <si>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</si>
  <si>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</si>
  <si>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</si>
  <si>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</si>
  <si>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</si>
  <si>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</si>
  <si>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</si>
  <si>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</si>
  <si>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</si>
  <si>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</si>
  <si>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</si>
  <si>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</si>
  <si>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</si>
  <si>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</si>
  <si>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</si>
  <si>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</si>
  <si>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</si>
  <si>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</si>
  <si>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</si>
  <si>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</si>
  <si>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</si>
  <si>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</si>
  <si>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</si>
  <si>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</si>
  <si>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</si>
  <si>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</si>
  <si>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</si>
  <si>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</si>
  <si>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</si>
  <si>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</si>
  <si>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</si>
  <si>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</si>
  <si>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</si>
  <si>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</si>
  <si>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</si>
  <si>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</si>
  <si>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</si>
  <si>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</si>
  <si>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</si>
  <si>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</si>
  <si>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</si>
  <si>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</si>
  <si>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</si>
  <si>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</si>
  <si>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</si>
  <si>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</si>
  <si>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</si>
  <si>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</si>
  <si>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</si>
  <si>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</si>
  <si>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</si>
  <si>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</si>
  <si>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</si>
  <si>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</si>
  <si>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</si>
  <si>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</si>
  <si>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</si>
  <si>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</si>
  <si>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</si>
  <si>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</si>
  <si>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</si>
  <si>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</si>
  <si>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</si>
  <si>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</si>
  <si>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</si>
  <si>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</si>
  <si>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</si>
  <si>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</si>
  <si>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</si>
  <si>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</si>
  <si>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</si>
  <si>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</si>
  <si>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</si>
  <si>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</si>
  <si>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</si>
  <si>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</si>
  <si>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</si>
  <si>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</si>
  <si>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</si>
  <si>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</si>
  <si>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</si>
  <si>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</si>
  <si>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</si>
  <si>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</si>
  <si>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</si>
  <si>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</si>
  <si>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</si>
  <si>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</si>
  <si>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</si>
  <si>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</si>
  <si>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</si>
  <si>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</si>
  <si>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</si>
  <si>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</si>
  <si>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</si>
  <si>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</si>
  <si>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</si>
  <si>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</si>
  <si>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</si>
  <si>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</si>
  <si>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</si>
  <si>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</si>
  <si>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</si>
  <si>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</si>
  <si>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</si>
  <si>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</si>
  <si>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</si>
  <si>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</si>
  <si>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</si>
  <si>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</si>
  <si>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</si>
  <si>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</si>
  <si>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</si>
  <si>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</si>
  <si>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</si>
  <si>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</si>
  <si>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</si>
  <si>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</si>
  <si>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</si>
  <si>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</si>
  <si>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</si>
  <si>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</si>
  <si>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</si>
  <si>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</si>
  <si>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</si>
  <si>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</si>
  <si>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</si>
  <si>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</si>
  <si>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</si>
  <si>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</si>
  <si>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</si>
  <si>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</si>
  <si>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</si>
  <si>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</si>
  <si>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</si>
  <si>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</si>
  <si>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</si>
  <si>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</si>
  <si>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</si>
  <si>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</si>
  <si>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</si>
  <si>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</si>
  <si>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</si>
  <si>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</si>
  <si>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</si>
  <si>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</si>
  <si>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</si>
  <si>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</si>
  <si>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</si>
  <si>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</si>
  <si>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</si>
  <si>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</si>
  <si>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</si>
  <si>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</si>
  <si>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</si>
  <si>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</si>
  <si>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</si>
  <si>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</si>
  <si>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</si>
  <si>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</si>
  <si>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</si>
  <si>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</si>
  <si>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</si>
  <si>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</si>
  <si>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</si>
  <si>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</si>
  <si>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</si>
  <si>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</si>
  <si>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</si>
  <si>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</si>
  <si>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</si>
  <si>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</si>
  <si>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</si>
  <si>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</si>
  <si>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</si>
  <si>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</si>
  <si>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</si>
  <si>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</si>
  <si>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</si>
  <si>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</si>
  <si>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</si>
  <si>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</si>
  <si>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</si>
  <si>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</si>
  <si>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</si>
  <si>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</si>
  <si>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</si>
  <si>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</si>
  <si>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</si>
  <si>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</si>
  <si>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</si>
  <si>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</si>
  <si>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</si>
  <si>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</si>
  <si>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</si>
  <si>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</si>
  <si>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</si>
  <si>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</si>
  <si>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</si>
  <si>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</si>
  <si>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</si>
  <si>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</si>
  <si>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</si>
  <si>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</si>
  <si>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</si>
  <si>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</si>
  <si>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</si>
  <si>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</si>
  <si>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</si>
  <si>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</si>
  <si>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</si>
  <si>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</si>
  <si>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</si>
  <si>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</si>
  <si>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</si>
  <si>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</si>
  <si>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</si>
  <si>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</si>
  <si>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</si>
  <si>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</si>
  <si>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</si>
  <si>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</si>
  <si>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</si>
  <si>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</si>
  <si>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</si>
  <si>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</si>
  <si>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</si>
  <si>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</si>
  <si>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</si>
  <si>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</si>
  <si>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</si>
  <si>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</si>
  <si>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</si>
  <si>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</si>
  <si>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</si>
  <si>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</si>
  <si>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</si>
  <si>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</si>
  <si>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</si>
  <si>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</si>
  <si>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</si>
  <si>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</si>
  <si>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</si>
  <si>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</si>
  <si>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</si>
  <si>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</si>
  <si>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</si>
  <si>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</si>
  <si>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</si>
  <si>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</si>
  <si>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</si>
  <si>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</si>
  <si>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</si>
  <si>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</si>
  <si>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</si>
  <si>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</si>
  <si>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</si>
  <si>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</si>
  <si>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</si>
  <si>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</si>
  <si>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</si>
  <si>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</si>
  <si>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</si>
  <si>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</si>
  <si>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</si>
  <si>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</si>
  <si>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</si>
  <si>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</si>
  <si>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</si>
  <si>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</si>
  <si>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</si>
  <si>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</si>
  <si>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</si>
  <si>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</si>
  <si>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</si>
  <si>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</si>
  <si>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</si>
  <si>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</si>
  <si>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</si>
  <si>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</si>
  <si>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</si>
  <si>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</si>
  <si>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</si>
  <si>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</si>
  <si>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</si>
  <si>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</si>
  <si>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</si>
  <si>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</si>
  <si>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</si>
  <si>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</si>
  <si>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</si>
  <si>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</si>
  <si>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</si>
  <si>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</si>
  <si>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</si>
  <si>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</si>
  <si>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</si>
  <si>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</si>
  <si>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</si>
  <si>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</si>
  <si>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</si>
  <si>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</si>
  <si>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</si>
  <si>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</si>
  <si>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</si>
  <si>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</si>
  <si>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</si>
  <si>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</si>
  <si>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</si>
  <si>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</si>
  <si>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</si>
  <si>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</si>
  <si>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</si>
  <si>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</si>
  <si>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</si>
  <si>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</si>
  <si>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</si>
  <si>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</si>
  <si>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</si>
  <si>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</si>
  <si>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</si>
  <si>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</si>
  <si>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</si>
  <si>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</si>
  <si>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</si>
  <si>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</si>
  <si>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</si>
  <si>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</si>
  <si>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</si>
  <si>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</si>
  <si>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</si>
  <si>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</si>
  <si>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</si>
  <si>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</si>
  <si>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</si>
  <si>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</si>
  <si>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</si>
  <si>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</si>
  <si>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</si>
  <si>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</si>
  <si>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</si>
  <si>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</si>
  <si>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</si>
  <si>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</si>
  <si>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</si>
  <si>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</si>
  <si>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</si>
  <si>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</si>
  <si>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</si>
  <si>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</si>
  <si>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</si>
  <si>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</si>
  <si>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</si>
  <si>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</si>
  <si>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</si>
  <si>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</si>
  <si>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</si>
  <si>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</si>
  <si>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</si>
  <si>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</si>
  <si>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</si>
  <si>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</si>
  <si>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</si>
  <si>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</si>
  <si>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</si>
  <si>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</si>
  <si>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</si>
  <si>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</si>
  <si>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</si>
  <si>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</si>
  <si>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</si>
  <si>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</si>
  <si>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</si>
  <si>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</si>
  <si>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</si>
  <si>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</si>
  <si>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</si>
  <si>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</si>
  <si>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</si>
  <si>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</si>
  <si>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</si>
  <si>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</si>
  <si>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</si>
  <si>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</si>
  <si>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</si>
  <si>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</si>
  <si>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</si>
  <si>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</si>
  <si>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</si>
  <si>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</si>
  <si>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</si>
  <si>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</si>
  <si>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</si>
  <si>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</si>
  <si>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</si>
  <si>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</si>
  <si>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</si>
  <si>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</si>
  <si>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</si>
  <si>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заказу№1, машина 4, с 19,07 перенесена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</si>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</sst>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413" sqref="AA413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888</v>
      </c>
      <c r="I5" s="861"/>
      <c r="J5" s="861"/>
      <c r="K5" s="861"/>
      <c r="L5" s="861"/>
      <c r="M5" s="694"/>
      <c r="N5" s="58"/>
      <c r="P5" s="24" t="s">
        <v>10</v>
      </c>
      <c r="Q5" s="941">
        <v>46223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864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Понедельник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6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0.5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889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26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27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28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29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30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31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32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33</v>
      </c>
      <c r="B17" s="643" t="s">
        <v>34</v>
      </c>
      <c r="C17" s="763" t="s">
        <v>35</v>
      </c>
      <c r="D17" s="643" t="s">
        <v>36</v>
      </c>
      <c r="E17" s="719"/>
      <c r="F17" s="643" t="s">
        <v>37</v>
      </c>
      <c r="G17" s="643" t="s">
        <v>38</v>
      </c>
      <c r="H17" s="643" t="s">
        <v>39</v>
      </c>
      <c r="I17" s="643" t="s">
        <v>40</v>
      </c>
      <c r="J17" s="643" t="s">
        <v>41</v>
      </c>
      <c r="K17" s="643" t="s">
        <v>42</v>
      </c>
      <c r="L17" s="643" t="s">
        <v>43</v>
      </c>
      <c r="M17" s="643" t="s">
        <v>44</v>
      </c>
      <c r="N17" s="643" t="s">
        <v>45</v>
      </c>
      <c r="O17" s="643" t="s">
        <v>46</v>
      </c>
      <c r="P17" s="643" t="s">
        <v>47</v>
      </c>
      <c r="Q17" s="718"/>
      <c r="R17" s="718"/>
      <c r="S17" s="718"/>
      <c r="T17" s="719"/>
      <c r="U17" s="950" t="s">
        <v>48</v>
      </c>
      <c r="V17" s="636"/>
      <c r="W17" s="643" t="s">
        <v>49</v>
      </c>
      <c r="X17" s="643" t="s">
        <v>50</v>
      </c>
      <c r="Y17" s="965" t="s">
        <v>51</v>
      </c>
      <c r="Z17" s="977" t="s">
        <v>52</v>
      </c>
      <c r="AA17" s="842" t="s">
        <v>53</v>
      </c>
      <c r="AB17" s="842" t="s">
        <v>54</v>
      </c>
      <c r="AC17" s="842" t="s">
        <v>55</v>
      </c>
      <c r="AD17" s="842" t="s">
        <v>56</v>
      </c>
      <c r="AE17" s="924"/>
      <c r="AF17" s="925"/>
      <c r="AG17" s="66"/>
      <c r="BD17" s="65" t="s">
        <v>57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58</v>
      </c>
      <c r="V18" s="67" t="s">
        <v>59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60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60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61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66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66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71</v>
      </c>
      <c r="Q24" s="632"/>
      <c r="R24" s="632"/>
      <c r="S24" s="632"/>
      <c r="T24" s="632"/>
      <c r="U24" s="632"/>
      <c r="V24" s="633"/>
      <c r="W24" s="37" t="s">
        <v>72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71</v>
      </c>
      <c r="Q25" s="632"/>
      <c r="R25" s="632"/>
      <c r="S25" s="632"/>
      <c r="T25" s="632"/>
      <c r="U25" s="632"/>
      <c r="V25" s="633"/>
      <c r="W25" s="37" t="s">
        <v>66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73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66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66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66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66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66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71</v>
      </c>
      <c r="Q32" s="632"/>
      <c r="R32" s="632"/>
      <c r="S32" s="632"/>
      <c r="T32" s="632"/>
      <c r="U32" s="632"/>
      <c r="V32" s="633"/>
      <c r="W32" s="37" t="s">
        <v>72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71</v>
      </c>
      <c r="Q33" s="632"/>
      <c r="R33" s="632"/>
      <c r="S33" s="632"/>
      <c r="T33" s="632"/>
      <c r="U33" s="632"/>
      <c r="V33" s="633"/>
      <c r="W33" s="37" t="s">
        <v>66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91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66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71</v>
      </c>
      <c r="Q36" s="632"/>
      <c r="R36" s="632"/>
      <c r="S36" s="632"/>
      <c r="T36" s="632"/>
      <c r="U36" s="632"/>
      <c r="V36" s="633"/>
      <c r="W36" s="37" t="s">
        <v>72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71</v>
      </c>
      <c r="Q37" s="632"/>
      <c r="R37" s="632"/>
      <c r="S37" s="632"/>
      <c r="T37" s="632"/>
      <c r="U37" s="632"/>
      <c r="V37" s="633"/>
      <c r="W37" s="37" t="s">
        <v>66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97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98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66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66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66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66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66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71</v>
      </c>
      <c r="Q46" s="632"/>
      <c r="R46" s="632"/>
      <c r="S46" s="632"/>
      <c r="T46" s="632"/>
      <c r="U46" s="632"/>
      <c r="V46" s="633"/>
      <c r="W46" s="37" t="s">
        <v>72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71</v>
      </c>
      <c r="Q47" s="632"/>
      <c r="R47" s="632"/>
      <c r="S47" s="632"/>
      <c r="T47" s="632"/>
      <c r="U47" s="632"/>
      <c r="V47" s="633"/>
      <c r="W47" s="37" t="s">
        <v>66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114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115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116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66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66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66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66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71</v>
      </c>
      <c r="Q55" s="632"/>
      <c r="R55" s="632"/>
      <c r="S55" s="632"/>
      <c r="T55" s="632"/>
      <c r="U55" s="632"/>
      <c r="V55" s="633"/>
      <c r="W55" s="37" t="s">
        <v>72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71</v>
      </c>
      <c r="Q56" s="632"/>
      <c r="R56" s="632"/>
      <c r="S56" s="632"/>
      <c r="T56" s="632"/>
      <c r="U56" s="632"/>
      <c r="V56" s="633"/>
      <c r="W56" s="37" t="s">
        <v>66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39" t="s">
        <v>131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116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66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66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66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66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66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66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66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66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71</v>
      </c>
      <c r="Q67" s="632"/>
      <c r="R67" s="632"/>
      <c r="S67" s="632"/>
      <c r="T67" s="632"/>
      <c r="U67" s="632"/>
      <c r="V67" s="633"/>
      <c r="W67" s="37" t="s">
        <v>72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hidden="1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71</v>
      </c>
      <c r="Q68" s="632"/>
      <c r="R68" s="632"/>
      <c r="S68" s="632"/>
      <c r="T68" s="632"/>
      <c r="U68" s="632"/>
      <c r="V68" s="633"/>
      <c r="W68" s="37" t="s">
        <v>66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hidden="1" customHeight="1" x14ac:dyDescent="0.25">
      <c r="A69" s="628" t="s">
        <v>152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66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66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66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66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71</v>
      </c>
      <c r="Q74" s="632"/>
      <c r="R74" s="632"/>
      <c r="S74" s="632"/>
      <c r="T74" s="632"/>
      <c r="U74" s="632"/>
      <c r="V74" s="633"/>
      <c r="W74" s="37" t="s">
        <v>72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71</v>
      </c>
      <c r="Q75" s="632"/>
      <c r="R75" s="632"/>
      <c r="S75" s="632"/>
      <c r="T75" s="632"/>
      <c r="U75" s="632"/>
      <c r="V75" s="633"/>
      <c r="W75" s="37" t="s">
        <v>66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73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66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66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71</v>
      </c>
      <c r="Q79" s="632"/>
      <c r="R79" s="632"/>
      <c r="S79" s="632"/>
      <c r="T79" s="632"/>
      <c r="U79" s="632"/>
      <c r="V79" s="633"/>
      <c r="W79" s="37" t="s">
        <v>72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71</v>
      </c>
      <c r="Q80" s="632"/>
      <c r="R80" s="632"/>
      <c r="S80" s="632"/>
      <c r="T80" s="632"/>
      <c r="U80" s="632"/>
      <c r="V80" s="633"/>
      <c r="W80" s="37" t="s">
        <v>66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169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66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66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71</v>
      </c>
      <c r="Q84" s="632"/>
      <c r="R84" s="632"/>
      <c r="S84" s="632"/>
      <c r="T84" s="632"/>
      <c r="U84" s="632"/>
      <c r="V84" s="633"/>
      <c r="W84" s="37" t="s">
        <v>72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71</v>
      </c>
      <c r="Q85" s="632"/>
      <c r="R85" s="632"/>
      <c r="S85" s="632"/>
      <c r="T85" s="632"/>
      <c r="U85" s="632"/>
      <c r="V85" s="633"/>
      <c r="W85" s="37" t="s">
        <v>66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39" t="s">
        <v>176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116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66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66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66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66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71</v>
      </c>
      <c r="Q92" s="632"/>
      <c r="R92" s="632"/>
      <c r="S92" s="632"/>
      <c r="T92" s="632"/>
      <c r="U92" s="632"/>
      <c r="V92" s="633"/>
      <c r="W92" s="37" t="s">
        <v>72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71</v>
      </c>
      <c r="Q93" s="632"/>
      <c r="R93" s="632"/>
      <c r="S93" s="632"/>
      <c r="T93" s="632"/>
      <c r="U93" s="632"/>
      <c r="V93" s="633"/>
      <c r="W93" s="37" t="s">
        <v>66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73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66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66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66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66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71</v>
      </c>
      <c r="Q99" s="632"/>
      <c r="R99" s="632"/>
      <c r="S99" s="632"/>
      <c r="T99" s="632"/>
      <c r="U99" s="632"/>
      <c r="V99" s="633"/>
      <c r="W99" s="37" t="s">
        <v>72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71</v>
      </c>
      <c r="Q100" s="632"/>
      <c r="R100" s="632"/>
      <c r="S100" s="632"/>
      <c r="T100" s="632"/>
      <c r="U100" s="632"/>
      <c r="V100" s="633"/>
      <c r="W100" s="37" t="s">
        <v>66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39" t="s">
        <v>197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116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66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66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66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66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66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66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71</v>
      </c>
      <c r="Q109" s="632"/>
      <c r="R109" s="632"/>
      <c r="S109" s="632"/>
      <c r="T109" s="632"/>
      <c r="U109" s="632"/>
      <c r="V109" s="633"/>
      <c r="W109" s="37" t="s">
        <v>72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71</v>
      </c>
      <c r="Q110" s="632"/>
      <c r="R110" s="632"/>
      <c r="S110" s="632"/>
      <c r="T110" s="632"/>
      <c r="U110" s="632"/>
      <c r="V110" s="633"/>
      <c r="W110" s="37" t="s">
        <v>66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152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66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66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66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66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66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71</v>
      </c>
      <c r="Q117" s="632"/>
      <c r="R117" s="632"/>
      <c r="S117" s="632"/>
      <c r="T117" s="632"/>
      <c r="U117" s="632"/>
      <c r="V117" s="633"/>
      <c r="W117" s="37" t="s">
        <v>72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71</v>
      </c>
      <c r="Q118" s="632"/>
      <c r="R118" s="632"/>
      <c r="S118" s="632"/>
      <c r="T118" s="632"/>
      <c r="U118" s="632"/>
      <c r="V118" s="633"/>
      <c r="W118" s="37" t="s">
        <v>66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73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66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66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66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66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71</v>
      </c>
      <c r="Q124" s="632"/>
      <c r="R124" s="632"/>
      <c r="S124" s="632"/>
      <c r="T124" s="632"/>
      <c r="U124" s="632"/>
      <c r="V124" s="633"/>
      <c r="W124" s="37" t="s">
        <v>72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71</v>
      </c>
      <c r="Q125" s="632"/>
      <c r="R125" s="632"/>
      <c r="S125" s="632"/>
      <c r="T125" s="632"/>
      <c r="U125" s="632"/>
      <c r="V125" s="633"/>
      <c r="W125" s="37" t="s">
        <v>66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169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66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71</v>
      </c>
      <c r="Q128" s="632"/>
      <c r="R128" s="632"/>
      <c r="S128" s="632"/>
      <c r="T128" s="632"/>
      <c r="U128" s="632"/>
      <c r="V128" s="633"/>
      <c r="W128" s="37" t="s">
        <v>72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71</v>
      </c>
      <c r="Q129" s="632"/>
      <c r="R129" s="632"/>
      <c r="S129" s="632"/>
      <c r="T129" s="632"/>
      <c r="U129" s="632"/>
      <c r="V129" s="633"/>
      <c r="W129" s="37" t="s">
        <v>66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236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116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hidden="1" customHeight="1" x14ac:dyDescent="0.25">
      <c r="A132" s="54" t="s">
        <v>237</v>
      </c>
      <c r="B132" s="54" t="s">
        <v>238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76</v>
      </c>
      <c r="L132" s="32"/>
      <c r="M132" s="33" t="s">
        <v>94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66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239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237</v>
      </c>
      <c r="B133" s="54" t="s">
        <v>240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76</v>
      </c>
      <c r="L133" s="32"/>
      <c r="M133" s="33" t="s">
        <v>94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66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239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71</v>
      </c>
      <c r="Q134" s="632"/>
      <c r="R134" s="632"/>
      <c r="S134" s="632"/>
      <c r="T134" s="632"/>
      <c r="U134" s="632"/>
      <c r="V134" s="633"/>
      <c r="W134" s="37" t="s">
        <v>72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71</v>
      </c>
      <c r="Q135" s="632"/>
      <c r="R135" s="632"/>
      <c r="S135" s="632"/>
      <c r="T135" s="632"/>
      <c r="U135" s="632"/>
      <c r="V135" s="633"/>
      <c r="W135" s="37" t="s">
        <v>66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61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hidden="1" customHeight="1" x14ac:dyDescent="0.25">
      <c r="A137" s="54" t="s">
        <v>241</v>
      </c>
      <c r="B137" s="54" t="s">
        <v>242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76</v>
      </c>
      <c r="L137" s="32"/>
      <c r="M137" s="33" t="s">
        <v>94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66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243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241</v>
      </c>
      <c r="B138" s="54" t="s">
        <v>244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76</v>
      </c>
      <c r="L138" s="32"/>
      <c r="M138" s="33" t="s">
        <v>94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66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243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71</v>
      </c>
      <c r="Q139" s="632"/>
      <c r="R139" s="632"/>
      <c r="S139" s="632"/>
      <c r="T139" s="632"/>
      <c r="U139" s="632"/>
      <c r="V139" s="633"/>
      <c r="W139" s="37" t="s">
        <v>72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71</v>
      </c>
      <c r="Q140" s="632"/>
      <c r="R140" s="632"/>
      <c r="S140" s="632"/>
      <c r="T140" s="632"/>
      <c r="U140" s="632"/>
      <c r="V140" s="633"/>
      <c r="W140" s="37" t="s">
        <v>66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73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hidden="1" customHeight="1" x14ac:dyDescent="0.25">
      <c r="A142" s="54" t="s">
        <v>245</v>
      </c>
      <c r="B142" s="54" t="s">
        <v>246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66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239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245</v>
      </c>
      <c r="B143" s="54" t="s">
        <v>247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76</v>
      </c>
      <c r="L143" s="32"/>
      <c r="M143" s="33" t="s">
        <v>94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66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239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71</v>
      </c>
      <c r="Q144" s="632"/>
      <c r="R144" s="632"/>
      <c r="S144" s="632"/>
      <c r="T144" s="632"/>
      <c r="U144" s="632"/>
      <c r="V144" s="633"/>
      <c r="W144" s="37" t="s">
        <v>72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71</v>
      </c>
      <c r="Q145" s="632"/>
      <c r="R145" s="632"/>
      <c r="S145" s="632"/>
      <c r="T145" s="632"/>
      <c r="U145" s="632"/>
      <c r="V145" s="633"/>
      <c r="W145" s="37" t="s">
        <v>66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39" t="s">
        <v>248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73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249</v>
      </c>
      <c r="B148" s="54" t="s">
        <v>250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66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251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252</v>
      </c>
      <c r="B149" s="54" t="s">
        <v>253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66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254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66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66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71</v>
      </c>
      <c r="Q152" s="632"/>
      <c r="R152" s="632"/>
      <c r="S152" s="632"/>
      <c r="T152" s="632"/>
      <c r="U152" s="632"/>
      <c r="V152" s="633"/>
      <c r="W152" s="37" t="s">
        <v>72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71</v>
      </c>
      <c r="Q153" s="632"/>
      <c r="R153" s="632"/>
      <c r="S153" s="632"/>
      <c r="T153" s="632"/>
      <c r="U153" s="632"/>
      <c r="V153" s="633"/>
      <c r="W153" s="37" t="s">
        <v>66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114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116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261</v>
      </c>
      <c r="B156" s="54" t="s">
        <v>262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76</v>
      </c>
      <c r="L156" s="32"/>
      <c r="M156" s="33" t="s">
        <v>77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66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263</v>
      </c>
      <c r="AC156" s="203" t="s">
        <v>264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119</v>
      </c>
      <c r="L157" s="32"/>
      <c r="M157" s="33" t="s">
        <v>120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66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128</v>
      </c>
      <c r="L158" s="32"/>
      <c r="M158" s="33" t="s">
        <v>120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66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71</v>
      </c>
      <c r="Q159" s="632"/>
      <c r="R159" s="632"/>
      <c r="S159" s="632"/>
      <c r="T159" s="632"/>
      <c r="U159" s="632"/>
      <c r="V159" s="633"/>
      <c r="W159" s="37" t="s">
        <v>72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71</v>
      </c>
      <c r="Q160" s="632"/>
      <c r="R160" s="632"/>
      <c r="S160" s="632"/>
      <c r="T160" s="632"/>
      <c r="U160" s="632"/>
      <c r="V160" s="633"/>
      <c r="W160" s="37" t="s">
        <v>66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152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271</v>
      </c>
      <c r="B162" s="54" t="s">
        <v>272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64</v>
      </c>
      <c r="L162" s="32"/>
      <c r="M162" s="33" t="s">
        <v>65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66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71</v>
      </c>
      <c r="Q163" s="632"/>
      <c r="R163" s="632"/>
      <c r="S163" s="632"/>
      <c r="T163" s="632"/>
      <c r="U163" s="632"/>
      <c r="V163" s="633"/>
      <c r="W163" s="37" t="s">
        <v>72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71</v>
      </c>
      <c r="Q164" s="632"/>
      <c r="R164" s="632"/>
      <c r="S164" s="632"/>
      <c r="T164" s="632"/>
      <c r="U164" s="632"/>
      <c r="V164" s="633"/>
      <c r="W164" s="37" t="s">
        <v>66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61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hidden="1" customHeight="1" x14ac:dyDescent="0.25">
      <c r="A166" s="54" t="s">
        <v>274</v>
      </c>
      <c r="B166" s="54" t="s">
        <v>275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128</v>
      </c>
      <c r="L166" s="32"/>
      <c r="M166" s="33" t="s">
        <v>65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66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119</v>
      </c>
      <c r="L167" s="32"/>
      <c r="M167" s="33" t="s">
        <v>65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66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280</v>
      </c>
      <c r="B168" s="54" t="s">
        <v>281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128</v>
      </c>
      <c r="L168" s="32"/>
      <c r="M168" s="33" t="s">
        <v>65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66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283</v>
      </c>
      <c r="B169" s="54" t="s">
        <v>284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128</v>
      </c>
      <c r="L169" s="32"/>
      <c r="M169" s="33" t="s">
        <v>65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66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128</v>
      </c>
      <c r="L170" s="32"/>
      <c r="M170" s="33" t="s">
        <v>65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66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289</v>
      </c>
      <c r="B171" s="54" t="s">
        <v>290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124</v>
      </c>
      <c r="L171" s="32"/>
      <c r="M171" s="33" t="s">
        <v>65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66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291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64</v>
      </c>
      <c r="L172" s="32"/>
      <c r="M172" s="33" t="s">
        <v>65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66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276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124</v>
      </c>
      <c r="L173" s="32"/>
      <c r="M173" s="33" t="s">
        <v>65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66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294</v>
      </c>
      <c r="B174" s="54" t="s">
        <v>297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124</v>
      </c>
      <c r="L174" s="32"/>
      <c r="M174" s="33" t="s">
        <v>65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66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296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64</v>
      </c>
      <c r="L175" s="32"/>
      <c r="M175" s="33" t="s">
        <v>65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66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124</v>
      </c>
      <c r="L176" s="32"/>
      <c r="M176" s="33" t="s">
        <v>65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66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302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64</v>
      </c>
      <c r="L177" s="32"/>
      <c r="M177" s="33" t="s">
        <v>65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66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288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71</v>
      </c>
      <c r="Q178" s="632"/>
      <c r="R178" s="632"/>
      <c r="S178" s="632"/>
      <c r="T178" s="632"/>
      <c r="U178" s="632"/>
      <c r="V178" s="633"/>
      <c r="W178" s="37" t="s">
        <v>72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71</v>
      </c>
      <c r="Q179" s="632"/>
      <c r="R179" s="632"/>
      <c r="S179" s="632"/>
      <c r="T179" s="632"/>
      <c r="U179" s="632"/>
      <c r="V179" s="633"/>
      <c r="W179" s="37" t="s">
        <v>66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73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305</v>
      </c>
      <c r="B181" s="54" t="s">
        <v>306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76</v>
      </c>
      <c r="L181" s="32"/>
      <c r="M181" s="33" t="s">
        <v>83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66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307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308</v>
      </c>
      <c r="B182" s="54" t="s">
        <v>309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76</v>
      </c>
      <c r="L182" s="32"/>
      <c r="M182" s="33" t="s">
        <v>83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66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310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76</v>
      </c>
      <c r="L183" s="32"/>
      <c r="M183" s="33" t="s">
        <v>77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66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313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71</v>
      </c>
      <c r="Q184" s="632"/>
      <c r="R184" s="632"/>
      <c r="S184" s="632"/>
      <c r="T184" s="632"/>
      <c r="U184" s="632"/>
      <c r="V184" s="633"/>
      <c r="W184" s="37" t="s">
        <v>72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71</v>
      </c>
      <c r="Q185" s="632"/>
      <c r="R185" s="632"/>
      <c r="S185" s="632"/>
      <c r="T185" s="632"/>
      <c r="U185" s="632"/>
      <c r="V185" s="633"/>
      <c r="W185" s="37" t="s">
        <v>66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91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314</v>
      </c>
      <c r="B187" s="54" t="s">
        <v>315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316</v>
      </c>
      <c r="L187" s="32"/>
      <c r="M187" s="33" t="s">
        <v>317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66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318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319</v>
      </c>
      <c r="B188" s="54" t="s">
        <v>320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316</v>
      </c>
      <c r="L188" s="32"/>
      <c r="M188" s="33" t="s">
        <v>317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66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321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71</v>
      </c>
      <c r="Q189" s="632"/>
      <c r="R189" s="632"/>
      <c r="S189" s="632"/>
      <c r="T189" s="632"/>
      <c r="U189" s="632"/>
      <c r="V189" s="633"/>
      <c r="W189" s="37" t="s">
        <v>72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71</v>
      </c>
      <c r="Q190" s="632"/>
      <c r="R190" s="632"/>
      <c r="S190" s="632"/>
      <c r="T190" s="632"/>
      <c r="U190" s="632"/>
      <c r="V190" s="633"/>
      <c r="W190" s="37" t="s">
        <v>66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322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323</v>
      </c>
      <c r="B192" s="54" t="s">
        <v>324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316</v>
      </c>
      <c r="L192" s="32"/>
      <c r="M192" s="33" t="s">
        <v>317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66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71</v>
      </c>
      <c r="Q193" s="632"/>
      <c r="R193" s="632"/>
      <c r="S193" s="632"/>
      <c r="T193" s="632"/>
      <c r="U193" s="632"/>
      <c r="V193" s="633"/>
      <c r="W193" s="37" t="s">
        <v>72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71</v>
      </c>
      <c r="Q194" s="632"/>
      <c r="R194" s="632"/>
      <c r="S194" s="632"/>
      <c r="T194" s="632"/>
      <c r="U194" s="632"/>
      <c r="V194" s="633"/>
      <c r="W194" s="37" t="s">
        <v>66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326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327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116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328</v>
      </c>
      <c r="B198" s="54" t="s">
        <v>329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119</v>
      </c>
      <c r="L198" s="32"/>
      <c r="M198" s="33" t="s">
        <v>77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66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121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119</v>
      </c>
      <c r="L199" s="32"/>
      <c r="M199" s="33" t="s">
        <v>77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66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119</v>
      </c>
      <c r="L200" s="32"/>
      <c r="M200" s="33" t="s">
        <v>77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66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119</v>
      </c>
      <c r="L201" s="32"/>
      <c r="M201" s="33" t="s">
        <v>77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66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339</v>
      </c>
      <c r="B202" s="54" t="s">
        <v>340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119</v>
      </c>
      <c r="L202" s="32"/>
      <c r="M202" s="33" t="s">
        <v>77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66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342</v>
      </c>
      <c r="B203" s="54" t="s">
        <v>343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119</v>
      </c>
      <c r="L203" s="32"/>
      <c r="M203" s="33" t="s">
        <v>77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66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119</v>
      </c>
      <c r="L204" s="32"/>
      <c r="M204" s="33" t="s">
        <v>77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66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71</v>
      </c>
      <c r="Q205" s="632"/>
      <c r="R205" s="632"/>
      <c r="S205" s="632"/>
      <c r="T205" s="632"/>
      <c r="U205" s="632"/>
      <c r="V205" s="633"/>
      <c r="W205" s="37" t="s">
        <v>72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71</v>
      </c>
      <c r="Q206" s="632"/>
      <c r="R206" s="632"/>
      <c r="S206" s="632"/>
      <c r="T206" s="632"/>
      <c r="U206" s="632"/>
      <c r="V206" s="633"/>
      <c r="W206" s="37" t="s">
        <v>66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348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152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349</v>
      </c>
      <c r="B209" s="54" t="s">
        <v>350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64</v>
      </c>
      <c r="L209" s="32"/>
      <c r="M209" s="33" t="s">
        <v>65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66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351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71</v>
      </c>
      <c r="Q210" s="632"/>
      <c r="R210" s="632"/>
      <c r="S210" s="632"/>
      <c r="T210" s="632"/>
      <c r="U210" s="632"/>
      <c r="V210" s="633"/>
      <c r="W210" s="37" t="s">
        <v>72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71</v>
      </c>
      <c r="Q211" s="632"/>
      <c r="R211" s="632"/>
      <c r="S211" s="632"/>
      <c r="T211" s="632"/>
      <c r="U211" s="632"/>
      <c r="V211" s="633"/>
      <c r="W211" s="37" t="s">
        <v>66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61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352</v>
      </c>
      <c r="B213" s="54" t="s">
        <v>353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128</v>
      </c>
      <c r="L213" s="32"/>
      <c r="M213" s="33" t="s">
        <v>65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66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354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128</v>
      </c>
      <c r="L214" s="32"/>
      <c r="M214" s="33" t="s">
        <v>65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66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128</v>
      </c>
      <c r="L215" s="32"/>
      <c r="M215" s="33" t="s">
        <v>65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66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361</v>
      </c>
      <c r="B216" s="54" t="s">
        <v>362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64</v>
      </c>
      <c r="L216" s="32"/>
      <c r="M216" s="33" t="s">
        <v>65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66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66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354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66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368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66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357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64</v>
      </c>
      <c r="L220" s="32"/>
      <c r="M220" s="33" t="s">
        <v>65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66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373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64</v>
      </c>
      <c r="L221" s="32"/>
      <c r="M221" s="33" t="s">
        <v>65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66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64</v>
      </c>
      <c r="L222" s="32"/>
      <c r="M222" s="33" t="s">
        <v>65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66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124</v>
      </c>
      <c r="L223" s="32"/>
      <c r="M223" s="33" t="s">
        <v>65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66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66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360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76</v>
      </c>
      <c r="L225" s="32"/>
      <c r="M225" s="33" t="s">
        <v>65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66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360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66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71</v>
      </c>
      <c r="Q227" s="632"/>
      <c r="R227" s="632"/>
      <c r="S227" s="632"/>
      <c r="T227" s="632"/>
      <c r="U227" s="632"/>
      <c r="V227" s="633"/>
      <c r="W227" s="37" t="s">
        <v>72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71</v>
      </c>
      <c r="Q228" s="632"/>
      <c r="R228" s="632"/>
      <c r="S228" s="632"/>
      <c r="T228" s="632"/>
      <c r="U228" s="632"/>
      <c r="V228" s="633"/>
      <c r="W228" s="37" t="s">
        <v>66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390</v>
      </c>
      <c r="B230" s="54" t="s">
        <v>391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128</v>
      </c>
      <c r="L230" s="32"/>
      <c r="M230" s="33" t="s">
        <v>83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66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263</v>
      </c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393</v>
      </c>
      <c r="B231" s="54" t="s">
        <v>394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119</v>
      </c>
      <c r="L231" s="32"/>
      <c r="M231" s="33" t="s">
        <v>83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66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119</v>
      </c>
      <c r="L232" s="32"/>
      <c r="M232" s="33" t="s">
        <v>83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66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398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399</v>
      </c>
      <c r="B233" s="54" t="s">
        <v>400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128</v>
      </c>
      <c r="L233" s="32"/>
      <c r="M233" s="33" t="s">
        <v>83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66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401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128</v>
      </c>
      <c r="L234" s="32"/>
      <c r="M234" s="33" t="s">
        <v>83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66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398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71</v>
      </c>
      <c r="Q235" s="632"/>
      <c r="R235" s="632"/>
      <c r="S235" s="632"/>
      <c r="T235" s="632"/>
      <c r="U235" s="632"/>
      <c r="V235" s="633"/>
      <c r="W235" s="37" t="s">
        <v>72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71</v>
      </c>
      <c r="Q236" s="632"/>
      <c r="R236" s="632"/>
      <c r="S236" s="632"/>
      <c r="T236" s="632"/>
      <c r="U236" s="632"/>
      <c r="V236" s="633"/>
      <c r="W236" s="37" t="s">
        <v>66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91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404</v>
      </c>
      <c r="B238" s="54" t="s">
        <v>405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316</v>
      </c>
      <c r="L238" s="32"/>
      <c r="M238" s="33" t="s">
        <v>317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66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406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407</v>
      </c>
      <c r="B239" s="54" t="s">
        <v>408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316</v>
      </c>
      <c r="L239" s="32"/>
      <c r="M239" s="33" t="s">
        <v>317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66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316</v>
      </c>
      <c r="L240" s="32"/>
      <c r="M240" s="33" t="s">
        <v>317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66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409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71</v>
      </c>
      <c r="Q241" s="632"/>
      <c r="R241" s="632"/>
      <c r="S241" s="632"/>
      <c r="T241" s="632"/>
      <c r="U241" s="632"/>
      <c r="V241" s="633"/>
      <c r="W241" s="37" t="s">
        <v>72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71</v>
      </c>
      <c r="Q242" s="632"/>
      <c r="R242" s="632"/>
      <c r="S242" s="632"/>
      <c r="T242" s="632"/>
      <c r="U242" s="632"/>
      <c r="V242" s="633"/>
      <c r="W242" s="37" t="s">
        <v>66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412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hidden="1" customHeight="1" x14ac:dyDescent="0.25">
      <c r="A244" s="54" t="s">
        <v>413</v>
      </c>
      <c r="B244" s="54" t="s">
        <v>414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316</v>
      </c>
      <c r="L244" s="32"/>
      <c r="M244" s="33" t="s">
        <v>317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66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409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71</v>
      </c>
      <c r="Q245" s="632"/>
      <c r="R245" s="632"/>
      <c r="S245" s="632"/>
      <c r="T245" s="632"/>
      <c r="U245" s="632"/>
      <c r="V245" s="633"/>
      <c r="W245" s="37" t="s">
        <v>72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71</v>
      </c>
      <c r="Q246" s="632"/>
      <c r="R246" s="632"/>
      <c r="S246" s="632"/>
      <c r="T246" s="632"/>
      <c r="U246" s="632"/>
      <c r="V246" s="633"/>
      <c r="W246" s="37" t="s">
        <v>66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39" t="s">
        <v>415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416</v>
      </c>
      <c r="B249" s="54" t="s">
        <v>417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119</v>
      </c>
      <c r="L249" s="32"/>
      <c r="M249" s="33" t="s">
        <v>120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66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418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419</v>
      </c>
      <c r="B250" s="54" t="s">
        <v>420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76</v>
      </c>
      <c r="L250" s="32"/>
      <c r="M250" s="33" t="s">
        <v>120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66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71</v>
      </c>
      <c r="Q251" s="632"/>
      <c r="R251" s="632"/>
      <c r="S251" s="632"/>
      <c r="T251" s="632"/>
      <c r="U251" s="632"/>
      <c r="V251" s="633"/>
      <c r="W251" s="37" t="s">
        <v>72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71</v>
      </c>
      <c r="Q252" s="632"/>
      <c r="R252" s="632"/>
      <c r="S252" s="632"/>
      <c r="T252" s="632"/>
      <c r="U252" s="632"/>
      <c r="V252" s="633"/>
      <c r="W252" s="37" t="s">
        <v>66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152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421</v>
      </c>
      <c r="B254" s="54" t="s">
        <v>422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119</v>
      </c>
      <c r="L254" s="32"/>
      <c r="M254" s="33" t="s">
        <v>120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66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423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424</v>
      </c>
      <c r="B255" s="54" t="s">
        <v>425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76</v>
      </c>
      <c r="L255" s="32"/>
      <c r="M255" s="33" t="s">
        <v>120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66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423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71</v>
      </c>
      <c r="Q256" s="632"/>
      <c r="R256" s="632"/>
      <c r="S256" s="632"/>
      <c r="T256" s="632"/>
      <c r="U256" s="632"/>
      <c r="V256" s="633"/>
      <c r="W256" s="37" t="s">
        <v>72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71</v>
      </c>
      <c r="Q257" s="632"/>
      <c r="R257" s="632"/>
      <c r="S257" s="632"/>
      <c r="T257" s="632"/>
      <c r="U257" s="632"/>
      <c r="V257" s="633"/>
      <c r="W257" s="37" t="s">
        <v>66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61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426</v>
      </c>
      <c r="B259" s="54" t="s">
        <v>427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128</v>
      </c>
      <c r="L259" s="32"/>
      <c r="M259" s="33" t="s">
        <v>65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66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428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128</v>
      </c>
      <c r="L260" s="32"/>
      <c r="M260" s="33" t="s">
        <v>65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66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431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432</v>
      </c>
      <c r="B261" s="54" t="s">
        <v>433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128</v>
      </c>
      <c r="L261" s="32"/>
      <c r="M261" s="33" t="s">
        <v>65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66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434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435</v>
      </c>
      <c r="B262" s="54" t="s">
        <v>436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128</v>
      </c>
      <c r="L262" s="32"/>
      <c r="M262" s="33" t="s">
        <v>65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66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437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64</v>
      </c>
      <c r="L263" s="32"/>
      <c r="M263" s="33" t="s">
        <v>65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66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428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64</v>
      </c>
      <c r="L264" s="32"/>
      <c r="M264" s="33" t="s">
        <v>65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66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431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64</v>
      </c>
      <c r="L265" s="32"/>
      <c r="M265" s="33" t="s">
        <v>65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66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434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64</v>
      </c>
      <c r="L266" s="32"/>
      <c r="M266" s="33" t="s">
        <v>65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66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437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71</v>
      </c>
      <c r="Q267" s="632"/>
      <c r="R267" s="632"/>
      <c r="S267" s="632"/>
      <c r="T267" s="632"/>
      <c r="U267" s="632"/>
      <c r="V267" s="633"/>
      <c r="W267" s="37" t="s">
        <v>72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71</v>
      </c>
      <c r="Q268" s="632"/>
      <c r="R268" s="632"/>
      <c r="S268" s="632"/>
      <c r="T268" s="632"/>
      <c r="U268" s="632"/>
      <c r="V268" s="633"/>
      <c r="W268" s="37" t="s">
        <v>66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73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446</v>
      </c>
      <c r="B270" s="54" t="s">
        <v>447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119</v>
      </c>
      <c r="L270" s="32"/>
      <c r="M270" s="33" t="s">
        <v>77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66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119</v>
      </c>
      <c r="L271" s="32"/>
      <c r="M271" s="33" t="s">
        <v>77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66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451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452</v>
      </c>
      <c r="B272" s="54" t="s">
        <v>453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119</v>
      </c>
      <c r="L272" s="32"/>
      <c r="M272" s="33" t="s">
        <v>77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66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454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455</v>
      </c>
      <c r="B273" s="54" t="s">
        <v>456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66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76</v>
      </c>
      <c r="L274" s="32"/>
      <c r="M274" s="33" t="s">
        <v>83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66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454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128</v>
      </c>
      <c r="L275" s="32"/>
      <c r="M275" s="33" t="s">
        <v>77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66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461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462</v>
      </c>
      <c r="B276" s="54" t="s">
        <v>463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76</v>
      </c>
      <c r="L276" s="32"/>
      <c r="M276" s="33" t="s">
        <v>77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66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454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464</v>
      </c>
      <c r="B277" s="54" t="s">
        <v>465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119</v>
      </c>
      <c r="L277" s="32"/>
      <c r="M277" s="33" t="s">
        <v>77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66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461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466</v>
      </c>
      <c r="B278" s="54" t="s">
        <v>467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76</v>
      </c>
      <c r="L278" s="32"/>
      <c r="M278" s="33" t="s">
        <v>77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66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454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76</v>
      </c>
      <c r="L279" s="32"/>
      <c r="M279" s="33" t="s">
        <v>83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66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470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76</v>
      </c>
      <c r="L280" s="32"/>
      <c r="M280" s="33" t="s">
        <v>77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66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473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474</v>
      </c>
      <c r="B281" s="54" t="s">
        <v>475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66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476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71</v>
      </c>
      <c r="Q282" s="632"/>
      <c r="R282" s="632"/>
      <c r="S282" s="632"/>
      <c r="T282" s="632"/>
      <c r="U282" s="632"/>
      <c r="V282" s="633"/>
      <c r="W282" s="37" t="s">
        <v>72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71</v>
      </c>
      <c r="Q283" s="632"/>
      <c r="R283" s="632"/>
      <c r="S283" s="632"/>
      <c r="T283" s="632"/>
      <c r="U283" s="632"/>
      <c r="V283" s="633"/>
      <c r="W283" s="37" t="s">
        <v>66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169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hidden="1" customHeight="1" x14ac:dyDescent="0.25">
      <c r="A285" s="54" t="s">
        <v>477</v>
      </c>
      <c r="B285" s="54" t="s">
        <v>478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66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479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480</v>
      </c>
      <c r="B286" s="54" t="s">
        <v>481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66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482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71</v>
      </c>
      <c r="Q287" s="632"/>
      <c r="R287" s="632"/>
      <c r="S287" s="632"/>
      <c r="T287" s="632"/>
      <c r="U287" s="632"/>
      <c r="V287" s="633"/>
      <c r="W287" s="37" t="s">
        <v>72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71</v>
      </c>
      <c r="Q288" s="632"/>
      <c r="R288" s="632"/>
      <c r="S288" s="632"/>
      <c r="T288" s="632"/>
      <c r="U288" s="632"/>
      <c r="V288" s="633"/>
      <c r="W288" s="37" t="s">
        <v>66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39" t="s">
        <v>483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484</v>
      </c>
      <c r="B291" s="54" t="s">
        <v>485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119</v>
      </c>
      <c r="L291" s="32"/>
      <c r="M291" s="33" t="s">
        <v>120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66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486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487</v>
      </c>
      <c r="B292" s="54" t="s">
        <v>488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119</v>
      </c>
      <c r="L292" s="32"/>
      <c r="M292" s="33" t="s">
        <v>120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66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489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490</v>
      </c>
      <c r="B293" s="54" t="s">
        <v>491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119</v>
      </c>
      <c r="L293" s="32"/>
      <c r="M293" s="33" t="s">
        <v>120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66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344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128</v>
      </c>
      <c r="L294" s="32"/>
      <c r="M294" s="33" t="s">
        <v>120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66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486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128</v>
      </c>
      <c r="L295" s="32"/>
      <c r="M295" s="33" t="s">
        <v>120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66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496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497</v>
      </c>
      <c r="B296" s="54" t="s">
        <v>498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76</v>
      </c>
      <c r="L296" s="32"/>
      <c r="M296" s="33" t="s">
        <v>120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66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499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500</v>
      </c>
      <c r="B297" s="54" t="s">
        <v>501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128</v>
      </c>
      <c r="L297" s="32"/>
      <c r="M297" s="33" t="s">
        <v>120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66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344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71</v>
      </c>
      <c r="Q298" s="632"/>
      <c r="R298" s="632"/>
      <c r="S298" s="632"/>
      <c r="T298" s="632"/>
      <c r="U298" s="632"/>
      <c r="V298" s="633"/>
      <c r="W298" s="37" t="s">
        <v>72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71</v>
      </c>
      <c r="Q299" s="632"/>
      <c r="R299" s="632"/>
      <c r="S299" s="632"/>
      <c r="T299" s="632"/>
      <c r="U299" s="632"/>
      <c r="V299" s="633"/>
      <c r="W299" s="37" t="s">
        <v>66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152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502</v>
      </c>
      <c r="B301" s="54" t="s">
        <v>503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64</v>
      </c>
      <c r="L301" s="32"/>
      <c r="M301" s="33" t="s">
        <v>77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66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71</v>
      </c>
      <c r="Q302" s="632"/>
      <c r="R302" s="632"/>
      <c r="S302" s="632"/>
      <c r="T302" s="632"/>
      <c r="U302" s="632"/>
      <c r="V302" s="633"/>
      <c r="W302" s="37" t="s">
        <v>72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71</v>
      </c>
      <c r="Q303" s="632"/>
      <c r="R303" s="632"/>
      <c r="S303" s="632"/>
      <c r="T303" s="632"/>
      <c r="U303" s="632"/>
      <c r="V303" s="633"/>
      <c r="W303" s="37" t="s">
        <v>66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505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506</v>
      </c>
      <c r="B305" s="54" t="s">
        <v>507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316</v>
      </c>
      <c r="L305" s="32"/>
      <c r="M305" s="33" t="s">
        <v>317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66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508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71</v>
      </c>
      <c r="Q306" s="632"/>
      <c r="R306" s="632"/>
      <c r="S306" s="632"/>
      <c r="T306" s="632"/>
      <c r="U306" s="632"/>
      <c r="V306" s="633"/>
      <c r="W306" s="37" t="s">
        <v>72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71</v>
      </c>
      <c r="Q307" s="632"/>
      <c r="R307" s="632"/>
      <c r="S307" s="632"/>
      <c r="T307" s="632"/>
      <c r="U307" s="632"/>
      <c r="V307" s="633"/>
      <c r="W307" s="37" t="s">
        <v>66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322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509</v>
      </c>
      <c r="B309" s="54" t="s">
        <v>510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316</v>
      </c>
      <c r="L309" s="32"/>
      <c r="M309" s="33" t="s">
        <v>317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66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511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512</v>
      </c>
      <c r="B310" s="54" t="s">
        <v>513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316</v>
      </c>
      <c r="L310" s="32"/>
      <c r="M310" s="33" t="s">
        <v>317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66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511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316</v>
      </c>
      <c r="L311" s="32"/>
      <c r="M311" s="33" t="s">
        <v>317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66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511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71</v>
      </c>
      <c r="Q312" s="632"/>
      <c r="R312" s="632"/>
      <c r="S312" s="632"/>
      <c r="T312" s="632"/>
      <c r="U312" s="632"/>
      <c r="V312" s="633"/>
      <c r="W312" s="37" t="s">
        <v>72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71</v>
      </c>
      <c r="Q313" s="632"/>
      <c r="R313" s="632"/>
      <c r="S313" s="632"/>
      <c r="T313" s="632"/>
      <c r="U313" s="632"/>
      <c r="V313" s="633"/>
      <c r="W313" s="37" t="s">
        <v>66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116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517</v>
      </c>
      <c r="B316" s="54" t="s">
        <v>518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119</v>
      </c>
      <c r="L316" s="32"/>
      <c r="M316" s="33" t="s">
        <v>120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66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519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520</v>
      </c>
      <c r="B317" s="54" t="s">
        <v>521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119</v>
      </c>
      <c r="L317" s="32"/>
      <c r="M317" s="33" t="s">
        <v>120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66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522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523</v>
      </c>
      <c r="B318" s="54" t="s">
        <v>524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119</v>
      </c>
      <c r="L318" s="32"/>
      <c r="M318" s="33" t="s">
        <v>120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66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525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526</v>
      </c>
      <c r="B319" s="54" t="s">
        <v>527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128</v>
      </c>
      <c r="L319" s="32"/>
      <c r="M319" s="33" t="s">
        <v>120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66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528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529</v>
      </c>
      <c r="B320" s="54" t="s">
        <v>530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128</v>
      </c>
      <c r="L320" s="32"/>
      <c r="M320" s="33" t="s">
        <v>120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66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531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71</v>
      </c>
      <c r="Q321" s="632"/>
      <c r="R321" s="632"/>
      <c r="S321" s="632"/>
      <c r="T321" s="632"/>
      <c r="U321" s="632"/>
      <c r="V321" s="633"/>
      <c r="W321" s="37" t="s">
        <v>72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71</v>
      </c>
      <c r="Q322" s="632"/>
      <c r="R322" s="632"/>
      <c r="S322" s="632"/>
      <c r="T322" s="632"/>
      <c r="U322" s="632"/>
      <c r="V322" s="633"/>
      <c r="W322" s="37" t="s">
        <v>66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532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73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533</v>
      </c>
      <c r="B325" s="54" t="s">
        <v>534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76</v>
      </c>
      <c r="L325" s="32"/>
      <c r="M325" s="33" t="s">
        <v>77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66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535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536</v>
      </c>
      <c r="B326" s="54" t="s">
        <v>537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76</v>
      </c>
      <c r="L326" s="32"/>
      <c r="M326" s="33" t="s">
        <v>83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66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538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76</v>
      </c>
      <c r="L327" s="32"/>
      <c r="M327" s="33" t="s">
        <v>77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66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535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71</v>
      </c>
      <c r="Q328" s="632"/>
      <c r="R328" s="632"/>
      <c r="S328" s="632"/>
      <c r="T328" s="632"/>
      <c r="U328" s="632"/>
      <c r="V328" s="633"/>
      <c r="W328" s="37" t="s">
        <v>72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71</v>
      </c>
      <c r="Q329" s="632"/>
      <c r="R329" s="632"/>
      <c r="S329" s="632"/>
      <c r="T329" s="632"/>
      <c r="U329" s="632"/>
      <c r="V329" s="633"/>
      <c r="W329" s="37" t="s">
        <v>66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39" t="s">
        <v>541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61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542</v>
      </c>
      <c r="B332" s="54" t="s">
        <v>543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64</v>
      </c>
      <c r="L332" s="32"/>
      <c r="M332" s="33" t="s">
        <v>65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66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376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544</v>
      </c>
      <c r="B333" s="54" t="s">
        <v>545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64</v>
      </c>
      <c r="L333" s="32"/>
      <c r="M333" s="33" t="s">
        <v>65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66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546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547</v>
      </c>
      <c r="B334" s="54" t="s">
        <v>548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64</v>
      </c>
      <c r="L334" s="32"/>
      <c r="M334" s="33" t="s">
        <v>65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66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549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550</v>
      </c>
      <c r="B335" s="54" t="s">
        <v>551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76</v>
      </c>
      <c r="L335" s="32"/>
      <c r="M335" s="33" t="s">
        <v>65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66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552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553</v>
      </c>
      <c r="B336" s="54" t="s">
        <v>554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64</v>
      </c>
      <c r="L336" s="32"/>
      <c r="M336" s="33" t="s">
        <v>65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66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555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71</v>
      </c>
      <c r="Q337" s="632"/>
      <c r="R337" s="632"/>
      <c r="S337" s="632"/>
      <c r="T337" s="632"/>
      <c r="U337" s="632"/>
      <c r="V337" s="633"/>
      <c r="W337" s="37" t="s">
        <v>72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71</v>
      </c>
      <c r="Q338" s="632"/>
      <c r="R338" s="632"/>
      <c r="S338" s="632"/>
      <c r="T338" s="632"/>
      <c r="U338" s="632"/>
      <c r="V338" s="633"/>
      <c r="W338" s="37" t="s">
        <v>66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73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556</v>
      </c>
      <c r="B340" s="54" t="s">
        <v>557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128</v>
      </c>
      <c r="L340" s="32"/>
      <c r="M340" s="33" t="s">
        <v>77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66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558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128</v>
      </c>
      <c r="L341" s="32"/>
      <c r="M341" s="33" t="s">
        <v>77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66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561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71</v>
      </c>
      <c r="Q342" s="632"/>
      <c r="R342" s="632"/>
      <c r="S342" s="632"/>
      <c r="T342" s="632"/>
      <c r="U342" s="632"/>
      <c r="V342" s="633"/>
      <c r="W342" s="37" t="s">
        <v>72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71</v>
      </c>
      <c r="Q343" s="632"/>
      <c r="R343" s="632"/>
      <c r="S343" s="632"/>
      <c r="T343" s="632"/>
      <c r="U343" s="632"/>
      <c r="V343" s="633"/>
      <c r="W343" s="37" t="s">
        <v>66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562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116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hidden="1" customHeight="1" x14ac:dyDescent="0.25">
      <c r="A346" s="54" t="s">
        <v>563</v>
      </c>
      <c r="B346" s="54" t="s">
        <v>564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119</v>
      </c>
      <c r="L346" s="32"/>
      <c r="M346" s="33" t="s">
        <v>77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66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565</v>
      </c>
      <c r="B347" s="54" t="s">
        <v>566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119</v>
      </c>
      <c r="L347" s="32"/>
      <c r="M347" s="33" t="s">
        <v>77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66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567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568</v>
      </c>
      <c r="B348" s="54" t="s">
        <v>569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119</v>
      </c>
      <c r="L348" s="32"/>
      <c r="M348" s="33" t="s">
        <v>77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66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570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71</v>
      </c>
      <c r="Q349" s="632"/>
      <c r="R349" s="632"/>
      <c r="S349" s="632"/>
      <c r="T349" s="632"/>
      <c r="U349" s="632"/>
      <c r="V349" s="633"/>
      <c r="W349" s="37" t="s">
        <v>72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71</v>
      </c>
      <c r="Q350" s="632"/>
      <c r="R350" s="632"/>
      <c r="S350" s="632"/>
      <c r="T350" s="632"/>
      <c r="U350" s="632"/>
      <c r="V350" s="633"/>
      <c r="W350" s="37" t="s">
        <v>66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39" t="s">
        <v>571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116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572</v>
      </c>
      <c r="B353" s="54" t="s">
        <v>573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119</v>
      </c>
      <c r="L353" s="32"/>
      <c r="M353" s="33" t="s">
        <v>120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66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574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575</v>
      </c>
      <c r="B354" s="54" t="s">
        <v>576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119</v>
      </c>
      <c r="L354" s="32"/>
      <c r="M354" s="33" t="s">
        <v>120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66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577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578</v>
      </c>
      <c r="B355" s="54" t="s">
        <v>579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119</v>
      </c>
      <c r="L355" s="32"/>
      <c r="M355" s="33" t="s">
        <v>77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66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580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581</v>
      </c>
      <c r="B356" s="54" t="s">
        <v>582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128</v>
      </c>
      <c r="L356" s="32"/>
      <c r="M356" s="33" t="s">
        <v>120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66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574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583</v>
      </c>
      <c r="B357" s="54" t="s">
        <v>584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128</v>
      </c>
      <c r="L357" s="32"/>
      <c r="M357" s="33" t="s">
        <v>120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66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585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71</v>
      </c>
      <c r="Q358" s="632"/>
      <c r="R358" s="632"/>
      <c r="S358" s="632"/>
      <c r="T358" s="632"/>
      <c r="U358" s="632"/>
      <c r="V358" s="633"/>
      <c r="W358" s="37" t="s">
        <v>72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71</v>
      </c>
      <c r="Q359" s="632"/>
      <c r="R359" s="632"/>
      <c r="S359" s="632"/>
      <c r="T359" s="632"/>
      <c r="U359" s="632"/>
      <c r="V359" s="633"/>
      <c r="W359" s="37" t="s">
        <v>66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61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586</v>
      </c>
      <c r="B361" s="54" t="s">
        <v>587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128</v>
      </c>
      <c r="L361" s="32"/>
      <c r="M361" s="33" t="s">
        <v>65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66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128</v>
      </c>
      <c r="L362" s="32"/>
      <c r="M362" s="33" t="s">
        <v>65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66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128</v>
      </c>
      <c r="L363" s="32"/>
      <c r="M363" s="33" t="s">
        <v>65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66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595</v>
      </c>
      <c r="B364" s="54" t="s">
        <v>596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64</v>
      </c>
      <c r="L364" s="32"/>
      <c r="M364" s="33" t="s">
        <v>65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66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597</v>
      </c>
      <c r="B365" s="54" t="s">
        <v>598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64</v>
      </c>
      <c r="L365" s="32"/>
      <c r="M365" s="33" t="s">
        <v>65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66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599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600</v>
      </c>
      <c r="B366" s="54" t="s">
        <v>601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128</v>
      </c>
      <c r="L366" s="32"/>
      <c r="M366" s="33" t="s">
        <v>65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66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602</v>
      </c>
      <c r="B367" s="54" t="s">
        <v>603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76</v>
      </c>
      <c r="L367" s="32"/>
      <c r="M367" s="33" t="s">
        <v>65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66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604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71</v>
      </c>
      <c r="Q368" s="632"/>
      <c r="R368" s="632"/>
      <c r="S368" s="632"/>
      <c r="T368" s="632"/>
      <c r="U368" s="632"/>
      <c r="V368" s="633"/>
      <c r="W368" s="37" t="s">
        <v>72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71</v>
      </c>
      <c r="Q369" s="632"/>
      <c r="R369" s="632"/>
      <c r="S369" s="632"/>
      <c r="T369" s="632"/>
      <c r="U369" s="632"/>
      <c r="V369" s="633"/>
      <c r="W369" s="37" t="s">
        <v>66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605</v>
      </c>
      <c r="B371" s="54" t="s">
        <v>606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119</v>
      </c>
      <c r="L371" s="32"/>
      <c r="M371" s="33" t="s">
        <v>77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66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607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608</v>
      </c>
      <c r="B372" s="54" t="s">
        <v>609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119</v>
      </c>
      <c r="L372" s="32"/>
      <c r="M372" s="33" t="s">
        <v>77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66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610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611</v>
      </c>
      <c r="B373" s="54" t="s">
        <v>612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119</v>
      </c>
      <c r="L373" s="32"/>
      <c r="M373" s="33" t="s">
        <v>77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66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613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614</v>
      </c>
      <c r="B374" s="54" t="s">
        <v>615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76</v>
      </c>
      <c r="L374" s="32"/>
      <c r="M374" s="33" t="s">
        <v>77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66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607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71</v>
      </c>
      <c r="Q375" s="632"/>
      <c r="R375" s="632"/>
      <c r="S375" s="632"/>
      <c r="T375" s="632"/>
      <c r="U375" s="632"/>
      <c r="V375" s="633"/>
      <c r="W375" s="37" t="s">
        <v>72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71</v>
      </c>
      <c r="Q376" s="632"/>
      <c r="R376" s="632"/>
      <c r="S376" s="632"/>
      <c r="T376" s="632"/>
      <c r="U376" s="632"/>
      <c r="V376" s="633"/>
      <c r="W376" s="37" t="s">
        <v>66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169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hidden="1" customHeight="1" x14ac:dyDescent="0.25">
      <c r="A378" s="54" t="s">
        <v>616</v>
      </c>
      <c r="B378" s="54" t="s">
        <v>617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119</v>
      </c>
      <c r="L378" s="32"/>
      <c r="M378" s="33" t="s">
        <v>77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66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618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119</v>
      </c>
      <c r="L379" s="32"/>
      <c r="M379" s="33" t="s">
        <v>77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66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621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622</v>
      </c>
      <c r="B380" s="54" t="s">
        <v>623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119</v>
      </c>
      <c r="L380" s="32"/>
      <c r="M380" s="33" t="s">
        <v>83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66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624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71</v>
      </c>
      <c r="Q381" s="632"/>
      <c r="R381" s="632"/>
      <c r="S381" s="632"/>
      <c r="T381" s="632"/>
      <c r="U381" s="632"/>
      <c r="V381" s="633"/>
      <c r="W381" s="37" t="s">
        <v>72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71</v>
      </c>
      <c r="Q382" s="632"/>
      <c r="R382" s="632"/>
      <c r="S382" s="632"/>
      <c r="T382" s="632"/>
      <c r="U382" s="632"/>
      <c r="V382" s="633"/>
      <c r="W382" s="37" t="s">
        <v>66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91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625</v>
      </c>
      <c r="B384" s="54" t="s">
        <v>626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128</v>
      </c>
      <c r="L384" s="32"/>
      <c r="M384" s="33" t="s">
        <v>94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66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627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128</v>
      </c>
      <c r="L385" s="32"/>
      <c r="M385" s="33" t="s">
        <v>94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66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627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76</v>
      </c>
      <c r="L386" s="32"/>
      <c r="M386" s="33" t="s">
        <v>94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66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627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76</v>
      </c>
      <c r="L387" s="32"/>
      <c r="M387" s="33" t="s">
        <v>94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66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627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71</v>
      </c>
      <c r="Q388" s="632"/>
      <c r="R388" s="632"/>
      <c r="S388" s="632"/>
      <c r="T388" s="632"/>
      <c r="U388" s="632"/>
      <c r="V388" s="633"/>
      <c r="W388" s="37" t="s">
        <v>72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71</v>
      </c>
      <c r="Q389" s="632"/>
      <c r="R389" s="632"/>
      <c r="S389" s="632"/>
      <c r="T389" s="632"/>
      <c r="U389" s="632"/>
      <c r="V389" s="633"/>
      <c r="W389" s="37" t="s">
        <v>66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634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635</v>
      </c>
      <c r="B391" s="54" t="s">
        <v>636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76</v>
      </c>
      <c r="L391" s="32"/>
      <c r="M391" s="33" t="s">
        <v>637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66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638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76</v>
      </c>
      <c r="L392" s="32"/>
      <c r="M392" s="33" t="s">
        <v>637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66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638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76</v>
      </c>
      <c r="L393" s="32"/>
      <c r="M393" s="33" t="s">
        <v>637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66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638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71</v>
      </c>
      <c r="Q394" s="632"/>
      <c r="R394" s="632"/>
      <c r="S394" s="632"/>
      <c r="T394" s="632"/>
      <c r="U394" s="632"/>
      <c r="V394" s="633"/>
      <c r="W394" s="37" t="s">
        <v>72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71</v>
      </c>
      <c r="Q395" s="632"/>
      <c r="R395" s="632"/>
      <c r="S395" s="632"/>
      <c r="T395" s="632"/>
      <c r="U395" s="632"/>
      <c r="V395" s="633"/>
      <c r="W395" s="37" t="s">
        <v>66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643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hidden="1" customHeight="1" x14ac:dyDescent="0.25">
      <c r="A397" s="54" t="s">
        <v>644</v>
      </c>
      <c r="B397" s="54" t="s">
        <v>645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76</v>
      </c>
      <c r="L397" s="32"/>
      <c r="M397" s="33" t="s">
        <v>637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66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263</v>
      </c>
      <c r="AC397" s="473" t="s">
        <v>646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647</v>
      </c>
      <c r="B398" s="54" t="s">
        <v>648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128</v>
      </c>
      <c r="L398" s="32"/>
      <c r="M398" s="33" t="s">
        <v>637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66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263</v>
      </c>
      <c r="AC398" s="475" t="s">
        <v>649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76</v>
      </c>
      <c r="L399" s="32"/>
      <c r="M399" s="33" t="s">
        <v>637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66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263</v>
      </c>
      <c r="AC399" s="477" t="s">
        <v>646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71</v>
      </c>
      <c r="Q400" s="632"/>
      <c r="R400" s="632"/>
      <c r="S400" s="632"/>
      <c r="T400" s="632"/>
      <c r="U400" s="632"/>
      <c r="V400" s="633"/>
      <c r="W400" s="37" t="s">
        <v>72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71</v>
      </c>
      <c r="Q401" s="632"/>
      <c r="R401" s="632"/>
      <c r="S401" s="632"/>
      <c r="T401" s="632"/>
      <c r="U401" s="632"/>
      <c r="V401" s="633"/>
      <c r="W401" s="37" t="s">
        <v>66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9" t="s">
        <v>652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73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653</v>
      </c>
      <c r="B404" s="54" t="s">
        <v>654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119</v>
      </c>
      <c r="L404" s="32"/>
      <c r="M404" s="33" t="s">
        <v>83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66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655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656</v>
      </c>
      <c r="B405" s="54" t="s">
        <v>657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76</v>
      </c>
      <c r="L405" s="32"/>
      <c r="M405" s="33" t="s">
        <v>77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66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658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76</v>
      </c>
      <c r="L406" s="32"/>
      <c r="M406" s="33" t="s">
        <v>83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66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661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71</v>
      </c>
      <c r="Q407" s="632"/>
      <c r="R407" s="632"/>
      <c r="S407" s="632"/>
      <c r="T407" s="632"/>
      <c r="U407" s="632"/>
      <c r="V407" s="633"/>
      <c r="W407" s="37" t="s">
        <v>72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71</v>
      </c>
      <c r="Q408" s="632"/>
      <c r="R408" s="632"/>
      <c r="S408" s="632"/>
      <c r="T408" s="632"/>
      <c r="U408" s="632"/>
      <c r="V408" s="633"/>
      <c r="W408" s="37" t="s">
        <v>66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75" t="s">
        <v>662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663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116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hidden="1" customHeight="1" x14ac:dyDescent="0.25">
      <c r="A412" s="54" t="s">
        <v>664</v>
      </c>
      <c r="B412" s="54" t="s">
        <v>665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119</v>
      </c>
      <c r="L412" s="32"/>
      <c r="M412" s="33" t="s">
        <v>83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66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666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667</v>
      </c>
      <c r="B413" s="54" t="s">
        <v>668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119</v>
      </c>
      <c r="L413" s="32"/>
      <c r="M413" s="33" t="s">
        <v>65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66</v>
      </c>
      <c r="X413" s="615">
        <v>1900</v>
      </c>
      <c r="Y413" s="616">
        <f t="shared" si="47"/>
        <v>1905</v>
      </c>
      <c r="Z413" s="36">
        <f>IFERROR(IF(Y413=0,"",ROUNDUP(Y413/H413,0)*0.02175),"")</f>
        <v>2.7622499999999999</v>
      </c>
      <c r="AA413" s="56"/>
      <c r="AB413" s="57"/>
      <c r="AC413" s="487" t="s">
        <v>669</v>
      </c>
      <c r="AG413" s="64"/>
      <c r="AJ413" s="68"/>
      <c r="AK413" s="68">
        <v>0</v>
      </c>
      <c r="BB413" s="488" t="s">
        <v>1</v>
      </c>
      <c r="BM413" s="64">
        <f t="shared" si="48"/>
        <v>1959.5333333333333</v>
      </c>
      <c r="BN413" s="64">
        <f t="shared" si="49"/>
        <v>1964.69</v>
      </c>
      <c r="BO413" s="64">
        <f t="shared" si="50"/>
        <v>2.6388888888888888</v>
      </c>
      <c r="BP413" s="64">
        <f t="shared" si="51"/>
        <v>2.645833333333333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119</v>
      </c>
      <c r="L414" s="32"/>
      <c r="M414" s="33" t="s">
        <v>120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66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672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673</v>
      </c>
      <c r="B415" s="54" t="s">
        <v>674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119</v>
      </c>
      <c r="L415" s="32"/>
      <c r="M415" s="33" t="s">
        <v>65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66</v>
      </c>
      <c r="X415" s="615">
        <v>1300</v>
      </c>
      <c r="Y415" s="616">
        <f t="shared" si="47"/>
        <v>1305</v>
      </c>
      <c r="Z415" s="36">
        <f>IFERROR(IF(Y415=0,"",ROUNDUP(Y415/H415,0)*0.02175),"")</f>
        <v>1.8922499999999998</v>
      </c>
      <c r="AA415" s="56"/>
      <c r="AB415" s="57"/>
      <c r="AC415" s="491" t="s">
        <v>675</v>
      </c>
      <c r="AG415" s="64"/>
      <c r="AJ415" s="68"/>
      <c r="AK415" s="68">
        <v>0</v>
      </c>
      <c r="BB415" s="492" t="s">
        <v>1</v>
      </c>
      <c r="BM415" s="64">
        <f t="shared" si="48"/>
        <v>1340.7333333333333</v>
      </c>
      <c r="BN415" s="64">
        <f t="shared" si="49"/>
        <v>1345.89</v>
      </c>
      <c r="BO415" s="64">
        <f t="shared" si="50"/>
        <v>1.8055555555555556</v>
      </c>
      <c r="BP415" s="64">
        <f t="shared" si="51"/>
        <v>1.8125</v>
      </c>
    </row>
    <row r="416" spans="1:68" ht="27" customHeight="1" x14ac:dyDescent="0.25">
      <c r="A416" s="54" t="s">
        <v>676</v>
      </c>
      <c r="B416" s="54" t="s">
        <v>677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119</v>
      </c>
      <c r="L416" s="32"/>
      <c r="M416" s="33" t="s">
        <v>83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66</v>
      </c>
      <c r="X416" s="615">
        <v>800</v>
      </c>
      <c r="Y416" s="616">
        <f t="shared" si="47"/>
        <v>810</v>
      </c>
      <c r="Z416" s="36">
        <f>IFERROR(IF(Y416=0,"",ROUNDUP(Y416/H416,0)*0.02175),"")</f>
        <v>1.1744999999999999</v>
      </c>
      <c r="AA416" s="56"/>
      <c r="AB416" s="57"/>
      <c r="AC416" s="493" t="s">
        <v>678</v>
      </c>
      <c r="AG416" s="64"/>
      <c r="AJ416" s="68"/>
      <c r="AK416" s="68">
        <v>0</v>
      </c>
      <c r="BB416" s="494" t="s">
        <v>1</v>
      </c>
      <c r="BM416" s="64">
        <f t="shared" si="48"/>
        <v>825.06666666666672</v>
      </c>
      <c r="BN416" s="64">
        <f t="shared" si="49"/>
        <v>835.38</v>
      </c>
      <c r="BO416" s="64">
        <f t="shared" si="50"/>
        <v>1.1111111111111112</v>
      </c>
      <c r="BP416" s="64">
        <f t="shared" si="51"/>
        <v>1.125</v>
      </c>
    </row>
    <row r="417" spans="1:68" ht="27" hidden="1" customHeight="1" x14ac:dyDescent="0.25">
      <c r="A417" s="54" t="s">
        <v>679</v>
      </c>
      <c r="B417" s="54" t="s">
        <v>680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128</v>
      </c>
      <c r="L417" s="32"/>
      <c r="M417" s="33" t="s">
        <v>120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66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681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682</v>
      </c>
      <c r="B418" s="54" t="s">
        <v>683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128</v>
      </c>
      <c r="L418" s="32"/>
      <c r="M418" s="33" t="s">
        <v>65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66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684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685</v>
      </c>
      <c r="B419" s="54" t="s">
        <v>686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128</v>
      </c>
      <c r="L419" s="32"/>
      <c r="M419" s="33" t="s">
        <v>65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66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687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71</v>
      </c>
      <c r="Q420" s="632"/>
      <c r="R420" s="632"/>
      <c r="S420" s="632"/>
      <c r="T420" s="632"/>
      <c r="U420" s="632"/>
      <c r="V420" s="633"/>
      <c r="W420" s="37" t="s">
        <v>72</v>
      </c>
      <c r="X420" s="617">
        <f>IFERROR(X412/H412,"0")+IFERROR(X413/H413,"0")+IFERROR(X414/H414,"0")+IFERROR(X415/H415,"0")+IFERROR(X416/H416,"0")+IFERROR(X417/H417,"0")+IFERROR(X418/H418,"0")+IFERROR(X419/H419,"0")</f>
        <v>266.66666666666669</v>
      </c>
      <c r="Y420" s="617">
        <f>IFERROR(Y412/H412,"0")+IFERROR(Y413/H413,"0")+IFERROR(Y414/H414,"0")+IFERROR(Y415/H415,"0")+IFERROR(Y416/H416,"0")+IFERROR(Y417/H417,"0")+IFERROR(Y418/H418,"0")+IFERROR(Y419/H419,"0")</f>
        <v>268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5.8289999999999997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71</v>
      </c>
      <c r="Q421" s="632"/>
      <c r="R421" s="632"/>
      <c r="S421" s="632"/>
      <c r="T421" s="632"/>
      <c r="U421" s="632"/>
      <c r="V421" s="633"/>
      <c r="W421" s="37" t="s">
        <v>66</v>
      </c>
      <c r="X421" s="617">
        <f>IFERROR(SUM(X412:X419),"0")</f>
        <v>4000</v>
      </c>
      <c r="Y421" s="617">
        <f>IFERROR(SUM(Y412:Y419),"0")</f>
        <v>4020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152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hidden="1" customHeight="1" x14ac:dyDescent="0.25">
      <c r="A423" s="54" t="s">
        <v>688</v>
      </c>
      <c r="B423" s="54" t="s">
        <v>689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119</v>
      </c>
      <c r="L423" s="32"/>
      <c r="M423" s="33" t="s">
        <v>120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66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66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128</v>
      </c>
      <c r="L425" s="32"/>
      <c r="M425" s="33" t="s">
        <v>120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66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71</v>
      </c>
      <c r="Q426" s="632"/>
      <c r="R426" s="632"/>
      <c r="S426" s="632"/>
      <c r="T426" s="632"/>
      <c r="U426" s="632"/>
      <c r="V426" s="633"/>
      <c r="W426" s="37" t="s">
        <v>72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71</v>
      </c>
      <c r="Q427" s="632"/>
      <c r="R427" s="632"/>
      <c r="S427" s="632"/>
      <c r="T427" s="632"/>
      <c r="U427" s="632"/>
      <c r="V427" s="633"/>
      <c r="W427" s="37" t="s">
        <v>66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73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697</v>
      </c>
      <c r="B429" s="54" t="s">
        <v>698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119</v>
      </c>
      <c r="L429" s="32"/>
      <c r="M429" s="33" t="s">
        <v>77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66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263</v>
      </c>
      <c r="AC429" s="507" t="s">
        <v>699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119</v>
      </c>
      <c r="L430" s="32"/>
      <c r="M430" s="33" t="s">
        <v>77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66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702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703</v>
      </c>
      <c r="B431" s="54" t="s">
        <v>704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119</v>
      </c>
      <c r="L431" s="32"/>
      <c r="M431" s="33" t="s">
        <v>77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66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705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71</v>
      </c>
      <c r="Q432" s="632"/>
      <c r="R432" s="632"/>
      <c r="S432" s="632"/>
      <c r="T432" s="632"/>
      <c r="U432" s="632"/>
      <c r="V432" s="633"/>
      <c r="W432" s="37" t="s">
        <v>72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71</v>
      </c>
      <c r="Q433" s="632"/>
      <c r="R433" s="632"/>
      <c r="S433" s="632"/>
      <c r="T433" s="632"/>
      <c r="U433" s="632"/>
      <c r="V433" s="633"/>
      <c r="W433" s="37" t="s">
        <v>66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169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706</v>
      </c>
      <c r="B435" s="54" t="s">
        <v>707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119</v>
      </c>
      <c r="L435" s="32"/>
      <c r="M435" s="33" t="s">
        <v>77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66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263</v>
      </c>
      <c r="AC435" s="513" t="s">
        <v>708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709</v>
      </c>
      <c r="B436" s="54" t="s">
        <v>710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119</v>
      </c>
      <c r="L436" s="32"/>
      <c r="M436" s="33" t="s">
        <v>77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66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711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71</v>
      </c>
      <c r="Q437" s="632"/>
      <c r="R437" s="632"/>
      <c r="S437" s="632"/>
      <c r="T437" s="632"/>
      <c r="U437" s="632"/>
      <c r="V437" s="633"/>
      <c r="W437" s="37" t="s">
        <v>72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71</v>
      </c>
      <c r="Q438" s="632"/>
      <c r="R438" s="632"/>
      <c r="S438" s="632"/>
      <c r="T438" s="632"/>
      <c r="U438" s="632"/>
      <c r="V438" s="633"/>
      <c r="W438" s="37" t="s">
        <v>66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39" t="s">
        <v>712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116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713</v>
      </c>
      <c r="B441" s="54" t="s">
        <v>714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119</v>
      </c>
      <c r="L441" s="32"/>
      <c r="M441" s="33" t="s">
        <v>65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66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715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716</v>
      </c>
      <c r="B442" s="54" t="s">
        <v>717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128</v>
      </c>
      <c r="L442" s="32"/>
      <c r="M442" s="33" t="s">
        <v>65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66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715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71</v>
      </c>
      <c r="Q443" s="632"/>
      <c r="R443" s="632"/>
      <c r="S443" s="632"/>
      <c r="T443" s="632"/>
      <c r="U443" s="632"/>
      <c r="V443" s="633"/>
      <c r="W443" s="37" t="s">
        <v>72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71</v>
      </c>
      <c r="Q444" s="632"/>
      <c r="R444" s="632"/>
      <c r="S444" s="632"/>
      <c r="T444" s="632"/>
      <c r="U444" s="632"/>
      <c r="V444" s="633"/>
      <c r="W444" s="37" t="s">
        <v>66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61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718</v>
      </c>
      <c r="B446" s="54" t="s">
        <v>719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128</v>
      </c>
      <c r="L446" s="32"/>
      <c r="M446" s="33" t="s">
        <v>65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66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720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71</v>
      </c>
      <c r="Q447" s="632"/>
      <c r="R447" s="632"/>
      <c r="S447" s="632"/>
      <c r="T447" s="632"/>
      <c r="U447" s="632"/>
      <c r="V447" s="633"/>
      <c r="W447" s="37" t="s">
        <v>72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71</v>
      </c>
      <c r="Q448" s="632"/>
      <c r="R448" s="632"/>
      <c r="S448" s="632"/>
      <c r="T448" s="632"/>
      <c r="U448" s="632"/>
      <c r="V448" s="633"/>
      <c r="W448" s="37" t="s">
        <v>66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73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hidden="1" customHeight="1" x14ac:dyDescent="0.25">
      <c r="A450" s="54" t="s">
        <v>721</v>
      </c>
      <c r="B450" s="54" t="s">
        <v>722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119</v>
      </c>
      <c r="L450" s="32"/>
      <c r="M450" s="33" t="s">
        <v>77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66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723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724</v>
      </c>
      <c r="B451" s="54" t="s">
        <v>725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66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723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724</v>
      </c>
      <c r="B452" s="54" t="s">
        <v>726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66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727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71</v>
      </c>
      <c r="Q453" s="632"/>
      <c r="R453" s="632"/>
      <c r="S453" s="632"/>
      <c r="T453" s="632"/>
      <c r="U453" s="632"/>
      <c r="V453" s="633"/>
      <c r="W453" s="37" t="s">
        <v>72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71</v>
      </c>
      <c r="Q454" s="632"/>
      <c r="R454" s="632"/>
      <c r="S454" s="632"/>
      <c r="T454" s="632"/>
      <c r="U454" s="632"/>
      <c r="V454" s="633"/>
      <c r="W454" s="37" t="s">
        <v>66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75" t="s">
        <v>728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729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61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730</v>
      </c>
      <c r="B458" s="54" t="s">
        <v>731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128</v>
      </c>
      <c r="L458" s="32"/>
      <c r="M458" s="33" t="s">
        <v>65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66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732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733</v>
      </c>
      <c r="B459" s="54" t="s">
        <v>734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128</v>
      </c>
      <c r="L459" s="32"/>
      <c r="M459" s="33" t="s">
        <v>65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66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735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736</v>
      </c>
      <c r="B460" s="54" t="s">
        <v>737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64</v>
      </c>
      <c r="L460" s="32"/>
      <c r="M460" s="33" t="s">
        <v>65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66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732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738</v>
      </c>
      <c r="B461" s="54" t="s">
        <v>739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64</v>
      </c>
      <c r="L461" s="32"/>
      <c r="M461" s="33" t="s">
        <v>65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66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740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741</v>
      </c>
      <c r="B462" s="54" t="s">
        <v>742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64</v>
      </c>
      <c r="L462" s="32"/>
      <c r="M462" s="33" t="s">
        <v>65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66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743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744</v>
      </c>
      <c r="B463" s="54" t="s">
        <v>745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64</v>
      </c>
      <c r="L463" s="32"/>
      <c r="M463" s="33" t="s">
        <v>65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66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740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71</v>
      </c>
      <c r="Q464" s="632"/>
      <c r="R464" s="632"/>
      <c r="S464" s="632"/>
      <c r="T464" s="632"/>
      <c r="U464" s="632"/>
      <c r="V464" s="633"/>
      <c r="W464" s="37" t="s">
        <v>72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71</v>
      </c>
      <c r="Q465" s="632"/>
      <c r="R465" s="632"/>
      <c r="S465" s="632"/>
      <c r="T465" s="632"/>
      <c r="U465" s="632"/>
      <c r="V465" s="633"/>
      <c r="W465" s="37" t="s">
        <v>66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73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746</v>
      </c>
      <c r="B467" s="54" t="s">
        <v>747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128</v>
      </c>
      <c r="L467" s="32"/>
      <c r="M467" s="33" t="s">
        <v>77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66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748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749</v>
      </c>
      <c r="B468" s="54" t="s">
        <v>750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76</v>
      </c>
      <c r="L468" s="32"/>
      <c r="M468" s="33" t="s">
        <v>77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66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751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71</v>
      </c>
      <c r="Q469" s="632"/>
      <c r="R469" s="632"/>
      <c r="S469" s="632"/>
      <c r="T469" s="632"/>
      <c r="U469" s="632"/>
      <c r="V469" s="633"/>
      <c r="W469" s="37" t="s">
        <v>72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71</v>
      </c>
      <c r="Q470" s="632"/>
      <c r="R470" s="632"/>
      <c r="S470" s="632"/>
      <c r="T470" s="632"/>
      <c r="U470" s="632"/>
      <c r="V470" s="633"/>
      <c r="W470" s="37" t="s">
        <v>66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752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152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753</v>
      </c>
      <c r="B473" s="54" t="s">
        <v>754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76</v>
      </c>
      <c r="L473" s="32"/>
      <c r="M473" s="33" t="s">
        <v>65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66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755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71</v>
      </c>
      <c r="Q474" s="632"/>
      <c r="R474" s="632"/>
      <c r="S474" s="632"/>
      <c r="T474" s="632"/>
      <c r="U474" s="632"/>
      <c r="V474" s="633"/>
      <c r="W474" s="37" t="s">
        <v>72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71</v>
      </c>
      <c r="Q475" s="632"/>
      <c r="R475" s="632"/>
      <c r="S475" s="632"/>
      <c r="T475" s="632"/>
      <c r="U475" s="632"/>
      <c r="V475" s="633"/>
      <c r="W475" s="37" t="s">
        <v>66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61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756</v>
      </c>
      <c r="B477" s="54" t="s">
        <v>757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128</v>
      </c>
      <c r="L477" s="32"/>
      <c r="M477" s="33" t="s">
        <v>65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66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758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759</v>
      </c>
      <c r="B478" s="54" t="s">
        <v>760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66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761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66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761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71</v>
      </c>
      <c r="Q480" s="632"/>
      <c r="R480" s="632"/>
      <c r="S480" s="632"/>
      <c r="T480" s="632"/>
      <c r="U480" s="632"/>
      <c r="V480" s="633"/>
      <c r="W480" s="37" t="s">
        <v>72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71</v>
      </c>
      <c r="Q481" s="632"/>
      <c r="R481" s="632"/>
      <c r="S481" s="632"/>
      <c r="T481" s="632"/>
      <c r="U481" s="632"/>
      <c r="V481" s="633"/>
      <c r="W481" s="37" t="s">
        <v>66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764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764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116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hidden="1" customHeight="1" x14ac:dyDescent="0.25">
      <c r="A485" s="54" t="s">
        <v>765</v>
      </c>
      <c r="B485" s="54" t="s">
        <v>766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119</v>
      </c>
      <c r="L485" s="32"/>
      <c r="M485" s="33" t="s">
        <v>77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66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121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767</v>
      </c>
      <c r="B486" s="54" t="s">
        <v>768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119</v>
      </c>
      <c r="L486" s="32"/>
      <c r="M486" s="33" t="s">
        <v>120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66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769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770</v>
      </c>
      <c r="B487" s="54" t="s">
        <v>771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119</v>
      </c>
      <c r="L487" s="32"/>
      <c r="M487" s="33" t="s">
        <v>120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66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773</v>
      </c>
      <c r="B488" s="54" t="s">
        <v>774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119</v>
      </c>
      <c r="L488" s="32"/>
      <c r="M488" s="33" t="s">
        <v>120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66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775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776</v>
      </c>
      <c r="B489" s="54" t="s">
        <v>777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119</v>
      </c>
      <c r="L489" s="32"/>
      <c r="M489" s="33" t="s">
        <v>77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66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778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779</v>
      </c>
      <c r="B490" s="54" t="s">
        <v>780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119</v>
      </c>
      <c r="L490" s="32"/>
      <c r="M490" s="33" t="s">
        <v>120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66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781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782</v>
      </c>
      <c r="B491" s="54" t="s">
        <v>783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76</v>
      </c>
      <c r="L491" s="32"/>
      <c r="M491" s="33" t="s">
        <v>77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66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121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128</v>
      </c>
      <c r="L492" s="32"/>
      <c r="M492" s="33" t="s">
        <v>77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66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121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786</v>
      </c>
      <c r="B493" s="54" t="s">
        <v>787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128</v>
      </c>
      <c r="L493" s="32"/>
      <c r="M493" s="33" t="s">
        <v>120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66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781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71</v>
      </c>
      <c r="Q494" s="632"/>
      <c r="R494" s="632"/>
      <c r="S494" s="632"/>
      <c r="T494" s="632"/>
      <c r="U494" s="632"/>
      <c r="V494" s="633"/>
      <c r="W494" s="37" t="s">
        <v>72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71</v>
      </c>
      <c r="Q495" s="632"/>
      <c r="R495" s="632"/>
      <c r="S495" s="632"/>
      <c r="T495" s="632"/>
      <c r="U495" s="632"/>
      <c r="V495" s="633"/>
      <c r="W495" s="37" t="s">
        <v>66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152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hidden="1" customHeight="1" x14ac:dyDescent="0.25">
      <c r="A497" s="54" t="s">
        <v>788</v>
      </c>
      <c r="B497" s="54" t="s">
        <v>789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119</v>
      </c>
      <c r="L497" s="32"/>
      <c r="M497" s="33" t="s">
        <v>77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66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790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791</v>
      </c>
      <c r="B498" s="54" t="s">
        <v>792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76</v>
      </c>
      <c r="L498" s="32"/>
      <c r="M498" s="33" t="s">
        <v>120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66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790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793</v>
      </c>
      <c r="B499" s="54" t="s">
        <v>794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128</v>
      </c>
      <c r="L499" s="32"/>
      <c r="M499" s="33" t="s">
        <v>120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66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790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71</v>
      </c>
      <c r="Q500" s="632"/>
      <c r="R500" s="632"/>
      <c r="S500" s="632"/>
      <c r="T500" s="632"/>
      <c r="U500" s="632"/>
      <c r="V500" s="633"/>
      <c r="W500" s="37" t="s">
        <v>72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71</v>
      </c>
      <c r="Q501" s="632"/>
      <c r="R501" s="632"/>
      <c r="S501" s="632"/>
      <c r="T501" s="632"/>
      <c r="U501" s="632"/>
      <c r="V501" s="633"/>
      <c r="W501" s="37" t="s">
        <v>66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61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795</v>
      </c>
      <c r="B503" s="54" t="s">
        <v>796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119</v>
      </c>
      <c r="L503" s="32"/>
      <c r="M503" s="33" t="s">
        <v>120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66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797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798</v>
      </c>
      <c r="B504" s="54" t="s">
        <v>799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119</v>
      </c>
      <c r="L504" s="32"/>
      <c r="M504" s="33" t="s">
        <v>65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66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800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801</v>
      </c>
      <c r="B505" s="54" t="s">
        <v>802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119</v>
      </c>
      <c r="L505" s="32"/>
      <c r="M505" s="33" t="s">
        <v>65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66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803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804</v>
      </c>
      <c r="B506" s="54" t="s">
        <v>805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128</v>
      </c>
      <c r="L506" s="32"/>
      <c r="M506" s="33" t="s">
        <v>120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66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797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806</v>
      </c>
      <c r="B507" s="54" t="s">
        <v>807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128</v>
      </c>
      <c r="L507" s="32"/>
      <c r="M507" s="33" t="s">
        <v>65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66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800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806</v>
      </c>
      <c r="B508" s="54" t="s">
        <v>808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128</v>
      </c>
      <c r="L508" s="32"/>
      <c r="M508" s="33" t="s">
        <v>65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66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800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128</v>
      </c>
      <c r="L509" s="32"/>
      <c r="M509" s="33" t="s">
        <v>65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66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803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71</v>
      </c>
      <c r="Q510" s="632"/>
      <c r="R510" s="632"/>
      <c r="S510" s="632"/>
      <c r="T510" s="632"/>
      <c r="U510" s="632"/>
      <c r="V510" s="633"/>
      <c r="W510" s="37" t="s">
        <v>72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71</v>
      </c>
      <c r="Q511" s="632"/>
      <c r="R511" s="632"/>
      <c r="S511" s="632"/>
      <c r="T511" s="632"/>
      <c r="U511" s="632"/>
      <c r="V511" s="633"/>
      <c r="W511" s="37" t="s">
        <v>66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75" t="s">
        <v>811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811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116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812</v>
      </c>
      <c r="B515" s="54" t="s">
        <v>813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119</v>
      </c>
      <c r="L515" s="32"/>
      <c r="M515" s="33" t="s">
        <v>120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66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71</v>
      </c>
      <c r="Q516" s="632"/>
      <c r="R516" s="632"/>
      <c r="S516" s="632"/>
      <c r="T516" s="632"/>
      <c r="U516" s="632"/>
      <c r="V516" s="633"/>
      <c r="W516" s="37" t="s">
        <v>72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71</v>
      </c>
      <c r="Q517" s="632"/>
      <c r="R517" s="632"/>
      <c r="S517" s="632"/>
      <c r="T517" s="632"/>
      <c r="U517" s="632"/>
      <c r="V517" s="633"/>
      <c r="W517" s="37" t="s">
        <v>66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152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815</v>
      </c>
      <c r="B519" s="54" t="s">
        <v>816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119</v>
      </c>
      <c r="L519" s="32"/>
      <c r="M519" s="33" t="s">
        <v>120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66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817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71</v>
      </c>
      <c r="Q520" s="632"/>
      <c r="R520" s="632"/>
      <c r="S520" s="632"/>
      <c r="T520" s="632"/>
      <c r="U520" s="632"/>
      <c r="V520" s="633"/>
      <c r="W520" s="37" t="s">
        <v>72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71</v>
      </c>
      <c r="Q521" s="632"/>
      <c r="R521" s="632"/>
      <c r="S521" s="632"/>
      <c r="T521" s="632"/>
      <c r="U521" s="632"/>
      <c r="V521" s="633"/>
      <c r="W521" s="37" t="s">
        <v>66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61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818</v>
      </c>
      <c r="B523" s="54" t="s">
        <v>819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128</v>
      </c>
      <c r="L523" s="32"/>
      <c r="M523" s="33" t="s">
        <v>65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66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820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818</v>
      </c>
      <c r="B524" s="54" t="s">
        <v>821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128</v>
      </c>
      <c r="L524" s="32"/>
      <c r="M524" s="33" t="s">
        <v>65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66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71</v>
      </c>
      <c r="Q525" s="632"/>
      <c r="R525" s="632"/>
      <c r="S525" s="632"/>
      <c r="T525" s="632"/>
      <c r="U525" s="632"/>
      <c r="V525" s="633"/>
      <c r="W525" s="37" t="s">
        <v>72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71</v>
      </c>
      <c r="Q526" s="632"/>
      <c r="R526" s="632"/>
      <c r="S526" s="632"/>
      <c r="T526" s="632"/>
      <c r="U526" s="632"/>
      <c r="V526" s="633"/>
      <c r="W526" s="37" t="s">
        <v>66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73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823</v>
      </c>
      <c r="B528" s="54" t="s">
        <v>824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119</v>
      </c>
      <c r="L528" s="32"/>
      <c r="M528" s="33" t="s">
        <v>77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66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825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71</v>
      </c>
      <c r="Q529" s="632"/>
      <c r="R529" s="632"/>
      <c r="S529" s="632"/>
      <c r="T529" s="632"/>
      <c r="U529" s="632"/>
      <c r="V529" s="633"/>
      <c r="W529" s="37" t="s">
        <v>72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71</v>
      </c>
      <c r="Q530" s="632"/>
      <c r="R530" s="632"/>
      <c r="S530" s="632"/>
      <c r="T530" s="632"/>
      <c r="U530" s="632"/>
      <c r="V530" s="633"/>
      <c r="W530" s="37" t="s">
        <v>66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169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826</v>
      </c>
      <c r="B532" s="54" t="s">
        <v>827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119</v>
      </c>
      <c r="L532" s="32"/>
      <c r="M532" s="33" t="s">
        <v>77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66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828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829</v>
      </c>
      <c r="B533" s="54" t="s">
        <v>830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119</v>
      </c>
      <c r="L533" s="32"/>
      <c r="M533" s="33" t="s">
        <v>77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66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831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71</v>
      </c>
      <c r="Q534" s="632"/>
      <c r="R534" s="632"/>
      <c r="S534" s="632"/>
      <c r="T534" s="632"/>
      <c r="U534" s="632"/>
      <c r="V534" s="633"/>
      <c r="W534" s="37" t="s">
        <v>72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71</v>
      </c>
      <c r="Q535" s="632"/>
      <c r="R535" s="632"/>
      <c r="S535" s="632"/>
      <c r="T535" s="632"/>
      <c r="U535" s="632"/>
      <c r="V535" s="633"/>
      <c r="W535" s="37" t="s">
        <v>66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832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152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833</v>
      </c>
      <c r="B538" s="54" t="s">
        <v>834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119</v>
      </c>
      <c r="L538" s="32"/>
      <c r="M538" s="33" t="s">
        <v>120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66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835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71</v>
      </c>
      <c r="Q539" s="632"/>
      <c r="R539" s="632"/>
      <c r="S539" s="632"/>
      <c r="T539" s="632"/>
      <c r="U539" s="632"/>
      <c r="V539" s="633"/>
      <c r="W539" s="37" t="s">
        <v>72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71</v>
      </c>
      <c r="Q540" s="632"/>
      <c r="R540" s="632"/>
      <c r="S540" s="632"/>
      <c r="T540" s="632"/>
      <c r="U540" s="632"/>
      <c r="V540" s="633"/>
      <c r="W540" s="37" t="s">
        <v>66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836</v>
      </c>
      <c r="Q541" s="635"/>
      <c r="R541" s="635"/>
      <c r="S541" s="635"/>
      <c r="T541" s="635"/>
      <c r="U541" s="635"/>
      <c r="V541" s="636"/>
      <c r="W541" s="37" t="s">
        <v>66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4000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4020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837</v>
      </c>
      <c r="Q542" s="635"/>
      <c r="R542" s="635"/>
      <c r="S542" s="635"/>
      <c r="T542" s="635"/>
      <c r="U542" s="635"/>
      <c r="V542" s="636"/>
      <c r="W542" s="37" t="s">
        <v>66</v>
      </c>
      <c r="X542" s="617">
        <f>IFERROR(SUM(BM22:BM538),"0")</f>
        <v>4125.333333333333</v>
      </c>
      <c r="Y542" s="617">
        <f>IFERROR(SUM(BN22:BN538),"0")</f>
        <v>4145.96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838</v>
      </c>
      <c r="Q543" s="635"/>
      <c r="R543" s="635"/>
      <c r="S543" s="635"/>
      <c r="T543" s="635"/>
      <c r="U543" s="635"/>
      <c r="V543" s="636"/>
      <c r="W543" s="37" t="s">
        <v>839</v>
      </c>
      <c r="X543" s="38">
        <f>ROUNDUP(SUM(BO22:BO538),0)</f>
        <v>6</v>
      </c>
      <c r="Y543" s="38">
        <f>ROUNDUP(SUM(BP22:BP538),0)</f>
        <v>6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840</v>
      </c>
      <c r="Q544" s="635"/>
      <c r="R544" s="635"/>
      <c r="S544" s="635"/>
      <c r="T544" s="635"/>
      <c r="U544" s="635"/>
      <c r="V544" s="636"/>
      <c r="W544" s="37" t="s">
        <v>66</v>
      </c>
      <c r="X544" s="617">
        <f>GrossWeightTotal+PalletQtyTotal*25</f>
        <v>4275.333333333333</v>
      </c>
      <c r="Y544" s="617">
        <f>GrossWeightTotalR+PalletQtyTotalR*25</f>
        <v>4295.96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841</v>
      </c>
      <c r="Q545" s="635"/>
      <c r="R545" s="635"/>
      <c r="S545" s="635"/>
      <c r="T545" s="635"/>
      <c r="U545" s="635"/>
      <c r="V545" s="636"/>
      <c r="W545" s="37" t="s">
        <v>839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266.66666666666669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268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842</v>
      </c>
      <c r="Q546" s="635"/>
      <c r="R546" s="635"/>
      <c r="S546" s="635"/>
      <c r="T546" s="635"/>
      <c r="U546" s="635"/>
      <c r="V546" s="636"/>
      <c r="W546" s="39" t="s">
        <v>843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5.8289999999999997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844</v>
      </c>
      <c r="B548" s="612" t="s">
        <v>60</v>
      </c>
      <c r="C548" s="612" t="s">
        <v>97</v>
      </c>
      <c r="D548" s="645" t="s">
        <v>114</v>
      </c>
      <c r="E548" s="743"/>
      <c r="F548" s="743"/>
      <c r="G548" s="743"/>
      <c r="H548" s="743"/>
      <c r="I548" s="743"/>
      <c r="J548" s="701"/>
      <c r="K548" s="645" t="s">
        <v>326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662</v>
      </c>
      <c r="W548" s="701"/>
      <c r="X548" s="645" t="s">
        <v>728</v>
      </c>
      <c r="Y548" s="701"/>
      <c r="Z548" s="612" t="s">
        <v>764</v>
      </c>
      <c r="AA548" s="645" t="s">
        <v>811</v>
      </c>
      <c r="AB548" s="701"/>
      <c r="AC548" s="52"/>
      <c r="AF548" s="613"/>
    </row>
    <row r="549" spans="1:32" ht="14.25" customHeight="1" thickTop="1" x14ac:dyDescent="0.2">
      <c r="A549" s="808" t="s">
        <v>845</v>
      </c>
      <c r="B549" s="645" t="s">
        <v>60</v>
      </c>
      <c r="C549" s="645" t="s">
        <v>98</v>
      </c>
      <c r="D549" s="645" t="s">
        <v>115</v>
      </c>
      <c r="E549" s="645" t="s">
        <v>131</v>
      </c>
      <c r="F549" s="645" t="s">
        <v>176</v>
      </c>
      <c r="G549" s="645" t="s">
        <v>197</v>
      </c>
      <c r="H549" s="645" t="s">
        <v>236</v>
      </c>
      <c r="I549" s="645" t="s">
        <v>248</v>
      </c>
      <c r="J549" s="645" t="s">
        <v>114</v>
      </c>
      <c r="K549" s="645" t="s">
        <v>327</v>
      </c>
      <c r="L549" s="645" t="s">
        <v>348</v>
      </c>
      <c r="M549" s="645" t="s">
        <v>415</v>
      </c>
      <c r="N549" s="613"/>
      <c r="O549" s="645" t="s">
        <v>483</v>
      </c>
      <c r="P549" s="645" t="s">
        <v>516</v>
      </c>
      <c r="Q549" s="645" t="s">
        <v>532</v>
      </c>
      <c r="R549" s="645" t="s">
        <v>541</v>
      </c>
      <c r="S549" s="645" t="s">
        <v>562</v>
      </c>
      <c r="T549" s="645" t="s">
        <v>571</v>
      </c>
      <c r="U549" s="645" t="s">
        <v>652</v>
      </c>
      <c r="V549" s="645" t="s">
        <v>663</v>
      </c>
      <c r="W549" s="645" t="s">
        <v>712</v>
      </c>
      <c r="X549" s="645" t="s">
        <v>729</v>
      </c>
      <c r="Y549" s="645" t="s">
        <v>752</v>
      </c>
      <c r="Z549" s="645" t="s">
        <v>764</v>
      </c>
      <c r="AA549" s="645" t="s">
        <v>811</v>
      </c>
      <c r="AB549" s="645" t="s">
        <v>832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846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0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4020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900,00"/>
        <filter val="266,67"/>
        <filter val="4 000,00"/>
        <filter val="4 125,33"/>
        <filter val="4 275,33"/>
        <filter val="6"/>
        <filter val="800,0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52"/>
    </row>
    <row r="3" spans="2:8" x14ac:dyDescent="0.2">
      <c r="B3" s="47" t="s">
        <v>848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849</v>
      </c>
      <c r="C6" s="47" t="s">
        <v>850</v>
      </c>
      <c r="D6" s="47" t="s">
        <v>851</v>
      </c>
      <c r="E6" s="47"/>
    </row>
    <row r="7" spans="2:8" x14ac:dyDescent="0.2">
      <c r="B7" s="47" t="s">
        <v>852</v>
      </c>
      <c r="C7" s="47" t="s">
        <v>853</v>
      </c>
      <c r="D7" s="47" t="s">
        <v>854</v>
      </c>
      <c r="E7" s="47"/>
    </row>
    <row r="8" spans="2:8" x14ac:dyDescent="0.2">
      <c r="B8" s="47" t="s">
        <v>855</v>
      </c>
      <c r="C8" s="47" t="s">
        <v>856</v>
      </c>
      <c r="D8" s="47" t="s">
        <v>857</v>
      </c>
      <c r="E8" s="47"/>
    </row>
    <row r="9" spans="2:8" x14ac:dyDescent="0.2">
      <c r="B9" s="47" t="s">
        <v>858</v>
      </c>
      <c r="C9" s="47" t="s">
        <v>859</v>
      </c>
      <c r="D9" s="47" t="s">
        <v>860</v>
      </c>
      <c r="E9" s="47"/>
    </row>
    <row r="10" spans="2:8" x14ac:dyDescent="0.2">
      <c r="B10" s="47" t="s">
        <v>861</v>
      </c>
      <c r="C10" s="47" t="s">
        <v>862</v>
      </c>
      <c r="D10" s="47" t="s">
        <v>863</v>
      </c>
      <c r="E10" s="47"/>
    </row>
    <row r="11" spans="2:8" x14ac:dyDescent="0.2">
      <c r="B11" s="47" t="s">
        <v>864</v>
      </c>
      <c r="C11" s="47" t="s">
        <v>865</v>
      </c>
      <c r="D11" s="47" t="s">
        <v>866</v>
      </c>
      <c r="E11" s="47"/>
    </row>
    <row r="12" spans="2:8" x14ac:dyDescent="0.2">
      <c r="B12" s="47" t="s">
        <v>867</v>
      </c>
      <c r="C12" s="47" t="s">
        <v>868</v>
      </c>
      <c r="D12" s="47" t="s">
        <v>869</v>
      </c>
      <c r="E12" s="47"/>
    </row>
    <row r="14" spans="2:8" x14ac:dyDescent="0.2">
      <c r="B14" s="47" t="s">
        <v>870</v>
      </c>
      <c r="C14" s="47" t="s">
        <v>850</v>
      </c>
      <c r="D14" s="47"/>
      <c r="E14" s="47"/>
    </row>
    <row r="16" spans="2:8" x14ac:dyDescent="0.2">
      <c r="B16" s="47" t="s">
        <v>871</v>
      </c>
      <c r="C16" s="47" t="s">
        <v>853</v>
      </c>
      <c r="D16" s="47"/>
      <c r="E16" s="47"/>
    </row>
    <row r="18" spans="2:5" x14ac:dyDescent="0.2">
      <c r="B18" s="47" t="s">
        <v>872</v>
      </c>
      <c r="C18" s="47" t="s">
        <v>856</v>
      </c>
      <c r="D18" s="47"/>
      <c r="E18" s="47"/>
    </row>
    <row r="20" spans="2:5" x14ac:dyDescent="0.2">
      <c r="B20" s="47" t="s">
        <v>873</v>
      </c>
      <c r="C20" s="47" t="s">
        <v>859</v>
      </c>
      <c r="D20" s="47"/>
      <c r="E20" s="47"/>
    </row>
    <row r="22" spans="2:5" x14ac:dyDescent="0.2">
      <c r="B22" s="47" t="s">
        <v>874</v>
      </c>
      <c r="C22" s="47" t="s">
        <v>862</v>
      </c>
      <c r="D22" s="47"/>
      <c r="E22" s="47"/>
    </row>
    <row r="24" spans="2:5" x14ac:dyDescent="0.2">
      <c r="B24" s="47" t="s">
        <v>875</v>
      </c>
      <c r="C24" s="47" t="s">
        <v>865</v>
      </c>
      <c r="D24" s="47"/>
      <c r="E24" s="47"/>
    </row>
    <row r="26" spans="2:5" x14ac:dyDescent="0.2">
      <c r="B26" s="47" t="s">
        <v>876</v>
      </c>
      <c r="C26" s="47" t="s">
        <v>868</v>
      </c>
      <c r="D26" s="47"/>
      <c r="E26" s="47"/>
    </row>
    <row r="28" spans="2:5" x14ac:dyDescent="0.2">
      <c r="B28" s="47" t="s">
        <v>877</v>
      </c>
      <c r="C28" s="47"/>
      <c r="D28" s="47"/>
      <c r="E28" s="47"/>
    </row>
    <row r="29" spans="2:5" x14ac:dyDescent="0.2">
      <c r="B29" s="47" t="s">
        <v>878</v>
      </c>
      <c r="C29" s="47"/>
      <c r="D29" s="47"/>
      <c r="E29" s="47"/>
    </row>
    <row r="30" spans="2:5" x14ac:dyDescent="0.2">
      <c r="B30" s="47" t="s">
        <v>879</v>
      </c>
      <c r="C30" s="47"/>
      <c r="D30" s="47"/>
      <c r="E30" s="47"/>
    </row>
    <row r="31" spans="2:5" x14ac:dyDescent="0.2">
      <c r="B31" s="47" t="s">
        <v>880</v>
      </c>
      <c r="C31" s="47"/>
      <c r="D31" s="47"/>
      <c r="E31" s="47"/>
    </row>
    <row r="32" spans="2:5" x14ac:dyDescent="0.2">
      <c r="B32" s="47" t="s">
        <v>881</v>
      </c>
      <c r="C32" s="47"/>
      <c r="D32" s="47"/>
      <c r="E32" s="47"/>
    </row>
    <row r="33" spans="2:5" x14ac:dyDescent="0.2">
      <c r="B33" s="47" t="s">
        <v>882</v>
      </c>
      <c r="C33" s="47"/>
      <c r="D33" s="47"/>
      <c r="E33" s="47"/>
    </row>
    <row r="34" spans="2:5" x14ac:dyDescent="0.2">
      <c r="B34" s="47" t="s">
        <v>883</v>
      </c>
      <c r="C34" s="47"/>
      <c r="D34" s="47"/>
      <c r="E34" s="47"/>
    </row>
    <row r="35" spans="2:5" x14ac:dyDescent="0.2">
      <c r="B35" s="47" t="s">
        <v>884</v>
      </c>
      <c r="C35" s="47"/>
      <c r="D35" s="47"/>
      <c r="E35" s="47"/>
    </row>
    <row r="36" spans="2:5" x14ac:dyDescent="0.2">
      <c r="B36" s="47" t="s">
        <v>885</v>
      </c>
      <c r="C36" s="47"/>
      <c r="D36" s="47"/>
      <c r="E36" s="47"/>
    </row>
    <row r="37" spans="2:5" x14ac:dyDescent="0.2">
      <c r="B37" s="47" t="s">
        <v>886</v>
      </c>
      <c r="C37" s="47"/>
      <c r="D37" s="47"/>
      <c r="E37" s="47"/>
    </row>
    <row r="38" spans="2:5" x14ac:dyDescent="0.2">
      <c r="B38" s="47" t="s">
        <v>887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2026-07-20T08:40:01Z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