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8EDF60-735C-468A-8C79-0CE76B319D5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externalReferences>
    <externalReference r:id="rId3"/>
  </externalReference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37" i="2" l="1"/>
  <c r="BO337" i="2" s="1"/>
  <c r="X336" i="2"/>
  <c r="X335" i="2"/>
  <c r="X339" i="2" s="1"/>
  <c r="X487" i="2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BM337" i="2"/>
  <c r="P337" i="2"/>
  <c r="BO336" i="2"/>
  <c r="BM336" i="2"/>
  <c r="Y336" i="2"/>
  <c r="P336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M335" i="2" l="1"/>
  <c r="X338" i="2"/>
  <c r="Y335" i="2"/>
  <c r="BP335" i="2" s="1"/>
  <c r="BO335" i="2"/>
  <c r="Y337" i="2"/>
  <c r="Z337" i="2" s="1"/>
  <c r="BP30" i="2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Y346" i="2"/>
  <c r="Y363" i="2"/>
  <c r="Y362" i="2"/>
  <c r="BP361" i="2"/>
  <c r="BN361" i="2"/>
  <c r="Z361" i="2"/>
  <c r="Y406" i="2"/>
  <c r="BP444" i="2"/>
  <c r="BN444" i="2"/>
  <c r="BN62" i="2"/>
  <c r="Y67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57" i="2" l="1"/>
  <c r="Z345" i="2"/>
  <c r="Z332" i="2"/>
  <c r="Z120" i="2"/>
  <c r="Z417" i="2"/>
  <c r="Z154" i="2"/>
  <c r="Z325" i="2"/>
  <c r="Z282" i="2"/>
  <c r="Z146" i="2"/>
  <c r="Z481" i="2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<sst xmlns="http://schemas.openxmlformats.org/spreadsheetml/2006/main" count="3645" uniqueCount="788">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</sst>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51;&#1054;&#1043;&#1048;&#1057;&#1058;&#1067;\&#1042;&#1058;&#1052;\&#1057;&#1058;&#1040;&#1056;&#1054;&#1044;&#1042;&#1054;&#1056;&#1068;&#1045;\21.07.26%20&#1050;&#1048;\&#1056;&#1072;&#1089;&#1095;&#1077;&#1090;%20&#1050;&#1048;%20%2021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"/>
      <sheetName val="ОСТАТОК"/>
      <sheetName val="Лист2"/>
      <sheetName val="суточная"/>
      <sheetName val="14.07.26"/>
      <sheetName val="0"/>
      <sheetName val="проверка потребности"/>
    </sheetNames>
    <sheetDataSet>
      <sheetData sheetId="0">
        <row r="4">
          <cell r="L4">
            <v>4301012083</v>
          </cell>
          <cell r="V4">
            <v>4607091386264</v>
          </cell>
          <cell r="X4" t="str">
            <v>приблизительный заказ</v>
          </cell>
          <cell r="Y4" t="str">
            <v>7000 - 8000</v>
          </cell>
        </row>
        <row r="7">
          <cell r="E7" t="str">
            <v>ЛУГАНСКИЙ ФИЛИАЛ</v>
          </cell>
        </row>
        <row r="8">
          <cell r="F8" t="str">
            <v>Срок годности, сут</v>
          </cell>
          <cell r="H8" t="str">
            <v>ОСТАТОК</v>
          </cell>
          <cell r="I8" t="str">
            <v>среднесуточная</v>
          </cell>
          <cell r="J8" t="str">
            <v xml:space="preserve">Т/З на сегодня </v>
          </cell>
          <cell r="K8" t="str">
            <v>остаток на 14.07.26</v>
          </cell>
          <cell r="L8" t="str">
            <v>ПРИХОД 14.07.26</v>
          </cell>
          <cell r="M8" t="str">
            <v>Т/З</v>
          </cell>
          <cell r="N8" t="str">
            <v>остаток на 21.07.26</v>
          </cell>
          <cell r="O8">
            <v>45559</v>
          </cell>
          <cell r="P8" t="str">
            <v>Т/З</v>
          </cell>
          <cell r="Q8" t="str">
            <v>остаток на 17.09.23</v>
          </cell>
          <cell r="R8" t="str">
            <v>ЗАКАЗ</v>
          </cell>
        </row>
        <row r="9">
          <cell r="D9" t="str">
            <v>Номер варианта</v>
          </cell>
          <cell r="E9" t="str">
            <v>Наименование</v>
          </cell>
          <cell r="H9" t="str">
            <v>10/07/2026</v>
          </cell>
          <cell r="K9" t="str">
            <v>протянуть ф до низа уд. Кр.</v>
          </cell>
          <cell r="M9" t="str">
            <v>на 14.07.26 с приходом</v>
          </cell>
          <cell r="N9" t="str">
            <v>протянуть ф до низа уд. Кр</v>
          </cell>
          <cell r="P9" t="str">
            <v>на 12.09.24</v>
          </cell>
          <cell r="S9" t="str">
            <v>Планиру-емые 7-8 дней (сосиски-сардельки 6-7)</v>
          </cell>
          <cell r="T9" t="str">
            <v>потребность на доставку 21.07.26</v>
          </cell>
          <cell r="U9" t="str">
            <v>количество ящиков в ряду</v>
          </cell>
          <cell r="V9" t="str">
            <v>количество штук в ящике</v>
          </cell>
          <cell r="W9" t="str">
            <v>колчество кг в ящике</v>
          </cell>
          <cell r="X9" t="str">
            <v>вес одного ряда</v>
          </cell>
          <cell r="Y9" t="str">
            <v>заказ кратно ящикам</v>
          </cell>
        </row>
        <row r="10">
          <cell r="H10">
            <v>8596.3280000000013</v>
          </cell>
          <cell r="I10">
            <v>1615.3081333333334</v>
          </cell>
          <cell r="K10">
            <v>3826.7903999999994</v>
          </cell>
          <cell r="L10">
            <v>7114.84</v>
          </cell>
          <cell r="N10">
            <v>3005.2194000000018</v>
          </cell>
          <cell r="O10">
            <v>0</v>
          </cell>
          <cell r="Q10">
            <v>-2334.4471333333313</v>
          </cell>
          <cell r="R10">
            <v>8271.5</v>
          </cell>
          <cell r="T10">
            <v>8485.2225999999973</v>
          </cell>
          <cell r="Y10">
            <v>8268.519999999995</v>
          </cell>
        </row>
        <row r="11">
          <cell r="Y11">
            <v>8268.519999999995</v>
          </cell>
        </row>
        <row r="13">
          <cell r="D13">
            <v>4301011816</v>
          </cell>
          <cell r="E13" t="str">
            <v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v>
          </cell>
          <cell r="F13">
            <v>50</v>
          </cell>
          <cell r="G13">
            <v>1</v>
          </cell>
          <cell r="H13">
            <v>263.43200000000002</v>
          </cell>
          <cell r="I13">
            <v>57.496666666666663</v>
          </cell>
          <cell r="J13">
            <v>4.5816916922720168</v>
          </cell>
          <cell r="K13">
            <v>90.942000000000036</v>
          </cell>
          <cell r="L13">
            <v>259.2</v>
          </cell>
          <cell r="M13">
            <v>6.0897791176300089</v>
          </cell>
          <cell r="N13">
            <v>62.658666666666761</v>
          </cell>
          <cell r="O13">
            <v>0</v>
          </cell>
          <cell r="P13">
            <v>1.0897791176300093</v>
          </cell>
          <cell r="R13">
            <v>380</v>
          </cell>
          <cell r="S13">
            <v>431.22499999999997</v>
          </cell>
          <cell r="T13">
            <v>368.5663333333332</v>
          </cell>
          <cell r="U13">
            <v>8</v>
          </cell>
          <cell r="V13">
            <v>8</v>
          </cell>
          <cell r="W13">
            <v>10.8</v>
          </cell>
          <cell r="X13">
            <v>86.4</v>
          </cell>
          <cell r="Y13">
            <v>345.6</v>
          </cell>
        </row>
        <row r="14">
          <cell r="D14">
            <v>4301012083</v>
          </cell>
          <cell r="E14" t="str">
            <v>Колбаса Со шпиком ТМ Особый рецепт в оболочке полиамид большой батон. Колбасное изделие вареное из мяса кур охлажденное ТУ 10.13.14-006-14709788-2017 ЗАО "Стародворские колбасы"</v>
          </cell>
          <cell r="F14">
            <v>60</v>
          </cell>
          <cell r="G14">
            <v>1</v>
          </cell>
          <cell r="H14">
            <v>206.78399999999999</v>
          </cell>
          <cell r="I14">
            <v>40.24</v>
          </cell>
          <cell r="J14">
            <v>5.1387673956262425</v>
          </cell>
          <cell r="K14">
            <v>86.063999999999993</v>
          </cell>
          <cell r="L14">
            <v>240</v>
          </cell>
          <cell r="M14">
            <v>8.1029821073558637</v>
          </cell>
          <cell r="N14">
            <v>124.86399999999995</v>
          </cell>
          <cell r="R14">
            <v>180</v>
          </cell>
          <cell r="S14">
            <v>301.8</v>
          </cell>
          <cell r="T14">
            <v>176.93600000000006</v>
          </cell>
          <cell r="U14">
            <v>8</v>
          </cell>
          <cell r="V14">
            <v>6</v>
          </cell>
          <cell r="W14">
            <v>15</v>
          </cell>
          <cell r="X14">
            <v>120</v>
          </cell>
          <cell r="Y14">
            <v>240</v>
          </cell>
        </row>
        <row r="15">
          <cell r="D15">
            <v>4301011867</v>
          </cell>
          <cell r="E15" t="str">
            <v>Колбаса Филейная ТМ Особый рецепт в оболочке полиамид большой батон. Колбасное изделие вареное из мяса кур. Охлажденное ТУ 10.13.14-006-14709788-2017 ЗАО "Стародворские колбасы"</v>
          </cell>
          <cell r="F15">
            <v>60</v>
          </cell>
          <cell r="G15">
            <v>1</v>
          </cell>
          <cell r="H15">
            <v>571.28899999999999</v>
          </cell>
          <cell r="I15">
            <v>112.59999999999998</v>
          </cell>
          <cell r="J15">
            <v>5.0736145648312618</v>
          </cell>
          <cell r="K15">
            <v>233.48900000000003</v>
          </cell>
          <cell r="L15">
            <v>540</v>
          </cell>
          <cell r="M15">
            <v>6.8693516873889893</v>
          </cell>
          <cell r="N15">
            <v>210.48900000000015</v>
          </cell>
          <cell r="O15">
            <v>0</v>
          </cell>
          <cell r="P15">
            <v>1.8693516873889893</v>
          </cell>
          <cell r="Q15">
            <v>-183.61099999999976</v>
          </cell>
          <cell r="R15">
            <v>650</v>
          </cell>
          <cell r="S15">
            <v>844.49999999999989</v>
          </cell>
          <cell r="T15">
            <v>634.01099999999974</v>
          </cell>
          <cell r="U15" t="str">
            <v>9</v>
          </cell>
          <cell r="V15">
            <v>6</v>
          </cell>
          <cell r="W15">
            <v>15</v>
          </cell>
          <cell r="X15">
            <v>135</v>
          </cell>
          <cell r="Y15">
            <v>675</v>
          </cell>
        </row>
        <row r="16">
          <cell r="D16">
            <v>4301011869</v>
          </cell>
          <cell r="E16" t="str">
            <v>Колбаса Молочная ТМ Особый рецепт в оболочке полиамид большой батон. Колбасное изделие вареное из мяса кур. Охлажденное ТУ 10.13.14-006-14709788-2017 ЗАО "Стародворские колбасы"</v>
          </cell>
          <cell r="F16">
            <v>60</v>
          </cell>
          <cell r="G16">
            <v>1</v>
          </cell>
          <cell r="H16">
            <v>514.06700000000001</v>
          </cell>
          <cell r="I16">
            <v>109.77999999999999</v>
          </cell>
          <cell r="J16">
            <v>4.6827017671707054</v>
          </cell>
          <cell r="K16">
            <v>184.72700000000003</v>
          </cell>
          <cell r="L16">
            <v>480</v>
          </cell>
          <cell r="M16">
            <v>6.0550828930588461</v>
          </cell>
          <cell r="N16">
            <v>115.82700000000011</v>
          </cell>
          <cell r="O16">
            <v>0</v>
          </cell>
          <cell r="P16">
            <v>1.0550828930588461</v>
          </cell>
          <cell r="Q16">
            <v>-268.40299999999985</v>
          </cell>
          <cell r="R16">
            <v>700</v>
          </cell>
          <cell r="S16">
            <v>823.34999999999991</v>
          </cell>
          <cell r="T16">
            <v>707.5229999999998</v>
          </cell>
          <cell r="U16">
            <v>8</v>
          </cell>
          <cell r="V16">
            <v>6</v>
          </cell>
          <cell r="W16">
            <v>15</v>
          </cell>
          <cell r="X16">
            <v>120</v>
          </cell>
          <cell r="Y16">
            <v>720</v>
          </cell>
        </row>
        <row r="17">
          <cell r="D17">
            <v>4301011875</v>
          </cell>
          <cell r="E17" t="str">
            <v>Колбаса Филейная оригинальная ТМ Особый рецепт в оболочке полиамид большой батон. Колбасное изделие вареное из мяса кур.Охлажденное ТУ 10.13.14-006-14709788-2017 ЗАО "Стародворские колбасы"</v>
          </cell>
          <cell r="F17">
            <v>60</v>
          </cell>
          <cell r="G17">
            <v>1</v>
          </cell>
          <cell r="H17">
            <v>23.038</v>
          </cell>
          <cell r="I17">
            <v>6.4466666666666663</v>
          </cell>
          <cell r="J17">
            <v>3.573629782833506</v>
          </cell>
          <cell r="K17">
            <v>3.6980000000000004</v>
          </cell>
          <cell r="L17">
            <v>0</v>
          </cell>
          <cell r="M17">
            <v>0.57362978283350574</v>
          </cell>
          <cell r="O17">
            <v>0</v>
          </cell>
          <cell r="P17">
            <v>0</v>
          </cell>
          <cell r="Q17">
            <v>-22.563333333333333</v>
          </cell>
          <cell r="R17">
            <v>60</v>
          </cell>
          <cell r="S17">
            <v>48.349999999999994</v>
          </cell>
          <cell r="T17">
            <v>48.349999999999994</v>
          </cell>
          <cell r="U17">
            <v>8</v>
          </cell>
          <cell r="V17">
            <v>6</v>
          </cell>
          <cell r="W17">
            <v>15</v>
          </cell>
          <cell r="X17">
            <v>120</v>
          </cell>
          <cell r="Y17">
            <v>120</v>
          </cell>
        </row>
        <row r="18">
          <cell r="D18">
            <v>4301011380</v>
          </cell>
          <cell r="E18" t="str">
            <v>Колбаса Докторская ГОСТ ТМ Стародворские колбасы ТС Вязанка в оболочке вектор УВС2. Мясной продукт категории А. Колбасное изделие вареное охлажденное ГОСТ 23670-2019 ЗАО "Стародворские колбасы"</v>
          </cell>
          <cell r="F18">
            <v>50</v>
          </cell>
          <cell r="G18">
            <v>1</v>
          </cell>
          <cell r="H18">
            <v>1045.8520000000001</v>
          </cell>
          <cell r="I18">
            <v>152.94599999999997</v>
          </cell>
          <cell r="J18">
            <v>6.8380474154276696</v>
          </cell>
          <cell r="K18">
            <v>587.01400000000012</v>
          </cell>
          <cell r="L18">
            <v>691.2</v>
          </cell>
          <cell r="M18">
            <v>8.3572895008695909</v>
          </cell>
          <cell r="N18">
            <v>513.48400000000038</v>
          </cell>
          <cell r="O18">
            <v>0</v>
          </cell>
          <cell r="P18">
            <v>3.3572895008695909</v>
          </cell>
          <cell r="Q18">
            <v>-21.826999999999543</v>
          </cell>
          <cell r="R18">
            <v>600</v>
          </cell>
          <cell r="S18">
            <v>1147.0949999999998</v>
          </cell>
          <cell r="T18">
            <v>633.61099999999942</v>
          </cell>
          <cell r="U18" t="str">
            <v>8</v>
          </cell>
          <cell r="V18">
            <v>8</v>
          </cell>
          <cell r="W18">
            <v>10.8</v>
          </cell>
          <cell r="X18">
            <v>86.4</v>
          </cell>
          <cell r="Y18">
            <v>604.80000000000007</v>
          </cell>
        </row>
        <row r="19">
          <cell r="D19">
            <v>4301011514</v>
          </cell>
          <cell r="E19" t="str">
            <v>Колбаса Сливушка ТМ Вязанка в оболочке полиамид вес. Мясной продукт. Колбасное изделие вареное охлажденное ТУ 9213-003-14709788-08 ЗАО "Стародворские колбасы"</v>
          </cell>
          <cell r="F19">
            <v>50</v>
          </cell>
          <cell r="G19">
            <v>1</v>
          </cell>
          <cell r="H19">
            <v>924.43100000000004</v>
          </cell>
          <cell r="I19">
            <v>139.43666666666664</v>
          </cell>
          <cell r="J19">
            <v>6.6297554445267881</v>
          </cell>
          <cell r="K19">
            <v>506.12100000000009</v>
          </cell>
          <cell r="L19">
            <v>518.4</v>
          </cell>
          <cell r="M19">
            <v>7.3475723745547592</v>
          </cell>
          <cell r="N19">
            <v>327.33766666666702</v>
          </cell>
          <cell r="O19">
            <v>0</v>
          </cell>
          <cell r="P19">
            <v>2.3475723745547592</v>
          </cell>
          <cell r="Q19">
            <v>-160.69066666666623</v>
          </cell>
          <cell r="R19">
            <v>700</v>
          </cell>
          <cell r="S19">
            <v>1045.7749999999999</v>
          </cell>
          <cell r="T19">
            <v>718.43733333333284</v>
          </cell>
          <cell r="U19" t="str">
            <v>8</v>
          </cell>
          <cell r="V19">
            <v>8</v>
          </cell>
          <cell r="W19">
            <v>10.8</v>
          </cell>
          <cell r="X19">
            <v>86.4</v>
          </cell>
          <cell r="Y19">
            <v>691.2</v>
          </cell>
        </row>
        <row r="20">
          <cell r="D20">
            <v>4301012030</v>
          </cell>
          <cell r="E20" t="str">
            <v>Колбаса Филейская со шпиком ТМ Вязанка в оболочке полиамид. Мясной продукт. Колбасное изделие вареное охлажденное ТУ 9213-003-14709788-08 ЗАО "Стародворские колбасы"</v>
          </cell>
          <cell r="F20">
            <v>50</v>
          </cell>
          <cell r="G20">
            <v>1</v>
          </cell>
          <cell r="H20">
            <v>227.80699999999999</v>
          </cell>
          <cell r="I20">
            <v>36.513333333333335</v>
          </cell>
          <cell r="K20">
            <v>118.26699999999998</v>
          </cell>
          <cell r="L20">
            <v>179.2</v>
          </cell>
          <cell r="M20">
            <v>8.1468048201570191</v>
          </cell>
          <cell r="N20">
            <v>114.90033333333332</v>
          </cell>
          <cell r="R20">
            <v>140</v>
          </cell>
          <cell r="S20">
            <v>273.85000000000002</v>
          </cell>
          <cell r="T20">
            <v>158.9496666666667</v>
          </cell>
          <cell r="U20">
            <v>8</v>
          </cell>
          <cell r="V20">
            <v>8</v>
          </cell>
          <cell r="W20">
            <v>11.2</v>
          </cell>
          <cell r="X20">
            <v>89.6</v>
          </cell>
          <cell r="Y20">
            <v>179.2</v>
          </cell>
        </row>
        <row r="21">
          <cell r="D21">
            <v>4301011468</v>
          </cell>
          <cell r="E21" t="str">
            <v>Вареные колбасы Молокуша Вязанка Вес п/а Вязанка</v>
          </cell>
          <cell r="F21">
            <v>50</v>
          </cell>
          <cell r="G21">
            <v>1</v>
          </cell>
          <cell r="H21">
            <v>466.19</v>
          </cell>
          <cell r="I21">
            <v>60.042000000000002</v>
          </cell>
          <cell r="K21">
            <v>286.06399999999996</v>
          </cell>
          <cell r="L21">
            <v>172.8</v>
          </cell>
          <cell r="M21">
            <v>7.642383664767995</v>
          </cell>
          <cell r="N21">
            <v>158.65399999999994</v>
          </cell>
          <cell r="R21">
            <v>300</v>
          </cell>
          <cell r="S21">
            <v>450.315</v>
          </cell>
          <cell r="T21">
            <v>291.66100000000006</v>
          </cell>
          <cell r="U21">
            <v>8</v>
          </cell>
          <cell r="V21">
            <v>8</v>
          </cell>
          <cell r="W21">
            <v>10.8</v>
          </cell>
          <cell r="X21">
            <v>86.4</v>
          </cell>
          <cell r="Y21">
            <v>259.20000000000005</v>
          </cell>
        </row>
        <row r="22"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S22">
            <v>0</v>
          </cell>
          <cell r="T22">
            <v>0</v>
          </cell>
        </row>
        <row r="23">
          <cell r="D23">
            <v>4301011376</v>
          </cell>
          <cell r="E23" t="str">
            <v>Колбаса Дугушка Стародворская ТМ Стародворье ТС Дугушка в полиамидной оболочке. Колбасное изделие вареное из мяса цыплят-бройлеров. Охлажденное ТУ 10.13.14-006-14709788-2017 ЗАО "Стародворские колбасы"</v>
          </cell>
          <cell r="F23">
            <v>60</v>
          </cell>
          <cell r="G23">
            <v>1</v>
          </cell>
          <cell r="H23">
            <v>49.902999999999999</v>
          </cell>
          <cell r="I23">
            <v>23.713333333333331</v>
          </cell>
          <cell r="J23">
            <v>2.1044278886702279</v>
          </cell>
          <cell r="L23">
            <v>168.96</v>
          </cell>
          <cell r="M23">
            <v>7.1251054259207205</v>
          </cell>
          <cell r="N23">
            <v>50.393333333333345</v>
          </cell>
          <cell r="O23">
            <v>0</v>
          </cell>
          <cell r="P23">
            <v>2.1251054259207205</v>
          </cell>
          <cell r="Q23">
            <v>-32.60333333333331</v>
          </cell>
          <cell r="R23">
            <v>130</v>
          </cell>
          <cell r="S23">
            <v>177.85</v>
          </cell>
          <cell r="T23">
            <v>127.45666666666665</v>
          </cell>
          <cell r="U23" t="str">
            <v>8</v>
          </cell>
          <cell r="V23">
            <v>6</v>
          </cell>
          <cell r="W23">
            <v>5.28</v>
          </cell>
          <cell r="X23">
            <v>42.24</v>
          </cell>
          <cell r="Y23">
            <v>126.72</v>
          </cell>
        </row>
        <row r="24">
          <cell r="D24">
            <v>4301011771</v>
          </cell>
          <cell r="E24" t="str">
            <v>Колбаса Молочная Дугушка ТМ Стародворье ТС Дугушка в оболочке вектор УВС. Мясной продукт. Колбасное изделие вареное охлажденное ТУ 9213-003-14709788-08 ЗАО "Стародворские колбасы"</v>
          </cell>
          <cell r="F24">
            <v>60</v>
          </cell>
          <cell r="G24">
            <v>1</v>
          </cell>
          <cell r="H24">
            <v>174.398</v>
          </cell>
          <cell r="I24">
            <v>58.827999999999996</v>
          </cell>
          <cell r="J24">
            <v>2.9645406949071873</v>
          </cell>
          <cell r="L24">
            <v>295.68</v>
          </cell>
          <cell r="M24">
            <v>5.026178010471205</v>
          </cell>
          <cell r="N24">
            <v>1.5400000000000205</v>
          </cell>
          <cell r="O24">
            <v>0</v>
          </cell>
          <cell r="P24">
            <v>2.6178010471204539E-2</v>
          </cell>
          <cell r="Q24">
            <v>-204.35799999999998</v>
          </cell>
          <cell r="R24">
            <v>400</v>
          </cell>
          <cell r="S24">
            <v>441.21</v>
          </cell>
          <cell r="T24">
            <v>439.66999999999996</v>
          </cell>
          <cell r="U24" t="str">
            <v>8</v>
          </cell>
          <cell r="V24">
            <v>6</v>
          </cell>
          <cell r="W24">
            <v>5.28</v>
          </cell>
          <cell r="X24">
            <v>42.24</v>
          </cell>
          <cell r="Y24">
            <v>380.16</v>
          </cell>
        </row>
        <row r="25"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0</v>
          </cell>
          <cell r="S25">
            <v>0</v>
          </cell>
          <cell r="T25">
            <v>0</v>
          </cell>
          <cell r="X25">
            <v>0</v>
          </cell>
        </row>
        <row r="26">
          <cell r="D26">
            <v>4301020178</v>
          </cell>
          <cell r="E26" t="str">
            <v>Ветчина Нежная ТМ Особый рецепт в оболочке полиамид большой батон. Мясной продукт. Вареный продукт из мяса ТУ 9213-005-14709788-08 ЗАО "Стародворские колбасы"</v>
          </cell>
          <cell r="F26">
            <v>50</v>
          </cell>
          <cell r="G26">
            <v>1</v>
          </cell>
          <cell r="H26">
            <v>320.80200000000002</v>
          </cell>
          <cell r="I26">
            <v>51.093333333333334</v>
          </cell>
          <cell r="J26">
            <v>6.2787447807933194</v>
          </cell>
          <cell r="K26">
            <v>167.52200000000002</v>
          </cell>
          <cell r="L26">
            <v>120</v>
          </cell>
          <cell r="M26">
            <v>5.6273877870563682</v>
          </cell>
          <cell r="N26">
            <v>32.05533333333338</v>
          </cell>
          <cell r="O26">
            <v>0</v>
          </cell>
          <cell r="P26">
            <v>0.62738778705636833</v>
          </cell>
          <cell r="Q26">
            <v>-146.77133333333327</v>
          </cell>
          <cell r="R26">
            <v>350</v>
          </cell>
          <cell r="S26">
            <v>383.2</v>
          </cell>
          <cell r="T26">
            <v>351.14466666666658</v>
          </cell>
          <cell r="U26" t="str">
            <v>8</v>
          </cell>
          <cell r="V26">
            <v>6</v>
          </cell>
          <cell r="W26">
            <v>15</v>
          </cell>
          <cell r="X26">
            <v>120</v>
          </cell>
          <cell r="Y26">
            <v>360</v>
          </cell>
        </row>
        <row r="27">
          <cell r="D27">
            <v>4301020298</v>
          </cell>
          <cell r="E27" t="str">
            <v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v>
          </cell>
          <cell r="F27">
            <v>50</v>
          </cell>
          <cell r="G27">
            <v>1</v>
          </cell>
          <cell r="H27">
            <v>338.76299999999998</v>
          </cell>
          <cell r="I27">
            <v>47.013333333333335</v>
          </cell>
          <cell r="J27">
            <v>7.2056792399319338</v>
          </cell>
          <cell r="K27">
            <v>197.72299999999996</v>
          </cell>
          <cell r="L27">
            <v>86.4</v>
          </cell>
          <cell r="M27">
            <v>6.0434557572319889</v>
          </cell>
          <cell r="N27">
            <v>49.056333333333271</v>
          </cell>
          <cell r="O27">
            <v>0</v>
          </cell>
          <cell r="P27">
            <v>1.0434557572319896</v>
          </cell>
          <cell r="Q27">
            <v>-115.49033333333341</v>
          </cell>
          <cell r="R27">
            <v>300</v>
          </cell>
          <cell r="S27">
            <v>352.6</v>
          </cell>
          <cell r="T27">
            <v>303.54366666666675</v>
          </cell>
          <cell r="U27" t="str">
            <v>8</v>
          </cell>
          <cell r="V27">
            <v>8</v>
          </cell>
          <cell r="W27">
            <v>10.8</v>
          </cell>
          <cell r="X27">
            <v>86.4</v>
          </cell>
          <cell r="Y27">
            <v>259.20000000000005</v>
          </cell>
        </row>
        <row r="28">
          <cell r="D28">
            <v>4301020334</v>
          </cell>
          <cell r="E28" t="str">
            <v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"Стародворские колбасы"</v>
          </cell>
          <cell r="F28">
            <v>70</v>
          </cell>
          <cell r="G28">
            <v>1</v>
          </cell>
          <cell r="H28">
            <v>42.796999999999997</v>
          </cell>
          <cell r="I28">
            <v>4.0653333333333332</v>
          </cell>
          <cell r="J28">
            <v>10.527304034109543</v>
          </cell>
          <cell r="K28">
            <v>30.600999999999999</v>
          </cell>
          <cell r="L28">
            <v>0</v>
          </cell>
          <cell r="M28">
            <v>7.5273040341095436</v>
          </cell>
          <cell r="N28">
            <v>10.274333333333331</v>
          </cell>
          <cell r="O28">
            <v>0</v>
          </cell>
          <cell r="P28">
            <v>2.5273040341095436</v>
          </cell>
          <cell r="R28">
            <v>50</v>
          </cell>
          <cell r="S28">
            <v>30.49</v>
          </cell>
          <cell r="T28">
            <v>20.215666666666667</v>
          </cell>
          <cell r="U28">
            <v>8</v>
          </cell>
          <cell r="V28">
            <v>6</v>
          </cell>
          <cell r="W28">
            <v>5.28</v>
          </cell>
          <cell r="X28">
            <v>42.24</v>
          </cell>
          <cell r="Y28">
            <v>42.24</v>
          </cell>
        </row>
        <row r="29">
          <cell r="H29">
            <v>0</v>
          </cell>
          <cell r="I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0</v>
          </cell>
          <cell r="S29">
            <v>0</v>
          </cell>
          <cell r="T29">
            <v>0</v>
          </cell>
          <cell r="X29">
            <v>0</v>
          </cell>
        </row>
        <row r="30">
          <cell r="D30">
            <v>4301051724</v>
          </cell>
          <cell r="E30" t="str">
            <v>Сосиски Вязанка Сливочные ТМ Стародворские колбасы ТС Вязанка в оболочке амицел в модифицированной газовой среде УВС2. Мясной продукт. Колбасные изделия вареные охлажденные ТУ 9213-003-14709788-08 ЗАО "Стародворские колбасы"</v>
          </cell>
          <cell r="F30">
            <v>45</v>
          </cell>
          <cell r="G30">
            <v>1</v>
          </cell>
          <cell r="H30">
            <v>132.816</v>
          </cell>
          <cell r="I30">
            <v>43.411600000000007</v>
          </cell>
          <cell r="J30">
            <v>3.0594587621741649</v>
          </cell>
          <cell r="K30">
            <v>2.5811999999999955</v>
          </cell>
          <cell r="L30">
            <v>324</v>
          </cell>
          <cell r="M30">
            <v>7.5229017129062257</v>
          </cell>
          <cell r="N30">
            <v>109.52319999999992</v>
          </cell>
          <cell r="O30">
            <v>0</v>
          </cell>
          <cell r="P30">
            <v>2.5229017129062257</v>
          </cell>
          <cell r="Q30">
            <v>-42.4174000000001</v>
          </cell>
          <cell r="R30">
            <v>180</v>
          </cell>
          <cell r="S30">
            <v>282.17540000000002</v>
          </cell>
          <cell r="T30">
            <v>172.65220000000011</v>
          </cell>
          <cell r="U30" t="str">
            <v>8</v>
          </cell>
          <cell r="V30">
            <v>6</v>
          </cell>
          <cell r="W30">
            <v>8.1</v>
          </cell>
          <cell r="X30">
            <v>64.8</v>
          </cell>
          <cell r="Y30">
            <v>194.39999999999998</v>
          </cell>
        </row>
        <row r="31">
          <cell r="D31">
            <v>4301051721</v>
          </cell>
          <cell r="E31" t="str">
            <v>Сосиски Вязанка Сливочные ТМ Вязанка в оболочке амицел в модифицированной газовой среде 0,45 кг. Мясной продукт. Колбасные изделия вареные охлажденные ТУ 9213-003-14709788-08 ЗАО "Стародворские колбасы"</v>
          </cell>
          <cell r="F31">
            <v>45</v>
          </cell>
          <cell r="G31">
            <v>0.45</v>
          </cell>
          <cell r="H31">
            <v>65</v>
          </cell>
          <cell r="I31">
            <v>22.733333333333334</v>
          </cell>
          <cell r="J31">
            <v>2.8592375366568912</v>
          </cell>
          <cell r="L31">
            <v>144</v>
          </cell>
          <cell r="M31">
            <v>6.3343108504398824</v>
          </cell>
          <cell r="N31">
            <v>30.333333333333329</v>
          </cell>
          <cell r="O31">
            <v>0</v>
          </cell>
          <cell r="P31">
            <v>1.3343108504398824</v>
          </cell>
          <cell r="Q31">
            <v>-49.233333333333334</v>
          </cell>
          <cell r="R31">
            <v>120</v>
          </cell>
          <cell r="S31">
            <v>147.76666666666668</v>
          </cell>
          <cell r="T31">
            <v>117.43333333333335</v>
          </cell>
          <cell r="U31" t="str">
            <v>12</v>
          </cell>
          <cell r="V31">
            <v>6</v>
          </cell>
          <cell r="W31">
            <v>2.7</v>
          </cell>
          <cell r="X31">
            <v>32.400000000000006</v>
          </cell>
          <cell r="Y31">
            <v>64.800000000000011</v>
          </cell>
        </row>
        <row r="32">
          <cell r="D32">
            <v>4301051899</v>
          </cell>
          <cell r="E32" t="str">
            <v>Сосиски Молочные для завтрака ТМ Особый рецепт в оболочке полиамид в модифицированной газовой среде. Колбасные изделия вареные из мяса птицы охлажденные ТУ 10.13.14-006-14709788-2017 ЗАО "Стародворские колбасы"</v>
          </cell>
          <cell r="F32">
            <v>40</v>
          </cell>
          <cell r="G32">
            <v>1</v>
          </cell>
          <cell r="H32">
            <v>178.12</v>
          </cell>
          <cell r="I32">
            <v>53.732333333333337</v>
          </cell>
          <cell r="J32">
            <v>3.3149500300874086</v>
          </cell>
          <cell r="K32">
            <v>16.923000000000002</v>
          </cell>
          <cell r="L32">
            <v>360</v>
          </cell>
          <cell r="M32">
            <v>7.0148265786584112</v>
          </cell>
          <cell r="N32">
            <v>108.26133333333331</v>
          </cell>
          <cell r="O32">
            <v>0</v>
          </cell>
          <cell r="P32">
            <v>2.0148265786584112</v>
          </cell>
          <cell r="Q32">
            <v>-79.801833333333377</v>
          </cell>
          <cell r="R32">
            <v>200</v>
          </cell>
          <cell r="S32">
            <v>349.26016666666669</v>
          </cell>
          <cell r="T32">
            <v>240.99883333333338</v>
          </cell>
          <cell r="U32" t="str">
            <v>8</v>
          </cell>
          <cell r="V32">
            <v>6</v>
          </cell>
          <cell r="W32">
            <v>9</v>
          </cell>
          <cell r="X32">
            <v>72</v>
          </cell>
          <cell r="Y32">
            <v>216</v>
          </cell>
        </row>
        <row r="33">
          <cell r="D33">
            <v>4301051660</v>
          </cell>
          <cell r="E33" t="str">
            <v>Сосиски Молочные для завтрака ТМ Особый рецепт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33">
            <v>40</v>
          </cell>
          <cell r="G33">
            <v>0.4</v>
          </cell>
          <cell r="H33">
            <v>3</v>
          </cell>
          <cell r="I33">
            <v>32.06666666666667</v>
          </cell>
          <cell r="J33">
            <v>9.3555093555093546E-2</v>
          </cell>
          <cell r="L33">
            <v>144</v>
          </cell>
          <cell r="M33">
            <v>4.49064449064449</v>
          </cell>
          <cell r="O33">
            <v>0</v>
          </cell>
          <cell r="P33">
            <v>0</v>
          </cell>
          <cell r="Q33">
            <v>-112.23333333333335</v>
          </cell>
          <cell r="R33">
            <v>200</v>
          </cell>
          <cell r="S33">
            <v>208.43333333333337</v>
          </cell>
          <cell r="T33">
            <v>208.43333333333337</v>
          </cell>
          <cell r="U33" t="str">
            <v>12</v>
          </cell>
          <cell r="V33">
            <v>6</v>
          </cell>
          <cell r="W33">
            <v>2.4</v>
          </cell>
          <cell r="X33">
            <v>28.799999999999997</v>
          </cell>
          <cell r="Y33">
            <v>86.399999999999991</v>
          </cell>
        </row>
        <row r="34">
          <cell r="D34">
            <v>4301051489</v>
          </cell>
          <cell r="E34" t="str">
            <v>Сосиски Баварские ТМ Стародворье в оболочке айпил в модифицированной газовой среде УВС3. Мясной продукт. Колбасные изделия вареные охлажденные ТУ 9213-003-14709788-08 ЗАО "Стародворские колбасы"</v>
          </cell>
          <cell r="F34">
            <v>45</v>
          </cell>
          <cell r="G34">
            <v>1</v>
          </cell>
          <cell r="H34">
            <v>38.667999999999999</v>
          </cell>
          <cell r="I34">
            <v>8.4333333333333336</v>
          </cell>
          <cell r="J34">
            <v>4.585138339920948</v>
          </cell>
          <cell r="K34">
            <v>13.367999999999999</v>
          </cell>
          <cell r="L34">
            <v>64.8</v>
          </cell>
          <cell r="M34">
            <v>9.2689328063241092</v>
          </cell>
          <cell r="N34">
            <v>36.001333333333321</v>
          </cell>
          <cell r="O34">
            <v>0</v>
          </cell>
          <cell r="P34">
            <v>4.2689328063241092</v>
          </cell>
          <cell r="Q34">
            <v>6.484666666666655</v>
          </cell>
          <cell r="R34">
            <v>0</v>
          </cell>
          <cell r="S34">
            <v>54.81666666666667</v>
          </cell>
          <cell r="T34">
            <v>18.815333333333349</v>
          </cell>
          <cell r="U34" t="str">
            <v>8</v>
          </cell>
          <cell r="V34">
            <v>6</v>
          </cell>
          <cell r="W34">
            <v>8.1</v>
          </cell>
          <cell r="X34">
            <v>64.8</v>
          </cell>
          <cell r="Y34">
            <v>0</v>
          </cell>
        </row>
        <row r="35">
          <cell r="D35">
            <v>4301051712</v>
          </cell>
          <cell r="E35" t="str">
            <v>Сосиски Вязанка Молочные ТМ Стародворские колбасы ТС Вязанка в оболочке амицел в модифицированной газовой среде УВС2. Мясной продукт. Колбасные изделия вареные охлажденные ТУ 9213-003-14709788-08 ЗАО "Стародворские колбасы"</v>
          </cell>
          <cell r="F35">
            <v>45</v>
          </cell>
          <cell r="G35">
            <v>1</v>
          </cell>
          <cell r="H35">
            <v>144.65100000000001</v>
          </cell>
          <cell r="I35">
            <v>34.766666666666666</v>
          </cell>
          <cell r="J35">
            <v>4.1606232023010552</v>
          </cell>
          <cell r="K35">
            <v>40.351000000000013</v>
          </cell>
          <cell r="L35">
            <v>194.4</v>
          </cell>
          <cell r="M35">
            <v>6.752186001917547</v>
          </cell>
          <cell r="N35">
            <v>60.917666666666719</v>
          </cell>
          <cell r="O35">
            <v>0</v>
          </cell>
          <cell r="P35">
            <v>1.752186001917547</v>
          </cell>
          <cell r="Q35">
            <v>-60.765666666666618</v>
          </cell>
          <cell r="R35">
            <v>160</v>
          </cell>
          <cell r="S35">
            <v>225.98333333333332</v>
          </cell>
          <cell r="T35">
            <v>165.0656666666666</v>
          </cell>
          <cell r="U35" t="str">
            <v>8</v>
          </cell>
          <cell r="V35">
            <v>6</v>
          </cell>
          <cell r="W35">
            <v>8.1</v>
          </cell>
          <cell r="X35">
            <v>64.8</v>
          </cell>
          <cell r="Y35">
            <v>129.6</v>
          </cell>
        </row>
        <row r="36">
          <cell r="D36">
            <v>4301051718</v>
          </cell>
          <cell r="E36" t="str">
            <v>Сосиски Вязанка Молочные ТМ Стародворские колбасы ТС Вязанка в оболочке амицел в модифицированной газовой среде 0,45 кг УВС2. Мясной продукт. Колбасные изделия вареные охлажденные ТУ 9213-003-14709788-08 ЗАО "Стародворские колбасы"</v>
          </cell>
          <cell r="F36">
            <v>45</v>
          </cell>
          <cell r="G36">
            <v>0.45</v>
          </cell>
          <cell r="H36">
            <v>164</v>
          </cell>
          <cell r="I36">
            <v>25.8</v>
          </cell>
          <cell r="J36">
            <v>6.3565891472868215</v>
          </cell>
          <cell r="K36">
            <v>86.6</v>
          </cell>
          <cell r="L36">
            <v>167.99999999999997</v>
          </cell>
          <cell r="M36">
            <v>9.8682170542635639</v>
          </cell>
          <cell r="N36">
            <v>125.59999999999997</v>
          </cell>
          <cell r="O36">
            <v>0</v>
          </cell>
          <cell r="P36">
            <v>4.8682170542635648</v>
          </cell>
          <cell r="Q36">
            <v>35.299999999999969</v>
          </cell>
          <cell r="R36">
            <v>0</v>
          </cell>
          <cell r="S36">
            <v>167.70000000000002</v>
          </cell>
          <cell r="T36">
            <v>42.100000000000051</v>
          </cell>
          <cell r="U36">
            <v>14</v>
          </cell>
          <cell r="V36">
            <v>6</v>
          </cell>
          <cell r="W36">
            <v>2.7</v>
          </cell>
          <cell r="X36">
            <v>37.800000000000004</v>
          </cell>
          <cell r="Y36">
            <v>0</v>
          </cell>
        </row>
        <row r="37">
          <cell r="D37">
            <v>4301051656</v>
          </cell>
          <cell r="E37" t="str">
            <v>Сосиски Сочинки ТМ Стародворье в оболочке полиамид в модифицированной газовой среде . Колбасные изделия вареные из мяса птицы охлажденные ТУ 10.13.14-006-14709788-2017 ЗАО "Стародворские колбасы"</v>
          </cell>
          <cell r="F37">
            <v>45</v>
          </cell>
          <cell r="G37">
            <v>1</v>
          </cell>
          <cell r="H37">
            <v>418.96</v>
          </cell>
          <cell r="I37">
            <v>83.965333333333334</v>
          </cell>
          <cell r="J37">
            <v>4.9896782799250481</v>
          </cell>
          <cell r="K37">
            <v>167.06399999999996</v>
          </cell>
          <cell r="L37">
            <v>417.6</v>
          </cell>
          <cell r="M37">
            <v>6.9631593991170959</v>
          </cell>
          <cell r="N37">
            <v>164.83733333333333</v>
          </cell>
          <cell r="O37">
            <v>0</v>
          </cell>
          <cell r="P37">
            <v>1.9631593991170959</v>
          </cell>
          <cell r="Q37">
            <v>-129.04133333333334</v>
          </cell>
          <cell r="R37">
            <v>350</v>
          </cell>
          <cell r="S37">
            <v>545.77466666666669</v>
          </cell>
          <cell r="T37">
            <v>380.93733333333336</v>
          </cell>
          <cell r="U37" t="str">
            <v>8</v>
          </cell>
          <cell r="V37">
            <v>6</v>
          </cell>
          <cell r="W37">
            <v>8.6999999999999993</v>
          </cell>
          <cell r="X37">
            <v>69.599999999999994</v>
          </cell>
          <cell r="Y37">
            <v>348</v>
          </cell>
        </row>
        <row r="38">
          <cell r="D38">
            <v>4301051795</v>
          </cell>
          <cell r="E38" t="str">
            <v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38">
            <v>40</v>
          </cell>
          <cell r="G38">
            <v>0.4</v>
          </cell>
          <cell r="H38">
            <v>147</v>
          </cell>
          <cell r="I38">
            <v>30.2</v>
          </cell>
          <cell r="J38">
            <v>4.8675496688741724</v>
          </cell>
          <cell r="K38">
            <v>56.400000000000006</v>
          </cell>
          <cell r="L38">
            <v>72</v>
          </cell>
          <cell r="M38">
            <v>4.2516556291390728</v>
          </cell>
          <cell r="O38">
            <v>0</v>
          </cell>
          <cell r="P38">
            <v>0</v>
          </cell>
          <cell r="Q38">
            <v>-105.7</v>
          </cell>
          <cell r="R38">
            <v>200</v>
          </cell>
          <cell r="S38">
            <v>196.29999999999998</v>
          </cell>
          <cell r="T38">
            <v>196.29999999999998</v>
          </cell>
          <cell r="U38" t="str">
            <v>12</v>
          </cell>
          <cell r="V38">
            <v>6</v>
          </cell>
          <cell r="W38">
            <v>2.4</v>
          </cell>
          <cell r="X38">
            <v>28.799999999999997</v>
          </cell>
          <cell r="Y38">
            <v>86.399999999999991</v>
          </cell>
        </row>
        <row r="39">
          <cell r="D39">
            <v>4301051388</v>
          </cell>
          <cell r="E39" t="str">
            <v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39">
            <v>45</v>
          </cell>
          <cell r="G39">
            <v>0.4</v>
          </cell>
          <cell r="H39">
            <v>157</v>
          </cell>
          <cell r="I39">
            <v>28.666666666666668</v>
          </cell>
          <cell r="J39">
            <v>5.4767441860465116</v>
          </cell>
          <cell r="K39">
            <v>71</v>
          </cell>
          <cell r="L39">
            <v>72</v>
          </cell>
          <cell r="M39">
            <v>4.9883720930232558</v>
          </cell>
          <cell r="O39">
            <v>0</v>
          </cell>
          <cell r="P39">
            <v>0</v>
          </cell>
          <cell r="Q39">
            <v>-100.33333333333334</v>
          </cell>
          <cell r="R39">
            <v>200</v>
          </cell>
          <cell r="S39">
            <v>186.33333333333334</v>
          </cell>
          <cell r="T39">
            <v>186.33333333333334</v>
          </cell>
          <cell r="U39" t="str">
            <v>12</v>
          </cell>
          <cell r="V39">
            <v>6</v>
          </cell>
          <cell r="W39">
            <v>2.4</v>
          </cell>
          <cell r="X39">
            <v>28.799999999999997</v>
          </cell>
          <cell r="Y39">
            <v>86.399999999999991</v>
          </cell>
        </row>
        <row r="40">
          <cell r="D40">
            <v>4301051666</v>
          </cell>
          <cell r="E40" t="str">
            <v>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40">
            <v>45</v>
          </cell>
          <cell r="G40">
            <v>0.4</v>
          </cell>
          <cell r="H40">
            <v>277</v>
          </cell>
          <cell r="I40">
            <v>50.6</v>
          </cell>
          <cell r="J40">
            <v>5.4743083003952568</v>
          </cell>
          <cell r="K40">
            <v>125.19999999999999</v>
          </cell>
          <cell r="L40">
            <v>216</v>
          </cell>
          <cell r="M40">
            <v>6.7430830039525684</v>
          </cell>
          <cell r="N40">
            <v>88.199999999999989</v>
          </cell>
          <cell r="O40">
            <v>0</v>
          </cell>
          <cell r="P40">
            <v>1.7430830039525689</v>
          </cell>
          <cell r="Q40">
            <v>-88.9</v>
          </cell>
          <cell r="R40">
            <v>250</v>
          </cell>
          <cell r="S40">
            <v>328.90000000000003</v>
          </cell>
          <cell r="T40">
            <v>240.70000000000005</v>
          </cell>
          <cell r="U40" t="str">
            <v>12</v>
          </cell>
          <cell r="V40">
            <v>6</v>
          </cell>
          <cell r="W40">
            <v>2.4</v>
          </cell>
          <cell r="X40">
            <v>28.799999999999997</v>
          </cell>
          <cell r="Y40">
            <v>86.399999999999991</v>
          </cell>
        </row>
        <row r="41">
          <cell r="D41">
            <v>4301051668</v>
          </cell>
          <cell r="E41" t="str">
            <v>Сосиски Сочинки ТМ Стародворье с сочным окороком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41">
            <v>45</v>
          </cell>
          <cell r="G41">
            <v>0.4</v>
          </cell>
          <cell r="H41">
            <v>334</v>
          </cell>
          <cell r="I41">
            <v>57.866666666666667</v>
          </cell>
          <cell r="J41">
            <v>5.7718894009216593</v>
          </cell>
          <cell r="K41">
            <v>160.4</v>
          </cell>
          <cell r="L41">
            <v>216</v>
          </cell>
          <cell r="M41">
            <v>6.5046082949308754</v>
          </cell>
          <cell r="N41">
            <v>87.066666666666663</v>
          </cell>
          <cell r="O41">
            <v>0</v>
          </cell>
          <cell r="P41">
            <v>1.5046082949308754</v>
          </cell>
          <cell r="Q41">
            <v>-115.46666666666667</v>
          </cell>
          <cell r="R41">
            <v>250</v>
          </cell>
          <cell r="S41">
            <v>376.13333333333333</v>
          </cell>
          <cell r="T41">
            <v>289.06666666666666</v>
          </cell>
          <cell r="U41" t="str">
            <v>12</v>
          </cell>
          <cell r="V41">
            <v>6</v>
          </cell>
          <cell r="W41">
            <v>2.4</v>
          </cell>
          <cell r="X41">
            <v>28.799999999999997</v>
          </cell>
          <cell r="Y41">
            <v>86.399999999999991</v>
          </cell>
        </row>
        <row r="42">
          <cell r="D42">
            <v>4301051407</v>
          </cell>
          <cell r="E42" t="str">
            <v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42">
            <v>40</v>
          </cell>
          <cell r="G42">
            <v>0.4</v>
          </cell>
          <cell r="H42">
            <v>230</v>
          </cell>
          <cell r="I42">
            <v>48.93333333333333</v>
          </cell>
          <cell r="J42">
            <v>4.7002724795640329</v>
          </cell>
          <cell r="K42">
            <v>83.200000000000017</v>
          </cell>
          <cell r="L42">
            <v>144</v>
          </cell>
          <cell r="M42">
            <v>4.6430517711171673</v>
          </cell>
          <cell r="R42">
            <v>400</v>
          </cell>
          <cell r="S42">
            <v>318.06666666666666</v>
          </cell>
          <cell r="T42">
            <v>318.06666666666666</v>
          </cell>
          <cell r="U42">
            <v>12</v>
          </cell>
          <cell r="V42">
            <v>6</v>
          </cell>
          <cell r="W42">
            <v>2.4</v>
          </cell>
          <cell r="X42">
            <v>28.799999999999997</v>
          </cell>
          <cell r="Y42">
            <v>172.79999999999998</v>
          </cell>
        </row>
        <row r="43">
          <cell r="D43">
            <v>4301051410</v>
          </cell>
          <cell r="E43" t="str">
            <v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43">
            <v>40</v>
          </cell>
          <cell r="G43">
            <v>0.4</v>
          </cell>
          <cell r="H43">
            <v>204</v>
          </cell>
          <cell r="I43">
            <v>36.266666666666666</v>
          </cell>
          <cell r="J43">
            <v>5.625</v>
          </cell>
          <cell r="K43">
            <v>95.2</v>
          </cell>
          <cell r="L43">
            <v>144</v>
          </cell>
          <cell r="M43">
            <v>6.5955882352941178</v>
          </cell>
          <cell r="N43">
            <v>57.866666666666674</v>
          </cell>
          <cell r="R43">
            <v>200</v>
          </cell>
          <cell r="S43">
            <v>235.73333333333332</v>
          </cell>
          <cell r="T43">
            <v>177.86666666666665</v>
          </cell>
          <cell r="U43">
            <v>12</v>
          </cell>
          <cell r="V43">
            <v>6</v>
          </cell>
          <cell r="W43">
            <v>2.4</v>
          </cell>
          <cell r="X43">
            <v>28.799999999999997</v>
          </cell>
          <cell r="Y43">
            <v>86.399999999999991</v>
          </cell>
        </row>
        <row r="44">
          <cell r="H44">
            <v>0</v>
          </cell>
          <cell r="I44">
            <v>0</v>
          </cell>
          <cell r="K44">
            <v>0</v>
          </cell>
          <cell r="L44">
            <v>0</v>
          </cell>
          <cell r="N44">
            <v>0</v>
          </cell>
          <cell r="Q44">
            <v>0</v>
          </cell>
          <cell r="S44">
            <v>0</v>
          </cell>
          <cell r="T44">
            <v>0</v>
          </cell>
        </row>
        <row r="45">
          <cell r="D45">
            <v>4301060406</v>
          </cell>
          <cell r="E45" t="str">
            <v>Сардельки Стародворские с говядиной ТМ Стародворье в оболочке NDX в модифицированной газовой среде. Мясной продукт. Колбасные изделия вареные охлажденные ТУ 9213-003-14709788-08 ЗАО "Стародворские колбасы"</v>
          </cell>
          <cell r="F45">
            <v>30</v>
          </cell>
          <cell r="G45">
            <v>1</v>
          </cell>
          <cell r="H45">
            <v>241.59899999999999</v>
          </cell>
          <cell r="I45">
            <v>75.309999999999988</v>
          </cell>
          <cell r="J45">
            <v>3.2080600185898289</v>
          </cell>
          <cell r="K45">
            <v>15.66900000000004</v>
          </cell>
          <cell r="L45">
            <v>374.4</v>
          </cell>
          <cell r="M45">
            <v>5.1795113530739618</v>
          </cell>
          <cell r="N45">
            <v>13.519000000000062</v>
          </cell>
          <cell r="O45">
            <v>0</v>
          </cell>
          <cell r="P45">
            <v>0.17951135307396182</v>
          </cell>
          <cell r="Q45">
            <v>-250.06599999999992</v>
          </cell>
          <cell r="R45">
            <v>450</v>
          </cell>
          <cell r="S45">
            <v>489.51499999999993</v>
          </cell>
          <cell r="T45">
            <v>475.99599999999987</v>
          </cell>
          <cell r="U45" t="str">
            <v>8</v>
          </cell>
          <cell r="V45">
            <v>6</v>
          </cell>
          <cell r="W45">
            <v>7.8</v>
          </cell>
          <cell r="X45">
            <v>62.4</v>
          </cell>
          <cell r="Y45">
            <v>436.8</v>
          </cell>
        </row>
        <row r="46">
          <cell r="D46">
            <v>4301060387</v>
          </cell>
          <cell r="E46" t="str">
            <v>Сардельки Нежные ТМ Стародворье в оболочке NDX в модифицированной газовой среде. Колбасные изделия вареные из мяса птицы охлажденные ТУ 10.13.14-006-14709788-2017 ЗАО "Стародворские колбасы"</v>
          </cell>
          <cell r="F46">
            <v>30</v>
          </cell>
          <cell r="G46">
            <v>1</v>
          </cell>
          <cell r="H46">
            <v>187.25700000000001</v>
          </cell>
          <cell r="I46">
            <v>40.810600000000001</v>
          </cell>
          <cell r="J46">
            <v>4.5884402581682213</v>
          </cell>
          <cell r="K46">
            <v>64.825199999999995</v>
          </cell>
          <cell r="L46">
            <v>134.4</v>
          </cell>
          <cell r="M46">
            <v>4.8817023028330873</v>
          </cell>
          <cell r="O46">
            <v>0</v>
          </cell>
          <cell r="P46">
            <v>0</v>
          </cell>
          <cell r="Q46">
            <v>-142.83709999999999</v>
          </cell>
          <cell r="R46">
            <v>250</v>
          </cell>
          <cell r="S46">
            <v>265.26890000000003</v>
          </cell>
          <cell r="T46">
            <v>265.26890000000003</v>
          </cell>
          <cell r="U46" t="str">
            <v>8</v>
          </cell>
          <cell r="V46">
            <v>6</v>
          </cell>
          <cell r="W46">
            <v>8.4</v>
          </cell>
          <cell r="X46">
            <v>67.2</v>
          </cell>
          <cell r="Y46">
            <v>268.8</v>
          </cell>
        </row>
        <row r="47">
          <cell r="D47">
            <v>4301060455</v>
          </cell>
          <cell r="E47" t="str">
            <v>Сардельки Вязанка Стародворские ТМ Стародворские колбасы ТС Вязанка в оболочке NDX в модифицированной газовой среде УВС. Мясной продукт. Колбасные изделия вареные охлажденные ТУ 9213-003-14709788-08 ЗАО "Стародворские колбасы"</v>
          </cell>
          <cell r="F47">
            <v>30</v>
          </cell>
          <cell r="G47">
            <v>1</v>
          </cell>
          <cell r="H47">
            <v>39.762</v>
          </cell>
          <cell r="I47">
            <v>10.8484</v>
          </cell>
          <cell r="J47">
            <v>3.6652409571918438</v>
          </cell>
          <cell r="K47">
            <v>7.2167999999999992</v>
          </cell>
          <cell r="L47">
            <v>0</v>
          </cell>
          <cell r="M47">
            <v>0.66524095719184395</v>
          </cell>
          <cell r="O47">
            <v>0</v>
          </cell>
          <cell r="P47">
            <v>0</v>
          </cell>
          <cell r="Q47">
            <v>-37.9694</v>
          </cell>
          <cell r="R47">
            <v>70</v>
          </cell>
          <cell r="S47">
            <v>70.514600000000002</v>
          </cell>
          <cell r="T47">
            <v>70.514600000000002</v>
          </cell>
          <cell r="U47" t="str">
            <v>8</v>
          </cell>
          <cell r="V47">
            <v>6</v>
          </cell>
          <cell r="W47">
            <v>7.8</v>
          </cell>
          <cell r="X47">
            <v>62.4</v>
          </cell>
          <cell r="Y47">
            <v>62.4</v>
          </cell>
        </row>
        <row r="48">
          <cell r="D48">
            <v>4301060524</v>
          </cell>
          <cell r="E48" t="str">
            <v>Сардельки Сочные ТМ Особый рецепт в оболочке NDX в модифицированной газовой среде. Колбасные изделия вареные охлажденные ТУ 10.13.14-006-14709788-2017 ЗАО "Стародворские колбасы"</v>
          </cell>
          <cell r="F48">
            <v>30</v>
          </cell>
          <cell r="G48">
            <v>1</v>
          </cell>
          <cell r="H48">
            <v>121.831</v>
          </cell>
          <cell r="I48">
            <v>26.793333333333333</v>
          </cell>
          <cell r="J48">
            <v>4.547063946255288</v>
          </cell>
          <cell r="K48">
            <v>41.451000000000008</v>
          </cell>
          <cell r="L48">
            <v>144</v>
          </cell>
          <cell r="M48">
            <v>6.9215352077631263</v>
          </cell>
          <cell r="N48">
            <v>51.484333333333353</v>
          </cell>
          <cell r="O48">
            <v>0</v>
          </cell>
          <cell r="P48">
            <v>1.921535207763126</v>
          </cell>
          <cell r="Q48">
            <v>-42.292333333333318</v>
          </cell>
          <cell r="R48">
            <v>100</v>
          </cell>
          <cell r="S48">
            <v>174.15666666666667</v>
          </cell>
          <cell r="T48">
            <v>122.67233333333331</v>
          </cell>
          <cell r="U48">
            <v>8</v>
          </cell>
          <cell r="V48">
            <v>6</v>
          </cell>
          <cell r="W48">
            <v>9</v>
          </cell>
          <cell r="X48">
            <v>72</v>
          </cell>
          <cell r="Y48">
            <v>72</v>
          </cell>
        </row>
        <row r="49">
          <cell r="D49">
            <v>4301060484</v>
          </cell>
          <cell r="E49" t="str">
            <v>Шпикачки Стародворские ТМ Стародворье в оболочке NDX в модифицированной газовой среде. Мясной продукт. Колбасные изделия вареные охлажденные ТУ 9213-003-14709788-08 ЗАО "Стародворские колбасы"</v>
          </cell>
          <cell r="F49">
            <v>30</v>
          </cell>
          <cell r="G49">
            <v>1</v>
          </cell>
          <cell r="H49">
            <v>50.277999999999999</v>
          </cell>
          <cell r="I49">
            <v>19.892933333333328</v>
          </cell>
          <cell r="J49">
            <v>2.527430176209978</v>
          </cell>
          <cell r="L49">
            <v>67.2</v>
          </cell>
          <cell r="M49">
            <v>3.3780840097321003</v>
          </cell>
          <cell r="O49">
            <v>0</v>
          </cell>
          <cell r="P49">
            <v>0</v>
          </cell>
          <cell r="Q49">
            <v>-69.625266666666647</v>
          </cell>
          <cell r="R49">
            <v>120</v>
          </cell>
          <cell r="S49">
            <v>129.30406666666664</v>
          </cell>
          <cell r="T49">
            <v>129.30406666666664</v>
          </cell>
          <cell r="U49" t="str">
            <v>8</v>
          </cell>
          <cell r="V49">
            <v>6</v>
          </cell>
          <cell r="W49">
            <v>8.4</v>
          </cell>
          <cell r="X49">
            <v>67.2</v>
          </cell>
          <cell r="Y49">
            <v>134.4</v>
          </cell>
        </row>
        <row r="50"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Q50">
            <v>0</v>
          </cell>
          <cell r="S50">
            <v>0</v>
          </cell>
          <cell r="T50">
            <v>0</v>
          </cell>
        </row>
        <row r="51">
          <cell r="D51">
            <v>4301031353</v>
          </cell>
          <cell r="E51" t="str">
            <v>Колбаса Сервелат запеченный ТМ Стародворье ТС Дугушка вектор УВС. Мясной продукт. Колбасное изделие варено-копченое охлажденное ТУ 9213-004-14709788-08 ЗАО "Стародворские колбасы"</v>
          </cell>
          <cell r="F51">
            <v>60</v>
          </cell>
          <cell r="G51">
            <v>1</v>
          </cell>
          <cell r="H51">
            <v>28.344000000000001</v>
          </cell>
          <cell r="I51">
            <v>8.1339999999999986</v>
          </cell>
          <cell r="J51">
            <v>3.4846324071797401</v>
          </cell>
          <cell r="K51">
            <v>3.9420000000000073</v>
          </cell>
          <cell r="L51">
            <v>42.24</v>
          </cell>
          <cell r="M51">
            <v>5.6776493730022155</v>
          </cell>
          <cell r="N51">
            <v>5.5120000000000147</v>
          </cell>
          <cell r="O51">
            <v>0</v>
          </cell>
          <cell r="P51">
            <v>0.67764937300221484</v>
          </cell>
          <cell r="Q51">
            <v>-22.956999999999979</v>
          </cell>
          <cell r="R51">
            <v>50</v>
          </cell>
          <cell r="S51">
            <v>56.937999999999988</v>
          </cell>
          <cell r="T51">
            <v>51.425999999999974</v>
          </cell>
          <cell r="U51" t="str">
            <v>8</v>
          </cell>
          <cell r="V51">
            <v>6</v>
          </cell>
          <cell r="W51">
            <v>5.28</v>
          </cell>
          <cell r="X51">
            <v>42.24</v>
          </cell>
          <cell r="Y51">
            <v>42.24</v>
          </cell>
        </row>
        <row r="52">
          <cell r="D52">
            <v>4301031349</v>
          </cell>
          <cell r="E52" t="str">
            <v>Колбаса Рубленая запеченная ТМ Стародворье ТС Дугушка в оболочке вектор УВС. Мясной продукт. Колбасное изделие варено-копченое охлажденное ТУ 9213-004-14709788-08 ЗАО "Стародворские колбасы"</v>
          </cell>
          <cell r="F52">
            <v>60</v>
          </cell>
          <cell r="G52">
            <v>1</v>
          </cell>
          <cell r="H52">
            <v>75.727999999999994</v>
          </cell>
          <cell r="I52">
            <v>16.775000000000002</v>
          </cell>
          <cell r="J52">
            <v>4.5143368107302528</v>
          </cell>
          <cell r="K52">
            <v>25.402999999999992</v>
          </cell>
          <cell r="L52">
            <v>84.48</v>
          </cell>
          <cell r="M52">
            <v>6.5504023845007442</v>
          </cell>
          <cell r="N52">
            <v>26.007999999999981</v>
          </cell>
          <cell r="O52">
            <v>0</v>
          </cell>
          <cell r="P52">
            <v>1.5504023845007437</v>
          </cell>
          <cell r="Q52">
            <v>-32.704500000000024</v>
          </cell>
          <cell r="R52">
            <v>100</v>
          </cell>
          <cell r="S52">
            <v>117.42500000000001</v>
          </cell>
          <cell r="T52">
            <v>91.41700000000003</v>
          </cell>
          <cell r="U52" t="str">
            <v>8</v>
          </cell>
          <cell r="V52">
            <v>6</v>
          </cell>
          <cell r="W52">
            <v>5.28</v>
          </cell>
          <cell r="X52">
            <v>42.24</v>
          </cell>
          <cell r="Y52">
            <v>84.48</v>
          </cell>
        </row>
        <row r="53">
          <cell r="D53">
            <v>4301031350</v>
          </cell>
          <cell r="E53" t="str">
            <v>Колбаса Салями запеченная ТМ Стародворье ТС Дугушка в оболочке вектор. Мясной продукт. Колбасное изделие варено-копченое охлажденное ТУ 9213-004-14709788-08 ЗАО "Стародворские колбасы"</v>
          </cell>
          <cell r="F53">
            <v>60</v>
          </cell>
          <cell r="G53">
            <v>1</v>
          </cell>
          <cell r="H53">
            <v>38.143000000000001</v>
          </cell>
          <cell r="I53">
            <v>14.361999999999998</v>
          </cell>
          <cell r="J53">
            <v>2.6558278791254701</v>
          </cell>
          <cell r="L53">
            <v>84.48</v>
          </cell>
          <cell r="M53">
            <v>5.8821891101517902</v>
          </cell>
          <cell r="N53">
            <v>12.670000000000016</v>
          </cell>
          <cell r="O53">
            <v>0</v>
          </cell>
          <cell r="P53">
            <v>0.88218911015179069</v>
          </cell>
          <cell r="Q53">
            <v>-37.59699999999998</v>
          </cell>
          <cell r="R53">
            <v>100</v>
          </cell>
          <cell r="S53">
            <v>100.53399999999999</v>
          </cell>
          <cell r="T53">
            <v>87.863999999999976</v>
          </cell>
          <cell r="U53" t="str">
            <v>8</v>
          </cell>
          <cell r="V53">
            <v>6</v>
          </cell>
          <cell r="W53">
            <v>5.28</v>
          </cell>
          <cell r="X53">
            <v>42.24</v>
          </cell>
          <cell r="Y53">
            <v>84.48</v>
          </cell>
        </row>
        <row r="54">
          <cell r="D54">
            <v>4301031202</v>
          </cell>
          <cell r="E54" t="str">
            <v>Колбаса Сервелат Мясорубский ТМ Стародворье с мелкорубленным окороком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F54">
            <v>40</v>
          </cell>
          <cell r="G54">
            <v>0.35</v>
          </cell>
          <cell r="H54">
            <v>212</v>
          </cell>
          <cell r="I54">
            <v>31.666666666666668</v>
          </cell>
          <cell r="J54">
            <v>6.6947368421052627</v>
          </cell>
          <cell r="K54">
            <v>117</v>
          </cell>
          <cell r="L54">
            <v>108</v>
          </cell>
          <cell r="M54">
            <v>7.1052631578947363</v>
          </cell>
          <cell r="N54">
            <v>66.666666666666657</v>
          </cell>
          <cell r="O54">
            <v>0</v>
          </cell>
          <cell r="P54">
            <v>2.1052631578947363</v>
          </cell>
          <cell r="Q54">
            <v>-44.166666666666686</v>
          </cell>
          <cell r="R54">
            <v>150</v>
          </cell>
          <cell r="S54">
            <v>221.66666666666669</v>
          </cell>
          <cell r="T54">
            <v>155.00000000000003</v>
          </cell>
          <cell r="U54" t="str">
            <v>18</v>
          </cell>
          <cell r="V54">
            <v>6</v>
          </cell>
          <cell r="W54">
            <v>2.1</v>
          </cell>
          <cell r="X54">
            <v>37.800000000000004</v>
          </cell>
          <cell r="Y54">
            <v>37.800000000000004</v>
          </cell>
        </row>
        <row r="55">
          <cell r="D55">
            <v>4301031201</v>
          </cell>
          <cell r="E55" t="str">
            <v>Колбаса Сервелат Мясорубский ТМ Стародворье с мелкорубленным окороком в оболочке фиброуз в вакуумной упаковке . Мясной продукт. Колбасное изделие варено-копченое охлажденное ТУ 9213-004-14709788-08 ЗАО "Стародворские колбасы"</v>
          </cell>
          <cell r="F55">
            <v>40</v>
          </cell>
          <cell r="G55">
            <v>1</v>
          </cell>
          <cell r="H55">
            <v>188.78899999999999</v>
          </cell>
          <cell r="I55">
            <v>19.25333333333333</v>
          </cell>
          <cell r="J55">
            <v>9.8055228531855967</v>
          </cell>
          <cell r="K55">
            <v>131.029</v>
          </cell>
          <cell r="L55">
            <v>50.4</v>
          </cell>
          <cell r="M55">
            <v>9.4232513850415529</v>
          </cell>
          <cell r="N55">
            <v>85.162333333333351</v>
          </cell>
          <cell r="O55">
            <v>0</v>
          </cell>
          <cell r="P55">
            <v>4.4232513850415529</v>
          </cell>
          <cell r="Q55">
            <v>17.775666666666694</v>
          </cell>
          <cell r="R55">
            <v>50</v>
          </cell>
          <cell r="S55">
            <v>134.77333333333331</v>
          </cell>
          <cell r="T55">
            <v>49.610999999999962</v>
          </cell>
          <cell r="U55" t="str">
            <v>12</v>
          </cell>
          <cell r="V55">
            <v>6</v>
          </cell>
          <cell r="W55">
            <v>4.2</v>
          </cell>
          <cell r="X55">
            <v>50.400000000000006</v>
          </cell>
          <cell r="Y55">
            <v>50.400000000000006</v>
          </cell>
        </row>
        <row r="56">
          <cell r="D56">
            <v>4301031199</v>
          </cell>
          <cell r="E56" t="str">
            <v>Колбаса Мясорубская ТМ Стародворье с рубленой грудинкой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F56">
            <v>40</v>
          </cell>
          <cell r="G56">
            <v>0.35</v>
          </cell>
          <cell r="H56">
            <v>117</v>
          </cell>
          <cell r="I56">
            <v>16.333333333333332</v>
          </cell>
          <cell r="J56">
            <v>7.1632653061224492</v>
          </cell>
          <cell r="K56">
            <v>68</v>
          </cell>
          <cell r="L56">
            <v>0</v>
          </cell>
          <cell r="M56">
            <v>4.1632653061224492</v>
          </cell>
          <cell r="O56">
            <v>0</v>
          </cell>
          <cell r="P56">
            <v>0</v>
          </cell>
          <cell r="Q56">
            <v>-57.166666666666664</v>
          </cell>
          <cell r="R56">
            <v>100</v>
          </cell>
          <cell r="S56">
            <v>114.33333333333333</v>
          </cell>
          <cell r="T56">
            <v>114.33333333333333</v>
          </cell>
          <cell r="U56" t="str">
            <v>18</v>
          </cell>
          <cell r="V56">
            <v>6</v>
          </cell>
          <cell r="W56">
            <v>2.1</v>
          </cell>
          <cell r="X56">
            <v>37.800000000000004</v>
          </cell>
          <cell r="Y56">
            <v>37.800000000000004</v>
          </cell>
        </row>
        <row r="57">
          <cell r="D57">
            <v>4301031191</v>
          </cell>
          <cell r="E57" t="str">
            <v>Колбаса Мясорубская ТМ Стародворье с рубленой грудинкой в оболочке фиброуз в вакуумной упаковке. Мясной продукт. Колбасное изделие варено-копченое охлажденное ТУ 9213-004-14709788-08 АО "Стародворские колбасы"</v>
          </cell>
          <cell r="G57">
            <v>1</v>
          </cell>
          <cell r="H57">
            <v>52.328000000000003</v>
          </cell>
          <cell r="I57">
            <v>9.82</v>
          </cell>
          <cell r="J57">
            <v>5.3287169042769857</v>
          </cell>
          <cell r="K57">
            <v>22.868000000000002</v>
          </cell>
          <cell r="L57">
            <v>50.4</v>
          </cell>
          <cell r="M57">
            <v>7.461099796334012</v>
          </cell>
          <cell r="N57">
            <v>24.167999999999999</v>
          </cell>
          <cell r="O57">
            <v>0</v>
          </cell>
          <cell r="P57">
            <v>2.461099796334012</v>
          </cell>
          <cell r="R57">
            <v>50</v>
          </cell>
          <cell r="S57">
            <v>68.740000000000009</v>
          </cell>
          <cell r="T57">
            <v>44.57200000000001</v>
          </cell>
          <cell r="U57">
            <v>12</v>
          </cell>
          <cell r="V57">
            <v>6</v>
          </cell>
          <cell r="W57">
            <v>4.2</v>
          </cell>
          <cell r="X57">
            <v>50.400000000000006</v>
          </cell>
          <cell r="Y57">
            <v>50.400000000000006</v>
          </cell>
        </row>
        <row r="58">
          <cell r="D58">
            <v>4301031224</v>
          </cell>
          <cell r="E58" t="str">
            <v>Колбаса Сочинка по-европейски с сочной грудинкой ТМ Стародворье в оболочке фиброуз в вакуумной упаковке. Мясной продукт. Колбасное изделие варено-копченое охлажденное ТУ 9213-004-14709788-08 ЗАО "Стародворские колбасы"</v>
          </cell>
          <cell r="F58">
            <v>40</v>
          </cell>
          <cell r="G58">
            <v>1</v>
          </cell>
          <cell r="H58">
            <v>249.613</v>
          </cell>
          <cell r="I58">
            <v>33.281533333333329</v>
          </cell>
          <cell r="J58">
            <v>7.5000450700388415</v>
          </cell>
          <cell r="K58">
            <v>149.76840000000001</v>
          </cell>
          <cell r="L58">
            <v>129.6</v>
          </cell>
          <cell r="M58">
            <v>8.3940964258457651</v>
          </cell>
          <cell r="N58">
            <v>112.96073333333337</v>
          </cell>
          <cell r="O58">
            <v>0</v>
          </cell>
          <cell r="P58">
            <v>3.394096425845766</v>
          </cell>
          <cell r="Q58">
            <v>-3.5246333333332842</v>
          </cell>
          <cell r="R58">
            <v>130</v>
          </cell>
          <cell r="S58">
            <v>232.9707333333333</v>
          </cell>
          <cell r="T58">
            <v>120.00999999999993</v>
          </cell>
          <cell r="U58" t="str">
            <v>12</v>
          </cell>
          <cell r="V58">
            <v>6</v>
          </cell>
          <cell r="W58">
            <v>5.4</v>
          </cell>
          <cell r="X58">
            <v>64.800000000000011</v>
          </cell>
          <cell r="Y58">
            <v>129.60000000000002</v>
          </cell>
        </row>
        <row r="59">
          <cell r="D59">
            <v>4301031230</v>
          </cell>
          <cell r="E59" t="str">
            <v>Колбаса Сочинка по-фински с сочным окороком ТМ Стародворье в оболочке фиброуз в вакуумной упаковке. Мясной продукт. Колбасное изделие варено-копченое ТУ 9213-004-14709788-08 АО "Стародворские колбасы"</v>
          </cell>
          <cell r="F59">
            <v>40</v>
          </cell>
          <cell r="G59">
            <v>1</v>
          </cell>
          <cell r="H59">
            <v>134.101</v>
          </cell>
          <cell r="I59">
            <v>19.393533333333334</v>
          </cell>
          <cell r="J59">
            <v>6.9147275896089075</v>
          </cell>
          <cell r="K59">
            <v>75.920400000000001</v>
          </cell>
          <cell r="L59">
            <v>129.6</v>
          </cell>
          <cell r="M59">
            <v>10.597367507382184</v>
          </cell>
          <cell r="N59">
            <v>108.55273333333332</v>
          </cell>
          <cell r="O59">
            <v>0</v>
          </cell>
          <cell r="P59">
            <v>5.5973675073821854</v>
          </cell>
          <cell r="R59">
            <v>0</v>
          </cell>
          <cell r="S59">
            <v>135.75473333333335</v>
          </cell>
          <cell r="T59">
            <v>27.202000000000027</v>
          </cell>
          <cell r="U59">
            <v>12</v>
          </cell>
          <cell r="V59">
            <v>6</v>
          </cell>
          <cell r="W59">
            <v>5.4</v>
          </cell>
          <cell r="X59">
            <v>64.800000000000011</v>
          </cell>
          <cell r="Y59">
            <v>0</v>
          </cell>
        </row>
        <row r="60">
          <cell r="D60">
            <v>4301031220</v>
          </cell>
          <cell r="E60" t="str">
            <v>Колбаса Сочинка зернистая с сочной грудинкой ТМ Стародворье в оболочке фиброуз в вакуумной упаковке. Мясной продукт. Колбасное изделие полукопченое охлажденное ТУ 10.13.14-009-14709788-2017 ЗАО "Стародворские колбасы"</v>
          </cell>
          <cell r="F60">
            <v>40</v>
          </cell>
          <cell r="G60">
            <v>1</v>
          </cell>
          <cell r="H60">
            <v>222.84700000000001</v>
          </cell>
          <cell r="I60">
            <v>23.20953333333334</v>
          </cell>
          <cell r="J60">
            <v>9.6015286821794472</v>
          </cell>
          <cell r="K60">
            <v>153.21839999999997</v>
          </cell>
          <cell r="L60">
            <v>0</v>
          </cell>
          <cell r="M60">
            <v>6.6015286821794463</v>
          </cell>
          <cell r="N60">
            <v>37.170733333333274</v>
          </cell>
          <cell r="O60">
            <v>0</v>
          </cell>
          <cell r="P60">
            <v>1.6015286821794463</v>
          </cell>
          <cell r="R60">
            <v>100</v>
          </cell>
          <cell r="S60">
            <v>162.46673333333337</v>
          </cell>
          <cell r="T60">
            <v>125.29600000000009</v>
          </cell>
          <cell r="U60">
            <v>12</v>
          </cell>
          <cell r="V60">
            <v>6</v>
          </cell>
          <cell r="W60">
            <v>5.4</v>
          </cell>
          <cell r="X60">
            <v>64.800000000000011</v>
          </cell>
          <cell r="Y60">
            <v>64.800000000000011</v>
          </cell>
        </row>
        <row r="61">
          <cell r="D61">
            <v>4301031221</v>
          </cell>
          <cell r="E61" t="str">
            <v>Колбаса Сочинка рубленая с сочным окороком ТМ Стародворье в оболочке фиброуз в вакуумной упаковке. Мясной продукт. Колбасное изделие полукопченое охлажденное ТУ 10.13.14-009-14709788-2017 АО "Стародворские колбасы"</v>
          </cell>
          <cell r="F61">
            <v>40</v>
          </cell>
          <cell r="G61">
            <v>1</v>
          </cell>
          <cell r="H61">
            <v>123.94</v>
          </cell>
          <cell r="I61">
            <v>20.420000000000002</v>
          </cell>
          <cell r="J61">
            <v>6.0695396669931432</v>
          </cell>
          <cell r="K61">
            <v>62.679999999999993</v>
          </cell>
          <cell r="L61">
            <v>129.6</v>
          </cell>
          <cell r="M61">
            <v>9.416258570029381</v>
          </cell>
          <cell r="N61">
            <v>90.179999999999964</v>
          </cell>
          <cell r="O61">
            <v>0</v>
          </cell>
          <cell r="P61">
            <v>4.416258570029381</v>
          </cell>
          <cell r="R61">
            <v>50</v>
          </cell>
          <cell r="S61">
            <v>142.94</v>
          </cell>
          <cell r="T61">
            <v>52.760000000000034</v>
          </cell>
          <cell r="U61">
            <v>12</v>
          </cell>
          <cell r="V61">
            <v>6</v>
          </cell>
          <cell r="W61">
            <v>5.4</v>
          </cell>
          <cell r="X61">
            <v>64.800000000000011</v>
          </cell>
          <cell r="Y61">
            <v>64.800000000000011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46222</v>
      </c>
      <c r="R5" s="867"/>
      <c r="T5" s="868" t="s">
        <v>3</v>
      </c>
      <c r="U5" s="869"/>
      <c r="V5" s="870" t="s">
        <v>751</v>
      </c>
      <c r="W5" s="871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0.5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>
        <v>46224</v>
      </c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604.79999999999995</v>
      </c>
      <c r="Y42" s="53">
        <f>IFERROR(IF(X42="",0,CEILING((X42/$H42),1)*$H42),"")</f>
        <v>604.80000000000007</v>
      </c>
      <c r="Z42" s="39">
        <f>IFERROR(IF(Y42=0,"",ROUNDUP(Y42/H42,0)*0.01898),"")</f>
        <v>1.06288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627.76</v>
      </c>
      <c r="BN42" s="75">
        <f>IFERROR(Y42*I42/H42,"0")</f>
        <v>627.76</v>
      </c>
      <c r="BO42" s="75">
        <f>IFERROR(1/J42*(X42/H42),"0")</f>
        <v>0.87499999999999989</v>
      </c>
      <c r="BP42" s="75">
        <f>IFERROR(1/J42*(Y42/H42),"0")</f>
        <v>0.875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55.999999999999993</v>
      </c>
      <c r="Y45" s="41">
        <f>IFERROR(Y42/H42,"0")+IFERROR(Y43/H43,"0")+IFERROR(Y44/H44,"0")</f>
        <v>56</v>
      </c>
      <c r="Z45" s="41">
        <f>IFERROR(IF(Z42="",0,Z42),"0")+IFERROR(IF(Z43="",0,Z43),"0")+IFERROR(IF(Z44="",0,Z44),"0")</f>
        <v>1.06288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604.79999999999995</v>
      </c>
      <c r="Y46" s="41">
        <f>IFERROR(SUM(Y42:Y44),"0")</f>
        <v>604.80000000000007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48</v>
      </c>
      <c r="Y59" s="41">
        <f>IFERROR(Y53/H53,"0")+IFERROR(Y54/H54,"0")+IFERROR(Y55/H55,"0")+IFERROR(Y56/H56,"0")+IFERROR(Y57/H57,"0")+IFERROR(Y58/H58,"0")</f>
        <v>48</v>
      </c>
      <c r="Z59" s="41">
        <f>IFERROR(IF(Z53="",0,Z53),"0")+IFERROR(IF(Z54="",0,Z54),"0")+IFERROR(IF(Z55="",0,Z55),"0")+IFERROR(IF(Z56="",0,Z56),"0")+IFERROR(IF(Z57="",0,Z57),"0")+IFERROR(IF(Z58="",0,Z58),"0")</f>
        <v>0.91104000000000007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524.79999999999995</v>
      </c>
      <c r="Y60" s="41">
        <f>IFERROR(SUM(Y53:Y58),"0")</f>
        <v>524.79999999999995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48</v>
      </c>
      <c r="Y120" s="41">
        <f>IFERROR(Y116/H116,"0")+IFERROR(Y117/H117,"0")+IFERROR(Y118/H118,"0")+IFERROR(Y119/H119,"0")</f>
        <v>48</v>
      </c>
      <c r="Z120" s="41">
        <f>IFERROR(IF(Z116="",0,Z116),"0")+IFERROR(IF(Z117="",0,Z117),"0")+IFERROR(IF(Z118="",0,Z118),"0")+IFERROR(IF(Z119="",0,Z119),"0")</f>
        <v>0.61176000000000008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259.2</v>
      </c>
      <c r="Y121" s="41">
        <f>IFERROR(SUM(Y116:Y119),"0")</f>
        <v>259.2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50.4</v>
      </c>
      <c r="Y169" s="53">
        <f t="shared" si="11"/>
        <v>50.400000000000006</v>
      </c>
      <c r="Z169" s="39">
        <f>IFERROR(IF(Y169=0,"",ROUNDUP(Y169/H169,0)*0.00902),"")</f>
        <v>0.10824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52.679999999999993</v>
      </c>
      <c r="BN169" s="75">
        <f t="shared" si="13"/>
        <v>52.68</v>
      </c>
      <c r="BO169" s="75">
        <f t="shared" si="14"/>
        <v>9.0909090909090912E-2</v>
      </c>
      <c r="BP169" s="75">
        <f t="shared" si="15"/>
        <v>9.0909090909090912E-2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60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60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0.3972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176.39999999999998</v>
      </c>
      <c r="Y183" s="41">
        <f>IFERROR(SUM(Y167:Y181),"0")</f>
        <v>176.40000000000003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16"/>
        <v>0</v>
      </c>
      <c r="Z207" s="39" t="str">
        <f>IFERROR(IF(Y207=0,"",ROUNDUP(Y207/H207,0)*0.00902),"")</f>
        <v/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0</v>
      </c>
      <c r="BN207" s="75">
        <f t="shared" si="18"/>
        <v>0</v>
      </c>
      <c r="BO207" s="75">
        <f t="shared" si="19"/>
        <v>0</v>
      </c>
      <c r="BP207" s="75">
        <f t="shared" si="20"/>
        <v>0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47.999999999999993</v>
      </c>
      <c r="Y214" s="41">
        <f>IFERROR(Y206/H206,"0")+IFERROR(Y207/H207,"0")+IFERROR(Y208/H208,"0")+IFERROR(Y209/H209,"0")+IFERROR(Y210/H210,"0")+IFERROR(Y211/H211,"0")+IFERROR(Y212/H212,"0")+IFERROR(Y213/H213,"0")</f>
        <v>48.000000000000007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0.43296000000000001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259.2</v>
      </c>
      <c r="Y215" s="41">
        <f>IFERROR(SUM(Y206:Y213),"0")</f>
        <v>259.20000000000005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172.8</v>
      </c>
      <c r="Y220" s="53">
        <f t="shared" si="21"/>
        <v>172.79999999999998</v>
      </c>
      <c r="Z220" s="39">
        <f t="shared" ref="Z220:Z225" si="26">IFERROR(IF(Y220=0,"",ROUNDUP(Y220/H220,0)*0.00651),"")</f>
        <v>0.46872000000000003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192.24</v>
      </c>
      <c r="BN220" s="75">
        <f t="shared" si="23"/>
        <v>192.23999999999998</v>
      </c>
      <c r="BO220" s="75">
        <f t="shared" si="24"/>
        <v>0.3956043956043957</v>
      </c>
      <c r="BP220" s="75">
        <f t="shared" si="25"/>
        <v>0.39560439560439564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220.00000000000003</v>
      </c>
      <c r="Y226" s="41">
        <f>IFERROR(Y217/H217,"0")+IFERROR(Y218/H218,"0")+IFERROR(Y219/H219,"0")+IFERROR(Y220/H220,"0")+IFERROR(Y221/H221,"0")+IFERROR(Y222/H222,"0")+IFERROR(Y223/H223,"0")+IFERROR(Y224/H224,"0")+IFERROR(Y225/H225,"0")</f>
        <v>220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1.9310000000000005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779.99999999999989</v>
      </c>
      <c r="Y227" s="41">
        <f>IFERROR(SUM(Y217:Y225),"0")</f>
        <v>779.99999999999989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436.8</v>
      </c>
      <c r="Y323" s="53">
        <f>IFERROR(IF(X323="",0,CEILING((X323/$H323),1)*$H323),"")</f>
        <v>436.8</v>
      </c>
      <c r="Z323" s="39">
        <f>IFERROR(IF(Y323=0,"",ROUNDUP(Y323/H323,0)*0.01898),"")</f>
        <v>1.06288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464.46400000000006</v>
      </c>
      <c r="BN323" s="75">
        <f>IFERROR(Y323*I323/H323,"0")</f>
        <v>464.46400000000006</v>
      </c>
      <c r="BO323" s="75">
        <f>IFERROR(1/J323*(X323/H323),"0")</f>
        <v>0.875</v>
      </c>
      <c r="BP323" s="75">
        <f>IFERROR(1/J323*(Y323/H323),"0")</f>
        <v>0.875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840</v>
      </c>
      <c r="Y326" s="41">
        <f>IFERROR(SUM(Y322:Y324),"0")</f>
        <v>840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 t="e">
        <f>VLOOKUP(C335,[1]РАСЧЕТ!$D:$Y,22,FALSE)</f>
        <v>#N/A</v>
      </c>
      <c r="Y335" s="53" t="str">
        <f>IFERROR(IF(X335="",0,CEILING((X335/$H335),1)*$H335),"")</f>
        <v/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 t="str">
        <f>IFERROR(X335*I335/H335,"0")</f>
        <v>0</v>
      </c>
      <c r="BN335" s="75" t="str">
        <f>IFERROR(Y335*I335/H335,"0")</f>
        <v>0</v>
      </c>
      <c r="BO335" s="75" t="str">
        <f>IFERROR(1/J335*(X335/H335),"0")</f>
        <v>0</v>
      </c>
      <c r="BP335" s="75" t="str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 t="e">
        <f>VLOOKUP(C336,[1]РАСЧЕТ!$D:$Y,22,FALSE)</f>
        <v>#N/A</v>
      </c>
      <c r="Y336" s="53" t="str">
        <f>IFERROR(IF(X336="",0,CEILING((X336/$H336),1)*$H336),"")</f>
        <v/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 t="str">
        <f>IFERROR(X336*I336/H336,"0")</f>
        <v>0</v>
      </c>
      <c r="BN336" s="75" t="str">
        <f>IFERROR(Y336*I336/H336,"0")</f>
        <v>0</v>
      </c>
      <c r="BO336" s="75" t="str">
        <f>IFERROR(1/J336*(X336/H336),"0")</f>
        <v>0</v>
      </c>
      <c r="BP336" s="75" t="str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 t="e">
        <f>VLOOKUP(C337,[1]РАСЧЕТ!$D:$Y,22,FALSE)</f>
        <v>#N/A</v>
      </c>
      <c r="Y337" s="53" t="str">
        <f>IFERROR(IF(X337="",0,CEILING((X337/$H337),1)*$H337),"")</f>
        <v/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 t="str">
        <f>IFERROR(X337*I337/H337,"0")</f>
        <v>0</v>
      </c>
      <c r="BN337" s="75" t="str">
        <f>IFERROR(Y337*I337/H337,"0")</f>
        <v>0</v>
      </c>
      <c r="BO337" s="75" t="str">
        <f>IFERROR(1/J337*(X337/H337),"0")</f>
        <v>0</v>
      </c>
      <c r="BP337" s="75" t="str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 t="str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675</v>
      </c>
      <c r="Y352" s="53">
        <f t="shared" si="37"/>
        <v>675</v>
      </c>
      <c r="Z352" s="39">
        <f>IFERROR(IF(Y352=0,"",ROUNDUP(Y352/H352,0)*0.02175),"")</f>
        <v>0.9787499999999999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696.15</v>
      </c>
      <c r="BN352" s="75">
        <f t="shared" si="39"/>
        <v>696.15</v>
      </c>
      <c r="BO352" s="75">
        <f t="shared" si="40"/>
        <v>0.9375</v>
      </c>
      <c r="BP352" s="75">
        <f t="shared" si="41"/>
        <v>0.9375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109</v>
      </c>
      <c r="Y357" s="41">
        <f>IFERROR(Y350/H350,"0")+IFERROR(Y351/H351,"0")+IFERROR(Y352/H352,"0")+IFERROR(Y353/H353,"0")+IFERROR(Y354/H354,"0")+IFERROR(Y355/H355,"0")+IFERROR(Y356/H356,"0")</f>
        <v>109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2.3707499999999997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1635</v>
      </c>
      <c r="Y358" s="41">
        <f>IFERROR(SUM(Y350:Y356),"0")</f>
        <v>1635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120</v>
      </c>
      <c r="Y375" s="53">
        <f>IFERROR(IF(X375="",0,CEILING((X375/$H375),1)*$H375),"")</f>
        <v>120</v>
      </c>
      <c r="Z375" s="39">
        <f>IFERROR(IF(Y375=0,"",ROUNDUP(Y375/H375,0)*0.01898),"")</f>
        <v>0.1898</v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124.10000000000001</v>
      </c>
      <c r="BN375" s="75">
        <f>IFERROR(Y375*I375/H375,"0")</f>
        <v>124.10000000000001</v>
      </c>
      <c r="BO375" s="75">
        <f>IFERROR(1/J375*(X375/H375),"0")</f>
        <v>0.15625</v>
      </c>
      <c r="BP375" s="75">
        <f>IFERROR(1/J375*(Y375/H375),"0")</f>
        <v>0.15625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10</v>
      </c>
      <c r="Y377" s="41">
        <f>IFERROR(Y375/H375,"0")+IFERROR(Y376/H376,"0")</f>
        <v>10</v>
      </c>
      <c r="Z377" s="41">
        <f>IFERROR(IF(Z375="",0,Z375),"0")+IFERROR(IF(Z376="",0,Z376),"0")</f>
        <v>0.1898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120</v>
      </c>
      <c r="Y378" s="41">
        <f>IFERROR(SUM(Y375:Y376),"0")</f>
        <v>120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60.000000000000007</v>
      </c>
      <c r="Y387" s="41">
        <f>IFERROR(Y384/H384,"0")+IFERROR(Y385/H385,"0")+IFERROR(Y386/H386,"0")</f>
        <v>60</v>
      </c>
      <c r="Z387" s="41">
        <f>IFERROR(IF(Z384="",0,Z384),"0")+IFERROR(IF(Z385="",0,Z385),"0")+IFERROR(IF(Z386="",0,Z386),"0")</f>
        <v>0.68988000000000005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302.39999999999998</v>
      </c>
      <c r="Y388" s="41">
        <f>IFERROR(SUM(Y384:Y386),"0")</f>
        <v>302.39999999999998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96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96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1.1481600000000001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506.88</v>
      </c>
      <c r="Y440" s="41">
        <f>IFERROR(SUM(Y427:Y438),"0")</f>
        <v>506.88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0.47839999999999999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211.20000000000002</v>
      </c>
      <c r="Y456" s="41">
        <f>IFERROR(SUM(Y448:Y454),"0")</f>
        <v>211.20000000000002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8268.5199999999986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8268.52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8680.4460000000017</v>
      </c>
      <c r="Y489" s="41">
        <f>IFERROR(SUM(BN22:BN485),"0")</f>
        <v>8680.4460000000017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9030.4460000000017</v>
      </c>
      <c r="Y491" s="41">
        <f>GrossWeightTotalR+PalletQtyTotalR*25</f>
        <v>9030.4460000000017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1147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1147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16.01727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604.80000000000007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846.4</v>
      </c>
      <c r="E498" s="50">
        <f>IFERROR(Y86*1,"0")+IFERROR(Y87*1,"0")+IFERROR(Y88*1,"0")+IFERROR(Y89*1,"0")+IFERROR(Y93*1,"0")+IFERROR(Y94*1,"0")+IFERROR(Y95*1,"0")+IFERROR(Y96*1,"0")</f>
        <v>388.80000000000007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950.40000000000009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176.40000000000003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1039.2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840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2067</v>
      </c>
      <c r="T498" s="50">
        <f>IFERROR(Y375*1,"0")+IFERROR(Y376*1,"0")+IFERROR(Y380*1,"0")+IFERROR(Y384*1,"0")+IFERROR(Y385*1,"0")+IFERROR(Y386*1,"0")</f>
        <v>422.4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2026-07-16T12:04:53Z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