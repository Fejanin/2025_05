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5E0E06-4B89-49C8-96AA-38EB118889E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E544" i="2" l="1"/>
  <c r="Z264" i="2"/>
  <c r="Z44" i="2"/>
  <c r="BN44" i="2"/>
  <c r="Z365" i="2"/>
  <c r="Z159" i="2"/>
  <c r="Z160" i="2" s="1"/>
  <c r="Z311" i="2"/>
  <c r="Z223" i="2"/>
  <c r="Z412" i="2"/>
  <c r="Z490" i="2"/>
  <c r="Y493" i="2"/>
  <c r="Y74" i="2"/>
  <c r="Z29" i="2"/>
  <c r="BN29" i="2"/>
  <c r="Z103" i="2"/>
  <c r="Y155" i="2"/>
  <c r="Z203" i="2"/>
  <c r="BP244" i="2"/>
  <c r="Y251" i="2"/>
  <c r="Z295" i="2"/>
  <c r="Z334" i="2"/>
  <c r="BN334" i="2"/>
  <c r="Z358" i="2"/>
  <c r="Z413" i="2"/>
  <c r="BN413" i="2"/>
  <c r="Z434" i="2"/>
  <c r="Y436" i="2"/>
  <c r="Z443" i="2"/>
  <c r="Y446" i="2"/>
  <c r="Y474" i="2"/>
  <c r="BP502" i="2"/>
  <c r="BN61" i="2"/>
  <c r="BN98" i="2"/>
  <c r="Z98" i="2"/>
  <c r="BN112" i="2"/>
  <c r="BN117" i="2"/>
  <c r="Z129" i="2"/>
  <c r="Z130" i="2" s="1"/>
  <c r="Y130" i="2"/>
  <c r="BN129" i="2"/>
  <c r="Y161" i="2"/>
  <c r="BN176" i="2"/>
  <c r="Z176" i="2"/>
  <c r="Y189" i="2"/>
  <c r="BP187" i="2"/>
  <c r="BN187" i="2"/>
  <c r="Z187" i="2"/>
  <c r="BN214" i="2"/>
  <c r="BN224" i="2"/>
  <c r="Z224" i="2"/>
  <c r="BN262" i="2"/>
  <c r="BN272" i="2"/>
  <c r="BP280" i="2"/>
  <c r="BN280" i="2"/>
  <c r="Z280" i="2"/>
  <c r="Z305" i="2"/>
  <c r="Z306" i="2" s="1"/>
  <c r="Y306" i="2"/>
  <c r="BN305" i="2"/>
  <c r="BN31" i="2"/>
  <c r="BN45" i="2"/>
  <c r="BN90" i="2"/>
  <c r="BN125" i="2"/>
  <c r="BP209" i="2"/>
  <c r="Y210" i="2"/>
  <c r="BN209" i="2"/>
  <c r="BN221" i="2"/>
  <c r="Z221" i="2"/>
  <c r="BP224" i="2"/>
  <c r="BP225" i="2"/>
  <c r="BN225" i="2"/>
  <c r="Z225" i="2"/>
  <c r="BN231" i="2"/>
  <c r="Z231" i="2"/>
  <c r="BN278" i="2"/>
  <c r="Z278" i="2"/>
  <c r="BN293" i="2"/>
  <c r="Z301" i="2"/>
  <c r="Z302" i="2" s="1"/>
  <c r="Y302" i="2"/>
  <c r="BN301" i="2"/>
  <c r="BN325" i="2"/>
  <c r="Z340" i="2"/>
  <c r="Z342" i="2" s="1"/>
  <c r="Y343" i="2"/>
  <c r="BN340" i="2"/>
  <c r="BP367" i="2"/>
  <c r="BN368" i="2"/>
  <c r="BN387" i="2"/>
  <c r="BP401" i="2"/>
  <c r="Y447" i="2"/>
  <c r="BN452" i="2"/>
  <c r="BN471" i="2"/>
  <c r="BN482" i="2"/>
  <c r="BN485" i="2"/>
  <c r="Y494" i="2"/>
  <c r="BN499" i="2"/>
  <c r="X536" i="2"/>
  <c r="Y32" i="2"/>
  <c r="BN52" i="2"/>
  <c r="BN73" i="2"/>
  <c r="BN78" i="2"/>
  <c r="Y80" i="2"/>
  <c r="Y100" i="2"/>
  <c r="BN96" i="2"/>
  <c r="BN107" i="2"/>
  <c r="BN122" i="2"/>
  <c r="Y126" i="2"/>
  <c r="BP159" i="2"/>
  <c r="BN170" i="2"/>
  <c r="BN174" i="2"/>
  <c r="BN182" i="2"/>
  <c r="Y190" i="2"/>
  <c r="BP203" i="2"/>
  <c r="BN204" i="2"/>
  <c r="BN217" i="2"/>
  <c r="BN250" i="2"/>
  <c r="BP311" i="2"/>
  <c r="BN320" i="2"/>
  <c r="Z355" i="2"/>
  <c r="BP358" i="2"/>
  <c r="Z367" i="2"/>
  <c r="BN372" i="2"/>
  <c r="Z401" i="2"/>
  <c r="Z410" i="2"/>
  <c r="BP412" i="2"/>
  <c r="Z419" i="2"/>
  <c r="BP434" i="2"/>
  <c r="BN435" i="2"/>
  <c r="BN454" i="2"/>
  <c r="BN470" i="2"/>
  <c r="BN479" i="2"/>
  <c r="Z497" i="2"/>
  <c r="BN497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421" i="2" l="1"/>
  <c r="Z376" i="2"/>
  <c r="Z473" i="2"/>
  <c r="Z457" i="2"/>
  <c r="Z527" i="2"/>
  <c r="Z46" i="2"/>
  <c r="Z24" i="2"/>
  <c r="Z146" i="2"/>
  <c r="Z189" i="2"/>
  <c r="Z436" i="2"/>
  <c r="Z359" i="2"/>
  <c r="Z395" i="2"/>
  <c r="X537" i="2"/>
  <c r="Z119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<sst xmlns="http://schemas.openxmlformats.org/spreadsheetml/2006/main" count="4048" uniqueCount="861">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</sst>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46218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Среда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0.5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120</v>
      </c>
      <c r="Y51" s="55">
        <f>IFERROR(IF(X51="",0,CEILING((X51/$H51),1)*$H51),"")</f>
        <v>129.60000000000002</v>
      </c>
      <c r="Z51" s="41">
        <f>IFERROR(IF(Y51=0,"",ROUNDUP(Y51/H51,0)*0.01898),"")</f>
        <v>0.22776000000000002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124.55555555555556</v>
      </c>
      <c r="BN51" s="78">
        <f>IFERROR(Y51*I51/H51,"0")</f>
        <v>134.52000000000001</v>
      </c>
      <c r="BO51" s="78">
        <f>IFERROR(1/J51*(X51/H51),"0")</f>
        <v>0.1736111111111111</v>
      </c>
      <c r="BP51" s="78">
        <f>IFERROR(1/J51*(Y51/H51),"0")</f>
        <v>0.18750000000000003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48.8</v>
      </c>
      <c r="Y53" s="55">
        <f>IFERROR(IF(X53="",0,CEILING((X53/$H53),1)*$H53),"")</f>
        <v>52</v>
      </c>
      <c r="Z53" s="41">
        <f>IFERROR(IF(Y53=0,"",ROUNDUP(Y53/H53,0)*0.00902),"")</f>
        <v>0.11726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51.118000000000002</v>
      </c>
      <c r="BN53" s="78">
        <f>IFERROR(Y53*I53/H53,"0")</f>
        <v>54.470000000000006</v>
      </c>
      <c r="BO53" s="78">
        <f>IFERROR(1/J53*(X53/H53),"0")</f>
        <v>9.2424242424242423E-2</v>
      </c>
      <c r="BP53" s="78">
        <f>IFERROR(1/J53*(Y53/H53),"0")</f>
        <v>9.8484848484848481E-2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23.31111111111111</v>
      </c>
      <c r="Y55" s="43">
        <f>IFERROR(Y51/H51,"0")+IFERROR(Y52/H52,"0")+IFERROR(Y53/H53,"0")+IFERROR(Y54/H54,"0")</f>
        <v>25</v>
      </c>
      <c r="Z55" s="43">
        <f>IFERROR(IF(Z51="",0,Z51),"0")+IFERROR(IF(Z52="",0,Z52),"0")+IFERROR(IF(Z53="",0,Z53),"0")+IFERROR(IF(Z54="",0,Z54),"0")</f>
        <v>0.34501999999999999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168.8</v>
      </c>
      <c r="Y56" s="43">
        <f>IFERROR(SUM(Y51:Y54),"0")</f>
        <v>181.60000000000002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30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31.098214285714285</v>
      </c>
      <c r="BN59" s="78">
        <f t="shared" ref="BN59:BN66" si="2">IFERROR(Y59*I59/H59,"0")</f>
        <v>34.829999999999991</v>
      </c>
      <c r="BO59" s="78">
        <f t="shared" ref="BO59:BO66" si="3">IFERROR(1/J59*(X59/H59),"0")</f>
        <v>4.1852678571428575E-2</v>
      </c>
      <c r="BP59" s="78">
        <f t="shared" ref="BP59:BP66" si="4">IFERROR(1/J59*(Y59/H59),"0")</f>
        <v>4.6874999999999993E-2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760</v>
      </c>
      <c r="Y61" s="55">
        <f t="shared" si="0"/>
        <v>766.80000000000007</v>
      </c>
      <c r="Z61" s="41">
        <f>IFERROR(IF(Y61=0,"",ROUNDUP(Y61/H61,0)*0.01898),"")</f>
        <v>1.34758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788.85185185185185</v>
      </c>
      <c r="BN61" s="78">
        <f t="shared" si="2"/>
        <v>795.91000000000008</v>
      </c>
      <c r="BO61" s="78">
        <f t="shared" si="3"/>
        <v>1.099537037037037</v>
      </c>
      <c r="BP61" s="78">
        <f t="shared" si="4"/>
        <v>1.109375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202.5</v>
      </c>
      <c r="Y66" s="55">
        <f t="shared" si="0"/>
        <v>202.5</v>
      </c>
      <c r="Z66" s="41">
        <f>IFERROR(IF(Y66=0,"",ROUNDUP(Y66/H66,0)*0.00902),"")</f>
        <v>0.40590000000000004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211.05</v>
      </c>
      <c r="BN66" s="78">
        <f t="shared" si="2"/>
        <v>211.05</v>
      </c>
      <c r="BO66" s="78">
        <f t="shared" si="3"/>
        <v>0.34090909090909094</v>
      </c>
      <c r="BP66" s="78">
        <f t="shared" si="4"/>
        <v>0.34090909090909094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118.0489417989418</v>
      </c>
      <c r="Y67" s="43">
        <f>IFERROR(Y59/H59,"0")+IFERROR(Y60/H60,"0")+IFERROR(Y61/H61,"0")+IFERROR(Y62/H62,"0")+IFERROR(Y63/H63,"0")+IFERROR(Y64/H64,"0")+IFERROR(Y65/H65,"0")+IFERROR(Y66/H66,"0")</f>
        <v>119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1.8104200000000001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992.5</v>
      </c>
      <c r="Y68" s="43">
        <f>IFERROR(SUM(Y59:Y66),"0")</f>
        <v>1002.9000000000001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590</v>
      </c>
      <c r="Y70" s="55">
        <f>IFERROR(IF(X70="",0,CEILING((X70/$H70),1)*$H70),"")</f>
        <v>594</v>
      </c>
      <c r="Z70" s="41">
        <f>IFERROR(IF(Y70=0,"",ROUNDUP(Y70/H70,0)*0.01898),"")</f>
        <v>1.0439000000000001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612.39814814814815</v>
      </c>
      <c r="BN70" s="78">
        <f>IFERROR(Y70*I70/H70,"0")</f>
        <v>616.55000000000007</v>
      </c>
      <c r="BO70" s="78">
        <f>IFERROR(1/J70*(X70/H70),"0")</f>
        <v>0.85358796296296291</v>
      </c>
      <c r="BP70" s="78">
        <f>IFERROR(1/J70*(Y70/H70),"0")</f>
        <v>0.85937499999999989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130.5</v>
      </c>
      <c r="Y73" s="55">
        <f>IFERROR(IF(X73="",0,CEILING((X73/$H73),1)*$H73),"")</f>
        <v>132.30000000000001</v>
      </c>
      <c r="Z73" s="41">
        <f>IFERROR(IF(Y73=0,"",ROUNDUP(Y73/H73,0)*0.00651),"")</f>
        <v>0.31899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139.19999999999999</v>
      </c>
      <c r="BN73" s="78">
        <f>IFERROR(Y73*I73/H73,"0")</f>
        <v>141.12</v>
      </c>
      <c r="BO73" s="78">
        <f>IFERROR(1/J73*(X73/H73),"0")</f>
        <v>0.26556776556776557</v>
      </c>
      <c r="BP73" s="78">
        <f>IFERROR(1/J73*(Y73/H73),"0")</f>
        <v>0.26923076923076927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102.96296296296296</v>
      </c>
      <c r="Y74" s="43">
        <f>IFERROR(Y70/H70,"0")+IFERROR(Y71/H71,"0")+IFERROR(Y72/H72,"0")+IFERROR(Y73/H73,"0")</f>
        <v>104</v>
      </c>
      <c r="Z74" s="43">
        <f>IFERROR(IF(Z70="",0,Z70),"0")+IFERROR(IF(Z71="",0,Z71),"0")+IFERROR(IF(Z72="",0,Z72),"0")+IFERROR(IF(Z73="",0,Z73),"0")</f>
        <v>1.3628900000000002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720.5</v>
      </c>
      <c r="Y75" s="43">
        <f>IFERROR(SUM(Y70:Y73),"0")</f>
        <v>726.3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140</v>
      </c>
      <c r="Y88" s="55">
        <f>IFERROR(IF(X88="",0,CEILING((X88/$H88),1)*$H88),"")</f>
        <v>140.4</v>
      </c>
      <c r="Z88" s="41">
        <f>IFERROR(IF(Y88=0,"",ROUNDUP(Y88/H88,0)*0.01898),"")</f>
        <v>0.24674000000000001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145.31481481481481</v>
      </c>
      <c r="BN88" s="78">
        <f>IFERROR(Y88*I88/H88,"0")</f>
        <v>145.73000000000002</v>
      </c>
      <c r="BO88" s="78">
        <f>IFERROR(1/J88*(X88/H88),"0")</f>
        <v>0.20254629629629628</v>
      </c>
      <c r="BP88" s="78">
        <f>IFERROR(1/J88*(Y88/H88),"0")</f>
        <v>0.203125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76.5</v>
      </c>
      <c r="Y91" s="55">
        <f>IFERROR(IF(X91="",0,CEILING((X91/$H91),1)*$H91),"")</f>
        <v>76.5</v>
      </c>
      <c r="Z91" s="41">
        <f>IFERROR(IF(Y91=0,"",ROUNDUP(Y91/H91,0)*0.00902),"")</f>
        <v>0.15334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79.73</v>
      </c>
      <c r="BN91" s="78">
        <f>IFERROR(Y91*I91/H91,"0")</f>
        <v>79.73</v>
      </c>
      <c r="BO91" s="78">
        <f>IFERROR(1/J91*(X91/H91),"0")</f>
        <v>0.12878787878787878</v>
      </c>
      <c r="BP91" s="78">
        <f>IFERROR(1/J91*(Y91/H91),"0")</f>
        <v>0.12878787878787878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29.962962962962962</v>
      </c>
      <c r="Y92" s="43">
        <f>IFERROR(Y88/H88,"0")+IFERROR(Y89/H89,"0")+IFERROR(Y90/H90,"0")+IFERROR(Y91/H91,"0")</f>
        <v>30</v>
      </c>
      <c r="Z92" s="43">
        <f>IFERROR(IF(Z88="",0,Z88),"0")+IFERROR(IF(Z89="",0,Z89),"0")+IFERROR(IF(Z90="",0,Z90),"0")+IFERROR(IF(Z91="",0,Z91),"0")</f>
        <v>0.40007999999999999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216.5</v>
      </c>
      <c r="Y93" s="43">
        <f>IFERROR(SUM(Y88:Y91),"0")</f>
        <v>216.9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125</v>
      </c>
      <c r="Y95" s="55">
        <f>IFERROR(IF(X95="",0,CEILING((X95/$H95),1)*$H95),"")</f>
        <v>129.6</v>
      </c>
      <c r="Z95" s="41">
        <f>IFERROR(IF(Y95=0,"",ROUNDUP(Y95/H95,0)*0.01898),"")</f>
        <v>0.30368000000000001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132.62345679012347</v>
      </c>
      <c r="BN95" s="78">
        <f>IFERROR(Y95*I95/H95,"0")</f>
        <v>137.50399999999999</v>
      </c>
      <c r="BO95" s="78">
        <f>IFERROR(1/J95*(X95/H95),"0")</f>
        <v>0.24112654320987656</v>
      </c>
      <c r="BP95" s="78">
        <f>IFERROR(1/J95*(Y95/H95),"0")</f>
        <v>0.25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17.432098765432102</v>
      </c>
      <c r="Y99" s="43">
        <f>IFERROR(Y95/H95,"0")+IFERROR(Y96/H96,"0")+IFERROR(Y97/H97,"0")+IFERROR(Y98/H98,"0")</f>
        <v>18</v>
      </c>
      <c r="Z99" s="43">
        <f>IFERROR(IF(Z95="",0,Z95),"0")+IFERROR(IF(Z96="",0,Z96),"0")+IFERROR(IF(Z97="",0,Z97),"0")+IFERROR(IF(Z98="",0,Z98),"0")</f>
        <v>0.31669999999999998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130.4</v>
      </c>
      <c r="Y100" s="43">
        <f>IFERROR(SUM(Y95:Y98),"0")</f>
        <v>135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22.5</v>
      </c>
      <c r="Y106" s="55">
        <f t="shared" si="5"/>
        <v>22.5</v>
      </c>
      <c r="Z106" s="41">
        <f>IFERROR(IF(Y106=0,"",ROUNDUP(Y106/H106,0)*0.00902),"")</f>
        <v>5.4120000000000001E-2</v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23.64</v>
      </c>
      <c r="BN106" s="78">
        <f t="shared" si="7"/>
        <v>23.64</v>
      </c>
      <c r="BO106" s="78">
        <f t="shared" si="8"/>
        <v>4.5454545454545456E-2</v>
      </c>
      <c r="BP106" s="78">
        <f t="shared" si="9"/>
        <v>4.5454545454545456E-2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6</v>
      </c>
      <c r="Y109" s="43">
        <f>IFERROR(Y103/H103,"0")+IFERROR(Y104/H104,"0")+IFERROR(Y105/H105,"0")+IFERROR(Y106/H106,"0")+IFERROR(Y107/H107,"0")+IFERROR(Y108/H108,"0")</f>
        <v>6</v>
      </c>
      <c r="Z109" s="43">
        <f>IFERROR(IF(Z103="",0,Z103),"0")+IFERROR(IF(Z104="",0,Z104),"0")+IFERROR(IF(Z105="",0,Z105),"0")+IFERROR(IF(Z106="",0,Z106),"0")+IFERROR(IF(Z107="",0,Z107),"0")+IFERROR(IF(Z108="",0,Z108),"0")</f>
        <v>5.4120000000000001E-2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22.5</v>
      </c>
      <c r="Y110" s="43">
        <f>IFERROR(SUM(Y103:Y108),"0")</f>
        <v>22.5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48</v>
      </c>
      <c r="Y122" s="55">
        <f>IFERROR(IF(X122="",0,CEILING((X122/$H122),1)*$H122),"")</f>
        <v>48.599999999999994</v>
      </c>
      <c r="Z122" s="41">
        <f>IFERROR(IF(Y122=0,"",ROUNDUP(Y122/H122,0)*0.01898),"")</f>
        <v>0.11388000000000001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50.891851851851847</v>
      </c>
      <c r="BN122" s="78">
        <f>IFERROR(Y122*I122/H122,"0")</f>
        <v>51.527999999999992</v>
      </c>
      <c r="BO122" s="78">
        <f>IFERROR(1/J122*(X122/H122),"0")</f>
        <v>9.2592592592592601E-2</v>
      </c>
      <c r="BP122" s="78">
        <f>IFERROR(1/J122*(Y122/H122),"0")</f>
        <v>9.375E-2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13.5</v>
      </c>
      <c r="Y124" s="55">
        <f>IFERROR(IF(X124="",0,CEILING((X124/$H124),1)*$H124),"")</f>
        <v>13.5</v>
      </c>
      <c r="Z124" s="41">
        <f>IFERROR(IF(Y124=0,"",ROUNDUP(Y124/H124,0)*0.00651),"")</f>
        <v>3.2550000000000003E-2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14.759999999999998</v>
      </c>
      <c r="BN124" s="78">
        <f>IFERROR(Y124*I124/H124,"0")</f>
        <v>14.759999999999998</v>
      </c>
      <c r="BO124" s="78">
        <f>IFERROR(1/J124*(X124/H124),"0")</f>
        <v>2.7472527472527476E-2</v>
      </c>
      <c r="BP124" s="78">
        <f>IFERROR(1/J124*(Y124/H124),"0")</f>
        <v>2.7472527472527476E-2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10.925925925925927</v>
      </c>
      <c r="Y126" s="43">
        <f>IFERROR(Y122/H122,"0")+IFERROR(Y123/H123,"0")+IFERROR(Y124/H124,"0")+IFERROR(Y125/H125,"0")</f>
        <v>11</v>
      </c>
      <c r="Z126" s="43">
        <f>IFERROR(IF(Z122="",0,Z122),"0")+IFERROR(IF(Z123="",0,Z123),"0")+IFERROR(IF(Z124="",0,Z124),"0")+IFERROR(IF(Z125="",0,Z125),"0")</f>
        <v>0.14643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61.5</v>
      </c>
      <c r="Y127" s="43">
        <f>IFERROR(SUM(Y122:Y125),"0")</f>
        <v>62.099999999999994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12.4</v>
      </c>
      <c r="Y134" s="55">
        <f>IFERROR(IF(X134="",0,CEILING((X134/$H134),1)*$H134),"")</f>
        <v>12.8</v>
      </c>
      <c r="Z134" s="41">
        <f>IFERROR(IF(Y134=0,"",ROUNDUP(Y134/H134,0)*0.00651),"")</f>
        <v>2.6040000000000001E-2</v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13.097499999999998</v>
      </c>
      <c r="BN134" s="78">
        <f>IFERROR(Y134*I134/H134,"0")</f>
        <v>13.52</v>
      </c>
      <c r="BO134" s="78">
        <f>IFERROR(1/J134*(X134/H134),"0")</f>
        <v>2.1291208791208792E-2</v>
      </c>
      <c r="BP134" s="78">
        <f>IFERROR(1/J134*(Y134/H134),"0")</f>
        <v>2.197802197802198E-2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3.875</v>
      </c>
      <c r="Y136" s="43">
        <f>IFERROR(Y134/H134,"0")+IFERROR(Y135/H135,"0")</f>
        <v>4</v>
      </c>
      <c r="Z136" s="43">
        <f>IFERROR(IF(Z134="",0,Z134),"0")+IFERROR(IF(Z135="",0,Z135),"0")</f>
        <v>2.6040000000000001E-2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12.4</v>
      </c>
      <c r="Y137" s="43">
        <f>IFERROR(SUM(Y134:Y135),"0")</f>
        <v>12.8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6.3</v>
      </c>
      <c r="Y139" s="55">
        <f>IFERROR(IF(X139="",0,CEILING((X139/$H139),1)*$H139),"")</f>
        <v>8.3999999999999986</v>
      </c>
      <c r="Z139" s="41">
        <f>IFERROR(IF(Y139=0,"",ROUNDUP(Y139/H139,0)*0.00651),"")</f>
        <v>1.9529999999999999E-2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6.9029999999999996</v>
      </c>
      <c r="BN139" s="78">
        <f>IFERROR(Y139*I139/H139,"0")</f>
        <v>9.2039999999999988</v>
      </c>
      <c r="BO139" s="78">
        <f>IFERROR(1/J139*(X139/H139),"0")</f>
        <v>1.2362637362637364E-2</v>
      </c>
      <c r="BP139" s="78">
        <f>IFERROR(1/J139*(Y139/H139),"0")</f>
        <v>1.6483516483516484E-2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2.25</v>
      </c>
      <c r="Y141" s="43">
        <f>IFERROR(Y139/H139,"0")+IFERROR(Y140/H140,"0")</f>
        <v>2.9999999999999996</v>
      </c>
      <c r="Z141" s="43">
        <f>IFERROR(IF(Z139="",0,Z139),"0")+IFERROR(IF(Z140="",0,Z140),"0")</f>
        <v>1.9529999999999999E-2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6.3</v>
      </c>
      <c r="Y142" s="43">
        <f>IFERROR(SUM(Y139:Y140),"0")</f>
        <v>8.3999999999999986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35</v>
      </c>
      <c r="Y167" s="55">
        <f t="shared" ref="Y167:Y177" si="15">IFERROR(IF(X167="",0,CEILING((X167/$H167),1)*$H167),"")</f>
        <v>35</v>
      </c>
      <c r="Z167" s="41">
        <f>IFERROR(IF(Y167=0,"",ROUNDUP(Y167/H167,0)*0.00902),"")</f>
        <v>9.0200000000000002E-2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36.9</v>
      </c>
      <c r="BN167" s="78">
        <f t="shared" ref="BN167:BN177" si="17">IFERROR(Y167*I167/H167,"0")</f>
        <v>36.9</v>
      </c>
      <c r="BO167" s="78">
        <f t="shared" ref="BO167:BO177" si="18">IFERROR(1/J167*(X167/H167),"0")</f>
        <v>7.575757575757576E-2</v>
      </c>
      <c r="BP167" s="78">
        <f t="shared" ref="BP167:BP177" si="19">IFERROR(1/J167*(Y167/H167),"0")</f>
        <v>7.575757575757576E-2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24</v>
      </c>
      <c r="Y168" s="55">
        <f t="shared" si="15"/>
        <v>27</v>
      </c>
      <c r="Z168" s="41">
        <f>IFERROR(IF(Y168=0,"",ROUNDUP(Y168/H168,0)*0.01898),"")</f>
        <v>5.6940000000000004E-2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25.493333333333332</v>
      </c>
      <c r="BN168" s="78">
        <f t="shared" si="17"/>
        <v>28.68</v>
      </c>
      <c r="BO168" s="78">
        <f t="shared" si="18"/>
        <v>4.1666666666666664E-2</v>
      </c>
      <c r="BP168" s="78">
        <f t="shared" si="19"/>
        <v>4.6875E-2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12.666666666666666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13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0.14713999999999999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59</v>
      </c>
      <c r="Y179" s="43">
        <f>IFERROR(SUM(Y167:Y177),"0")</f>
        <v>62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20</v>
      </c>
      <c r="Y213" s="55">
        <f t="shared" ref="Y213:Y226" si="26">IFERROR(IF(X213="",0,CEILING((X213/$H213),1)*$H213),"")</f>
        <v>21</v>
      </c>
      <c r="Z213" s="41">
        <f>IFERROR(IF(Y213=0,"",ROUNDUP(Y213/H213,0)*0.00902),"")</f>
        <v>4.5100000000000001E-2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21.19047619047619</v>
      </c>
      <c r="BN213" s="78">
        <f t="shared" ref="BN213:BN226" si="28">IFERROR(Y213*I213/H213,"0")</f>
        <v>22.25</v>
      </c>
      <c r="BO213" s="78">
        <f t="shared" ref="BO213:BO226" si="29">IFERROR(1/J213*(X213/H213),"0")</f>
        <v>3.6075036075036072E-2</v>
      </c>
      <c r="BP213" s="78">
        <f t="shared" ref="BP213:BP226" si="30">IFERROR(1/J213*(Y213/H213),"0")</f>
        <v>3.787878787878788E-2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7</v>
      </c>
      <c r="Y217" s="55">
        <f t="shared" si="26"/>
        <v>8.4</v>
      </c>
      <c r="Z217" s="41">
        <f t="shared" ref="Z217:Z222" si="31">IFERROR(IF(Y217=0,"",ROUNDUP(Y217/H217,0)*0.00502),"")</f>
        <v>2.0080000000000001E-2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7.4333333333333327</v>
      </c>
      <c r="BN217" s="78">
        <f t="shared" si="28"/>
        <v>8.92</v>
      </c>
      <c r="BO217" s="78">
        <f t="shared" si="29"/>
        <v>1.4245014245014245E-2</v>
      </c>
      <c r="BP217" s="78">
        <f t="shared" si="30"/>
        <v>1.7094017094017096E-2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6.3</v>
      </c>
      <c r="Y224" s="55">
        <f t="shared" si="26"/>
        <v>6.3000000000000007</v>
      </c>
      <c r="Z224" s="41">
        <f>IFERROR(IF(Y224=0,"",ROUNDUP(Y224/H224,0)*0.00502),"")</f>
        <v>1.506E-2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6.6000000000000005</v>
      </c>
      <c r="BN224" s="78">
        <f t="shared" si="28"/>
        <v>6.6000000000000014</v>
      </c>
      <c r="BO224" s="78">
        <f t="shared" si="29"/>
        <v>1.2820512820512822E-2</v>
      </c>
      <c r="BP224" s="78">
        <f t="shared" si="30"/>
        <v>1.2820512820512822E-2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11.095238095238095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8.0240000000000006E-2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33.299999999999997</v>
      </c>
      <c r="Y228" s="43">
        <f>IFERROR(SUM(Y213:Y226),"0")</f>
        <v>35.700000000000003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55</v>
      </c>
      <c r="Y259" s="55">
        <f t="shared" ref="Y259:Y266" si="32">IFERROR(IF(X259="",0,CEILING((X259/$H259),1)*$H259),"")</f>
        <v>59.400000000000006</v>
      </c>
      <c r="Z259" s="41">
        <f>IFERROR(IF(Y259=0,"",ROUNDUP(Y259/H259,0)*0.00902),"")</f>
        <v>9.9220000000000003E-2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56.935185185185176</v>
      </c>
      <c r="BN259" s="78">
        <f t="shared" ref="BN259:BN266" si="34">IFERROR(Y259*I259/H259,"0")</f>
        <v>61.49</v>
      </c>
      <c r="BO259" s="78">
        <f t="shared" ref="BO259:BO266" si="35">IFERROR(1/J259*(X259/H259),"0")</f>
        <v>7.716049382716049E-2</v>
      </c>
      <c r="BP259" s="78">
        <f t="shared" ref="BP259:BP266" si="36">IFERROR(1/J259*(Y259/H259),"0")</f>
        <v>8.3333333333333343E-2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40</v>
      </c>
      <c r="Y260" s="55">
        <f t="shared" si="32"/>
        <v>43.2</v>
      </c>
      <c r="Z260" s="41">
        <f>IFERROR(IF(Y260=0,"",ROUNDUP(Y260/H260,0)*0.00902),"")</f>
        <v>7.2160000000000002E-2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41.407407407407405</v>
      </c>
      <c r="BN260" s="78">
        <f t="shared" si="34"/>
        <v>44.72</v>
      </c>
      <c r="BO260" s="78">
        <f t="shared" si="35"/>
        <v>5.6116722783389444E-2</v>
      </c>
      <c r="BP260" s="78">
        <f t="shared" si="36"/>
        <v>6.0606060606060608E-2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40</v>
      </c>
      <c r="Y261" s="55">
        <f t="shared" si="32"/>
        <v>43.2</v>
      </c>
      <c r="Z261" s="41">
        <f>IFERROR(IF(Y261=0,"",ROUNDUP(Y261/H261,0)*0.00902),"")</f>
        <v>7.2160000000000002E-2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41.407407407407405</v>
      </c>
      <c r="BN261" s="78">
        <f t="shared" si="34"/>
        <v>44.72</v>
      </c>
      <c r="BO261" s="78">
        <f t="shared" si="35"/>
        <v>5.6116722783389444E-2</v>
      </c>
      <c r="BP261" s="78">
        <f t="shared" si="36"/>
        <v>6.0606060606060608E-2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40</v>
      </c>
      <c r="Y262" s="55">
        <f t="shared" si="32"/>
        <v>43.2</v>
      </c>
      <c r="Z262" s="41">
        <f>IFERROR(IF(Y262=0,"",ROUNDUP(Y262/H262,0)*0.00902),"")</f>
        <v>7.2160000000000002E-2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41.407407407407405</v>
      </c>
      <c r="BN262" s="78">
        <f t="shared" si="34"/>
        <v>44.72</v>
      </c>
      <c r="BO262" s="78">
        <f t="shared" si="35"/>
        <v>5.6116722783389444E-2</v>
      </c>
      <c r="BP262" s="78">
        <f t="shared" si="36"/>
        <v>6.0606060606060608E-2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32.407407407407405</v>
      </c>
      <c r="Y267" s="43">
        <f>IFERROR(Y259/H259,"0")+IFERROR(Y260/H260,"0")+IFERROR(Y261/H261,"0")+IFERROR(Y262/H262,"0")+IFERROR(Y263/H263,"0")+IFERROR(Y264/H264,"0")+IFERROR(Y265/H265,"0")+IFERROR(Y266/H266,"0")</f>
        <v>35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0.31569999999999998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175</v>
      </c>
      <c r="Y268" s="43">
        <f>IFERROR(SUM(Y259:Y266),"0")</f>
        <v>189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21.6</v>
      </c>
      <c r="Y273" s="55">
        <f t="shared" si="37"/>
        <v>21.599999999999998</v>
      </c>
      <c r="Z273" s="41">
        <f>IFERROR(IF(Y273=0,"",ROUNDUP(Y273/H273,0)*0.00651),"")</f>
        <v>5.8590000000000003E-2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24.03</v>
      </c>
      <c r="BN273" s="78">
        <f t="shared" si="39"/>
        <v>24.029999999999998</v>
      </c>
      <c r="BO273" s="78">
        <f t="shared" si="40"/>
        <v>4.9450549450549462E-2</v>
      </c>
      <c r="BP273" s="78">
        <f t="shared" si="41"/>
        <v>4.9450549450549455E-2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12</v>
      </c>
      <c r="Y276" s="55">
        <f t="shared" si="37"/>
        <v>12</v>
      </c>
      <c r="Z276" s="41">
        <f>IFERROR(IF(Y276=0,"",ROUNDUP(Y276/H276,0)*0.00651),"")</f>
        <v>3.2550000000000003E-2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13.260000000000002</v>
      </c>
      <c r="BN276" s="78">
        <f t="shared" si="39"/>
        <v>13.260000000000002</v>
      </c>
      <c r="BO276" s="78">
        <f t="shared" si="40"/>
        <v>2.7472527472527476E-2</v>
      </c>
      <c r="BP276" s="78">
        <f t="shared" si="41"/>
        <v>2.7472527472527476E-2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12</v>
      </c>
      <c r="Y278" s="55">
        <f t="shared" si="37"/>
        <v>12</v>
      </c>
      <c r="Z278" s="41">
        <f>IFERROR(IF(Y278=0,"",ROUNDUP(Y278/H278,0)*0.00651),"")</f>
        <v>3.2550000000000003E-2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13.260000000000002</v>
      </c>
      <c r="BN278" s="78">
        <f t="shared" si="39"/>
        <v>13.260000000000002</v>
      </c>
      <c r="BO278" s="78">
        <f t="shared" si="40"/>
        <v>2.7472527472527476E-2</v>
      </c>
      <c r="BP278" s="78">
        <f t="shared" si="41"/>
        <v>2.7472527472527476E-2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12</v>
      </c>
      <c r="Y280" s="55">
        <f t="shared" si="37"/>
        <v>12</v>
      </c>
      <c r="Z280" s="41">
        <f>IFERROR(IF(Y280=0,"",ROUNDUP(Y280/H280,0)*0.00651),"")</f>
        <v>3.2550000000000003E-2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13.290000000000001</v>
      </c>
      <c r="BN280" s="78">
        <f t="shared" si="39"/>
        <v>13.290000000000001</v>
      </c>
      <c r="BO280" s="78">
        <f t="shared" si="40"/>
        <v>2.7472527472527476E-2</v>
      </c>
      <c r="BP280" s="78">
        <f t="shared" si="41"/>
        <v>2.7472527472527476E-2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24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24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0.15623999999999999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57.6</v>
      </c>
      <c r="Y283" s="43">
        <f>IFERROR(SUM(Y270:Y281),"0")</f>
        <v>57.599999999999994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60</v>
      </c>
      <c r="Y316" s="55">
        <f>IFERROR(IF(X316="",0,CEILING((X316/$H316),1)*$H316),"")</f>
        <v>64.800000000000011</v>
      </c>
      <c r="Z316" s="41">
        <f>IFERROR(IF(Y316=0,"",ROUNDUP(Y316/H316,0)*0.01898),"")</f>
        <v>0.11388000000000001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62.277777777777779</v>
      </c>
      <c r="BN316" s="78">
        <f>IFERROR(Y316*I316/H316,"0")</f>
        <v>67.260000000000005</v>
      </c>
      <c r="BO316" s="78">
        <f>IFERROR(1/J316*(X316/H316),"0")</f>
        <v>8.6805555555555552E-2</v>
      </c>
      <c r="BP316" s="78">
        <f>IFERROR(1/J316*(Y316/H316),"0")</f>
        <v>9.3750000000000014E-2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50</v>
      </c>
      <c r="Y317" s="55">
        <f>IFERROR(IF(X317="",0,CEILING((X317/$H317),1)*$H317),"")</f>
        <v>54</v>
      </c>
      <c r="Z317" s="41">
        <f>IFERROR(IF(Y317=0,"",ROUNDUP(Y317/H317,0)*0.01898),"")</f>
        <v>9.4899999999999998E-2</v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51.898148148148145</v>
      </c>
      <c r="BN317" s="78">
        <f>IFERROR(Y317*I317/H317,"0")</f>
        <v>56.05</v>
      </c>
      <c r="BO317" s="78">
        <f>IFERROR(1/J317*(X317/H317),"0")</f>
        <v>7.2337962962962965E-2</v>
      </c>
      <c r="BP317" s="78">
        <f>IFERROR(1/J317*(Y317/H317),"0")</f>
        <v>7.8125E-2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220</v>
      </c>
      <c r="Y318" s="55">
        <f>IFERROR(IF(X318="",0,CEILING((X318/$H318),1)*$H318),"")</f>
        <v>226.8</v>
      </c>
      <c r="Z318" s="41">
        <f>IFERROR(IF(Y318=0,"",ROUNDUP(Y318/H318,0)*0.01898),"")</f>
        <v>0.39857999999999999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228.35185185185188</v>
      </c>
      <c r="BN318" s="78">
        <f>IFERROR(Y318*I318/H318,"0")</f>
        <v>235.41000000000003</v>
      </c>
      <c r="BO318" s="78">
        <f>IFERROR(1/J318*(X318/H318),"0")</f>
        <v>0.31828703703703703</v>
      </c>
      <c r="BP318" s="78">
        <f>IFERROR(1/J318*(Y318/H318),"0")</f>
        <v>0.328125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20</v>
      </c>
      <c r="Y319" s="55">
        <f>IFERROR(IF(X319="",0,CEILING((X319/$H319),1)*$H319),"")</f>
        <v>20</v>
      </c>
      <c r="Z319" s="41">
        <f>IFERROR(IF(Y319=0,"",ROUNDUP(Y319/H319,0)*0.00902),"")</f>
        <v>4.5100000000000001E-2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20.950000000000003</v>
      </c>
      <c r="BN319" s="78">
        <f>IFERROR(Y319*I319/H319,"0")</f>
        <v>20.950000000000003</v>
      </c>
      <c r="BO319" s="78">
        <f>IFERROR(1/J319*(X319/H319),"0")</f>
        <v>3.787878787878788E-2</v>
      </c>
      <c r="BP319" s="78">
        <f>IFERROR(1/J319*(Y319/H319),"0")</f>
        <v>3.787878787878788E-2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16</v>
      </c>
      <c r="Y320" s="55">
        <f>IFERROR(IF(X320="",0,CEILING((X320/$H320),1)*$H320),"")</f>
        <v>16</v>
      </c>
      <c r="Z320" s="41">
        <f>IFERROR(IF(Y320=0,"",ROUNDUP(Y320/H320,0)*0.00902),"")</f>
        <v>3.6080000000000001E-2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16.760000000000002</v>
      </c>
      <c r="BN320" s="78">
        <f>IFERROR(Y320*I320/H320,"0")</f>
        <v>16.760000000000002</v>
      </c>
      <c r="BO320" s="78">
        <f>IFERROR(1/J320*(X320/H320),"0")</f>
        <v>3.0303030303030304E-2</v>
      </c>
      <c r="BP320" s="78">
        <f>IFERROR(1/J320*(Y320/H320),"0")</f>
        <v>3.0303030303030304E-2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39.555555555555557</v>
      </c>
      <c r="Y321" s="43">
        <f>IFERROR(Y316/H316,"0")+IFERROR(Y317/H317,"0")+IFERROR(Y318/H318,"0")+IFERROR(Y319/H319,"0")+IFERROR(Y320/H320,"0")</f>
        <v>41</v>
      </c>
      <c r="Z321" s="43">
        <f>IFERROR(IF(Z316="",0,Z316),"0")+IFERROR(IF(Z317="",0,Z317),"0")+IFERROR(IF(Z318="",0,Z318),"0")+IFERROR(IF(Z319="",0,Z319),"0")+IFERROR(IF(Z320="",0,Z320),"0")</f>
        <v>0.68854000000000004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366</v>
      </c>
      <c r="Y322" s="43">
        <f>IFERROR(SUM(Y316:Y320),"0")</f>
        <v>381.6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180</v>
      </c>
      <c r="Y354" s="55">
        <f t="shared" si="47"/>
        <v>183.60000000000002</v>
      </c>
      <c r="Z354" s="41">
        <f>IFERROR(IF(Y354=0,"",ROUNDUP(Y354/H354,0)*0.01898),"")</f>
        <v>0.32266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186.83333333333334</v>
      </c>
      <c r="BN354" s="78">
        <f t="shared" si="49"/>
        <v>190.57000000000002</v>
      </c>
      <c r="BO354" s="78">
        <f t="shared" si="50"/>
        <v>0.26041666666666663</v>
      </c>
      <c r="BP354" s="78">
        <f t="shared" si="51"/>
        <v>0.265625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210</v>
      </c>
      <c r="Y355" s="55">
        <f t="shared" si="47"/>
        <v>216</v>
      </c>
      <c r="Z355" s="41">
        <f>IFERROR(IF(Y355=0,"",ROUNDUP(Y355/H355,0)*0.01898),"")</f>
        <v>0.37959999999999999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217.97222222222223</v>
      </c>
      <c r="BN355" s="78">
        <f t="shared" si="49"/>
        <v>224.2</v>
      </c>
      <c r="BO355" s="78">
        <f t="shared" si="50"/>
        <v>0.30381944444444442</v>
      </c>
      <c r="BP355" s="78">
        <f t="shared" si="51"/>
        <v>0.3125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990</v>
      </c>
      <c r="Y356" s="55">
        <f t="shared" si="47"/>
        <v>993.6</v>
      </c>
      <c r="Z356" s="41">
        <f>IFERROR(IF(Y356=0,"",ROUNDUP(Y356/H356,0)*0.01898),"")</f>
        <v>1.7461599999999999</v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1027.5833333333335</v>
      </c>
      <c r="BN356" s="78">
        <f t="shared" si="49"/>
        <v>1031.32</v>
      </c>
      <c r="BO356" s="78">
        <f t="shared" si="50"/>
        <v>1.4322916666666665</v>
      </c>
      <c r="BP356" s="78">
        <f t="shared" si="51"/>
        <v>1.4375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44</v>
      </c>
      <c r="Y357" s="55">
        <f t="shared" si="47"/>
        <v>44</v>
      </c>
      <c r="Z357" s="41">
        <f>IFERROR(IF(Y357=0,"",ROUNDUP(Y357/H357,0)*0.00902),"")</f>
        <v>9.9220000000000003E-2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46.09</v>
      </c>
      <c r="BN357" s="78">
        <f t="shared" si="49"/>
        <v>46.09</v>
      </c>
      <c r="BO357" s="78">
        <f t="shared" si="50"/>
        <v>8.3333333333333343E-2</v>
      </c>
      <c r="BP357" s="78">
        <f t="shared" si="51"/>
        <v>8.3333333333333343E-2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100</v>
      </c>
      <c r="Y358" s="55">
        <f t="shared" si="47"/>
        <v>100</v>
      </c>
      <c r="Z358" s="41">
        <f>IFERROR(IF(Y358=0,"",ROUNDUP(Y358/H358,0)*0.00902),"")</f>
        <v>0.22550000000000001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104.75000000000001</v>
      </c>
      <c r="BN358" s="78">
        <f t="shared" si="49"/>
        <v>104.75000000000001</v>
      </c>
      <c r="BO358" s="78">
        <f t="shared" si="50"/>
        <v>0.18939393939393939</v>
      </c>
      <c r="BP358" s="78">
        <f t="shared" si="51"/>
        <v>0.18939393939393939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163.77777777777777</v>
      </c>
      <c r="Y359" s="43">
        <f>IFERROR(Y353/H353,"0")+IFERROR(Y354/H354,"0")+IFERROR(Y355/H355,"0")+IFERROR(Y356/H356,"0")+IFERROR(Y357/H357,"0")+IFERROR(Y358/H358,"0")</f>
        <v>165</v>
      </c>
      <c r="Z359" s="43">
        <f>IFERROR(IF(Z353="",0,Z353),"0")+IFERROR(IF(Z354="",0,Z354),"0")+IFERROR(IF(Z355="",0,Z355),"0")+IFERROR(IF(Z356="",0,Z356),"0")+IFERROR(IF(Z357="",0,Z357),"0")+IFERROR(IF(Z358="",0,Z358),"0")</f>
        <v>2.7731399999999997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1524</v>
      </c>
      <c r="Y360" s="43">
        <f>IFERROR(SUM(Y353:Y358),"0")</f>
        <v>1537.2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100</v>
      </c>
      <c r="Y362" s="55">
        <f t="shared" ref="Y362:Y368" si="52">IFERROR(IF(X362="",0,CEILING((X362/$H362),1)*$H362),"")</f>
        <v>100.80000000000001</v>
      </c>
      <c r="Z362" s="41">
        <f>IFERROR(IF(Y362=0,"",ROUNDUP(Y362/H362,0)*0.00902),"")</f>
        <v>0.21648000000000001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105.95238095238095</v>
      </c>
      <c r="BN362" s="78">
        <f t="shared" ref="BN362:BN368" si="54">IFERROR(Y362*I362/H362,"0")</f>
        <v>106.80000000000001</v>
      </c>
      <c r="BO362" s="78">
        <f t="shared" ref="BO362:BO368" si="55">IFERROR(1/J362*(X362/H362),"0")</f>
        <v>0.18037518037518038</v>
      </c>
      <c r="BP362" s="78">
        <f t="shared" ref="BP362:BP368" si="56">IFERROR(1/J362*(Y362/H362),"0")</f>
        <v>0.18181818181818182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255</v>
      </c>
      <c r="Y363" s="55">
        <f t="shared" si="52"/>
        <v>256.2</v>
      </c>
      <c r="Z363" s="41">
        <f>IFERROR(IF(Y363=0,"",ROUNDUP(Y363/H363,0)*0.00902),"")</f>
        <v>0.55022000000000004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270.17857142857144</v>
      </c>
      <c r="BN363" s="78">
        <f t="shared" si="54"/>
        <v>271.45</v>
      </c>
      <c r="BO363" s="78">
        <f t="shared" si="55"/>
        <v>0.4599567099567099</v>
      </c>
      <c r="BP363" s="78">
        <f t="shared" si="56"/>
        <v>0.4621212121212121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56.7</v>
      </c>
      <c r="Y365" s="55">
        <f t="shared" si="52"/>
        <v>56.7</v>
      </c>
      <c r="Z365" s="41">
        <f>IFERROR(IF(Y365=0,"",ROUNDUP(Y365/H365,0)*0.00502),"")</f>
        <v>0.13553999999999999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60.21</v>
      </c>
      <c r="BN365" s="78">
        <f t="shared" si="54"/>
        <v>60.21</v>
      </c>
      <c r="BO365" s="78">
        <f t="shared" si="55"/>
        <v>0.11538461538461539</v>
      </c>
      <c r="BP365" s="78">
        <f t="shared" si="56"/>
        <v>0.11538461538461539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16.8</v>
      </c>
      <c r="Y366" s="55">
        <f t="shared" si="52"/>
        <v>16.8</v>
      </c>
      <c r="Z366" s="41">
        <f>IFERROR(IF(Y366=0,"",ROUNDUP(Y366/H366,0)*0.00502),"")</f>
        <v>4.0160000000000001E-2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17.600000000000001</v>
      </c>
      <c r="BN366" s="78">
        <f t="shared" si="54"/>
        <v>17.600000000000001</v>
      </c>
      <c r="BO366" s="78">
        <f t="shared" si="55"/>
        <v>3.4188034188034191E-2</v>
      </c>
      <c r="BP366" s="78">
        <f t="shared" si="56"/>
        <v>3.4188034188034191E-2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119.52380952380952</v>
      </c>
      <c r="Y369" s="43">
        <f>IFERROR(Y362/H362,"0")+IFERROR(Y363/H363,"0")+IFERROR(Y364/H364,"0")+IFERROR(Y365/H365,"0")+IFERROR(Y366/H366,"0")+IFERROR(Y367/H367,"0")+IFERROR(Y368/H368,"0")</f>
        <v>120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0.94240000000000002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428.5</v>
      </c>
      <c r="Y370" s="43">
        <f>IFERROR(SUM(Y362:Y368),"0")</f>
        <v>430.5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4990</v>
      </c>
      <c r="Y372" s="55">
        <f>IFERROR(IF(X372="",0,CEILING((X372/$H372),1)*$H372),"")</f>
        <v>4992</v>
      </c>
      <c r="Z372" s="41">
        <f>IFERROR(IF(Y372=0,"",ROUNDUP(Y372/H372,0)*0.01898),"")</f>
        <v>12.1472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5302.1948717948726</v>
      </c>
      <c r="BN372" s="78">
        <f>IFERROR(Y372*I372/H372,"0")</f>
        <v>5304.3200000000006</v>
      </c>
      <c r="BO372" s="78">
        <f>IFERROR(1/J372*(X372/H372),"0")</f>
        <v>9.9959935897435894</v>
      </c>
      <c r="BP372" s="78">
        <f>IFERROR(1/J372*(Y372/H372),"0")</f>
        <v>10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12</v>
      </c>
      <c r="Y375" s="55">
        <f>IFERROR(IF(X375="",0,CEILING((X375/$H375),1)*$H375),"")</f>
        <v>12</v>
      </c>
      <c r="Z375" s="41">
        <f>IFERROR(IF(Y375=0,"",ROUNDUP(Y375/H375,0)*0.00651),"")</f>
        <v>2.6040000000000001E-2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12.984</v>
      </c>
      <c r="BN375" s="78">
        <f>IFERROR(Y375*I375/H375,"0")</f>
        <v>12.984</v>
      </c>
      <c r="BO375" s="78">
        <f>IFERROR(1/J375*(X375/H375),"0")</f>
        <v>2.197802197802198E-2</v>
      </c>
      <c r="BP375" s="78">
        <f>IFERROR(1/J375*(Y375/H375),"0")</f>
        <v>2.197802197802198E-2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643.74358974358972</v>
      </c>
      <c r="Y376" s="43">
        <f>IFERROR(Y372/H372,"0")+IFERROR(Y373/H373,"0")+IFERROR(Y374/H374,"0")+IFERROR(Y375/H375,"0")</f>
        <v>644</v>
      </c>
      <c r="Z376" s="43">
        <f>IFERROR(IF(Z372="",0,Z372),"0")+IFERROR(IF(Z373="",0,Z373),"0")+IFERROR(IF(Z374="",0,Z374),"0")+IFERROR(IF(Z375="",0,Z375),"0")</f>
        <v>12.17324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5002</v>
      </c>
      <c r="Y377" s="43">
        <f>IFERROR(SUM(Y372:Y375),"0")</f>
        <v>5004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16.8</v>
      </c>
      <c r="Y379" s="55">
        <f>IFERROR(IF(X379="",0,CEILING((X379/$H379),1)*$H379),"")</f>
        <v>16.8</v>
      </c>
      <c r="Z379" s="41">
        <f>IFERROR(IF(Y379=0,"",ROUNDUP(Y379/H379,0)*0.01898),"")</f>
        <v>3.7960000000000001E-2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17.788</v>
      </c>
      <c r="BN379" s="78">
        <f>IFERROR(Y379*I379/H379,"0")</f>
        <v>17.788</v>
      </c>
      <c r="BO379" s="78">
        <f>IFERROR(1/J379*(X379/H379),"0")</f>
        <v>3.125E-2</v>
      </c>
      <c r="BP379" s="78">
        <f>IFERROR(1/J379*(Y379/H379),"0")</f>
        <v>3.125E-2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335</v>
      </c>
      <c r="Y380" s="55">
        <f>IFERROR(IF(X380="",0,CEILING((X380/$H380),1)*$H380),"")</f>
        <v>335.4</v>
      </c>
      <c r="Z380" s="41">
        <f>IFERROR(IF(Y380=0,"",ROUNDUP(Y380/H380,0)*0.01898),"")</f>
        <v>0.81613999999999998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356.2166666666667</v>
      </c>
      <c r="BN380" s="78">
        <f>IFERROR(Y380*I380/H380,"0")</f>
        <v>356.642</v>
      </c>
      <c r="BO380" s="78">
        <f>IFERROR(1/J380*(X380/H380),"0")</f>
        <v>0.67107371794871795</v>
      </c>
      <c r="BP380" s="78">
        <f>IFERROR(1/J380*(Y380/H380),"0")</f>
        <v>0.671875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160</v>
      </c>
      <c r="Y381" s="55">
        <f>IFERROR(IF(X381="",0,CEILING((X381/$H381),1)*$H381),"")</f>
        <v>168</v>
      </c>
      <c r="Z381" s="41">
        <f>IFERROR(IF(Y381=0,"",ROUNDUP(Y381/H381,0)*0.01898),"")</f>
        <v>0.37959999999999999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169.40952380952379</v>
      </c>
      <c r="BN381" s="78">
        <f>IFERROR(Y381*I381/H381,"0")</f>
        <v>177.88</v>
      </c>
      <c r="BO381" s="78">
        <f>IFERROR(1/J381*(X381/H381),"0")</f>
        <v>0.29761904761904762</v>
      </c>
      <c r="BP381" s="78">
        <f>IFERROR(1/J381*(Y381/H381),"0")</f>
        <v>0.3125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63.996336996336993</v>
      </c>
      <c r="Y382" s="43">
        <f>IFERROR(Y379/H379,"0")+IFERROR(Y380/H380,"0")+IFERROR(Y381/H381,"0")</f>
        <v>65</v>
      </c>
      <c r="Z382" s="43">
        <f>IFERROR(IF(Z379="",0,Z379),"0")+IFERROR(IF(Z380="",0,Z380),"0")+IFERROR(IF(Z381="",0,Z381),"0")</f>
        <v>1.2337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511.8</v>
      </c>
      <c r="Y383" s="43">
        <f>IFERROR(SUM(Y379:Y381),"0")</f>
        <v>520.20000000000005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5.0999999999999996</v>
      </c>
      <c r="Y388" s="55">
        <f>IFERROR(IF(X388="",0,CEILING((X388/$H388),1)*$H388),"")</f>
        <v>5.0999999999999996</v>
      </c>
      <c r="Z388" s="41">
        <f>IFERROR(IF(Y388=0,"",ROUNDUP(Y388/H388,0)*0.00651),"")</f>
        <v>1.302E-2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5.76</v>
      </c>
      <c r="BN388" s="78">
        <f>IFERROR(Y388*I388/H388,"0")</f>
        <v>5.76</v>
      </c>
      <c r="BO388" s="78">
        <f>IFERROR(1/J388*(X388/H388),"0")</f>
        <v>1.098901098901099E-2</v>
      </c>
      <c r="BP388" s="78">
        <f>IFERROR(1/J388*(Y388/H388),"0")</f>
        <v>1.098901098901099E-2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2</v>
      </c>
      <c r="Y389" s="43">
        <f>IFERROR(Y385/H385,"0")+IFERROR(Y386/H386,"0")+IFERROR(Y387/H387,"0")+IFERROR(Y388/H388,"0")</f>
        <v>2</v>
      </c>
      <c r="Z389" s="43">
        <f>IFERROR(IF(Z385="",0,Z385),"0")+IFERROR(IF(Z386="",0,Z386),"0")+IFERROR(IF(Z387="",0,Z387),"0")+IFERROR(IF(Z388="",0,Z388),"0")</f>
        <v>1.302E-2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5.0999999999999996</v>
      </c>
      <c r="Y390" s="43">
        <f>IFERROR(SUM(Y385:Y388),"0")</f>
        <v>5.0999999999999996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45</v>
      </c>
      <c r="Y399" s="55">
        <f>IFERROR(IF(X399="",0,CEILING((X399/$H399),1)*$H399),"")</f>
        <v>48.599999999999994</v>
      </c>
      <c r="Z399" s="41">
        <f>IFERROR(IF(Y399=0,"",ROUNDUP(Y399/H399,0)*0.01898),"")</f>
        <v>0.11388000000000001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47.74444444444444</v>
      </c>
      <c r="BN399" s="78">
        <f>IFERROR(Y399*I399/H399,"0")</f>
        <v>51.563999999999993</v>
      </c>
      <c r="BO399" s="78">
        <f>IFERROR(1/J399*(X399/H399),"0")</f>
        <v>8.6805555555555552E-2</v>
      </c>
      <c r="BP399" s="78">
        <f>IFERROR(1/J399*(Y399/H399),"0")</f>
        <v>9.375E-2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50.4</v>
      </c>
      <c r="Y400" s="55">
        <f>IFERROR(IF(X400="",0,CEILING((X400/$H400),1)*$H400),"")</f>
        <v>50.400000000000006</v>
      </c>
      <c r="Z400" s="41">
        <f>IFERROR(IF(Y400=0,"",ROUNDUP(Y400/H400,0)*0.00651),"")</f>
        <v>0.15623999999999999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56.447999999999993</v>
      </c>
      <c r="BN400" s="78">
        <f>IFERROR(Y400*I400/H400,"0")</f>
        <v>56.448</v>
      </c>
      <c r="BO400" s="78">
        <f>IFERROR(1/J400*(X400/H400),"0")</f>
        <v>0.13186813186813187</v>
      </c>
      <c r="BP400" s="78">
        <f>IFERROR(1/J400*(Y400/H400),"0")</f>
        <v>0.13186813186813187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74.900000000000006</v>
      </c>
      <c r="Y401" s="55">
        <f>IFERROR(IF(X401="",0,CEILING((X401/$H401),1)*$H401),"")</f>
        <v>75.600000000000009</v>
      </c>
      <c r="Z401" s="41">
        <f>IFERROR(IF(Y401=0,"",ROUNDUP(Y401/H401,0)*0.00651),"")</f>
        <v>0.23436000000000001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83.46</v>
      </c>
      <c r="BN401" s="78">
        <f>IFERROR(Y401*I401/H401,"0")</f>
        <v>84.24</v>
      </c>
      <c r="BO401" s="78">
        <f>IFERROR(1/J401*(X401/H401),"0")</f>
        <v>0.19597069597069602</v>
      </c>
      <c r="BP401" s="78">
        <f>IFERROR(1/J401*(Y401/H401),"0")</f>
        <v>0.19780219780219782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65.222222222222229</v>
      </c>
      <c r="Y402" s="43">
        <f>IFERROR(Y399/H399,"0")+IFERROR(Y400/H400,"0")+IFERROR(Y401/H401,"0")</f>
        <v>66</v>
      </c>
      <c r="Z402" s="43">
        <f>IFERROR(IF(Z399="",0,Z399),"0")+IFERROR(IF(Z400="",0,Z400),"0")+IFERROR(IF(Z401="",0,Z401),"0")</f>
        <v>0.50448000000000004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170.3</v>
      </c>
      <c r="Y403" s="43">
        <f>IFERROR(SUM(Y399:Y401),"0")</f>
        <v>174.60000000000002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435</v>
      </c>
      <c r="Y408" s="55">
        <f t="shared" si="57"/>
        <v>435</v>
      </c>
      <c r="Z408" s="41">
        <f>IFERROR(IF(Y408=0,"",ROUNDUP(Y408/H408,0)*0.02175),"")</f>
        <v>0.63074999999999992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448.63000000000005</v>
      </c>
      <c r="BN408" s="78">
        <f t="shared" si="59"/>
        <v>448.63000000000005</v>
      </c>
      <c r="BO408" s="78">
        <f t="shared" si="60"/>
        <v>0.60416666666666663</v>
      </c>
      <c r="BP408" s="78">
        <f t="shared" si="61"/>
        <v>0.60416666666666663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835</v>
      </c>
      <c r="Y409" s="55">
        <f t="shared" si="57"/>
        <v>840</v>
      </c>
      <c r="Z409" s="41">
        <f>IFERROR(IF(Y409=0,"",ROUNDUP(Y409/H409,0)*0.02175),"")</f>
        <v>1.218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861.16333333333341</v>
      </c>
      <c r="BN409" s="78">
        <f t="shared" si="59"/>
        <v>866.32</v>
      </c>
      <c r="BO409" s="78">
        <f t="shared" si="60"/>
        <v>1.1597222222222221</v>
      </c>
      <c r="BP409" s="78">
        <f t="shared" si="61"/>
        <v>1.1666666666666665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1580</v>
      </c>
      <c r="Y411" s="55">
        <f t="shared" si="57"/>
        <v>1590</v>
      </c>
      <c r="Z411" s="41">
        <f>IFERROR(IF(Y411=0,"",ROUNDUP(Y411/H411,0)*0.02175),"")</f>
        <v>2.3054999999999999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1629.5066666666669</v>
      </c>
      <c r="BN411" s="78">
        <f t="shared" si="59"/>
        <v>1639.82</v>
      </c>
      <c r="BO411" s="78">
        <f t="shared" si="60"/>
        <v>2.1944444444444442</v>
      </c>
      <c r="BP411" s="78">
        <f t="shared" si="61"/>
        <v>2.208333333333333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10</v>
      </c>
      <c r="Y414" s="55">
        <f t="shared" si="57"/>
        <v>10</v>
      </c>
      <c r="Z414" s="41">
        <f>IFERROR(IF(Y414=0,"",ROUNDUP(Y414/H414,0)*0.00902),"")</f>
        <v>1.804E-2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10.38</v>
      </c>
      <c r="BN414" s="78">
        <f t="shared" si="59"/>
        <v>10.38</v>
      </c>
      <c r="BO414" s="78">
        <f t="shared" si="60"/>
        <v>1.5151515151515152E-2</v>
      </c>
      <c r="BP414" s="78">
        <f t="shared" si="61"/>
        <v>1.5151515151515152E-2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192</v>
      </c>
      <c r="Y415" s="43">
        <f>IFERROR(Y407/H407,"0")+IFERROR(Y408/H408,"0")+IFERROR(Y409/H409,"0")+IFERROR(Y410/H410,"0")+IFERROR(Y411/H411,"0")+IFERROR(Y412/H412,"0")+IFERROR(Y413/H413,"0")+IFERROR(Y414/H414,"0")</f>
        <v>193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4.1722899999999994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2860</v>
      </c>
      <c r="Y416" s="43">
        <f>IFERROR(SUM(Y407:Y414),"0")</f>
        <v>2875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1005</v>
      </c>
      <c r="Y418" s="55">
        <f>IFERROR(IF(X418="",0,CEILING((X418/$H418),1)*$H418),"")</f>
        <v>1005</v>
      </c>
      <c r="Z418" s="41">
        <f>IFERROR(IF(Y418=0,"",ROUNDUP(Y418/H418,0)*0.02175),"")</f>
        <v>1.4572499999999999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1036.49</v>
      </c>
      <c r="BN418" s="78">
        <f>IFERROR(Y418*I418/H418,"0")</f>
        <v>1036.49</v>
      </c>
      <c r="BO418" s="78">
        <f>IFERROR(1/J418*(X418/H418),"0")</f>
        <v>1.3958333333333333</v>
      </c>
      <c r="BP418" s="78">
        <f>IFERROR(1/J418*(Y418/H418),"0")</f>
        <v>1.3958333333333333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4</v>
      </c>
      <c r="Y420" s="55">
        <f>IFERROR(IF(X420="",0,CEILING((X420/$H420),1)*$H420),"")</f>
        <v>4</v>
      </c>
      <c r="Z420" s="41">
        <f>IFERROR(IF(Y420=0,"",ROUNDUP(Y420/H420,0)*0.00902),"")</f>
        <v>9.0200000000000002E-3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4.1900000000000004</v>
      </c>
      <c r="BN420" s="78">
        <f>IFERROR(Y420*I420/H420,"0")</f>
        <v>4.1900000000000004</v>
      </c>
      <c r="BO420" s="78">
        <f>IFERROR(1/J420*(X420/H420),"0")</f>
        <v>7.575757575757576E-3</v>
      </c>
      <c r="BP420" s="78">
        <f>IFERROR(1/J420*(Y420/H420),"0")</f>
        <v>7.575757575757576E-3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68</v>
      </c>
      <c r="Y421" s="43">
        <f>IFERROR(Y418/H418,"0")+IFERROR(Y419/H419,"0")+IFERROR(Y420/H420,"0")</f>
        <v>68</v>
      </c>
      <c r="Z421" s="43">
        <f>IFERROR(IF(Z418="",0,Z418),"0")+IFERROR(IF(Z419="",0,Z419),"0")+IFERROR(IF(Z420="",0,Z420),"0")</f>
        <v>1.46627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1009</v>
      </c>
      <c r="Y422" s="43">
        <f>IFERROR(SUM(Y418:Y420),"0")</f>
        <v>1009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4.2</v>
      </c>
      <c r="Y453" s="55">
        <f t="shared" si="62"/>
        <v>4.2</v>
      </c>
      <c r="Z453" s="41">
        <f>IFERROR(IF(Y453=0,"",ROUNDUP(Y453/H453,0)*0.00502),"")</f>
        <v>1.004E-2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4.46</v>
      </c>
      <c r="BN453" s="78">
        <f t="shared" si="64"/>
        <v>4.46</v>
      </c>
      <c r="BO453" s="78">
        <f t="shared" si="65"/>
        <v>8.5470085470085479E-3</v>
      </c>
      <c r="BP453" s="78">
        <f t="shared" si="66"/>
        <v>8.5470085470085479E-3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10.5</v>
      </c>
      <c r="Y455" s="55">
        <f t="shared" si="62"/>
        <v>10.5</v>
      </c>
      <c r="Z455" s="41">
        <f>IFERROR(IF(Y455=0,"",ROUNDUP(Y455/H455,0)*0.00502),"")</f>
        <v>2.5100000000000001E-2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11.149999999999999</v>
      </c>
      <c r="BN455" s="78">
        <f t="shared" si="64"/>
        <v>11.149999999999999</v>
      </c>
      <c r="BO455" s="78">
        <f t="shared" si="65"/>
        <v>2.1367521367521368E-2</v>
      </c>
      <c r="BP455" s="78">
        <f t="shared" si="66"/>
        <v>2.1367521367521368E-2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4.2</v>
      </c>
      <c r="Y456" s="55">
        <f t="shared" si="62"/>
        <v>4.2</v>
      </c>
      <c r="Z456" s="41">
        <f>IFERROR(IF(Y456=0,"",ROUNDUP(Y456/H456,0)*0.00502),"")</f>
        <v>1.004E-2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4.46</v>
      </c>
      <c r="BN456" s="78">
        <f t="shared" si="64"/>
        <v>4.46</v>
      </c>
      <c r="BO456" s="78">
        <f t="shared" si="65"/>
        <v>8.5470085470085479E-3</v>
      </c>
      <c r="BP456" s="78">
        <f t="shared" si="66"/>
        <v>8.5470085470085479E-3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9</v>
      </c>
      <c r="Y457" s="43">
        <f>IFERROR(Y451/H451,"0")+IFERROR(Y452/H452,"0")+IFERROR(Y453/H453,"0")+IFERROR(Y454/H454,"0")+IFERROR(Y455/H455,"0")+IFERROR(Y456/H456,"0")</f>
        <v>9</v>
      </c>
      <c r="Z457" s="43">
        <f>IFERROR(IF(Z451="",0,Z451),"0")+IFERROR(IF(Z452="",0,Z452),"0")+IFERROR(IF(Z453="",0,Z453),"0")+IFERROR(IF(Z454="",0,Z454),"0")+IFERROR(IF(Z455="",0,Z455),"0")+IFERROR(IF(Z456="",0,Z456),"0")</f>
        <v>4.5180000000000005E-2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18.899999999999999</v>
      </c>
      <c r="Y458" s="43">
        <f>IFERROR(SUM(Y451:Y456),"0")</f>
        <v>18.899999999999999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4.2</v>
      </c>
      <c r="Y472" s="55">
        <f>IFERROR(IF(X472="",0,CEILING((X472/$H472),1)*$H472),"")</f>
        <v>4.2</v>
      </c>
      <c r="Z472" s="41">
        <f>IFERROR(IF(Y472=0,"",ROUNDUP(Y472/H472,0)*0.00502),"")</f>
        <v>1.004E-2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4.46</v>
      </c>
      <c r="BN472" s="78">
        <f>IFERROR(Y472*I472/H472,"0")</f>
        <v>4.46</v>
      </c>
      <c r="BO472" s="78">
        <f>IFERROR(1/J472*(X472/H472),"0")</f>
        <v>8.5470085470085479E-3</v>
      </c>
      <c r="BP472" s="78">
        <f>IFERROR(1/J472*(Y472/H472),"0")</f>
        <v>8.5470085470085479E-3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2</v>
      </c>
      <c r="Y473" s="43">
        <f>IFERROR(Y470/H470,"0")+IFERROR(Y471/H471,"0")+IFERROR(Y472/H472,"0")</f>
        <v>2</v>
      </c>
      <c r="Z473" s="43">
        <f>IFERROR(IF(Z470="",0,Z470),"0")+IFERROR(IF(Z471="",0,Z471),"0")+IFERROR(IF(Z472="",0,Z472),"0")</f>
        <v>1.004E-2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4.2</v>
      </c>
      <c r="Y474" s="43">
        <f>IFERROR(SUM(Y470:Y472),"0")</f>
        <v>4.2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95</v>
      </c>
      <c r="Y478" s="55">
        <f t="shared" ref="Y478:Y486" si="67">IFERROR(IF(X478="",0,CEILING((X478/$H478),1)*$H478),"")</f>
        <v>95.04</v>
      </c>
      <c r="Z478" s="41">
        <f t="shared" ref="Z478:Z483" si="68">IFERROR(IF(Y478=0,"",ROUNDUP(Y478/H478,0)*0.01196),"")</f>
        <v>0.21528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101.29734848484848</v>
      </c>
      <c r="BN478" s="78">
        <f t="shared" ref="BN478:BN486" si="70">IFERROR(Y478*I478/H478,"0")</f>
        <v>101.33999999999999</v>
      </c>
      <c r="BO478" s="78">
        <f t="shared" ref="BO478:BO486" si="71">IFERROR(1/J478*(X478/H478),"0")</f>
        <v>0.17300407925407926</v>
      </c>
      <c r="BP478" s="78">
        <f t="shared" ref="BP478:BP486" si="72">IFERROR(1/J478*(Y478/H478),"0")</f>
        <v>0.17307692307692307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10</v>
      </c>
      <c r="Y480" s="55">
        <f t="shared" si="67"/>
        <v>10.56</v>
      </c>
      <c r="Z480" s="41">
        <f t="shared" si="68"/>
        <v>2.392E-2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10.662878787878787</v>
      </c>
      <c r="BN480" s="78">
        <f t="shared" si="70"/>
        <v>11.26</v>
      </c>
      <c r="BO480" s="78">
        <f t="shared" si="71"/>
        <v>1.8210955710955712E-2</v>
      </c>
      <c r="BP480" s="78">
        <f t="shared" si="72"/>
        <v>1.9230769230769232E-2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12</v>
      </c>
      <c r="Y481" s="55">
        <f t="shared" si="67"/>
        <v>15.84</v>
      </c>
      <c r="Z481" s="41">
        <f t="shared" si="68"/>
        <v>3.5880000000000002E-2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12.795454545454545</v>
      </c>
      <c r="BN481" s="78">
        <f t="shared" si="70"/>
        <v>16.889999999999997</v>
      </c>
      <c r="BO481" s="78">
        <f t="shared" si="71"/>
        <v>2.1853146853146852E-2</v>
      </c>
      <c r="BP481" s="78">
        <f t="shared" si="72"/>
        <v>2.8846153846153848E-2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25</v>
      </c>
      <c r="Y483" s="55">
        <f t="shared" si="67"/>
        <v>26.400000000000002</v>
      </c>
      <c r="Z483" s="41">
        <f t="shared" si="68"/>
        <v>5.9799999999999999E-2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26.657196969696969</v>
      </c>
      <c r="BN483" s="78">
        <f t="shared" si="70"/>
        <v>28.15</v>
      </c>
      <c r="BO483" s="78">
        <f t="shared" si="71"/>
        <v>4.5527389277389273E-2</v>
      </c>
      <c r="BP483" s="78">
        <f t="shared" si="72"/>
        <v>4.807692307692308E-2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26.893939393939394</v>
      </c>
      <c r="Y487" s="43">
        <f>IFERROR(Y478/H478,"0")+IFERROR(Y479/H479,"0")+IFERROR(Y480/H480,"0")+IFERROR(Y481/H481,"0")+IFERROR(Y482/H482,"0")+IFERROR(Y483/H483,"0")+IFERROR(Y484/H484,"0")+IFERROR(Y485/H485,"0")+IFERROR(Y486/H486,"0")</f>
        <v>28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0.33488000000000001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142</v>
      </c>
      <c r="Y488" s="43">
        <f>IFERROR(SUM(Y478:Y486),"0")</f>
        <v>147.84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80</v>
      </c>
      <c r="Y490" s="55">
        <f>IFERROR(IF(X490="",0,CEILING((X490/$H490),1)*$H490),"")</f>
        <v>84.48</v>
      </c>
      <c r="Z490" s="41">
        <f>IFERROR(IF(Y490=0,"",ROUNDUP(Y490/H490,0)*0.01196),"")</f>
        <v>0.19136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85.303030303030297</v>
      </c>
      <c r="BN490" s="78">
        <f>IFERROR(Y490*I490/H490,"0")</f>
        <v>90.08</v>
      </c>
      <c r="BO490" s="78">
        <f>IFERROR(1/J490*(X490/H490),"0")</f>
        <v>0.14568764568764569</v>
      </c>
      <c r="BP490" s="78">
        <f>IFERROR(1/J490*(Y490/H490),"0")</f>
        <v>0.15384615384615385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15.15151515151515</v>
      </c>
      <c r="Y493" s="43">
        <f>IFERROR(Y490/H490,"0")+IFERROR(Y491/H491,"0")+IFERROR(Y492/H492,"0")</f>
        <v>16</v>
      </c>
      <c r="Z493" s="43">
        <f>IFERROR(IF(Z490="",0,Z490),"0")+IFERROR(IF(Z491="",0,Z491),"0")+IFERROR(IF(Z492="",0,Z492),"0")</f>
        <v>0.19136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80</v>
      </c>
      <c r="Y494" s="43">
        <f>IFERROR(SUM(Y490:Y492),"0")</f>
        <v>84.48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12</v>
      </c>
      <c r="Y496" s="55">
        <f t="shared" ref="Y496:Y502" si="73">IFERROR(IF(X496="",0,CEILING((X496/$H496),1)*$H496),"")</f>
        <v>15.84</v>
      </c>
      <c r="Z496" s="41">
        <f>IFERROR(IF(Y496=0,"",ROUNDUP(Y496/H496,0)*0.01196),"")</f>
        <v>3.5880000000000002E-2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12.795454545454545</v>
      </c>
      <c r="BN496" s="78">
        <f t="shared" ref="BN496:BN502" si="75">IFERROR(Y496*I496/H496,"0")</f>
        <v>16.889999999999997</v>
      </c>
      <c r="BO496" s="78">
        <f t="shared" ref="BO496:BO502" si="76">IFERROR(1/J496*(X496/H496),"0")</f>
        <v>2.1853146853146852E-2</v>
      </c>
      <c r="BP496" s="78">
        <f t="shared" ref="BP496:BP502" si="77">IFERROR(1/J496*(Y496/H496),"0")</f>
        <v>2.8846153846153848E-2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20</v>
      </c>
      <c r="Y497" s="55">
        <f t="shared" si="73"/>
        <v>21.12</v>
      </c>
      <c r="Z497" s="41">
        <f>IFERROR(IF(Y497=0,"",ROUNDUP(Y497/H497,0)*0.01196),"")</f>
        <v>4.7840000000000001E-2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21.325757575757574</v>
      </c>
      <c r="BN497" s="78">
        <f t="shared" si="75"/>
        <v>22.52</v>
      </c>
      <c r="BO497" s="78">
        <f t="shared" si="76"/>
        <v>3.6421911421911424E-2</v>
      </c>
      <c r="BP497" s="78">
        <f t="shared" si="77"/>
        <v>3.8461538461538464E-2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3"/>
        <v>31.68</v>
      </c>
      <c r="Z498" s="41">
        <f>IFERROR(IF(Y498=0,"",ROUNDUP(Y498/H498,0)*0.01196),"")</f>
        <v>7.1760000000000004E-2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31.988636363636363</v>
      </c>
      <c r="BN498" s="78">
        <f t="shared" si="75"/>
        <v>33.779999999999994</v>
      </c>
      <c r="BO498" s="78">
        <f t="shared" si="76"/>
        <v>5.4632867132867136E-2</v>
      </c>
      <c r="BP498" s="78">
        <f t="shared" si="77"/>
        <v>5.7692307692307696E-2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11.742424242424242</v>
      </c>
      <c r="Y503" s="43">
        <f>IFERROR(Y496/H496,"0")+IFERROR(Y497/H497,"0")+IFERROR(Y498/H498,"0")+IFERROR(Y499/H499,"0")+IFERROR(Y500/H500,"0")+IFERROR(Y501/H501,"0")+IFERROR(Y502/H502,"0")</f>
        <v>13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0.15548000000000001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62</v>
      </c>
      <c r="Y504" s="43">
        <f>IFERROR(SUM(Y496:Y502),"0")</f>
        <v>68.64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10</v>
      </c>
      <c r="Y508" s="55">
        <f>IFERROR(IF(X508="",0,CEILING((X508/$H508),1)*$H508),"")</f>
        <v>12</v>
      </c>
      <c r="Z508" s="41">
        <f>IFERROR(IF(Y508=0,"",ROUNDUP(Y508/H508,0)*0.01898),"")</f>
        <v>1.898E-2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10.341666666666667</v>
      </c>
      <c r="BN508" s="78">
        <f>IFERROR(Y508*I508/H508,"0")</f>
        <v>12.410000000000002</v>
      </c>
      <c r="BO508" s="78">
        <f>IFERROR(1/J508*(X508/H508),"0")</f>
        <v>1.3020833333333334E-2</v>
      </c>
      <c r="BP508" s="78">
        <f>IFERROR(1/J508*(Y508/H508),"0")</f>
        <v>1.5625E-2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0.83333333333333337</v>
      </c>
      <c r="Y509" s="43">
        <f>IFERROR(Y508/H508,"0")</f>
        <v>1</v>
      </c>
      <c r="Z509" s="43">
        <f>IFERROR(IF(Z508="",0,Z508),"0")</f>
        <v>1.898E-2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10</v>
      </c>
      <c r="Y510" s="43">
        <f>IFERROR(SUM(Y508:Y508),"0")</f>
        <v>12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90</v>
      </c>
      <c r="Y516" s="55">
        <f>IFERROR(IF(X516="",0,CEILING((X516/$H516),1)*$H516),"")</f>
        <v>91.2</v>
      </c>
      <c r="Z516" s="41">
        <f>IFERROR(IF(Y516=0,"",ROUNDUP(Y516/H516,0)*0.00902),"")</f>
        <v>0.17138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94.6875</v>
      </c>
      <c r="BN516" s="78">
        <f>IFERROR(Y516*I516/H516,"0")</f>
        <v>95.95</v>
      </c>
      <c r="BO516" s="78">
        <f>IFERROR(1/J516*(X516/H516),"0")</f>
        <v>0.14204545454545456</v>
      </c>
      <c r="BP516" s="78">
        <f>IFERROR(1/J516*(Y516/H516),"0")</f>
        <v>0.14393939393939395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18.75</v>
      </c>
      <c r="Y518" s="43">
        <f>IFERROR(Y516/H516,"0")+IFERROR(Y517/H517,"0")</f>
        <v>19</v>
      </c>
      <c r="Z518" s="43">
        <f>IFERROR(IF(Z516="",0,Z516),"0")+IFERROR(IF(Z517="",0,Z517),"0")</f>
        <v>0.17138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90</v>
      </c>
      <c r="Y519" s="43">
        <f>IFERROR(SUM(Y516:Y517),"0")</f>
        <v>91.2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20</v>
      </c>
      <c r="Y521" s="55">
        <f>IFERROR(IF(X521="",0,CEILING((X521/$H521),1)*$H521),"")</f>
        <v>27</v>
      </c>
      <c r="Z521" s="41">
        <f>IFERROR(IF(Y521=0,"",ROUNDUP(Y521/H521,0)*0.01898),"")</f>
        <v>5.6940000000000004E-2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21.097777777777779</v>
      </c>
      <c r="BN521" s="78">
        <f>IFERROR(Y521*I521/H521,"0")</f>
        <v>28.481999999999996</v>
      </c>
      <c r="BO521" s="78">
        <f>IFERROR(1/J521*(X521/H521),"0")</f>
        <v>3.4722222222222224E-2</v>
      </c>
      <c r="BP521" s="78">
        <f>IFERROR(1/J521*(Y521/H521),"0")</f>
        <v>4.6875E-2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2.2222222222222223</v>
      </c>
      <c r="Y522" s="43">
        <f>IFERROR(Y521/H521,"0")</f>
        <v>3</v>
      </c>
      <c r="Z522" s="43">
        <f>IFERROR(IF(Z521="",0,Z521),"0")</f>
        <v>5.6940000000000004E-2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20</v>
      </c>
      <c r="Y523" s="43">
        <f>IFERROR(SUM(Y521:Y521),"0")</f>
        <v>27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14960.1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15104.26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15687.006771345934</v>
      </c>
      <c r="Y535" s="43">
        <f>IFERROR(SUM(BN22:BN531),"0")</f>
        <v>15837.967999999997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26</v>
      </c>
      <c r="Y536" s="44">
        <f>ROUNDUP(SUM(BP22:BP531),0)</f>
        <v>26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16337.006771345934</v>
      </c>
      <c r="Y537" s="43">
        <f>GrossWeightTotalR+PalletQtyTotalR*25</f>
        <v>16487.967999999997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1839.3510418593753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1859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30.131869999999996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181.60000000000002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1729.2</v>
      </c>
      <c r="F544" s="52">
        <f>IFERROR(Y88*1,"0")+IFERROR(Y89*1,"0")+IFERROR(Y90*1,"0")+IFERROR(Y91*1,"0")+IFERROR(Y95*1,"0")+IFERROR(Y96*1,"0")+IFERROR(Y97*1,"0")+IFERROR(Y98*1,"0")</f>
        <v>351.9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84.6</v>
      </c>
      <c r="H544" s="52">
        <f>IFERROR(Y134*1,"0")+IFERROR(Y135*1,"0")+IFERROR(Y139*1,"0")+IFERROR(Y140*1,"0")+IFERROR(Y144*1,"0")+IFERROR(Y145*1,"0")</f>
        <v>21.2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62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35.700000000000003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246.6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381.6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7497</v>
      </c>
      <c r="U544" s="52">
        <f>IFERROR(Y399*1,"0")+IFERROR(Y400*1,"0")+IFERROR(Y401*1,"0")</f>
        <v>174.60000000000002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3884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18.899999999999999</v>
      </c>
      <c r="Y544" s="52">
        <f>IFERROR(Y466*1,"0")+IFERROR(Y470*1,"0")+IFERROR(Y471*1,"0")+IFERROR(Y472*1,"0")</f>
        <v>4.2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300.95999999999998</v>
      </c>
      <c r="AA544" s="52">
        <f>IFERROR(Y508*1,"0")+IFERROR(Y512*1,"0")+IFERROR(Y516*1,"0")+IFERROR(Y517*1,"0")+IFERROR(Y521*1,"0")+IFERROR(Y525*1,"0")+IFERROR(Y526*1,"0")</f>
        <v>130.19999999999999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5,00"/>
        <filter val="1 009,00"/>
        <filter val="1 524,00"/>
        <filter val="1 580,00"/>
        <filter val="1 839,35"/>
        <filter val="10,00"/>
        <filter val="10,50"/>
        <filter val="10,93"/>
        <filter val="100,00"/>
        <filter val="102,96"/>
        <filter val="11,10"/>
        <filter val="11,74"/>
        <filter val="118,05"/>
        <filter val="119,52"/>
        <filter val="12,00"/>
        <filter val="12,40"/>
        <filter val="12,67"/>
        <filter val="120,00"/>
        <filter val="125,00"/>
        <filter val="13,50"/>
        <filter val="130,40"/>
        <filter val="130,50"/>
        <filter val="14 960,10"/>
        <filter val="140,00"/>
        <filter val="142,00"/>
        <filter val="15 687,01"/>
        <filter val="15,15"/>
        <filter val="16 337,01"/>
        <filter val="16,00"/>
        <filter val="16,80"/>
        <filter val="160,00"/>
        <filter val="163,78"/>
        <filter val="168,80"/>
        <filter val="17,43"/>
        <filter val="170,30"/>
        <filter val="175,00"/>
        <filter val="18,75"/>
        <filter val="18,90"/>
        <filter val="180,00"/>
        <filter val="192,00"/>
        <filter val="2 860,00"/>
        <filter val="2,00"/>
        <filter val="2,22"/>
        <filter val="2,25"/>
        <filter val="20,00"/>
        <filter val="202,50"/>
        <filter val="21,60"/>
        <filter val="210,00"/>
        <filter val="216,50"/>
        <filter val="22,50"/>
        <filter val="220,00"/>
        <filter val="23,31"/>
        <filter val="24,00"/>
        <filter val="25,00"/>
        <filter val="255,00"/>
        <filter val="26"/>
        <filter val="26,89"/>
        <filter val="29,96"/>
        <filter val="3,88"/>
        <filter val="30,00"/>
        <filter val="32,41"/>
        <filter val="33,30"/>
        <filter val="335,00"/>
        <filter val="35,00"/>
        <filter val="366,00"/>
        <filter val="39,56"/>
        <filter val="4 990,00"/>
        <filter val="4,00"/>
        <filter val="4,20"/>
        <filter val="40,00"/>
        <filter val="428,50"/>
        <filter val="435,00"/>
        <filter val="44,00"/>
        <filter val="45,00"/>
        <filter val="48,00"/>
        <filter val="48,80"/>
        <filter val="5 002,00"/>
        <filter val="5,10"/>
        <filter val="5,40"/>
        <filter val="50,00"/>
        <filter val="50,40"/>
        <filter val="511,80"/>
        <filter val="55,00"/>
        <filter val="56,70"/>
        <filter val="57,60"/>
        <filter val="59,00"/>
        <filter val="590,00"/>
        <filter val="6,00"/>
        <filter val="6,30"/>
        <filter val="60,00"/>
        <filter val="61,50"/>
        <filter val="62,00"/>
        <filter val="64,00"/>
        <filter val="643,74"/>
        <filter val="65,22"/>
        <filter val="68,00"/>
        <filter val="7,00"/>
        <filter val="720,50"/>
        <filter val="74,90"/>
        <filter val="76,50"/>
        <filter val="760,00"/>
        <filter val="80,00"/>
        <filter val="835,00"/>
        <filter val="9,00"/>
        <filter val="90,00"/>
        <filter val="95,00"/>
        <filter val="990,00"/>
        <filter val="992,5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2026-07-13T10:46:53Z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