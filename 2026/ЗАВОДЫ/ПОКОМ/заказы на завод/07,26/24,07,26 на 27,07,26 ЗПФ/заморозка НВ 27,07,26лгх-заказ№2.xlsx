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B1B2A82-B4FF-457D-90C4-5A819BF165F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N276" i="1"/>
  <c r="BM276" i="1"/>
  <c r="Z276" i="1"/>
  <c r="Y276" i="1"/>
  <c r="BP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BO272" i="1"/>
  <c r="BN272" i="1"/>
  <c r="BM272" i="1"/>
  <c r="Z272" i="1"/>
  <c r="Y272" i="1"/>
  <c r="BP272" i="1" s="1"/>
  <c r="P272" i="1"/>
  <c r="BO271" i="1"/>
  <c r="BM271" i="1"/>
  <c r="Z271" i="1"/>
  <c r="Y271" i="1"/>
  <c r="P271" i="1"/>
  <c r="BP270" i="1"/>
  <c r="BO270" i="1"/>
  <c r="BM270" i="1"/>
  <c r="Z270" i="1"/>
  <c r="Y270" i="1"/>
  <c r="BN270" i="1" s="1"/>
  <c r="P270" i="1"/>
  <c r="BO269" i="1"/>
  <c r="BM269" i="1"/>
  <c r="Z269" i="1"/>
  <c r="Y269" i="1"/>
  <c r="Y279" i="1" s="1"/>
  <c r="P269" i="1"/>
  <c r="BP268" i="1"/>
  <c r="BO268" i="1"/>
  <c r="BN268" i="1"/>
  <c r="BM268" i="1"/>
  <c r="Z268" i="1"/>
  <c r="Y268" i="1"/>
  <c r="P268" i="1"/>
  <c r="X266" i="1"/>
  <c r="X265" i="1"/>
  <c r="BO264" i="1"/>
  <c r="BM264" i="1"/>
  <c r="Z264" i="1"/>
  <c r="Y264" i="1"/>
  <c r="BP264" i="1" s="1"/>
  <c r="P264" i="1"/>
  <c r="BO263" i="1"/>
  <c r="BM263" i="1"/>
  <c r="Z263" i="1"/>
  <c r="Y263" i="1"/>
  <c r="P263" i="1"/>
  <c r="BO262" i="1"/>
  <c r="BM262" i="1"/>
  <c r="Z262" i="1"/>
  <c r="Y262" i="1"/>
  <c r="BN262" i="1" s="1"/>
  <c r="P262" i="1"/>
  <c r="X260" i="1"/>
  <c r="X259" i="1"/>
  <c r="BO258" i="1"/>
  <c r="BM258" i="1"/>
  <c r="Z258" i="1"/>
  <c r="Z259" i="1" s="1"/>
  <c r="Y258" i="1"/>
  <c r="Y260" i="1" s="1"/>
  <c r="P258" i="1"/>
  <c r="X256" i="1"/>
  <c r="X255" i="1"/>
  <c r="BO254" i="1"/>
  <c r="BN254" i="1"/>
  <c r="BM254" i="1"/>
  <c r="Z254" i="1"/>
  <c r="Y254" i="1"/>
  <c r="BP254" i="1" s="1"/>
  <c r="P254" i="1"/>
  <c r="BO253" i="1"/>
  <c r="BM253" i="1"/>
  <c r="Z253" i="1"/>
  <c r="Y253" i="1"/>
  <c r="P253" i="1"/>
  <c r="X249" i="1"/>
  <c r="X248" i="1"/>
  <c r="BO247" i="1"/>
  <c r="BM247" i="1"/>
  <c r="Z247" i="1"/>
  <c r="Z248" i="1" s="1"/>
  <c r="Y247" i="1"/>
  <c r="Y249" i="1" s="1"/>
  <c r="P247" i="1"/>
  <c r="Y243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Y239" i="1" s="1"/>
  <c r="P237" i="1"/>
  <c r="X233" i="1"/>
  <c r="X232" i="1"/>
  <c r="BO231" i="1"/>
  <c r="BM231" i="1"/>
  <c r="Z231" i="1"/>
  <c r="Z232" i="1" s="1"/>
  <c r="Y231" i="1"/>
  <c r="Y233" i="1" s="1"/>
  <c r="P231" i="1"/>
  <c r="X227" i="1"/>
  <c r="X226" i="1"/>
  <c r="BO225" i="1"/>
  <c r="BM225" i="1"/>
  <c r="Z225" i="1"/>
  <c r="Z226" i="1" s="1"/>
  <c r="Y225" i="1"/>
  <c r="Y227" i="1" s="1"/>
  <c r="P225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Y215" i="1"/>
  <c r="P215" i="1"/>
  <c r="BO214" i="1"/>
  <c r="BM214" i="1"/>
  <c r="Z214" i="1"/>
  <c r="Y214" i="1"/>
  <c r="BP214" i="1" s="1"/>
  <c r="P214" i="1"/>
  <c r="X211" i="1"/>
  <c r="X210" i="1"/>
  <c r="BO209" i="1"/>
  <c r="BM209" i="1"/>
  <c r="Z209" i="1"/>
  <c r="Y209" i="1"/>
  <c r="BN209" i="1" s="1"/>
  <c r="P209" i="1"/>
  <c r="BO208" i="1"/>
  <c r="BM208" i="1"/>
  <c r="Z208" i="1"/>
  <c r="Y208" i="1"/>
  <c r="P208" i="1"/>
  <c r="BO207" i="1"/>
  <c r="BM207" i="1"/>
  <c r="Z207" i="1"/>
  <c r="Y207" i="1"/>
  <c r="BN207" i="1" s="1"/>
  <c r="P207" i="1"/>
  <c r="X205" i="1"/>
  <c r="Y204" i="1"/>
  <c r="X204" i="1"/>
  <c r="BO203" i="1"/>
  <c r="BM203" i="1"/>
  <c r="Z203" i="1"/>
  <c r="Z204" i="1" s="1"/>
  <c r="Y203" i="1"/>
  <c r="Y205" i="1" s="1"/>
  <c r="P203" i="1"/>
  <c r="X199" i="1"/>
  <c r="X198" i="1"/>
  <c r="BO197" i="1"/>
  <c r="BN197" i="1"/>
  <c r="BM197" i="1"/>
  <c r="Z197" i="1"/>
  <c r="Y197" i="1"/>
  <c r="BP197" i="1" s="1"/>
  <c r="P197" i="1"/>
  <c r="BO196" i="1"/>
  <c r="BM196" i="1"/>
  <c r="Z196" i="1"/>
  <c r="Y196" i="1"/>
  <c r="P196" i="1"/>
  <c r="BO195" i="1"/>
  <c r="BM195" i="1"/>
  <c r="Z195" i="1"/>
  <c r="Y195" i="1"/>
  <c r="BP195" i="1" s="1"/>
  <c r="P195" i="1"/>
  <c r="BO194" i="1"/>
  <c r="BM194" i="1"/>
  <c r="Z194" i="1"/>
  <c r="Y194" i="1"/>
  <c r="P194" i="1"/>
  <c r="Y190" i="1"/>
  <c r="X190" i="1"/>
  <c r="X189" i="1"/>
  <c r="BO188" i="1"/>
  <c r="BM188" i="1"/>
  <c r="Z188" i="1"/>
  <c r="Z189" i="1" s="1"/>
  <c r="Y188" i="1"/>
  <c r="P188" i="1"/>
  <c r="X185" i="1"/>
  <c r="X184" i="1"/>
  <c r="BO183" i="1"/>
  <c r="BM183" i="1"/>
  <c r="Z183" i="1"/>
  <c r="Y183" i="1"/>
  <c r="Y185" i="1" s="1"/>
  <c r="P183" i="1"/>
  <c r="BO182" i="1"/>
  <c r="BN182" i="1"/>
  <c r="BM182" i="1"/>
  <c r="Z182" i="1"/>
  <c r="Y182" i="1"/>
  <c r="BP182" i="1" s="1"/>
  <c r="P182" i="1"/>
  <c r="X178" i="1"/>
  <c r="X177" i="1"/>
  <c r="BP176" i="1"/>
  <c r="BO176" i="1"/>
  <c r="BM176" i="1"/>
  <c r="Z176" i="1"/>
  <c r="Z177" i="1" s="1"/>
  <c r="Y176" i="1"/>
  <c r="Y178" i="1" s="1"/>
  <c r="P176" i="1"/>
  <c r="X173" i="1"/>
  <c r="X172" i="1"/>
  <c r="BO171" i="1"/>
  <c r="BN171" i="1"/>
  <c r="BM171" i="1"/>
  <c r="Z171" i="1"/>
  <c r="Z172" i="1" s="1"/>
  <c r="Y171" i="1"/>
  <c r="Y173" i="1" s="1"/>
  <c r="P171" i="1"/>
  <c r="X168" i="1"/>
  <c r="X167" i="1"/>
  <c r="BO166" i="1"/>
  <c r="BN166" i="1"/>
  <c r="BM166" i="1"/>
  <c r="Z166" i="1"/>
  <c r="Z167" i="1" s="1"/>
  <c r="Y166" i="1"/>
  <c r="Y168" i="1" s="1"/>
  <c r="P166" i="1"/>
  <c r="X163" i="1"/>
  <c r="X162" i="1"/>
  <c r="BO161" i="1"/>
  <c r="BM161" i="1"/>
  <c r="Z161" i="1"/>
  <c r="Y161" i="1"/>
  <c r="BP161" i="1" s="1"/>
  <c r="P161" i="1"/>
  <c r="BO160" i="1"/>
  <c r="BM160" i="1"/>
  <c r="Z160" i="1"/>
  <c r="Y160" i="1"/>
  <c r="P160" i="1"/>
  <c r="X157" i="1"/>
  <c r="X156" i="1"/>
  <c r="BO155" i="1"/>
  <c r="BM155" i="1"/>
  <c r="Z155" i="1"/>
  <c r="Z156" i="1" s="1"/>
  <c r="Y155" i="1"/>
  <c r="P155" i="1"/>
  <c r="BO154" i="1"/>
  <c r="BN154" i="1"/>
  <c r="BM154" i="1"/>
  <c r="Z154" i="1"/>
  <c r="Y154" i="1"/>
  <c r="P154" i="1"/>
  <c r="X151" i="1"/>
  <c r="X150" i="1"/>
  <c r="BO149" i="1"/>
  <c r="BM149" i="1"/>
  <c r="Z149" i="1"/>
  <c r="Y149" i="1"/>
  <c r="BN149" i="1" s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BP143" i="1" s="1"/>
  <c r="P143" i="1"/>
  <c r="BO142" i="1"/>
  <c r="BN142" i="1"/>
  <c r="BM142" i="1"/>
  <c r="Z142" i="1"/>
  <c r="Y142" i="1"/>
  <c r="BP142" i="1" s="1"/>
  <c r="P142" i="1"/>
  <c r="BO141" i="1"/>
  <c r="BM141" i="1"/>
  <c r="Z141" i="1"/>
  <c r="Y141" i="1"/>
  <c r="P141" i="1"/>
  <c r="X139" i="1"/>
  <c r="X138" i="1"/>
  <c r="BO137" i="1"/>
  <c r="BM137" i="1"/>
  <c r="Z137" i="1"/>
  <c r="Y137" i="1"/>
  <c r="BP137" i="1" s="1"/>
  <c r="P137" i="1"/>
  <c r="BO136" i="1"/>
  <c r="BM136" i="1"/>
  <c r="Z136" i="1"/>
  <c r="Y136" i="1"/>
  <c r="BP136" i="1" s="1"/>
  <c r="P136" i="1"/>
  <c r="BO135" i="1"/>
  <c r="BM135" i="1"/>
  <c r="Z135" i="1"/>
  <c r="Y135" i="1"/>
  <c r="Y139" i="1" s="1"/>
  <c r="P135" i="1"/>
  <c r="BO134" i="1"/>
  <c r="BN134" i="1"/>
  <c r="BM134" i="1"/>
  <c r="Z134" i="1"/>
  <c r="Y134" i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N125" i="1"/>
  <c r="BM125" i="1"/>
  <c r="Z125" i="1"/>
  <c r="Z126" i="1" s="1"/>
  <c r="Y125" i="1"/>
  <c r="Y127" i="1" s="1"/>
  <c r="P125" i="1"/>
  <c r="X123" i="1"/>
  <c r="X122" i="1"/>
  <c r="BO121" i="1"/>
  <c r="BN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N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P116" i="1"/>
  <c r="BO115" i="1"/>
  <c r="BM115" i="1"/>
  <c r="Z115" i="1"/>
  <c r="Y115" i="1"/>
  <c r="BN115" i="1" s="1"/>
  <c r="P115" i="1"/>
  <c r="X112" i="1"/>
  <c r="X111" i="1"/>
  <c r="BO110" i="1"/>
  <c r="BM110" i="1"/>
  <c r="Z110" i="1"/>
  <c r="Y110" i="1"/>
  <c r="BN110" i="1" s="1"/>
  <c r="P110" i="1"/>
  <c r="BO109" i="1"/>
  <c r="BM109" i="1"/>
  <c r="Z109" i="1"/>
  <c r="Z111" i="1" s="1"/>
  <c r="Y109" i="1"/>
  <c r="P109" i="1"/>
  <c r="X106" i="1"/>
  <c r="X105" i="1"/>
  <c r="BO104" i="1"/>
  <c r="BM104" i="1"/>
  <c r="Z104" i="1"/>
  <c r="Y104" i="1"/>
  <c r="BP104" i="1" s="1"/>
  <c r="P104" i="1"/>
  <c r="BO103" i="1"/>
  <c r="BN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P100" i="1"/>
  <c r="BO99" i="1"/>
  <c r="BN99" i="1"/>
  <c r="BM99" i="1"/>
  <c r="Z99" i="1"/>
  <c r="Y99" i="1"/>
  <c r="P99" i="1"/>
  <c r="X96" i="1"/>
  <c r="X95" i="1"/>
  <c r="BO94" i="1"/>
  <c r="BM94" i="1"/>
  <c r="Z94" i="1"/>
  <c r="Y94" i="1"/>
  <c r="BN94" i="1" s="1"/>
  <c r="P94" i="1"/>
  <c r="BO93" i="1"/>
  <c r="BM93" i="1"/>
  <c r="Z93" i="1"/>
  <c r="Y93" i="1"/>
  <c r="P93" i="1"/>
  <c r="X90" i="1"/>
  <c r="X89" i="1"/>
  <c r="BO88" i="1"/>
  <c r="BM88" i="1"/>
  <c r="Z88" i="1"/>
  <c r="Z89" i="1" s="1"/>
  <c r="Y88" i="1"/>
  <c r="Y90" i="1" s="1"/>
  <c r="P88" i="1"/>
  <c r="X85" i="1"/>
  <c r="X84" i="1"/>
  <c r="BO83" i="1"/>
  <c r="BM83" i="1"/>
  <c r="Z83" i="1"/>
  <c r="Y83" i="1"/>
  <c r="P83" i="1"/>
  <c r="BO82" i="1"/>
  <c r="BN82" i="1"/>
  <c r="BM82" i="1"/>
  <c r="Z82" i="1"/>
  <c r="Y82" i="1"/>
  <c r="P82" i="1"/>
  <c r="X79" i="1"/>
  <c r="X78" i="1"/>
  <c r="BO77" i="1"/>
  <c r="BM77" i="1"/>
  <c r="Z77" i="1"/>
  <c r="Y77" i="1"/>
  <c r="BN77" i="1" s="1"/>
  <c r="P77" i="1"/>
  <c r="BO76" i="1"/>
  <c r="BM76" i="1"/>
  <c r="Z76" i="1"/>
  <c r="Y76" i="1"/>
  <c r="P76" i="1"/>
  <c r="BO75" i="1"/>
  <c r="BM75" i="1"/>
  <c r="Z75" i="1"/>
  <c r="Y75" i="1"/>
  <c r="Y79" i="1" s="1"/>
  <c r="P75" i="1"/>
  <c r="X73" i="1"/>
  <c r="X72" i="1"/>
  <c r="BP71" i="1"/>
  <c r="BO71" i="1"/>
  <c r="BM71" i="1"/>
  <c r="Z71" i="1"/>
  <c r="Y71" i="1"/>
  <c r="BN71" i="1" s="1"/>
  <c r="P71" i="1"/>
  <c r="BO70" i="1"/>
  <c r="BM70" i="1"/>
  <c r="Z70" i="1"/>
  <c r="Y70" i="1"/>
  <c r="P70" i="1"/>
  <c r="X68" i="1"/>
  <c r="X67" i="1"/>
  <c r="BO66" i="1"/>
  <c r="BM66" i="1"/>
  <c r="Z66" i="1"/>
  <c r="Z67" i="1" s="1"/>
  <c r="Y66" i="1"/>
  <c r="Y68" i="1" s="1"/>
  <c r="P66" i="1"/>
  <c r="X64" i="1"/>
  <c r="X63" i="1"/>
  <c r="BO62" i="1"/>
  <c r="BM62" i="1"/>
  <c r="Z62" i="1"/>
  <c r="Z63" i="1" s="1"/>
  <c r="Y62" i="1"/>
  <c r="Y64" i="1" s="1"/>
  <c r="P62" i="1"/>
  <c r="X59" i="1"/>
  <c r="X58" i="1"/>
  <c r="BO57" i="1"/>
  <c r="BM57" i="1"/>
  <c r="Z57" i="1"/>
  <c r="Y57" i="1"/>
  <c r="BP57" i="1" s="1"/>
  <c r="P57" i="1"/>
  <c r="BO56" i="1"/>
  <c r="BM56" i="1"/>
  <c r="Z56" i="1"/>
  <c r="Y56" i="1"/>
  <c r="BN56" i="1" s="1"/>
  <c r="P56" i="1"/>
  <c r="BO55" i="1"/>
  <c r="BM55" i="1"/>
  <c r="Z55" i="1"/>
  <c r="Y55" i="1"/>
  <c r="P55" i="1"/>
  <c r="BO54" i="1"/>
  <c r="BM54" i="1"/>
  <c r="Z54" i="1"/>
  <c r="Y54" i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Y50" i="1" s="1"/>
  <c r="P48" i="1"/>
  <c r="BP47" i="1"/>
  <c r="BO47" i="1"/>
  <c r="BN47" i="1"/>
  <c r="BM47" i="1"/>
  <c r="Z47" i="1"/>
  <c r="Y47" i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P41" i="1"/>
  <c r="X37" i="1"/>
  <c r="X36" i="1"/>
  <c r="BO35" i="1"/>
  <c r="BM35" i="1"/>
  <c r="Z35" i="1"/>
  <c r="Y35" i="1"/>
  <c r="P35" i="1"/>
  <c r="BO34" i="1"/>
  <c r="BM34" i="1"/>
  <c r="Z34" i="1"/>
  <c r="Z36" i="1" s="1"/>
  <c r="Y34" i="1"/>
  <c r="BP34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Z30" i="1" s="1"/>
  <c r="Y22" i="1"/>
  <c r="P22" i="1"/>
  <c r="H10" i="1"/>
  <c r="A9" i="1"/>
  <c r="A10" i="1" s="1"/>
  <c r="D7" i="1"/>
  <c r="Q6" i="1"/>
  <c r="P2" i="1"/>
  <c r="Y167" i="1" l="1"/>
  <c r="Y122" i="1"/>
  <c r="BP125" i="1"/>
  <c r="Y85" i="1"/>
  <c r="BN101" i="1"/>
  <c r="Y126" i="1"/>
  <c r="BN264" i="1"/>
  <c r="BN34" i="1"/>
  <c r="BN136" i="1"/>
  <c r="BN274" i="1"/>
  <c r="BN161" i="1"/>
  <c r="BN203" i="1"/>
  <c r="X282" i="1"/>
  <c r="BN117" i="1"/>
  <c r="Y172" i="1"/>
  <c r="BN195" i="1"/>
  <c r="Z278" i="1"/>
  <c r="Y37" i="1"/>
  <c r="Z50" i="1"/>
  <c r="Y58" i="1"/>
  <c r="Y106" i="1"/>
  <c r="Z138" i="1"/>
  <c r="BN214" i="1"/>
  <c r="Z95" i="1"/>
  <c r="Y144" i="1"/>
  <c r="Y217" i="1"/>
  <c r="Z43" i="1"/>
  <c r="Z144" i="1"/>
  <c r="BP166" i="1"/>
  <c r="Y30" i="1"/>
  <c r="BN23" i="1"/>
  <c r="BN25" i="1"/>
  <c r="BN27" i="1"/>
  <c r="BN29" i="1"/>
  <c r="X280" i="1"/>
  <c r="Y43" i="1"/>
  <c r="BN42" i="1"/>
  <c r="Z58" i="1"/>
  <c r="BP54" i="1"/>
  <c r="BP56" i="1"/>
  <c r="Z78" i="1"/>
  <c r="BP75" i="1"/>
  <c r="BP77" i="1"/>
  <c r="Y84" i="1"/>
  <c r="BP94" i="1"/>
  <c r="Y105" i="1"/>
  <c r="BP110" i="1"/>
  <c r="Y123" i="1"/>
  <c r="BP129" i="1"/>
  <c r="BP149" i="1"/>
  <c r="Y156" i="1"/>
  <c r="Z210" i="1"/>
  <c r="BP207" i="1"/>
  <c r="BP209" i="1"/>
  <c r="BP258" i="1"/>
  <c r="Y72" i="1"/>
  <c r="Z84" i="1"/>
  <c r="BP82" i="1"/>
  <c r="Z105" i="1"/>
  <c r="BP99" i="1"/>
  <c r="Z122" i="1"/>
  <c r="BP115" i="1"/>
  <c r="Y138" i="1"/>
  <c r="BP154" i="1"/>
  <c r="BP171" i="1"/>
  <c r="BN176" i="1"/>
  <c r="Y177" i="1"/>
  <c r="Z184" i="1"/>
  <c r="Z216" i="1"/>
  <c r="Y266" i="1"/>
  <c r="X281" i="1"/>
  <c r="Y36" i="1"/>
  <c r="Y51" i="1"/>
  <c r="BN54" i="1"/>
  <c r="Y59" i="1"/>
  <c r="Z72" i="1"/>
  <c r="BN75" i="1"/>
  <c r="Y78" i="1"/>
  <c r="Y95" i="1"/>
  <c r="Y111" i="1"/>
  <c r="BN129" i="1"/>
  <c r="Y130" i="1"/>
  <c r="BP134" i="1"/>
  <c r="Y157" i="1"/>
  <c r="BP203" i="1"/>
  <c r="Z255" i="1"/>
  <c r="BN258" i="1"/>
  <c r="Y259" i="1"/>
  <c r="Z265" i="1"/>
  <c r="BP262" i="1"/>
  <c r="Y278" i="1"/>
  <c r="F9" i="1"/>
  <c r="J9" i="1"/>
  <c r="F10" i="1"/>
  <c r="BN22" i="1"/>
  <c r="BP22" i="1"/>
  <c r="BN24" i="1"/>
  <c r="BN26" i="1"/>
  <c r="BN28" i="1"/>
  <c r="X284" i="1"/>
  <c r="Y31" i="1"/>
  <c r="BN35" i="1"/>
  <c r="BP35" i="1"/>
  <c r="BN41" i="1"/>
  <c r="BP41" i="1"/>
  <c r="Y44" i="1"/>
  <c r="BN48" i="1"/>
  <c r="BP48" i="1"/>
  <c r="BN55" i="1"/>
  <c r="BP55" i="1"/>
  <c r="BN57" i="1"/>
  <c r="BN62" i="1"/>
  <c r="BP62" i="1"/>
  <c r="Y63" i="1"/>
  <c r="BN66" i="1"/>
  <c r="BP66" i="1"/>
  <c r="Y67" i="1"/>
  <c r="BN70" i="1"/>
  <c r="BP70" i="1"/>
  <c r="Y73" i="1"/>
  <c r="BN76" i="1"/>
  <c r="BP76" i="1"/>
  <c r="BN83" i="1"/>
  <c r="BP83" i="1"/>
  <c r="BN88" i="1"/>
  <c r="BP88" i="1"/>
  <c r="Y89" i="1"/>
  <c r="BN93" i="1"/>
  <c r="BP93" i="1"/>
  <c r="Y96" i="1"/>
  <c r="BN100" i="1"/>
  <c r="BP100" i="1"/>
  <c r="BN102" i="1"/>
  <c r="BN104" i="1"/>
  <c r="BN109" i="1"/>
  <c r="BP109" i="1"/>
  <c r="Y112" i="1"/>
  <c r="BN116" i="1"/>
  <c r="BP116" i="1"/>
  <c r="BN118" i="1"/>
  <c r="BN120" i="1"/>
  <c r="BN135" i="1"/>
  <c r="BP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Y184" i="1"/>
  <c r="Y189" i="1"/>
  <c r="BP188" i="1"/>
  <c r="BN188" i="1"/>
  <c r="Z198" i="1"/>
  <c r="Y211" i="1"/>
  <c r="Y216" i="1"/>
  <c r="Y221" i="1"/>
  <c r="BP220" i="1"/>
  <c r="BN220" i="1"/>
  <c r="Y232" i="1"/>
  <c r="BP231" i="1"/>
  <c r="BN231" i="1"/>
  <c r="Y242" i="1"/>
  <c r="BP241" i="1"/>
  <c r="BN241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H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X283" i="1" l="1"/>
  <c r="Z285" i="1"/>
  <c r="Y284" i="1"/>
  <c r="Y280" i="1"/>
  <c r="Y281" i="1"/>
  <c r="Y282" i="1"/>
  <c r="Y283" i="1" l="1"/>
  <c r="A293" i="1" s="1"/>
  <c r="C293" i="1"/>
  <c r="B293" i="1"/>
</calcChain>
</file>

<file path=xl/sharedStrings.xml><?xml version="1.0" encoding="utf-8"?>
<sst xmlns="http://schemas.openxmlformats.org/spreadsheetml/2006/main" count="1294" uniqueCount="418">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</sst>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48" t="s">
        <v>0</v>
      </c>
      <c r="E1" s="297"/>
      <c r="F1" s="297"/>
      <c r="G1" s="12" t="s">
        <v>1</v>
      </c>
      <c r="H1" s="348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309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06"/>
      <c r="R2" s="306"/>
      <c r="S2" s="306"/>
      <c r="T2" s="306"/>
      <c r="U2" s="306"/>
      <c r="V2" s="306"/>
      <c r="W2" s="306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06"/>
      <c r="Q3" s="306"/>
      <c r="R3" s="306"/>
      <c r="S3" s="306"/>
      <c r="T3" s="306"/>
      <c r="U3" s="306"/>
      <c r="V3" s="306"/>
      <c r="W3" s="306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65" t="s">
        <v>8</v>
      </c>
      <c r="B5" s="300"/>
      <c r="C5" s="301"/>
      <c r="D5" s="352"/>
      <c r="E5" s="353"/>
      <c r="F5" s="453" t="s">
        <v>9</v>
      </c>
      <c r="G5" s="301"/>
      <c r="H5" s="352" t="s">
        <v>417</v>
      </c>
      <c r="I5" s="426"/>
      <c r="J5" s="426"/>
      <c r="K5" s="426"/>
      <c r="L5" s="426"/>
      <c r="M5" s="353"/>
      <c r="N5" s="61"/>
      <c r="P5" s="24" t="s">
        <v>10</v>
      </c>
      <c r="Q5" s="466">
        <v>46230</v>
      </c>
      <c r="R5" s="327"/>
      <c r="T5" s="384" t="s">
        <v>11</v>
      </c>
      <c r="U5" s="385"/>
      <c r="V5" s="387" t="s">
        <v>12</v>
      </c>
      <c r="W5" s="327"/>
      <c r="AB5" s="51"/>
      <c r="AC5" s="51"/>
      <c r="AD5" s="51"/>
      <c r="AE5" s="51"/>
    </row>
    <row r="6" spans="1:32" s="272" customFormat="1" ht="24" customHeight="1" x14ac:dyDescent="0.2">
      <c r="A6" s="365" t="s">
        <v>13</v>
      </c>
      <c r="B6" s="300"/>
      <c r="C6" s="301"/>
      <c r="D6" s="428" t="s">
        <v>395</v>
      </c>
      <c r="E6" s="429"/>
      <c r="F6" s="429"/>
      <c r="G6" s="429"/>
      <c r="H6" s="429"/>
      <c r="I6" s="429"/>
      <c r="J6" s="429"/>
      <c r="K6" s="429"/>
      <c r="L6" s="429"/>
      <c r="M6" s="327"/>
      <c r="N6" s="62"/>
      <c r="P6" s="24" t="s">
        <v>14</v>
      </c>
      <c r="Q6" s="470" t="str">
        <f>IF(Q5=0," ",CHOOSE(WEEKDAY(Q5,2),"Понедельник","Вторник","Среда","Четверг","Пятница","Суббота","Воскресенье"))</f>
        <v>Понедельник</v>
      </c>
      <c r="R6" s="311"/>
      <c r="T6" s="389" t="s">
        <v>15</v>
      </c>
      <c r="U6" s="385"/>
      <c r="V6" s="408" t="s">
        <v>16</v>
      </c>
      <c r="W6" s="321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33" t="str">
        <f>IFERROR(VLOOKUP(DeliveryAddress,Table,3,0),1)</f>
        <v>4</v>
      </c>
      <c r="E7" s="334"/>
      <c r="F7" s="334"/>
      <c r="G7" s="334"/>
      <c r="H7" s="334"/>
      <c r="I7" s="334"/>
      <c r="J7" s="334"/>
      <c r="K7" s="334"/>
      <c r="L7" s="334"/>
      <c r="M7" s="335"/>
      <c r="N7" s="63"/>
      <c r="P7" s="24"/>
      <c r="Q7" s="42"/>
      <c r="R7" s="42"/>
      <c r="T7" s="306"/>
      <c r="U7" s="385"/>
      <c r="V7" s="409"/>
      <c r="W7" s="410"/>
      <c r="AB7" s="51"/>
      <c r="AC7" s="51"/>
      <c r="AD7" s="51"/>
      <c r="AE7" s="51"/>
    </row>
    <row r="8" spans="1:32" s="272" customFormat="1" ht="25.5" customHeight="1" x14ac:dyDescent="0.2">
      <c r="A8" s="416" t="s">
        <v>17</v>
      </c>
      <c r="B8" s="287"/>
      <c r="C8" s="288"/>
      <c r="D8" s="340"/>
      <c r="E8" s="341"/>
      <c r="F8" s="341"/>
      <c r="G8" s="341"/>
      <c r="H8" s="341"/>
      <c r="I8" s="341"/>
      <c r="J8" s="341"/>
      <c r="K8" s="341"/>
      <c r="L8" s="341"/>
      <c r="M8" s="342"/>
      <c r="N8" s="64"/>
      <c r="P8" s="24" t="s">
        <v>18</v>
      </c>
      <c r="Q8" s="371">
        <v>0.41666666666666669</v>
      </c>
      <c r="R8" s="335"/>
      <c r="T8" s="306"/>
      <c r="U8" s="385"/>
      <c r="V8" s="409"/>
      <c r="W8" s="410"/>
      <c r="AB8" s="51"/>
      <c r="AC8" s="51"/>
      <c r="AD8" s="51"/>
      <c r="AE8" s="51"/>
    </row>
    <row r="9" spans="1:32" s="272" customFormat="1" ht="39.950000000000003" customHeight="1" x14ac:dyDescent="0.2">
      <c r="A9" s="3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78"/>
      <c r="E9" s="285"/>
      <c r="F9" s="3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6" t="s">
        <v>19</v>
      </c>
      <c r="Q9" s="293"/>
      <c r="R9" s="294"/>
      <c r="T9" s="306"/>
      <c r="U9" s="385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78"/>
      <c r="E10" s="285"/>
      <c r="F10" s="3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406" t="str">
        <f>IFERROR(VLOOKUP($D$10,Proxy,2,FALSE),"")</f>
        <v/>
      </c>
      <c r="I10" s="306"/>
      <c r="J10" s="306"/>
      <c r="K10" s="306"/>
      <c r="L10" s="306"/>
      <c r="M10" s="306"/>
      <c r="N10" s="271"/>
      <c r="P10" s="26" t="s">
        <v>20</v>
      </c>
      <c r="Q10" s="390"/>
      <c r="R10" s="391"/>
      <c r="U10" s="24" t="s">
        <v>21</v>
      </c>
      <c r="V10" s="320" t="s">
        <v>22</v>
      </c>
      <c r="W10" s="321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26"/>
      <c r="R11" s="327"/>
      <c r="U11" s="24" t="s">
        <v>25</v>
      </c>
      <c r="V11" s="414" t="s">
        <v>26</v>
      </c>
      <c r="W11" s="294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299" t="s">
        <v>27</v>
      </c>
      <c r="B12" s="300"/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301"/>
      <c r="N12" s="65"/>
      <c r="P12" s="24" t="s">
        <v>28</v>
      </c>
      <c r="Q12" s="371"/>
      <c r="R12" s="335"/>
      <c r="S12" s="23"/>
      <c r="U12" s="24"/>
      <c r="V12" s="297"/>
      <c r="W12" s="306"/>
      <c r="AB12" s="51"/>
      <c r="AC12" s="51"/>
      <c r="AD12" s="51"/>
      <c r="AE12" s="51"/>
    </row>
    <row r="13" spans="1:32" s="272" customFormat="1" ht="23.25" customHeight="1" x14ac:dyDescent="0.2">
      <c r="A13" s="299" t="s">
        <v>29</v>
      </c>
      <c r="B13" s="300"/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1"/>
      <c r="N13" s="65"/>
      <c r="O13" s="26"/>
      <c r="P13" s="26" t="s">
        <v>30</v>
      </c>
      <c r="Q13" s="414"/>
      <c r="R13" s="2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299" t="s">
        <v>31</v>
      </c>
      <c r="B14" s="300"/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3" t="s">
        <v>32</v>
      </c>
      <c r="B15" s="300"/>
      <c r="C15" s="300"/>
      <c r="D15" s="300"/>
      <c r="E15" s="300"/>
      <c r="F15" s="300"/>
      <c r="G15" s="300"/>
      <c r="H15" s="300"/>
      <c r="I15" s="300"/>
      <c r="J15" s="300"/>
      <c r="K15" s="300"/>
      <c r="L15" s="300"/>
      <c r="M15" s="301"/>
      <c r="N15" s="66"/>
      <c r="P15" s="29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98"/>
      <c r="Q16" s="298"/>
      <c r="R16" s="298"/>
      <c r="S16" s="298"/>
      <c r="T16" s="2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5" t="s">
        <v>34</v>
      </c>
      <c r="B17" s="315" t="s">
        <v>35</v>
      </c>
      <c r="C17" s="375" t="s">
        <v>36</v>
      </c>
      <c r="D17" s="315" t="s">
        <v>37</v>
      </c>
      <c r="E17" s="358"/>
      <c r="F17" s="315" t="s">
        <v>38</v>
      </c>
      <c r="G17" s="315" t="s">
        <v>39</v>
      </c>
      <c r="H17" s="315" t="s">
        <v>40</v>
      </c>
      <c r="I17" s="315" t="s">
        <v>41</v>
      </c>
      <c r="J17" s="315" t="s">
        <v>42</v>
      </c>
      <c r="K17" s="315" t="s">
        <v>43</v>
      </c>
      <c r="L17" s="315" t="s">
        <v>44</v>
      </c>
      <c r="M17" s="315" t="s">
        <v>45</v>
      </c>
      <c r="N17" s="315" t="s">
        <v>46</v>
      </c>
      <c r="O17" s="315" t="s">
        <v>47</v>
      </c>
      <c r="P17" s="315" t="s">
        <v>48</v>
      </c>
      <c r="Q17" s="357"/>
      <c r="R17" s="357"/>
      <c r="S17" s="357"/>
      <c r="T17" s="358"/>
      <c r="U17" s="463" t="s">
        <v>49</v>
      </c>
      <c r="V17" s="301"/>
      <c r="W17" s="315" t="s">
        <v>50</v>
      </c>
      <c r="X17" s="315" t="s">
        <v>51</v>
      </c>
      <c r="Y17" s="464" t="s">
        <v>52</v>
      </c>
      <c r="Z17" s="419" t="s">
        <v>53</v>
      </c>
      <c r="AA17" s="404" t="s">
        <v>54</v>
      </c>
      <c r="AB17" s="404" t="s">
        <v>55</v>
      </c>
      <c r="AC17" s="404" t="s">
        <v>56</v>
      </c>
      <c r="AD17" s="404" t="s">
        <v>57</v>
      </c>
      <c r="AE17" s="448"/>
      <c r="AF17" s="449"/>
      <c r="AG17" s="69"/>
      <c r="BD17" s="68" t="s">
        <v>58</v>
      </c>
    </row>
    <row r="18" spans="1:68" ht="14.25" customHeight="1" x14ac:dyDescent="0.2">
      <c r="A18" s="316"/>
      <c r="B18" s="316"/>
      <c r="C18" s="316"/>
      <c r="D18" s="359"/>
      <c r="E18" s="361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59"/>
      <c r="Q18" s="360"/>
      <c r="R18" s="360"/>
      <c r="S18" s="360"/>
      <c r="T18" s="361"/>
      <c r="U18" s="70" t="s">
        <v>59</v>
      </c>
      <c r="V18" s="70" t="s">
        <v>60</v>
      </c>
      <c r="W18" s="316"/>
      <c r="X18" s="316"/>
      <c r="Y18" s="465"/>
      <c r="Z18" s="420"/>
      <c r="AA18" s="405"/>
      <c r="AB18" s="405"/>
      <c r="AC18" s="405"/>
      <c r="AD18" s="450"/>
      <c r="AE18" s="451"/>
      <c r="AF18" s="452"/>
      <c r="AG18" s="69"/>
      <c r="BD18" s="68"/>
    </row>
    <row r="19" spans="1:68" ht="27.75" hidden="1" customHeight="1" x14ac:dyDescent="0.2">
      <c r="A19" s="302" t="s">
        <v>61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48"/>
      <c r="AB19" s="48"/>
      <c r="AC19" s="48"/>
    </row>
    <row r="20" spans="1:68" ht="16.5" hidden="1" customHeight="1" x14ac:dyDescent="0.25">
      <c r="A20" s="317" t="s">
        <v>61</v>
      </c>
      <c r="B20" s="306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273"/>
      <c r="AB20" s="273"/>
      <c r="AC20" s="273"/>
    </row>
    <row r="21" spans="1:68" ht="14.25" hidden="1" customHeight="1" x14ac:dyDescent="0.25">
      <c r="A21" s="308" t="s">
        <v>62</v>
      </c>
      <c r="B21" s="306"/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310">
        <v>4620207491508</v>
      </c>
      <c r="E22" s="311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310">
        <v>4620207491256</v>
      </c>
      <c r="E23" s="311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9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4"/>
      <c r="V23" s="34"/>
      <c r="W23" s="35" t="s">
        <v>68</v>
      </c>
      <c r="X23" s="278">
        <v>24</v>
      </c>
      <c r="Y23" s="279">
        <f t="shared" si="0"/>
        <v>24</v>
      </c>
      <c r="Z23" s="36">
        <f t="shared" si="1"/>
        <v>0.372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310">
        <v>4620207491713</v>
      </c>
      <c r="E24" s="311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310">
        <v>4620207491720</v>
      </c>
      <c r="E25" s="311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310">
        <v>4607111035912</v>
      </c>
      <c r="E26" s="311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310">
        <v>4607111035929</v>
      </c>
      <c r="E27" s="311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310">
        <v>4607111035882</v>
      </c>
      <c r="E28" s="311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1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310">
        <v>4607111035905</v>
      </c>
      <c r="E29" s="311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3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4"/>
      <c r="V29" s="34"/>
      <c r="W29" s="35" t="s">
        <v>68</v>
      </c>
      <c r="X29" s="278">
        <v>12</v>
      </c>
      <c r="Y29" s="279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305"/>
      <c r="B30" s="306"/>
      <c r="C30" s="306"/>
      <c r="D30" s="306"/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7"/>
      <c r="P30" s="286" t="s">
        <v>87</v>
      </c>
      <c r="Q30" s="287"/>
      <c r="R30" s="287"/>
      <c r="S30" s="287"/>
      <c r="T30" s="287"/>
      <c r="U30" s="287"/>
      <c r="V30" s="288"/>
      <c r="W30" s="37" t="s">
        <v>68</v>
      </c>
      <c r="X30" s="280">
        <f>IFERROR(SUM(X22:X29),"0")</f>
        <v>36</v>
      </c>
      <c r="Y30" s="280">
        <f>IFERROR(SUM(Y22:Y29),"0")</f>
        <v>36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81"/>
      <c r="AB30" s="281"/>
      <c r="AC30" s="281"/>
    </row>
    <row r="31" spans="1:68" x14ac:dyDescent="0.2">
      <c r="A31" s="306"/>
      <c r="B31" s="306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7"/>
      <c r="P31" s="286" t="s">
        <v>87</v>
      </c>
      <c r="Q31" s="287"/>
      <c r="R31" s="287"/>
      <c r="S31" s="287"/>
      <c r="T31" s="287"/>
      <c r="U31" s="287"/>
      <c r="V31" s="288"/>
      <c r="W31" s="37" t="s">
        <v>88</v>
      </c>
      <c r="X31" s="280">
        <f>IFERROR(SUMPRODUCT(X22:X29*H22:H29),"0")</f>
        <v>240.00000000000003</v>
      </c>
      <c r="Y31" s="280">
        <f>IFERROR(SUMPRODUCT(Y22:Y29*H22:H29),"0")</f>
        <v>240.00000000000003</v>
      </c>
      <c r="Z31" s="37"/>
      <c r="AA31" s="281"/>
      <c r="AB31" s="281"/>
      <c r="AC31" s="281"/>
    </row>
    <row r="32" spans="1:68" ht="16.5" hidden="1" customHeight="1" x14ac:dyDescent="0.25">
      <c r="A32" s="317" t="s">
        <v>89</v>
      </c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273"/>
      <c r="AB32" s="273"/>
      <c r="AC32" s="273"/>
    </row>
    <row r="33" spans="1:68" ht="14.25" hidden="1" customHeight="1" x14ac:dyDescent="0.25">
      <c r="A33" s="308" t="s">
        <v>62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310">
        <v>4607111039019</v>
      </c>
      <c r="E34" s="311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310">
        <v>4607111038708</v>
      </c>
      <c r="E35" s="311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5"/>
      <c r="B36" s="306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7"/>
      <c r="P36" s="286" t="s">
        <v>87</v>
      </c>
      <c r="Q36" s="287"/>
      <c r="R36" s="287"/>
      <c r="S36" s="287"/>
      <c r="T36" s="287"/>
      <c r="U36" s="287"/>
      <c r="V36" s="288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306"/>
      <c r="B37" s="306"/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07"/>
      <c r="P37" s="286" t="s">
        <v>87</v>
      </c>
      <c r="Q37" s="287"/>
      <c r="R37" s="287"/>
      <c r="S37" s="287"/>
      <c r="T37" s="287"/>
      <c r="U37" s="287"/>
      <c r="V37" s="288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02" t="s">
        <v>95</v>
      </c>
      <c r="B38" s="303"/>
      <c r="C38" s="303"/>
      <c r="D38" s="303"/>
      <c r="E38" s="303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3"/>
      <c r="Y38" s="303"/>
      <c r="Z38" s="303"/>
      <c r="AA38" s="48"/>
      <c r="AB38" s="48"/>
      <c r="AC38" s="48"/>
    </row>
    <row r="39" spans="1:68" ht="16.5" hidden="1" customHeight="1" x14ac:dyDescent="0.25">
      <c r="A39" s="317" t="s">
        <v>96</v>
      </c>
      <c r="B39" s="306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273"/>
      <c r="AB39" s="273"/>
      <c r="AC39" s="273"/>
    </row>
    <row r="40" spans="1:68" ht="14.25" hidden="1" customHeight="1" x14ac:dyDescent="0.25">
      <c r="A40" s="308" t="s">
        <v>97</v>
      </c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310">
        <v>4607111036537</v>
      </c>
      <c r="E41" s="311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1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4"/>
      <c r="V41" s="34"/>
      <c r="W41" s="35" t="s">
        <v>68</v>
      </c>
      <c r="X41" s="278">
        <v>28</v>
      </c>
      <c r="Y41" s="279">
        <f>IFERROR(IF(X41="","",X41),"")</f>
        <v>28</v>
      </c>
      <c r="Z41" s="36">
        <f>IFERROR(IF(X41="","",X41*0.00941),"")</f>
        <v>0.26347999999999999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53.810400000000001</v>
      </c>
      <c r="BN41" s="67">
        <f>IFERROR(Y41*I41,"0")</f>
        <v>53.810400000000001</v>
      </c>
      <c r="BO41" s="67">
        <f>IFERROR(X41/J41,"0")</f>
        <v>0.2</v>
      </c>
      <c r="BP41" s="67">
        <f>IFERROR(Y41/J41,"0")</f>
        <v>0.2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310">
        <v>4607111036605</v>
      </c>
      <c r="E42" s="311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5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4"/>
      <c r="V42" s="34"/>
      <c r="W42" s="35" t="s">
        <v>68</v>
      </c>
      <c r="X42" s="278">
        <v>14</v>
      </c>
      <c r="Y42" s="279">
        <f>IFERROR(IF(X42="","",X42),"")</f>
        <v>14</v>
      </c>
      <c r="Z42" s="36">
        <f>IFERROR(IF(X42="","",X42*0.00941),"")</f>
        <v>0.13174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26.905200000000001</v>
      </c>
      <c r="BN42" s="67">
        <f>IFERROR(Y42*I42,"0")</f>
        <v>26.905200000000001</v>
      </c>
      <c r="BO42" s="67">
        <f>IFERROR(X42/J42,"0")</f>
        <v>0.1</v>
      </c>
      <c r="BP42" s="67">
        <f>IFERROR(Y42/J42,"0")</f>
        <v>0.1</v>
      </c>
    </row>
    <row r="43" spans="1:68" x14ac:dyDescent="0.2">
      <c r="A43" s="305"/>
      <c r="B43" s="306"/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7"/>
      <c r="P43" s="286" t="s">
        <v>87</v>
      </c>
      <c r="Q43" s="287"/>
      <c r="R43" s="287"/>
      <c r="S43" s="287"/>
      <c r="T43" s="287"/>
      <c r="U43" s="287"/>
      <c r="V43" s="288"/>
      <c r="W43" s="37" t="s">
        <v>68</v>
      </c>
      <c r="X43" s="280">
        <f>IFERROR(SUM(X41:X42),"0")</f>
        <v>42</v>
      </c>
      <c r="Y43" s="280">
        <f>IFERROR(SUM(Y41:Y42),"0")</f>
        <v>42</v>
      </c>
      <c r="Z43" s="280">
        <f>IFERROR(IF(Z41="",0,Z41),"0")+IFERROR(IF(Z42="",0,Z42),"0")</f>
        <v>0.39522000000000002</v>
      </c>
      <c r="AA43" s="281"/>
      <c r="AB43" s="281"/>
      <c r="AC43" s="281"/>
    </row>
    <row r="44" spans="1:68" x14ac:dyDescent="0.2">
      <c r="A44" s="306"/>
      <c r="B44" s="306"/>
      <c r="C44" s="306"/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7"/>
      <c r="P44" s="286" t="s">
        <v>87</v>
      </c>
      <c r="Q44" s="287"/>
      <c r="R44" s="287"/>
      <c r="S44" s="287"/>
      <c r="T44" s="287"/>
      <c r="U44" s="287"/>
      <c r="V44" s="288"/>
      <c r="W44" s="37" t="s">
        <v>88</v>
      </c>
      <c r="X44" s="280">
        <f>IFERROR(SUMPRODUCT(X41:X42*H41:H42),"0")</f>
        <v>63</v>
      </c>
      <c r="Y44" s="280">
        <f>IFERROR(SUMPRODUCT(Y41:Y42*H41:H42),"0")</f>
        <v>63</v>
      </c>
      <c r="Z44" s="37"/>
      <c r="AA44" s="281"/>
      <c r="AB44" s="281"/>
      <c r="AC44" s="281"/>
    </row>
    <row r="45" spans="1:68" ht="16.5" hidden="1" customHeight="1" x14ac:dyDescent="0.25">
      <c r="A45" s="317" t="s">
        <v>107</v>
      </c>
      <c r="B45" s="306"/>
      <c r="C45" s="306"/>
      <c r="D45" s="306"/>
      <c r="E45" s="306"/>
      <c r="F45" s="306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273"/>
      <c r="AB45" s="273"/>
      <c r="AC45" s="273"/>
    </row>
    <row r="46" spans="1:68" ht="14.25" hidden="1" customHeight="1" x14ac:dyDescent="0.25">
      <c r="A46" s="308" t="s">
        <v>62</v>
      </c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  <c r="W46" s="306"/>
      <c r="X46" s="306"/>
      <c r="Y46" s="306"/>
      <c r="Z46" s="306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310">
        <v>4620207490075</v>
      </c>
      <c r="E47" s="311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5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68</v>
      </c>
      <c r="X47" s="278">
        <v>12</v>
      </c>
      <c r="Y47" s="27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310">
        <v>4620207490174</v>
      </c>
      <c r="E48" s="311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4"/>
      <c r="V48" s="34"/>
      <c r="W48" s="35" t="s">
        <v>68</v>
      </c>
      <c r="X48" s="278">
        <v>36</v>
      </c>
      <c r="Y48" s="279">
        <f>IFERROR(IF(X48="","",X48),"")</f>
        <v>36</v>
      </c>
      <c r="Z48" s="36">
        <f>IFERROR(IF(X48="","",X48*0.0155),"")</f>
        <v>0.55800000000000005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211.32</v>
      </c>
      <c r="BN48" s="67">
        <f>IFERROR(Y48*I48,"0")</f>
        <v>211.32</v>
      </c>
      <c r="BO48" s="67">
        <f>IFERROR(X48/J48,"0")</f>
        <v>0.42857142857142855</v>
      </c>
      <c r="BP48" s="67">
        <f>IFERROR(Y48/J48,"0")</f>
        <v>0.42857142857142855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310">
        <v>4620207490044</v>
      </c>
      <c r="E49" s="311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0"/>
      <c r="R49" s="290"/>
      <c r="S49" s="290"/>
      <c r="T49" s="291"/>
      <c r="U49" s="34"/>
      <c r="V49" s="34"/>
      <c r="W49" s="35" t="s">
        <v>68</v>
      </c>
      <c r="X49" s="278">
        <v>24</v>
      </c>
      <c r="Y49" s="279">
        <f>IFERROR(IF(X49="","",X49),"")</f>
        <v>24</v>
      </c>
      <c r="Z49" s="36">
        <f>IFERROR(IF(X49="","",X49*0.0155),"")</f>
        <v>0.372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140.88</v>
      </c>
      <c r="BN49" s="67">
        <f>IFERROR(Y49*I49,"0")</f>
        <v>140.88</v>
      </c>
      <c r="BO49" s="67">
        <f>IFERROR(X49/J49,"0")</f>
        <v>0.2857142857142857</v>
      </c>
      <c r="BP49" s="67">
        <f>IFERROR(Y49/J49,"0")</f>
        <v>0.2857142857142857</v>
      </c>
    </row>
    <row r="50" spans="1:68" x14ac:dyDescent="0.2">
      <c r="A50" s="305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7"/>
      <c r="P50" s="286" t="s">
        <v>87</v>
      </c>
      <c r="Q50" s="287"/>
      <c r="R50" s="287"/>
      <c r="S50" s="287"/>
      <c r="T50" s="287"/>
      <c r="U50" s="287"/>
      <c r="V50" s="288"/>
      <c r="W50" s="37" t="s">
        <v>68</v>
      </c>
      <c r="X50" s="280">
        <f>IFERROR(SUM(X47:X49),"0")</f>
        <v>72</v>
      </c>
      <c r="Y50" s="280">
        <f>IFERROR(SUM(Y47:Y49),"0")</f>
        <v>72</v>
      </c>
      <c r="Z50" s="280">
        <f>IFERROR(IF(Z47="",0,Z47),"0")+IFERROR(IF(Z48="",0,Z48),"0")+IFERROR(IF(Z49="",0,Z49),"0")</f>
        <v>1.1160000000000001</v>
      </c>
      <c r="AA50" s="281"/>
      <c r="AB50" s="281"/>
      <c r="AC50" s="281"/>
    </row>
    <row r="51" spans="1:68" x14ac:dyDescent="0.2">
      <c r="A51" s="306"/>
      <c r="B51" s="306"/>
      <c r="C51" s="306"/>
      <c r="D51" s="306"/>
      <c r="E51" s="306"/>
      <c r="F51" s="306"/>
      <c r="G51" s="306"/>
      <c r="H51" s="306"/>
      <c r="I51" s="306"/>
      <c r="J51" s="306"/>
      <c r="K51" s="306"/>
      <c r="L51" s="306"/>
      <c r="M51" s="306"/>
      <c r="N51" s="306"/>
      <c r="O51" s="307"/>
      <c r="P51" s="286" t="s">
        <v>87</v>
      </c>
      <c r="Q51" s="287"/>
      <c r="R51" s="287"/>
      <c r="S51" s="287"/>
      <c r="T51" s="287"/>
      <c r="U51" s="287"/>
      <c r="V51" s="288"/>
      <c r="W51" s="37" t="s">
        <v>88</v>
      </c>
      <c r="X51" s="280">
        <f>IFERROR(SUMPRODUCT(X47:X49*H47:H49),"0")</f>
        <v>403.19999999999993</v>
      </c>
      <c r="Y51" s="280">
        <f>IFERROR(SUMPRODUCT(Y47:Y49*H47:H49),"0")</f>
        <v>403.19999999999993</v>
      </c>
      <c r="Z51" s="37"/>
      <c r="AA51" s="281"/>
      <c r="AB51" s="281"/>
      <c r="AC51" s="281"/>
    </row>
    <row r="52" spans="1:68" ht="16.5" hidden="1" customHeight="1" x14ac:dyDescent="0.25">
      <c r="A52" s="317" t="s">
        <v>117</v>
      </c>
      <c r="B52" s="306"/>
      <c r="C52" s="306"/>
      <c r="D52" s="306"/>
      <c r="E52" s="306"/>
      <c r="F52" s="306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273"/>
      <c r="AB52" s="273"/>
      <c r="AC52" s="273"/>
    </row>
    <row r="53" spans="1:68" ht="14.25" hidden="1" customHeight="1" x14ac:dyDescent="0.25">
      <c r="A53" s="308" t="s">
        <v>62</v>
      </c>
      <c r="B53" s="306"/>
      <c r="C53" s="306"/>
      <c r="D53" s="306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310">
        <v>4607111039385</v>
      </c>
      <c r="E54" s="311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0"/>
      <c r="R54" s="290"/>
      <c r="S54" s="290"/>
      <c r="T54" s="291"/>
      <c r="U54" s="34"/>
      <c r="V54" s="34"/>
      <c r="W54" s="35" t="s">
        <v>68</v>
      </c>
      <c r="X54" s="278">
        <v>24</v>
      </c>
      <c r="Y54" s="27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175.2</v>
      </c>
      <c r="BN54" s="67">
        <f>IFERROR(Y54*I54,"0")</f>
        <v>175.2</v>
      </c>
      <c r="BO54" s="67">
        <f>IFERROR(X54/J54,"0")</f>
        <v>0.2857142857142857</v>
      </c>
      <c r="BP54" s="67">
        <f>IFERROR(Y54/J54,"0")</f>
        <v>0.2857142857142857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310">
        <v>4607111038982</v>
      </c>
      <c r="E55" s="311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0"/>
      <c r="R55" s="290"/>
      <c r="S55" s="290"/>
      <c r="T55" s="291"/>
      <c r="U55" s="34"/>
      <c r="V55" s="34"/>
      <c r="W55" s="35" t="s">
        <v>68</v>
      </c>
      <c r="X55" s="278">
        <v>12</v>
      </c>
      <c r="Y55" s="279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87.431999999999988</v>
      </c>
      <c r="BN55" s="67">
        <f>IFERROR(Y55*I55,"0")</f>
        <v>87.431999999999988</v>
      </c>
      <c r="BO55" s="67">
        <f>IFERROR(X55/J55,"0")</f>
        <v>0.14285714285714285</v>
      </c>
      <c r="BP55" s="67">
        <f>IFERROR(Y55/J55,"0")</f>
        <v>0.14285714285714285</v>
      </c>
    </row>
    <row r="56" spans="1:68" ht="27" hidden="1" customHeight="1" x14ac:dyDescent="0.25">
      <c r="A56" s="54" t="s">
        <v>124</v>
      </c>
      <c r="B56" s="54" t="s">
        <v>125</v>
      </c>
      <c r="C56" s="31">
        <v>4301071046</v>
      </c>
      <c r="D56" s="310">
        <v>4607111039354</v>
      </c>
      <c r="E56" s="311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0"/>
      <c r="R56" s="290"/>
      <c r="S56" s="290"/>
      <c r="T56" s="291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310">
        <v>4607111039330</v>
      </c>
      <c r="E57" s="311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0"/>
      <c r="R57" s="290"/>
      <c r="S57" s="290"/>
      <c r="T57" s="291"/>
      <c r="U57" s="34"/>
      <c r="V57" s="34"/>
      <c r="W57" s="35" t="s">
        <v>68</v>
      </c>
      <c r="X57" s="278">
        <v>12</v>
      </c>
      <c r="Y57" s="279">
        <f>IFERROR(IF(X57="","",X57),"")</f>
        <v>12</v>
      </c>
      <c r="Z57" s="36">
        <f>IFERROR(IF(X57="","",X57*0.0155),"")</f>
        <v>0.186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87.6</v>
      </c>
      <c r="BN57" s="67">
        <f>IFERROR(Y57*I57,"0")</f>
        <v>87.6</v>
      </c>
      <c r="BO57" s="67">
        <f>IFERROR(X57/J57,"0")</f>
        <v>0.14285714285714285</v>
      </c>
      <c r="BP57" s="67">
        <f>IFERROR(Y57/J57,"0")</f>
        <v>0.14285714285714285</v>
      </c>
    </row>
    <row r="58" spans="1:68" x14ac:dyDescent="0.2">
      <c r="A58" s="305"/>
      <c r="B58" s="306"/>
      <c r="C58" s="306"/>
      <c r="D58" s="306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7"/>
      <c r="P58" s="286" t="s">
        <v>87</v>
      </c>
      <c r="Q58" s="287"/>
      <c r="R58" s="287"/>
      <c r="S58" s="287"/>
      <c r="T58" s="287"/>
      <c r="U58" s="287"/>
      <c r="V58" s="288"/>
      <c r="W58" s="37" t="s">
        <v>68</v>
      </c>
      <c r="X58" s="280">
        <f>IFERROR(SUM(X54:X57),"0")</f>
        <v>48</v>
      </c>
      <c r="Y58" s="280">
        <f>IFERROR(SUM(Y54:Y57),"0")</f>
        <v>48</v>
      </c>
      <c r="Z58" s="280">
        <f>IFERROR(IF(Z54="",0,Z54),"0")+IFERROR(IF(Z55="",0,Z55),"0")+IFERROR(IF(Z56="",0,Z56),"0")+IFERROR(IF(Z57="",0,Z57),"0")</f>
        <v>0.74399999999999999</v>
      </c>
      <c r="AA58" s="281"/>
      <c r="AB58" s="281"/>
      <c r="AC58" s="281"/>
    </row>
    <row r="59" spans="1:68" x14ac:dyDescent="0.2">
      <c r="A59" s="306"/>
      <c r="B59" s="306"/>
      <c r="C59" s="306"/>
      <c r="D59" s="306"/>
      <c r="E59" s="306"/>
      <c r="F59" s="306"/>
      <c r="G59" s="306"/>
      <c r="H59" s="306"/>
      <c r="I59" s="306"/>
      <c r="J59" s="306"/>
      <c r="K59" s="306"/>
      <c r="L59" s="306"/>
      <c r="M59" s="306"/>
      <c r="N59" s="306"/>
      <c r="O59" s="307"/>
      <c r="P59" s="286" t="s">
        <v>87</v>
      </c>
      <c r="Q59" s="287"/>
      <c r="R59" s="287"/>
      <c r="S59" s="287"/>
      <c r="T59" s="287"/>
      <c r="U59" s="287"/>
      <c r="V59" s="288"/>
      <c r="W59" s="37" t="s">
        <v>88</v>
      </c>
      <c r="X59" s="280">
        <f>IFERROR(SUMPRODUCT(X54:X57*H54:H57),"0")</f>
        <v>336</v>
      </c>
      <c r="Y59" s="280">
        <f>IFERROR(SUMPRODUCT(Y54:Y57*H54:H57),"0")</f>
        <v>336</v>
      </c>
      <c r="Z59" s="37"/>
      <c r="AA59" s="281"/>
      <c r="AB59" s="281"/>
      <c r="AC59" s="281"/>
    </row>
    <row r="60" spans="1:68" ht="16.5" hidden="1" customHeight="1" x14ac:dyDescent="0.25">
      <c r="A60" s="317" t="s">
        <v>128</v>
      </c>
      <c r="B60" s="306"/>
      <c r="C60" s="306"/>
      <c r="D60" s="306"/>
      <c r="E60" s="306"/>
      <c r="F60" s="306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273"/>
      <c r="AB60" s="273"/>
      <c r="AC60" s="273"/>
    </row>
    <row r="61" spans="1:68" ht="14.25" hidden="1" customHeight="1" x14ac:dyDescent="0.25">
      <c r="A61" s="308" t="s">
        <v>62</v>
      </c>
      <c r="B61" s="306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  <c r="X61" s="306"/>
      <c r="Y61" s="306"/>
      <c r="Z61" s="306"/>
      <c r="AA61" s="274"/>
      <c r="AB61" s="274"/>
      <c r="AC61" s="274"/>
    </row>
    <row r="62" spans="1:68" ht="16.5" hidden="1" customHeight="1" x14ac:dyDescent="0.25">
      <c r="A62" s="54" t="s">
        <v>129</v>
      </c>
      <c r="B62" s="54" t="s">
        <v>130</v>
      </c>
      <c r="C62" s="31">
        <v>4301071073</v>
      </c>
      <c r="D62" s="310">
        <v>4620207490822</v>
      </c>
      <c r="E62" s="311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0"/>
      <c r="R62" s="290"/>
      <c r="S62" s="290"/>
      <c r="T62" s="291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5"/>
      <c r="B63" s="306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307"/>
      <c r="P63" s="286" t="s">
        <v>87</v>
      </c>
      <c r="Q63" s="287"/>
      <c r="R63" s="287"/>
      <c r="S63" s="287"/>
      <c r="T63" s="287"/>
      <c r="U63" s="287"/>
      <c r="V63" s="288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hidden="1" x14ac:dyDescent="0.2">
      <c r="A64" s="306"/>
      <c r="B64" s="306"/>
      <c r="C64" s="306"/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7"/>
      <c r="P64" s="286" t="s">
        <v>87</v>
      </c>
      <c r="Q64" s="287"/>
      <c r="R64" s="287"/>
      <c r="S64" s="287"/>
      <c r="T64" s="287"/>
      <c r="U64" s="287"/>
      <c r="V64" s="288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hidden="1" customHeight="1" x14ac:dyDescent="0.25">
      <c r="A65" s="308" t="s">
        <v>97</v>
      </c>
      <c r="B65" s="306"/>
      <c r="C65" s="306"/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  <c r="X65" s="306"/>
      <c r="Y65" s="306"/>
      <c r="Z65" s="306"/>
      <c r="AA65" s="274"/>
      <c r="AB65" s="274"/>
      <c r="AC65" s="274"/>
    </row>
    <row r="66" spans="1:68" ht="27" hidden="1" customHeight="1" x14ac:dyDescent="0.25">
      <c r="A66" s="54" t="s">
        <v>132</v>
      </c>
      <c r="B66" s="54" t="s">
        <v>133</v>
      </c>
      <c r="C66" s="31">
        <v>4301132194</v>
      </c>
      <c r="D66" s="310">
        <v>4607111039712</v>
      </c>
      <c r="E66" s="311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0"/>
      <c r="R66" s="290"/>
      <c r="S66" s="290"/>
      <c r="T66" s="291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05"/>
      <c r="B67" s="306"/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7"/>
      <c r="P67" s="286" t="s">
        <v>87</v>
      </c>
      <c r="Q67" s="287"/>
      <c r="R67" s="287"/>
      <c r="S67" s="287"/>
      <c r="T67" s="287"/>
      <c r="U67" s="287"/>
      <c r="V67" s="288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hidden="1" x14ac:dyDescent="0.2">
      <c r="A68" s="306"/>
      <c r="B68" s="306"/>
      <c r="C68" s="306"/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7"/>
      <c r="P68" s="286" t="s">
        <v>87</v>
      </c>
      <c r="Q68" s="287"/>
      <c r="R68" s="287"/>
      <c r="S68" s="287"/>
      <c r="T68" s="287"/>
      <c r="U68" s="287"/>
      <c r="V68" s="288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hidden="1" customHeight="1" x14ac:dyDescent="0.25">
      <c r="A69" s="308" t="s">
        <v>135</v>
      </c>
      <c r="B69" s="306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274"/>
      <c r="AB69" s="274"/>
      <c r="AC69" s="274"/>
    </row>
    <row r="70" spans="1:68" ht="16.5" hidden="1" customHeight="1" x14ac:dyDescent="0.25">
      <c r="A70" s="54" t="s">
        <v>136</v>
      </c>
      <c r="B70" s="54" t="s">
        <v>137</v>
      </c>
      <c r="C70" s="31">
        <v>4301136018</v>
      </c>
      <c r="D70" s="310">
        <v>4607111037008</v>
      </c>
      <c r="E70" s="311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0"/>
      <c r="R70" s="290"/>
      <c r="S70" s="290"/>
      <c r="T70" s="291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hidden="1" customHeight="1" x14ac:dyDescent="0.25">
      <c r="A71" s="54" t="s">
        <v>139</v>
      </c>
      <c r="B71" s="54" t="s">
        <v>140</v>
      </c>
      <c r="C71" s="31">
        <v>4301136015</v>
      </c>
      <c r="D71" s="310">
        <v>4607111037398</v>
      </c>
      <c r="E71" s="311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0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0"/>
      <c r="R71" s="290"/>
      <c r="S71" s="290"/>
      <c r="T71" s="291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5"/>
      <c r="B72" s="306"/>
      <c r="C72" s="306"/>
      <c r="D72" s="306"/>
      <c r="E72" s="306"/>
      <c r="F72" s="306"/>
      <c r="G72" s="306"/>
      <c r="H72" s="306"/>
      <c r="I72" s="306"/>
      <c r="J72" s="306"/>
      <c r="K72" s="306"/>
      <c r="L72" s="306"/>
      <c r="M72" s="306"/>
      <c r="N72" s="306"/>
      <c r="O72" s="307"/>
      <c r="P72" s="286" t="s">
        <v>87</v>
      </c>
      <c r="Q72" s="287"/>
      <c r="R72" s="287"/>
      <c r="S72" s="287"/>
      <c r="T72" s="287"/>
      <c r="U72" s="287"/>
      <c r="V72" s="288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hidden="1" x14ac:dyDescent="0.2">
      <c r="A73" s="306"/>
      <c r="B73" s="306"/>
      <c r="C73" s="306"/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7"/>
      <c r="P73" s="286" t="s">
        <v>87</v>
      </c>
      <c r="Q73" s="287"/>
      <c r="R73" s="287"/>
      <c r="S73" s="287"/>
      <c r="T73" s="287"/>
      <c r="U73" s="287"/>
      <c r="V73" s="288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hidden="1" customHeight="1" x14ac:dyDescent="0.25">
      <c r="A74" s="308" t="s">
        <v>141</v>
      </c>
      <c r="B74" s="306"/>
      <c r="C74" s="306"/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274"/>
      <c r="AB74" s="274"/>
      <c r="AC74" s="274"/>
    </row>
    <row r="75" spans="1:68" ht="27" hidden="1" customHeight="1" x14ac:dyDescent="0.25">
      <c r="A75" s="54" t="s">
        <v>142</v>
      </c>
      <c r="B75" s="54" t="s">
        <v>143</v>
      </c>
      <c r="C75" s="31">
        <v>4301135664</v>
      </c>
      <c r="D75" s="310">
        <v>4607111039705</v>
      </c>
      <c r="E75" s="311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0"/>
      <c r="R75" s="290"/>
      <c r="S75" s="290"/>
      <c r="T75" s="291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144</v>
      </c>
      <c r="B76" s="54" t="s">
        <v>145</v>
      </c>
      <c r="C76" s="31">
        <v>4301135665</v>
      </c>
      <c r="D76" s="310">
        <v>4607111039729</v>
      </c>
      <c r="E76" s="311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0"/>
      <c r="R76" s="290"/>
      <c r="S76" s="290"/>
      <c r="T76" s="291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147</v>
      </c>
      <c r="B77" s="54" t="s">
        <v>148</v>
      </c>
      <c r="C77" s="31">
        <v>4301135702</v>
      </c>
      <c r="D77" s="310">
        <v>4620207490228</v>
      </c>
      <c r="E77" s="311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0"/>
      <c r="R77" s="290"/>
      <c r="S77" s="290"/>
      <c r="T77" s="291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05"/>
      <c r="B78" s="306"/>
      <c r="C78" s="306"/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O78" s="307"/>
      <c r="P78" s="286" t="s">
        <v>87</v>
      </c>
      <c r="Q78" s="287"/>
      <c r="R78" s="287"/>
      <c r="S78" s="287"/>
      <c r="T78" s="287"/>
      <c r="U78" s="287"/>
      <c r="V78" s="288"/>
      <c r="W78" s="37" t="s">
        <v>68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hidden="1" x14ac:dyDescent="0.2">
      <c r="A79" s="306"/>
      <c r="B79" s="306"/>
      <c r="C79" s="306"/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O79" s="307"/>
      <c r="P79" s="286" t="s">
        <v>87</v>
      </c>
      <c r="Q79" s="287"/>
      <c r="R79" s="287"/>
      <c r="S79" s="287"/>
      <c r="T79" s="287"/>
      <c r="U79" s="287"/>
      <c r="V79" s="288"/>
      <c r="W79" s="37" t="s">
        <v>88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hidden="1" customHeight="1" x14ac:dyDescent="0.25">
      <c r="A80" s="317" t="s">
        <v>149</v>
      </c>
      <c r="B80" s="306"/>
      <c r="C80" s="306"/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273"/>
      <c r="AB80" s="273"/>
      <c r="AC80" s="273"/>
    </row>
    <row r="81" spans="1:68" ht="14.25" hidden="1" customHeight="1" x14ac:dyDescent="0.25">
      <c r="A81" s="308" t="s">
        <v>62</v>
      </c>
      <c r="B81" s="306"/>
      <c r="C81" s="306"/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274"/>
      <c r="AB81" s="274"/>
      <c r="AC81" s="274"/>
    </row>
    <row r="82" spans="1:68" ht="27" hidden="1" customHeight="1" x14ac:dyDescent="0.25">
      <c r="A82" s="54" t="s">
        <v>150</v>
      </c>
      <c r="B82" s="54" t="s">
        <v>151</v>
      </c>
      <c r="C82" s="31">
        <v>4301070977</v>
      </c>
      <c r="D82" s="310">
        <v>4607111037411</v>
      </c>
      <c r="E82" s="311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0"/>
      <c r="R82" s="290"/>
      <c r="S82" s="290"/>
      <c r="T82" s="291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310">
        <v>4607111036728</v>
      </c>
      <c r="E83" s="311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7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0"/>
      <c r="R83" s="290"/>
      <c r="S83" s="290"/>
      <c r="T83" s="291"/>
      <c r="U83" s="34"/>
      <c r="V83" s="34"/>
      <c r="W83" s="35" t="s">
        <v>68</v>
      </c>
      <c r="X83" s="278">
        <v>120</v>
      </c>
      <c r="Y83" s="279">
        <f>IFERROR(IF(X83="","",X83),"")</f>
        <v>120</v>
      </c>
      <c r="Z83" s="36">
        <f>IFERROR(IF(X83="","",X83*0.00866),"")</f>
        <v>1.0391999999999999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625.58399999999995</v>
      </c>
      <c r="BN83" s="67">
        <f>IFERROR(Y83*I83,"0")</f>
        <v>625.58399999999995</v>
      </c>
      <c r="BO83" s="67">
        <f>IFERROR(X83/J83,"0")</f>
        <v>0.83333333333333337</v>
      </c>
      <c r="BP83" s="67">
        <f>IFERROR(Y83/J83,"0")</f>
        <v>0.83333333333333337</v>
      </c>
    </row>
    <row r="84" spans="1:68" x14ac:dyDescent="0.2">
      <c r="A84" s="305"/>
      <c r="B84" s="306"/>
      <c r="C84" s="306"/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O84" s="307"/>
      <c r="P84" s="286" t="s">
        <v>87</v>
      </c>
      <c r="Q84" s="287"/>
      <c r="R84" s="287"/>
      <c r="S84" s="287"/>
      <c r="T84" s="287"/>
      <c r="U84" s="287"/>
      <c r="V84" s="288"/>
      <c r="W84" s="37" t="s">
        <v>68</v>
      </c>
      <c r="X84" s="280">
        <f>IFERROR(SUM(X82:X83),"0")</f>
        <v>120</v>
      </c>
      <c r="Y84" s="280">
        <f>IFERROR(SUM(Y82:Y83),"0")</f>
        <v>120</v>
      </c>
      <c r="Z84" s="280">
        <f>IFERROR(IF(Z82="",0,Z82),"0")+IFERROR(IF(Z83="",0,Z83),"0")</f>
        <v>1.0391999999999999</v>
      </c>
      <c r="AA84" s="281"/>
      <c r="AB84" s="281"/>
      <c r="AC84" s="281"/>
    </row>
    <row r="85" spans="1:68" x14ac:dyDescent="0.2">
      <c r="A85" s="306"/>
      <c r="B85" s="306"/>
      <c r="C85" s="306"/>
      <c r="D85" s="306"/>
      <c r="E85" s="306"/>
      <c r="F85" s="306"/>
      <c r="G85" s="306"/>
      <c r="H85" s="306"/>
      <c r="I85" s="306"/>
      <c r="J85" s="306"/>
      <c r="K85" s="306"/>
      <c r="L85" s="306"/>
      <c r="M85" s="306"/>
      <c r="N85" s="306"/>
      <c r="O85" s="307"/>
      <c r="P85" s="286" t="s">
        <v>87</v>
      </c>
      <c r="Q85" s="287"/>
      <c r="R85" s="287"/>
      <c r="S85" s="287"/>
      <c r="T85" s="287"/>
      <c r="U85" s="287"/>
      <c r="V85" s="288"/>
      <c r="W85" s="37" t="s">
        <v>88</v>
      </c>
      <c r="X85" s="280">
        <f>IFERROR(SUMPRODUCT(X82:X83*H82:H83),"0")</f>
        <v>600</v>
      </c>
      <c r="Y85" s="280">
        <f>IFERROR(SUMPRODUCT(Y82:Y83*H82:H83),"0")</f>
        <v>600</v>
      </c>
      <c r="Z85" s="37"/>
      <c r="AA85" s="281"/>
      <c r="AB85" s="281"/>
      <c r="AC85" s="281"/>
    </row>
    <row r="86" spans="1:68" ht="16.5" hidden="1" customHeight="1" x14ac:dyDescent="0.25">
      <c r="A86" s="317" t="s">
        <v>156</v>
      </c>
      <c r="B86" s="306"/>
      <c r="C86" s="306"/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  <c r="X86" s="306"/>
      <c r="Y86" s="306"/>
      <c r="Z86" s="306"/>
      <c r="AA86" s="273"/>
      <c r="AB86" s="273"/>
      <c r="AC86" s="273"/>
    </row>
    <row r="87" spans="1:68" ht="14.25" hidden="1" customHeight="1" x14ac:dyDescent="0.25">
      <c r="A87" s="308" t="s">
        <v>141</v>
      </c>
      <c r="B87" s="306"/>
      <c r="C87" s="306"/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310">
        <v>4607111033659</v>
      </c>
      <c r="E88" s="311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0"/>
      <c r="R88" s="290"/>
      <c r="S88" s="290"/>
      <c r="T88" s="291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305"/>
      <c r="B89" s="306"/>
      <c r="C89" s="306"/>
      <c r="D89" s="306"/>
      <c r="E89" s="306"/>
      <c r="F89" s="306"/>
      <c r="G89" s="306"/>
      <c r="H89" s="306"/>
      <c r="I89" s="306"/>
      <c r="J89" s="306"/>
      <c r="K89" s="306"/>
      <c r="L89" s="306"/>
      <c r="M89" s="306"/>
      <c r="N89" s="306"/>
      <c r="O89" s="307"/>
      <c r="P89" s="286" t="s">
        <v>87</v>
      </c>
      <c r="Q89" s="287"/>
      <c r="R89" s="287"/>
      <c r="S89" s="287"/>
      <c r="T89" s="287"/>
      <c r="U89" s="287"/>
      <c r="V89" s="288"/>
      <c r="W89" s="37" t="s">
        <v>68</v>
      </c>
      <c r="X89" s="280">
        <f>IFERROR(SUM(X88:X88),"0")</f>
        <v>14</v>
      </c>
      <c r="Y89" s="280">
        <f>IFERROR(SUM(Y88:Y88),"0")</f>
        <v>14</v>
      </c>
      <c r="Z89" s="280">
        <f>IFERROR(IF(Z88="",0,Z88),"0")</f>
        <v>0.25031999999999999</v>
      </c>
      <c r="AA89" s="281"/>
      <c r="AB89" s="281"/>
      <c r="AC89" s="281"/>
    </row>
    <row r="90" spans="1:68" x14ac:dyDescent="0.2">
      <c r="A90" s="306"/>
      <c r="B90" s="306"/>
      <c r="C90" s="306"/>
      <c r="D90" s="306"/>
      <c r="E90" s="306"/>
      <c r="F90" s="306"/>
      <c r="G90" s="306"/>
      <c r="H90" s="306"/>
      <c r="I90" s="306"/>
      <c r="J90" s="306"/>
      <c r="K90" s="306"/>
      <c r="L90" s="306"/>
      <c r="M90" s="306"/>
      <c r="N90" s="306"/>
      <c r="O90" s="307"/>
      <c r="P90" s="286" t="s">
        <v>87</v>
      </c>
      <c r="Q90" s="287"/>
      <c r="R90" s="287"/>
      <c r="S90" s="287"/>
      <c r="T90" s="287"/>
      <c r="U90" s="287"/>
      <c r="V90" s="288"/>
      <c r="W90" s="37" t="s">
        <v>88</v>
      </c>
      <c r="X90" s="280">
        <f>IFERROR(SUMPRODUCT(X88:X88*H88:H88),"0")</f>
        <v>50.4</v>
      </c>
      <c r="Y90" s="280">
        <f>IFERROR(SUMPRODUCT(Y88:Y88*H88:H88),"0")</f>
        <v>50.4</v>
      </c>
      <c r="Z90" s="37"/>
      <c r="AA90" s="281"/>
      <c r="AB90" s="281"/>
      <c r="AC90" s="281"/>
    </row>
    <row r="91" spans="1:68" ht="16.5" hidden="1" customHeight="1" x14ac:dyDescent="0.25">
      <c r="A91" s="317" t="s">
        <v>160</v>
      </c>
      <c r="B91" s="306"/>
      <c r="C91" s="306"/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273"/>
      <c r="AB91" s="273"/>
      <c r="AC91" s="273"/>
    </row>
    <row r="92" spans="1:68" ht="14.25" hidden="1" customHeight="1" x14ac:dyDescent="0.25">
      <c r="A92" s="308" t="s">
        <v>161</v>
      </c>
      <c r="B92" s="306"/>
      <c r="C92" s="306"/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274"/>
      <c r="AB92" s="274"/>
      <c r="AC92" s="274"/>
    </row>
    <row r="93" spans="1:68" ht="27" hidden="1" customHeight="1" x14ac:dyDescent="0.25">
      <c r="A93" s="54" t="s">
        <v>162</v>
      </c>
      <c r="B93" s="54" t="s">
        <v>163</v>
      </c>
      <c r="C93" s="31">
        <v>4301131047</v>
      </c>
      <c r="D93" s="310">
        <v>4607111034120</v>
      </c>
      <c r="E93" s="311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3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0"/>
      <c r="R93" s="290"/>
      <c r="S93" s="290"/>
      <c r="T93" s="291"/>
      <c r="U93" s="34"/>
      <c r="V93" s="34"/>
      <c r="W93" s="35" t="s">
        <v>68</v>
      </c>
      <c r="X93" s="278">
        <v>0</v>
      </c>
      <c r="Y93" s="279">
        <f>IFERROR(IF(X93="","",X93),"")</f>
        <v>0</v>
      </c>
      <c r="Z93" s="36">
        <f>IFERROR(IF(X93="","",X93*0.01788),"")</f>
        <v>0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0</v>
      </c>
      <c r="BN93" s="67">
        <f>IFERROR(Y93*I93,"0")</f>
        <v>0</v>
      </c>
      <c r="BO93" s="67">
        <f>IFERROR(X93/J93,"0")</f>
        <v>0</v>
      </c>
      <c r="BP93" s="67">
        <f>IFERROR(Y93/J93,"0")</f>
        <v>0</v>
      </c>
    </row>
    <row r="94" spans="1:68" ht="27" hidden="1" customHeight="1" x14ac:dyDescent="0.25">
      <c r="A94" s="54" t="s">
        <v>165</v>
      </c>
      <c r="B94" s="54" t="s">
        <v>166</v>
      </c>
      <c r="C94" s="31">
        <v>4301131046</v>
      </c>
      <c r="D94" s="310">
        <v>4607111034137</v>
      </c>
      <c r="E94" s="311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3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0"/>
      <c r="R94" s="290"/>
      <c r="S94" s="290"/>
      <c r="T94" s="291"/>
      <c r="U94" s="34"/>
      <c r="V94" s="34"/>
      <c r="W94" s="35" t="s">
        <v>68</v>
      </c>
      <c r="X94" s="278">
        <v>0</v>
      </c>
      <c r="Y94" s="279">
        <f>IFERROR(IF(X94="","",X94),"")</f>
        <v>0</v>
      </c>
      <c r="Z94" s="36">
        <f>IFERROR(IF(X94="","",X94*0.01788),"")</f>
        <v>0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idden="1" x14ac:dyDescent="0.2">
      <c r="A95" s="305"/>
      <c r="B95" s="306"/>
      <c r="C95" s="306"/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7"/>
      <c r="P95" s="286" t="s">
        <v>87</v>
      </c>
      <c r="Q95" s="287"/>
      <c r="R95" s="287"/>
      <c r="S95" s="287"/>
      <c r="T95" s="287"/>
      <c r="U95" s="287"/>
      <c r="V95" s="288"/>
      <c r="W95" s="37" t="s">
        <v>68</v>
      </c>
      <c r="X95" s="280">
        <f>IFERROR(SUM(X93:X94),"0")</f>
        <v>0</v>
      </c>
      <c r="Y95" s="280">
        <f>IFERROR(SUM(Y93:Y94),"0")</f>
        <v>0</v>
      </c>
      <c r="Z95" s="280">
        <f>IFERROR(IF(Z93="",0,Z93),"0")+IFERROR(IF(Z94="",0,Z94),"0")</f>
        <v>0</v>
      </c>
      <c r="AA95" s="281"/>
      <c r="AB95" s="281"/>
      <c r="AC95" s="281"/>
    </row>
    <row r="96" spans="1:68" hidden="1" x14ac:dyDescent="0.2">
      <c r="A96" s="306"/>
      <c r="B96" s="306"/>
      <c r="C96" s="306"/>
      <c r="D96" s="306"/>
      <c r="E96" s="306"/>
      <c r="F96" s="306"/>
      <c r="G96" s="306"/>
      <c r="H96" s="306"/>
      <c r="I96" s="306"/>
      <c r="J96" s="306"/>
      <c r="K96" s="306"/>
      <c r="L96" s="306"/>
      <c r="M96" s="306"/>
      <c r="N96" s="306"/>
      <c r="O96" s="307"/>
      <c r="P96" s="286" t="s">
        <v>87</v>
      </c>
      <c r="Q96" s="287"/>
      <c r="R96" s="287"/>
      <c r="S96" s="287"/>
      <c r="T96" s="287"/>
      <c r="U96" s="287"/>
      <c r="V96" s="288"/>
      <c r="W96" s="37" t="s">
        <v>88</v>
      </c>
      <c r="X96" s="280">
        <f>IFERROR(SUMPRODUCT(X93:X94*H93:H94),"0")</f>
        <v>0</v>
      </c>
      <c r="Y96" s="280">
        <f>IFERROR(SUMPRODUCT(Y93:Y94*H93:H94),"0")</f>
        <v>0</v>
      </c>
      <c r="Z96" s="37"/>
      <c r="AA96" s="281"/>
      <c r="AB96" s="281"/>
      <c r="AC96" s="281"/>
    </row>
    <row r="97" spans="1:68" ht="16.5" hidden="1" customHeight="1" x14ac:dyDescent="0.25">
      <c r="A97" s="317" t="s">
        <v>168</v>
      </c>
      <c r="B97" s="306"/>
      <c r="C97" s="306"/>
      <c r="D97" s="306"/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273"/>
      <c r="AB97" s="273"/>
      <c r="AC97" s="273"/>
    </row>
    <row r="98" spans="1:68" ht="14.25" hidden="1" customHeight="1" x14ac:dyDescent="0.25">
      <c r="A98" s="308" t="s">
        <v>141</v>
      </c>
      <c r="B98" s="306"/>
      <c r="C98" s="306"/>
      <c r="D98" s="306"/>
      <c r="E98" s="306"/>
      <c r="F98" s="306"/>
      <c r="G98" s="306"/>
      <c r="H98" s="306"/>
      <c r="I98" s="306"/>
      <c r="J98" s="306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310">
        <v>4620207491027</v>
      </c>
      <c r="E99" s="311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0"/>
      <c r="R99" s="290"/>
      <c r="S99" s="290"/>
      <c r="T99" s="291"/>
      <c r="U99" s="34"/>
      <c r="V99" s="34"/>
      <c r="W99" s="35" t="s">
        <v>68</v>
      </c>
      <c r="X99" s="278">
        <v>42</v>
      </c>
      <c r="Y99" s="279">
        <f t="shared" ref="Y99:Y104" si="6">IFERROR(IF(X99="","",X99),"")</f>
        <v>42</v>
      </c>
      <c r="Z99" s="36">
        <f t="shared" ref="Z99:Z104" si="7">IFERROR(IF(X99="","",X99*0.01788),"")</f>
        <v>0.75095999999999996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150.5112</v>
      </c>
      <c r="BN99" s="67">
        <f t="shared" ref="BN99:BN104" si="9">IFERROR(Y99*I99,"0")</f>
        <v>150.5112</v>
      </c>
      <c r="BO99" s="67">
        <f t="shared" ref="BO99:BO104" si="10">IFERROR(X99/J99,"0")</f>
        <v>0.6</v>
      </c>
      <c r="BP99" s="67">
        <f t="shared" ref="BP99:BP104" si="11">IFERROR(Y99/J99,"0")</f>
        <v>0.6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310">
        <v>4620207491003</v>
      </c>
      <c r="E100" s="311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3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0"/>
      <c r="R100" s="290"/>
      <c r="S100" s="290"/>
      <c r="T100" s="291"/>
      <c r="U100" s="34"/>
      <c r="V100" s="34"/>
      <c r="W100" s="35" t="s">
        <v>68</v>
      </c>
      <c r="X100" s="278">
        <v>56</v>
      </c>
      <c r="Y100" s="279">
        <f t="shared" si="6"/>
        <v>56</v>
      </c>
      <c r="Z100" s="36">
        <f t="shared" si="7"/>
        <v>1.0012799999999999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310">
        <v>4620207491034</v>
      </c>
      <c r="E101" s="311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0"/>
      <c r="R101" s="290"/>
      <c r="S101" s="290"/>
      <c r="T101" s="291"/>
      <c r="U101" s="34"/>
      <c r="V101" s="34"/>
      <c r="W101" s="35" t="s">
        <v>68</v>
      </c>
      <c r="X101" s="278">
        <v>14</v>
      </c>
      <c r="Y101" s="279">
        <f t="shared" si="6"/>
        <v>14</v>
      </c>
      <c r="Z101" s="36">
        <f t="shared" si="7"/>
        <v>0.25031999999999999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50.170400000000001</v>
      </c>
      <c r="BN101" s="67">
        <f t="shared" si="9"/>
        <v>50.170400000000001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310">
        <v>4620207491010</v>
      </c>
      <c r="E102" s="311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0"/>
      <c r="R102" s="290"/>
      <c r="S102" s="290"/>
      <c r="T102" s="291"/>
      <c r="U102" s="34"/>
      <c r="V102" s="34"/>
      <c r="W102" s="35" t="s">
        <v>68</v>
      </c>
      <c r="X102" s="278">
        <v>14</v>
      </c>
      <c r="Y102" s="279">
        <f t="shared" si="6"/>
        <v>14</v>
      </c>
      <c r="Z102" s="36">
        <f t="shared" si="7"/>
        <v>0.25031999999999999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50.170400000000001</v>
      </c>
      <c r="BN102" s="67">
        <f t="shared" si="9"/>
        <v>50.170400000000001</v>
      </c>
      <c r="BO102" s="67">
        <f t="shared" si="10"/>
        <v>0.2</v>
      </c>
      <c r="BP102" s="67">
        <f t="shared" si="11"/>
        <v>0.2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310">
        <v>4607111035028</v>
      </c>
      <c r="E103" s="311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0"/>
      <c r="R103" s="290"/>
      <c r="S103" s="290"/>
      <c r="T103" s="291"/>
      <c r="U103" s="34"/>
      <c r="V103" s="34"/>
      <c r="W103" s="35" t="s">
        <v>68</v>
      </c>
      <c r="X103" s="278">
        <v>14</v>
      </c>
      <c r="Y103" s="279">
        <f t="shared" si="6"/>
        <v>14</v>
      </c>
      <c r="Z103" s="36">
        <f t="shared" si="7"/>
        <v>0.25031999999999999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62.283200000000008</v>
      </c>
      <c r="BN103" s="67">
        <f t="shared" si="9"/>
        <v>62.283200000000008</v>
      </c>
      <c r="BO103" s="67">
        <f t="shared" si="10"/>
        <v>0.2</v>
      </c>
      <c r="BP103" s="67">
        <f t="shared" si="11"/>
        <v>0.2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310">
        <v>4607111036407</v>
      </c>
      <c r="E104" s="311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0"/>
      <c r="R104" s="290"/>
      <c r="S104" s="290"/>
      <c r="T104" s="291"/>
      <c r="U104" s="34"/>
      <c r="V104" s="34"/>
      <c r="W104" s="35" t="s">
        <v>68</v>
      </c>
      <c r="X104" s="278">
        <v>28</v>
      </c>
      <c r="Y104" s="279">
        <f t="shared" si="6"/>
        <v>28</v>
      </c>
      <c r="Z104" s="36">
        <f t="shared" si="7"/>
        <v>0.50063999999999997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126.81760000000001</v>
      </c>
      <c r="BN104" s="67">
        <f t="shared" si="9"/>
        <v>126.81760000000001</v>
      </c>
      <c r="BO104" s="67">
        <f t="shared" si="10"/>
        <v>0.4</v>
      </c>
      <c r="BP104" s="67">
        <f t="shared" si="11"/>
        <v>0.4</v>
      </c>
    </row>
    <row r="105" spans="1:68" x14ac:dyDescent="0.2">
      <c r="A105" s="305"/>
      <c r="B105" s="306"/>
      <c r="C105" s="306"/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306"/>
      <c r="O105" s="307"/>
      <c r="P105" s="286" t="s">
        <v>87</v>
      </c>
      <c r="Q105" s="287"/>
      <c r="R105" s="287"/>
      <c r="S105" s="287"/>
      <c r="T105" s="287"/>
      <c r="U105" s="287"/>
      <c r="V105" s="288"/>
      <c r="W105" s="37" t="s">
        <v>68</v>
      </c>
      <c r="X105" s="280">
        <f>IFERROR(SUM(X99:X104),"0")</f>
        <v>168</v>
      </c>
      <c r="Y105" s="280">
        <f>IFERROR(SUM(Y99:Y104),"0")</f>
        <v>168</v>
      </c>
      <c r="Z105" s="280">
        <f>IFERROR(IF(Z99="",0,Z99),"0")+IFERROR(IF(Z100="",0,Z100),"0")+IFERROR(IF(Z101="",0,Z101),"0")+IFERROR(IF(Z102="",0,Z102),"0")+IFERROR(IF(Z103="",0,Z103),"0")+IFERROR(IF(Z104="",0,Z104),"0")</f>
        <v>3.0038399999999994</v>
      </c>
      <c r="AA105" s="281"/>
      <c r="AB105" s="281"/>
      <c r="AC105" s="281"/>
    </row>
    <row r="106" spans="1:68" x14ac:dyDescent="0.2">
      <c r="A106" s="306"/>
      <c r="B106" s="306"/>
      <c r="C106" s="306"/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O106" s="307"/>
      <c r="P106" s="286" t="s">
        <v>87</v>
      </c>
      <c r="Q106" s="287"/>
      <c r="R106" s="287"/>
      <c r="S106" s="287"/>
      <c r="T106" s="287"/>
      <c r="U106" s="287"/>
      <c r="V106" s="288"/>
      <c r="W106" s="37" t="s">
        <v>88</v>
      </c>
      <c r="X106" s="280">
        <f>IFERROR(SUMPRODUCT(X99:X104*H99:H104),"0")</f>
        <v>534.24</v>
      </c>
      <c r="Y106" s="280">
        <f>IFERROR(SUMPRODUCT(Y99:Y104*H99:H104),"0")</f>
        <v>534.24</v>
      </c>
      <c r="Z106" s="37"/>
      <c r="AA106" s="281"/>
      <c r="AB106" s="281"/>
      <c r="AC106" s="281"/>
    </row>
    <row r="107" spans="1:68" ht="16.5" hidden="1" customHeight="1" x14ac:dyDescent="0.25">
      <c r="A107" s="317" t="s">
        <v>183</v>
      </c>
      <c r="B107" s="306"/>
      <c r="C107" s="306"/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273"/>
      <c r="AB107" s="273"/>
      <c r="AC107" s="273"/>
    </row>
    <row r="108" spans="1:68" ht="14.25" hidden="1" customHeight="1" x14ac:dyDescent="0.25">
      <c r="A108" s="308" t="s">
        <v>135</v>
      </c>
      <c r="B108" s="306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310">
        <v>4607025784012</v>
      </c>
      <c r="E109" s="311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0"/>
      <c r="R109" s="290"/>
      <c r="S109" s="290"/>
      <c r="T109" s="291"/>
      <c r="U109" s="34"/>
      <c r="V109" s="34"/>
      <c r="W109" s="35" t="s">
        <v>68</v>
      </c>
      <c r="X109" s="278">
        <v>28</v>
      </c>
      <c r="Y109" s="279">
        <f>IFERROR(IF(X109="","",X109),"")</f>
        <v>28</v>
      </c>
      <c r="Z109" s="36">
        <f>IFERROR(IF(X109="","",X109*0.00936),"")</f>
        <v>0.26207999999999998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69.753600000000006</v>
      </c>
      <c r="BN109" s="67">
        <f>IFERROR(Y109*I109,"0")</f>
        <v>69.753600000000006</v>
      </c>
      <c r="BO109" s="67">
        <f>IFERROR(X109/J109,"0")</f>
        <v>0.22222222222222221</v>
      </c>
      <c r="BP109" s="67">
        <f>IFERROR(Y109/J109,"0")</f>
        <v>0.22222222222222221</v>
      </c>
    </row>
    <row r="110" spans="1:68" ht="27" hidden="1" customHeight="1" x14ac:dyDescent="0.25">
      <c r="A110" s="54" t="s">
        <v>187</v>
      </c>
      <c r="B110" s="54" t="s">
        <v>188</v>
      </c>
      <c r="C110" s="31">
        <v>4301136079</v>
      </c>
      <c r="D110" s="310">
        <v>4607025784319</v>
      </c>
      <c r="E110" s="311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0"/>
      <c r="R110" s="290"/>
      <c r="S110" s="290"/>
      <c r="T110" s="291"/>
      <c r="U110" s="34"/>
      <c r="V110" s="34"/>
      <c r="W110" s="35" t="s">
        <v>68</v>
      </c>
      <c r="X110" s="278">
        <v>0</v>
      </c>
      <c r="Y110" s="279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x14ac:dyDescent="0.2">
      <c r="A111" s="305"/>
      <c r="B111" s="306"/>
      <c r="C111" s="306"/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7"/>
      <c r="P111" s="286" t="s">
        <v>87</v>
      </c>
      <c r="Q111" s="287"/>
      <c r="R111" s="287"/>
      <c r="S111" s="287"/>
      <c r="T111" s="287"/>
      <c r="U111" s="287"/>
      <c r="V111" s="288"/>
      <c r="W111" s="37" t="s">
        <v>68</v>
      </c>
      <c r="X111" s="280">
        <f>IFERROR(SUM(X109:X110),"0")</f>
        <v>28</v>
      </c>
      <c r="Y111" s="280">
        <f>IFERROR(SUM(Y109:Y110),"0")</f>
        <v>28</v>
      </c>
      <c r="Z111" s="280">
        <f>IFERROR(IF(Z109="",0,Z109),"0")+IFERROR(IF(Z110="",0,Z110),"0")</f>
        <v>0.26207999999999998</v>
      </c>
      <c r="AA111" s="281"/>
      <c r="AB111" s="281"/>
      <c r="AC111" s="281"/>
    </row>
    <row r="112" spans="1:68" x14ac:dyDescent="0.2">
      <c r="A112" s="306"/>
      <c r="B112" s="306"/>
      <c r="C112" s="306"/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O112" s="307"/>
      <c r="P112" s="286" t="s">
        <v>87</v>
      </c>
      <c r="Q112" s="287"/>
      <c r="R112" s="287"/>
      <c r="S112" s="287"/>
      <c r="T112" s="287"/>
      <c r="U112" s="287"/>
      <c r="V112" s="288"/>
      <c r="W112" s="37" t="s">
        <v>88</v>
      </c>
      <c r="X112" s="280">
        <f>IFERROR(SUMPRODUCT(X109:X110*H109:H110),"0")</f>
        <v>60.480000000000004</v>
      </c>
      <c r="Y112" s="280">
        <f>IFERROR(SUMPRODUCT(Y109:Y110*H109:H110),"0")</f>
        <v>60.480000000000004</v>
      </c>
      <c r="Z112" s="37"/>
      <c r="AA112" s="281"/>
      <c r="AB112" s="281"/>
      <c r="AC112" s="281"/>
    </row>
    <row r="113" spans="1:68" ht="16.5" hidden="1" customHeight="1" x14ac:dyDescent="0.25">
      <c r="A113" s="317" t="s">
        <v>189</v>
      </c>
      <c r="B113" s="306"/>
      <c r="C113" s="306"/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  <c r="AA113" s="273"/>
      <c r="AB113" s="273"/>
      <c r="AC113" s="273"/>
    </row>
    <row r="114" spans="1:68" ht="14.25" hidden="1" customHeight="1" x14ac:dyDescent="0.25">
      <c r="A114" s="308" t="s">
        <v>62</v>
      </c>
      <c r="B114" s="306"/>
      <c r="C114" s="306"/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310">
        <v>4620207491157</v>
      </c>
      <c r="E115" s="311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0"/>
      <c r="R115" s="290"/>
      <c r="S115" s="290"/>
      <c r="T115" s="291"/>
      <c r="U115" s="34"/>
      <c r="V115" s="34"/>
      <c r="W115" s="35" t="s">
        <v>68</v>
      </c>
      <c r="X115" s="278">
        <v>12</v>
      </c>
      <c r="Y115" s="279">
        <f t="shared" ref="Y115:Y121" si="12">IFERROR(IF(X115="","",X115),"")</f>
        <v>12</v>
      </c>
      <c r="Z115" s="36">
        <f t="shared" ref="Z115:Z121" si="13">IFERROR(IF(X115="","",X115*0.0155),"")</f>
        <v>0.186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87.36</v>
      </c>
      <c r="BN115" s="67">
        <f t="shared" ref="BN115:BN121" si="15">IFERROR(Y115*I115,"0")</f>
        <v>87.36</v>
      </c>
      <c r="BO115" s="67">
        <f t="shared" ref="BO115:BO121" si="16">IFERROR(X115/J115,"0")</f>
        <v>0.14285714285714285</v>
      </c>
      <c r="BP115" s="67">
        <f t="shared" ref="BP115:BP121" si="17">IFERROR(Y115/J115,"0")</f>
        <v>0.14285714285714285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4301071121</v>
      </c>
      <c r="D116" s="310">
        <v>4620207491393</v>
      </c>
      <c r="E116" s="311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0"/>
      <c r="R116" s="290"/>
      <c r="S116" s="290"/>
      <c r="T116" s="291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4301071051</v>
      </c>
      <c r="D117" s="310">
        <v>4607111039262</v>
      </c>
      <c r="E117" s="311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0"/>
      <c r="R117" s="290"/>
      <c r="S117" s="290"/>
      <c r="T117" s="291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310">
        <v>4607111039248</v>
      </c>
      <c r="E118" s="311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0"/>
      <c r="R118" s="290"/>
      <c r="S118" s="290"/>
      <c r="T118" s="291"/>
      <c r="U118" s="34"/>
      <c r="V118" s="34"/>
      <c r="W118" s="35" t="s">
        <v>68</v>
      </c>
      <c r="X118" s="278">
        <v>12</v>
      </c>
      <c r="Y118" s="279">
        <f t="shared" si="12"/>
        <v>12</v>
      </c>
      <c r="Z118" s="36">
        <f t="shared" si="13"/>
        <v>0.186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87.6</v>
      </c>
      <c r="BN118" s="67">
        <f t="shared" si="15"/>
        <v>87.6</v>
      </c>
      <c r="BO118" s="67">
        <f t="shared" si="16"/>
        <v>0.14285714285714285</v>
      </c>
      <c r="BP118" s="67">
        <f t="shared" si="17"/>
        <v>0.14285714285714285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4301070979</v>
      </c>
      <c r="D119" s="310">
        <v>4607111037145</v>
      </c>
      <c r="E119" s="311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0"/>
      <c r="R119" s="290"/>
      <c r="S119" s="290"/>
      <c r="T119" s="291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310">
        <v>4607111039293</v>
      </c>
      <c r="E120" s="311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5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0"/>
      <c r="R120" s="290"/>
      <c r="S120" s="290"/>
      <c r="T120" s="291"/>
      <c r="U120" s="34"/>
      <c r="V120" s="34"/>
      <c r="W120" s="35" t="s">
        <v>68</v>
      </c>
      <c r="X120" s="278">
        <v>24</v>
      </c>
      <c r="Y120" s="279">
        <f t="shared" si="12"/>
        <v>24</v>
      </c>
      <c r="Z120" s="36">
        <f t="shared" si="13"/>
        <v>0.372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161.2704</v>
      </c>
      <c r="BN120" s="67">
        <f t="shared" si="15"/>
        <v>161.2704</v>
      </c>
      <c r="BO120" s="67">
        <f t="shared" si="16"/>
        <v>0.2857142857142857</v>
      </c>
      <c r="BP120" s="67">
        <f t="shared" si="17"/>
        <v>0.2857142857142857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310">
        <v>4607111039279</v>
      </c>
      <c r="E121" s="311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0"/>
      <c r="R121" s="290"/>
      <c r="S121" s="290"/>
      <c r="T121" s="291"/>
      <c r="U121" s="34"/>
      <c r="V121" s="34"/>
      <c r="W121" s="35" t="s">
        <v>68</v>
      </c>
      <c r="X121" s="278">
        <v>12</v>
      </c>
      <c r="Y121" s="279">
        <f t="shared" si="12"/>
        <v>12</v>
      </c>
      <c r="Z121" s="36">
        <f t="shared" si="13"/>
        <v>0.186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87.6</v>
      </c>
      <c r="BN121" s="67">
        <f t="shared" si="15"/>
        <v>87.6</v>
      </c>
      <c r="BO121" s="67">
        <f t="shared" si="16"/>
        <v>0.14285714285714285</v>
      </c>
      <c r="BP121" s="67">
        <f t="shared" si="17"/>
        <v>0.14285714285714285</v>
      </c>
    </row>
    <row r="122" spans="1:68" x14ac:dyDescent="0.2">
      <c r="A122" s="305"/>
      <c r="B122" s="306"/>
      <c r="C122" s="306"/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7"/>
      <c r="P122" s="286" t="s">
        <v>87</v>
      </c>
      <c r="Q122" s="287"/>
      <c r="R122" s="287"/>
      <c r="S122" s="287"/>
      <c r="T122" s="287"/>
      <c r="U122" s="287"/>
      <c r="V122" s="288"/>
      <c r="W122" s="37" t="s">
        <v>68</v>
      </c>
      <c r="X122" s="280">
        <f>IFERROR(SUM(X115:X121),"0")</f>
        <v>60</v>
      </c>
      <c r="Y122" s="280">
        <f>IFERROR(SUM(Y115:Y121),"0")</f>
        <v>60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0.92999999999999994</v>
      </c>
      <c r="AA122" s="281"/>
      <c r="AB122" s="281"/>
      <c r="AC122" s="281"/>
    </row>
    <row r="123" spans="1:68" x14ac:dyDescent="0.2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7"/>
      <c r="P123" s="286" t="s">
        <v>87</v>
      </c>
      <c r="Q123" s="287"/>
      <c r="R123" s="287"/>
      <c r="S123" s="287"/>
      <c r="T123" s="287"/>
      <c r="U123" s="287"/>
      <c r="V123" s="288"/>
      <c r="W123" s="37" t="s">
        <v>88</v>
      </c>
      <c r="X123" s="280">
        <f>IFERROR(SUMPRODUCT(X115:X121*H115:H121),"0")</f>
        <v>405.6</v>
      </c>
      <c r="Y123" s="280">
        <f>IFERROR(SUMPRODUCT(Y115:Y121*H115:H121),"0")</f>
        <v>405.6</v>
      </c>
      <c r="Z123" s="37"/>
      <c r="AA123" s="281"/>
      <c r="AB123" s="281"/>
      <c r="AC123" s="281"/>
    </row>
    <row r="124" spans="1:68" ht="14.25" hidden="1" customHeight="1" x14ac:dyDescent="0.25">
      <c r="A124" s="308" t="s">
        <v>141</v>
      </c>
      <c r="B124" s="306"/>
      <c r="C124" s="306"/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274"/>
      <c r="AB124" s="274"/>
      <c r="AC124" s="274"/>
    </row>
    <row r="125" spans="1:68" ht="27" customHeight="1" x14ac:dyDescent="0.25">
      <c r="A125" s="54" t="s">
        <v>207</v>
      </c>
      <c r="B125" s="54" t="s">
        <v>208</v>
      </c>
      <c r="C125" s="31">
        <v>4301135826</v>
      </c>
      <c r="D125" s="310">
        <v>4620207490983</v>
      </c>
      <c r="E125" s="311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0"/>
      <c r="R125" s="290"/>
      <c r="S125" s="290"/>
      <c r="T125" s="291"/>
      <c r="U125" s="34"/>
      <c r="V125" s="34"/>
      <c r="W125" s="35" t="s">
        <v>68</v>
      </c>
      <c r="X125" s="278">
        <v>14</v>
      </c>
      <c r="Y125" s="279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305"/>
      <c r="B126" s="306"/>
      <c r="C126" s="306"/>
      <c r="D126" s="306"/>
      <c r="E126" s="306"/>
      <c r="F126" s="306"/>
      <c r="G126" s="306"/>
      <c r="H126" s="306"/>
      <c r="I126" s="306"/>
      <c r="J126" s="306"/>
      <c r="K126" s="306"/>
      <c r="L126" s="306"/>
      <c r="M126" s="306"/>
      <c r="N126" s="306"/>
      <c r="O126" s="307"/>
      <c r="P126" s="286" t="s">
        <v>87</v>
      </c>
      <c r="Q126" s="287"/>
      <c r="R126" s="287"/>
      <c r="S126" s="287"/>
      <c r="T126" s="287"/>
      <c r="U126" s="287"/>
      <c r="V126" s="288"/>
      <c r="W126" s="37" t="s">
        <v>68</v>
      </c>
      <c r="X126" s="280">
        <f>IFERROR(SUM(X125:X125),"0")</f>
        <v>14</v>
      </c>
      <c r="Y126" s="280">
        <f>IFERROR(SUM(Y125:Y125),"0")</f>
        <v>14</v>
      </c>
      <c r="Z126" s="280">
        <f>IFERROR(IF(Z125="",0,Z125),"0")</f>
        <v>0.25031999999999999</v>
      </c>
      <c r="AA126" s="281"/>
      <c r="AB126" s="281"/>
      <c r="AC126" s="281"/>
    </row>
    <row r="127" spans="1:68" x14ac:dyDescent="0.2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7"/>
      <c r="P127" s="286" t="s">
        <v>87</v>
      </c>
      <c r="Q127" s="287"/>
      <c r="R127" s="287"/>
      <c r="S127" s="287"/>
      <c r="T127" s="287"/>
      <c r="U127" s="287"/>
      <c r="V127" s="288"/>
      <c r="W127" s="37" t="s">
        <v>88</v>
      </c>
      <c r="X127" s="280">
        <f>IFERROR(SUMPRODUCT(X125:X125*H125:H125),"0")</f>
        <v>36.96</v>
      </c>
      <c r="Y127" s="280">
        <f>IFERROR(SUMPRODUCT(Y125:Y125*H125:H125),"0")</f>
        <v>36.96</v>
      </c>
      <c r="Z127" s="37"/>
      <c r="AA127" s="281"/>
      <c r="AB127" s="281"/>
      <c r="AC127" s="281"/>
    </row>
    <row r="128" spans="1:68" ht="14.25" hidden="1" customHeight="1" x14ac:dyDescent="0.25">
      <c r="A128" s="308" t="s">
        <v>210</v>
      </c>
      <c r="B128" s="306"/>
      <c r="C128" s="306"/>
      <c r="D128" s="306"/>
      <c r="E128" s="306"/>
      <c r="F128" s="306"/>
      <c r="G128" s="306"/>
      <c r="H128" s="306"/>
      <c r="I128" s="306"/>
      <c r="J128" s="306"/>
      <c r="K128" s="306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306"/>
      <c r="W128" s="306"/>
      <c r="X128" s="306"/>
      <c r="Y128" s="306"/>
      <c r="Z128" s="306"/>
      <c r="AA128" s="274"/>
      <c r="AB128" s="274"/>
      <c r="AC128" s="274"/>
    </row>
    <row r="129" spans="1:68" ht="27" hidden="1" customHeight="1" x14ac:dyDescent="0.25">
      <c r="A129" s="54" t="s">
        <v>211</v>
      </c>
      <c r="B129" s="54" t="s">
        <v>212</v>
      </c>
      <c r="C129" s="31">
        <v>4301071094</v>
      </c>
      <c r="D129" s="310">
        <v>4620207491140</v>
      </c>
      <c r="E129" s="311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6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0"/>
      <c r="R129" s="290"/>
      <c r="S129" s="290"/>
      <c r="T129" s="291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305"/>
      <c r="B130" s="306"/>
      <c r="C130" s="306"/>
      <c r="D130" s="306"/>
      <c r="E130" s="306"/>
      <c r="F130" s="306"/>
      <c r="G130" s="306"/>
      <c r="H130" s="306"/>
      <c r="I130" s="306"/>
      <c r="J130" s="306"/>
      <c r="K130" s="306"/>
      <c r="L130" s="306"/>
      <c r="M130" s="306"/>
      <c r="N130" s="306"/>
      <c r="O130" s="307"/>
      <c r="P130" s="286" t="s">
        <v>87</v>
      </c>
      <c r="Q130" s="287"/>
      <c r="R130" s="287"/>
      <c r="S130" s="287"/>
      <c r="T130" s="287"/>
      <c r="U130" s="287"/>
      <c r="V130" s="288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hidden="1" x14ac:dyDescent="0.2">
      <c r="A131" s="306"/>
      <c r="B131" s="306"/>
      <c r="C131" s="306"/>
      <c r="D131" s="306"/>
      <c r="E131" s="306"/>
      <c r="F131" s="306"/>
      <c r="G131" s="306"/>
      <c r="H131" s="306"/>
      <c r="I131" s="306"/>
      <c r="J131" s="306"/>
      <c r="K131" s="306"/>
      <c r="L131" s="306"/>
      <c r="M131" s="306"/>
      <c r="N131" s="306"/>
      <c r="O131" s="307"/>
      <c r="P131" s="286" t="s">
        <v>87</v>
      </c>
      <c r="Q131" s="287"/>
      <c r="R131" s="287"/>
      <c r="S131" s="287"/>
      <c r="T131" s="287"/>
      <c r="U131" s="287"/>
      <c r="V131" s="288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hidden="1" customHeight="1" x14ac:dyDescent="0.25">
      <c r="A132" s="317" t="s">
        <v>214</v>
      </c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306"/>
      <c r="W132" s="306"/>
      <c r="X132" s="306"/>
      <c r="Y132" s="306"/>
      <c r="Z132" s="306"/>
      <c r="AA132" s="273"/>
      <c r="AB132" s="273"/>
      <c r="AC132" s="273"/>
    </row>
    <row r="133" spans="1:68" ht="14.25" hidden="1" customHeight="1" x14ac:dyDescent="0.25">
      <c r="A133" s="308" t="s">
        <v>141</v>
      </c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306"/>
      <c r="W133" s="306"/>
      <c r="X133" s="306"/>
      <c r="Y133" s="306"/>
      <c r="Z133" s="306"/>
      <c r="AA133" s="274"/>
      <c r="AB133" s="274"/>
      <c r="AC133" s="274"/>
    </row>
    <row r="134" spans="1:68" ht="27" hidden="1" customHeight="1" x14ac:dyDescent="0.25">
      <c r="A134" s="54" t="s">
        <v>215</v>
      </c>
      <c r="B134" s="54" t="s">
        <v>216</v>
      </c>
      <c r="C134" s="31">
        <v>4301135848</v>
      </c>
      <c r="D134" s="310">
        <v>4620207491799</v>
      </c>
      <c r="E134" s="311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7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90"/>
      <c r="R134" s="290"/>
      <c r="S134" s="290"/>
      <c r="T134" s="291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hidden="1" customHeight="1" x14ac:dyDescent="0.25">
      <c r="A135" s="54" t="s">
        <v>218</v>
      </c>
      <c r="B135" s="54" t="s">
        <v>219</v>
      </c>
      <c r="C135" s="31">
        <v>4301135850</v>
      </c>
      <c r="D135" s="310">
        <v>4620207491492</v>
      </c>
      <c r="E135" s="311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0"/>
      <c r="R135" s="290"/>
      <c r="S135" s="290"/>
      <c r="T135" s="291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4301190118</v>
      </c>
      <c r="D136" s="310">
        <v>4620207491461</v>
      </c>
      <c r="E136" s="311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0"/>
      <c r="R136" s="290"/>
      <c r="S136" s="290"/>
      <c r="T136" s="291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4301135865</v>
      </c>
      <c r="D137" s="310">
        <v>4620207491485</v>
      </c>
      <c r="E137" s="311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0"/>
      <c r="R137" s="290"/>
      <c r="S137" s="290"/>
      <c r="T137" s="291"/>
      <c r="U137" s="34"/>
      <c r="V137" s="34"/>
      <c r="W137" s="35" t="s">
        <v>68</v>
      </c>
      <c r="X137" s="278">
        <v>42</v>
      </c>
      <c r="Y137" s="279">
        <f>IFERROR(IF(X137="","",X137),"")</f>
        <v>42</v>
      </c>
      <c r="Z137" s="36">
        <f>IFERROR(IF(X137="","",X137*0.00941),"")</f>
        <v>0.39522000000000002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75.600000000000009</v>
      </c>
      <c r="BN137" s="67">
        <f>IFERROR(Y137*I137,"0")</f>
        <v>75.600000000000009</v>
      </c>
      <c r="BO137" s="67">
        <f>IFERROR(X137/J137,"0")</f>
        <v>0.3</v>
      </c>
      <c r="BP137" s="67">
        <f>IFERROR(Y137/J137,"0")</f>
        <v>0.3</v>
      </c>
    </row>
    <row r="138" spans="1:68" x14ac:dyDescent="0.2">
      <c r="A138" s="305"/>
      <c r="B138" s="306"/>
      <c r="C138" s="306"/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7"/>
      <c r="P138" s="286" t="s">
        <v>87</v>
      </c>
      <c r="Q138" s="287"/>
      <c r="R138" s="287"/>
      <c r="S138" s="287"/>
      <c r="T138" s="287"/>
      <c r="U138" s="287"/>
      <c r="V138" s="288"/>
      <c r="W138" s="37" t="s">
        <v>68</v>
      </c>
      <c r="X138" s="280">
        <f>IFERROR(SUM(X134:X137),"0")</f>
        <v>42</v>
      </c>
      <c r="Y138" s="280">
        <f>IFERROR(SUM(Y134:Y137),"0")</f>
        <v>42</v>
      </c>
      <c r="Z138" s="280">
        <f>IFERROR(IF(Z134="",0,Z134),"0")+IFERROR(IF(Z135="",0,Z135),"0")+IFERROR(IF(Z136="",0,Z136),"0")+IFERROR(IF(Z137="",0,Z137),"0")</f>
        <v>0.39522000000000002</v>
      </c>
      <c r="AA138" s="281"/>
      <c r="AB138" s="281"/>
      <c r="AC138" s="281"/>
    </row>
    <row r="139" spans="1:68" x14ac:dyDescent="0.2">
      <c r="A139" s="306"/>
      <c r="B139" s="306"/>
      <c r="C139" s="306"/>
      <c r="D139" s="306"/>
      <c r="E139" s="306"/>
      <c r="F139" s="306"/>
      <c r="G139" s="306"/>
      <c r="H139" s="306"/>
      <c r="I139" s="306"/>
      <c r="J139" s="306"/>
      <c r="K139" s="306"/>
      <c r="L139" s="306"/>
      <c r="M139" s="306"/>
      <c r="N139" s="306"/>
      <c r="O139" s="307"/>
      <c r="P139" s="286" t="s">
        <v>87</v>
      </c>
      <c r="Q139" s="287"/>
      <c r="R139" s="287"/>
      <c r="S139" s="287"/>
      <c r="T139" s="287"/>
      <c r="U139" s="287"/>
      <c r="V139" s="288"/>
      <c r="W139" s="37" t="s">
        <v>88</v>
      </c>
      <c r="X139" s="280">
        <f>IFERROR(SUMPRODUCT(X134:X137*H134:H137),"0")</f>
        <v>57.959999999999994</v>
      </c>
      <c r="Y139" s="280">
        <f>IFERROR(SUMPRODUCT(Y134:Y137*H134:H137),"0")</f>
        <v>57.959999999999994</v>
      </c>
      <c r="Z139" s="37"/>
      <c r="AA139" s="281"/>
      <c r="AB139" s="281"/>
      <c r="AC139" s="281"/>
    </row>
    <row r="140" spans="1:68" ht="14.25" hidden="1" customHeight="1" x14ac:dyDescent="0.25">
      <c r="A140" s="308" t="s">
        <v>224</v>
      </c>
      <c r="B140" s="306"/>
      <c r="C140" s="306"/>
      <c r="D140" s="306"/>
      <c r="E140" s="306"/>
      <c r="F140" s="306"/>
      <c r="G140" s="306"/>
      <c r="H140" s="306"/>
      <c r="I140" s="306"/>
      <c r="J140" s="306"/>
      <c r="K140" s="306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  <c r="V140" s="306"/>
      <c r="W140" s="306"/>
      <c r="X140" s="306"/>
      <c r="Y140" s="306"/>
      <c r="Z140" s="306"/>
      <c r="AA140" s="274"/>
      <c r="AB140" s="274"/>
      <c r="AC140" s="274"/>
    </row>
    <row r="141" spans="1:68" ht="27" hidden="1" customHeight="1" x14ac:dyDescent="0.25">
      <c r="A141" s="54" t="s">
        <v>225</v>
      </c>
      <c r="B141" s="54" t="s">
        <v>226</v>
      </c>
      <c r="C141" s="31">
        <v>4301190117</v>
      </c>
      <c r="D141" s="310">
        <v>4620207491386</v>
      </c>
      <c r="E141" s="311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0"/>
      <c r="R141" s="290"/>
      <c r="S141" s="290"/>
      <c r="T141" s="291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hidden="1" customHeight="1" x14ac:dyDescent="0.25">
      <c r="A142" s="54" t="s">
        <v>228</v>
      </c>
      <c r="B142" s="54" t="s">
        <v>229</v>
      </c>
      <c r="C142" s="31">
        <v>4301190115</v>
      </c>
      <c r="D142" s="310">
        <v>4620207491362</v>
      </c>
      <c r="E142" s="311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0"/>
      <c r="R142" s="290"/>
      <c r="S142" s="290"/>
      <c r="T142" s="291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hidden="1" customHeight="1" x14ac:dyDescent="0.25">
      <c r="A143" s="54" t="s">
        <v>230</v>
      </c>
      <c r="B143" s="54" t="s">
        <v>231</v>
      </c>
      <c r="C143" s="31">
        <v>4301190116</v>
      </c>
      <c r="D143" s="310">
        <v>4620207491379</v>
      </c>
      <c r="E143" s="311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0"/>
      <c r="R143" s="290"/>
      <c r="S143" s="290"/>
      <c r="T143" s="291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305"/>
      <c r="B144" s="306"/>
      <c r="C144" s="306"/>
      <c r="D144" s="306"/>
      <c r="E144" s="306"/>
      <c r="F144" s="306"/>
      <c r="G144" s="306"/>
      <c r="H144" s="306"/>
      <c r="I144" s="306"/>
      <c r="J144" s="306"/>
      <c r="K144" s="306"/>
      <c r="L144" s="306"/>
      <c r="M144" s="306"/>
      <c r="N144" s="306"/>
      <c r="O144" s="307"/>
      <c r="P144" s="286" t="s">
        <v>87</v>
      </c>
      <c r="Q144" s="287"/>
      <c r="R144" s="287"/>
      <c r="S144" s="287"/>
      <c r="T144" s="287"/>
      <c r="U144" s="287"/>
      <c r="V144" s="288"/>
      <c r="W144" s="37" t="s">
        <v>68</v>
      </c>
      <c r="X144" s="280">
        <f>IFERROR(SUM(X141:X143),"0")</f>
        <v>0</v>
      </c>
      <c r="Y144" s="280">
        <f>IFERROR(SUM(Y141:Y143),"0")</f>
        <v>0</v>
      </c>
      <c r="Z144" s="280">
        <f>IFERROR(IF(Z141="",0,Z141),"0")+IFERROR(IF(Z142="",0,Z142),"0")+IFERROR(IF(Z143="",0,Z143),"0")</f>
        <v>0</v>
      </c>
      <c r="AA144" s="281"/>
      <c r="AB144" s="281"/>
      <c r="AC144" s="281"/>
    </row>
    <row r="145" spans="1:68" hidden="1" x14ac:dyDescent="0.2">
      <c r="A145" s="306"/>
      <c r="B145" s="306"/>
      <c r="C145" s="306"/>
      <c r="D145" s="306"/>
      <c r="E145" s="306"/>
      <c r="F145" s="306"/>
      <c r="G145" s="306"/>
      <c r="H145" s="306"/>
      <c r="I145" s="306"/>
      <c r="J145" s="306"/>
      <c r="K145" s="306"/>
      <c r="L145" s="306"/>
      <c r="M145" s="306"/>
      <c r="N145" s="306"/>
      <c r="O145" s="307"/>
      <c r="P145" s="286" t="s">
        <v>87</v>
      </c>
      <c r="Q145" s="287"/>
      <c r="R145" s="287"/>
      <c r="S145" s="287"/>
      <c r="T145" s="287"/>
      <c r="U145" s="287"/>
      <c r="V145" s="288"/>
      <c r="W145" s="37" t="s">
        <v>88</v>
      </c>
      <c r="X145" s="280">
        <f>IFERROR(SUMPRODUCT(X141:X143*H141:H143),"0")</f>
        <v>0</v>
      </c>
      <c r="Y145" s="280">
        <f>IFERROR(SUMPRODUCT(Y141:Y143*H141:H143),"0")</f>
        <v>0</v>
      </c>
      <c r="Z145" s="37"/>
      <c r="AA145" s="281"/>
      <c r="AB145" s="281"/>
      <c r="AC145" s="281"/>
    </row>
    <row r="146" spans="1:68" ht="16.5" hidden="1" customHeight="1" x14ac:dyDescent="0.25">
      <c r="A146" s="317" t="s">
        <v>232</v>
      </c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O146" s="306"/>
      <c r="P146" s="306"/>
      <c r="Q146" s="306"/>
      <c r="R146" s="306"/>
      <c r="S146" s="306"/>
      <c r="T146" s="306"/>
      <c r="U146" s="306"/>
      <c r="V146" s="306"/>
      <c r="W146" s="306"/>
      <c r="X146" s="306"/>
      <c r="Y146" s="306"/>
      <c r="Z146" s="306"/>
      <c r="AA146" s="273"/>
      <c r="AB146" s="273"/>
      <c r="AC146" s="273"/>
    </row>
    <row r="147" spans="1:68" ht="14.25" hidden="1" customHeight="1" x14ac:dyDescent="0.25">
      <c r="A147" s="308" t="s">
        <v>141</v>
      </c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  <c r="X147" s="306"/>
      <c r="Y147" s="306"/>
      <c r="Z147" s="306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310">
        <v>4607111034014</v>
      </c>
      <c r="E148" s="311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0"/>
      <c r="R148" s="290"/>
      <c r="S148" s="290"/>
      <c r="T148" s="291"/>
      <c r="U148" s="34"/>
      <c r="V148" s="34"/>
      <c r="W148" s="35" t="s">
        <v>68</v>
      </c>
      <c r="X148" s="278">
        <v>56</v>
      </c>
      <c r="Y148" s="279">
        <f>IFERROR(IF(X148="","",X148),"")</f>
        <v>56</v>
      </c>
      <c r="Z148" s="36">
        <f>IFERROR(IF(X148="","",X148*0.01788),"")</f>
        <v>1.0012799999999999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207.40159999999997</v>
      </c>
      <c r="BN148" s="67">
        <f>IFERROR(Y148*I148,"0")</f>
        <v>207.40159999999997</v>
      </c>
      <c r="BO148" s="67">
        <f>IFERROR(X148/J148,"0")</f>
        <v>0.8</v>
      </c>
      <c r="BP148" s="67">
        <f>IFERROR(Y148/J148,"0")</f>
        <v>0.8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310">
        <v>4607111033994</v>
      </c>
      <c r="E149" s="311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0"/>
      <c r="R149" s="290"/>
      <c r="S149" s="290"/>
      <c r="T149" s="291"/>
      <c r="U149" s="34"/>
      <c r="V149" s="34"/>
      <c r="W149" s="35" t="s">
        <v>68</v>
      </c>
      <c r="X149" s="278">
        <v>70</v>
      </c>
      <c r="Y149" s="279">
        <f>IFERROR(IF(X149="","",X149),"")</f>
        <v>70</v>
      </c>
      <c r="Z149" s="36">
        <f>IFERROR(IF(X149="","",X149*0.01788),"")</f>
        <v>1.2516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259.25200000000001</v>
      </c>
      <c r="BN149" s="67">
        <f>IFERROR(Y149*I149,"0")</f>
        <v>259.25200000000001</v>
      </c>
      <c r="BO149" s="67">
        <f>IFERROR(X149/J149,"0")</f>
        <v>1</v>
      </c>
      <c r="BP149" s="67">
        <f>IFERROR(Y149/J149,"0")</f>
        <v>1</v>
      </c>
    </row>
    <row r="150" spans="1:68" x14ac:dyDescent="0.2">
      <c r="A150" s="305"/>
      <c r="B150" s="306"/>
      <c r="C150" s="306"/>
      <c r="D150" s="306"/>
      <c r="E150" s="306"/>
      <c r="F150" s="306"/>
      <c r="G150" s="306"/>
      <c r="H150" s="306"/>
      <c r="I150" s="306"/>
      <c r="J150" s="306"/>
      <c r="K150" s="306"/>
      <c r="L150" s="306"/>
      <c r="M150" s="306"/>
      <c r="N150" s="306"/>
      <c r="O150" s="307"/>
      <c r="P150" s="286" t="s">
        <v>87</v>
      </c>
      <c r="Q150" s="287"/>
      <c r="R150" s="287"/>
      <c r="S150" s="287"/>
      <c r="T150" s="287"/>
      <c r="U150" s="287"/>
      <c r="V150" s="288"/>
      <c r="W150" s="37" t="s">
        <v>68</v>
      </c>
      <c r="X150" s="280">
        <f>IFERROR(SUM(X148:X149),"0")</f>
        <v>126</v>
      </c>
      <c r="Y150" s="280">
        <f>IFERROR(SUM(Y148:Y149),"0")</f>
        <v>126</v>
      </c>
      <c r="Z150" s="280">
        <f>IFERROR(IF(Z148="",0,Z148),"0")+IFERROR(IF(Z149="",0,Z149),"0")</f>
        <v>2.2528800000000002</v>
      </c>
      <c r="AA150" s="281"/>
      <c r="AB150" s="281"/>
      <c r="AC150" s="281"/>
    </row>
    <row r="151" spans="1:68" x14ac:dyDescent="0.2">
      <c r="A151" s="306"/>
      <c r="B151" s="306"/>
      <c r="C151" s="306"/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7"/>
      <c r="P151" s="286" t="s">
        <v>87</v>
      </c>
      <c r="Q151" s="287"/>
      <c r="R151" s="287"/>
      <c r="S151" s="287"/>
      <c r="T151" s="287"/>
      <c r="U151" s="287"/>
      <c r="V151" s="288"/>
      <c r="W151" s="37" t="s">
        <v>88</v>
      </c>
      <c r="X151" s="280">
        <f>IFERROR(SUMPRODUCT(X148:X149*H148:H149),"0")</f>
        <v>378</v>
      </c>
      <c r="Y151" s="280">
        <f>IFERROR(SUMPRODUCT(Y148:Y149*H148:H149),"0")</f>
        <v>378</v>
      </c>
      <c r="Z151" s="37"/>
      <c r="AA151" s="281"/>
      <c r="AB151" s="281"/>
      <c r="AC151" s="281"/>
    </row>
    <row r="152" spans="1:68" ht="16.5" hidden="1" customHeight="1" x14ac:dyDescent="0.25">
      <c r="A152" s="317" t="s">
        <v>238</v>
      </c>
      <c r="B152" s="306"/>
      <c r="C152" s="306"/>
      <c r="D152" s="306"/>
      <c r="E152" s="306"/>
      <c r="F152" s="306"/>
      <c r="G152" s="306"/>
      <c r="H152" s="306"/>
      <c r="I152" s="306"/>
      <c r="J152" s="306"/>
      <c r="K152" s="306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  <c r="AA152" s="273"/>
      <c r="AB152" s="273"/>
      <c r="AC152" s="273"/>
    </row>
    <row r="153" spans="1:68" ht="14.25" hidden="1" customHeight="1" x14ac:dyDescent="0.25">
      <c r="A153" s="308" t="s">
        <v>141</v>
      </c>
      <c r="B153" s="306"/>
      <c r="C153" s="306"/>
      <c r="D153" s="306"/>
      <c r="E153" s="306"/>
      <c r="F153" s="306"/>
      <c r="G153" s="306"/>
      <c r="H153" s="306"/>
      <c r="I153" s="306"/>
      <c r="J153" s="306"/>
      <c r="K153" s="306"/>
      <c r="L153" s="306"/>
      <c r="M153" s="306"/>
      <c r="N153" s="306"/>
      <c r="O153" s="306"/>
      <c r="P153" s="306"/>
      <c r="Q153" s="306"/>
      <c r="R153" s="306"/>
      <c r="S153" s="306"/>
      <c r="T153" s="306"/>
      <c r="U153" s="306"/>
      <c r="V153" s="306"/>
      <c r="W153" s="306"/>
      <c r="X153" s="306"/>
      <c r="Y153" s="306"/>
      <c r="Z153" s="306"/>
      <c r="AA153" s="274"/>
      <c r="AB153" s="274"/>
      <c r="AC153" s="274"/>
    </row>
    <row r="154" spans="1:68" ht="27" hidden="1" customHeight="1" x14ac:dyDescent="0.25">
      <c r="A154" s="54" t="s">
        <v>239</v>
      </c>
      <c r="B154" s="54" t="s">
        <v>240</v>
      </c>
      <c r="C154" s="31">
        <v>4301135824</v>
      </c>
      <c r="D154" s="310">
        <v>4607111039095</v>
      </c>
      <c r="E154" s="311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0"/>
      <c r="R154" s="290"/>
      <c r="S154" s="290"/>
      <c r="T154" s="291"/>
      <c r="U154" s="34"/>
      <c r="V154" s="34"/>
      <c r="W154" s="35" t="s">
        <v>68</v>
      </c>
      <c r="X154" s="278">
        <v>0</v>
      </c>
      <c r="Y154" s="279">
        <f>IFERROR(IF(X154="","",X154),"")</f>
        <v>0</v>
      </c>
      <c r="Z154" s="36">
        <f>IFERROR(IF(X154="","",X154*0.01788),"")</f>
        <v>0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16.5" hidden="1" customHeight="1" x14ac:dyDescent="0.25">
      <c r="A155" s="54" t="s">
        <v>242</v>
      </c>
      <c r="B155" s="54" t="s">
        <v>243</v>
      </c>
      <c r="C155" s="31">
        <v>4301135550</v>
      </c>
      <c r="D155" s="310">
        <v>4607111034199</v>
      </c>
      <c r="E155" s="311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0"/>
      <c r="R155" s="290"/>
      <c r="S155" s="290"/>
      <c r="T155" s="291"/>
      <c r="U155" s="34"/>
      <c r="V155" s="34"/>
      <c r="W155" s="35" t="s">
        <v>68</v>
      </c>
      <c r="X155" s="278">
        <v>0</v>
      </c>
      <c r="Y155" s="279">
        <f>IFERROR(IF(X155="","",X155),"")</f>
        <v>0</v>
      </c>
      <c r="Z155" s="36">
        <f>IFERROR(IF(X155="","",X155*0.01788),"")</f>
        <v>0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05"/>
      <c r="B156" s="306"/>
      <c r="C156" s="306"/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7"/>
      <c r="P156" s="286" t="s">
        <v>87</v>
      </c>
      <c r="Q156" s="287"/>
      <c r="R156" s="287"/>
      <c r="S156" s="287"/>
      <c r="T156" s="287"/>
      <c r="U156" s="287"/>
      <c r="V156" s="288"/>
      <c r="W156" s="37" t="s">
        <v>68</v>
      </c>
      <c r="X156" s="280">
        <f>IFERROR(SUM(X154:X155),"0")</f>
        <v>0</v>
      </c>
      <c r="Y156" s="280">
        <f>IFERROR(SUM(Y154:Y155),"0")</f>
        <v>0</v>
      </c>
      <c r="Z156" s="280">
        <f>IFERROR(IF(Z154="",0,Z154),"0")+IFERROR(IF(Z155="",0,Z155),"0")</f>
        <v>0</v>
      </c>
      <c r="AA156" s="281"/>
      <c r="AB156" s="281"/>
      <c r="AC156" s="281"/>
    </row>
    <row r="157" spans="1:68" hidden="1" x14ac:dyDescent="0.2">
      <c r="A157" s="306"/>
      <c r="B157" s="306"/>
      <c r="C157" s="306"/>
      <c r="D157" s="306"/>
      <c r="E157" s="306"/>
      <c r="F157" s="306"/>
      <c r="G157" s="306"/>
      <c r="H157" s="306"/>
      <c r="I157" s="306"/>
      <c r="J157" s="306"/>
      <c r="K157" s="306"/>
      <c r="L157" s="306"/>
      <c r="M157" s="306"/>
      <c r="N157" s="306"/>
      <c r="O157" s="307"/>
      <c r="P157" s="286" t="s">
        <v>87</v>
      </c>
      <c r="Q157" s="287"/>
      <c r="R157" s="287"/>
      <c r="S157" s="287"/>
      <c r="T157" s="287"/>
      <c r="U157" s="287"/>
      <c r="V157" s="288"/>
      <c r="W157" s="37" t="s">
        <v>88</v>
      </c>
      <c r="X157" s="280">
        <f>IFERROR(SUMPRODUCT(X154:X155*H154:H155),"0")</f>
        <v>0</v>
      </c>
      <c r="Y157" s="280">
        <f>IFERROR(SUMPRODUCT(Y154:Y155*H154:H155),"0")</f>
        <v>0</v>
      </c>
      <c r="Z157" s="37"/>
      <c r="AA157" s="281"/>
      <c r="AB157" s="281"/>
      <c r="AC157" s="281"/>
    </row>
    <row r="158" spans="1:68" ht="16.5" hidden="1" customHeight="1" x14ac:dyDescent="0.25">
      <c r="A158" s="317" t="s">
        <v>245</v>
      </c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  <c r="AA158" s="273"/>
      <c r="AB158" s="273"/>
      <c r="AC158" s="273"/>
    </row>
    <row r="159" spans="1:68" ht="14.25" hidden="1" customHeight="1" x14ac:dyDescent="0.25">
      <c r="A159" s="308" t="s">
        <v>141</v>
      </c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O159" s="306"/>
      <c r="P159" s="306"/>
      <c r="Q159" s="306"/>
      <c r="R159" s="306"/>
      <c r="S159" s="306"/>
      <c r="T159" s="306"/>
      <c r="U159" s="306"/>
      <c r="V159" s="306"/>
      <c r="W159" s="306"/>
      <c r="X159" s="306"/>
      <c r="Y159" s="306"/>
      <c r="Z159" s="306"/>
      <c r="AA159" s="274"/>
      <c r="AB159" s="274"/>
      <c r="AC159" s="274"/>
    </row>
    <row r="160" spans="1:68" ht="27" customHeight="1" x14ac:dyDescent="0.25">
      <c r="A160" s="54" t="s">
        <v>246</v>
      </c>
      <c r="B160" s="54" t="s">
        <v>247</v>
      </c>
      <c r="C160" s="31">
        <v>4301135753</v>
      </c>
      <c r="D160" s="310">
        <v>4620207490914</v>
      </c>
      <c r="E160" s="311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0"/>
      <c r="R160" s="290"/>
      <c r="S160" s="290"/>
      <c r="T160" s="291"/>
      <c r="U160" s="34"/>
      <c r="V160" s="34"/>
      <c r="W160" s="35" t="s">
        <v>68</v>
      </c>
      <c r="X160" s="278">
        <v>42</v>
      </c>
      <c r="Y160" s="279">
        <f>IFERROR(IF(X160="","",X160),"")</f>
        <v>42</v>
      </c>
      <c r="Z160" s="36">
        <f>IFERROR(IF(X160="","",X160*0.01788),"")</f>
        <v>0.75095999999999996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112.56</v>
      </c>
      <c r="BN160" s="67">
        <f>IFERROR(Y160*I160,"0")</f>
        <v>112.56</v>
      </c>
      <c r="BO160" s="67">
        <f>IFERROR(X160/J160,"0")</f>
        <v>0.6</v>
      </c>
      <c r="BP160" s="67">
        <f>IFERROR(Y160/J160,"0")</f>
        <v>0.6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310">
        <v>4620207490853</v>
      </c>
      <c r="E161" s="311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0"/>
      <c r="R161" s="290"/>
      <c r="S161" s="290"/>
      <c r="T161" s="291"/>
      <c r="U161" s="34"/>
      <c r="V161" s="34"/>
      <c r="W161" s="35" t="s">
        <v>68</v>
      </c>
      <c r="X161" s="278">
        <v>14</v>
      </c>
      <c r="Y161" s="279">
        <f>IFERROR(IF(X161="","",X161),"")</f>
        <v>14</v>
      </c>
      <c r="Z161" s="36">
        <f>IFERROR(IF(X161="","",X161*0.01788),"")</f>
        <v>0.25031999999999999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37.520000000000003</v>
      </c>
      <c r="BN161" s="67">
        <f>IFERROR(Y161*I161,"0")</f>
        <v>37.520000000000003</v>
      </c>
      <c r="BO161" s="67">
        <f>IFERROR(X161/J161,"0")</f>
        <v>0.2</v>
      </c>
      <c r="BP161" s="67">
        <f>IFERROR(Y161/J161,"0")</f>
        <v>0.2</v>
      </c>
    </row>
    <row r="162" spans="1:68" x14ac:dyDescent="0.2">
      <c r="A162" s="305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7"/>
      <c r="P162" s="286" t="s">
        <v>87</v>
      </c>
      <c r="Q162" s="287"/>
      <c r="R162" s="287"/>
      <c r="S162" s="287"/>
      <c r="T162" s="287"/>
      <c r="U162" s="287"/>
      <c r="V162" s="288"/>
      <c r="W162" s="37" t="s">
        <v>68</v>
      </c>
      <c r="X162" s="280">
        <f>IFERROR(SUM(X160:X161),"0")</f>
        <v>56</v>
      </c>
      <c r="Y162" s="280">
        <f>IFERROR(SUM(Y160:Y161),"0")</f>
        <v>56</v>
      </c>
      <c r="Z162" s="280">
        <f>IFERROR(IF(Z160="",0,Z160),"0")+IFERROR(IF(Z161="",0,Z161),"0")</f>
        <v>1.0012799999999999</v>
      </c>
      <c r="AA162" s="281"/>
      <c r="AB162" s="281"/>
      <c r="AC162" s="281"/>
    </row>
    <row r="163" spans="1:68" x14ac:dyDescent="0.2">
      <c r="A163" s="306"/>
      <c r="B163" s="306"/>
      <c r="C163" s="306"/>
      <c r="D163" s="306"/>
      <c r="E163" s="306"/>
      <c r="F163" s="306"/>
      <c r="G163" s="306"/>
      <c r="H163" s="306"/>
      <c r="I163" s="306"/>
      <c r="J163" s="306"/>
      <c r="K163" s="306"/>
      <c r="L163" s="306"/>
      <c r="M163" s="306"/>
      <c r="N163" s="306"/>
      <c r="O163" s="307"/>
      <c r="P163" s="286" t="s">
        <v>87</v>
      </c>
      <c r="Q163" s="287"/>
      <c r="R163" s="287"/>
      <c r="S163" s="287"/>
      <c r="T163" s="287"/>
      <c r="U163" s="287"/>
      <c r="V163" s="288"/>
      <c r="W163" s="37" t="s">
        <v>88</v>
      </c>
      <c r="X163" s="280">
        <f>IFERROR(SUMPRODUCT(X160:X161*H160:H161),"0")</f>
        <v>134.4</v>
      </c>
      <c r="Y163" s="280">
        <f>IFERROR(SUMPRODUCT(Y160:Y161*H160:H161),"0")</f>
        <v>134.4</v>
      </c>
      <c r="Z163" s="37"/>
      <c r="AA163" s="281"/>
      <c r="AB163" s="281"/>
      <c r="AC163" s="281"/>
    </row>
    <row r="164" spans="1:68" ht="16.5" hidden="1" customHeight="1" x14ac:dyDescent="0.25">
      <c r="A164" s="317" t="s">
        <v>250</v>
      </c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  <c r="AA164" s="273"/>
      <c r="AB164" s="273"/>
      <c r="AC164" s="273"/>
    </row>
    <row r="165" spans="1:68" ht="14.25" hidden="1" customHeight="1" x14ac:dyDescent="0.25">
      <c r="A165" s="308" t="s">
        <v>141</v>
      </c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274"/>
      <c r="AB165" s="274"/>
      <c r="AC165" s="274"/>
    </row>
    <row r="166" spans="1:68" ht="27" hidden="1" customHeight="1" x14ac:dyDescent="0.25">
      <c r="A166" s="54" t="s">
        <v>251</v>
      </c>
      <c r="B166" s="54" t="s">
        <v>252</v>
      </c>
      <c r="C166" s="31">
        <v>4301135570</v>
      </c>
      <c r="D166" s="310">
        <v>4607111035806</v>
      </c>
      <c r="E166" s="311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0"/>
      <c r="R166" s="290"/>
      <c r="S166" s="290"/>
      <c r="T166" s="291"/>
      <c r="U166" s="34"/>
      <c r="V166" s="34"/>
      <c r="W166" s="35" t="s">
        <v>68</v>
      </c>
      <c r="X166" s="278">
        <v>0</v>
      </c>
      <c r="Y166" s="279">
        <f>IFERROR(IF(X166="","",X166),"")</f>
        <v>0</v>
      </c>
      <c r="Z166" s="36">
        <f>IFERROR(IF(X166="","",X166*0.01788),"")</f>
        <v>0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305"/>
      <c r="B167" s="306"/>
      <c r="C167" s="306"/>
      <c r="D167" s="306"/>
      <c r="E167" s="306"/>
      <c r="F167" s="306"/>
      <c r="G167" s="306"/>
      <c r="H167" s="306"/>
      <c r="I167" s="306"/>
      <c r="J167" s="306"/>
      <c r="K167" s="306"/>
      <c r="L167" s="306"/>
      <c r="M167" s="306"/>
      <c r="N167" s="306"/>
      <c r="O167" s="307"/>
      <c r="P167" s="286" t="s">
        <v>87</v>
      </c>
      <c r="Q167" s="287"/>
      <c r="R167" s="287"/>
      <c r="S167" s="287"/>
      <c r="T167" s="287"/>
      <c r="U167" s="287"/>
      <c r="V167" s="288"/>
      <c r="W167" s="37" t="s">
        <v>68</v>
      </c>
      <c r="X167" s="280">
        <f>IFERROR(SUM(X166:X166),"0")</f>
        <v>0</v>
      </c>
      <c r="Y167" s="280">
        <f>IFERROR(SUM(Y166:Y166),"0")</f>
        <v>0</v>
      </c>
      <c r="Z167" s="280">
        <f>IFERROR(IF(Z166="",0,Z166),"0")</f>
        <v>0</v>
      </c>
      <c r="AA167" s="281"/>
      <c r="AB167" s="281"/>
      <c r="AC167" s="281"/>
    </row>
    <row r="168" spans="1:68" hidden="1" x14ac:dyDescent="0.2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7"/>
      <c r="P168" s="286" t="s">
        <v>87</v>
      </c>
      <c r="Q168" s="287"/>
      <c r="R168" s="287"/>
      <c r="S168" s="287"/>
      <c r="T168" s="287"/>
      <c r="U168" s="287"/>
      <c r="V168" s="288"/>
      <c r="W168" s="37" t="s">
        <v>88</v>
      </c>
      <c r="X168" s="280">
        <f>IFERROR(SUMPRODUCT(X166:X166*H166:H166),"0")</f>
        <v>0</v>
      </c>
      <c r="Y168" s="280">
        <f>IFERROR(SUMPRODUCT(Y166:Y166*H166:H166),"0")</f>
        <v>0</v>
      </c>
      <c r="Z168" s="37"/>
      <c r="AA168" s="281"/>
      <c r="AB168" s="281"/>
      <c r="AC168" s="281"/>
    </row>
    <row r="169" spans="1:68" ht="16.5" hidden="1" customHeight="1" x14ac:dyDescent="0.25">
      <c r="A169" s="317" t="s">
        <v>254</v>
      </c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  <c r="AA169" s="273"/>
      <c r="AB169" s="273"/>
      <c r="AC169" s="273"/>
    </row>
    <row r="170" spans="1:68" ht="14.25" hidden="1" customHeight="1" x14ac:dyDescent="0.25">
      <c r="A170" s="308" t="s">
        <v>141</v>
      </c>
      <c r="B170" s="306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  <c r="AA170" s="274"/>
      <c r="AB170" s="274"/>
      <c r="AC170" s="274"/>
    </row>
    <row r="171" spans="1:68" ht="16.5" customHeight="1" x14ac:dyDescent="0.25">
      <c r="A171" s="54" t="s">
        <v>255</v>
      </c>
      <c r="B171" s="54" t="s">
        <v>256</v>
      </c>
      <c r="C171" s="31">
        <v>4301135607</v>
      </c>
      <c r="D171" s="310">
        <v>4607111039613</v>
      </c>
      <c r="E171" s="311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5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0"/>
      <c r="R171" s="290"/>
      <c r="S171" s="290"/>
      <c r="T171" s="291"/>
      <c r="U171" s="34"/>
      <c r="V171" s="34"/>
      <c r="W171" s="35" t="s">
        <v>68</v>
      </c>
      <c r="X171" s="278">
        <v>14</v>
      </c>
      <c r="Y171" s="279">
        <f>IFERROR(IF(X171="","",X171),"")</f>
        <v>14</v>
      </c>
      <c r="Z171" s="36">
        <f>IFERROR(IF(X171="","",X171*0.00936),"")</f>
        <v>0.13103999999999999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43.26</v>
      </c>
      <c r="BN171" s="67">
        <f>IFERROR(Y171*I171,"0")</f>
        <v>43.26</v>
      </c>
      <c r="BO171" s="67">
        <f>IFERROR(X171/J171,"0")</f>
        <v>0.1111111111111111</v>
      </c>
      <c r="BP171" s="67">
        <f>IFERROR(Y171/J171,"0")</f>
        <v>0.1111111111111111</v>
      </c>
    </row>
    <row r="172" spans="1:68" x14ac:dyDescent="0.2">
      <c r="A172" s="305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7"/>
      <c r="P172" s="286" t="s">
        <v>87</v>
      </c>
      <c r="Q172" s="287"/>
      <c r="R172" s="287"/>
      <c r="S172" s="287"/>
      <c r="T172" s="287"/>
      <c r="U172" s="287"/>
      <c r="V172" s="288"/>
      <c r="W172" s="37" t="s">
        <v>68</v>
      </c>
      <c r="X172" s="280">
        <f>IFERROR(SUM(X171:X171),"0")</f>
        <v>14</v>
      </c>
      <c r="Y172" s="280">
        <f>IFERROR(SUM(Y171:Y171),"0")</f>
        <v>14</v>
      </c>
      <c r="Z172" s="280">
        <f>IFERROR(IF(Z171="",0,Z171),"0")</f>
        <v>0.13103999999999999</v>
      </c>
      <c r="AA172" s="281"/>
      <c r="AB172" s="281"/>
      <c r="AC172" s="281"/>
    </row>
    <row r="173" spans="1:68" x14ac:dyDescent="0.2">
      <c r="A173" s="306"/>
      <c r="B173" s="306"/>
      <c r="C173" s="306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O173" s="307"/>
      <c r="P173" s="286" t="s">
        <v>87</v>
      </c>
      <c r="Q173" s="287"/>
      <c r="R173" s="287"/>
      <c r="S173" s="287"/>
      <c r="T173" s="287"/>
      <c r="U173" s="287"/>
      <c r="V173" s="288"/>
      <c r="W173" s="37" t="s">
        <v>88</v>
      </c>
      <c r="X173" s="280">
        <f>IFERROR(SUMPRODUCT(X171:X171*H171:H171),"0")</f>
        <v>37.800000000000004</v>
      </c>
      <c r="Y173" s="280">
        <f>IFERROR(SUMPRODUCT(Y171:Y171*H171:H171),"0")</f>
        <v>37.800000000000004</v>
      </c>
      <c r="Z173" s="37"/>
      <c r="AA173" s="281"/>
      <c r="AB173" s="281"/>
      <c r="AC173" s="281"/>
    </row>
    <row r="174" spans="1:68" ht="16.5" hidden="1" customHeight="1" x14ac:dyDescent="0.25">
      <c r="A174" s="317" t="s">
        <v>257</v>
      </c>
      <c r="B174" s="306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  <c r="AA174" s="273"/>
      <c r="AB174" s="273"/>
      <c r="AC174" s="273"/>
    </row>
    <row r="175" spans="1:68" ht="14.25" hidden="1" customHeight="1" x14ac:dyDescent="0.25">
      <c r="A175" s="308" t="s">
        <v>141</v>
      </c>
      <c r="B175" s="306"/>
      <c r="C175" s="306"/>
      <c r="D175" s="306"/>
      <c r="E175" s="306"/>
      <c r="F175" s="306"/>
      <c r="G175" s="306"/>
      <c r="H175" s="306"/>
      <c r="I175" s="306"/>
      <c r="J175" s="306"/>
      <c r="K175" s="306"/>
      <c r="L175" s="306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  <c r="AA175" s="274"/>
      <c r="AB175" s="274"/>
      <c r="AC175" s="274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310">
        <v>4607111036568</v>
      </c>
      <c r="E176" s="311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0"/>
      <c r="R176" s="290"/>
      <c r="S176" s="290"/>
      <c r="T176" s="291"/>
      <c r="U176" s="34"/>
      <c r="V176" s="34"/>
      <c r="W176" s="35" t="s">
        <v>68</v>
      </c>
      <c r="X176" s="278">
        <v>98</v>
      </c>
      <c r="Y176" s="279">
        <f>IFERROR(IF(X176="","",X176),"")</f>
        <v>98</v>
      </c>
      <c r="Z176" s="36">
        <f>IFERROR(IF(X176="","",X176*0.00941),"")</f>
        <v>0.92218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205.97639999999998</v>
      </c>
      <c r="BN176" s="67">
        <f>IFERROR(Y176*I176,"0")</f>
        <v>205.97639999999998</v>
      </c>
      <c r="BO176" s="67">
        <f>IFERROR(X176/J176,"0")</f>
        <v>0.7</v>
      </c>
      <c r="BP176" s="67">
        <f>IFERROR(Y176/J176,"0")</f>
        <v>0.7</v>
      </c>
    </row>
    <row r="177" spans="1:68" x14ac:dyDescent="0.2">
      <c r="A177" s="305"/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7"/>
      <c r="P177" s="286" t="s">
        <v>87</v>
      </c>
      <c r="Q177" s="287"/>
      <c r="R177" s="287"/>
      <c r="S177" s="287"/>
      <c r="T177" s="287"/>
      <c r="U177" s="287"/>
      <c r="V177" s="288"/>
      <c r="W177" s="37" t="s">
        <v>68</v>
      </c>
      <c r="X177" s="280">
        <f>IFERROR(SUM(X176:X176),"0")</f>
        <v>98</v>
      </c>
      <c r="Y177" s="280">
        <f>IFERROR(SUM(Y176:Y176),"0")</f>
        <v>98</v>
      </c>
      <c r="Z177" s="280">
        <f>IFERROR(IF(Z176="",0,Z176),"0")</f>
        <v>0.92218</v>
      </c>
      <c r="AA177" s="281"/>
      <c r="AB177" s="281"/>
      <c r="AC177" s="281"/>
    </row>
    <row r="178" spans="1:68" x14ac:dyDescent="0.2">
      <c r="A178" s="306"/>
      <c r="B178" s="306"/>
      <c r="C178" s="306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O178" s="307"/>
      <c r="P178" s="286" t="s">
        <v>87</v>
      </c>
      <c r="Q178" s="287"/>
      <c r="R178" s="287"/>
      <c r="S178" s="287"/>
      <c r="T178" s="287"/>
      <c r="U178" s="287"/>
      <c r="V178" s="288"/>
      <c r="W178" s="37" t="s">
        <v>88</v>
      </c>
      <c r="X178" s="280">
        <f>IFERROR(SUMPRODUCT(X176:X176*H176:H176),"0")</f>
        <v>164.64</v>
      </c>
      <c r="Y178" s="280">
        <f>IFERROR(SUMPRODUCT(Y176:Y176*H176:H176),"0")</f>
        <v>164.64</v>
      </c>
      <c r="Z178" s="37"/>
      <c r="AA178" s="281"/>
      <c r="AB178" s="281"/>
      <c r="AC178" s="281"/>
    </row>
    <row r="179" spans="1:68" ht="27.75" hidden="1" customHeight="1" x14ac:dyDescent="0.2">
      <c r="A179" s="302" t="s">
        <v>261</v>
      </c>
      <c r="B179" s="303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  <c r="N179" s="303"/>
      <c r="O179" s="303"/>
      <c r="P179" s="303"/>
      <c r="Q179" s="303"/>
      <c r="R179" s="303"/>
      <c r="S179" s="303"/>
      <c r="T179" s="303"/>
      <c r="U179" s="303"/>
      <c r="V179" s="303"/>
      <c r="W179" s="303"/>
      <c r="X179" s="303"/>
      <c r="Y179" s="303"/>
      <c r="Z179" s="303"/>
      <c r="AA179" s="48"/>
      <c r="AB179" s="48"/>
      <c r="AC179" s="48"/>
    </row>
    <row r="180" spans="1:68" ht="16.5" hidden="1" customHeight="1" x14ac:dyDescent="0.25">
      <c r="A180" s="317" t="s">
        <v>262</v>
      </c>
      <c r="B180" s="306"/>
      <c r="C180" s="306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O180" s="306"/>
      <c r="P180" s="306"/>
      <c r="Q180" s="306"/>
      <c r="R180" s="306"/>
      <c r="S180" s="306"/>
      <c r="T180" s="306"/>
      <c r="U180" s="306"/>
      <c r="V180" s="306"/>
      <c r="W180" s="306"/>
      <c r="X180" s="306"/>
      <c r="Y180" s="306"/>
      <c r="Z180" s="306"/>
      <c r="AA180" s="273"/>
      <c r="AB180" s="273"/>
      <c r="AC180" s="273"/>
    </row>
    <row r="181" spans="1:68" ht="14.25" hidden="1" customHeight="1" x14ac:dyDescent="0.25">
      <c r="A181" s="308" t="s">
        <v>62</v>
      </c>
      <c r="B181" s="306"/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  <c r="AA181" s="274"/>
      <c r="AB181" s="274"/>
      <c r="AC181" s="274"/>
    </row>
    <row r="182" spans="1:68" ht="16.5" hidden="1" customHeight="1" x14ac:dyDescent="0.25">
      <c r="A182" s="54" t="s">
        <v>263</v>
      </c>
      <c r="B182" s="54" t="s">
        <v>264</v>
      </c>
      <c r="C182" s="31">
        <v>4301071062</v>
      </c>
      <c r="D182" s="310">
        <v>4607111036384</v>
      </c>
      <c r="E182" s="311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7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0"/>
      <c r="R182" s="290"/>
      <c r="S182" s="290"/>
      <c r="T182" s="291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266</v>
      </c>
      <c r="B183" s="54" t="s">
        <v>267</v>
      </c>
      <c r="C183" s="31">
        <v>4301071050</v>
      </c>
      <c r="D183" s="310">
        <v>4607111036216</v>
      </c>
      <c r="E183" s="311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0"/>
      <c r="R183" s="290"/>
      <c r="S183" s="290"/>
      <c r="T183" s="291"/>
      <c r="U183" s="34"/>
      <c r="V183" s="34"/>
      <c r="W183" s="35" t="s">
        <v>68</v>
      </c>
      <c r="X183" s="278">
        <v>84</v>
      </c>
      <c r="Y183" s="279">
        <f>IFERROR(IF(X183="","",X183),"")</f>
        <v>84</v>
      </c>
      <c r="Z183" s="36">
        <f>IFERROR(IF(X183="","",X183*0.00866),"")</f>
        <v>0.72743999999999998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437.90879999999999</v>
      </c>
      <c r="BN183" s="67">
        <f>IFERROR(Y183*I183,"0")</f>
        <v>437.90879999999999</v>
      </c>
      <c r="BO183" s="67">
        <f>IFERROR(X183/J183,"0")</f>
        <v>0.58333333333333337</v>
      </c>
      <c r="BP183" s="67">
        <f>IFERROR(Y183/J183,"0")</f>
        <v>0.58333333333333337</v>
      </c>
    </row>
    <row r="184" spans="1:68" x14ac:dyDescent="0.2">
      <c r="A184" s="305"/>
      <c r="B184" s="306"/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O184" s="307"/>
      <c r="P184" s="286" t="s">
        <v>87</v>
      </c>
      <c r="Q184" s="287"/>
      <c r="R184" s="287"/>
      <c r="S184" s="287"/>
      <c r="T184" s="287"/>
      <c r="U184" s="287"/>
      <c r="V184" s="288"/>
      <c r="W184" s="37" t="s">
        <v>68</v>
      </c>
      <c r="X184" s="280">
        <f>IFERROR(SUM(X182:X183),"0")</f>
        <v>84</v>
      </c>
      <c r="Y184" s="280">
        <f>IFERROR(SUM(Y182:Y183),"0")</f>
        <v>84</v>
      </c>
      <c r="Z184" s="280">
        <f>IFERROR(IF(Z182="",0,Z182),"0")+IFERROR(IF(Z183="",0,Z183),"0")</f>
        <v>0.72743999999999998</v>
      </c>
      <c r="AA184" s="281"/>
      <c r="AB184" s="281"/>
      <c r="AC184" s="281"/>
    </row>
    <row r="185" spans="1:68" x14ac:dyDescent="0.2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7"/>
      <c r="P185" s="286" t="s">
        <v>87</v>
      </c>
      <c r="Q185" s="287"/>
      <c r="R185" s="287"/>
      <c r="S185" s="287"/>
      <c r="T185" s="287"/>
      <c r="U185" s="287"/>
      <c r="V185" s="288"/>
      <c r="W185" s="37" t="s">
        <v>88</v>
      </c>
      <c r="X185" s="280">
        <f>IFERROR(SUMPRODUCT(X182:X183*H182:H183),"0")</f>
        <v>420</v>
      </c>
      <c r="Y185" s="280">
        <f>IFERROR(SUMPRODUCT(Y182:Y183*H182:H183),"0")</f>
        <v>420</v>
      </c>
      <c r="Z185" s="37"/>
      <c r="AA185" s="281"/>
      <c r="AB185" s="281"/>
      <c r="AC185" s="281"/>
    </row>
    <row r="186" spans="1:68" ht="16.5" hidden="1" customHeight="1" x14ac:dyDescent="0.25">
      <c r="A186" s="317" t="s">
        <v>269</v>
      </c>
      <c r="B186" s="306"/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N186" s="306"/>
      <c r="O186" s="306"/>
      <c r="P186" s="306"/>
      <c r="Q186" s="306"/>
      <c r="R186" s="306"/>
      <c r="S186" s="306"/>
      <c r="T186" s="306"/>
      <c r="U186" s="306"/>
      <c r="V186" s="306"/>
      <c r="W186" s="306"/>
      <c r="X186" s="306"/>
      <c r="Y186" s="306"/>
      <c r="Z186" s="306"/>
      <c r="AA186" s="273"/>
      <c r="AB186" s="273"/>
      <c r="AC186" s="273"/>
    </row>
    <row r="187" spans="1:68" ht="14.25" hidden="1" customHeight="1" x14ac:dyDescent="0.25">
      <c r="A187" s="308" t="s">
        <v>62</v>
      </c>
      <c r="B187" s="306"/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306"/>
      <c r="X187" s="306"/>
      <c r="Y187" s="306"/>
      <c r="Z187" s="306"/>
      <c r="AA187" s="274"/>
      <c r="AB187" s="274"/>
      <c r="AC187" s="274"/>
    </row>
    <row r="188" spans="1:68" ht="27" hidden="1" customHeight="1" x14ac:dyDescent="0.25">
      <c r="A188" s="54" t="s">
        <v>270</v>
      </c>
      <c r="B188" s="54" t="s">
        <v>271</v>
      </c>
      <c r="C188" s="31">
        <v>4301071117</v>
      </c>
      <c r="D188" s="310">
        <v>4620207491737</v>
      </c>
      <c r="E188" s="311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3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90"/>
      <c r="R188" s="290"/>
      <c r="S188" s="290"/>
      <c r="T188" s="291"/>
      <c r="U188" s="34"/>
      <c r="V188" s="34"/>
      <c r="W188" s="35" t="s">
        <v>68</v>
      </c>
      <c r="X188" s="278">
        <v>0</v>
      </c>
      <c r="Y188" s="279">
        <f>IFERROR(IF(X188="","",X188),"")</f>
        <v>0</v>
      </c>
      <c r="Z188" s="36">
        <f>IFERROR(IF(X188="","",X188*0.0155),"")</f>
        <v>0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305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7"/>
      <c r="P189" s="286" t="s">
        <v>87</v>
      </c>
      <c r="Q189" s="287"/>
      <c r="R189" s="287"/>
      <c r="S189" s="287"/>
      <c r="T189" s="287"/>
      <c r="U189" s="287"/>
      <c r="V189" s="288"/>
      <c r="W189" s="37" t="s">
        <v>68</v>
      </c>
      <c r="X189" s="280">
        <f>IFERROR(SUM(X188:X188),"0")</f>
        <v>0</v>
      </c>
      <c r="Y189" s="280">
        <f>IFERROR(SUM(Y188:Y188),"0")</f>
        <v>0</v>
      </c>
      <c r="Z189" s="280">
        <f>IFERROR(IF(Z188="",0,Z188),"0")</f>
        <v>0</v>
      </c>
      <c r="AA189" s="281"/>
      <c r="AB189" s="281"/>
      <c r="AC189" s="281"/>
    </row>
    <row r="190" spans="1:68" hidden="1" x14ac:dyDescent="0.2">
      <c r="A190" s="306"/>
      <c r="B190" s="306"/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N190" s="306"/>
      <c r="O190" s="307"/>
      <c r="P190" s="286" t="s">
        <v>87</v>
      </c>
      <c r="Q190" s="287"/>
      <c r="R190" s="287"/>
      <c r="S190" s="287"/>
      <c r="T190" s="287"/>
      <c r="U190" s="287"/>
      <c r="V190" s="288"/>
      <c r="W190" s="37" t="s">
        <v>88</v>
      </c>
      <c r="X190" s="280">
        <f>IFERROR(SUMPRODUCT(X188:X188*H188:H188),"0")</f>
        <v>0</v>
      </c>
      <c r="Y190" s="280">
        <f>IFERROR(SUMPRODUCT(Y188:Y188*H188:H188),"0")</f>
        <v>0</v>
      </c>
      <c r="Z190" s="37"/>
      <c r="AA190" s="281"/>
      <c r="AB190" s="281"/>
      <c r="AC190" s="281"/>
    </row>
    <row r="191" spans="1:68" ht="27.75" hidden="1" customHeight="1" x14ac:dyDescent="0.2">
      <c r="A191" s="302" t="s">
        <v>272</v>
      </c>
      <c r="B191" s="303"/>
      <c r="C191" s="303"/>
      <c r="D191" s="303"/>
      <c r="E191" s="303"/>
      <c r="F191" s="303"/>
      <c r="G191" s="303"/>
      <c r="H191" s="303"/>
      <c r="I191" s="303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3"/>
      <c r="U191" s="303"/>
      <c r="V191" s="303"/>
      <c r="W191" s="303"/>
      <c r="X191" s="303"/>
      <c r="Y191" s="303"/>
      <c r="Z191" s="303"/>
      <c r="AA191" s="48"/>
      <c r="AB191" s="48"/>
      <c r="AC191" s="48"/>
    </row>
    <row r="192" spans="1:68" ht="16.5" hidden="1" customHeight="1" x14ac:dyDescent="0.25">
      <c r="A192" s="317" t="s">
        <v>273</v>
      </c>
      <c r="B192" s="306"/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N192" s="306"/>
      <c r="O192" s="306"/>
      <c r="P192" s="306"/>
      <c r="Q192" s="306"/>
      <c r="R192" s="306"/>
      <c r="S192" s="306"/>
      <c r="T192" s="306"/>
      <c r="U192" s="306"/>
      <c r="V192" s="306"/>
      <c r="W192" s="306"/>
      <c r="X192" s="306"/>
      <c r="Y192" s="306"/>
      <c r="Z192" s="306"/>
      <c r="AA192" s="273"/>
      <c r="AB192" s="273"/>
      <c r="AC192" s="273"/>
    </row>
    <row r="193" spans="1:68" ht="14.25" hidden="1" customHeight="1" x14ac:dyDescent="0.25">
      <c r="A193" s="308" t="s">
        <v>97</v>
      </c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  <c r="T193" s="306"/>
      <c r="U193" s="306"/>
      <c r="V193" s="306"/>
      <c r="W193" s="306"/>
      <c r="X193" s="306"/>
      <c r="Y193" s="306"/>
      <c r="Z193" s="306"/>
      <c r="AA193" s="274"/>
      <c r="AB193" s="274"/>
      <c r="AC193" s="274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310">
        <v>4607111035691</v>
      </c>
      <c r="E194" s="311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6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0"/>
      <c r="R194" s="290"/>
      <c r="S194" s="290"/>
      <c r="T194" s="291"/>
      <c r="U194" s="34"/>
      <c r="V194" s="34"/>
      <c r="W194" s="35" t="s">
        <v>68</v>
      </c>
      <c r="X194" s="278">
        <v>14</v>
      </c>
      <c r="Y194" s="279">
        <f>IFERROR(IF(X194="","",X194),"")</f>
        <v>14</v>
      </c>
      <c r="Z194" s="36">
        <f>IFERROR(IF(X194="","",X194*0.01788),"")</f>
        <v>0.25031999999999999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47.432000000000002</v>
      </c>
      <c r="BN194" s="67">
        <f>IFERROR(Y194*I194,"0")</f>
        <v>47.432000000000002</v>
      </c>
      <c r="BO194" s="67">
        <f>IFERROR(X194/J194,"0")</f>
        <v>0.2</v>
      </c>
      <c r="BP194" s="67">
        <f>IFERROR(Y194/J194,"0")</f>
        <v>0.2</v>
      </c>
    </row>
    <row r="195" spans="1:68" ht="27" hidden="1" customHeight="1" x14ac:dyDescent="0.25">
      <c r="A195" s="54" t="s">
        <v>277</v>
      </c>
      <c r="B195" s="54" t="s">
        <v>278</v>
      </c>
      <c r="C195" s="31">
        <v>4301132182</v>
      </c>
      <c r="D195" s="310">
        <v>4607111035721</v>
      </c>
      <c r="E195" s="311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7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0"/>
      <c r="R195" s="290"/>
      <c r="S195" s="290"/>
      <c r="T195" s="291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IFERROR(IF(X195="","",X195*0.01788),"")</f>
        <v>0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310">
        <v>4607111038487</v>
      </c>
      <c r="E196" s="311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0"/>
      <c r="R196" s="290"/>
      <c r="S196" s="290"/>
      <c r="T196" s="291"/>
      <c r="U196" s="34"/>
      <c r="V196" s="34"/>
      <c r="W196" s="35" t="s">
        <v>68</v>
      </c>
      <c r="X196" s="278">
        <v>28</v>
      </c>
      <c r="Y196" s="279">
        <f>IFERROR(IF(X196="","",X196),"")</f>
        <v>28</v>
      </c>
      <c r="Z196" s="36">
        <f>IFERROR(IF(X196="","",X196*0.01788),"")</f>
        <v>0.50063999999999997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104.608</v>
      </c>
      <c r="BN196" s="67">
        <f>IFERROR(Y196*I196,"0")</f>
        <v>104.608</v>
      </c>
      <c r="BO196" s="67">
        <f>IFERROR(X196/J196,"0")</f>
        <v>0.4</v>
      </c>
      <c r="BP196" s="67">
        <f>IFERROR(Y196/J196,"0")</f>
        <v>0.4</v>
      </c>
    </row>
    <row r="197" spans="1:68" ht="27" hidden="1" customHeight="1" x14ac:dyDescent="0.25">
      <c r="A197" s="54" t="s">
        <v>283</v>
      </c>
      <c r="B197" s="54" t="s">
        <v>284</v>
      </c>
      <c r="C197" s="31">
        <v>4301132243</v>
      </c>
      <c r="D197" s="310">
        <v>4620207491195</v>
      </c>
      <c r="E197" s="311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0"/>
      <c r="R197" s="290"/>
      <c r="S197" s="290"/>
      <c r="T197" s="291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305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7"/>
      <c r="P198" s="286" t="s">
        <v>87</v>
      </c>
      <c r="Q198" s="287"/>
      <c r="R198" s="287"/>
      <c r="S198" s="287"/>
      <c r="T198" s="287"/>
      <c r="U198" s="287"/>
      <c r="V198" s="288"/>
      <c r="W198" s="37" t="s">
        <v>68</v>
      </c>
      <c r="X198" s="280">
        <f>IFERROR(SUM(X194:X197),"0")</f>
        <v>42</v>
      </c>
      <c r="Y198" s="280">
        <f>IFERROR(SUM(Y194:Y197),"0")</f>
        <v>42</v>
      </c>
      <c r="Z198" s="280">
        <f>IFERROR(IF(Z194="",0,Z194),"0")+IFERROR(IF(Z195="",0,Z195),"0")+IFERROR(IF(Z196="",0,Z196),"0")+IFERROR(IF(Z197="",0,Z197),"0")</f>
        <v>0.75095999999999996</v>
      </c>
      <c r="AA198" s="281"/>
      <c r="AB198" s="281"/>
      <c r="AC198" s="281"/>
    </row>
    <row r="199" spans="1:68" x14ac:dyDescent="0.2">
      <c r="A199" s="306"/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N199" s="306"/>
      <c r="O199" s="307"/>
      <c r="P199" s="286" t="s">
        <v>87</v>
      </c>
      <c r="Q199" s="287"/>
      <c r="R199" s="287"/>
      <c r="S199" s="287"/>
      <c r="T199" s="287"/>
      <c r="U199" s="287"/>
      <c r="V199" s="288"/>
      <c r="W199" s="37" t="s">
        <v>88</v>
      </c>
      <c r="X199" s="280">
        <f>IFERROR(SUMPRODUCT(X194:X197*H194:H197),"0")</f>
        <v>126</v>
      </c>
      <c r="Y199" s="280">
        <f>IFERROR(SUMPRODUCT(Y194:Y197*H194:H197),"0")</f>
        <v>126</v>
      </c>
      <c r="Z199" s="37"/>
      <c r="AA199" s="281"/>
      <c r="AB199" s="281"/>
      <c r="AC199" s="281"/>
    </row>
    <row r="200" spans="1:68" ht="27.75" hidden="1" customHeight="1" x14ac:dyDescent="0.2">
      <c r="A200" s="302" t="s">
        <v>286</v>
      </c>
      <c r="B200" s="303"/>
      <c r="C200" s="303"/>
      <c r="D200" s="303"/>
      <c r="E200" s="303"/>
      <c r="F200" s="303"/>
      <c r="G200" s="303"/>
      <c r="H200" s="303"/>
      <c r="I200" s="303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3"/>
      <c r="U200" s="303"/>
      <c r="V200" s="303"/>
      <c r="W200" s="303"/>
      <c r="X200" s="303"/>
      <c r="Y200" s="303"/>
      <c r="Z200" s="303"/>
      <c r="AA200" s="48"/>
      <c r="AB200" s="48"/>
      <c r="AC200" s="48"/>
    </row>
    <row r="201" spans="1:68" ht="16.5" hidden="1" customHeight="1" x14ac:dyDescent="0.25">
      <c r="A201" s="317" t="s">
        <v>287</v>
      </c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N201" s="306"/>
      <c r="O201" s="306"/>
      <c r="P201" s="306"/>
      <c r="Q201" s="306"/>
      <c r="R201" s="306"/>
      <c r="S201" s="306"/>
      <c r="T201" s="306"/>
      <c r="U201" s="306"/>
      <c r="V201" s="306"/>
      <c r="W201" s="306"/>
      <c r="X201" s="306"/>
      <c r="Y201" s="306"/>
      <c r="Z201" s="306"/>
      <c r="AA201" s="273"/>
      <c r="AB201" s="273"/>
      <c r="AC201" s="273"/>
    </row>
    <row r="202" spans="1:68" ht="14.25" hidden="1" customHeight="1" x14ac:dyDescent="0.25">
      <c r="A202" s="308" t="s">
        <v>97</v>
      </c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N202" s="306"/>
      <c r="O202" s="306"/>
      <c r="P202" s="306"/>
      <c r="Q202" s="306"/>
      <c r="R202" s="306"/>
      <c r="S202" s="306"/>
      <c r="T202" s="306"/>
      <c r="U202" s="306"/>
      <c r="V202" s="306"/>
      <c r="W202" s="306"/>
      <c r="X202" s="306"/>
      <c r="Y202" s="306"/>
      <c r="Z202" s="306"/>
      <c r="AA202" s="274"/>
      <c r="AB202" s="274"/>
      <c r="AC202" s="274"/>
    </row>
    <row r="203" spans="1:68" ht="27" customHeight="1" x14ac:dyDescent="0.25">
      <c r="A203" s="54" t="s">
        <v>288</v>
      </c>
      <c r="B203" s="54" t="s">
        <v>289</v>
      </c>
      <c r="C203" s="31">
        <v>4301132227</v>
      </c>
      <c r="D203" s="310">
        <v>4620207491133</v>
      </c>
      <c r="E203" s="311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0"/>
      <c r="R203" s="290"/>
      <c r="S203" s="290"/>
      <c r="T203" s="291"/>
      <c r="U203" s="34"/>
      <c r="V203" s="34"/>
      <c r="W203" s="35" t="s">
        <v>68</v>
      </c>
      <c r="X203" s="278">
        <v>14</v>
      </c>
      <c r="Y203" s="279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41.72</v>
      </c>
      <c r="BN203" s="67">
        <f>IFERROR(Y203*I203,"0")</f>
        <v>41.72</v>
      </c>
      <c r="BO203" s="67">
        <f>IFERROR(X203/J203,"0")</f>
        <v>0.2</v>
      </c>
      <c r="BP203" s="67">
        <f>IFERROR(Y203/J203,"0")</f>
        <v>0.2</v>
      </c>
    </row>
    <row r="204" spans="1:68" x14ac:dyDescent="0.2">
      <c r="A204" s="305"/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N204" s="306"/>
      <c r="O204" s="307"/>
      <c r="P204" s="286" t="s">
        <v>87</v>
      </c>
      <c r="Q204" s="287"/>
      <c r="R204" s="287"/>
      <c r="S204" s="287"/>
      <c r="T204" s="287"/>
      <c r="U204" s="287"/>
      <c r="V204" s="288"/>
      <c r="W204" s="37" t="s">
        <v>68</v>
      </c>
      <c r="X204" s="280">
        <f>IFERROR(SUM(X203:X203),"0")</f>
        <v>14</v>
      </c>
      <c r="Y204" s="280">
        <f>IFERROR(SUM(Y203:Y203),"0")</f>
        <v>14</v>
      </c>
      <c r="Z204" s="280">
        <f>IFERROR(IF(Z203="",0,Z203),"0")</f>
        <v>0.25031999999999999</v>
      </c>
      <c r="AA204" s="281"/>
      <c r="AB204" s="281"/>
      <c r="AC204" s="281"/>
    </row>
    <row r="205" spans="1:68" x14ac:dyDescent="0.2">
      <c r="A205" s="306"/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N205" s="306"/>
      <c r="O205" s="307"/>
      <c r="P205" s="286" t="s">
        <v>87</v>
      </c>
      <c r="Q205" s="287"/>
      <c r="R205" s="287"/>
      <c r="S205" s="287"/>
      <c r="T205" s="287"/>
      <c r="U205" s="287"/>
      <c r="V205" s="288"/>
      <c r="W205" s="37" t="s">
        <v>88</v>
      </c>
      <c r="X205" s="280">
        <f>IFERROR(SUMPRODUCT(X203:X203*H203:H203),"0")</f>
        <v>38.64</v>
      </c>
      <c r="Y205" s="280">
        <f>IFERROR(SUMPRODUCT(Y203:Y203*H203:H203),"0")</f>
        <v>38.64</v>
      </c>
      <c r="Z205" s="37"/>
      <c r="AA205" s="281"/>
      <c r="AB205" s="281"/>
      <c r="AC205" s="281"/>
    </row>
    <row r="206" spans="1:68" ht="14.25" hidden="1" customHeight="1" x14ac:dyDescent="0.25">
      <c r="A206" s="308" t="s">
        <v>141</v>
      </c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  <c r="X206" s="306"/>
      <c r="Y206" s="306"/>
      <c r="Z206" s="306"/>
      <c r="AA206" s="274"/>
      <c r="AB206" s="274"/>
      <c r="AC206" s="274"/>
    </row>
    <row r="207" spans="1:68" ht="27" hidden="1" customHeight="1" x14ac:dyDescent="0.25">
      <c r="A207" s="54" t="s">
        <v>291</v>
      </c>
      <c r="B207" s="54" t="s">
        <v>292</v>
      </c>
      <c r="C207" s="31">
        <v>4301135834</v>
      </c>
      <c r="D207" s="310">
        <v>4620207491188</v>
      </c>
      <c r="E207" s="311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0"/>
      <c r="R207" s="290"/>
      <c r="S207" s="290"/>
      <c r="T207" s="291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hidden="1" customHeight="1" x14ac:dyDescent="0.25">
      <c r="A208" s="54" t="s">
        <v>294</v>
      </c>
      <c r="B208" s="54" t="s">
        <v>295</v>
      </c>
      <c r="C208" s="31">
        <v>4301135829</v>
      </c>
      <c r="D208" s="310">
        <v>4620207490235</v>
      </c>
      <c r="E208" s="311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29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0"/>
      <c r="R208" s="290"/>
      <c r="S208" s="290"/>
      <c r="T208" s="291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297</v>
      </c>
      <c r="B209" s="54" t="s">
        <v>298</v>
      </c>
      <c r="C209" s="31">
        <v>4301135697</v>
      </c>
      <c r="D209" s="310">
        <v>4620207490259</v>
      </c>
      <c r="E209" s="311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0"/>
      <c r="R209" s="290"/>
      <c r="S209" s="290"/>
      <c r="T209" s="291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305"/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O210" s="307"/>
      <c r="P210" s="286" t="s">
        <v>87</v>
      </c>
      <c r="Q210" s="287"/>
      <c r="R210" s="287"/>
      <c r="S210" s="287"/>
      <c r="T210" s="287"/>
      <c r="U210" s="287"/>
      <c r="V210" s="288"/>
      <c r="W210" s="37" t="s">
        <v>68</v>
      </c>
      <c r="X210" s="280">
        <f>IFERROR(SUM(X207:X209),"0")</f>
        <v>0</v>
      </c>
      <c r="Y210" s="280">
        <f>IFERROR(SUM(Y207:Y209),"0")</f>
        <v>0</v>
      </c>
      <c r="Z210" s="280">
        <f>IFERROR(IF(Z207="",0,Z207),"0")+IFERROR(IF(Z208="",0,Z208),"0")+IFERROR(IF(Z209="",0,Z209),"0")</f>
        <v>0</v>
      </c>
      <c r="AA210" s="281"/>
      <c r="AB210" s="281"/>
      <c r="AC210" s="281"/>
    </row>
    <row r="211" spans="1:68" hidden="1" x14ac:dyDescent="0.2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7"/>
      <c r="P211" s="286" t="s">
        <v>87</v>
      </c>
      <c r="Q211" s="287"/>
      <c r="R211" s="287"/>
      <c r="S211" s="287"/>
      <c r="T211" s="287"/>
      <c r="U211" s="287"/>
      <c r="V211" s="288"/>
      <c r="W211" s="37" t="s">
        <v>88</v>
      </c>
      <c r="X211" s="280">
        <f>IFERROR(SUMPRODUCT(X207:X209*H207:H209),"0")</f>
        <v>0</v>
      </c>
      <c r="Y211" s="280">
        <f>IFERROR(SUMPRODUCT(Y207:Y209*H207:H209),"0")</f>
        <v>0</v>
      </c>
      <c r="Z211" s="37"/>
      <c r="AA211" s="281"/>
      <c r="AB211" s="281"/>
      <c r="AC211" s="281"/>
    </row>
    <row r="212" spans="1:68" ht="16.5" hidden="1" customHeight="1" x14ac:dyDescent="0.25">
      <c r="A212" s="317" t="s">
        <v>300</v>
      </c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/>
      <c r="O212" s="306"/>
      <c r="P212" s="306"/>
      <c r="Q212" s="306"/>
      <c r="R212" s="306"/>
      <c r="S212" s="306"/>
      <c r="T212" s="306"/>
      <c r="U212" s="306"/>
      <c r="V212" s="306"/>
      <c r="W212" s="306"/>
      <c r="X212" s="306"/>
      <c r="Y212" s="306"/>
      <c r="Z212" s="306"/>
      <c r="AA212" s="273"/>
      <c r="AB212" s="273"/>
      <c r="AC212" s="273"/>
    </row>
    <row r="213" spans="1:68" ht="14.25" hidden="1" customHeight="1" x14ac:dyDescent="0.25">
      <c r="A213" s="308" t="s">
        <v>141</v>
      </c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O213" s="306"/>
      <c r="P213" s="306"/>
      <c r="Q213" s="306"/>
      <c r="R213" s="306"/>
      <c r="S213" s="306"/>
      <c r="T213" s="306"/>
      <c r="U213" s="306"/>
      <c r="V213" s="306"/>
      <c r="W213" s="306"/>
      <c r="X213" s="306"/>
      <c r="Y213" s="306"/>
      <c r="Z213" s="306"/>
      <c r="AA213" s="274"/>
      <c r="AB213" s="274"/>
      <c r="AC213" s="274"/>
    </row>
    <row r="214" spans="1:68" ht="27" hidden="1" customHeight="1" x14ac:dyDescent="0.25">
      <c r="A214" s="54" t="s">
        <v>301</v>
      </c>
      <c r="B214" s="54" t="s">
        <v>302</v>
      </c>
      <c r="C214" s="31">
        <v>4301135854</v>
      </c>
      <c r="D214" s="310">
        <v>4620207491706</v>
      </c>
      <c r="E214" s="311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304</v>
      </c>
      <c r="B215" s="54" t="s">
        <v>305</v>
      </c>
      <c r="C215" s="31">
        <v>4301135895</v>
      </c>
      <c r="D215" s="310">
        <v>4620207491522</v>
      </c>
      <c r="E215" s="311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1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0"/>
      <c r="R215" s="290"/>
      <c r="S215" s="290"/>
      <c r="T215" s="291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305"/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N216" s="306"/>
      <c r="O216" s="307"/>
      <c r="P216" s="286" t="s">
        <v>87</v>
      </c>
      <c r="Q216" s="287"/>
      <c r="R216" s="287"/>
      <c r="S216" s="287"/>
      <c r="T216" s="287"/>
      <c r="U216" s="287"/>
      <c r="V216" s="288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hidden="1" x14ac:dyDescent="0.2">
      <c r="A217" s="306"/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  <c r="O217" s="307"/>
      <c r="P217" s="286" t="s">
        <v>87</v>
      </c>
      <c r="Q217" s="287"/>
      <c r="R217" s="287"/>
      <c r="S217" s="287"/>
      <c r="T217" s="287"/>
      <c r="U217" s="287"/>
      <c r="V217" s="288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hidden="1" customHeight="1" x14ac:dyDescent="0.25">
      <c r="A218" s="317" t="s">
        <v>307</v>
      </c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N218" s="306"/>
      <c r="O218" s="306"/>
      <c r="P218" s="306"/>
      <c r="Q218" s="306"/>
      <c r="R218" s="306"/>
      <c r="S218" s="306"/>
      <c r="T218" s="306"/>
      <c r="U218" s="306"/>
      <c r="V218" s="306"/>
      <c r="W218" s="306"/>
      <c r="X218" s="306"/>
      <c r="Y218" s="306"/>
      <c r="Z218" s="306"/>
      <c r="AA218" s="273"/>
      <c r="AB218" s="273"/>
      <c r="AC218" s="273"/>
    </row>
    <row r="219" spans="1:68" ht="14.25" hidden="1" customHeight="1" x14ac:dyDescent="0.25">
      <c r="A219" s="308" t="s">
        <v>62</v>
      </c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N219" s="306"/>
      <c r="O219" s="306"/>
      <c r="P219" s="306"/>
      <c r="Q219" s="306"/>
      <c r="R219" s="306"/>
      <c r="S219" s="306"/>
      <c r="T219" s="306"/>
      <c r="U219" s="306"/>
      <c r="V219" s="306"/>
      <c r="W219" s="306"/>
      <c r="X219" s="306"/>
      <c r="Y219" s="306"/>
      <c r="Z219" s="306"/>
      <c r="AA219" s="274"/>
      <c r="AB219" s="274"/>
      <c r="AC219" s="274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310">
        <v>4620207491096</v>
      </c>
      <c r="E220" s="311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3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0"/>
      <c r="R220" s="290"/>
      <c r="S220" s="290"/>
      <c r="T220" s="291"/>
      <c r="U220" s="34"/>
      <c r="V220" s="34"/>
      <c r="W220" s="35" t="s">
        <v>68</v>
      </c>
      <c r="X220" s="278">
        <v>36</v>
      </c>
      <c r="Y220" s="279">
        <f>IFERROR(IF(X220="","",X220),"")</f>
        <v>36</v>
      </c>
      <c r="Z220" s="36">
        <f>IFERROR(IF(X220="","",X220*0.0155),"")</f>
        <v>0.55800000000000005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188.28000000000003</v>
      </c>
      <c r="BN220" s="67">
        <f>IFERROR(Y220*I220,"0")</f>
        <v>188.28000000000003</v>
      </c>
      <c r="BO220" s="67">
        <f>IFERROR(X220/J220,"0")</f>
        <v>0.42857142857142855</v>
      </c>
      <c r="BP220" s="67">
        <f>IFERROR(Y220/J220,"0")</f>
        <v>0.42857142857142855</v>
      </c>
    </row>
    <row r="221" spans="1:68" x14ac:dyDescent="0.2">
      <c r="A221" s="305"/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N221" s="306"/>
      <c r="O221" s="307"/>
      <c r="P221" s="286" t="s">
        <v>87</v>
      </c>
      <c r="Q221" s="287"/>
      <c r="R221" s="287"/>
      <c r="S221" s="287"/>
      <c r="T221" s="287"/>
      <c r="U221" s="287"/>
      <c r="V221" s="288"/>
      <c r="W221" s="37" t="s">
        <v>68</v>
      </c>
      <c r="X221" s="280">
        <f>IFERROR(SUM(X220:X220),"0")</f>
        <v>36</v>
      </c>
      <c r="Y221" s="280">
        <f>IFERROR(SUM(Y220:Y220),"0")</f>
        <v>36</v>
      </c>
      <c r="Z221" s="280">
        <f>IFERROR(IF(Z220="",0,Z220),"0")</f>
        <v>0.55800000000000005</v>
      </c>
      <c r="AA221" s="281"/>
      <c r="AB221" s="281"/>
      <c r="AC221" s="281"/>
    </row>
    <row r="222" spans="1:68" x14ac:dyDescent="0.2">
      <c r="A222" s="306"/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N222" s="306"/>
      <c r="O222" s="307"/>
      <c r="P222" s="286" t="s">
        <v>87</v>
      </c>
      <c r="Q222" s="287"/>
      <c r="R222" s="287"/>
      <c r="S222" s="287"/>
      <c r="T222" s="287"/>
      <c r="U222" s="287"/>
      <c r="V222" s="288"/>
      <c r="W222" s="37" t="s">
        <v>88</v>
      </c>
      <c r="X222" s="280">
        <f>IFERROR(SUMPRODUCT(X220:X220*H220:H220),"0")</f>
        <v>180</v>
      </c>
      <c r="Y222" s="280">
        <f>IFERROR(SUMPRODUCT(Y220:Y220*H220:H220),"0")</f>
        <v>180</v>
      </c>
      <c r="Z222" s="37"/>
      <c r="AA222" s="281"/>
      <c r="AB222" s="281"/>
      <c r="AC222" s="281"/>
    </row>
    <row r="223" spans="1:68" ht="16.5" hidden="1" customHeight="1" x14ac:dyDescent="0.25">
      <c r="A223" s="317" t="s">
        <v>311</v>
      </c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306"/>
      <c r="Q223" s="306"/>
      <c r="R223" s="306"/>
      <c r="S223" s="306"/>
      <c r="T223" s="306"/>
      <c r="U223" s="306"/>
      <c r="V223" s="306"/>
      <c r="W223" s="306"/>
      <c r="X223" s="306"/>
      <c r="Y223" s="306"/>
      <c r="Z223" s="306"/>
      <c r="AA223" s="273"/>
      <c r="AB223" s="273"/>
      <c r="AC223" s="273"/>
    </row>
    <row r="224" spans="1:68" ht="14.25" hidden="1" customHeight="1" x14ac:dyDescent="0.25">
      <c r="A224" s="308" t="s">
        <v>141</v>
      </c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6"/>
      <c r="Q224" s="306"/>
      <c r="R224" s="306"/>
      <c r="S224" s="306"/>
      <c r="T224" s="306"/>
      <c r="U224" s="306"/>
      <c r="V224" s="306"/>
      <c r="W224" s="306"/>
      <c r="X224" s="306"/>
      <c r="Y224" s="306"/>
      <c r="Z224" s="306"/>
      <c r="AA224" s="274"/>
      <c r="AB224" s="274"/>
      <c r="AC224" s="274"/>
    </row>
    <row r="225" spans="1:68" ht="27" hidden="1" customHeight="1" x14ac:dyDescent="0.25">
      <c r="A225" s="54" t="s">
        <v>312</v>
      </c>
      <c r="B225" s="54" t="s">
        <v>313</v>
      </c>
      <c r="C225" s="31">
        <v>4301135694</v>
      </c>
      <c r="D225" s="310">
        <v>4620207490501</v>
      </c>
      <c r="E225" s="311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2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0"/>
      <c r="R225" s="290"/>
      <c r="S225" s="290"/>
      <c r="T225" s="291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idden="1" x14ac:dyDescent="0.2">
      <c r="A226" s="305"/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  <c r="O226" s="307"/>
      <c r="P226" s="286" t="s">
        <v>87</v>
      </c>
      <c r="Q226" s="287"/>
      <c r="R226" s="287"/>
      <c r="S226" s="287"/>
      <c r="T226" s="287"/>
      <c r="U226" s="287"/>
      <c r="V226" s="288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hidden="1" x14ac:dyDescent="0.2">
      <c r="A227" s="306"/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  <c r="O227" s="307"/>
      <c r="P227" s="286" t="s">
        <v>87</v>
      </c>
      <c r="Q227" s="287"/>
      <c r="R227" s="287"/>
      <c r="S227" s="287"/>
      <c r="T227" s="287"/>
      <c r="U227" s="287"/>
      <c r="V227" s="288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hidden="1" customHeight="1" x14ac:dyDescent="0.2">
      <c r="A228" s="302" t="s">
        <v>315</v>
      </c>
      <c r="B228" s="303"/>
      <c r="C228" s="303"/>
      <c r="D228" s="303"/>
      <c r="E228" s="303"/>
      <c r="F228" s="303"/>
      <c r="G228" s="303"/>
      <c r="H228" s="303"/>
      <c r="I228" s="303"/>
      <c r="J228" s="303"/>
      <c r="K228" s="303"/>
      <c r="L228" s="303"/>
      <c r="M228" s="303"/>
      <c r="N228" s="303"/>
      <c r="O228" s="303"/>
      <c r="P228" s="303"/>
      <c r="Q228" s="303"/>
      <c r="R228" s="303"/>
      <c r="S228" s="303"/>
      <c r="T228" s="303"/>
      <c r="U228" s="303"/>
      <c r="V228" s="303"/>
      <c r="W228" s="303"/>
      <c r="X228" s="303"/>
      <c r="Y228" s="303"/>
      <c r="Z228" s="303"/>
      <c r="AA228" s="48"/>
      <c r="AB228" s="48"/>
      <c r="AC228" s="48"/>
    </row>
    <row r="229" spans="1:68" ht="16.5" hidden="1" customHeight="1" x14ac:dyDescent="0.25">
      <c r="A229" s="317" t="s">
        <v>316</v>
      </c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N229" s="306"/>
      <c r="O229" s="306"/>
      <c r="P229" s="306"/>
      <c r="Q229" s="306"/>
      <c r="R229" s="306"/>
      <c r="S229" s="306"/>
      <c r="T229" s="306"/>
      <c r="U229" s="306"/>
      <c r="V229" s="306"/>
      <c r="W229" s="306"/>
      <c r="X229" s="306"/>
      <c r="Y229" s="306"/>
      <c r="Z229" s="306"/>
      <c r="AA229" s="273"/>
      <c r="AB229" s="273"/>
      <c r="AC229" s="273"/>
    </row>
    <row r="230" spans="1:68" ht="14.25" hidden="1" customHeight="1" x14ac:dyDescent="0.25">
      <c r="A230" s="308" t="s">
        <v>62</v>
      </c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N230" s="306"/>
      <c r="O230" s="306"/>
      <c r="P230" s="306"/>
      <c r="Q230" s="306"/>
      <c r="R230" s="306"/>
      <c r="S230" s="306"/>
      <c r="T230" s="306"/>
      <c r="U230" s="306"/>
      <c r="V230" s="306"/>
      <c r="W230" s="306"/>
      <c r="X230" s="306"/>
      <c r="Y230" s="306"/>
      <c r="Z230" s="306"/>
      <c r="AA230" s="274"/>
      <c r="AB230" s="274"/>
      <c r="AC230" s="274"/>
    </row>
    <row r="231" spans="1:68" ht="27" hidden="1" customHeight="1" x14ac:dyDescent="0.25">
      <c r="A231" s="54" t="s">
        <v>317</v>
      </c>
      <c r="B231" s="54" t="s">
        <v>318</v>
      </c>
      <c r="C231" s="31">
        <v>4301071036</v>
      </c>
      <c r="D231" s="310">
        <v>4607111036162</v>
      </c>
      <c r="E231" s="311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3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0"/>
      <c r="R231" s="290"/>
      <c r="S231" s="290"/>
      <c r="T231" s="291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05"/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N232" s="306"/>
      <c r="O232" s="307"/>
      <c r="P232" s="286" t="s">
        <v>87</v>
      </c>
      <c r="Q232" s="287"/>
      <c r="R232" s="287"/>
      <c r="S232" s="287"/>
      <c r="T232" s="287"/>
      <c r="U232" s="287"/>
      <c r="V232" s="288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306"/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N233" s="306"/>
      <c r="O233" s="307"/>
      <c r="P233" s="286" t="s">
        <v>87</v>
      </c>
      <c r="Q233" s="287"/>
      <c r="R233" s="287"/>
      <c r="S233" s="287"/>
      <c r="T233" s="287"/>
      <c r="U233" s="287"/>
      <c r="V233" s="288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302" t="s">
        <v>320</v>
      </c>
      <c r="B234" s="303"/>
      <c r="C234" s="303"/>
      <c r="D234" s="303"/>
      <c r="E234" s="303"/>
      <c r="F234" s="303"/>
      <c r="G234" s="303"/>
      <c r="H234" s="303"/>
      <c r="I234" s="303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3"/>
      <c r="U234" s="303"/>
      <c r="V234" s="303"/>
      <c r="W234" s="303"/>
      <c r="X234" s="303"/>
      <c r="Y234" s="303"/>
      <c r="Z234" s="303"/>
      <c r="AA234" s="48"/>
      <c r="AB234" s="48"/>
      <c r="AC234" s="48"/>
    </row>
    <row r="235" spans="1:68" ht="16.5" hidden="1" customHeight="1" x14ac:dyDescent="0.25">
      <c r="A235" s="317" t="s">
        <v>321</v>
      </c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N235" s="306"/>
      <c r="O235" s="306"/>
      <c r="P235" s="306"/>
      <c r="Q235" s="306"/>
      <c r="R235" s="306"/>
      <c r="S235" s="306"/>
      <c r="T235" s="306"/>
      <c r="U235" s="306"/>
      <c r="V235" s="306"/>
      <c r="W235" s="306"/>
      <c r="X235" s="306"/>
      <c r="Y235" s="306"/>
      <c r="Z235" s="306"/>
      <c r="AA235" s="273"/>
      <c r="AB235" s="273"/>
      <c r="AC235" s="273"/>
    </row>
    <row r="236" spans="1:68" ht="14.25" hidden="1" customHeight="1" x14ac:dyDescent="0.25">
      <c r="A236" s="308" t="s">
        <v>322</v>
      </c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  <c r="X236" s="306"/>
      <c r="Y236" s="306"/>
      <c r="Z236" s="306"/>
      <c r="AA236" s="274"/>
      <c r="AB236" s="274"/>
      <c r="AC236" s="274"/>
    </row>
    <row r="237" spans="1:68" ht="27" hidden="1" customHeight="1" x14ac:dyDescent="0.25">
      <c r="A237" s="54" t="s">
        <v>323</v>
      </c>
      <c r="B237" s="54" t="s">
        <v>324</v>
      </c>
      <c r="C237" s="31">
        <v>4301133004</v>
      </c>
      <c r="D237" s="310">
        <v>4607111039774</v>
      </c>
      <c r="E237" s="311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0"/>
      <c r="R237" s="290"/>
      <c r="S237" s="290"/>
      <c r="T237" s="291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05"/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N238" s="306"/>
      <c r="O238" s="307"/>
      <c r="P238" s="286" t="s">
        <v>87</v>
      </c>
      <c r="Q238" s="287"/>
      <c r="R238" s="287"/>
      <c r="S238" s="287"/>
      <c r="T238" s="287"/>
      <c r="U238" s="287"/>
      <c r="V238" s="288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306"/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  <c r="O239" s="307"/>
      <c r="P239" s="286" t="s">
        <v>87</v>
      </c>
      <c r="Q239" s="287"/>
      <c r="R239" s="287"/>
      <c r="S239" s="287"/>
      <c r="T239" s="287"/>
      <c r="U239" s="287"/>
      <c r="V239" s="288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08" t="s">
        <v>141</v>
      </c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  <c r="O240" s="306"/>
      <c r="P240" s="306"/>
      <c r="Q240" s="306"/>
      <c r="R240" s="306"/>
      <c r="S240" s="306"/>
      <c r="T240" s="306"/>
      <c r="U240" s="306"/>
      <c r="V240" s="306"/>
      <c r="W240" s="306"/>
      <c r="X240" s="306"/>
      <c r="Y240" s="306"/>
      <c r="Z240" s="306"/>
      <c r="AA240" s="274"/>
      <c r="AB240" s="274"/>
      <c r="AC240" s="274"/>
    </row>
    <row r="241" spans="1:68" ht="37.5" hidden="1" customHeight="1" x14ac:dyDescent="0.25">
      <c r="A241" s="54" t="s">
        <v>326</v>
      </c>
      <c r="B241" s="54" t="s">
        <v>327</v>
      </c>
      <c r="C241" s="31">
        <v>4301135400</v>
      </c>
      <c r="D241" s="310">
        <v>4607111039361</v>
      </c>
      <c r="E241" s="311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0"/>
      <c r="R241" s="290"/>
      <c r="S241" s="290"/>
      <c r="T241" s="291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05"/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N242" s="306"/>
      <c r="O242" s="307"/>
      <c r="P242" s="286" t="s">
        <v>87</v>
      </c>
      <c r="Q242" s="287"/>
      <c r="R242" s="287"/>
      <c r="S242" s="287"/>
      <c r="T242" s="287"/>
      <c r="U242" s="287"/>
      <c r="V242" s="288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306"/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  <c r="O243" s="307"/>
      <c r="P243" s="286" t="s">
        <v>87</v>
      </c>
      <c r="Q243" s="287"/>
      <c r="R243" s="287"/>
      <c r="S243" s="287"/>
      <c r="T243" s="287"/>
      <c r="U243" s="287"/>
      <c r="V243" s="288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302" t="s">
        <v>328</v>
      </c>
      <c r="B244" s="303"/>
      <c r="C244" s="303"/>
      <c r="D244" s="303"/>
      <c r="E244" s="303"/>
      <c r="F244" s="303"/>
      <c r="G244" s="303"/>
      <c r="H244" s="303"/>
      <c r="I244" s="303"/>
      <c r="J244" s="303"/>
      <c r="K244" s="303"/>
      <c r="L244" s="303"/>
      <c r="M244" s="303"/>
      <c r="N244" s="303"/>
      <c r="O244" s="303"/>
      <c r="P244" s="303"/>
      <c r="Q244" s="303"/>
      <c r="R244" s="303"/>
      <c r="S244" s="303"/>
      <c r="T244" s="303"/>
      <c r="U244" s="303"/>
      <c r="V244" s="303"/>
      <c r="W244" s="303"/>
      <c r="X244" s="303"/>
      <c r="Y244" s="303"/>
      <c r="Z244" s="303"/>
      <c r="AA244" s="48"/>
      <c r="AB244" s="48"/>
      <c r="AC244" s="48"/>
    </row>
    <row r="245" spans="1:68" ht="16.5" hidden="1" customHeight="1" x14ac:dyDescent="0.25">
      <c r="A245" s="317" t="s">
        <v>328</v>
      </c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N245" s="306"/>
      <c r="O245" s="306"/>
      <c r="P245" s="306"/>
      <c r="Q245" s="306"/>
      <c r="R245" s="306"/>
      <c r="S245" s="306"/>
      <c r="T245" s="306"/>
      <c r="U245" s="306"/>
      <c r="V245" s="306"/>
      <c r="W245" s="306"/>
      <c r="X245" s="306"/>
      <c r="Y245" s="306"/>
      <c r="Z245" s="306"/>
      <c r="AA245" s="273"/>
      <c r="AB245" s="273"/>
      <c r="AC245" s="273"/>
    </row>
    <row r="246" spans="1:68" ht="14.25" hidden="1" customHeight="1" x14ac:dyDescent="0.25">
      <c r="A246" s="308" t="s">
        <v>135</v>
      </c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N246" s="306"/>
      <c r="O246" s="306"/>
      <c r="P246" s="306"/>
      <c r="Q246" s="306"/>
      <c r="R246" s="306"/>
      <c r="S246" s="306"/>
      <c r="T246" s="306"/>
      <c r="U246" s="306"/>
      <c r="V246" s="306"/>
      <c r="W246" s="306"/>
      <c r="X246" s="306"/>
      <c r="Y246" s="306"/>
      <c r="Z246" s="306"/>
      <c r="AA246" s="274"/>
      <c r="AB246" s="274"/>
      <c r="AC246" s="274"/>
    </row>
    <row r="247" spans="1:68" ht="27" hidden="1" customHeight="1" x14ac:dyDescent="0.25">
      <c r="A247" s="54" t="s">
        <v>329</v>
      </c>
      <c r="B247" s="54" t="s">
        <v>330</v>
      </c>
      <c r="C247" s="31">
        <v>4301136098</v>
      </c>
      <c r="D247" s="310">
        <v>4640242181943</v>
      </c>
      <c r="E247" s="311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0"/>
      <c r="R247" s="290"/>
      <c r="S247" s="290"/>
      <c r="T247" s="291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5"/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N248" s="306"/>
      <c r="O248" s="307"/>
      <c r="P248" s="286" t="s">
        <v>87</v>
      </c>
      <c r="Q248" s="287"/>
      <c r="R248" s="287"/>
      <c r="S248" s="287"/>
      <c r="T248" s="287"/>
      <c r="U248" s="287"/>
      <c r="V248" s="288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306"/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  <c r="O249" s="307"/>
      <c r="P249" s="286" t="s">
        <v>87</v>
      </c>
      <c r="Q249" s="287"/>
      <c r="R249" s="287"/>
      <c r="S249" s="287"/>
      <c r="T249" s="287"/>
      <c r="U249" s="287"/>
      <c r="V249" s="288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hidden="1" customHeight="1" x14ac:dyDescent="0.2">
      <c r="A250" s="302" t="s">
        <v>332</v>
      </c>
      <c r="B250" s="303"/>
      <c r="C250" s="303"/>
      <c r="D250" s="303"/>
      <c r="E250" s="303"/>
      <c r="F250" s="303"/>
      <c r="G250" s="303"/>
      <c r="H250" s="303"/>
      <c r="I250" s="303"/>
      <c r="J250" s="303"/>
      <c r="K250" s="303"/>
      <c r="L250" s="303"/>
      <c r="M250" s="303"/>
      <c r="N250" s="303"/>
      <c r="O250" s="303"/>
      <c r="P250" s="303"/>
      <c r="Q250" s="303"/>
      <c r="R250" s="303"/>
      <c r="S250" s="303"/>
      <c r="T250" s="303"/>
      <c r="U250" s="303"/>
      <c r="V250" s="303"/>
      <c r="W250" s="303"/>
      <c r="X250" s="303"/>
      <c r="Y250" s="303"/>
      <c r="Z250" s="303"/>
      <c r="AA250" s="48"/>
      <c r="AB250" s="48"/>
      <c r="AC250" s="48"/>
    </row>
    <row r="251" spans="1:68" ht="16.5" hidden="1" customHeight="1" x14ac:dyDescent="0.25">
      <c r="A251" s="317" t="s">
        <v>332</v>
      </c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N251" s="306"/>
      <c r="O251" s="306"/>
      <c r="P251" s="306"/>
      <c r="Q251" s="306"/>
      <c r="R251" s="306"/>
      <c r="S251" s="306"/>
      <c r="T251" s="306"/>
      <c r="U251" s="306"/>
      <c r="V251" s="306"/>
      <c r="W251" s="306"/>
      <c r="X251" s="306"/>
      <c r="Y251" s="306"/>
      <c r="Z251" s="306"/>
      <c r="AA251" s="273"/>
      <c r="AB251" s="273"/>
      <c r="AC251" s="273"/>
    </row>
    <row r="252" spans="1:68" ht="14.25" hidden="1" customHeight="1" x14ac:dyDescent="0.25">
      <c r="A252" s="308" t="s">
        <v>62</v>
      </c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N252" s="306"/>
      <c r="O252" s="306"/>
      <c r="P252" s="306"/>
      <c r="Q252" s="306"/>
      <c r="R252" s="306"/>
      <c r="S252" s="306"/>
      <c r="T252" s="306"/>
      <c r="U252" s="306"/>
      <c r="V252" s="306"/>
      <c r="W252" s="306"/>
      <c r="X252" s="306"/>
      <c r="Y252" s="306"/>
      <c r="Z252" s="306"/>
      <c r="AA252" s="274"/>
      <c r="AB252" s="274"/>
      <c r="AC252" s="274"/>
    </row>
    <row r="253" spans="1:68" ht="27" hidden="1" customHeight="1" x14ac:dyDescent="0.25">
      <c r="A253" s="54" t="s">
        <v>333</v>
      </c>
      <c r="B253" s="54" t="s">
        <v>334</v>
      </c>
      <c r="C253" s="31">
        <v>4301071014</v>
      </c>
      <c r="D253" s="310">
        <v>4640242181264</v>
      </c>
      <c r="E253" s="311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0"/>
      <c r="R253" s="290"/>
      <c r="S253" s="290"/>
      <c r="T253" s="291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336</v>
      </c>
      <c r="B254" s="54" t="s">
        <v>337</v>
      </c>
      <c r="C254" s="31">
        <v>4301071021</v>
      </c>
      <c r="D254" s="310">
        <v>4640242181325</v>
      </c>
      <c r="E254" s="311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0"/>
      <c r="R254" s="290"/>
      <c r="S254" s="290"/>
      <c r="T254" s="291"/>
      <c r="U254" s="34"/>
      <c r="V254" s="34"/>
      <c r="W254" s="35" t="s">
        <v>68</v>
      </c>
      <c r="X254" s="278">
        <v>0</v>
      </c>
      <c r="Y254" s="279">
        <f>IFERROR(IF(X254="","",X254),"")</f>
        <v>0</v>
      </c>
      <c r="Z254" s="36">
        <f>IFERROR(IF(X254="","",X254*0.0155),"")</f>
        <v>0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305"/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N255" s="306"/>
      <c r="O255" s="307"/>
      <c r="P255" s="286" t="s">
        <v>87</v>
      </c>
      <c r="Q255" s="287"/>
      <c r="R255" s="287"/>
      <c r="S255" s="287"/>
      <c r="T255" s="287"/>
      <c r="U255" s="287"/>
      <c r="V255" s="288"/>
      <c r="W255" s="37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hidden="1" x14ac:dyDescent="0.2">
      <c r="A256" s="306"/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N256" s="306"/>
      <c r="O256" s="307"/>
      <c r="P256" s="286" t="s">
        <v>87</v>
      </c>
      <c r="Q256" s="287"/>
      <c r="R256" s="287"/>
      <c r="S256" s="287"/>
      <c r="T256" s="287"/>
      <c r="U256" s="287"/>
      <c r="V256" s="288"/>
      <c r="W256" s="37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7"/>
      <c r="AA256" s="281"/>
      <c r="AB256" s="281"/>
      <c r="AC256" s="281"/>
    </row>
    <row r="257" spans="1:68" ht="14.25" hidden="1" customHeight="1" x14ac:dyDescent="0.25">
      <c r="A257" s="308" t="s">
        <v>97</v>
      </c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N257" s="306"/>
      <c r="O257" s="306"/>
      <c r="P257" s="306"/>
      <c r="Q257" s="306"/>
      <c r="R257" s="306"/>
      <c r="S257" s="306"/>
      <c r="T257" s="306"/>
      <c r="U257" s="306"/>
      <c r="V257" s="306"/>
      <c r="W257" s="306"/>
      <c r="X257" s="306"/>
      <c r="Y257" s="306"/>
      <c r="Z257" s="306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310">
        <v>4640242180397</v>
      </c>
      <c r="E258" s="311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6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0"/>
      <c r="R258" s="290"/>
      <c r="S258" s="290"/>
      <c r="T258" s="291"/>
      <c r="U258" s="34"/>
      <c r="V258" s="34"/>
      <c r="W258" s="35" t="s">
        <v>68</v>
      </c>
      <c r="X258" s="278">
        <v>84</v>
      </c>
      <c r="Y258" s="279">
        <f>IFERROR(IF(X258="","",X258),"")</f>
        <v>84</v>
      </c>
      <c r="Z258" s="36">
        <f>IFERROR(IF(X258="","",X258*0.0155),"")</f>
        <v>1.302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525.84</v>
      </c>
      <c r="BN258" s="67">
        <f>IFERROR(Y258*I258,"0")</f>
        <v>525.84</v>
      </c>
      <c r="BO258" s="67">
        <f>IFERROR(X258/J258,"0")</f>
        <v>1</v>
      </c>
      <c r="BP258" s="67">
        <f>IFERROR(Y258/J258,"0")</f>
        <v>1</v>
      </c>
    </row>
    <row r="259" spans="1:68" x14ac:dyDescent="0.2">
      <c r="A259" s="305"/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N259" s="306"/>
      <c r="O259" s="307"/>
      <c r="P259" s="286" t="s">
        <v>87</v>
      </c>
      <c r="Q259" s="287"/>
      <c r="R259" s="287"/>
      <c r="S259" s="287"/>
      <c r="T259" s="287"/>
      <c r="U259" s="287"/>
      <c r="V259" s="288"/>
      <c r="W259" s="37" t="s">
        <v>68</v>
      </c>
      <c r="X259" s="280">
        <f>IFERROR(SUM(X258:X258),"0")</f>
        <v>84</v>
      </c>
      <c r="Y259" s="280">
        <f>IFERROR(SUM(Y258:Y258),"0")</f>
        <v>84</v>
      </c>
      <c r="Z259" s="280">
        <f>IFERROR(IF(Z258="",0,Z258),"0")</f>
        <v>1.302</v>
      </c>
      <c r="AA259" s="281"/>
      <c r="AB259" s="281"/>
      <c r="AC259" s="281"/>
    </row>
    <row r="260" spans="1:68" x14ac:dyDescent="0.2">
      <c r="A260" s="306"/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N260" s="306"/>
      <c r="O260" s="307"/>
      <c r="P260" s="286" t="s">
        <v>87</v>
      </c>
      <c r="Q260" s="287"/>
      <c r="R260" s="287"/>
      <c r="S260" s="287"/>
      <c r="T260" s="287"/>
      <c r="U260" s="287"/>
      <c r="V260" s="288"/>
      <c r="W260" s="37" t="s">
        <v>88</v>
      </c>
      <c r="X260" s="280">
        <f>IFERROR(SUMPRODUCT(X258:X258*H258:H258),"0")</f>
        <v>504</v>
      </c>
      <c r="Y260" s="280">
        <f>IFERROR(SUMPRODUCT(Y258:Y258*H258:H258),"0")</f>
        <v>504</v>
      </c>
      <c r="Z260" s="37"/>
      <c r="AA260" s="281"/>
      <c r="AB260" s="281"/>
      <c r="AC260" s="281"/>
    </row>
    <row r="261" spans="1:68" ht="14.25" hidden="1" customHeight="1" x14ac:dyDescent="0.25">
      <c r="A261" s="308" t="s">
        <v>135</v>
      </c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N261" s="306"/>
      <c r="O261" s="306"/>
      <c r="P261" s="306"/>
      <c r="Q261" s="306"/>
      <c r="R261" s="306"/>
      <c r="S261" s="306"/>
      <c r="T261" s="306"/>
      <c r="U261" s="306"/>
      <c r="V261" s="306"/>
      <c r="W261" s="306"/>
      <c r="X261" s="306"/>
      <c r="Y261" s="306"/>
      <c r="Z261" s="306"/>
      <c r="AA261" s="274"/>
      <c r="AB261" s="274"/>
      <c r="AC261" s="274"/>
    </row>
    <row r="262" spans="1:68" ht="27" customHeight="1" x14ac:dyDescent="0.25">
      <c r="A262" s="54" t="s">
        <v>341</v>
      </c>
      <c r="B262" s="54" t="s">
        <v>342</v>
      </c>
      <c r="C262" s="31">
        <v>4301136051</v>
      </c>
      <c r="D262" s="310">
        <v>4640242180304</v>
      </c>
      <c r="E262" s="311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4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0"/>
      <c r="R262" s="290"/>
      <c r="S262" s="290"/>
      <c r="T262" s="291"/>
      <c r="U262" s="34"/>
      <c r="V262" s="34"/>
      <c r="W262" s="35" t="s">
        <v>68</v>
      </c>
      <c r="X262" s="278">
        <v>70</v>
      </c>
      <c r="Y262" s="279">
        <f>IFERROR(IF(X262="","",X262),"")</f>
        <v>70</v>
      </c>
      <c r="Z262" s="36">
        <f>IFERROR(IF(X262="","",X262*0.00936),"")</f>
        <v>0.6552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202.34200000000001</v>
      </c>
      <c r="BN262" s="67">
        <f>IFERROR(Y262*I262,"0")</f>
        <v>202.34200000000001</v>
      </c>
      <c r="BO262" s="67">
        <f>IFERROR(X262/J262,"0")</f>
        <v>0.55555555555555558</v>
      </c>
      <c r="BP262" s="67">
        <f>IFERROR(Y262/J262,"0")</f>
        <v>0.55555555555555558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310">
        <v>4640242180236</v>
      </c>
      <c r="E263" s="311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0"/>
      <c r="R263" s="290"/>
      <c r="S263" s="290"/>
      <c r="T263" s="291"/>
      <c r="U263" s="34"/>
      <c r="V263" s="34"/>
      <c r="W263" s="35" t="s">
        <v>68</v>
      </c>
      <c r="X263" s="278">
        <v>84</v>
      </c>
      <c r="Y263" s="279">
        <f>IFERROR(IF(X263="","",X263),"")</f>
        <v>84</v>
      </c>
      <c r="Z263" s="36">
        <f>IFERROR(IF(X263="","",X263*0.0155),"")</f>
        <v>1.302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439.74</v>
      </c>
      <c r="BN263" s="67">
        <f>IFERROR(Y263*I263,"0")</f>
        <v>439.74</v>
      </c>
      <c r="BO263" s="67">
        <f>IFERROR(X263/J263,"0")</f>
        <v>1</v>
      </c>
      <c r="BP263" s="67">
        <f>IFERROR(Y263/J263,"0")</f>
        <v>1</v>
      </c>
    </row>
    <row r="264" spans="1:68" ht="27" hidden="1" customHeight="1" x14ac:dyDescent="0.25">
      <c r="A264" s="54" t="s">
        <v>346</v>
      </c>
      <c r="B264" s="54" t="s">
        <v>347</v>
      </c>
      <c r="C264" s="31">
        <v>4301136052</v>
      </c>
      <c r="D264" s="310">
        <v>4640242180410</v>
      </c>
      <c r="E264" s="311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2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0"/>
      <c r="R264" s="290"/>
      <c r="S264" s="290"/>
      <c r="T264" s="291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05"/>
      <c r="B265" s="306"/>
      <c r="C265" s="306"/>
      <c r="D265" s="306"/>
      <c r="E265" s="306"/>
      <c r="F265" s="306"/>
      <c r="G265" s="306"/>
      <c r="H265" s="306"/>
      <c r="I265" s="306"/>
      <c r="J265" s="306"/>
      <c r="K265" s="306"/>
      <c r="L265" s="306"/>
      <c r="M265" s="306"/>
      <c r="N265" s="306"/>
      <c r="O265" s="307"/>
      <c r="P265" s="286" t="s">
        <v>87</v>
      </c>
      <c r="Q265" s="287"/>
      <c r="R265" s="287"/>
      <c r="S265" s="287"/>
      <c r="T265" s="287"/>
      <c r="U265" s="287"/>
      <c r="V265" s="288"/>
      <c r="W265" s="37" t="s">
        <v>68</v>
      </c>
      <c r="X265" s="280">
        <f>IFERROR(SUM(X262:X264),"0")</f>
        <v>154</v>
      </c>
      <c r="Y265" s="280">
        <f>IFERROR(SUM(Y262:Y264),"0")</f>
        <v>154</v>
      </c>
      <c r="Z265" s="280">
        <f>IFERROR(IF(Z262="",0,Z262),"0")+IFERROR(IF(Z263="",0,Z263),"0")+IFERROR(IF(Z264="",0,Z264),"0")</f>
        <v>1.9572000000000001</v>
      </c>
      <c r="AA265" s="281"/>
      <c r="AB265" s="281"/>
      <c r="AC265" s="281"/>
    </row>
    <row r="266" spans="1:68" x14ac:dyDescent="0.2">
      <c r="A266" s="306"/>
      <c r="B266" s="306"/>
      <c r="C266" s="306"/>
      <c r="D266" s="306"/>
      <c r="E266" s="306"/>
      <c r="F266" s="306"/>
      <c r="G266" s="306"/>
      <c r="H266" s="306"/>
      <c r="I266" s="306"/>
      <c r="J266" s="306"/>
      <c r="K266" s="306"/>
      <c r="L266" s="306"/>
      <c r="M266" s="306"/>
      <c r="N266" s="306"/>
      <c r="O266" s="307"/>
      <c r="P266" s="286" t="s">
        <v>87</v>
      </c>
      <c r="Q266" s="287"/>
      <c r="R266" s="287"/>
      <c r="S266" s="287"/>
      <c r="T266" s="287"/>
      <c r="U266" s="287"/>
      <c r="V266" s="288"/>
      <c r="W266" s="37" t="s">
        <v>88</v>
      </c>
      <c r="X266" s="280">
        <f>IFERROR(SUMPRODUCT(X262:X264*H262:H264),"0")</f>
        <v>609</v>
      </c>
      <c r="Y266" s="280">
        <f>IFERROR(SUMPRODUCT(Y262:Y264*H262:H264),"0")</f>
        <v>609</v>
      </c>
      <c r="Z266" s="37"/>
      <c r="AA266" s="281"/>
      <c r="AB266" s="281"/>
      <c r="AC266" s="281"/>
    </row>
    <row r="267" spans="1:68" ht="14.25" hidden="1" customHeight="1" x14ac:dyDescent="0.25">
      <c r="A267" s="308" t="s">
        <v>141</v>
      </c>
      <c r="B267" s="306"/>
      <c r="C267" s="306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N267" s="306"/>
      <c r="O267" s="306"/>
      <c r="P267" s="306"/>
      <c r="Q267" s="306"/>
      <c r="R267" s="306"/>
      <c r="S267" s="306"/>
      <c r="T267" s="306"/>
      <c r="U267" s="306"/>
      <c r="V267" s="306"/>
      <c r="W267" s="306"/>
      <c r="X267" s="306"/>
      <c r="Y267" s="306"/>
      <c r="Z267" s="306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1">
        <v>4301135504</v>
      </c>
      <c r="D268" s="310">
        <v>4640242181554</v>
      </c>
      <c r="E268" s="311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0"/>
      <c r="R268" s="290"/>
      <c r="S268" s="290"/>
      <c r="T268" s="291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4301135873</v>
      </c>
      <c r="D269" s="310">
        <v>4640242182087</v>
      </c>
      <c r="E269" s="311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3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90"/>
      <c r="R269" s="290"/>
      <c r="S269" s="290"/>
      <c r="T269" s="291"/>
      <c r="U269" s="34"/>
      <c r="V269" s="34"/>
      <c r="W269" s="35" t="s">
        <v>68</v>
      </c>
      <c r="X269" s="278">
        <v>12</v>
      </c>
      <c r="Y269" s="279">
        <f t="shared" si="18"/>
        <v>12</v>
      </c>
      <c r="Z269" s="36">
        <f>IFERROR(IF(X269="","",X269*0.0155),"")</f>
        <v>0.186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62.760000000000005</v>
      </c>
      <c r="BN269" s="67">
        <f t="shared" si="20"/>
        <v>62.760000000000005</v>
      </c>
      <c r="BO269" s="67">
        <f t="shared" si="21"/>
        <v>0.14285714285714285</v>
      </c>
      <c r="BP269" s="67">
        <f t="shared" si="22"/>
        <v>0.14285714285714285</v>
      </c>
    </row>
    <row r="270" spans="1:68" ht="27" customHeight="1" x14ac:dyDescent="0.25">
      <c r="A270" s="54" t="s">
        <v>354</v>
      </c>
      <c r="B270" s="54" t="s">
        <v>355</v>
      </c>
      <c r="C270" s="31">
        <v>4301135374</v>
      </c>
      <c r="D270" s="310">
        <v>4640242181424</v>
      </c>
      <c r="E270" s="311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0"/>
      <c r="R270" s="290"/>
      <c r="S270" s="290"/>
      <c r="T270" s="291"/>
      <c r="U270" s="34"/>
      <c r="V270" s="34"/>
      <c r="W270" s="35" t="s">
        <v>68</v>
      </c>
      <c r="X270" s="278">
        <v>12</v>
      </c>
      <c r="Y270" s="279">
        <f t="shared" si="18"/>
        <v>12</v>
      </c>
      <c r="Z270" s="36">
        <f>IFERROR(IF(X270="","",X270*0.0155),"")</f>
        <v>0.186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68.820000000000007</v>
      </c>
      <c r="BN270" s="67">
        <f t="shared" si="20"/>
        <v>68.820000000000007</v>
      </c>
      <c r="BO270" s="67">
        <f t="shared" si="21"/>
        <v>0.14285714285714285</v>
      </c>
      <c r="BP270" s="67">
        <f t="shared" si="22"/>
        <v>0.14285714285714285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310">
        <v>4640242181523</v>
      </c>
      <c r="E271" s="311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0"/>
      <c r="R271" s="290"/>
      <c r="S271" s="290"/>
      <c r="T271" s="291"/>
      <c r="U271" s="34"/>
      <c r="V271" s="34"/>
      <c r="W271" s="35" t="s">
        <v>68</v>
      </c>
      <c r="X271" s="278">
        <v>70</v>
      </c>
      <c r="Y271" s="279">
        <f t="shared" si="18"/>
        <v>70</v>
      </c>
      <c r="Z271" s="36">
        <f t="shared" ref="Z271:Z276" si="23">IFERROR(IF(X271="","",X271*0.00936),"")</f>
        <v>0.6552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223.44</v>
      </c>
      <c r="BN271" s="67">
        <f t="shared" si="20"/>
        <v>223.44</v>
      </c>
      <c r="BO271" s="67">
        <f t="shared" si="21"/>
        <v>0.55555555555555558</v>
      </c>
      <c r="BP271" s="67">
        <f t="shared" si="22"/>
        <v>0.55555555555555558</v>
      </c>
    </row>
    <row r="272" spans="1:68" ht="27" customHeight="1" x14ac:dyDescent="0.25">
      <c r="A272" s="54" t="s">
        <v>358</v>
      </c>
      <c r="B272" s="54" t="s">
        <v>359</v>
      </c>
      <c r="C272" s="31">
        <v>4301135375</v>
      </c>
      <c r="D272" s="310">
        <v>4640242181486</v>
      </c>
      <c r="E272" s="311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8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0"/>
      <c r="R272" s="290"/>
      <c r="S272" s="290"/>
      <c r="T272" s="291"/>
      <c r="U272" s="34"/>
      <c r="V272" s="34"/>
      <c r="W272" s="35" t="s">
        <v>68</v>
      </c>
      <c r="X272" s="278">
        <v>42</v>
      </c>
      <c r="Y272" s="279">
        <f t="shared" si="18"/>
        <v>42</v>
      </c>
      <c r="Z272" s="36">
        <f t="shared" si="23"/>
        <v>0.39312000000000002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163.464</v>
      </c>
      <c r="BN272" s="67">
        <f t="shared" si="20"/>
        <v>163.464</v>
      </c>
      <c r="BO272" s="67">
        <f t="shared" si="21"/>
        <v>0.33333333333333331</v>
      </c>
      <c r="BP272" s="67">
        <f t="shared" si="22"/>
        <v>0.33333333333333331</v>
      </c>
    </row>
    <row r="273" spans="1:68" ht="37.5" hidden="1" customHeight="1" x14ac:dyDescent="0.25">
      <c r="A273" s="54" t="s">
        <v>360</v>
      </c>
      <c r="B273" s="54" t="s">
        <v>361</v>
      </c>
      <c r="C273" s="31">
        <v>4301135402</v>
      </c>
      <c r="D273" s="310">
        <v>4640242181493</v>
      </c>
      <c r="E273" s="311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3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0"/>
      <c r="R273" s="290"/>
      <c r="S273" s="290"/>
      <c r="T273" s="291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362</v>
      </c>
      <c r="B274" s="54" t="s">
        <v>363</v>
      </c>
      <c r="C274" s="31">
        <v>4301135403</v>
      </c>
      <c r="D274" s="310">
        <v>4640242181509</v>
      </c>
      <c r="E274" s="311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0"/>
      <c r="R274" s="290"/>
      <c r="S274" s="290"/>
      <c r="T274" s="291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364</v>
      </c>
      <c r="B275" s="54" t="s">
        <v>365</v>
      </c>
      <c r="C275" s="31">
        <v>4301135304</v>
      </c>
      <c r="D275" s="310">
        <v>4640242181240</v>
      </c>
      <c r="E275" s="311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29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0"/>
      <c r="R275" s="290"/>
      <c r="S275" s="290"/>
      <c r="T275" s="291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366</v>
      </c>
      <c r="B276" s="54" t="s">
        <v>367</v>
      </c>
      <c r="C276" s="31">
        <v>4301135610</v>
      </c>
      <c r="D276" s="310">
        <v>4640242181318</v>
      </c>
      <c r="E276" s="311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0"/>
      <c r="R276" s="290"/>
      <c r="S276" s="290"/>
      <c r="T276" s="291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368</v>
      </c>
      <c r="B277" s="54" t="s">
        <v>369</v>
      </c>
      <c r="C277" s="31">
        <v>4301135306</v>
      </c>
      <c r="D277" s="310">
        <v>4640242181387</v>
      </c>
      <c r="E277" s="311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0"/>
      <c r="R277" s="290"/>
      <c r="S277" s="290"/>
      <c r="T277" s="291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305"/>
      <c r="B278" s="306"/>
      <c r="C278" s="306"/>
      <c r="D278" s="306"/>
      <c r="E278" s="306"/>
      <c r="F278" s="306"/>
      <c r="G278" s="306"/>
      <c r="H278" s="306"/>
      <c r="I278" s="306"/>
      <c r="J278" s="306"/>
      <c r="K278" s="306"/>
      <c r="L278" s="306"/>
      <c r="M278" s="306"/>
      <c r="N278" s="306"/>
      <c r="O278" s="307"/>
      <c r="P278" s="286" t="s">
        <v>87</v>
      </c>
      <c r="Q278" s="287"/>
      <c r="R278" s="287"/>
      <c r="S278" s="287"/>
      <c r="T278" s="287"/>
      <c r="U278" s="287"/>
      <c r="V278" s="288"/>
      <c r="W278" s="37" t="s">
        <v>68</v>
      </c>
      <c r="X278" s="280">
        <f>IFERROR(SUM(X268:X277),"0")</f>
        <v>136</v>
      </c>
      <c r="Y278" s="280">
        <f>IFERROR(SUM(Y268:Y277),"0")</f>
        <v>136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1.4203200000000002</v>
      </c>
      <c r="AA278" s="281"/>
      <c r="AB278" s="281"/>
      <c r="AC278" s="281"/>
    </row>
    <row r="279" spans="1:68" x14ac:dyDescent="0.2">
      <c r="A279" s="306"/>
      <c r="B279" s="306"/>
      <c r="C279" s="306"/>
      <c r="D279" s="306"/>
      <c r="E279" s="306"/>
      <c r="F279" s="306"/>
      <c r="G279" s="306"/>
      <c r="H279" s="306"/>
      <c r="I279" s="306"/>
      <c r="J279" s="306"/>
      <c r="K279" s="306"/>
      <c r="L279" s="306"/>
      <c r="M279" s="306"/>
      <c r="N279" s="306"/>
      <c r="O279" s="307"/>
      <c r="P279" s="286" t="s">
        <v>87</v>
      </c>
      <c r="Q279" s="287"/>
      <c r="R279" s="287"/>
      <c r="S279" s="287"/>
      <c r="T279" s="287"/>
      <c r="U279" s="287"/>
      <c r="V279" s="288"/>
      <c r="W279" s="37" t="s">
        <v>88</v>
      </c>
      <c r="X279" s="280">
        <f>IFERROR(SUMPRODUCT(X268:X277*H268:H277),"0")</f>
        <v>491.4</v>
      </c>
      <c r="Y279" s="280">
        <f>IFERROR(SUMPRODUCT(Y268:Y277*H268:H277),"0")</f>
        <v>491.4</v>
      </c>
      <c r="Z279" s="37"/>
      <c r="AA279" s="281"/>
      <c r="AB279" s="281"/>
      <c r="AC279" s="281"/>
    </row>
    <row r="280" spans="1:68" ht="15" customHeight="1" x14ac:dyDescent="0.2">
      <c r="A280" s="460"/>
      <c r="B280" s="306"/>
      <c r="C280" s="306"/>
      <c r="D280" s="306"/>
      <c r="E280" s="306"/>
      <c r="F280" s="306"/>
      <c r="G280" s="306"/>
      <c r="H280" s="306"/>
      <c r="I280" s="306"/>
      <c r="J280" s="306"/>
      <c r="K280" s="306"/>
      <c r="L280" s="306"/>
      <c r="M280" s="306"/>
      <c r="N280" s="306"/>
      <c r="O280" s="385"/>
      <c r="P280" s="349" t="s">
        <v>370</v>
      </c>
      <c r="Q280" s="300"/>
      <c r="R280" s="300"/>
      <c r="S280" s="300"/>
      <c r="T280" s="300"/>
      <c r="U280" s="300"/>
      <c r="V280" s="301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5871.7199999999993</v>
      </c>
      <c r="Y280" s="280">
        <f>IFERROR(Y31+Y37+Y44+Y51+Y59+Y64+Y68+Y73+Y79+Y85+Y90+Y96+Y106+Y112+Y123+Y127+Y131+Y139+Y145+Y151+Y157+Y163+Y168+Y173+Y178+Y185+Y190+Y199+Y205+Y211+Y217+Y222+Y227+Y233+Y239+Y243+Y249+Y256+Y260+Y266+Y279,"0")</f>
        <v>5871.7199999999993</v>
      </c>
      <c r="Z280" s="37"/>
      <c r="AA280" s="281"/>
      <c r="AB280" s="281"/>
      <c r="AC280" s="281"/>
    </row>
    <row r="281" spans="1:68" x14ac:dyDescent="0.2">
      <c r="A281" s="306"/>
      <c r="B281" s="306"/>
      <c r="C281" s="306"/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85"/>
      <c r="P281" s="349" t="s">
        <v>371</v>
      </c>
      <c r="Q281" s="300"/>
      <c r="R281" s="300"/>
      <c r="S281" s="300"/>
      <c r="T281" s="300"/>
      <c r="U281" s="300"/>
      <c r="V281" s="301"/>
      <c r="W281" s="37" t="s">
        <v>88</v>
      </c>
      <c r="X281" s="280">
        <f>IFERROR(SUM(BM22:BM277),"0")</f>
        <v>6417.1355999999978</v>
      </c>
      <c r="Y281" s="280">
        <f>IFERROR(SUM(BN22:BN277),"0")</f>
        <v>6417.1355999999978</v>
      </c>
      <c r="Z281" s="37"/>
      <c r="AA281" s="281"/>
      <c r="AB281" s="281"/>
      <c r="AC281" s="281"/>
    </row>
    <row r="282" spans="1:68" x14ac:dyDescent="0.2">
      <c r="A282" s="306"/>
      <c r="B282" s="306"/>
      <c r="C282" s="306"/>
      <c r="D282" s="306"/>
      <c r="E282" s="306"/>
      <c r="F282" s="306"/>
      <c r="G282" s="306"/>
      <c r="H282" s="306"/>
      <c r="I282" s="306"/>
      <c r="J282" s="306"/>
      <c r="K282" s="306"/>
      <c r="L282" s="306"/>
      <c r="M282" s="306"/>
      <c r="N282" s="306"/>
      <c r="O282" s="385"/>
      <c r="P282" s="349" t="s">
        <v>372</v>
      </c>
      <c r="Q282" s="300"/>
      <c r="R282" s="300"/>
      <c r="S282" s="300"/>
      <c r="T282" s="300"/>
      <c r="U282" s="300"/>
      <c r="V282" s="301"/>
      <c r="W282" s="37" t="s">
        <v>373</v>
      </c>
      <c r="X282" s="38">
        <f>ROUNDUP(SUM(BO22:BO277),0)</f>
        <v>16</v>
      </c>
      <c r="Y282" s="38">
        <f>ROUNDUP(SUM(BP22:BP277),0)</f>
        <v>16</v>
      </c>
      <c r="Z282" s="37"/>
      <c r="AA282" s="281"/>
      <c r="AB282" s="281"/>
      <c r="AC282" s="281"/>
    </row>
    <row r="283" spans="1:68" x14ac:dyDescent="0.2">
      <c r="A283" s="306"/>
      <c r="B283" s="306"/>
      <c r="C283" s="306"/>
      <c r="D283" s="306"/>
      <c r="E283" s="306"/>
      <c r="F283" s="306"/>
      <c r="G283" s="306"/>
      <c r="H283" s="306"/>
      <c r="I283" s="306"/>
      <c r="J283" s="306"/>
      <c r="K283" s="306"/>
      <c r="L283" s="306"/>
      <c r="M283" s="306"/>
      <c r="N283" s="306"/>
      <c r="O283" s="385"/>
      <c r="P283" s="349" t="s">
        <v>374</v>
      </c>
      <c r="Q283" s="300"/>
      <c r="R283" s="300"/>
      <c r="S283" s="300"/>
      <c r="T283" s="300"/>
      <c r="U283" s="300"/>
      <c r="V283" s="301"/>
      <c r="W283" s="37" t="s">
        <v>88</v>
      </c>
      <c r="X283" s="280">
        <f>GrossWeightTotal+PalletQtyTotal*25</f>
        <v>6817.1355999999978</v>
      </c>
      <c r="Y283" s="280">
        <f>GrossWeightTotalR+PalletQtyTotalR*25</f>
        <v>6817.1355999999978</v>
      </c>
      <c r="Z283" s="37"/>
      <c r="AA283" s="281"/>
      <c r="AB283" s="281"/>
      <c r="AC283" s="281"/>
    </row>
    <row r="284" spans="1:68" x14ac:dyDescent="0.2">
      <c r="A284" s="306"/>
      <c r="B284" s="306"/>
      <c r="C284" s="306"/>
      <c r="D284" s="306"/>
      <c r="E284" s="306"/>
      <c r="F284" s="306"/>
      <c r="G284" s="306"/>
      <c r="H284" s="306"/>
      <c r="I284" s="306"/>
      <c r="J284" s="306"/>
      <c r="K284" s="306"/>
      <c r="L284" s="306"/>
      <c r="M284" s="306"/>
      <c r="N284" s="306"/>
      <c r="O284" s="385"/>
      <c r="P284" s="349" t="s">
        <v>375</v>
      </c>
      <c r="Q284" s="300"/>
      <c r="R284" s="300"/>
      <c r="S284" s="300"/>
      <c r="T284" s="300"/>
      <c r="U284" s="300"/>
      <c r="V284" s="301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1488</v>
      </c>
      <c r="Y284" s="280">
        <f>IFERROR(Y30+Y36+Y43+Y50+Y58+Y63+Y67+Y72+Y78+Y84+Y89+Y95+Y105+Y111+Y122+Y126+Y130+Y138+Y144+Y150+Y156+Y162+Y167+Y172+Y177+Y184+Y189+Y198+Y204+Y210+Y216+Y221+Y226+Y232+Y238+Y242+Y248+Y255+Y259+Y265+Y278,"0")</f>
        <v>1488</v>
      </c>
      <c r="Z284" s="37"/>
      <c r="AA284" s="281"/>
      <c r="AB284" s="281"/>
      <c r="AC284" s="281"/>
    </row>
    <row r="285" spans="1:68" ht="14.25" hidden="1" customHeight="1" x14ac:dyDescent="0.2">
      <c r="A285" s="306"/>
      <c r="B285" s="306"/>
      <c r="C285" s="306"/>
      <c r="D285" s="306"/>
      <c r="E285" s="306"/>
      <c r="F285" s="306"/>
      <c r="G285" s="306"/>
      <c r="H285" s="306"/>
      <c r="I285" s="306"/>
      <c r="J285" s="306"/>
      <c r="K285" s="306"/>
      <c r="L285" s="306"/>
      <c r="M285" s="306"/>
      <c r="N285" s="306"/>
      <c r="O285" s="385"/>
      <c r="P285" s="349" t="s">
        <v>376</v>
      </c>
      <c r="Q285" s="300"/>
      <c r="R285" s="300"/>
      <c r="S285" s="300"/>
      <c r="T285" s="300"/>
      <c r="U285" s="300"/>
      <c r="V285" s="301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20.21782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2" t="s">
        <v>61</v>
      </c>
      <c r="C287" s="322"/>
      <c r="D287" s="282" t="s">
        <v>95</v>
      </c>
      <c r="E287" s="382"/>
      <c r="F287" s="382"/>
      <c r="G287" s="382"/>
      <c r="H287" s="382"/>
      <c r="I287" s="382"/>
      <c r="J287" s="382"/>
      <c r="K287" s="382"/>
      <c r="L287" s="382"/>
      <c r="M287" s="382"/>
      <c r="N287" s="382"/>
      <c r="O287" s="382"/>
      <c r="P287" s="382"/>
      <c r="Q287" s="382"/>
      <c r="R287" s="382"/>
      <c r="S287" s="382"/>
      <c r="T287" s="382"/>
      <c r="U287" s="322"/>
      <c r="V287" s="282" t="s">
        <v>261</v>
      </c>
      <c r="W287" s="322"/>
      <c r="X287" s="275" t="s">
        <v>272</v>
      </c>
      <c r="Y287" s="282" t="s">
        <v>286</v>
      </c>
      <c r="Z287" s="382"/>
      <c r="AA287" s="382"/>
      <c r="AB287" s="322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329" t="s">
        <v>379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117</v>
      </c>
      <c r="G288" s="282" t="s">
        <v>128</v>
      </c>
      <c r="H288" s="282" t="s">
        <v>149</v>
      </c>
      <c r="I288" s="282" t="s">
        <v>156</v>
      </c>
      <c r="J288" s="282" t="s">
        <v>160</v>
      </c>
      <c r="K288" s="282" t="s">
        <v>168</v>
      </c>
      <c r="L288" s="282" t="s">
        <v>183</v>
      </c>
      <c r="M288" s="282" t="s">
        <v>189</v>
      </c>
      <c r="N288" s="276"/>
      <c r="O288" s="282" t="s">
        <v>214</v>
      </c>
      <c r="P288" s="282" t="s">
        <v>232</v>
      </c>
      <c r="Q288" s="282" t="s">
        <v>238</v>
      </c>
      <c r="R288" s="282" t="s">
        <v>245</v>
      </c>
      <c r="S288" s="282" t="s">
        <v>250</v>
      </c>
      <c r="T288" s="282" t="s">
        <v>254</v>
      </c>
      <c r="U288" s="282" t="s">
        <v>257</v>
      </c>
      <c r="V288" s="282" t="s">
        <v>262</v>
      </c>
      <c r="W288" s="282" t="s">
        <v>269</v>
      </c>
      <c r="X288" s="282" t="s">
        <v>273</v>
      </c>
      <c r="Y288" s="282" t="s">
        <v>287</v>
      </c>
      <c r="Z288" s="282" t="s">
        <v>300</v>
      </c>
      <c r="AA288" s="282" t="s">
        <v>307</v>
      </c>
      <c r="AB288" s="282" t="s">
        <v>311</v>
      </c>
      <c r="AC288" s="282" t="s">
        <v>316</v>
      </c>
      <c r="AD288" s="282" t="s">
        <v>321</v>
      </c>
      <c r="AE288" s="282" t="s">
        <v>328</v>
      </c>
      <c r="AF288" s="282" t="s">
        <v>332</v>
      </c>
    </row>
    <row r="289" spans="1:32" ht="13.5" customHeight="1" thickBot="1" x14ac:dyDescent="0.25">
      <c r="A289" s="330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76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240.00000000000003</v>
      </c>
      <c r="C290" s="46">
        <f>IFERROR(X34*H34,"0")+IFERROR(X35*H35,"0")</f>
        <v>0</v>
      </c>
      <c r="D290" s="46">
        <f>IFERROR(X41*H41,"0")+IFERROR(X42*H42,"0")</f>
        <v>63</v>
      </c>
      <c r="E290" s="46">
        <f>IFERROR(X47*H47,"0")+IFERROR(X48*H48,"0")+IFERROR(X49*H49,"0")</f>
        <v>403.19999999999993</v>
      </c>
      <c r="F290" s="46">
        <f>IFERROR(X54*H54,"0")+IFERROR(X55*H55,"0")+IFERROR(X56*H56,"0")+IFERROR(X57*H57,"0")</f>
        <v>336</v>
      </c>
      <c r="G290" s="46">
        <f>IFERROR(X62*H62,"0")+IFERROR(X66*H66,"0")+IFERROR(X70*H70,"0")+IFERROR(X71*H71,"0")+IFERROR(X75*H75,"0")+IFERROR(X76*H76,"0")+IFERROR(X77*H77,"0")</f>
        <v>0</v>
      </c>
      <c r="H290" s="46">
        <f>IFERROR(X82*H82,"0")+IFERROR(X83*H83,"0")</f>
        <v>600</v>
      </c>
      <c r="I290" s="46">
        <f>IFERROR(X88*H88,"0")</f>
        <v>50.4</v>
      </c>
      <c r="J290" s="46">
        <f>IFERROR(X93*H93,"0")+IFERROR(X94*H94,"0")</f>
        <v>0</v>
      </c>
      <c r="K290" s="46">
        <f>IFERROR(X99*H99,"0")+IFERROR(X100*H100,"0")+IFERROR(X101*H101,"0")+IFERROR(X102*H102,"0")+IFERROR(X103*H103,"0")+IFERROR(X104*H104,"0")</f>
        <v>534.24</v>
      </c>
      <c r="L290" s="46">
        <f>IFERROR(X109*H109,"0")+IFERROR(X110*H110,"0")</f>
        <v>60.480000000000004</v>
      </c>
      <c r="M290" s="46">
        <f>IFERROR(X115*H115,"0")+IFERROR(X116*H116,"0")+IFERROR(X117*H117,"0")+IFERROR(X118*H118,"0")+IFERROR(X119*H119,"0")+IFERROR(X120*H120,"0")+IFERROR(X121*H121,"0")+IFERROR(X125*H125,"0")+IFERROR(X129*H129,"0")</f>
        <v>442.56</v>
      </c>
      <c r="N290" s="276"/>
      <c r="O290" s="46">
        <f>IFERROR(X134*H134,"0")+IFERROR(X135*H135,"0")+IFERROR(X136*H136,"0")+IFERROR(X137*H137,"0")+IFERROR(X141*H141,"0")+IFERROR(X142*H142,"0")+IFERROR(X143*H143,"0")</f>
        <v>57.959999999999994</v>
      </c>
      <c r="P290" s="46">
        <f>IFERROR(X148*H148,"0")+IFERROR(X149*H149,"0")</f>
        <v>378</v>
      </c>
      <c r="Q290" s="46">
        <f>IFERROR(X154*H154,"0")+IFERROR(X155*H155,"0")</f>
        <v>0</v>
      </c>
      <c r="R290" s="46">
        <f>IFERROR(X160*H160,"0")+IFERROR(X161*H161,"0")</f>
        <v>134.4</v>
      </c>
      <c r="S290" s="46">
        <f>IFERROR(X166*H166,"0")</f>
        <v>0</v>
      </c>
      <c r="T290" s="46">
        <f>IFERROR(X171*H171,"0")</f>
        <v>37.800000000000004</v>
      </c>
      <c r="U290" s="46">
        <f>IFERROR(X176*H176,"0")</f>
        <v>164.64</v>
      </c>
      <c r="V290" s="46">
        <f>IFERROR(X182*H182,"0")+IFERROR(X183*H183,"0")</f>
        <v>420</v>
      </c>
      <c r="W290" s="46">
        <f>IFERROR(X188*H188,"0")</f>
        <v>0</v>
      </c>
      <c r="X290" s="46">
        <f>IFERROR(X194*H194,"0")+IFERROR(X195*H195,"0")+IFERROR(X196*H196,"0")+IFERROR(X197*H197,"0")</f>
        <v>126</v>
      </c>
      <c r="Y290" s="46">
        <f>IFERROR(X203*H203,"0")+IFERROR(X207*H207,"0")+IFERROR(X208*H208,"0")+IFERROR(X209*H209,"0")</f>
        <v>38.64</v>
      </c>
      <c r="Z290" s="46">
        <f>IFERROR(X214*H214,"0")+IFERROR(X215*H215,"0")</f>
        <v>0</v>
      </c>
      <c r="AA290" s="46">
        <f>IFERROR(X220*H220,"0")</f>
        <v>180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1604.4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2584.8000000000002</v>
      </c>
      <c r="B293" s="60">
        <f>SUMPRODUCT(--(BB:BB="ПГП"),--(W:W="кор"),H:H,Y:Y)+SUMPRODUCT(--(BB:BB="ПГП"),--(W:W="кг"),Y:Y)</f>
        <v>3286.9199999999996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88,00"/>
        <filter val="12,00"/>
        <filter val="120,00"/>
        <filter val="126,00"/>
        <filter val="134,40"/>
        <filter val="136,00"/>
        <filter val="14,00"/>
        <filter val="154,00"/>
        <filter val="16"/>
        <filter val="164,64"/>
        <filter val="168,00"/>
        <filter val="180,00"/>
        <filter val="24,00"/>
        <filter val="240,00"/>
        <filter val="28,00"/>
        <filter val="336,00"/>
        <filter val="36,00"/>
        <filter val="36,96"/>
        <filter val="37,80"/>
        <filter val="378,00"/>
        <filter val="38,64"/>
        <filter val="403,20"/>
        <filter val="405,60"/>
        <filter val="42,00"/>
        <filter val="420,00"/>
        <filter val="48,00"/>
        <filter val="491,40"/>
        <filter val="5 871,72"/>
        <filter val="50,40"/>
        <filter val="504,00"/>
        <filter val="534,24"/>
        <filter val="56,00"/>
        <filter val="57,96"/>
        <filter val="6 417,14"/>
        <filter val="6 817,14"/>
        <filter val="60,00"/>
        <filter val="60,48"/>
        <filter val="600,00"/>
        <filter val="609,00"/>
        <filter val="63,00"/>
        <filter val="70,00"/>
        <filter val="72,00"/>
        <filter val="84,00"/>
        <filter val="98,00"/>
      </filters>
    </filterColumn>
    <filterColumn colId="29" showButton="0"/>
    <filterColumn colId="30" showButton="0"/>
  </autoFilter>
  <mergeCells count="509"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P71:T71"/>
    <mergeCell ref="A52:Z52"/>
    <mergeCell ref="D110:E110"/>
    <mergeCell ref="P216:V216"/>
    <mergeCell ref="A80:Z80"/>
    <mergeCell ref="D273:E273"/>
    <mergeCell ref="P105:V105"/>
    <mergeCell ref="A144:O145"/>
    <mergeCell ref="AA17:AA18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AE288:AE289"/>
    <mergeCell ref="D220:E220"/>
    <mergeCell ref="P199:V199"/>
    <mergeCell ref="P72:V72"/>
    <mergeCell ref="A251:Z251"/>
    <mergeCell ref="A198:O199"/>
    <mergeCell ref="Y287:AB287"/>
    <mergeCell ref="A180:Z180"/>
    <mergeCell ref="A240:Z240"/>
    <mergeCell ref="P243:V243"/>
    <mergeCell ref="D182:E182"/>
    <mergeCell ref="D109:E109"/>
    <mergeCell ref="I288:I289"/>
    <mergeCell ref="P88:T88"/>
    <mergeCell ref="A156:O157"/>
    <mergeCell ref="W288:W289"/>
    <mergeCell ref="P96:V96"/>
    <mergeCell ref="Y288:Y289"/>
    <mergeCell ref="P90:V90"/>
    <mergeCell ref="A86:Z86"/>
    <mergeCell ref="P79:V79"/>
    <mergeCell ref="P73:V73"/>
    <mergeCell ref="P115:T115"/>
    <mergeCell ref="D254:E254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D195:E195"/>
    <mergeCell ref="D263:E263"/>
    <mergeCell ref="P220:T220"/>
    <mergeCell ref="A216:O217"/>
    <mergeCell ref="P248:V248"/>
    <mergeCell ref="D258:E258"/>
    <mergeCell ref="O288:O289"/>
    <mergeCell ref="P272:T272"/>
    <mergeCell ref="D264:E264"/>
    <mergeCell ref="P277:T277"/>
    <mergeCell ref="A232:O233"/>
    <mergeCell ref="A193:Z193"/>
    <mergeCell ref="A164:Z164"/>
    <mergeCell ref="P217:V217"/>
    <mergeCell ref="A213:Z213"/>
    <mergeCell ref="D269:E269"/>
    <mergeCell ref="Q11:R11"/>
    <mergeCell ref="P238:V238"/>
    <mergeCell ref="A210:O211"/>
    <mergeCell ref="P264:T264"/>
    <mergeCell ref="D70:E70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D134:E134"/>
    <mergeCell ref="D93:E93"/>
    <mergeCell ref="A13:M13"/>
    <mergeCell ref="A69:Z69"/>
    <mergeCell ref="A15:M15"/>
    <mergeCell ref="D48:E48"/>
    <mergeCell ref="A133:Z133"/>
    <mergeCell ref="P77:T77"/>
    <mergeCell ref="D125:E125"/>
    <mergeCell ref="D17:E18"/>
    <mergeCell ref="X17:X18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D116:E116"/>
    <mergeCell ref="P23:T23"/>
    <mergeCell ref="A53:Z53"/>
    <mergeCell ref="P24:T24"/>
    <mergeCell ref="A113:Z113"/>
    <mergeCell ref="A65:Z65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A60:Z60"/>
    <mergeCell ref="P56:T56"/>
    <mergeCell ref="P231:T231"/>
    <mergeCell ref="V10:W10"/>
    <mergeCell ref="A124:Z124"/>
    <mergeCell ref="P99:T99"/>
    <mergeCell ref="D66:E66"/>
    <mergeCell ref="D197:E197"/>
    <mergeCell ref="P232:V232"/>
    <mergeCell ref="D47:E47"/>
    <mergeCell ref="P160:T160"/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  <mergeCell ref="B287:C287"/>
    <mergeCell ref="D253:E253"/>
  </mergeCells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2026-07-24T15:14:46Z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