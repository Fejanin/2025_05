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59C7CD3-F300-47BF-8624-350023ADDF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Y334" i="2" s="1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P325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51" i="2" l="1"/>
  <c r="BN286" i="2"/>
  <c r="BN300" i="2"/>
  <c r="BN311" i="2"/>
  <c r="BN327" i="2"/>
  <c r="BN23" i="2"/>
  <c r="Z31" i="2"/>
  <c r="BP34" i="2"/>
  <c r="BN36" i="2"/>
  <c r="Z41" i="2"/>
  <c r="Z42" i="2" s="1"/>
  <c r="BN41" i="2"/>
  <c r="BP41" i="2"/>
  <c r="Y42" i="2"/>
  <c r="Z48" i="2"/>
  <c r="BP101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08" i="2"/>
  <c r="Y329" i="2"/>
  <c r="BP339" i="2"/>
  <c r="BN347" i="2"/>
  <c r="BP350" i="2"/>
  <c r="Z385" i="2"/>
  <c r="BN385" i="2"/>
  <c r="BP448" i="2"/>
  <c r="Y519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51" i="2"/>
  <c r="Z25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<sst xmlns="http://schemas.openxmlformats.org/spreadsheetml/2006/main" count="3933" uniqueCount="845">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</sst>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 t="s">
        <v>844</v>
      </c>
      <c r="I5" s="929"/>
      <c r="J5" s="929"/>
      <c r="K5" s="929"/>
      <c r="L5" s="929"/>
      <c r="M5" s="929"/>
      <c r="N5" s="69"/>
      <c r="P5" s="26" t="s">
        <v>4</v>
      </c>
      <c r="Q5" s="931">
        <v>46226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>
        <v>0.54166666666666663</v>
      </c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hidden="1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hidden="1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hidden="1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hidden="1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hidden="1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hidden="1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340</v>
      </c>
      <c r="Y56" s="53">
        <f>IFERROR(IF(X56="",0,CEILING((X56/$H56),1)*$H56),"")</f>
        <v>345.6</v>
      </c>
      <c r="Z56" s="39">
        <f>IFERROR(IF(Y56=0,"",ROUNDUP(Y56/H56,0)*0.01898),"")</f>
        <v>0.60736000000000001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352.90740740740739</v>
      </c>
      <c r="BN56" s="75">
        <f>IFERROR(Y56*I56/H56,"0")</f>
        <v>358.72</v>
      </c>
      <c r="BO56" s="75">
        <f>IFERROR(1/J56*(X56/H56),"0")</f>
        <v>0.49189814814814814</v>
      </c>
      <c r="BP56" s="75">
        <f>IFERROR(1/J56*(Y56/H56),"0")</f>
        <v>0.5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31.481481481481481</v>
      </c>
      <c r="Y60" s="41">
        <f>IFERROR(Y56/H56,"0")+IFERROR(Y57/H57,"0")+IFERROR(Y58/H58,"0")+IFERROR(Y59/H59,"0")</f>
        <v>32</v>
      </c>
      <c r="Z60" s="41">
        <f>IFERROR(IF(Z56="",0,Z56),"0")+IFERROR(IF(Z57="",0,Z57),"0")+IFERROR(IF(Z58="",0,Z58),"0")+IFERROR(IF(Z59="",0,Z59),"0")</f>
        <v>0.60736000000000001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340</v>
      </c>
      <c r="Y61" s="41">
        <f>IFERROR(SUM(Y56:Y59),"0")</f>
        <v>345.6</v>
      </c>
      <c r="Z61" s="40"/>
      <c r="AA61" s="64"/>
      <c r="AB61" s="64"/>
      <c r="AC61" s="64"/>
    </row>
    <row r="62" spans="1:68" ht="16.5" hidden="1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hidden="1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>
        <v>30</v>
      </c>
      <c r="Y65" s="53">
        <f t="shared" si="6"/>
        <v>32.400000000000006</v>
      </c>
      <c r="Z65" s="39">
        <f>IFERROR(IF(Y65=0,"",ROUNDUP(Y65/H65,0)*0.01898),"")</f>
        <v>5.6940000000000004E-2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31.138888888888889</v>
      </c>
      <c r="BN65" s="75">
        <f t="shared" si="8"/>
        <v>33.630000000000003</v>
      </c>
      <c r="BO65" s="75">
        <f t="shared" si="9"/>
        <v>4.3402777777777776E-2</v>
      </c>
      <c r="BP65" s="75">
        <f t="shared" si="10"/>
        <v>4.6875000000000007E-2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2.7777777777777777</v>
      </c>
      <c r="Y70" s="41">
        <f>IFERROR(Y64/H64,"0")+IFERROR(Y65/H65,"0")+IFERROR(Y66/H66,"0")+IFERROR(Y67/H67,"0")+IFERROR(Y68/H68,"0")+IFERROR(Y69/H69,"0")</f>
        <v>3.0000000000000004</v>
      </c>
      <c r="Z70" s="41">
        <f>IFERROR(IF(Z64="",0,Z64),"0")+IFERROR(IF(Z65="",0,Z65),"0")+IFERROR(IF(Z66="",0,Z66),"0")+IFERROR(IF(Z67="",0,Z67),"0")+IFERROR(IF(Z68="",0,Z68),"0")+IFERROR(IF(Z69="",0,Z69),"0")</f>
        <v>5.6940000000000004E-2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30</v>
      </c>
      <c r="Y71" s="41">
        <f>IFERROR(SUM(Y64:Y69),"0")</f>
        <v>32.400000000000006</v>
      </c>
      <c r="Z71" s="40"/>
      <c r="AA71" s="64"/>
      <c r="AB71" s="64"/>
      <c r="AC71" s="64"/>
    </row>
    <row r="72" spans="1:68" ht="14.25" hidden="1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80</v>
      </c>
      <c r="Y73" s="53">
        <f>IFERROR(IF(X73="",0,CEILING((X73/$H73),1)*$H73),"")</f>
        <v>86.4</v>
      </c>
      <c r="Z73" s="39">
        <f>IFERROR(IF(Y73=0,"",ROUNDUP(Y73/H73,0)*0.01898),"")</f>
        <v>0.15184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83.037037037037038</v>
      </c>
      <c r="BN73" s="75">
        <f>IFERROR(Y73*I73/H73,"0")</f>
        <v>89.68</v>
      </c>
      <c r="BO73" s="75">
        <f>IFERROR(1/J73*(X73/H73),"0")</f>
        <v>0.11574074074074073</v>
      </c>
      <c r="BP73" s="75">
        <f>IFERROR(1/J73*(Y73/H73),"0")</f>
        <v>0.125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7.4074074074074066</v>
      </c>
      <c r="Y77" s="41">
        <f>IFERROR(Y73/H73,"0")+IFERROR(Y74/H74,"0")+IFERROR(Y75/H75,"0")+IFERROR(Y76/H76,"0")</f>
        <v>8</v>
      </c>
      <c r="Z77" s="41">
        <f>IFERROR(IF(Z73="",0,Z73),"0")+IFERROR(IF(Z74="",0,Z74),"0")+IFERROR(IF(Z75="",0,Z75),"0")+IFERROR(IF(Z76="",0,Z76),"0")</f>
        <v>0.15184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80</v>
      </c>
      <c r="Y78" s="41">
        <f>IFERROR(SUM(Y73:Y76),"0")</f>
        <v>86.4</v>
      </c>
      <c r="Z78" s="40"/>
      <c r="AA78" s="64"/>
      <c r="AB78" s="64"/>
      <c r="AC78" s="64"/>
    </row>
    <row r="79" spans="1:68" ht="14.25" hidden="1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hidden="1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420</v>
      </c>
      <c r="Y91" s="53">
        <f>IFERROR(IF(X91="",0,CEILING((X91/$H91),1)*$H91),"")</f>
        <v>421.20000000000005</v>
      </c>
      <c r="Z91" s="39">
        <f>IFERROR(IF(Y91=0,"",ROUNDUP(Y91/H91,0)*0.01898),"")</f>
        <v>0.74021999999999999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435.94444444444446</v>
      </c>
      <c r="BN91" s="75">
        <f>IFERROR(Y91*I91/H91,"0")</f>
        <v>437.19000000000005</v>
      </c>
      <c r="BO91" s="75">
        <f>IFERROR(1/J91*(X91/H91),"0")</f>
        <v>0.60763888888888884</v>
      </c>
      <c r="BP91" s="75">
        <f>IFERROR(1/J91*(Y91/H91),"0")</f>
        <v>0.609375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/>
      <c r="Y94" s="53">
        <f>IFERROR(IF(X94="",0,CEILING((X94/$H94),1)*$H94),"")</f>
        <v>0</v>
      </c>
      <c r="Z94" s="39" t="str">
        <f>IFERROR(IF(Y94=0,"",ROUNDUP(Y94/H94,0)*0.00902),"")</f>
        <v/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38.888888888888886</v>
      </c>
      <c r="Y95" s="41">
        <f>IFERROR(Y91/H91,"0")+IFERROR(Y92/H92,"0")+IFERROR(Y93/H93,"0")+IFERROR(Y94/H94,"0")</f>
        <v>39</v>
      </c>
      <c r="Z95" s="41">
        <f>IFERROR(IF(Z91="",0,Z91),"0")+IFERROR(IF(Z92="",0,Z92),"0")+IFERROR(IF(Z93="",0,Z93),"0")+IFERROR(IF(Z94="",0,Z94),"0")</f>
        <v>0.74021999999999999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420</v>
      </c>
      <c r="Y96" s="41">
        <f>IFERROR(SUM(Y91:Y94),"0")</f>
        <v>421.20000000000005</v>
      </c>
      <c r="Z96" s="40"/>
      <c r="AA96" s="64"/>
      <c r="AB96" s="64"/>
      <c r="AC96" s="64"/>
    </row>
    <row r="97" spans="1:68" ht="14.25" hidden="1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600</v>
      </c>
      <c r="Y98" s="53">
        <f>IFERROR(IF(X98="",0,CEILING((X98/$H98),1)*$H98),"")</f>
        <v>607.5</v>
      </c>
      <c r="Z98" s="39">
        <f>IFERROR(IF(Y98=0,"",ROUNDUP(Y98/H98,0)*0.01898),"")</f>
        <v>1.4235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636.59259259259261</v>
      </c>
      <c r="BN98" s="75">
        <f>IFERROR(Y98*I98/H98,"0")</f>
        <v>644.54999999999995</v>
      </c>
      <c r="BO98" s="75">
        <f>IFERROR(1/J98*(X98/H98),"0")</f>
        <v>1.1574074074074074</v>
      </c>
      <c r="BP98" s="75">
        <f>IFERROR(1/J98*(Y98/H98),"0")</f>
        <v>1.171875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74.074074074074076</v>
      </c>
      <c r="Y102" s="41">
        <f>IFERROR(Y98/H98,"0")+IFERROR(Y99/H99,"0")+IFERROR(Y100/H100,"0")+IFERROR(Y101/H101,"0")</f>
        <v>75</v>
      </c>
      <c r="Z102" s="41">
        <f>IFERROR(IF(Z98="",0,Z98),"0")+IFERROR(IF(Z99="",0,Z99),"0")+IFERROR(IF(Z100="",0,Z100),"0")+IFERROR(IF(Z101="",0,Z101),"0")</f>
        <v>1.4235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600</v>
      </c>
      <c r="Y103" s="41">
        <f>IFERROR(SUM(Y98:Y101),"0")</f>
        <v>607.5</v>
      </c>
      <c r="Z103" s="40"/>
      <c r="AA103" s="64"/>
      <c r="AB103" s="64"/>
      <c r="AC103" s="64"/>
    </row>
    <row r="104" spans="1:68" ht="16.5" hidden="1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hidden="1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>
        <v>420</v>
      </c>
      <c r="Y106" s="53">
        <f t="shared" ref="Y106:Y112" si="11">IFERROR(IF(X106="",0,CEILING((X106/$H106),1)*$H106),"")</f>
        <v>421.20000000000005</v>
      </c>
      <c r="Z106" s="39">
        <f>IFERROR(IF(Y106=0,"",ROUNDUP(Y106/H106,0)*0.01898),"")</f>
        <v>0.74021999999999999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435.94444444444446</v>
      </c>
      <c r="BN106" s="75">
        <f t="shared" ref="BN106:BN112" si="13">IFERROR(Y106*I106/H106,"0")</f>
        <v>437.19000000000005</v>
      </c>
      <c r="BO106" s="75">
        <f t="shared" ref="BO106:BO112" si="14">IFERROR(1/J106*(X106/H106),"0")</f>
        <v>0.60763888888888884</v>
      </c>
      <c r="BP106" s="75">
        <f t="shared" ref="BP106:BP112" si="15">IFERROR(1/J106*(Y106/H106),"0")</f>
        <v>0.609375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hidden="1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/>
      <c r="Y111" s="53">
        <f t="shared" si="11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0</v>
      </c>
      <c r="BN111" s="75">
        <f t="shared" si="13"/>
        <v>0</v>
      </c>
      <c r="BO111" s="75">
        <f t="shared" si="14"/>
        <v>0</v>
      </c>
      <c r="BP111" s="75">
        <f t="shared" si="15"/>
        <v>0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38.888888888888886</v>
      </c>
      <c r="Y113" s="41">
        <f>IFERROR(Y106/H106,"0")+IFERROR(Y107/H107,"0")+IFERROR(Y108/H108,"0")+IFERROR(Y109/H109,"0")+IFERROR(Y110/H110,"0")+IFERROR(Y111/H111,"0")+IFERROR(Y112/H112,"0")</f>
        <v>39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0.74021999999999999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420</v>
      </c>
      <c r="Y114" s="41">
        <f>IFERROR(SUM(Y106:Y112),"0")</f>
        <v>421.20000000000005</v>
      </c>
      <c r="Z114" s="40"/>
      <c r="AA114" s="64"/>
      <c r="AB114" s="64"/>
      <c r="AC114" s="64"/>
    </row>
    <row r="115" spans="1:68" ht="14.25" hidden="1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700</v>
      </c>
      <c r="Y124" s="53">
        <f>IFERROR(IF(X124="",0,CEILING((X124/$H124),1)*$H124),"")</f>
        <v>704.69999999999993</v>
      </c>
      <c r="Z124" s="39">
        <f>IFERROR(IF(Y124=0,"",ROUNDUP(Y124/H124,0)*0.01898),"")</f>
        <v>1.65126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742.17283950617275</v>
      </c>
      <c r="BN124" s="75">
        <f>IFERROR(Y124*I124/H124,"0")</f>
        <v>747.15599999999995</v>
      </c>
      <c r="BO124" s="75">
        <f>IFERROR(1/J124*(X124/H124),"0")</f>
        <v>1.3503086419753088</v>
      </c>
      <c r="BP124" s="75">
        <f>IFERROR(1/J124*(Y124/H124),"0")</f>
        <v>1.359375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86.41975308641976</v>
      </c>
      <c r="Y128" s="41">
        <f>IFERROR(Y124/H124,"0")+IFERROR(Y125/H125,"0")+IFERROR(Y126/H126,"0")+IFERROR(Y127/H127,"0")</f>
        <v>87</v>
      </c>
      <c r="Z128" s="41">
        <f>IFERROR(IF(Z124="",0,Z124),"0")+IFERROR(IF(Z125="",0,Z125),"0")+IFERROR(IF(Z126="",0,Z126),"0")+IFERROR(IF(Z127="",0,Z127),"0")</f>
        <v>1.65126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700</v>
      </c>
      <c r="Y129" s="41">
        <f>IFERROR(SUM(Y124:Y127),"0")</f>
        <v>704.69999999999993</v>
      </c>
      <c r="Z129" s="40"/>
      <c r="AA129" s="64"/>
      <c r="AB129" s="64"/>
      <c r="AC129" s="64"/>
    </row>
    <row r="130" spans="1:68" ht="14.25" hidden="1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hidden="1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hidden="1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hidden="1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hidden="1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hidden="1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hidden="1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>
        <v>130</v>
      </c>
      <c r="Y209" s="53">
        <f t="shared" ref="Y209:Y222" si="21">IFERROR(IF(X209="",0,CEILING((X209/$H209),1)*$H209),"")</f>
        <v>130.20000000000002</v>
      </c>
      <c r="Z209" s="39">
        <f>IFERROR(IF(Y209=0,"",ROUNDUP(Y209/H209,0)*0.00902),"")</f>
        <v>0.27961999999999998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137.73809523809524</v>
      </c>
      <c r="BN209" s="75">
        <f t="shared" ref="BN209:BN222" si="23">IFERROR(Y209*I209/H209,"0")</f>
        <v>137.95000000000002</v>
      </c>
      <c r="BO209" s="75">
        <f t="shared" ref="BO209:BO222" si="24">IFERROR(1/J209*(X209/H209),"0")</f>
        <v>0.23448773448773449</v>
      </c>
      <c r="BP209" s="75">
        <f t="shared" ref="BP209:BP222" si="25">IFERROR(1/J209*(Y209/H209),"0")</f>
        <v>0.23484848484848489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>
        <v>90</v>
      </c>
      <c r="Y211" s="53">
        <f t="shared" si="21"/>
        <v>92.4</v>
      </c>
      <c r="Z211" s="39">
        <f>IFERROR(IF(Y211=0,"",ROUNDUP(Y211/H211,0)*0.00902),"")</f>
        <v>0.19844000000000001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94.071428571428555</v>
      </c>
      <c r="BN211" s="75">
        <f t="shared" si="23"/>
        <v>96.579999999999984</v>
      </c>
      <c r="BO211" s="75">
        <f t="shared" si="24"/>
        <v>0.16233766233766234</v>
      </c>
      <c r="BP211" s="75">
        <f t="shared" si="25"/>
        <v>0.16666666666666669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>
        <v>8.4</v>
      </c>
      <c r="Y213" s="53">
        <f t="shared" si="21"/>
        <v>8.4</v>
      </c>
      <c r="Z213" s="39">
        <f t="shared" ref="Z213:Z218" si="26">IFERROR(IF(Y213=0,"",ROUNDUP(Y213/H213,0)*0.00502),"")</f>
        <v>2.0080000000000001E-2</v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8.92</v>
      </c>
      <c r="BN213" s="75">
        <f t="shared" si="23"/>
        <v>8.92</v>
      </c>
      <c r="BO213" s="75">
        <f t="shared" si="24"/>
        <v>1.7094017094017096E-2</v>
      </c>
      <c r="BP213" s="75">
        <f t="shared" si="25"/>
        <v>1.7094017094017096E-2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56.38095238095238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57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0.49813999999999997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228.4</v>
      </c>
      <c r="Y224" s="41">
        <f>IFERROR(SUM(Y209:Y222),"0")</f>
        <v>231.00000000000003</v>
      </c>
      <c r="Z224" s="40"/>
      <c r="AA224" s="64"/>
      <c r="AB224" s="64"/>
      <c r="AC224" s="64"/>
    </row>
    <row r="225" spans="1:68" ht="14.25" hidden="1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hidden="1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30</v>
      </c>
      <c r="Y251" s="53">
        <f t="shared" ref="Y251:Y258" si="27">IFERROR(IF(X251="",0,CEILING((X251/$H251),1)*$H251),"")</f>
        <v>32.400000000000006</v>
      </c>
      <c r="Z251" s="39">
        <f>IFERROR(IF(Y251=0,"",ROUNDUP(Y251/H251,0)*0.00902),"")</f>
        <v>5.4120000000000001E-2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31.05555555555555</v>
      </c>
      <c r="BN251" s="75">
        <f t="shared" ref="BN251:BN258" si="29">IFERROR(Y251*I251/H251,"0")</f>
        <v>33.54</v>
      </c>
      <c r="BO251" s="75">
        <f t="shared" ref="BO251:BO258" si="30">IFERROR(1/J251*(X251/H251),"0")</f>
        <v>4.208754208754209E-2</v>
      </c>
      <c r="BP251" s="75">
        <f t="shared" ref="BP251:BP258" si="31">IFERROR(1/J251*(Y251/H251),"0")</f>
        <v>4.5454545454545463E-2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>
        <v>100</v>
      </c>
      <c r="Y252" s="53">
        <f t="shared" si="27"/>
        <v>102.60000000000001</v>
      </c>
      <c r="Z252" s="39">
        <f>IFERROR(IF(Y252=0,"",ROUNDUP(Y252/H252,0)*0.00902),"")</f>
        <v>0.17138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103.5185185185185</v>
      </c>
      <c r="BN252" s="75">
        <f t="shared" si="29"/>
        <v>106.21</v>
      </c>
      <c r="BO252" s="75">
        <f t="shared" si="30"/>
        <v>0.14029180695847362</v>
      </c>
      <c r="BP252" s="75">
        <f t="shared" si="31"/>
        <v>0.14393939393939395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90</v>
      </c>
      <c r="Y253" s="53">
        <f t="shared" si="27"/>
        <v>91.800000000000011</v>
      </c>
      <c r="Z253" s="39">
        <f>IFERROR(IF(Y253=0,"",ROUNDUP(Y253/H253,0)*0.00902),"")</f>
        <v>0.15334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93.166666666666657</v>
      </c>
      <c r="BN253" s="75">
        <f t="shared" si="29"/>
        <v>95.03</v>
      </c>
      <c r="BO253" s="75">
        <f t="shared" si="30"/>
        <v>0.12626262626262624</v>
      </c>
      <c r="BP253" s="75">
        <f t="shared" si="31"/>
        <v>0.12878787878787878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>
        <v>20</v>
      </c>
      <c r="Y254" s="53">
        <f t="shared" si="27"/>
        <v>21.6</v>
      </c>
      <c r="Z254" s="39">
        <f>IFERROR(IF(Y254=0,"",ROUNDUP(Y254/H254,0)*0.00902),"")</f>
        <v>3.6080000000000001E-2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20.703703703703702</v>
      </c>
      <c r="BN254" s="75">
        <f t="shared" si="29"/>
        <v>22.36</v>
      </c>
      <c r="BO254" s="75">
        <f t="shared" si="30"/>
        <v>2.8058361391694722E-2</v>
      </c>
      <c r="BP254" s="75">
        <f t="shared" si="31"/>
        <v>3.0303030303030304E-2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44.444444444444443</v>
      </c>
      <c r="Y259" s="41">
        <f>IFERROR(Y251/H251,"0")+IFERROR(Y252/H252,"0")+IFERROR(Y253/H253,"0")+IFERROR(Y254/H254,"0")+IFERROR(Y255/H255,"0")+IFERROR(Y256/H256,"0")+IFERROR(Y257/H257,"0")+IFERROR(Y258/H258,"0")</f>
        <v>46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0.41492000000000001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240</v>
      </c>
      <c r="Y260" s="41">
        <f>IFERROR(SUM(Y251:Y258),"0")</f>
        <v>248.4</v>
      </c>
      <c r="Z260" s="40"/>
      <c r="AA260" s="64"/>
      <c r="AB260" s="64"/>
      <c r="AC260" s="64"/>
    </row>
    <row r="261" spans="1:68" ht="14.25" hidden="1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hidden="1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>
        <v>250</v>
      </c>
      <c r="Y264" s="53">
        <f t="shared" si="32"/>
        <v>252.29999999999998</v>
      </c>
      <c r="Z264" s="39">
        <f>IFERROR(IF(Y264=0,"",ROUNDUP(Y264/H264,0)*0.01898),"")</f>
        <v>0.55042000000000002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264.19540229885058</v>
      </c>
      <c r="BN264" s="75">
        <f t="shared" si="34"/>
        <v>266.62600000000003</v>
      </c>
      <c r="BO264" s="75">
        <f t="shared" si="35"/>
        <v>0.44899425287356326</v>
      </c>
      <c r="BP264" s="75">
        <f t="shared" si="36"/>
        <v>0.453125</v>
      </c>
    </row>
    <row r="265" spans="1:68" ht="37.5" hidden="1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hidden="1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28.735632183908049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29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0.55042000000000002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250</v>
      </c>
      <c r="Y273" s="41">
        <f>IFERROR(SUM(Y262:Y271),"0")</f>
        <v>252.29999999999998</v>
      </c>
      <c r="Z273" s="40"/>
      <c r="AA273" s="64"/>
      <c r="AB273" s="64"/>
      <c r="AC273" s="64"/>
    </row>
    <row r="274" spans="1:68" ht="14.25" hidden="1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hidden="1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hidden="1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hidden="1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hidden="1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hidden="1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hidden="1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>
        <v>90</v>
      </c>
      <c r="Y354" s="53">
        <f t="shared" ref="Y354:Y360" si="48">IFERROR(IF(X354="",0,CEILING((X354/$H354),1)*$H354),"")</f>
        <v>92.4</v>
      </c>
      <c r="Z354" s="39">
        <f>IFERROR(IF(Y354=0,"",ROUNDUP(Y354/H354,0)*0.00902),"")</f>
        <v>0.19844000000000001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95.357142857142847</v>
      </c>
      <c r="BN354" s="75">
        <f t="shared" ref="BN354:BN360" si="50">IFERROR(Y354*I354/H354,"0")</f>
        <v>97.9</v>
      </c>
      <c r="BO354" s="75">
        <f t="shared" ref="BO354:BO360" si="51">IFERROR(1/J354*(X354/H354),"0")</f>
        <v>0.16233766233766234</v>
      </c>
      <c r="BP354" s="75">
        <f t="shared" ref="BP354:BP360" si="52">IFERROR(1/J354*(Y354/H354),"0")</f>
        <v>0.16666666666666669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>
        <v>30</v>
      </c>
      <c r="Y355" s="53">
        <f t="shared" si="48"/>
        <v>33.6</v>
      </c>
      <c r="Z355" s="39">
        <f>IFERROR(IF(Y355=0,"",ROUNDUP(Y355/H355,0)*0.00902),"")</f>
        <v>7.2160000000000002E-2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31.785714285714285</v>
      </c>
      <c r="BN355" s="75">
        <f t="shared" si="50"/>
        <v>35.6</v>
      </c>
      <c r="BO355" s="75">
        <f t="shared" si="51"/>
        <v>5.4112554112554112E-2</v>
      </c>
      <c r="BP355" s="75">
        <f t="shared" si="52"/>
        <v>6.0606060606060608E-2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28.571428571428569</v>
      </c>
      <c r="Y361" s="41">
        <f>IFERROR(Y354/H354,"0")+IFERROR(Y355/H355,"0")+IFERROR(Y356/H356,"0")+IFERROR(Y357/H357,"0")+IFERROR(Y358/H358,"0")+IFERROR(Y359/H359,"0")+IFERROR(Y360/H360,"0")</f>
        <v>30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0.27060000000000001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120</v>
      </c>
      <c r="Y362" s="41">
        <f>IFERROR(SUM(Y354:Y360),"0")</f>
        <v>126</v>
      </c>
      <c r="Z362" s="40"/>
      <c r="AA362" s="64"/>
      <c r="AB362" s="64"/>
      <c r="AC362" s="64"/>
    </row>
    <row r="363" spans="1:68" ht="14.25" hidden="1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100</v>
      </c>
      <c r="Y371" s="53">
        <f>IFERROR(IF(X371="",0,CEILING((X371/$H371),1)*$H371),"")</f>
        <v>100.80000000000001</v>
      </c>
      <c r="Z371" s="39">
        <f>IFERROR(IF(Y371=0,"",ROUNDUP(Y371/H371,0)*0.01898),"")</f>
        <v>0.22776000000000002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105.88095238095238</v>
      </c>
      <c r="BN371" s="75">
        <f>IFERROR(Y371*I371/H371,"0")</f>
        <v>106.72800000000001</v>
      </c>
      <c r="BO371" s="75">
        <f>IFERROR(1/J371*(X371/H371),"0")</f>
        <v>0.18601190476190477</v>
      </c>
      <c r="BP371" s="75">
        <f>IFERROR(1/J371*(Y371/H371),"0")</f>
        <v>0.1875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850</v>
      </c>
      <c r="Y372" s="53">
        <f>IFERROR(IF(X372="",0,CEILING((X372/$H372),1)*$H372),"")</f>
        <v>850.19999999999993</v>
      </c>
      <c r="Z372" s="39">
        <f>IFERROR(IF(Y372=0,"",ROUNDUP(Y372/H372,0)*0.01898),"")</f>
        <v>2.0688200000000001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903.83333333333337</v>
      </c>
      <c r="BN372" s="75">
        <f>IFERROR(Y372*I372/H372,"0")</f>
        <v>904.04600000000005</v>
      </c>
      <c r="BO372" s="75">
        <f>IFERROR(1/J372*(X372/H372),"0")</f>
        <v>1.702724358974359</v>
      </c>
      <c r="BP372" s="75">
        <f>IFERROR(1/J372*(Y372/H372),"0")</f>
        <v>1.703125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130</v>
      </c>
      <c r="Y373" s="53">
        <f>IFERROR(IF(X373="",0,CEILING((X373/$H373),1)*$H373),"")</f>
        <v>134.4</v>
      </c>
      <c r="Z373" s="39">
        <f>IFERROR(IF(Y373=0,"",ROUNDUP(Y373/H373,0)*0.01898),"")</f>
        <v>0.30368000000000001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137.64523809523808</v>
      </c>
      <c r="BN373" s="75">
        <f>IFERROR(Y373*I373/H373,"0")</f>
        <v>142.304</v>
      </c>
      <c r="BO373" s="75">
        <f>IFERROR(1/J373*(X373/H373),"0")</f>
        <v>0.24181547619047619</v>
      </c>
      <c r="BP373" s="75">
        <f>IFERROR(1/J373*(Y373/H373),"0")</f>
        <v>0.25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136.35531135531136</v>
      </c>
      <c r="Y374" s="41">
        <f>IFERROR(Y371/H371,"0")+IFERROR(Y372/H372,"0")+IFERROR(Y373/H373,"0")</f>
        <v>137</v>
      </c>
      <c r="Z374" s="41">
        <f>IFERROR(IF(Z371="",0,Z371),"0")+IFERROR(IF(Z372="",0,Z372),"0")+IFERROR(IF(Z373="",0,Z373),"0")</f>
        <v>2.60026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1080</v>
      </c>
      <c r="Y375" s="41">
        <f>IFERROR(SUM(Y371:Y373),"0")</f>
        <v>1085.4000000000001</v>
      </c>
      <c r="Z375" s="40"/>
      <c r="AA375" s="64"/>
      <c r="AB375" s="64"/>
      <c r="AC375" s="64"/>
    </row>
    <row r="376" spans="1:68" ht="14.25" hidden="1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hidden="1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hidden="1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>
        <v>31.5</v>
      </c>
      <c r="Y392" s="53">
        <f>IFERROR(IF(X392="",0,CEILING((X392/$H392),1)*$H392),"")</f>
        <v>31.5</v>
      </c>
      <c r="Z392" s="39">
        <f>IFERROR(IF(Y392=0,"",ROUNDUP(Y392/H392,0)*0.00651),"")</f>
        <v>9.7650000000000001E-2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35.279999999999994</v>
      </c>
      <c r="BN392" s="75">
        <f>IFERROR(Y392*I392/H392,"0")</f>
        <v>35.279999999999994</v>
      </c>
      <c r="BO392" s="75">
        <f>IFERROR(1/J392*(X392/H392),"0")</f>
        <v>8.241758241758243E-2</v>
      </c>
      <c r="BP392" s="75">
        <f>IFERROR(1/J392*(Y392/H392),"0")</f>
        <v>8.241758241758243E-2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15</v>
      </c>
      <c r="Y394" s="41">
        <f>IFERROR(Y391/H391,"0")+IFERROR(Y392/H392,"0")+IFERROR(Y393/H393,"0")</f>
        <v>15</v>
      </c>
      <c r="Z394" s="41">
        <f>IFERROR(IF(Z391="",0,Z391),"0")+IFERROR(IF(Z392="",0,Z392),"0")+IFERROR(IF(Z393="",0,Z393),"0")</f>
        <v>9.7650000000000001E-2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31.5</v>
      </c>
      <c r="Y395" s="41">
        <f>IFERROR(SUM(Y391:Y393),"0")</f>
        <v>31.5</v>
      </c>
      <c r="Z395" s="40"/>
      <c r="AA395" s="64"/>
      <c r="AB395" s="64"/>
      <c r="AC395" s="64"/>
    </row>
    <row r="396" spans="1:68" ht="27.75" hidden="1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hidden="1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hidden="1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2850</v>
      </c>
      <c r="Y400" s="53">
        <f t="shared" si="53"/>
        <v>2850</v>
      </c>
      <c r="Z400" s="39">
        <f>IFERROR(IF(Y400=0,"",ROUNDUP(Y400/H400,0)*0.02175),"")</f>
        <v>4.1324999999999994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2939.3</v>
      </c>
      <c r="BN400" s="75">
        <f t="shared" si="55"/>
        <v>2939.3</v>
      </c>
      <c r="BO400" s="75">
        <f t="shared" si="56"/>
        <v>3.958333333333333</v>
      </c>
      <c r="BP400" s="75">
        <f t="shared" si="57"/>
        <v>3.958333333333333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1500</v>
      </c>
      <c r="Y401" s="53">
        <f t="shared" si="53"/>
        <v>1500</v>
      </c>
      <c r="Z401" s="39">
        <f>IFERROR(IF(Y401=0,"",ROUNDUP(Y401/H401,0)*0.02175),"")</f>
        <v>2.1749999999999998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1547</v>
      </c>
      <c r="BN401" s="75">
        <f t="shared" si="55"/>
        <v>1547</v>
      </c>
      <c r="BO401" s="75">
        <f t="shared" si="56"/>
        <v>2.083333333333333</v>
      </c>
      <c r="BP401" s="75">
        <f t="shared" si="57"/>
        <v>2.083333333333333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4000</v>
      </c>
      <c r="Y402" s="53">
        <f t="shared" si="53"/>
        <v>4005</v>
      </c>
      <c r="Z402" s="39">
        <f>IFERROR(IF(Y402=0,"",ROUNDUP(Y402/H402,0)*0.02175),"")</f>
        <v>5.8072499999999998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4125.333333333333</v>
      </c>
      <c r="BN402" s="75">
        <f t="shared" si="55"/>
        <v>4130.4900000000007</v>
      </c>
      <c r="BO402" s="75">
        <f t="shared" si="56"/>
        <v>5.5555555555555554</v>
      </c>
      <c r="BP402" s="75">
        <f t="shared" si="57"/>
        <v>5.5625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556.66666666666674</v>
      </c>
      <c r="Y407" s="41">
        <f>IFERROR(Y399/H399,"0")+IFERROR(Y400/H400,"0")+IFERROR(Y401/H401,"0")+IFERROR(Y402/H402,"0")+IFERROR(Y403/H403,"0")+IFERROR(Y404/H404,"0")+IFERROR(Y405/H405,"0")+IFERROR(Y406/H406,"0")</f>
        <v>557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12.114749999999999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8350</v>
      </c>
      <c r="Y408" s="41">
        <f>IFERROR(SUM(Y399:Y406),"0")</f>
        <v>8355</v>
      </c>
      <c r="Z408" s="40"/>
      <c r="AA408" s="64"/>
      <c r="AB408" s="64"/>
      <c r="AC408" s="64"/>
    </row>
    <row r="409" spans="1:68" ht="14.25" hidden="1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>
        <v>2550</v>
      </c>
      <c r="Y410" s="53">
        <f>IFERROR(IF(X410="",0,CEILING((X410/$H410),1)*$H410),"")</f>
        <v>2550</v>
      </c>
      <c r="Z410" s="39">
        <f>IFERROR(IF(Y410=0,"",ROUNDUP(Y410/H410,0)*0.02175),"")</f>
        <v>3.6974999999999998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2629.9</v>
      </c>
      <c r="BN410" s="75">
        <f>IFERROR(Y410*I410/H410,"0")</f>
        <v>2629.9</v>
      </c>
      <c r="BO410" s="75">
        <f>IFERROR(1/J410*(X410/H410),"0")</f>
        <v>3.5416666666666665</v>
      </c>
      <c r="BP410" s="75">
        <f>IFERROR(1/J410*(Y410/H410),"0")</f>
        <v>3.5416666666666665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170</v>
      </c>
      <c r="Y413" s="41">
        <f>IFERROR(Y410/H410,"0")+IFERROR(Y411/H411,"0")+IFERROR(Y412/H412,"0")</f>
        <v>170</v>
      </c>
      <c r="Z413" s="41">
        <f>IFERROR(IF(Z410="",0,Z410),"0")+IFERROR(IF(Z411="",0,Z411),"0")+IFERROR(IF(Z412="",0,Z412),"0")</f>
        <v>3.6974999999999998</v>
      </c>
      <c r="AA413" s="64"/>
      <c r="AB413" s="64"/>
      <c r="AC413" s="64"/>
    </row>
    <row r="414" spans="1:68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2550</v>
      </c>
      <c r="Y414" s="41">
        <f>IFERROR(SUM(Y410:Y412),"0")</f>
        <v>2550</v>
      </c>
      <c r="Z414" s="40"/>
      <c r="AA414" s="64"/>
      <c r="AB414" s="64"/>
      <c r="AC414" s="64"/>
    </row>
    <row r="415" spans="1:68" ht="14.25" hidden="1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400</v>
      </c>
      <c r="Y416" s="53">
        <f>IFERROR(IF(X416="",0,CEILING((X416/$H416),1)*$H416),"")</f>
        <v>405</v>
      </c>
      <c r="Z416" s="39">
        <f>IFERROR(IF(Y416=0,"",ROUNDUP(Y416/H416,0)*0.01898),"")</f>
        <v>0.85409999999999997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422.22222222222223</v>
      </c>
      <c r="BN416" s="75">
        <f>IFERROR(Y416*I416/H416,"0")</f>
        <v>427.5</v>
      </c>
      <c r="BO416" s="75">
        <f>IFERROR(1/J416*(X416/H416),"0")</f>
        <v>0.69444444444444442</v>
      </c>
      <c r="BP416" s="75">
        <f>IFERROR(1/J416*(Y416/H416),"0")</f>
        <v>0.703125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80</v>
      </c>
      <c r="Y417" s="53">
        <f>IFERROR(IF(X417="",0,CEILING((X417/$H417),1)*$H417),"")</f>
        <v>81</v>
      </c>
      <c r="Z417" s="39">
        <f>IFERROR(IF(Y417=0,"",ROUNDUP(Y417/H417,0)*0.01898),"")</f>
        <v>0.17082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84.391111111111115</v>
      </c>
      <c r="BN417" s="75">
        <f>IFERROR(Y417*I417/H417,"0")</f>
        <v>85.445999999999998</v>
      </c>
      <c r="BO417" s="75">
        <f>IFERROR(1/J417*(X417/H417),"0")</f>
        <v>0.1388888888888889</v>
      </c>
      <c r="BP417" s="75">
        <f>IFERROR(1/J417*(Y417/H417),"0")</f>
        <v>0.140625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53.333333333333329</v>
      </c>
      <c r="Y418" s="41">
        <f>IFERROR(Y416/H416,"0")+IFERROR(Y417/H417,"0")</f>
        <v>54</v>
      </c>
      <c r="Z418" s="41">
        <f>IFERROR(IF(Z416="",0,Z416),"0")+IFERROR(IF(Z417="",0,Z417),"0")</f>
        <v>1.0249200000000001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480</v>
      </c>
      <c r="Y419" s="41">
        <f>IFERROR(SUM(Y416:Y417),"0")</f>
        <v>486</v>
      </c>
      <c r="Z419" s="40"/>
      <c r="AA419" s="64"/>
      <c r="AB419" s="64"/>
      <c r="AC419" s="64"/>
    </row>
    <row r="420" spans="1:68" ht="14.25" hidden="1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360</v>
      </c>
      <c r="Y421" s="53">
        <f>IFERROR(IF(X421="",0,CEILING((X421/$H421),1)*$H421),"")</f>
        <v>360</v>
      </c>
      <c r="Z421" s="39">
        <f>IFERROR(IF(Y421=0,"",ROUNDUP(Y421/H421,0)*0.01898),"")</f>
        <v>0.75919999999999999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379.76</v>
      </c>
      <c r="BN421" s="75">
        <f>IFERROR(Y421*I421/H421,"0")</f>
        <v>379.76</v>
      </c>
      <c r="BO421" s="75">
        <f>IFERROR(1/J421*(X421/H421),"0")</f>
        <v>0.625</v>
      </c>
      <c r="BP421" s="75">
        <f>IFERROR(1/J421*(Y421/H421),"0")</f>
        <v>0.625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40</v>
      </c>
      <c r="Y422" s="41">
        <f>IFERROR(Y421/H421,"0")</f>
        <v>40</v>
      </c>
      <c r="Z422" s="41">
        <f>IFERROR(IF(Z421="",0,Z421),"0")</f>
        <v>0.75919999999999999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360</v>
      </c>
      <c r="Y423" s="41">
        <f>IFERROR(SUM(Y421:Y421),"0")</f>
        <v>360</v>
      </c>
      <c r="Z423" s="40"/>
      <c r="AA423" s="64"/>
      <c r="AB423" s="64"/>
      <c r="AC423" s="64"/>
    </row>
    <row r="424" spans="1:68" ht="16.5" hidden="1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hidden="1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>
        <v>60</v>
      </c>
      <c r="Y431" s="53">
        <f>IFERROR(IF(X431="",0,CEILING((X431/$H431),1)*$H431),"")</f>
        <v>63</v>
      </c>
      <c r="Z431" s="39">
        <f>IFERROR(IF(Y431=0,"",ROUNDUP(Y431/H431,0)*0.00902),"")</f>
        <v>0.1353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63.571428571428569</v>
      </c>
      <c r="BN431" s="75">
        <f>IFERROR(Y431*I431/H431,"0")</f>
        <v>66.75</v>
      </c>
      <c r="BO431" s="75">
        <f>IFERROR(1/J431*(X431/H431),"0")</f>
        <v>0.10822510822510822</v>
      </c>
      <c r="BP431" s="75">
        <f>IFERROR(1/J431*(Y431/H431),"0")</f>
        <v>0.11363636363636365</v>
      </c>
    </row>
    <row r="432" spans="1:68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14.285714285714285</v>
      </c>
      <c r="Y432" s="41">
        <f>IFERROR(Y431/H431,"0")</f>
        <v>15</v>
      </c>
      <c r="Z432" s="41">
        <f>IFERROR(IF(Z431="",0,Z431),"0")</f>
        <v>0.1353</v>
      </c>
      <c r="AA432" s="64"/>
      <c r="AB432" s="64"/>
      <c r="AC432" s="64"/>
    </row>
    <row r="433" spans="1:68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60</v>
      </c>
      <c r="Y433" s="41">
        <f>IFERROR(SUM(Y431:Y431),"0")</f>
        <v>63</v>
      </c>
      <c r="Z433" s="40"/>
      <c r="AA433" s="64"/>
      <c r="AB433" s="64"/>
      <c r="AC433" s="64"/>
    </row>
    <row r="434" spans="1:68" ht="14.25" hidden="1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540</v>
      </c>
      <c r="Y435" s="53">
        <f>IFERROR(IF(X435="",0,CEILING((X435/$H435),1)*$H435),"")</f>
        <v>540</v>
      </c>
      <c r="Z435" s="39">
        <f>IFERROR(IF(Y435=0,"",ROUNDUP(Y435/H435,0)*0.01898),"")</f>
        <v>1.1388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569.64</v>
      </c>
      <c r="BN435" s="75">
        <f>IFERROR(Y435*I435/H435,"0")</f>
        <v>569.64</v>
      </c>
      <c r="BO435" s="75">
        <f>IFERROR(1/J435*(X435/H435),"0")</f>
        <v>0.9375</v>
      </c>
      <c r="BP435" s="75">
        <f>IFERROR(1/J435*(Y435/H435),"0")</f>
        <v>0.9375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60</v>
      </c>
      <c r="Y438" s="41">
        <f>IFERROR(Y435/H435,"0")+IFERROR(Y436/H436,"0")+IFERROR(Y437/H437,"0")</f>
        <v>60</v>
      </c>
      <c r="Z438" s="41">
        <f>IFERROR(IF(Z435="",0,Z435),"0")+IFERROR(IF(Z436="",0,Z436),"0")+IFERROR(IF(Z437="",0,Z437),"0")</f>
        <v>1.1388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540</v>
      </c>
      <c r="Y439" s="41">
        <f>IFERROR(SUM(Y435:Y437),"0")</f>
        <v>540</v>
      </c>
      <c r="Z439" s="40"/>
      <c r="AA439" s="64"/>
      <c r="AB439" s="64"/>
      <c r="AC439" s="64"/>
    </row>
    <row r="440" spans="1:68" ht="27.75" hidden="1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hidden="1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hidden="1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20</v>
      </c>
      <c r="Y443" s="53">
        <f t="shared" ref="Y443:Y448" si="58">IFERROR(IF(X443="",0,CEILING((X443/$H443),1)*$H443),"")</f>
        <v>21.6</v>
      </c>
      <c r="Z443" s="39">
        <f>IFERROR(IF(Y443=0,"",ROUNDUP(Y443/H443,0)*0.00902),"")</f>
        <v>3.6080000000000001E-2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20.703703703703702</v>
      </c>
      <c r="BN443" s="75">
        <f t="shared" ref="BN443:BN448" si="60">IFERROR(Y443*I443/H443,"0")</f>
        <v>22.36</v>
      </c>
      <c r="BO443" s="75">
        <f t="shared" ref="BO443:BO448" si="61">IFERROR(1/J443*(X443/H443),"0")</f>
        <v>2.8058361391694722E-2</v>
      </c>
      <c r="BP443" s="75">
        <f t="shared" ref="BP443:BP448" si="62">IFERROR(1/J443*(Y443/H443),"0")</f>
        <v>3.0303030303030304E-2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>
        <v>50</v>
      </c>
      <c r="Y444" s="53">
        <f t="shared" si="58"/>
        <v>54</v>
      </c>
      <c r="Z444" s="39">
        <f>IFERROR(IF(Y444=0,"",ROUNDUP(Y444/H444,0)*0.00902),"")</f>
        <v>9.0200000000000002E-2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51.759259259259252</v>
      </c>
      <c r="BN444" s="75">
        <f t="shared" si="60"/>
        <v>55.9</v>
      </c>
      <c r="BO444" s="75">
        <f t="shared" si="61"/>
        <v>7.0145903479236812E-2</v>
      </c>
      <c r="BP444" s="75">
        <f t="shared" si="62"/>
        <v>7.575757575757576E-2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12.962962962962962</v>
      </c>
      <c r="Y449" s="41">
        <f>IFERROR(Y443/H443,"0")+IFERROR(Y444/H444,"0")+IFERROR(Y445/H445,"0")+IFERROR(Y446/H446,"0")+IFERROR(Y447/H447,"0")+IFERROR(Y448/H448,"0")</f>
        <v>14</v>
      </c>
      <c r="Z449" s="41">
        <f>IFERROR(IF(Z443="",0,Z443),"0")+IFERROR(IF(Z444="",0,Z444),"0")+IFERROR(IF(Z445="",0,Z445),"0")+IFERROR(IF(Z446="",0,Z446),"0")+IFERROR(IF(Z447="",0,Z447),"0")+IFERROR(IF(Z448="",0,Z448),"0")</f>
        <v>0.12628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70</v>
      </c>
      <c r="Y450" s="41">
        <f>IFERROR(SUM(Y443:Y448),"0")</f>
        <v>75.599999999999994</v>
      </c>
      <c r="Z450" s="40"/>
      <c r="AA450" s="64"/>
      <c r="AB450" s="64"/>
      <c r="AC450" s="64"/>
    </row>
    <row r="451" spans="1:68" ht="14.25" hidden="1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hidden="1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300</v>
      </c>
      <c r="Y462" s="53">
        <f>IFERROR(IF(X462="",0,CEILING((X462/$H462),1)*$H462),"")</f>
        <v>302.40000000000003</v>
      </c>
      <c r="Z462" s="39">
        <f>IFERROR(IF(Y462=0,"",ROUNDUP(Y462/H462,0)*0.00902),"")</f>
        <v>0.50512000000000001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310.55555555555554</v>
      </c>
      <c r="BN462" s="75">
        <f>IFERROR(Y462*I462/H462,"0")</f>
        <v>313.04000000000002</v>
      </c>
      <c r="BO462" s="75">
        <f>IFERROR(1/J462*(X462/H462),"0")</f>
        <v>0.42087542087542085</v>
      </c>
      <c r="BP462" s="75">
        <f>IFERROR(1/J462*(Y462/H462),"0")</f>
        <v>0.42424242424242425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55.55555555555555</v>
      </c>
      <c r="Y465" s="41">
        <f>IFERROR(Y462/H462,"0")+IFERROR(Y463/H463,"0")+IFERROR(Y464/H464,"0")</f>
        <v>56</v>
      </c>
      <c r="Z465" s="41">
        <f>IFERROR(IF(Z462="",0,Z462),"0")+IFERROR(IF(Z463="",0,Z463),"0")+IFERROR(IF(Z464="",0,Z464),"0")</f>
        <v>0.50512000000000001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300</v>
      </c>
      <c r="Y466" s="41">
        <f>IFERROR(SUM(Y462:Y464),"0")</f>
        <v>302.40000000000003</v>
      </c>
      <c r="Z466" s="40"/>
      <c r="AA466" s="64"/>
      <c r="AB466" s="64"/>
      <c r="AC466" s="64"/>
    </row>
    <row r="467" spans="1:68" ht="27.75" hidden="1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hidden="1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hidden="1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30</v>
      </c>
      <c r="Y473" s="53">
        <f t="shared" si="63"/>
        <v>31.68</v>
      </c>
      <c r="Z473" s="39">
        <f t="shared" si="64"/>
        <v>7.1760000000000004E-2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31.988636363636363</v>
      </c>
      <c r="BN473" s="75">
        <f t="shared" si="66"/>
        <v>33.779999999999994</v>
      </c>
      <c r="BO473" s="75">
        <f t="shared" si="67"/>
        <v>5.4632867132867136E-2</v>
      </c>
      <c r="BP473" s="75">
        <f t="shared" si="68"/>
        <v>5.7692307692307696E-2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130</v>
      </c>
      <c r="Y475" s="53">
        <f t="shared" si="63"/>
        <v>132</v>
      </c>
      <c r="Z475" s="39">
        <f t="shared" si="64"/>
        <v>0.29899999999999999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138.61742424242422</v>
      </c>
      <c r="BN475" s="75">
        <f t="shared" si="66"/>
        <v>140.75</v>
      </c>
      <c r="BO475" s="75">
        <f t="shared" si="67"/>
        <v>0.23674242424242425</v>
      </c>
      <c r="BP475" s="75">
        <f t="shared" si="68"/>
        <v>0.24038461538461539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30.303030303030305</v>
      </c>
      <c r="Y479" s="41">
        <f>IFERROR(Y470/H470,"0")+IFERROR(Y471/H471,"0")+IFERROR(Y472/H472,"0")+IFERROR(Y473/H473,"0")+IFERROR(Y474/H474,"0")+IFERROR(Y475/H475,"0")+IFERROR(Y476/H476,"0")+IFERROR(Y477/H477,"0")+IFERROR(Y478/H478,"0")</f>
        <v>31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0.37075999999999998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160</v>
      </c>
      <c r="Y480" s="41">
        <f>IFERROR(SUM(Y470:Y478),"0")</f>
        <v>163.68</v>
      </c>
      <c r="Z480" s="40"/>
      <c r="AA480" s="64"/>
      <c r="AB480" s="64"/>
      <c r="AC480" s="64"/>
    </row>
    <row r="481" spans="1:68" ht="14.25" hidden="1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180</v>
      </c>
      <c r="Y482" s="53">
        <f>IFERROR(IF(X482="",0,CEILING((X482/$H482),1)*$H482),"")</f>
        <v>184.8</v>
      </c>
      <c r="Z482" s="39">
        <f>IFERROR(IF(Y482=0,"",ROUNDUP(Y482/H482,0)*0.01196),"")</f>
        <v>0.41860000000000003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191.93181818181816</v>
      </c>
      <c r="BN482" s="75">
        <f>IFERROR(Y482*I482/H482,"0")</f>
        <v>197.04999999999998</v>
      </c>
      <c r="BO482" s="75">
        <f>IFERROR(1/J482*(X482/H482),"0")</f>
        <v>0.32779720279720276</v>
      </c>
      <c r="BP482" s="75">
        <f>IFERROR(1/J482*(Y482/H482),"0")</f>
        <v>0.33653846153846156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34.090909090909086</v>
      </c>
      <c r="Y485" s="41">
        <f>IFERROR(Y482/H482,"0")+IFERROR(Y483/H483,"0")+IFERROR(Y484/H484,"0")</f>
        <v>35</v>
      </c>
      <c r="Z485" s="41">
        <f>IFERROR(IF(Z482="",0,Z482),"0")+IFERROR(IF(Z483="",0,Z483),"0")+IFERROR(IF(Z484="",0,Z484),"0")</f>
        <v>0.41860000000000003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180</v>
      </c>
      <c r="Y486" s="41">
        <f>IFERROR(SUM(Y482:Y484),"0")</f>
        <v>184.8</v>
      </c>
      <c r="Z486" s="40"/>
      <c r="AA486" s="64"/>
      <c r="AB486" s="64"/>
      <c r="AC486" s="64"/>
    </row>
    <row r="487" spans="1:68" ht="14.25" hidden="1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>
        <v>130</v>
      </c>
      <c r="Y488" s="53">
        <f t="shared" ref="Y488:Y494" si="69">IFERROR(IF(X488="",0,CEILING((X488/$H488),1)*$H488),"")</f>
        <v>132</v>
      </c>
      <c r="Z488" s="39">
        <f>IFERROR(IF(Y488=0,"",ROUNDUP(Y488/H488,0)*0.01196),"")</f>
        <v>0.29899999999999999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138.61742424242422</v>
      </c>
      <c r="BN488" s="75">
        <f t="shared" ref="BN488:BN494" si="71">IFERROR(Y488*I488/H488,"0")</f>
        <v>140.75</v>
      </c>
      <c r="BO488" s="75">
        <f t="shared" ref="BO488:BO494" si="72">IFERROR(1/J488*(X488/H488),"0")</f>
        <v>0.23674242424242425</v>
      </c>
      <c r="BP488" s="75">
        <f t="shared" ref="BP488:BP494" si="73">IFERROR(1/J488*(Y488/H488),"0")</f>
        <v>0.24038461538461539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90</v>
      </c>
      <c r="Y489" s="53">
        <f t="shared" si="69"/>
        <v>95.04</v>
      </c>
      <c r="Z489" s="39">
        <f>IFERROR(IF(Y489=0,"",ROUNDUP(Y489/H489,0)*0.01196),"")</f>
        <v>0.21528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95.965909090909079</v>
      </c>
      <c r="BN489" s="75">
        <f t="shared" si="71"/>
        <v>101.33999999999999</v>
      </c>
      <c r="BO489" s="75">
        <f t="shared" si="72"/>
        <v>0.16389860139860138</v>
      </c>
      <c r="BP489" s="75">
        <f t="shared" si="73"/>
        <v>0.17307692307692307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>
        <v>120</v>
      </c>
      <c r="Y490" s="53">
        <f t="shared" si="69"/>
        <v>121.44000000000001</v>
      </c>
      <c r="Z490" s="39">
        <f>IFERROR(IF(Y490=0,"",ROUNDUP(Y490/H490,0)*0.01196),"")</f>
        <v>0.27507999999999999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127.95454545454545</v>
      </c>
      <c r="BN490" s="75">
        <f t="shared" si="71"/>
        <v>129.49</v>
      </c>
      <c r="BO490" s="75">
        <f t="shared" si="72"/>
        <v>0.21853146853146854</v>
      </c>
      <c r="BP490" s="75">
        <f t="shared" si="73"/>
        <v>0.22115384615384617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64.393939393939391</v>
      </c>
      <c r="Y495" s="41">
        <f>IFERROR(Y488/H488,"0")+IFERROR(Y489/H489,"0")+IFERROR(Y490/H490,"0")+IFERROR(Y491/H491,"0")+IFERROR(Y492/H492,"0")+IFERROR(Y493/H493,"0")+IFERROR(Y494/H494,"0")</f>
        <v>66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0.78935999999999995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340</v>
      </c>
      <c r="Y496" s="41">
        <f>IFERROR(SUM(Y488:Y494),"0")</f>
        <v>348.48</v>
      </c>
      <c r="Z496" s="40"/>
      <c r="AA496" s="64"/>
      <c r="AB496" s="64"/>
      <c r="AC496" s="64"/>
    </row>
    <row r="497" spans="1:68" ht="27.75" hidden="1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hidden="1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hidden="1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>
        <v>130</v>
      </c>
      <c r="Y508" s="53">
        <f>IFERROR(IF(X508="",0,CEILING((X508/$H508),1)*$H508),"")</f>
        <v>134.4</v>
      </c>
      <c r="Z508" s="39">
        <f>IFERROR(IF(Y508=0,"",ROUNDUP(Y508/H508,0)*0.00902),"")</f>
        <v>0.25256000000000001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136.77083333333334</v>
      </c>
      <c r="BN508" s="75">
        <f>IFERROR(Y508*I508/H508,"0")</f>
        <v>141.4</v>
      </c>
      <c r="BO508" s="75">
        <f>IFERROR(1/J508*(X508/H508),"0")</f>
        <v>0.20517676767676771</v>
      </c>
      <c r="BP508" s="75">
        <f>IFERROR(1/J508*(Y508/H508),"0")</f>
        <v>0.21212121212121215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27.083333333333336</v>
      </c>
      <c r="Y509" s="41">
        <f>IFERROR(Y508/H508,"0")</f>
        <v>28.000000000000004</v>
      </c>
      <c r="Z509" s="41">
        <f>IFERROR(IF(Z508="",0,Z508),"0")</f>
        <v>0.25256000000000001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130</v>
      </c>
      <c r="Y510" s="41">
        <f>IFERROR(SUM(Y508:Y508),"0")</f>
        <v>134.4</v>
      </c>
      <c r="Z510" s="40"/>
      <c r="AA510" s="64"/>
      <c r="AB510" s="64"/>
      <c r="AC510" s="64"/>
    </row>
    <row r="511" spans="1:68" ht="14.25" hidden="1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hidden="1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18059.900000000001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18156.96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18786.872610491882</v>
      </c>
      <c r="Y526" s="41">
        <f>IFERROR(SUM(BN22:BN522),"0")</f>
        <v>18888.836000000007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28</v>
      </c>
      <c r="Y527" s="42">
        <f>ROUNDUP(SUM(BP22:BP522),0)</f>
        <v>28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19486.872610491882</v>
      </c>
      <c r="Y528" s="41">
        <f>GrossWeightTotalR+PalletQtyTotalR*25</f>
        <v>19588.836000000007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1708.1014854664279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1723</v>
      </c>
      <c r="Z529" s="40"/>
      <c r="AA529" s="64"/>
      <c r="AB529" s="64"/>
      <c r="AC529" s="64"/>
    </row>
    <row r="530" spans="1:32" ht="14.25" hidden="1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31.136480000000006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345.6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118.80000000000001</v>
      </c>
      <c r="F535" s="50">
        <f>IFERROR(Y91*1,"0")+IFERROR(Y92*1,"0")+IFERROR(Y93*1,"0")+IFERROR(Y94*1,"0")+IFERROR(Y98*1,"0")+IFERROR(Y99*1,"0")+IFERROR(Y100*1,"0")+IFERROR(Y101*1,"0")</f>
        <v>1028.7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1125.9000000000001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231.00000000000003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500.7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1211.4000000000001</v>
      </c>
      <c r="U535" s="50">
        <f>IFERROR(Y391*1,"0")+IFERROR(Y392*1,"0")+IFERROR(Y393*1,"0")</f>
        <v>31.5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11751</v>
      </c>
      <c r="W535" s="50">
        <f>IFERROR(Y426*1,"0")+IFERROR(Y427*1,"0")+IFERROR(Y431*1,"0")+IFERROR(Y435*1,"0")+IFERROR(Y436*1,"0")+IFERROR(Y437*1,"0")</f>
        <v>603</v>
      </c>
      <c r="X535" s="50">
        <f>IFERROR(Y443*1,"0")+IFERROR(Y444*1,"0")+IFERROR(Y445*1,"0")+IFERROR(Y446*1,"0")+IFERROR(Y447*1,"0")+IFERROR(Y448*1,"0")+IFERROR(Y452*1,"0")+IFERROR(Y453*1,"0")</f>
        <v>75.599999999999994</v>
      </c>
      <c r="Y535" s="50">
        <f>IFERROR(Y458*1,"0")+IFERROR(Y462*1,"0")+IFERROR(Y463*1,"0")+IFERROR(Y464*1,"0")</f>
        <v>302.40000000000003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696.96</v>
      </c>
      <c r="AA535" s="50">
        <f>IFERROR(Y500*1,"0")+IFERROR(Y504*1,"0")+IFERROR(Y508*1,"0")+IFERROR(Y512*1,"0")+IFERROR(Y516*1,"0")+IFERROR(Y517*1,"0")</f>
        <v>134.4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500,00"/>
        <filter val="1 708,10"/>
        <filter val="100,00"/>
        <filter val="12,96"/>
        <filter val="120,00"/>
        <filter val="130,00"/>
        <filter val="136,36"/>
        <filter val="14,29"/>
        <filter val="15,00"/>
        <filter val="160,00"/>
        <filter val="170,00"/>
        <filter val="18 059,90"/>
        <filter val="18 786,87"/>
        <filter val="180,00"/>
        <filter val="19 486,87"/>
        <filter val="2 550,00"/>
        <filter val="2 850,00"/>
        <filter val="2,78"/>
        <filter val="20,00"/>
        <filter val="228,40"/>
        <filter val="240,00"/>
        <filter val="250,00"/>
        <filter val="27,08"/>
        <filter val="28"/>
        <filter val="28,57"/>
        <filter val="28,74"/>
        <filter val="30,00"/>
        <filter val="30,30"/>
        <filter val="300,00"/>
        <filter val="31,48"/>
        <filter val="31,50"/>
        <filter val="34,09"/>
        <filter val="340,00"/>
        <filter val="360,00"/>
        <filter val="38,89"/>
        <filter val="4 000,00"/>
        <filter val="40,00"/>
        <filter val="400,00"/>
        <filter val="420,00"/>
        <filter val="44,44"/>
        <filter val="480,00"/>
        <filter val="50,00"/>
        <filter val="53,33"/>
        <filter val="540,00"/>
        <filter val="55,56"/>
        <filter val="556,67"/>
        <filter val="56,38"/>
        <filter val="60,00"/>
        <filter val="600,00"/>
        <filter val="64,39"/>
        <filter val="7,41"/>
        <filter val="70,00"/>
        <filter val="700,00"/>
        <filter val="74,07"/>
        <filter val="8 350,00"/>
        <filter val="8,40"/>
        <filter val="80,00"/>
        <filter val="850,00"/>
        <filter val="86,42"/>
        <filter val="90,00"/>
      </filters>
    </filterColumn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2026-07-21T10:12:43Z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